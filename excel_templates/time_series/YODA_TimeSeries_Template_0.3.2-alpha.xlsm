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comments4.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comments6.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autoCompressPictures="0"/>
  <mc:AlternateContent xmlns:mc="http://schemas.openxmlformats.org/markup-compatibility/2006">
    <mc:Choice Requires="x15">
      <x15ac:absPath xmlns:x15ac="http://schemas.microsoft.com/office/spreadsheetml/2010/11/ac" url="C:\Users\jeff\Desktop\"/>
    </mc:Choice>
  </mc:AlternateContent>
  <bookViews>
    <workbookView xWindow="195" yWindow="765" windowWidth="43185" windowHeight="21240" tabRatio="759"/>
  </bookViews>
  <sheets>
    <sheet name="Instructions" sheetId="14" r:id="rId1"/>
    <sheet name="People and Organizations" sheetId="7" r:id="rId2"/>
    <sheet name="Dataset Citation" sheetId="1" r:id="rId3"/>
    <sheet name="Sampling Features" sheetId="2" r:id="rId4"/>
    <sheet name="Methods" sheetId="8" r:id="rId5"/>
    <sheet name="Variables" sheetId="12" r:id="rId6"/>
    <sheet name="Processing Levels" sheetId="13" r:id="rId7"/>
    <sheet name="Units" sheetId="19" r:id="rId8"/>
    <sheet name="Data Columns" sheetId="4" r:id="rId9"/>
    <sheet name="Data Values" sheetId="5" r:id="rId10"/>
    <sheet name="Controlled Vocabularies" sheetId="3" r:id="rId11"/>
    <sheet name="SpatialReferences" sheetId="18" r:id="rId12"/>
    <sheet name="ExternalIdentifierSystems" sheetId="17" r:id="rId13"/>
  </sheets>
  <functionGroups builtInGroupCount="18"/>
  <definedNames>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ExternalData_10" localSheetId="0">Instructions!#REF!</definedName>
    <definedName name="ExternalData_11" localSheetId="0">Instructions!#REF!</definedName>
    <definedName name="ExternalData_12" localSheetId="0">Instructions!#REF!</definedName>
    <definedName name="ExternalData_13" localSheetId="0">Instructions!#REF!</definedName>
    <definedName name="ExternalData_14" localSheetId="0">Instructions!#REF!</definedName>
    <definedName name="ExternalData_15" localSheetId="0">Instructions!#REF!</definedName>
    <definedName name="ExternalData_16" localSheetId="0">Instructions!#REF!</definedName>
    <definedName name="ExternalData_17" localSheetId="0">Instructions!#REF!</definedName>
    <definedName name="ExternalData_18" localSheetId="0">Instructions!#REF!</definedName>
    <definedName name="ExternalData_19" localSheetId="0">Instructions!#REF!</definedName>
    <definedName name="ExternalData_20" localSheetId="0">Instructions!#REF!</definedName>
    <definedName name="ExternalData_21" localSheetId="0">Instructions!#REF!</definedName>
    <definedName name="ExternalData_22" localSheetId="0">Instructions!#REF!</definedName>
    <definedName name="ExternalData_23" localSheetId="0">Instructions!#REF!</definedName>
    <definedName name="ExternalData_24" localSheetId="0">Instructions!#REF!</definedName>
    <definedName name="ExternalData_25" localSheetId="0">Instructions!#REF!</definedName>
    <definedName name="ExternalData_26" localSheetId="0">Instructions!#REF!</definedName>
    <definedName name="ExternalData_27" localSheetId="0">Instructions!#REF!</definedName>
    <definedName name="ExternalData_28" localSheetId="0">Instructions!#REF!</definedName>
    <definedName name="ExternalData_29" localSheetId="0">Instructions!#REF!</definedName>
    <definedName name="ExternalData_3" localSheetId="0">Instructions!#REF!</definedName>
    <definedName name="ExternalData_30" localSheetId="0">Instructions!#REF!</definedName>
    <definedName name="ExternalData_31" localSheetId="0">Instructions!#REF!</definedName>
    <definedName name="ExternalData_32" localSheetId="0">Instructions!#REF!</definedName>
    <definedName name="ExternalData_33" localSheetId="0">Instructions!#REF!</definedName>
    <definedName name="ExternalData_34" localSheetId="0">Instructions!#REF!</definedName>
    <definedName name="ExternalData_35" localSheetId="0">Instructions!#REF!</definedName>
    <definedName name="ExternalData_36" localSheetId="0">Instructions!#REF!</definedName>
    <definedName name="ExternalData_37" localSheetId="0">Instructions!#REF!</definedName>
    <definedName name="ExternalData_38" localSheetId="0">Instructions!#REF!</definedName>
    <definedName name="ExternalData_39" localSheetId="0">Instructions!#REF!</definedName>
    <definedName name="ExternalData_4" localSheetId="0">Instructions!#REF!</definedName>
    <definedName name="ExternalData_40" localSheetId="0">Instructions!#REF!</definedName>
    <definedName name="ExternalData_41" localSheetId="0">Instructions!#REF!</definedName>
    <definedName name="ExternalData_42" localSheetId="0">Instructions!#REF!</definedName>
    <definedName name="ExternalData_43" localSheetId="0">Instructions!#REF!</definedName>
    <definedName name="ExternalData_44" localSheetId="0">Instructions!#REF!</definedName>
    <definedName name="ExternalData_45" localSheetId="0">Instructions!#REF!</definedName>
    <definedName name="ExternalData_46" localSheetId="0">Instructions!#REF!</definedName>
    <definedName name="ExternalData_47" localSheetId="0">Instructions!#REF!</definedName>
    <definedName name="ExternalData_48" localSheetId="0">Instructions!#REF!</definedName>
    <definedName name="ExternalData_49" localSheetId="0">Instructions!#REF!</definedName>
    <definedName name="ExternalData_5" localSheetId="0">Instructions!#REF!</definedName>
    <definedName name="ExternalData_50" localSheetId="0">Instructions!#REF!</definedName>
    <definedName name="ExternalData_51" localSheetId="0">Instructions!#REF!</definedName>
    <definedName name="ExternalData_52" localSheetId="0">Instructions!#REF!</definedName>
    <definedName name="ExternalData_53" localSheetId="0">Instructions!#REF!</definedName>
    <definedName name="ExternalData_54" localSheetId="0">Instructions!#REF!</definedName>
    <definedName name="ExternalData_55" localSheetId="0">Instructions!#REF!</definedName>
    <definedName name="ExternalData_56" localSheetId="0">Instructions!#REF!</definedName>
    <definedName name="ExternalData_57" localSheetId="0">Instructions!#REF!</definedName>
    <definedName name="ExternalData_58" localSheetId="0">Instructions!#REF!</definedName>
    <definedName name="ExternalData_59" localSheetId="0">Instructions!#REF!</definedName>
    <definedName name="ExternalData_6" localSheetId="0">Instructions!#REF!</definedName>
    <definedName name="ExternalData_60" localSheetId="0">Instructions!#REF!</definedName>
    <definedName name="ExternalData_61" localSheetId="0">Instructions!#REF!</definedName>
    <definedName name="ExternalData_62" localSheetId="0">Instructions!#REF!</definedName>
    <definedName name="ExternalData_63" localSheetId="0">Instructions!#REF!</definedName>
    <definedName name="ExternalData_64" localSheetId="0">Instructions!#REF!</definedName>
    <definedName name="ExternalData_65" localSheetId="0">Instructions!#REF!</definedName>
    <definedName name="ExternalData_7" localSheetId="0">Instructions!#REF!</definedName>
    <definedName name="ExternalData_71" localSheetId="0">Instructions!#REF!</definedName>
    <definedName name="ExternalData_72" localSheetId="0">Instructions!#REF!</definedName>
    <definedName name="ExternalData_73" localSheetId="0">Instructions!#REF!</definedName>
    <definedName name="ExternalData_74" localSheetId="0">Instructions!#REF!</definedName>
    <definedName name="ExternalData_75" localSheetId="0">Instructions!#REF!</definedName>
    <definedName name="ExternalData_76" localSheetId="0">Instructions!#REF!</definedName>
    <definedName name="ExternalData_77" localSheetId="0">Instructions!#REF!</definedName>
    <definedName name="ExternalData_78" localSheetId="0">Instructions!#REF!</definedName>
    <definedName name="ExternalData_79" localSheetId="0">Instructions!#REF!</definedName>
    <definedName name="ExternalData_8" localSheetId="0">Instructions!#REF!</definedName>
    <definedName name="ExternalData_80" localSheetId="0">Instructions!#REF!</definedName>
    <definedName name="ExternalData_81" localSheetId="0">Instructions!#REF!</definedName>
    <definedName name="ExternalData_82" localSheetId="0">Instructions!#REF!</definedName>
    <definedName name="ExternalData_83" localSheetId="0">Instructions!#REF!</definedName>
    <definedName name="ExternalData_84" localSheetId="0">Instructions!#REF!</definedName>
    <definedName name="ExternalData_85" localSheetId="0">Instructions!#REF!</definedName>
    <definedName name="ExternalData_86" localSheetId="0">Instructions!#REF!</definedName>
    <definedName name="ExternalData_87" localSheetId="0">Instructions!#REF!</definedName>
    <definedName name="ExternalData_88" localSheetId="0">Instructions!#REF!</definedName>
    <definedName name="ExternalData_89" localSheetId="0">Instructions!#REF!</definedName>
    <definedName name="ExternalData_9" localSheetId="0">Instructions!#REF!</definedName>
    <definedName name="ExternalData_90" localSheetId="0">Instructions!#REF!</definedName>
    <definedName name="ExternalData_91" localSheetId="0">Instructions!#REF!</definedName>
    <definedName name="ExternalData_92" localSheetId="0">Instructions!#REF!</definedName>
    <definedName name="ExternalData_93" localSheetId="0">Instructions!#REF!</definedName>
    <definedName name="ExternalData_94" localSheetId="0">Instructions!#REF!</definedName>
    <definedName name="ExternalData_95" localSheetId="0">Instructions!#REF!</definedName>
    <definedName name="ExternalData_96" localSheetId="0">Instructions!#REF!</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#REF!</definedName>
    <definedName name="ListOfVocabularies">'Controlled Vocabularies'!$1:$1</definedName>
    <definedName name="LongestBlock">#REF!</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#REF!</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#REF!</definedName>
    <definedName name="NumSamplingFeatures">'Sampling Features'!$I$8</definedName>
    <definedName name="NumSites">'Sampling Features'!$L$8</definedName>
    <definedName name="NumSpatialOffsets">#REF!</definedName>
    <definedName name="NumSpecimens">'Sampling Features'!#REF!</definedName>
    <definedName name="NumUnits">Units!$D$8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62913" concurrentCalc="0"/>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H5" i="7" l="1"/>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H4" i="7"/>
  <c r="J24" i="7"/>
  <c r="J25" i="7"/>
  <c r="J26" i="7"/>
  <c r="J27" i="7"/>
  <c r="J28" i="7"/>
  <c r="J29" i="7"/>
  <c r="J30" i="7"/>
  <c r="J31" i="7"/>
  <c r="J32" i="7"/>
  <c r="J33" i="7"/>
  <c r="H6" i="7"/>
  <c r="E22" i="1"/>
  <c r="I8"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L8" i="2"/>
  <c r="D8" i="19"/>
  <c r="F6" i="8"/>
  <c r="F5" i="12"/>
  <c r="E5" i="13"/>
  <c r="I24" i="7"/>
  <c r="I25" i="7"/>
  <c r="A23" i="1"/>
  <c r="A24" i="1"/>
  <c r="A32" i="1"/>
  <c r="A31" i="1"/>
  <c r="A30" i="1"/>
  <c r="A29" i="1"/>
  <c r="A28" i="1"/>
  <c r="A27" i="1"/>
  <c r="A26" i="1"/>
  <c r="A25" i="1"/>
  <c r="I33" i="7"/>
  <c r="I32" i="7"/>
  <c r="I31" i="7"/>
  <c r="I30" i="7"/>
  <c r="I29" i="7"/>
  <c r="I28" i="7"/>
  <c r="I27" i="7"/>
  <c r="I26" i="7"/>
</calcChain>
</file>

<file path=xl/comments1.xml><?xml version="1.0" encoding="utf-8"?>
<comments xmlns="http://schemas.openxmlformats.org/spreadsheetml/2006/main">
  <authors>
    <author>Sara Geleskie Damiano</author>
  </authors>
  <commentList>
    <comment ref="D23" authorId="0" shapeId="0">
      <text>
        <r>
          <rPr>
            <sz val="9"/>
            <color indexed="81"/>
            <rFont val="Tahoma"/>
            <family val="2"/>
          </rPr>
          <t>If the organization doesn't appear on the drop-down list, make sure you've added it above!</t>
        </r>
      </text>
    </comment>
    <comment ref="H23" authorId="0" shapeId="0">
      <text>
        <r>
          <rPr>
            <b/>
            <sz val="9"/>
            <color indexed="81"/>
            <rFont val="Tahoma"/>
            <family val="2"/>
          </rPr>
          <t>Include dashes in ORCID!!</t>
        </r>
        <r>
          <rPr>
            <sz val="9"/>
            <color indexed="81"/>
            <rFont val="Tahoma"/>
            <family val="2"/>
          </rPr>
          <t xml:space="preserve">
See http://orcid.org/ for more info on OrcID's</t>
        </r>
      </text>
    </comment>
    <comment ref="I23" authorId="0" shapeId="0">
      <text>
        <r>
          <rPr>
            <sz val="9"/>
            <color indexed="81"/>
            <rFont val="Tahoma"/>
            <family val="2"/>
          </rPr>
          <t xml:space="preserve">This is a calculated column, </t>
        </r>
        <r>
          <rPr>
            <b/>
            <sz val="9"/>
            <color indexed="81"/>
            <rFont val="Tahoma"/>
            <family val="2"/>
          </rPr>
          <t>DO NOT ENTER DATA HERE!</t>
        </r>
      </text>
    </comment>
    <comment ref="J23" authorId="0" shape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shapeId="0">
      <text>
        <r>
          <rPr>
            <sz val="9"/>
            <color indexed="81"/>
            <rFont val="Tahoma"/>
            <family val="2"/>
          </rPr>
          <t>If any citation information is included, this field becomes manditory!</t>
        </r>
      </text>
    </comment>
    <comment ref="B15" authorId="0" shapeId="0">
      <text>
        <r>
          <rPr>
            <sz val="9"/>
            <color indexed="81"/>
            <rFont val="Tahoma"/>
            <family val="2"/>
          </rPr>
          <t>If any citation information is included, this field becomes manditory!</t>
        </r>
      </text>
    </comment>
    <comment ref="B16" authorId="0" shapeId="0">
      <text>
        <r>
          <rPr>
            <sz val="9"/>
            <color indexed="81"/>
            <rFont val="Tahoma"/>
            <family val="2"/>
          </rPr>
          <t>If any citation information is included, this field becomes manditory!</t>
        </r>
      </text>
    </comment>
    <comment ref="B17" authorId="0" shapeId="0">
      <text>
        <r>
          <rPr>
            <sz val="9"/>
            <color indexed="81"/>
            <rFont val="Tahoma"/>
            <family val="2"/>
          </rPr>
          <t>If any citation information is included, this field becomes manditory!</t>
        </r>
      </text>
    </comment>
    <comment ref="B22" authorId="0" shape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shape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F8" authorId="0" shapeId="0">
      <text>
        <r>
          <rPr>
            <sz val="9"/>
            <color indexed="81"/>
            <rFont val="Tahoma"/>
            <family val="2"/>
          </rPr>
          <t>This is the value used for empty or missing values; often "-9999" or something similar.</t>
        </r>
      </text>
    </comment>
  </commentList>
</comments>
</file>

<file path=xl/comments5.xml><?xml version="1.0" encoding="utf-8"?>
<comments xmlns="http://schemas.openxmlformats.org/spreadsheetml/2006/main">
  <authors>
    <author>Sara Geleskie Damiano</author>
  </authors>
  <commentList>
    <comment ref="D10" authorId="0" shape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shape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shapeId="0">
      <text>
        <r>
          <rPr>
            <sz val="9"/>
            <color indexed="81"/>
            <rFont val="Tahoma"/>
            <family val="2"/>
          </rPr>
          <t>This is the person who actually deployed the sensor or collected the data in the collumn.</t>
        </r>
      </text>
    </comment>
    <comment ref="H10" authorId="0" shape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shape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6.xml><?xml version="1.0" encoding="utf-8"?>
<comments xmlns="http://schemas.openxmlformats.org/spreadsheetml/2006/main">
  <authors>
    <author>Sara Geleskie Damiano</author>
  </authors>
  <commentList>
    <comment ref="C1" authorId="0" shapeId="0">
      <text>
        <r>
          <rPr>
            <sz val="9"/>
            <color indexed="81"/>
            <rFont val="Tahoma"/>
            <family val="2"/>
          </rPr>
          <t>This is NOT the full Dataset Type CV!  These are only the allowable Dataset types for this template!</t>
        </r>
      </text>
    </comment>
    <comment ref="D1" authorId="0" shapeId="0">
      <text>
        <r>
          <rPr>
            <sz val="9"/>
            <color indexed="81"/>
            <rFont val="Tahoma"/>
            <family val="2"/>
          </rPr>
          <t>This is NOT the full Result Type CV!  These are only the allowable Dataset types for this template!</t>
        </r>
      </text>
    </comment>
    <comment ref="E1" authorId="0" shapeId="0">
      <text>
        <r>
          <rPr>
            <sz val="9"/>
            <color indexed="81"/>
            <rFont val="Tahoma"/>
            <family val="2"/>
          </rPr>
          <t>This is NOT the full Method Type CV!  These are only the allowable Dataset types for this template!</t>
        </r>
      </text>
    </comment>
  </commentList>
</comments>
</file>

<file path=xl/connections.xml><?xml version="1.0" encoding="utf-8"?>
<connections xmlns="http://schemas.openxmlformats.org/spreadsheetml/2006/main">
  <connection id="1" name="?format=csv" type="6" refreshedVersion="0" background="1">
    <textPr prompt="0" fileType="mac" sourceFile="http://vocabulary.odm2.org/api/v1/Boolean/?format=csv">
      <textFields>
        <textField/>
      </textFields>
    </textPr>
  </connection>
  <connection id="2" name="?format=csv1" type="6" refreshedVersion="0" background="1">
    <textPr prompt="0" fileType="mac" sourceFile="http://vocabulary.odm2.org/api/v1/Boolean/?format=csv">
      <textFields>
        <textField/>
      </textFields>
    </textPr>
  </connection>
  <connection id="3" name="?format=csv10" type="6" refreshedVersion="0" background="1">
    <textPr prompt="0" fileType="mac" sourceFile="http://vocabulary.odm2.org/api/v1/Boolean/?format=csv">
      <textFields>
        <textField/>
      </textFields>
    </textPr>
  </connection>
  <connection id="4" name="?format=csv100" type="6" refreshedVersion="0" background="1">
    <textPr prompt="0" fileType="mac" sourceFile="http://vocabulary.odm2.org/api/v1/variablename/?format=csv">
      <textFields>
        <textField/>
      </textFields>
    </textPr>
  </connection>
  <connection id="5" name="?format=csv101" type="6" refreshedVersion="0" background="1">
    <textPr prompt="0" fileType="mac" sourceFile="http://vocabulary.odm2.org/api/v1/variabletype/?format=csv">
      <textFields>
        <textField/>
      </textFields>
    </textPr>
  </connection>
  <connection id="6" name="?format=csv102" type="6" refreshedVersion="0" background="1">
    <textPr prompt="0" fileType="mac" sourceFile="http://vocabulary.odm2.org/api/v1/unitstype/?format=csv">
      <textFields>
        <textField/>
      </textFields>
    </textPr>
  </connection>
  <connection id="7" name="?format=csv103" type="6" refreshedVersion="0" background="1">
    <textPr prompt="0" fileType="mac" sourceFile="http://vocabulary.odm2.org/api/v1/Boolean/?format=csv">
      <textFields>
        <textField/>
      </textFields>
    </textPr>
  </connection>
  <connection id="8" name="?format=csv104" type="6" refreshedVersion="0" background="1">
    <textPr prompt="0" fileType="mac" sourceFile="http://vocabulary.odm2.org/api/v1/NotApplicable/?format=csv">
      <textFields>
        <textField/>
      </textFields>
    </textPr>
  </connection>
  <connection id="9" name="?format=csv105" type="6" refreshedVersion="0" background="1">
    <textPr prompt="0" fileType="mac" sourceFile="http://vocabulary.odm2.org/api/v1/ApplicableDatasetTypes/?format=csv">
      <textFields>
        <textField/>
      </textFields>
    </textPr>
  </connection>
  <connection id="10" name="?format=csv106" type="6" refreshedVersion="0" background="1">
    <textPr prompt="0" fileType="mac" sourceFile="http://vocabulary.odm2.org/api/v1/ApplicableResultTypes/?format=csv">
      <textFields>
        <textField/>
      </textFields>
    </textPr>
  </connection>
  <connection id="11" name="?format=csv107" type="6" refreshedVersion="0" background="1">
    <textPr prompt="0" fileType="mac" sourceFile="http://vocabulary.odm2.org/api/v1/ApplicableMethodTypes/?format=csv">
      <textFields>
        <textField/>
      </textFields>
    </textPr>
  </connection>
  <connection id="12" name="?format=csv108" type="6" refreshedVersion="0" background="1">
    <textPr prompt="0" fileType="mac" sourceFile="http://vocabulary.odm2.org/api/v1/actiontype/?format=csv">
      <textFields>
        <textField/>
      </textFields>
    </textPr>
  </connection>
  <connection id="13" name="?format=csv109" type="6" refreshedVersion="0" background="1">
    <textPr prompt="0" fileType="mac" sourceFile="http://vocabulary.odm2.org/api/v1/aggregationstatistic/?format=csv">
      <textFields>
        <textField/>
      </textFields>
    </textPr>
  </connection>
  <connection id="14" name="?format=csv11" type="6" refreshedVersion="0" background="1">
    <textPr prompt="0" fileType="mac" sourceFile="http://vocabulary.odm2.org/api/v1/NotApplicable/?format=csv">
      <textFields>
        <textField/>
      </textFields>
    </textPr>
  </connection>
  <connection id="15" name="?format=csv110" type="6" refreshedVersion="0" background="1">
    <textPr prompt="0" fileType="mac" sourceFile="http://vocabulary.odm2.org/api/v1/censorcode/?format=csv">
      <textFields>
        <textField/>
      </textFields>
    </textPr>
  </connection>
  <connection id="16" name="?format=csv111" type="6" refreshedVersion="0" background="1">
    <textPr prompt="0" fileType="mac" sourceFile="http://vocabulary.odm2.org/api/v1/dataqualitytype/?format=csv">
      <textFields>
        <textField/>
      </textFields>
    </textPr>
  </connection>
  <connection id="17" name="?format=csv112" type="6" refreshedVersion="0" background="1">
    <textPr prompt="0" fileType="mac" sourceFile="http://vocabulary.odm2.org/api/v1/datasettype/?format=csv">
      <textFields>
        <textField/>
      </textFields>
    </textPr>
  </connection>
  <connection id="18" name="?format=csv113" type="6" refreshedVersion="0" background="1">
    <textPr prompt="0" fileType="mac" sourceFile="http://vocabulary.odm2.org/api/v1/directivetype/?format=csv">
      <textFields>
        <textField/>
      </textFields>
    </textPr>
  </connection>
  <connection id="19" name="?format=csv114" type="6" refreshedVersion="0" background="1">
    <textPr prompt="0" fileType="mac" sourceFile="http://vocabulary.odm2.org/api/v1/elevationdatum/?format=csv">
      <textFields>
        <textField/>
      </textFields>
    </textPr>
  </connection>
  <connection id="20" name="?format=csv115" type="6" refreshedVersion="0" background="1">
    <textPr prompt="0" fileType="mac" sourceFile="http://vocabulary.odm2.org/api/v1/equipmenttype/?format=csv">
      <textFields>
        <textField/>
      </textFields>
    </textPr>
  </connection>
  <connection id="21" name="?format=csv116" type="6" refreshedVersion="0" background="1">
    <textPr prompt="0" fileType="mac" sourceFile="http://vocabulary.odm2.org/api/v1/methodtype/?format=csv">
      <textFields>
        <textField/>
      </textFields>
    </textPr>
  </connection>
  <connection id="22" name="?format=csv117" type="6" refreshedVersion="0" background="1">
    <textPr prompt="0" fileType="mac" sourceFile="http://vocabulary.odm2.org/api/v1/organizationtype/?format=csv">
      <textFields>
        <textField/>
      </textFields>
    </textPr>
  </connection>
  <connection id="23" name="?format=csv118" type="6" refreshedVersion="0" background="1">
    <textPr prompt="0" fileType="mac" sourceFile="http://vocabulary.odm2.org/api/v1/propertydatatype/?format=csv">
      <textFields>
        <textField/>
      </textFields>
    </textPr>
  </connection>
  <connection id="24" name="?format=csv119" type="6" refreshedVersion="0" background="1">
    <textPr prompt="0" fileType="mac" sourceFile="http://vocabulary.odm2.org/api/v1/qualitycode/?format=csv">
      <textFields>
        <textField/>
      </textFields>
    </textPr>
  </connection>
  <connection id="25" name="?format=csv12" type="6" refreshedVersion="0" background="1">
    <textPr prompt="0" fileType="mac" sourceFile="http://vocabulary.odm2.org/api/v1/ApplicableDatasetTypes/?format=csv">
      <textFields>
        <textField/>
      </textFields>
    </textPr>
  </connection>
  <connection id="26" name="?format=csv120" type="6" refreshedVersion="0" background="1">
    <textPr prompt="0" fileType="mac" sourceFile="http://vocabulary.odm2.org/api/v1/relationshiptype/?format=csv">
      <textFields>
        <textField/>
      </textFields>
    </textPr>
  </connection>
  <connection id="27" name="?format=csv121" type="6" refreshedVersion="0" background="1">
    <textPr prompt="0" fileType="mac" sourceFile="http://vocabulary.odm2.org/api/v1/resulttype/?format=csv">
      <textFields>
        <textField/>
      </textFields>
    </textPr>
  </connection>
  <connection id="28" name="?format=csv122" type="6" refreshedVersion="0" background="1">
    <textPr prompt="0" fileType="mac" sourceFile="http://vocabulary.odm2.org/api/v1/samplingfeaturegeotype/?format=csv">
      <textFields>
        <textField/>
      </textFields>
    </textPr>
  </connection>
  <connection id="29" name="?format=csv123" type="6" refreshedVersion="0" background="1">
    <textPr prompt="0" fileType="mac" sourceFile="http://vocabulary.odm2.org/api/v1/samplingfeaturetype/?format=csv">
      <textFields>
        <textField/>
      </textFields>
    </textPr>
  </connection>
  <connection id="30" name="?format=csv124" type="6" refreshedVersion="0" background="1">
    <textPr prompt="0" fileType="mac" sourceFile="http://vocabulary.odm2.org/api/v1/sitetype/?format=csv">
      <textFields>
        <textField/>
      </textFields>
    </textPr>
  </connection>
  <connection id="31" name="?format=csv125" type="6" refreshedVersion="0" background="1">
    <textPr prompt="0" fileType="mac" sourceFile="http://vocabulary.odm2.org/api/v1/spatialoffsettype/?format=csv">
      <textFields>
        <textField/>
      </textFields>
    </textPr>
  </connection>
  <connection id="32" name="?format=csv126" type="6" refreshedVersion="0" background="1">
    <textPr prompt="0" fileType="mac" sourceFile="http://vocabulary.odm2.org/api/v1/speciation/?format=csv">
      <textFields>
        <textField/>
      </textFields>
    </textPr>
  </connection>
  <connection id="33" name="?format=csv127" type="6" refreshedVersion="0" background="1">
    <textPr prompt="0" fileType="mac" sourceFile="http://vocabulary.odm2.org/api/v1/medium/?format=csv">
      <textFields>
        <textField/>
      </textFields>
    </textPr>
  </connection>
  <connection id="34" name="?format=csv128" type="6" refreshedVersion="0" background="1">
    <textPr prompt="0" fileType="mac" sourceFile="http://vocabulary.odm2.org/api/v1/specimentype/?format=csv">
      <textFields>
        <textField/>
      </textFields>
    </textPr>
  </connection>
  <connection id="35" name="?format=csv129" type="6" refreshedVersion="0" background="1">
    <textPr prompt="0" fileType="mac" sourceFile="http://vocabulary.odm2.org/api/v1/status/?format=csv">
      <textFields>
        <textField/>
      </textFields>
    </textPr>
  </connection>
  <connection id="36" name="?format=csv13" type="6" refreshedVersion="0" background="1">
    <textPr prompt="0" fileType="mac" sourceFile="http://vocabulary.odm2.org/api/v1/ApplicableResultTypes/?format=csv">
      <textFields>
        <textField/>
      </textFields>
    </textPr>
  </connection>
  <connection id="37" name="?format=csv130" type="6" refreshedVersion="0" background="1">
    <textPr prompt="0" fileType="mac" sourceFile="http://vocabulary.odm2.org/api/v1/taxonomicclassifiertype/?format=csv">
      <textFields>
        <textField/>
      </textFields>
    </textPr>
  </connection>
  <connection id="38" name="?format=csv131" type="6" refreshedVersion="0" background="1">
    <textPr prompt="0" fileType="mac" sourceFile="http://vocabulary.odm2.org/api/v1/variablename/?format=csv">
      <textFields>
        <textField/>
      </textFields>
    </textPr>
  </connection>
  <connection id="39" name="?format=csv132" type="6" refreshedVersion="0" background="1">
    <textPr prompt="0" fileType="mac" sourceFile="http://vocabulary.odm2.org/api/v1/variabletype/?format=csv">
      <textFields>
        <textField/>
      </textFields>
    </textPr>
  </connection>
  <connection id="40" name="?format=csv133" type="6" refreshedVersion="0" background="1">
    <textPr prompt="0" fileType="mac" sourceFile="http://vocabulary.odm2.org/api/v1/unitstype/?format=csv">
      <textFields>
        <textField/>
      </textFields>
    </textPr>
  </connection>
  <connection id="41" name="?format=csv134" type="6" refreshedVersion="0" background="1">
    <textPr prompt="0" fileType="mac" sourceFile="http://vocabulary.odm2.org/api/v1/Boolean/?format=csv">
      <textFields>
        <textField/>
      </textFields>
    </textPr>
  </connection>
  <connection id="42" name="?format=csv135" type="6" refreshedVersion="0" background="1">
    <textPr prompt="0" fileType="mac" sourceFile="http://vocabulary.odm2.org/api/v1/NotApplicable/?format=csv">
      <textFields>
        <textField/>
      </textFields>
    </textPr>
  </connection>
  <connection id="43" name="?format=csv136" type="6" refreshedVersion="0" background="1">
    <textPr prompt="0" fileType="mac" sourceFile="http://vocabulary.odm2.org/api/v1/ApplicableDatasetTypes/?format=csv">
      <textFields>
        <textField/>
      </textFields>
    </textPr>
  </connection>
  <connection id="44" name="?format=csv137" type="6" refreshedVersion="0" background="1">
    <textPr prompt="0" fileType="mac" sourceFile="http://vocabulary.odm2.org/api/v1/ApplicableResultTypes/?format=csv">
      <textFields>
        <textField/>
      </textFields>
    </textPr>
  </connection>
  <connection id="45" name="?format=csv138" type="6" refreshedVersion="0" background="1">
    <textPr prompt="0" fileType="mac" sourceFile="http://vocabulary.odm2.org/api/v1/ApplicableMethodTypes/?format=csv">
      <textFields>
        <textField/>
      </textFields>
    </textPr>
  </connection>
  <connection id="46" name="?format=csv139" type="6" refreshedVersion="0" background="1">
    <textPr prompt="0" fileType="mac" sourceFile="http://vocabulary.odm2.org/api/v1/actiontype/?format=csv">
      <textFields>
        <textField/>
      </textFields>
    </textPr>
  </connection>
  <connection id="47" name="?format=csv14" type="6" refreshedVersion="0" background="1">
    <textPr prompt="0" fileType="mac" sourceFile="http://vocabulary.odm2.org/api/v1/ApplicableMethodTypes/?format=csv">
      <textFields>
        <textField/>
      </textFields>
    </textPr>
  </connection>
  <connection id="48" name="?format=csv140" type="6" refreshedVersion="0" background="1">
    <textPr prompt="0" fileType="mac" sourceFile="http://vocabulary.odm2.org/api/v1/aggregationstatistic/?format=csv">
      <textFields>
        <textField/>
      </textFields>
    </textPr>
  </connection>
  <connection id="49" name="?format=csv141" type="6" refreshedVersion="0" background="1">
    <textPr prompt="0" fileType="mac" sourceFile="http://vocabulary.odm2.org/api/v1/censorcode/?format=csv">
      <textFields>
        <textField/>
      </textFields>
    </textPr>
  </connection>
  <connection id="50" name="?format=csv142" type="6" refreshedVersion="0" background="1">
    <textPr prompt="0" fileType="mac" sourceFile="http://vocabulary.odm2.org/api/v1/dataqualitytype/?format=csv">
      <textFields>
        <textField/>
      </textFields>
    </textPr>
  </connection>
  <connection id="51" name="?format=csv143" type="6" refreshedVersion="0" background="1">
    <textPr prompt="0" fileType="mac" sourceFile="http://vocabulary.odm2.org/api/v1/datasettype/?format=csv">
      <textFields>
        <textField/>
      </textFields>
    </textPr>
  </connection>
  <connection id="52" name="?format=csv144" type="6" refreshedVersion="0" background="1">
    <textPr prompt="0" fileType="mac" sourceFile="http://vocabulary.odm2.org/api/v1/directivetype/?format=csv">
      <textFields>
        <textField/>
      </textFields>
    </textPr>
  </connection>
  <connection id="53" name="?format=csv145" type="6" refreshedVersion="0" background="1">
    <textPr prompt="0" fileType="mac" sourceFile="http://vocabulary.odm2.org/api/v1/elevationdatum/?format=csv">
      <textFields>
        <textField/>
      </textFields>
    </textPr>
  </connection>
  <connection id="54" name="?format=csv146" type="6" refreshedVersion="0" background="1">
    <textPr prompt="0" fileType="mac" sourceFile="http://vocabulary.odm2.org/api/v1/equipmenttype/?format=csv">
      <textFields>
        <textField/>
      </textFields>
    </textPr>
  </connection>
  <connection id="55" name="?format=csv147" type="6" refreshedVersion="0" background="1">
    <textPr prompt="0" fileType="mac" sourceFile="http://vocabulary.odm2.org/api/v1/methodtype/?format=csv">
      <textFields>
        <textField/>
      </textFields>
    </textPr>
  </connection>
  <connection id="56" name="?format=csv148" type="6" refreshedVersion="0" background="1">
    <textPr prompt="0" fileType="mac" sourceFile="http://vocabulary.odm2.org/api/v1/organizationtype/?format=csv">
      <textFields>
        <textField/>
      </textFields>
    </textPr>
  </connection>
  <connection id="57" name="?format=csv149" type="6" refreshedVersion="0" background="1">
    <textPr prompt="0" fileType="mac" sourceFile="http://vocabulary.odm2.org/api/v1/propertydatatype/?format=csv">
      <textFields>
        <textField/>
      </textFields>
    </textPr>
  </connection>
  <connection id="58" name="?format=csv15" type="6" refreshedVersion="0" background="1">
    <textPr prompt="0" fileType="mac" sourceFile="http://vocabulary.odm2.org/api/v1/actiontype/?format=csv">
      <textFields>
        <textField/>
      </textFields>
    </textPr>
  </connection>
  <connection id="59" name="?format=csv150" type="6" refreshedVersion="0" background="1">
    <textPr prompt="0" fileType="mac" sourceFile="http://vocabulary.odm2.org/api/v1/qualitycode/?format=csv">
      <textFields>
        <textField/>
      </textFields>
    </textPr>
  </connection>
  <connection id="60" name="?format=csv151" type="6" refreshedVersion="0" background="1">
    <textPr prompt="0" fileType="mac" sourceFile="http://vocabulary.odm2.org/api/v1/relationshiptype/?format=csv">
      <textFields>
        <textField/>
      </textFields>
    </textPr>
  </connection>
  <connection id="61" name="?format=csv152" type="6" refreshedVersion="0" background="1">
    <textPr prompt="0" fileType="mac" sourceFile="http://vocabulary.odm2.org/api/v1/resulttype/?format=csv">
      <textFields>
        <textField/>
      </textFields>
    </textPr>
  </connection>
  <connection id="62" name="?format=csv153" type="6" refreshedVersion="0" background="1">
    <textPr prompt="0" fileType="mac" sourceFile="http://vocabulary.odm2.org/api/v1/samplingfeaturegeotype/?format=csv">
      <textFields>
        <textField/>
      </textFields>
    </textPr>
  </connection>
  <connection id="63" name="?format=csv154" type="6" refreshedVersion="0" background="1">
    <textPr prompt="0" fileType="mac" sourceFile="http://vocabulary.odm2.org/api/v1/samplingfeaturetype/?format=csv">
      <textFields>
        <textField/>
      </textFields>
    </textPr>
  </connection>
  <connection id="64" name="?format=csv155" type="6" refreshedVersion="0" background="1">
    <textPr prompt="0" fileType="mac" sourceFile="http://vocabulary.odm2.org/api/v1/sitetype/?format=csv">
      <textFields>
        <textField/>
      </textFields>
    </textPr>
  </connection>
  <connection id="65" name="?format=csv156" type="6" refreshedVersion="0" background="1">
    <textPr prompt="0" fileType="mac" sourceFile="http://vocabulary.odm2.org/api/v1/spatialoffsettype/?format=csv">
      <textFields>
        <textField/>
      </textFields>
    </textPr>
  </connection>
  <connection id="66" name="?format=csv157" type="6" refreshedVersion="0" background="1">
    <textPr prompt="0" fileType="mac" sourceFile="http://vocabulary.odm2.org/api/v1/speciation/?format=csv">
      <textFields>
        <textField/>
      </textFields>
    </textPr>
  </connection>
  <connection id="67" name="?format=csv158" type="6" refreshedVersion="0" background="1">
    <textPr prompt="0" fileType="mac" sourceFile="http://vocabulary.odm2.org/api/v1/medium/?format=csv">
      <textFields>
        <textField/>
      </textFields>
    </textPr>
  </connection>
  <connection id="68" name="?format=csv159" type="6" refreshedVersion="0" background="1">
    <textPr prompt="0" fileType="mac" sourceFile="http://vocabulary.odm2.org/api/v1/specimentype/?format=csv">
      <textFields>
        <textField/>
      </textFields>
    </textPr>
  </connection>
  <connection id="69" name="?format=csv16" type="6" refreshedVersion="0" background="1">
    <textPr prompt="0" fileType="mac" sourceFile="http://vocabulary.odm2.org/api/v1/aggregationstatistic/?format=csv">
      <textFields>
        <textField/>
      </textFields>
    </textPr>
  </connection>
  <connection id="70" name="?format=csv160" type="6" refreshedVersion="0" background="1">
    <textPr prompt="0" fileType="mac" sourceFile="http://vocabulary.odm2.org/api/v1/status/?format=csv">
      <textFields>
        <textField/>
      </textFields>
    </textPr>
  </connection>
  <connection id="71" name="?format=csv161" type="6" refreshedVersion="0" background="1">
    <textPr prompt="0" fileType="mac" sourceFile="http://vocabulary.odm2.org/api/v1/taxonomicclassifiertype/?format=csv">
      <textFields>
        <textField/>
      </textFields>
    </textPr>
  </connection>
  <connection id="72" name="?format=csv162" type="6" refreshedVersion="0" background="1">
    <textPr prompt="0" fileType="mac" sourceFile="http://vocabulary.odm2.org/api/v1/variablename/?format=csv">
      <textFields>
        <textField/>
      </textFields>
    </textPr>
  </connection>
  <connection id="73" name="?format=csv163" type="6" refreshedVersion="0" background="1">
    <textPr prompt="0" fileType="mac" sourceFile="http://vocabulary.odm2.org/api/v1/variabletype/?format=csv">
      <textFields>
        <textField/>
      </textFields>
    </textPr>
  </connection>
  <connection id="74" name="?format=csv164" type="6" refreshedVersion="0" background="1">
    <textPr prompt="0" fileType="mac" sourceFile="http://vocabulary.odm2.org/api/v1/unitstype/?format=csv">
      <textFields>
        <textField/>
      </textFields>
    </textPr>
  </connection>
  <connection id="75" name="?format=csv165" type="6" refreshedVersion="0" background="1">
    <textPr prompt="0" fileType="mac" sourceFile="http://vocabulary.odm2.org/api/v1/Boolean/?format=csv">
      <textFields>
        <textField/>
      </textFields>
    </textPr>
  </connection>
  <connection id="76" name="?format=csv166" type="6" refreshedVersion="0" background="1">
    <textPr prompt="0" fileType="mac" sourceFile="http://vocabulary.odm2.org/api/v1/Boolean/?format=csv">
      <textFields>
        <textField/>
      </textFields>
    </textPr>
  </connection>
  <connection id="77" name="?format=csv167" type="6" refreshedVersion="0" background="1">
    <textPr prompt="0" fileType="mac" sourceFile="http://vocabulary.odm2.org/api/v1/Boolean/?format=csv">
      <textFields>
        <textField/>
      </textFields>
    </textPr>
  </connection>
  <connection id="78" name="?format=csv168" type="6" refreshedVersion="0" background="1">
    <textPr prompt="0" fileType="mac" sourceFile="http://vocabulary.odm2.org/api/v1/Boolean/?format=csv">
      <textFields>
        <textField/>
      </textFields>
    </textPr>
  </connection>
  <connection id="79" name="?format=csv169" type="6" refreshedVersion="0" background="1">
    <textPr prompt="0" fileType="mac" sourceFile="http://vocabulary.odm2.org/api/v1/NotApplicable/?format=csv">
      <textFields>
        <textField/>
      </textFields>
    </textPr>
  </connection>
  <connection id="80" name="?format=csv17" type="6" refreshedVersion="0" background="1">
    <textPr prompt="0" fileType="mac" sourceFile="http://vocabulary.odm2.org/api/v1/censorcode/?format=csv">
      <textFields>
        <textField/>
      </textFields>
    </textPr>
  </connection>
  <connection id="81" name="?format=csv170" type="6" refreshedVersion="0" background="1">
    <textPr prompt="0" fileType="mac" sourceFile="http://vocabulary.odm2.org/api/v1/ApplicableDatasetTypes/?format=csv">
      <textFields>
        <textField/>
      </textFields>
    </textPr>
  </connection>
  <connection id="82" name="?format=csv171" type="6" refreshedVersion="0" background="1">
    <textPr prompt="0" fileType="mac" sourceFile="http://vocabulary.odm2.org/api/v1/ApplicableResultTypes/?format=csv">
      <textFields>
        <textField/>
      </textFields>
    </textPr>
  </connection>
  <connection id="83" name="?format=csv172" type="6" refreshedVersion="0" background="1">
    <textPr prompt="0" fileType="mac" sourceFile="http://vocabulary.odm2.org/api/v1/ApplicableMethodTypes/?format=csv">
      <textFields>
        <textField/>
      </textFields>
    </textPr>
  </connection>
  <connection id="84" name="?format=csv173" type="6" refreshedVersion="0" background="1">
    <textPr prompt="0" fileType="mac" sourceFile="http://vocabulary.odm2.org/api/v1/actiontype/?format=csv">
      <textFields>
        <textField/>
      </textFields>
    </textPr>
  </connection>
  <connection id="85" name="?format=csv174" type="6" refreshedVersion="0" background="1">
    <textPr prompt="0" fileType="mac" sourceFile="http://vocabulary.odm2.org/api/v1/aggregationstatistic/?format=csv">
      <textFields>
        <textField/>
      </textFields>
    </textPr>
  </connection>
  <connection id="86" name="?format=csv175" type="6" refreshedVersion="0" background="1">
    <textPr prompt="0" fileType="mac" sourceFile="http://vocabulary.odm2.org/api/v1/censorcode/?format=csv">
      <textFields>
        <textField/>
      </textFields>
    </textPr>
  </connection>
  <connection id="87" name="?format=csv176" type="6" refreshedVersion="0" background="1">
    <textPr prompt="0" fileType="mac" sourceFile="http://vocabulary.odm2.org/api/v1/dataqualitytype/?format=csv">
      <textFields>
        <textField/>
      </textFields>
    </textPr>
  </connection>
  <connection id="88" name="?format=csv177" type="6" refreshedVersion="0" background="1">
    <textPr prompt="0" fileType="mac" sourceFile="http://vocabulary.odm2.org/api/v1/datasettype/?format=csv">
      <textFields>
        <textField/>
      </textFields>
    </textPr>
  </connection>
  <connection id="89" name="?format=csv178" type="6" refreshedVersion="0" background="1">
    <textPr prompt="0" fileType="mac" sourceFile="http://vocabulary.odm2.org/api/v1/directivetype/?format=csv">
      <textFields>
        <textField/>
      </textFields>
    </textPr>
  </connection>
  <connection id="90" name="?format=csv179" type="6" refreshedVersion="0" background="1">
    <textPr prompt="0" fileType="mac" sourceFile="http://vocabulary.odm2.org/api/v1/elevationdatum/?format=csv">
      <textFields>
        <textField/>
      </textFields>
    </textPr>
  </connection>
  <connection id="91" name="?format=csv18" type="6" refreshedVersion="0" background="1">
    <textPr prompt="0" fileType="mac" sourceFile="http://vocabulary.odm2.org/api/v1/dataqualitytype/?format=csv">
      <textFields>
        <textField/>
      </textFields>
    </textPr>
  </connection>
  <connection id="92" name="?format=csv180" type="6" refreshedVersion="0" background="1">
    <textPr prompt="0" fileType="mac" sourceFile="http://vocabulary.odm2.org/api/v1/equipmenttype/?format=csv">
      <textFields>
        <textField/>
      </textFields>
    </textPr>
  </connection>
  <connection id="93" name="?format=csv181" type="6" refreshedVersion="0" background="1">
    <textPr prompt="0" fileType="mac" sourceFile="http://vocabulary.odm2.org/api/v1/methodtype/?format=csv">
      <textFields>
        <textField/>
      </textFields>
    </textPr>
  </connection>
  <connection id="94" name="?format=csv182" type="6" refreshedVersion="0" background="1">
    <textPr prompt="0" fileType="mac" sourceFile="http://vocabulary.odm2.org/api/v1/organizationtype/?format=csv">
      <textFields>
        <textField/>
      </textFields>
    </textPr>
  </connection>
  <connection id="95" name="?format=csv183" type="6" refreshedVersion="0" background="1">
    <textPr prompt="0" fileType="mac" sourceFile="http://vocabulary.odm2.org/api/v1/propertydatatype/?format=csv">
      <textFields>
        <textField/>
      </textFields>
    </textPr>
  </connection>
  <connection id="96" name="?format=csv184" type="6" refreshedVersion="0" background="1">
    <textPr prompt="0" fileType="mac" sourceFile="http://vocabulary.odm2.org/api/v1/qualitycode/?format=csv">
      <textFields>
        <textField/>
      </textFields>
    </textPr>
  </connection>
  <connection id="97" name="?format=csv185" type="6" refreshedVersion="0" background="1">
    <textPr prompt="0" fileType="mac" sourceFile="http://vocabulary.odm2.org/api/v1/relationshiptype/?format=csv">
      <textFields>
        <textField/>
      </textFields>
    </textPr>
  </connection>
  <connection id="98" name="?format=csv186" type="6" refreshedVersion="0" background="1">
    <textPr prompt="0" fileType="mac" sourceFile="http://vocabulary.odm2.org/api/v1/resulttype/?format=csv">
      <textFields>
        <textField/>
      </textFields>
    </textPr>
  </connection>
  <connection id="99" name="?format=csv187" type="6" refreshedVersion="0" background="1">
    <textPr prompt="0" fileType="mac" sourceFile="http://vocabulary.odm2.org/api/v1/samplingfeaturegeotype/?format=csv">
      <textFields>
        <textField/>
      </textFields>
    </textPr>
  </connection>
  <connection id="100" name="?format=csv188" type="6" refreshedVersion="0" background="1">
    <textPr prompt="0" fileType="mac" sourceFile="http://vocabulary.odm2.org/api/v1/samplingfeaturetype/?format=csv">
      <textFields>
        <textField/>
      </textFields>
    </textPr>
  </connection>
  <connection id="101" name="?format=csv189" type="6" refreshedVersion="0" background="1">
    <textPr prompt="0" fileType="mac" sourceFile="http://vocabulary.odm2.org/api/v1/sitetype/?format=csv">
      <textFields>
        <textField/>
      </textFields>
    </textPr>
  </connection>
  <connection id="102" name="?format=csv19" type="6" refreshedVersion="0" background="1">
    <textPr prompt="0" fileType="mac" sourceFile="http://vocabulary.odm2.org/api/v1/datasettype/?format=csv">
      <textFields>
        <textField/>
      </textFields>
    </textPr>
  </connection>
  <connection id="103" name="?format=csv190" type="6" refreshedVersion="0" background="1">
    <textPr prompt="0" fileType="mac" sourceFile="http://vocabulary.odm2.org/api/v1/spatialoffsettype/?format=csv">
      <textFields>
        <textField/>
      </textFields>
    </textPr>
  </connection>
  <connection id="104" name="?format=csv191" type="6" refreshedVersion="0" background="1">
    <textPr prompt="0" fileType="mac" sourceFile="http://vocabulary.odm2.org/api/v1/speciation/?format=csv">
      <textFields>
        <textField/>
      </textFields>
    </textPr>
  </connection>
  <connection id="105" name="?format=csv192" type="6" refreshedVersion="0" background="1">
    <textPr prompt="0" fileType="mac" sourceFile="http://vocabulary.odm2.org/api/v1/medium/?format=csv">
      <textFields>
        <textField/>
      </textFields>
    </textPr>
  </connection>
  <connection id="106" name="?format=csv193" type="6" refreshedVersion="0" background="1">
    <textPr prompt="0" fileType="mac" sourceFile="http://vocabulary.odm2.org/api/v1/specimentype/?format=csv">
      <textFields>
        <textField/>
      </textFields>
    </textPr>
  </connection>
  <connection id="107" name="?format=csv194" type="6" refreshedVersion="0" background="1">
    <textPr prompt="0" fileType="mac" sourceFile="http://vocabulary.odm2.org/api/v1/status/?format=csv">
      <textFields>
        <textField/>
      </textFields>
    </textPr>
  </connection>
  <connection id="108" name="?format=csv195" type="6" refreshedVersion="0" background="1">
    <textPr prompt="0" fileType="mac" sourceFile="http://vocabulary.odm2.org/api/v1/taxonomicclassifiertype/?format=csv">
      <textFields>
        <textField/>
      </textFields>
    </textPr>
  </connection>
  <connection id="109" name="?format=csv196" type="6" refreshedVersion="0" background="1">
    <textPr prompt="0" fileType="mac" sourceFile="http://vocabulary.odm2.org/api/v1/variablename/?format=csv">
      <textFields>
        <textField/>
      </textFields>
    </textPr>
  </connection>
  <connection id="110" name="?format=csv197" type="6" refreshedVersion="0" background="1">
    <textPr prompt="0" fileType="mac" sourceFile="http://vocabulary.odm2.org/api/v1/variabletype/?format=csv">
      <textFields>
        <textField/>
      </textFields>
    </textPr>
  </connection>
  <connection id="111" name="?format=csv198" type="6" refreshedVersion="0" background="1">
    <textPr prompt="0" fileType="mac" sourceFile="http://vocabulary.odm2.org/api/v1/unitstype/?format=csv">
      <textFields>
        <textField/>
      </textFields>
    </textPr>
  </connection>
  <connection id="112" name="?format=csv199" type="6" refreshedVersion="0" background="1">
    <textPr prompt="0" fileType="mac" sourceFile="http://vocabulary.odm2.org/api/v1/Boolean/?format=csv">
      <textFields>
        <textField/>
      </textFields>
    </textPr>
  </connection>
  <connection id="113" name="?format=csv2" type="6" refreshedVersion="0" background="1">
    <textPr prompt="0" fileType="mac" sourceFile="http://vocabulary.odm2.org/api/v1/Boolean/?format=csv">
      <textFields>
        <textField/>
      </textFields>
    </textPr>
  </connection>
  <connection id="114" name="?format=csv20" type="6" refreshedVersion="0" background="1">
    <textPr prompt="0" fileType="mac" sourceFile="http://vocabulary.odm2.org/api/v1/directivetype/?format=csv">
      <textFields>
        <textField/>
      </textFields>
    </textPr>
  </connection>
  <connection id="115" name="?format=csv200" type="6" refreshedVersion="0" background="1">
    <textPr prompt="0" fileType="mac" sourceFile="http://vocabulary.odm2.org/api/v1/NotApplicable/?format=csv">
      <textFields>
        <textField/>
      </textFields>
    </textPr>
  </connection>
  <connection id="116" name="?format=csv201" type="6" refreshedVersion="0" background="1">
    <textPr prompt="0" fileType="mac" sourceFile="http://vocabulary.odm2.org/api/v1/ApplicableDatasetTypes/?format=csv">
      <textFields>
        <textField/>
      </textFields>
    </textPr>
  </connection>
  <connection id="117" name="?format=csv202" type="6" refreshedVersion="0" background="1">
    <textPr prompt="0" fileType="mac" sourceFile="http://vocabulary.odm2.org/api/v1/ApplicableResultTypes/?format=csv">
      <textFields>
        <textField/>
      </textFields>
    </textPr>
  </connection>
  <connection id="118" name="?format=csv203" type="6" refreshedVersion="0" background="1">
    <textPr prompt="0" fileType="mac" sourceFile="http://vocabulary.odm2.org/api/v1/ApplicableMethodTypes/?format=csv">
      <textFields>
        <textField/>
      </textFields>
    </textPr>
  </connection>
  <connection id="119" name="?format=csv204" type="6" refreshedVersion="0" background="1">
    <textPr prompt="0" fileType="mac" sourceFile="http://vocabulary.odm2.org/api/v1/actiontype/?format=csv">
      <textFields>
        <textField/>
      </textFields>
    </textPr>
  </connection>
  <connection id="120" name="?format=csv205" type="6" refreshedVersion="0" background="1">
    <textPr prompt="0" fileType="mac" sourceFile="http://vocabulary.odm2.org/api/v1/aggregationstatistic/?format=csv">
      <textFields>
        <textField/>
      </textFields>
    </textPr>
  </connection>
  <connection id="121" name="?format=csv206" type="6" refreshedVersion="0" background="1">
    <textPr prompt="0" fileType="mac" sourceFile="http://vocabulary.odm2.org/api/v1/censorcode/?format=csv">
      <textFields>
        <textField/>
      </textFields>
    </textPr>
  </connection>
  <connection id="122" name="?format=csv207" type="6" refreshedVersion="0" background="1">
    <textPr prompt="0" fileType="mac" sourceFile="http://vocabulary.odm2.org/api/v1/dataqualitytype/?format=csv">
      <textFields>
        <textField/>
      </textFields>
    </textPr>
  </connection>
  <connection id="123" name="?format=csv208" type="6" refreshedVersion="0" background="1">
    <textPr prompt="0" fileType="mac" sourceFile="http://vocabulary.odm2.org/api/v1/datasettype/?format=csv">
      <textFields>
        <textField/>
      </textFields>
    </textPr>
  </connection>
  <connection id="124" name="?format=csv209" type="6" refreshedVersion="0" background="1">
    <textPr prompt="0" fileType="mac" sourceFile="http://vocabulary.odm2.org/api/v1/directivetype/?format=csv">
      <textFields>
        <textField/>
      </textFields>
    </textPr>
  </connection>
  <connection id="125" name="?format=csv21" type="6" refreshedVersion="0" background="1">
    <textPr prompt="0" fileType="mac" sourceFile="http://vocabulary.odm2.org/api/v1/elevationdatum/?format=csv">
      <textFields>
        <textField/>
      </textFields>
    </textPr>
  </connection>
  <connection id="126" name="?format=csv210" type="6" refreshedVersion="0" background="1">
    <textPr prompt="0" fileType="mac" sourceFile="http://vocabulary.odm2.org/api/v1/elevationdatum/?format=csv">
      <textFields>
        <textField/>
      </textFields>
    </textPr>
  </connection>
  <connection id="127" name="?format=csv211" type="6" refreshedVersion="0" background="1">
    <textPr prompt="0" fileType="mac" sourceFile="http://vocabulary.odm2.org/api/v1/equipmenttype/?format=csv">
      <textFields>
        <textField/>
      </textFields>
    </textPr>
  </connection>
  <connection id="128" name="?format=csv212" type="6" refreshedVersion="0" background="1">
    <textPr prompt="0" fileType="mac" sourceFile="http://vocabulary.odm2.org/api/v1/methodtype/?format=csv">
      <textFields>
        <textField/>
      </textFields>
    </textPr>
  </connection>
  <connection id="129" name="?format=csv213" type="6" refreshedVersion="0" background="1">
    <textPr prompt="0" fileType="mac" sourceFile="http://vocabulary.odm2.org/api/v1/organizationtype/?format=csv">
      <textFields>
        <textField/>
      </textFields>
    </textPr>
  </connection>
  <connection id="130" name="?format=csv214" type="6" refreshedVersion="0" background="1">
    <textPr prompt="0" fileType="mac" sourceFile="http://vocabulary.odm2.org/api/v1/propertydatatype/?format=csv">
      <textFields>
        <textField/>
      </textFields>
    </textPr>
  </connection>
  <connection id="131" name="?format=csv215" type="6" refreshedVersion="0" background="1">
    <textPr prompt="0" fileType="mac" sourceFile="http://vocabulary.odm2.org/api/v1/qualitycode/?format=csv">
      <textFields>
        <textField/>
      </textFields>
    </textPr>
  </connection>
  <connection id="132" name="?format=csv216" type="6" refreshedVersion="0" background="1">
    <textPr prompt="0" fileType="mac" sourceFile="http://vocabulary.odm2.org/api/v1/relationshiptype/?format=csv">
      <textFields>
        <textField/>
      </textFields>
    </textPr>
  </connection>
  <connection id="133" name="?format=csv217" type="6" refreshedVersion="0" background="1">
    <textPr prompt="0" fileType="mac" sourceFile="http://vocabulary.odm2.org/api/v1/resulttype/?format=csv">
      <textFields>
        <textField/>
      </textFields>
    </textPr>
  </connection>
  <connection id="134" name="?format=csv218" type="6" refreshedVersion="0" background="1">
    <textPr prompt="0" fileType="mac" sourceFile="http://vocabulary.odm2.org/api/v1/samplingfeaturegeotype/?format=csv">
      <textFields>
        <textField/>
      </textFields>
    </textPr>
  </connection>
  <connection id="135" name="?format=csv219" type="6" refreshedVersion="0" background="1">
    <textPr prompt="0" fileType="mac" sourceFile="http://vocabulary.odm2.org/api/v1/samplingfeaturetype/?format=csv">
      <textFields>
        <textField/>
      </textFields>
    </textPr>
  </connection>
  <connection id="136" name="?format=csv22" type="6" refreshedVersion="0" background="1">
    <textPr prompt="0" fileType="mac" sourceFile="http://vocabulary.odm2.org/api/v1/equipmenttype/?format=csv">
      <textFields>
        <textField/>
      </textFields>
    </textPr>
  </connection>
  <connection id="137" name="?format=csv220" type="6" refreshedVersion="0" background="1">
    <textPr prompt="0" fileType="mac" sourceFile="http://vocabulary.odm2.org/api/v1/sitetype/?format=csv">
      <textFields>
        <textField/>
      </textFields>
    </textPr>
  </connection>
  <connection id="138" name="?format=csv221" type="6" refreshedVersion="0" background="1">
    <textPr prompt="0" fileType="mac" sourceFile="http://vocabulary.odm2.org/api/v1/spatialoffsettype/?format=csv">
      <textFields>
        <textField/>
      </textFields>
    </textPr>
  </connection>
  <connection id="139" name="?format=csv222" type="6" refreshedVersion="0" background="1">
    <textPr prompt="0" fileType="mac" sourceFile="http://vocabulary.odm2.org/api/v1/speciation/?format=csv">
      <textFields>
        <textField/>
      </textFields>
    </textPr>
  </connection>
  <connection id="140" name="?format=csv223" type="6" refreshedVersion="0" background="1">
    <textPr prompt="0" fileType="mac" sourceFile="http://vocabulary.odm2.org/api/v1/medium/?format=csv">
      <textFields>
        <textField/>
      </textFields>
    </textPr>
  </connection>
  <connection id="141" name="?format=csv224" type="6" refreshedVersion="0" background="1">
    <textPr prompt="0" fileType="mac" sourceFile="http://vocabulary.odm2.org/api/v1/specimentype/?format=csv">
      <textFields>
        <textField/>
      </textFields>
    </textPr>
  </connection>
  <connection id="142" name="?format=csv225" type="6" refreshedVersion="0" background="1">
    <textPr prompt="0" fileType="mac" sourceFile="http://vocabulary.odm2.org/api/v1/status/?format=csv">
      <textFields>
        <textField/>
      </textFields>
    </textPr>
  </connection>
  <connection id="143" name="?format=csv226" type="6" refreshedVersion="0" background="1">
    <textPr prompt="0" fileType="mac" sourceFile="http://vocabulary.odm2.org/api/v1/taxonomicclassifiertype/?format=csv">
      <textFields>
        <textField/>
      </textFields>
    </textPr>
  </connection>
  <connection id="144" name="?format=csv227" type="6" refreshedVersion="0" background="1">
    <textPr prompt="0" fileType="mac" sourceFile="http://vocabulary.odm2.org/api/v1/variablename/?format=csv">
      <textFields>
        <textField/>
      </textFields>
    </textPr>
  </connection>
  <connection id="145" name="?format=csv228" type="6" refreshedVersion="0" background="1">
    <textPr prompt="0" fileType="mac" sourceFile="http://vocabulary.odm2.org/api/v1/variabletype/?format=csv">
      <textFields>
        <textField/>
      </textFields>
    </textPr>
  </connection>
  <connection id="146" name="?format=csv229" type="6" refreshedVersion="0" background="1">
    <textPr prompt="0" fileType="mac" sourceFile="http://vocabulary.odm2.org/api/v1/unitstype/?format=csv">
      <textFields>
        <textField/>
      </textFields>
    </textPr>
  </connection>
  <connection id="147" name="?format=csv23" type="6" refreshedVersion="0" background="1">
    <textPr prompt="0" fileType="mac" sourceFile="http://vocabulary.odm2.org/api/v1/methodtype/?format=csv">
      <textFields>
        <textField/>
      </textFields>
    </textPr>
  </connection>
  <connection id="148" name="?format=csv230" type="6" refreshedVersion="0" background="1">
    <textPr prompt="0" fileType="mac" sourceFile="http://vocabulary.odm2.org/api/v1/Boolean/?format=csv">
      <textFields>
        <textField/>
      </textFields>
    </textPr>
  </connection>
  <connection id="149" name="?format=csv231" type="6" refreshedVersion="0" background="1">
    <textPr prompt="0" fileType="mac" sourceFile="http://vocabulary.odm2.org/api/v1/NotApplicable/?format=csv">
      <textFields>
        <textField/>
      </textFields>
    </textPr>
  </connection>
  <connection id="150" name="?format=csv232" type="6" refreshedVersion="0" background="1">
    <textPr prompt="0" fileType="mac" sourceFile="http://vocabulary.odm2.org/api/v1/ApplicableDatasetTypes/?format=csv">
      <textFields>
        <textField/>
      </textFields>
    </textPr>
  </connection>
  <connection id="151" name="?format=csv233" type="6" refreshedVersion="0" background="1">
    <textPr prompt="0" fileType="mac" sourceFile="http://vocabulary.odm2.org/api/v1/ApplicableResultTypes/?format=csv">
      <textFields>
        <textField/>
      </textFields>
    </textPr>
  </connection>
  <connection id="152" name="?format=csv234" type="6" refreshedVersion="0" background="1">
    <textPr prompt="0" fileType="mac" sourceFile="http://vocabulary.odm2.org/api/v1/ApplicableMethodTypes/?format=csv">
      <textFields>
        <textField/>
      </textFields>
    </textPr>
  </connection>
  <connection id="153" name="?format=csv235" type="6" refreshedVersion="0" background="1">
    <textPr prompt="0" fileType="mac" sourceFile="http://vocabulary.odm2.org/api/v1/actiontype/?format=csv">
      <textFields>
        <textField/>
      </textFields>
    </textPr>
  </connection>
  <connection id="154" name="?format=csv236" type="6" refreshedVersion="0" background="1">
    <textPr prompt="0" fileType="mac" sourceFile="http://vocabulary.odm2.org/api/v1/aggregationstatistic/?format=csv">
      <textFields>
        <textField/>
      </textFields>
    </textPr>
  </connection>
  <connection id="155" name="?format=csv237" type="6" refreshedVersion="0" background="1">
    <textPr prompt="0" fileType="mac" sourceFile="http://vocabulary.odm2.org/api/v1/censorcode/?format=csv">
      <textFields>
        <textField/>
      </textFields>
    </textPr>
  </connection>
  <connection id="156" name="?format=csv238" type="6" refreshedVersion="0" background="1">
    <textPr prompt="0" fileType="mac" sourceFile="http://vocabulary.odm2.org/api/v1/dataqualitytype/?format=csv">
      <textFields>
        <textField/>
      </textFields>
    </textPr>
  </connection>
  <connection id="157" name="?format=csv239" type="6" refreshedVersion="0" background="1">
    <textPr prompt="0" fileType="mac" sourceFile="http://vocabulary.odm2.org/api/v1/datasettype/?format=csv">
      <textFields>
        <textField/>
      </textFields>
    </textPr>
  </connection>
  <connection id="158" name="?format=csv24" type="6" refreshedVersion="0" background="1">
    <textPr prompt="0" fileType="mac" sourceFile="http://vocabulary.odm2.org/api/v1/organizationtype/?format=csv">
      <textFields>
        <textField/>
      </textFields>
    </textPr>
  </connection>
  <connection id="159" name="?format=csv240" type="6" refreshedVersion="0" background="1">
    <textPr prompt="0" fileType="mac" sourceFile="http://vocabulary.odm2.org/api/v1/directivetype/?format=csv">
      <textFields>
        <textField/>
      </textFields>
    </textPr>
  </connection>
  <connection id="160" name="?format=csv241" type="6" refreshedVersion="0" background="1">
    <textPr prompt="0" fileType="mac" sourceFile="http://vocabulary.odm2.org/api/v1/elevationdatum/?format=csv">
      <textFields>
        <textField/>
      </textFields>
    </textPr>
  </connection>
  <connection id="161" name="?format=csv242" type="6" refreshedVersion="0" background="1">
    <textPr prompt="0" fileType="mac" sourceFile="http://vocabulary.odm2.org/api/v1/equipmenttype/?format=csv">
      <textFields>
        <textField/>
      </textFields>
    </textPr>
  </connection>
  <connection id="162" name="?format=csv243" type="6" refreshedVersion="0" background="1">
    <textPr prompt="0" fileType="mac" sourceFile="http://vocabulary.odm2.org/api/v1/methodtype/?format=csv">
      <textFields>
        <textField/>
      </textFields>
    </textPr>
  </connection>
  <connection id="163" name="?format=csv244" type="6" refreshedVersion="0" background="1">
    <textPr prompt="0" fileType="mac" sourceFile="http://vocabulary.odm2.org/api/v1/organizationtype/?format=csv">
      <textFields>
        <textField/>
      </textFields>
    </textPr>
  </connection>
  <connection id="164" name="?format=csv245" type="6" refreshedVersion="0" background="1">
    <textPr prompt="0" fileType="mac" sourceFile="http://vocabulary.odm2.org/api/v1/propertydatatype/?format=csv">
      <textFields>
        <textField/>
      </textFields>
    </textPr>
  </connection>
  <connection id="165" name="?format=csv246" type="6" refreshedVersion="0" background="1">
    <textPr prompt="0" fileType="mac" sourceFile="http://vocabulary.odm2.org/api/v1/qualitycode/?format=csv">
      <textFields>
        <textField/>
      </textFields>
    </textPr>
  </connection>
  <connection id="166" name="?format=csv247" type="6" refreshedVersion="0" background="1">
    <textPr prompt="0" fileType="mac" sourceFile="http://vocabulary.odm2.org/api/v1/relationshiptype/?format=csv">
      <textFields>
        <textField/>
      </textFields>
    </textPr>
  </connection>
  <connection id="167" name="?format=csv248" type="6" refreshedVersion="0" background="1">
    <textPr prompt="0" fileType="mac" sourceFile="http://vocabulary.odm2.org/api/v1/resulttype/?format=csv">
      <textFields>
        <textField/>
      </textFields>
    </textPr>
  </connection>
  <connection id="168" name="?format=csv249" type="6" refreshedVersion="0" background="1">
    <textPr prompt="0" fileType="mac" sourceFile="http://vocabulary.odm2.org/api/v1/samplingfeaturegeotype/?format=csv">
      <textFields>
        <textField/>
      </textFields>
    </textPr>
  </connection>
  <connection id="169" name="?format=csv25" type="6" refreshedVersion="0" background="1">
    <textPr prompt="0" fileType="mac" sourceFile="http://vocabulary.odm2.org/api/v1/propertydatatype/?format=csv">
      <textFields>
        <textField/>
      </textFields>
    </textPr>
  </connection>
  <connection id="170" name="?format=csv250" type="6" refreshedVersion="0" background="1">
    <textPr prompt="0" fileType="mac" sourceFile="http://vocabulary.odm2.org/api/v1/samplingfeaturetype/?format=csv">
      <textFields>
        <textField/>
      </textFields>
    </textPr>
  </connection>
  <connection id="171" name="?format=csv251" type="6" refreshedVersion="0" background="1">
    <textPr prompt="0" fileType="mac" sourceFile="http://vocabulary.odm2.org/api/v1/sitetype/?format=csv">
      <textFields>
        <textField/>
      </textFields>
    </textPr>
  </connection>
  <connection id="172" name="?format=csv252" type="6" refreshedVersion="0" background="1">
    <textPr prompt="0" fileType="mac" sourceFile="http://vocabulary.odm2.org/api/v1/spatialoffsettype/?format=csv">
      <textFields>
        <textField/>
      </textFields>
    </textPr>
  </connection>
  <connection id="173" name="?format=csv253" type="6" refreshedVersion="0" background="1">
    <textPr prompt="0" fileType="mac" sourceFile="http://vocabulary.odm2.org/api/v1/speciation/?format=csv">
      <textFields>
        <textField/>
      </textFields>
    </textPr>
  </connection>
  <connection id="174" name="?format=csv254" type="6" refreshedVersion="0" background="1">
    <textPr prompt="0" fileType="mac" sourceFile="http://vocabulary.odm2.org/api/v1/medium/?format=csv">
      <textFields>
        <textField/>
      </textFields>
    </textPr>
  </connection>
  <connection id="175" name="?format=csv255" type="6" refreshedVersion="0" background="1">
    <textPr prompt="0" fileType="mac" sourceFile="http://vocabulary.odm2.org/api/v1/specimentype/?format=csv">
      <textFields>
        <textField/>
      </textFields>
    </textPr>
  </connection>
  <connection id="176" name="?format=csv256" type="6" refreshedVersion="0" background="1">
    <textPr prompt="0" fileType="mac" sourceFile="http://vocabulary.odm2.org/api/v1/status/?format=csv">
      <textFields>
        <textField/>
      </textFields>
    </textPr>
  </connection>
  <connection id="177" name="?format=csv257" type="6" refreshedVersion="0" background="1">
    <textPr prompt="0" fileType="mac" sourceFile="http://vocabulary.odm2.org/api/v1/taxonomicclassifiertype/?format=csv">
      <textFields>
        <textField/>
      </textFields>
    </textPr>
  </connection>
  <connection id="178" name="?format=csv258" type="6" refreshedVersion="0" background="1">
    <textPr prompt="0" fileType="mac" sourceFile="http://vocabulary.odm2.org/api/v1/variablename/?format=csv">
      <textFields>
        <textField/>
      </textFields>
    </textPr>
  </connection>
  <connection id="179" name="?format=csv259" type="6" refreshedVersion="0" background="1">
    <textPr prompt="0" fileType="mac" sourceFile="http://vocabulary.odm2.org/api/v1/variabletype/?format=csv">
      <textFields>
        <textField/>
      </textFields>
    </textPr>
  </connection>
  <connection id="180" name="?format=csv26" type="6" refreshedVersion="0" background="1">
    <textPr prompt="0" fileType="mac" sourceFile="http://vocabulary.odm2.org/api/v1/qualitycode/?format=csv">
      <textFields>
        <textField/>
      </textFields>
    </textPr>
  </connection>
  <connection id="181" name="?format=csv260" type="6" refreshedVersion="0" background="1">
    <textPr prompt="0" fileType="mac" sourceFile="http://vocabulary.odm2.org/api/v1/unitstype/?format=csv">
      <textFields>
        <textField/>
      </textFields>
    </textPr>
  </connection>
  <connection id="182" name="?format=csv261" type="6" refreshedVersion="0" background="1">
    <textPr prompt="0" fileType="mac" sourceFile="http://vocabulary.odm2.org/api/v1/Boolean/?format=csv">
      <textFields>
        <textField/>
      </textFields>
    </textPr>
  </connection>
  <connection id="183" name="?format=csv262" type="6" refreshedVersion="0" background="1">
    <textPr prompt="0" fileType="mac" sourceFile="http://vocabulary.odm2.org/api/v1/NotApplicable/?format=csv">
      <textFields>
        <textField/>
      </textFields>
    </textPr>
  </connection>
  <connection id="184" name="?format=csv263" type="6" refreshedVersion="0" background="1">
    <textPr prompt="0" fileType="mac" sourceFile="http://vocabulary.odm2.org/api/v1/ApplicableDatasetTypes/?format=csv">
      <textFields>
        <textField/>
      </textFields>
    </textPr>
  </connection>
  <connection id="185" name="?format=csv264" type="6" refreshedVersion="0" background="1">
    <textPr prompt="0" fileType="mac" sourceFile="http://vocabulary.odm2.org/api/v1/ApplicableResultTypes/?format=csv">
      <textFields>
        <textField/>
      </textFields>
    </textPr>
  </connection>
  <connection id="186" name="?format=csv265" type="6" refreshedVersion="0" background="1">
    <textPr prompt="0" fileType="mac" sourceFile="http://vocabulary.odm2.org/api/v1/ApplicableMethodTypes/?format=csv">
      <textFields>
        <textField/>
      </textFields>
    </textPr>
  </connection>
  <connection id="187" name="?format=csv266" type="6" refreshedVersion="0" background="1">
    <textPr prompt="0" fileType="mac" sourceFile="http://vocabulary.odm2.org/api/v1/actiontype/?format=csv">
      <textFields>
        <textField/>
      </textFields>
    </textPr>
  </connection>
  <connection id="188" name="?format=csv267" type="6" refreshedVersion="0" background="1">
    <textPr prompt="0" fileType="mac" sourceFile="http://vocabulary.odm2.org/api/v1/aggregationstatistic/?format=csv">
      <textFields>
        <textField/>
      </textFields>
    </textPr>
  </connection>
  <connection id="189" name="?format=csv268" type="6" refreshedVersion="0" background="1">
    <textPr prompt="0" fileType="mac" sourceFile="http://vocabulary.odm2.org/api/v1/censorcode/?format=csv">
      <textFields>
        <textField/>
      </textFields>
    </textPr>
  </connection>
  <connection id="190" name="?format=csv269" type="6" refreshedVersion="0" background="1">
    <textPr prompt="0" fileType="mac" sourceFile="http://vocabulary.odm2.org/api/v1/dataqualitytype/?format=csv">
      <textFields>
        <textField/>
      </textFields>
    </textPr>
  </connection>
  <connection id="191" name="?format=csv27" type="6" refreshedVersion="0" background="1">
    <textPr prompt="0" fileType="mac" sourceFile="http://vocabulary.odm2.org/api/v1/relationshiptype/?format=csv">
      <textFields>
        <textField/>
      </textFields>
    </textPr>
  </connection>
  <connection id="192" name="?format=csv270" type="6" refreshedVersion="0" background="1">
    <textPr prompt="0" fileType="mac" sourceFile="http://vocabulary.odm2.org/api/v1/datasettype/?format=csv">
      <textFields>
        <textField/>
      </textFields>
    </textPr>
  </connection>
  <connection id="193" name="?format=csv271" type="6" refreshedVersion="0" background="1">
    <textPr prompt="0" fileType="mac" sourceFile="http://vocabulary.odm2.org/api/v1/directivetype/?format=csv">
      <textFields>
        <textField/>
      </textFields>
    </textPr>
  </connection>
  <connection id="194" name="?format=csv272" type="6" refreshedVersion="0" background="1">
    <textPr prompt="0" fileType="mac" sourceFile="http://vocabulary.odm2.org/api/v1/elevationdatum/?format=csv">
      <textFields>
        <textField/>
      </textFields>
    </textPr>
  </connection>
  <connection id="195" name="?format=csv273" type="6" refreshedVersion="0" background="1">
    <textPr prompt="0" fileType="mac" sourceFile="http://vocabulary.odm2.org/api/v1/equipmenttype/?format=csv">
      <textFields>
        <textField/>
      </textFields>
    </textPr>
  </connection>
  <connection id="196" name="?format=csv274" type="6" refreshedVersion="0" background="1">
    <textPr prompt="0" fileType="mac" sourceFile="http://vocabulary.odm2.org/api/v1/methodtype/?format=csv">
      <textFields>
        <textField/>
      </textFields>
    </textPr>
  </connection>
  <connection id="197" name="?format=csv275" type="6" refreshedVersion="0" background="1">
    <textPr prompt="0" fileType="mac" sourceFile="http://vocabulary.odm2.org/api/v1/organizationtype/?format=csv">
      <textFields>
        <textField/>
      </textFields>
    </textPr>
  </connection>
  <connection id="198" name="?format=csv276" type="6" refreshedVersion="0" background="1">
    <textPr prompt="0" fileType="mac" sourceFile="http://vocabulary.odm2.org/api/v1/propertydatatype/?format=csv">
      <textFields>
        <textField/>
      </textFields>
    </textPr>
  </connection>
  <connection id="199" name="?format=csv277" type="6" refreshedVersion="0" background="1">
    <textPr prompt="0" fileType="mac" sourceFile="http://vocabulary.odm2.org/api/v1/qualitycode/?format=csv">
      <textFields>
        <textField/>
      </textFields>
    </textPr>
  </connection>
  <connection id="200" name="?format=csv278" type="6" refreshedVersion="0" background="1">
    <textPr prompt="0" fileType="mac" sourceFile="http://vocabulary.odm2.org/api/v1/relationshiptype/?format=csv">
      <textFields>
        <textField/>
      </textFields>
    </textPr>
  </connection>
  <connection id="201" name="?format=csv279" type="6" refreshedVersion="0" background="1">
    <textPr prompt="0" fileType="mac" sourceFile="http://vocabulary.odm2.org/api/v1/resulttype/?format=csv">
      <textFields>
        <textField/>
      </textFields>
    </textPr>
  </connection>
  <connection id="202" name="?format=csv28" type="6" refreshedVersion="0" background="1">
    <textPr prompt="0" fileType="mac" sourceFile="http://vocabulary.odm2.org/api/v1/resulttype/?format=csv">
      <textFields>
        <textField/>
      </textFields>
    </textPr>
  </connection>
  <connection id="203" name="?format=csv280" type="6" refreshedVersion="0" background="1">
    <textPr prompt="0" fileType="mac" sourceFile="http://vocabulary.odm2.org/api/v1/samplingfeaturegeotype/?format=csv">
      <textFields>
        <textField/>
      </textFields>
    </textPr>
  </connection>
  <connection id="204" name="?format=csv281" type="6" refreshedVersion="0" background="1">
    <textPr prompt="0" fileType="mac" sourceFile="http://vocabulary.odm2.org/api/v1/samplingfeaturetype/?format=csv">
      <textFields>
        <textField/>
      </textFields>
    </textPr>
  </connection>
  <connection id="205" name="?format=csv282" type="6" refreshedVersion="0" background="1">
    <textPr prompt="0" fileType="mac" sourceFile="http://vocabulary.odm2.org/api/v1/sitetype/?format=csv">
      <textFields>
        <textField/>
      </textFields>
    </textPr>
  </connection>
  <connection id="206" name="?format=csv283" type="6" refreshedVersion="0" background="1">
    <textPr prompt="0" fileType="mac" sourceFile="http://vocabulary.odm2.org/api/v1/spatialoffsettype/?format=csv">
      <textFields>
        <textField/>
      </textFields>
    </textPr>
  </connection>
  <connection id="207" name="?format=csv284" type="6" refreshedVersion="0" background="1">
    <textPr prompt="0" fileType="mac" sourceFile="http://vocabulary.odm2.org/api/v1/speciation/?format=csv">
      <textFields>
        <textField/>
      </textFields>
    </textPr>
  </connection>
  <connection id="208" name="?format=csv285" type="6" refreshedVersion="0" background="1">
    <textPr prompt="0" fileType="mac" sourceFile="http://vocabulary.odm2.org/api/v1/medium/?format=csv">
      <textFields>
        <textField/>
      </textFields>
    </textPr>
  </connection>
  <connection id="209" name="?format=csv286" type="6" refreshedVersion="0" background="1">
    <textPr prompt="0" fileType="mac" sourceFile="http://vocabulary.odm2.org/api/v1/specimentype/?format=csv">
      <textFields>
        <textField/>
      </textFields>
    </textPr>
  </connection>
  <connection id="210" name="?format=csv287" type="6" refreshedVersion="0" background="1">
    <textPr prompt="0" fileType="mac" sourceFile="http://vocabulary.odm2.org/api/v1/status/?format=csv">
      <textFields>
        <textField/>
      </textFields>
    </textPr>
  </connection>
  <connection id="211" name="?format=csv288" type="6" refreshedVersion="0" background="1">
    <textPr prompt="0" fileType="mac" sourceFile="http://vocabulary.odm2.org/api/v1/taxonomicclassifiertype/?format=csv">
      <textFields>
        <textField/>
      </textFields>
    </textPr>
  </connection>
  <connection id="212" name="?format=csv289" type="6" refreshedVersion="0" background="1">
    <textPr prompt="0" fileType="mac" sourceFile="http://vocabulary.odm2.org/api/v1/variablename/?format=csv">
      <textFields>
        <textField/>
      </textFields>
    </textPr>
  </connection>
  <connection id="213" name="?format=csv29" type="6" refreshedVersion="0" background="1">
    <textPr prompt="0" fileType="mac" sourceFile="http://vocabulary.odm2.org/api/v1/samplingfeaturegeotype/?format=csv">
      <textFields>
        <textField/>
      </textFields>
    </textPr>
  </connection>
  <connection id="214" name="?format=csv290" type="6" refreshedVersion="0" background="1">
    <textPr prompt="0" fileType="mac" sourceFile="http://vocabulary.odm2.org/api/v1/variabletype/?format=csv">
      <textFields>
        <textField/>
      </textFields>
    </textPr>
  </connection>
  <connection id="215" name="?format=csv291" type="6" refreshedVersion="0" background="1">
    <textPr prompt="0" fileType="mac" sourceFile="http://vocabulary.odm2.org/api/v1/unitstype/?format=csv">
      <textFields>
        <textField/>
      </textFields>
    </textPr>
  </connection>
  <connection id="216" name="?format=csv292" type="6" refreshedVersion="0" background="1">
    <textPr prompt="0" fileType="mac" sourceFile="http://vocabulary.odm2.org/api/v1/Boolean/?format=csv">
      <textFields>
        <textField/>
      </textFields>
    </textPr>
  </connection>
  <connection id="217" name="?format=csv293" type="6" refreshedVersion="0" background="1">
    <textPr prompt="0" fileType="mac" sourceFile="http://vocabulary.odm2.org/api/v1/NotApplicable/?format=csv">
      <textFields>
        <textField/>
      </textFields>
    </textPr>
  </connection>
  <connection id="218" name="?format=csv294" type="6" refreshedVersion="0" background="1">
    <textPr prompt="0" fileType="mac" sourceFile="http://vocabulary.odm2.org/api/v1/ApplicableDatasetTypes/?format=csv">
      <textFields>
        <textField/>
      </textFields>
    </textPr>
  </connection>
  <connection id="219" name="?format=csv295" type="6" refreshedVersion="0" background="1">
    <textPr prompt="0" fileType="mac" sourceFile="http://vocabulary.odm2.org/api/v1/ApplicableResultTypes/?format=csv">
      <textFields>
        <textField/>
      </textFields>
    </textPr>
  </connection>
  <connection id="220" name="?format=csv296" type="6" refreshedVersion="0" background="1">
    <textPr prompt="0" fileType="mac" sourceFile="http://vocabulary.odm2.org/api/v1/ApplicableMethodTypes/?format=csv">
      <textFields>
        <textField/>
      </textFields>
    </textPr>
  </connection>
  <connection id="221" name="?format=csv297" type="6" refreshedVersion="0" background="1">
    <textPr prompt="0" fileType="mac" sourceFile="http://vocabulary.odm2.org/api/v1/actiontype/?format=csv">
      <textFields>
        <textField/>
      </textFields>
    </textPr>
  </connection>
  <connection id="222" name="?format=csv298" type="6" refreshedVersion="0" background="1">
    <textPr prompt="0" fileType="mac" sourceFile="http://vocabulary.odm2.org/api/v1/aggregationstatistic/?format=csv">
      <textFields>
        <textField/>
      </textFields>
    </textPr>
  </connection>
  <connection id="223" name="?format=csv299" type="6" refreshedVersion="0" background="1">
    <textPr prompt="0" fileType="mac" sourceFile="http://vocabulary.odm2.org/api/v1/censorcode/?format=csv">
      <textFields>
        <textField/>
      </textFields>
    </textPr>
  </connection>
  <connection id="224" name="?format=csv3" type="6" refreshedVersion="0" background="1">
    <textPr prompt="0" fileType="mac" sourceFile="http://vocabulary.odm2.org/api/v1/Boolean/?format=csv">
      <textFields>
        <textField/>
      </textFields>
    </textPr>
  </connection>
  <connection id="225" name="?format=csv30" type="6" refreshedVersion="0" background="1">
    <textPr prompt="0" fileType="mac" sourceFile="http://vocabulary.odm2.org/api/v1/samplingfeaturetype/?format=csv">
      <textFields>
        <textField/>
      </textFields>
    </textPr>
  </connection>
  <connection id="226" name="?format=csv300" type="6" refreshedVersion="0" background="1">
    <textPr prompt="0" fileType="mac" sourceFile="http://vocabulary.odm2.org/api/v1/dataqualitytype/?format=csv">
      <textFields>
        <textField/>
      </textFields>
    </textPr>
  </connection>
  <connection id="227" name="?format=csv301" type="6" refreshedVersion="0" background="1">
    <textPr prompt="0" fileType="mac" sourceFile="http://vocabulary.odm2.org/api/v1/datasettype/?format=csv">
      <textFields>
        <textField/>
      </textFields>
    </textPr>
  </connection>
  <connection id="228" name="?format=csv302" type="6" refreshedVersion="0" background="1">
    <textPr prompt="0" fileType="mac" sourceFile="http://vocabulary.odm2.org/api/v1/directivetype/?format=csv">
      <textFields>
        <textField/>
      </textFields>
    </textPr>
  </connection>
  <connection id="229" name="?format=csv303" type="6" refreshedVersion="0" background="1">
    <textPr prompt="0" fileType="mac" sourceFile="http://vocabulary.odm2.org/api/v1/elevationdatum/?format=csv">
      <textFields>
        <textField/>
      </textFields>
    </textPr>
  </connection>
  <connection id="230" name="?format=csv304" type="6" refreshedVersion="0" background="1">
    <textPr prompt="0" fileType="mac" sourceFile="http://vocabulary.odm2.org/api/v1/equipmenttype/?format=csv">
      <textFields>
        <textField/>
      </textFields>
    </textPr>
  </connection>
  <connection id="231" name="?format=csv305" type="6" refreshedVersion="0" background="1">
    <textPr prompt="0" fileType="mac" sourceFile="http://vocabulary.odm2.org/api/v1/methodtype/?format=csv">
      <textFields>
        <textField/>
      </textFields>
    </textPr>
  </connection>
  <connection id="232" name="?format=csv306" type="6" refreshedVersion="0" background="1">
    <textPr prompt="0" fileType="mac" sourceFile="http://vocabulary.odm2.org/api/v1/organizationtype/?format=csv">
      <textFields>
        <textField/>
      </textFields>
    </textPr>
  </connection>
  <connection id="233" name="?format=csv307" type="6" refreshedVersion="0" background="1">
    <textPr prompt="0" fileType="mac" sourceFile="http://vocabulary.odm2.org/api/v1/propertydatatype/?format=csv">
      <textFields>
        <textField/>
      </textFields>
    </textPr>
  </connection>
  <connection id="234" name="?format=csv308" type="6" refreshedVersion="0" background="1">
    <textPr prompt="0" fileType="mac" sourceFile="http://vocabulary.odm2.org/api/v1/qualitycode/?format=csv">
      <textFields>
        <textField/>
      </textFields>
    </textPr>
  </connection>
  <connection id="235" name="?format=csv309" type="6" refreshedVersion="0" background="1">
    <textPr prompt="0" fileType="mac" sourceFile="http://vocabulary.odm2.org/api/v1/relationshiptype/?format=csv">
      <textFields>
        <textField/>
      </textFields>
    </textPr>
  </connection>
  <connection id="236" name="?format=csv31" type="6" refreshedVersion="0" background="1">
    <textPr prompt="0" fileType="mac" sourceFile="http://vocabulary.odm2.org/api/v1/sitetype/?format=csv">
      <textFields>
        <textField/>
      </textFields>
    </textPr>
  </connection>
  <connection id="237" name="?format=csv310" type="6" refreshedVersion="0" background="1">
    <textPr prompt="0" fileType="mac" sourceFile="http://vocabulary.odm2.org/api/v1/resulttype/?format=csv">
      <textFields>
        <textField/>
      </textFields>
    </textPr>
  </connection>
  <connection id="238" name="?format=csv311" type="6" refreshedVersion="0" background="1">
    <textPr prompt="0" fileType="mac" sourceFile="http://vocabulary.odm2.org/api/v1/samplingfeaturegeotype/?format=csv">
      <textFields>
        <textField/>
      </textFields>
    </textPr>
  </connection>
  <connection id="239" name="?format=csv312" type="6" refreshedVersion="0" background="1">
    <textPr prompt="0" fileType="mac" sourceFile="http://vocabulary.odm2.org/api/v1/samplingfeaturetype/?format=csv">
      <textFields>
        <textField/>
      </textFields>
    </textPr>
  </connection>
  <connection id="240" name="?format=csv313" type="6" refreshedVersion="0" background="1">
    <textPr prompt="0" fileType="mac" sourceFile="http://vocabulary.odm2.org/api/v1/sitetype/?format=csv">
      <textFields>
        <textField/>
      </textFields>
    </textPr>
  </connection>
  <connection id="241" name="?format=csv314" type="6" refreshedVersion="0" background="1">
    <textPr prompt="0" fileType="mac" sourceFile="http://vocabulary.odm2.org/api/v1/spatialoffsettype/?format=csv">
      <textFields>
        <textField/>
      </textFields>
    </textPr>
  </connection>
  <connection id="242" name="?format=csv315" type="6" refreshedVersion="0" background="1">
    <textPr prompt="0" fileType="mac" sourceFile="http://vocabulary.odm2.org/api/v1/speciation/?format=csv">
      <textFields>
        <textField/>
      </textFields>
    </textPr>
  </connection>
  <connection id="243" name="?format=csv316" type="6" refreshedVersion="0" background="1">
    <textPr prompt="0" fileType="mac" sourceFile="http://vocabulary.odm2.org/api/v1/medium/?format=csv">
      <textFields>
        <textField/>
      </textFields>
    </textPr>
  </connection>
  <connection id="244" name="?format=csv317" type="6" refreshedVersion="0" background="1">
    <textPr prompt="0" fileType="mac" sourceFile="http://vocabulary.odm2.org/api/v1/specimentype/?format=csv">
      <textFields>
        <textField/>
      </textFields>
    </textPr>
  </connection>
  <connection id="245" name="?format=csv318" type="6" refreshedVersion="0" background="1">
    <textPr prompt="0" fileType="mac" sourceFile="http://vocabulary.odm2.org/api/v1/status/?format=csv">
      <textFields>
        <textField/>
      </textFields>
    </textPr>
  </connection>
  <connection id="246" name="?format=csv319" type="6" refreshedVersion="0" background="1">
    <textPr prompt="0" fileType="mac" sourceFile="http://vocabulary.odm2.org/api/v1/taxonomicclassifiertype/?format=csv">
      <textFields>
        <textField/>
      </textFields>
    </textPr>
  </connection>
  <connection id="247" name="?format=csv32" type="6" refreshedVersion="0" background="1">
    <textPr prompt="0" fileType="mac" sourceFile="http://vocabulary.odm2.org/api/v1/spatialoffsettype/?format=csv">
      <textFields>
        <textField/>
      </textFields>
    </textPr>
  </connection>
  <connection id="248" name="?format=csv320" type="6" refreshedVersion="0" background="1">
    <textPr prompt="0" fileType="mac" sourceFile="http://vocabulary.odm2.org/api/v1/variablename/?format=csv">
      <textFields>
        <textField/>
      </textFields>
    </textPr>
  </connection>
  <connection id="249" name="?format=csv321" type="6" refreshedVersion="0" background="1">
    <textPr prompt="0" fileType="mac" sourceFile="http://vocabulary.odm2.org/api/v1/variabletype/?format=csv">
      <textFields>
        <textField/>
      </textFields>
    </textPr>
  </connection>
  <connection id="250" name="?format=csv322" type="6" refreshedVersion="0" background="1">
    <textPr prompt="0" fileType="mac" sourceFile="http://vocabulary.odm2.org/api/v1/unitstype/?format=csv">
      <textFields>
        <textField/>
      </textFields>
    </textPr>
  </connection>
  <connection id="251" name="?format=csv323" type="6" refreshedVersion="0" background="1">
    <textPr prompt="0" fileType="mac" sourceFile="http://vocabulary.odm2.org/api/v1/Boolean/?format=csv">
      <textFields>
        <textField/>
      </textFields>
    </textPr>
  </connection>
  <connection id="252" name="?format=csv324" type="6" refreshedVersion="0" background="1">
    <textPr prompt="0" fileType="mac" sourceFile="http://vocabulary.odm2.org/api/v1/NotApplicable/?format=csv">
      <textFields>
        <textField/>
      </textFields>
    </textPr>
  </connection>
  <connection id="253" name="?format=csv325" type="6" refreshedVersion="0" background="1">
    <textPr prompt="0" fileType="mac" sourceFile="http://vocabulary.odm2.org/api/v1/ApplicableDatasetTypes/?format=csv">
      <textFields>
        <textField/>
      </textFields>
    </textPr>
  </connection>
  <connection id="254" name="?format=csv326" type="6" refreshedVersion="0" background="1">
    <textPr prompt="0" fileType="mac" sourceFile="http://vocabulary.odm2.org/api/v1/ApplicableResultTypes/?format=csv">
      <textFields>
        <textField/>
      </textFields>
    </textPr>
  </connection>
  <connection id="255" name="?format=csv327" type="6" refreshedVersion="0" background="1">
    <textPr prompt="0" fileType="mac" sourceFile="http://vocabulary.odm2.org/api/v1/ApplicableMethodTypes/?format=csv">
      <textFields>
        <textField/>
      </textFields>
    </textPr>
  </connection>
  <connection id="256" name="?format=csv328" type="6" refreshedVersion="0" background="1">
    <textPr prompt="0" fileType="mac" sourceFile="http://vocabulary.odm2.org/api/v1/actiontype/?format=csv">
      <textFields>
        <textField/>
      </textFields>
    </textPr>
  </connection>
  <connection id="257" name="?format=csv329" type="6" refreshedVersion="0" background="1">
    <textPr prompt="0" fileType="mac" sourceFile="http://vocabulary.odm2.org/api/v1/aggregationstatistic/?format=csv">
      <textFields>
        <textField/>
      </textFields>
    </textPr>
  </connection>
  <connection id="258" name="?format=csv33" type="6" refreshedVersion="0" background="1">
    <textPr prompt="0" fileType="mac" sourceFile="http://vocabulary.odm2.org/api/v1/speciation/?format=csv">
      <textFields>
        <textField/>
      </textFields>
    </textPr>
  </connection>
  <connection id="259" name="?format=csv330" type="6" refreshedVersion="0" background="1">
    <textPr prompt="0" fileType="mac" sourceFile="http://vocabulary.odm2.org/api/v1/censorcode/?format=csv">
      <textFields>
        <textField/>
      </textFields>
    </textPr>
  </connection>
  <connection id="260" name="?format=csv331" type="6" refreshedVersion="0" background="1">
    <textPr prompt="0" fileType="mac" sourceFile="http://vocabulary.odm2.org/api/v1/dataqualitytype/?format=csv">
      <textFields>
        <textField/>
      </textFields>
    </textPr>
  </connection>
  <connection id="261" name="?format=csv332" type="6" refreshedVersion="0" background="1">
    <textPr prompt="0" fileType="mac" sourceFile="http://vocabulary.odm2.org/api/v1/datasettype/?format=csv">
      <textFields>
        <textField/>
      </textFields>
    </textPr>
  </connection>
  <connection id="262" name="?format=csv333" type="6" refreshedVersion="0" background="1">
    <textPr prompt="0" fileType="mac" sourceFile="http://vocabulary.odm2.org/api/v1/directivetype/?format=csv">
      <textFields>
        <textField/>
      </textFields>
    </textPr>
  </connection>
  <connection id="263" name="?format=csv334" type="6" refreshedVersion="0" background="1">
    <textPr prompt="0" fileType="mac" sourceFile="http://vocabulary.odm2.org/api/v1/elevationdatum/?format=csv">
      <textFields>
        <textField/>
      </textFields>
    </textPr>
  </connection>
  <connection id="264" name="?format=csv335" type="6" refreshedVersion="0" background="1">
    <textPr prompt="0" fileType="mac" sourceFile="http://vocabulary.odm2.org/api/v1/equipmenttype/?format=csv">
      <textFields>
        <textField/>
      </textFields>
    </textPr>
  </connection>
  <connection id="265" name="?format=csv336" type="6" refreshedVersion="0" background="1">
    <textPr prompt="0" fileType="mac" sourceFile="http://vocabulary.odm2.org/api/v1/methodtype/?format=csv">
      <textFields>
        <textField/>
      </textFields>
    </textPr>
  </connection>
  <connection id="266" name="?format=csv337" type="6" refreshedVersion="0" background="1">
    <textPr prompt="0" fileType="mac" sourceFile="http://vocabulary.odm2.org/api/v1/organizationtype/?format=csv">
      <textFields>
        <textField/>
      </textFields>
    </textPr>
  </connection>
  <connection id="267" name="?format=csv338" type="6" refreshedVersion="0" background="1">
    <textPr prompt="0" fileType="mac" sourceFile="http://vocabulary.odm2.org/api/v1/propertydatatype/?format=csv">
      <textFields>
        <textField/>
      </textFields>
    </textPr>
  </connection>
  <connection id="268" name="?format=csv339" type="6" refreshedVersion="0" background="1">
    <textPr prompt="0" fileType="mac" sourceFile="http://vocabulary.odm2.org/api/v1/qualitycode/?format=csv">
      <textFields>
        <textField/>
      </textFields>
    </textPr>
  </connection>
  <connection id="269" name="?format=csv34" type="6" refreshedVersion="0" background="1">
    <textPr prompt="0" fileType="mac" sourceFile="http://vocabulary.odm2.org/api/v1/medium/?format=csv">
      <textFields>
        <textField/>
      </textFields>
    </textPr>
  </connection>
  <connection id="270" name="?format=csv340" type="6" refreshedVersion="0" background="1">
    <textPr prompt="0" fileType="mac" sourceFile="http://vocabulary.odm2.org/api/v1/relationshiptype/?format=csv">
      <textFields>
        <textField/>
      </textFields>
    </textPr>
  </connection>
  <connection id="271" name="?format=csv341" type="6" refreshedVersion="0" background="1">
    <textPr prompt="0" fileType="mac" sourceFile="http://vocabulary.odm2.org/api/v1/resulttype/?format=csv">
      <textFields>
        <textField/>
      </textFields>
    </textPr>
  </connection>
  <connection id="272" name="?format=csv342" type="6" refreshedVersion="0" background="1">
    <textPr prompt="0" fileType="mac" sourceFile="http://vocabulary.odm2.org/api/v1/samplingfeaturegeotype/?format=csv">
      <textFields>
        <textField/>
      </textFields>
    </textPr>
  </connection>
  <connection id="273" name="?format=csv343" type="6" refreshedVersion="0" background="1">
    <textPr prompt="0" fileType="mac" sourceFile="http://vocabulary.odm2.org/api/v1/samplingfeaturetype/?format=csv">
      <textFields>
        <textField/>
      </textFields>
    </textPr>
  </connection>
  <connection id="274" name="?format=csv344" type="6" refreshedVersion="0" background="1">
    <textPr prompt="0" fileType="mac" sourceFile="http://vocabulary.odm2.org/api/v1/sitetype/?format=csv">
      <textFields>
        <textField/>
      </textFields>
    </textPr>
  </connection>
  <connection id="275" name="?format=csv345" type="6" refreshedVersion="0" background="1">
    <textPr prompt="0" fileType="mac" sourceFile="http://vocabulary.odm2.org/api/v1/spatialoffsettype/?format=csv">
      <textFields>
        <textField/>
      </textFields>
    </textPr>
  </connection>
  <connection id="276" name="?format=csv346" type="6" refreshedVersion="0" background="1">
    <textPr prompt="0" fileType="mac" sourceFile="http://vocabulary.odm2.org/api/v1/speciation/?format=csv">
      <textFields>
        <textField/>
      </textFields>
    </textPr>
  </connection>
  <connection id="277" name="?format=csv347" type="6" refreshedVersion="0" background="1">
    <textPr prompt="0" fileType="mac" sourceFile="http://vocabulary.odm2.org/api/v1/medium/?format=csv">
      <textFields>
        <textField/>
      </textFields>
    </textPr>
  </connection>
  <connection id="278" name="?format=csv348" type="6" refreshedVersion="0" background="1">
    <textPr prompt="0" fileType="mac" sourceFile="http://vocabulary.odm2.org/api/v1/specimentype/?format=csv">
      <textFields>
        <textField/>
      </textFields>
    </textPr>
  </connection>
  <connection id="279" name="?format=csv349" type="6" refreshedVersion="0" background="1">
    <textPr prompt="0" fileType="mac" sourceFile="http://vocabulary.odm2.org/api/v1/status/?format=csv">
      <textFields>
        <textField/>
      </textFields>
    </textPr>
  </connection>
  <connection id="280" name="?format=csv35" type="6" refreshedVersion="0" background="1">
    <textPr prompt="0" fileType="mac" sourceFile="http://vocabulary.odm2.org/api/v1/specimentype/?format=csv">
      <textFields>
        <textField/>
      </textFields>
    </textPr>
  </connection>
  <connection id="281" name="?format=csv350" type="6" refreshedVersion="0" background="1">
    <textPr prompt="0" fileType="mac" sourceFile="http://vocabulary.odm2.org/api/v1/taxonomicclassifiertype/?format=csv">
      <textFields>
        <textField/>
      </textFields>
    </textPr>
  </connection>
  <connection id="282" name="?format=csv351" type="6" refreshedVersion="0" background="1">
    <textPr prompt="0" fileType="mac" sourceFile="http://vocabulary.odm2.org/api/v1/variablename/?format=csv">
      <textFields>
        <textField/>
      </textFields>
    </textPr>
  </connection>
  <connection id="283" name="?format=csv352" type="6" refreshedVersion="0" background="1">
    <textPr prompt="0" fileType="mac" sourceFile="http://vocabulary.odm2.org/api/v1/variabletype/?format=csv">
      <textFields>
        <textField/>
      </textFields>
    </textPr>
  </connection>
  <connection id="284" name="?format=csv353" type="6" refreshedVersion="0" background="1">
    <textPr prompt="0" fileType="mac" sourceFile="http://vocabulary.odm2.org/api/v1/unitstype/?format=csv">
      <textFields>
        <textField/>
      </textFields>
    </textPr>
  </connection>
  <connection id="285" name="?format=csv354" type="6" refreshedVersion="0" background="1">
    <textPr prompt="0" fileType="mac" sourceFile="http://vocabulary.odm2.org/api/v1/unitstype/?format=csv">
      <textFields>
        <textField/>
      </textFields>
    </textPr>
  </connection>
  <connection id="286" name="?format=csv355" type="6" refreshedVersion="0" background="1">
    <textPr prompt="0" fileType="mac" sourceFile="http://vocabulary.odm2.org/api/v1/unitstype/?format=csv">
      <textFields>
        <textField/>
      </textFields>
    </textPr>
  </connection>
  <connection id="287" name="?format=csv356" type="6" refreshedVersion="0" background="1">
    <textPr prompt="0" fileType="mac" sourceFile="http://vocabulary.odm2.org/api/v1/unitstype/?format=csv">
      <textFields>
        <textField/>
      </textFields>
    </textPr>
  </connection>
  <connection id="288" name="?format=csv357" type="6" refreshedVersion="0" background="1">
    <textPr prompt="0" fileType="mac" sourceFile="http://vocabulary.odm2.org/api/v1/unitstype/?format=csv">
      <textFields>
        <textField/>
      </textFields>
    </textPr>
  </connection>
  <connection id="289" name="?format=csv358" type="6" refreshedVersion="0" background="1">
    <textPr prompt="0" fileType="mac" sourceFile="http://vocabulary.odm2.org/api/v1/unitstype/?format=csv">
      <textFields>
        <textField/>
      </textFields>
    </textPr>
  </connection>
  <connection id="290" name="?format=csv359" type="6" refreshedVersion="0" background="1">
    <textPr prompt="0" fileType="mac" sourceFile="http://vocabulary.odm2.org/api/v1/unitstype/?format=csv">
      <textFields>
        <textField/>
      </textFields>
    </textPr>
  </connection>
  <connection id="291" name="?format=csv36" type="6" refreshedVersion="0" background="1">
    <textPr prompt="0" fileType="mac" sourceFile="http://vocabulary.odm2.org/api/v1/status/?format=csv">
      <textFields>
        <textField/>
      </textFields>
    </textPr>
  </connection>
  <connection id="292" name="?format=csv360" type="6" refreshedVersion="0" background="1">
    <textPr prompt="0" fileType="mac" sourceFile="http://vocabulary.odm2.org/api/v1/unitstype/?format=csv">
      <textFields>
        <textField/>
      </textFields>
    </textPr>
  </connection>
  <connection id="293" name="?format=csv361" type="6" refreshedVersion="0" background="1">
    <textPr prompt="0" fileType="mac" sourceFile="http://vocabulary.odm2.org/api/v1/unitstype/?format=csv">
      <textFields>
        <textField/>
      </textFields>
    </textPr>
  </connection>
  <connection id="294" name="?format=csv362" type="6" refreshedVersion="0" background="1">
    <textPr prompt="0" fileType="mac" sourceFile="http://vocabulary.odm2.org/api/v1/unitstype/?format=csv">
      <textFields>
        <textField/>
      </textFields>
    </textPr>
  </connection>
  <connection id="295" name="?format=csv363" type="6" refreshedVersion="0" background="1">
    <textPr prompt="0" fileType="mac" sourceFile="http://vocabulary.odm2.org/api/v1/unitstype/?format=csv">
      <textFields>
        <textField/>
      </textFields>
    </textPr>
  </connection>
  <connection id="296" name="?format=csv364" type="6" refreshedVersion="0" background="1">
    <textPr prompt="0" fileType="mac" sourceFile="http://vocabulary.odm2.org/api/v1/unitstype/?format=csv">
      <textFields>
        <textField/>
      </textFields>
    </textPr>
  </connection>
  <connection id="297" name="?format=csv365" type="6" refreshedVersion="0" background="1">
    <textPr prompt="0" fileType="mac" sourceFile="http://vocabulary.odm2.org/api/v1/unitstype/?format=csv">
      <textFields>
        <textField/>
      </textFields>
    </textPr>
  </connection>
  <connection id="298" name="?format=csv366" type="6" refreshedVersion="0" background="1">
    <textPr prompt="0" fileType="mac" sourceFile="http://vocabulary.odm2.org/api/v1/unitstype/?format=csv">
      <textFields>
        <textField/>
      </textFields>
    </textPr>
  </connection>
  <connection id="299" name="?format=csv367" type="6" refreshedVersion="0" background="1">
    <textPr prompt="0" fileType="mac" sourceFile="http://vocabulary.odm2.org/api/v1/unitstype/?format=csv">
      <textFields>
        <textField/>
      </textFields>
    </textPr>
  </connection>
  <connection id="300" name="?format=csv368" type="6" refreshedVersion="0" background="1">
    <textPr prompt="0" fileType="mac" sourceFile="http://vocabulary.odm2.org/api/v1/unitstype/?format=csv">
      <textFields>
        <textField/>
      </textFields>
    </textPr>
  </connection>
  <connection id="301" name="?format=csv369" type="6" refreshedVersion="0" background="1">
    <textPr prompt="0" fileType="mac" sourceFile="http://vocabulary.odm2.org/api/v1/unitstype/?format=csv">
      <textFields>
        <textField/>
      </textFields>
    </textPr>
  </connection>
  <connection id="302" name="?format=csv37" type="6" refreshedVersion="0" background="1">
    <textPr prompt="0" fileType="mac" sourceFile="http://vocabulary.odm2.org/api/v1/taxonomicclassifiertype/?format=csv">
      <textFields>
        <textField/>
      </textFields>
    </textPr>
  </connection>
  <connection id="303" name="?format=csv370" type="6" refreshedVersion="0" background="1">
    <textPr prompt="0" fileType="mac" sourceFile="http://vocabulary.odm2.org/api/v1/unitstype/?format=csv">
      <textFields>
        <textField/>
      </textFields>
    </textPr>
  </connection>
  <connection id="304" name="?format=csv371" type="6" refreshedVersion="0" background="1">
    <textPr prompt="0" fileType="mac" sourceFile="http://vocabulary.odm2.org/api/v1/unitstype/?format=csv">
      <textFields>
        <textField/>
      </textFields>
    </textPr>
  </connection>
  <connection id="305" name="?format=csv372" type="6" refreshedVersion="0" background="1">
    <textPr prompt="0" fileType="mac" sourceFile="http://vocabulary.odm2.org/api/v1/unitstype/?format=csv">
      <textFields>
        <textField/>
      </textFields>
    </textPr>
  </connection>
  <connection id="306" name="?format=csv373" type="6" refreshedVersion="0" background="1">
    <textPr prompt="0" fileType="mac" sourceFile="http://vocabulary.odm2.org/api/v1/unitstype/?format=csv">
      <textFields>
        <textField/>
      </textFields>
    </textPr>
  </connection>
  <connection id="307" name="?format=csv374" type="6" refreshedVersion="0" background="1">
    <textPr prompt="0" fileType="mac" sourceFile="http://vocabulary.odm2.org/api/v1/unitstype/?format=csv">
      <textFields>
        <textField/>
      </textFields>
    </textPr>
  </connection>
  <connection id="308" name="?format=csv375" type="6" refreshedVersion="0" background="1">
    <textPr prompt="0" fileType="mac" sourceFile="http://vocabulary.odm2.org/api/v1/unitstype/?format=csv">
      <textFields>
        <textField/>
      </textFields>
    </textPr>
  </connection>
  <connection id="309" name="?format=csv376" type="6" refreshedVersion="0" background="1">
    <textPr prompt="0" fileType="mac" sourceFile="http://vocabulary.odm2.org/api/v1/unitstype/?format=csv">
      <textFields>
        <textField/>
      </textFields>
    </textPr>
  </connection>
  <connection id="310" name="?format=csv377" type="6" refreshedVersion="0" background="1">
    <textPr prompt="0" fileType="mac" sourceFile="http://vocabulary.odm2.org/api/v1/unitstype/?format=csv">
      <textFields>
        <textField/>
      </textFields>
    </textPr>
  </connection>
  <connection id="311" name="?format=csv378" type="6" refreshedVersion="0" background="1">
    <textPr prompt="0" fileType="mac" sourceFile="http://vocabulary.odm2.org/api/v1/unitstype/?format=csv">
      <textFields>
        <textField/>
      </textFields>
    </textPr>
  </connection>
  <connection id="312" name="?format=csv379" type="6" refreshedVersion="0" background="1">
    <textPr prompt="0" fileType="mac" sourceFile="http://vocabulary.odm2.org/api/v1/unitstype/?format=csv">
      <textFields>
        <textField/>
      </textFields>
    </textPr>
  </connection>
  <connection id="313" name="?format=csv38" type="6" refreshedVersion="0" background="1">
    <textPr prompt="0" fileType="mac" sourceFile="http://vocabulary.odm2.org/api/v1/variablename/?format=csv">
      <textFields>
        <textField/>
      </textFields>
    </textPr>
  </connection>
  <connection id="314" name="?format=csv380" type="6" refreshedVersion="0" background="1">
    <textPr prompt="0" fileType="mac" sourceFile="http://vocabulary.odm2.org/api/v1/unitstype/?format=csv">
      <textFields>
        <textField/>
      </textFields>
    </textPr>
  </connection>
  <connection id="315" name="?format=csv381" type="6" refreshedVersion="0" background="1">
    <textPr prompt="0" fileType="mac" sourceFile="http://vocabulary.odm2.org/api/v1/unitstype/?format=csv">
      <textFields>
        <textField/>
      </textFields>
    </textPr>
  </connection>
  <connection id="316" name="?format=csv382" type="6" refreshedVersion="0" background="1">
    <textPr prompt="0" fileType="mac" sourceFile="http://vocabulary.odm2.org/api/v1/unitstype/?format=csv">
      <textFields>
        <textField/>
      </textFields>
    </textPr>
  </connection>
  <connection id="317" name="?format=csv383" type="6" refreshedVersion="0" background="1">
    <textPr prompt="0" fileType="mac" sourceFile="http://vocabulary.odm2.org/api/v1/unitstype/?format=csv">
      <textFields>
        <textField/>
      </textFields>
    </textPr>
  </connection>
  <connection id="318" name="?format=csv384" type="6" refreshedVersion="0" background="1">
    <textPr prompt="0" fileType="mac" sourceFile="http://vocabulary.odm2.org/api/v1/unitstype/?format=csv">
      <textFields>
        <textField/>
      </textFields>
    </textPr>
  </connection>
  <connection id="319" name="?format=csv385" type="6" refreshedVersion="0" background="1">
    <textPr prompt="0" fileType="mac" sourceFile="http://vocabulary.odm2.org/api/v1/Boolean/?format=csv">
      <textFields>
        <textField/>
      </textFields>
    </textPr>
  </connection>
  <connection id="320" name="?format=csv386" type="6" refreshedVersion="0" background="1">
    <textPr prompt="0" fileType="mac" sourceFile="http://vocabulary.odm2.org/api/v1/NotApplicable/?format=csv">
      <textFields>
        <textField/>
      </textFields>
    </textPr>
  </connection>
  <connection id="321" name="?format=csv387" type="6" refreshedVersion="0" background="1">
    <textPr prompt="0" fileType="mac" sourceFile="http://vocabulary.odm2.org/api/v1/ApplicableDatasetTypes/?format=csv">
      <textFields>
        <textField/>
      </textFields>
    </textPr>
  </connection>
  <connection id="322" name="?format=csv388" type="6" refreshedVersion="0" background="1">
    <textPr prompt="0" fileType="mac" sourceFile="http://vocabulary.odm2.org/api/v1/ApplicableResultTypes/?format=csv">
      <textFields>
        <textField/>
      </textFields>
    </textPr>
  </connection>
  <connection id="323" name="?format=csv389" type="6" refreshedVersion="0" background="1">
    <textPr prompt="0" fileType="mac" sourceFile="http://vocabulary.odm2.org/api/v1/ApplicableMethodTypes/?format=csv">
      <textFields>
        <textField/>
      </textFields>
    </textPr>
  </connection>
  <connection id="324" name="?format=csv39" type="6" refreshedVersion="0" background="1">
    <textPr prompt="0" fileType="mac" sourceFile="http://vocabulary.odm2.org/api/v1/variabletype/?format=csv">
      <textFields>
        <textField/>
      </textFields>
    </textPr>
  </connection>
  <connection id="325" name="?format=csv390" type="6" refreshedVersion="0" background="1">
    <textPr prompt="0" fileType="mac" sourceFile="http://vocabulary.odm2.org/api/v1/actiontype/?format=csv">
      <textFields>
        <textField/>
      </textFields>
    </textPr>
  </connection>
  <connection id="326" name="?format=csv391" type="6" refreshedVersion="0" background="1">
    <textPr prompt="0" fileType="mac" sourceFile="http://vocabulary.odm2.org/api/v1/aggregationstatistic/?format=csv">
      <textFields>
        <textField/>
      </textFields>
    </textPr>
  </connection>
  <connection id="327" name="?format=csv392" type="6" refreshedVersion="0" background="1">
    <textPr prompt="0" fileType="mac" sourceFile="http://vocabulary.odm2.org/api/v1/censorcode/?format=csv">
      <textFields>
        <textField/>
      </textFields>
    </textPr>
  </connection>
  <connection id="328" name="?format=csv393" type="6" refreshedVersion="0" background="1">
    <textPr prompt="0" fileType="mac" sourceFile="http://vocabulary.odm2.org/api/v1/dataqualitytype/?format=csv">
      <textFields>
        <textField/>
      </textFields>
    </textPr>
  </connection>
  <connection id="329" name="?format=csv394" type="6" refreshedVersion="0" background="1">
    <textPr prompt="0" fileType="mac" sourceFile="http://vocabulary.odm2.org/api/v1/datasettype/?format=csv">
      <textFields>
        <textField/>
      </textFields>
    </textPr>
  </connection>
  <connection id="330" name="?format=csv395" type="6" refreshedVersion="0" background="1">
    <textPr prompt="0" fileType="mac" sourceFile="http://vocabulary.odm2.org/api/v1/directivetype/?format=csv">
      <textFields>
        <textField/>
      </textFields>
    </textPr>
  </connection>
  <connection id="331" name="?format=csv396" type="6" refreshedVersion="0" background="1">
    <textPr prompt="0" fileType="mac" sourceFile="http://vocabulary.odm2.org/api/v1/elevationdatum/?format=csv">
      <textFields>
        <textField/>
      </textFields>
    </textPr>
  </connection>
  <connection id="332" name="?format=csv397" type="6" refreshedVersion="0" background="1">
    <textPr prompt="0" fileType="mac" sourceFile="http://vocabulary.odm2.org/api/v1/equipmenttype/?format=csv">
      <textFields>
        <textField/>
      </textFields>
    </textPr>
  </connection>
  <connection id="333" name="?format=csv398" type="6" refreshedVersion="0" background="1">
    <textPr prompt="0" fileType="mac" sourceFile="http://vocabulary.odm2.org/api/v1/methodtype/?format=csv">
      <textFields>
        <textField/>
      </textFields>
    </textPr>
  </connection>
  <connection id="334" name="?format=csv399" type="6" refreshedVersion="0" background="1">
    <textPr prompt="0" fileType="mac" sourceFile="http://vocabulary.odm2.org/api/v1/organizationtype/?format=csv">
      <textFields>
        <textField/>
      </textFields>
    </textPr>
  </connection>
  <connection id="335" name="?format=csv4" type="6" refreshedVersion="0" background="1">
    <textPr prompt="0" fileType="mac" sourceFile="http://vocabulary.odm2.org/api/v1/Boolean/?format=csv">
      <textFields>
        <textField/>
      </textFields>
    </textPr>
  </connection>
  <connection id="336" name="?format=csv40" type="6" refreshedVersion="0" background="1">
    <textPr prompt="0" fileType="mac" sourceFile="http://vocabulary.odm2.org/api/v1/unitstype/?format=csv">
      <textFields>
        <textField/>
      </textFields>
    </textPr>
  </connection>
  <connection id="337" name="?format=csv400" type="6" refreshedVersion="0" background="1">
    <textPr prompt="0" fileType="mac" sourceFile="http://vocabulary.odm2.org/api/v1/propertydatatype/?format=csv">
      <textFields>
        <textField/>
      </textFields>
    </textPr>
  </connection>
  <connection id="338" name="?format=csv401" type="6" refreshedVersion="0" background="1">
    <textPr prompt="0" fileType="mac" sourceFile="http://vocabulary.odm2.org/api/v1/qualitycode/?format=csv">
      <textFields>
        <textField/>
      </textFields>
    </textPr>
  </connection>
  <connection id="339" name="?format=csv402" type="6" refreshedVersion="0" background="1">
    <textPr prompt="0" fileType="mac" sourceFile="http://vocabulary.odm2.org/api/v1/relationshiptype/?format=csv">
      <textFields>
        <textField/>
      </textFields>
    </textPr>
  </connection>
  <connection id="340" name="?format=csv403" type="6" refreshedVersion="0" background="1">
    <textPr prompt="0" fileType="mac" sourceFile="http://vocabulary.odm2.org/api/v1/resulttype/?format=csv">
      <textFields>
        <textField/>
      </textFields>
    </textPr>
  </connection>
  <connection id="341" name="?format=csv404" type="6" refreshedVersion="0" background="1">
    <textPr prompt="0" fileType="mac" sourceFile="http://vocabulary.odm2.org/api/v1/samplingfeaturegeotype/?format=csv">
      <textFields>
        <textField/>
      </textFields>
    </textPr>
  </connection>
  <connection id="342" name="?format=csv405" type="6" refreshedVersion="0" background="1">
    <textPr prompt="0" fileType="mac" sourceFile="http://vocabulary.odm2.org/api/v1/samplingfeaturetype/?format=csv">
      <textFields>
        <textField/>
      </textFields>
    </textPr>
  </connection>
  <connection id="343" name="?format=csv406" type="6" refreshedVersion="0" background="1">
    <textPr prompt="0" fileType="mac" sourceFile="http://vocabulary.odm2.org/api/v1/sitetype/?format=csv">
      <textFields>
        <textField/>
      </textFields>
    </textPr>
  </connection>
  <connection id="344" name="?format=csv407" type="6" refreshedVersion="0" background="1">
    <textPr prompt="0" fileType="mac" sourceFile="http://vocabulary.odm2.org/api/v1/spatialoffsettype/?format=csv">
      <textFields>
        <textField/>
      </textFields>
    </textPr>
  </connection>
  <connection id="345" name="?format=csv408" type="6" refreshedVersion="0" background="1">
    <textPr prompt="0" fileType="mac" sourceFile="http://vocabulary.odm2.org/api/v1/speciation/?format=csv">
      <textFields>
        <textField/>
      </textFields>
    </textPr>
  </connection>
  <connection id="346" name="?format=csv409" type="6" refreshedVersion="0" background="1">
    <textPr prompt="0" fileType="mac" sourceFile="http://vocabulary.odm2.org/api/v1/medium/?format=csv">
      <textFields>
        <textField/>
      </textFields>
    </textPr>
  </connection>
  <connection id="347" name="?format=csv41" type="6" refreshedVersion="0" background="1">
    <textPr prompt="0" fileType="mac" sourceFile="http://vocabulary.odm2.org/api/v1/Boolean/?format=csv">
      <textFields>
        <textField/>
      </textFields>
    </textPr>
  </connection>
  <connection id="348" name="?format=csv410" type="6" refreshedVersion="0" background="1">
    <textPr prompt="0" fileType="mac" sourceFile="http://vocabulary.odm2.org/api/v1/specimentype/?format=csv">
      <textFields>
        <textField/>
      </textFields>
    </textPr>
  </connection>
  <connection id="349" name="?format=csv411" type="6" refreshedVersion="0" background="1">
    <textPr prompt="0" fileType="mac" sourceFile="http://vocabulary.odm2.org/api/v1/status/?format=csv">
      <textFields>
        <textField/>
      </textFields>
    </textPr>
  </connection>
  <connection id="350" name="?format=csv412" type="6" refreshedVersion="0" background="1">
    <textPr prompt="0" fileType="mac" sourceFile="http://vocabulary.odm2.org/api/v1/taxonomicclassifiertype/?format=csv">
      <textFields>
        <textField/>
      </textFields>
    </textPr>
  </connection>
  <connection id="351" name="?format=csv413" type="6" refreshedVersion="0" background="1">
    <textPr prompt="0" fileType="mac" sourceFile="http://vocabulary.odm2.org/api/v1/variablename/?format=csv">
      <textFields>
        <textField/>
      </textFields>
    </textPr>
  </connection>
  <connection id="352" name="?format=csv414" type="6" refreshedVersion="0" background="1">
    <textPr prompt="0" fileType="mac" sourceFile="http://vocabulary.odm2.org/api/v1/variabletype/?format=csv">
      <textFields>
        <textField/>
      </textFields>
    </textPr>
  </connection>
  <connection id="353" name="?format=csv415" type="6" refreshedVersion="0" background="1">
    <textPr prompt="0" fileType="mac" sourceFile="http://vocabulary.odm2.org/api/v1/unitstype/?format=csv">
      <textFields>
        <textField/>
      </textFields>
    </textPr>
  </connection>
  <connection id="354" name="?format=csv416" type="6" refreshedVersion="0" background="1">
    <textPr prompt="0" fileType="mac" sourceFile="http://vocabulary.odm2.org/api/v1/Boolean/?format=csv">
      <textFields>
        <textField/>
      </textFields>
    </textPr>
  </connection>
  <connection id="355" name="?format=csv417" type="6" refreshedVersion="0" background="1">
    <textPr prompt="0" fileType="mac" sourceFile="http://vocabulary.odm2.org/api/v1/NotApplicable/?format=csv">
      <textFields>
        <textField/>
      </textFields>
    </textPr>
  </connection>
  <connection id="356" name="?format=csv418" type="6" refreshedVersion="0" background="1">
    <textPr prompt="0" fileType="mac" sourceFile="http://vocabulary.odm2.org/api/v1/ApplicableDatasetTypes/?format=csv">
      <textFields>
        <textField/>
      </textFields>
    </textPr>
  </connection>
  <connection id="357" name="?format=csv419" type="6" refreshedVersion="0" background="1">
    <textPr prompt="0" fileType="mac" sourceFile="http://vocabulary.odm2.org/api/v1/ApplicableResultTypes/?format=csv">
      <textFields>
        <textField/>
      </textFields>
    </textPr>
  </connection>
  <connection id="358" name="?format=csv42" type="6" refreshedVersion="0" background="1">
    <textPr prompt="0" fileType="mac" sourceFile="http://vocabulary.odm2.org/api/v1/NotApplicable/?format=csv">
      <textFields>
        <textField/>
      </textFields>
    </textPr>
  </connection>
  <connection id="359" name="?format=csv420" type="6" refreshedVersion="0" background="1">
    <textPr prompt="0" fileType="mac" sourceFile="http://vocabulary.odm2.org/api/v1/ApplicableMethodTypes/?format=csv">
      <textFields>
        <textField/>
      </textFields>
    </textPr>
  </connection>
  <connection id="360" name="?format=csv421" type="6" refreshedVersion="0" background="1">
    <textPr prompt="0" fileType="mac" sourceFile="http://vocabulary.odm2.org/api/v1/actiontype/?format=csv">
      <textFields>
        <textField/>
      </textFields>
    </textPr>
  </connection>
  <connection id="361" name="?format=csv422" type="6" refreshedVersion="0" background="1">
    <textPr prompt="0" fileType="mac" sourceFile="http://vocabulary.odm2.org/api/v1/aggregationstatistic/?format=csv">
      <textFields>
        <textField/>
      </textFields>
    </textPr>
  </connection>
  <connection id="362" name="?format=csv423" type="6" refreshedVersion="0" background="1">
    <textPr prompt="0" fileType="mac" sourceFile="http://vocabulary.odm2.org/api/v1/censorcode/?format=csv">
      <textFields>
        <textField/>
      </textFields>
    </textPr>
  </connection>
  <connection id="363" name="?format=csv424" type="6" refreshedVersion="0" background="1">
    <textPr prompt="0" fileType="mac" sourceFile="http://vocabulary.odm2.org/api/v1/dataqualitytype/?format=csv">
      <textFields>
        <textField/>
      </textFields>
    </textPr>
  </connection>
  <connection id="364" name="?format=csv425" type="6" refreshedVersion="0" background="1">
    <textPr prompt="0" fileType="mac" sourceFile="http://vocabulary.odm2.org/api/v1/datasettype/?format=csv">
      <textFields>
        <textField/>
      </textFields>
    </textPr>
  </connection>
  <connection id="365" name="?format=csv426" type="6" refreshedVersion="0" background="1">
    <textPr prompt="0" fileType="mac" sourceFile="http://vocabulary.odm2.org/api/v1/directivetype/?format=csv">
      <textFields>
        <textField/>
      </textFields>
    </textPr>
  </connection>
  <connection id="366" name="?format=csv427" type="6" refreshedVersion="0" background="1">
    <textPr prompt="0" fileType="mac" sourceFile="http://vocabulary.odm2.org/api/v1/elevationdatum/?format=csv">
      <textFields>
        <textField/>
      </textFields>
    </textPr>
  </connection>
  <connection id="367" name="?format=csv428" type="6" refreshedVersion="0" background="1">
    <textPr prompt="0" fileType="mac" sourceFile="http://vocabulary.odm2.org/api/v1/equipmenttype/?format=csv">
      <textFields>
        <textField/>
      </textFields>
    </textPr>
  </connection>
  <connection id="368" name="?format=csv429" type="6" refreshedVersion="0" background="1">
    <textPr prompt="0" fileType="mac" sourceFile="http://vocabulary.odm2.org/api/v1/methodtype/?format=csv">
      <textFields>
        <textField/>
      </textFields>
    </textPr>
  </connection>
  <connection id="369" name="?format=csv43" type="6" refreshedVersion="0" background="1">
    <textPr prompt="0" fileType="mac" sourceFile="http://vocabulary.odm2.org/api/v1/ApplicableDatasetTypes/?format=csv">
      <textFields>
        <textField/>
      </textFields>
    </textPr>
  </connection>
  <connection id="370" name="?format=csv430" type="6" refreshedVersion="0" background="1">
    <textPr prompt="0" fileType="mac" sourceFile="http://vocabulary.odm2.org/api/v1/organizationtype/?format=csv">
      <textFields>
        <textField/>
      </textFields>
    </textPr>
  </connection>
  <connection id="371" name="?format=csv431" type="6" refreshedVersion="0" background="1">
    <textPr prompt="0" fileType="mac" sourceFile="http://vocabulary.odm2.org/api/v1/propertydatatype/?format=csv">
      <textFields>
        <textField/>
      </textFields>
    </textPr>
  </connection>
  <connection id="372" name="?format=csv432" type="6" refreshedVersion="0" background="1">
    <textPr prompt="0" fileType="mac" sourceFile="http://vocabulary.odm2.org/api/v1/qualitycode/?format=csv">
      <textFields>
        <textField/>
      </textFields>
    </textPr>
  </connection>
  <connection id="373" name="?format=csv433" type="6" refreshedVersion="0" background="1">
    <textPr prompt="0" fileType="mac" sourceFile="http://vocabulary.odm2.org/api/v1/relationshiptype/?format=csv">
      <textFields>
        <textField/>
      </textFields>
    </textPr>
  </connection>
  <connection id="374" name="?format=csv434" type="6" refreshedVersion="0" background="1">
    <textPr prompt="0" fileType="mac" sourceFile="http://vocabulary.odm2.org/api/v1/resulttype/?format=csv">
      <textFields>
        <textField/>
      </textFields>
    </textPr>
  </connection>
  <connection id="375" name="?format=csv435" type="6" refreshedVersion="0" background="1">
    <textPr prompt="0" fileType="mac" sourceFile="http://vocabulary.odm2.org/api/v1/samplingfeaturegeotype/?format=csv">
      <textFields>
        <textField/>
      </textFields>
    </textPr>
  </connection>
  <connection id="376" name="?format=csv436" type="6" refreshedVersion="0" background="1">
    <textPr prompt="0" fileType="mac" sourceFile="http://vocabulary.odm2.org/api/v1/samplingfeaturetype/?format=csv">
      <textFields>
        <textField/>
      </textFields>
    </textPr>
  </connection>
  <connection id="377" name="?format=csv437" type="6" refreshedVersion="0" background="1">
    <textPr prompt="0" fileType="mac" sourceFile="http://vocabulary.odm2.org/api/v1/sitetype/?format=csv">
      <textFields>
        <textField/>
      </textFields>
    </textPr>
  </connection>
  <connection id="378" name="?format=csv438" type="6" refreshedVersion="0" background="1">
    <textPr prompt="0" fileType="mac" sourceFile="http://vocabulary.odm2.org/api/v1/spatialoffsettype/?format=csv">
      <textFields>
        <textField/>
      </textFields>
    </textPr>
  </connection>
  <connection id="379" name="?format=csv439" type="6" refreshedVersion="0" background="1">
    <textPr prompt="0" fileType="mac" sourceFile="http://vocabulary.odm2.org/api/v1/speciation/?format=csv">
      <textFields>
        <textField/>
      </textFields>
    </textPr>
  </connection>
  <connection id="380" name="?format=csv44" type="6" refreshedVersion="0" background="1">
    <textPr prompt="0" fileType="mac" sourceFile="http://vocabulary.odm2.org/api/v1/ApplicableResultTypes/?format=csv">
      <textFields>
        <textField/>
      </textFields>
    </textPr>
  </connection>
  <connection id="381" name="?format=csv440" type="6" refreshedVersion="0" background="1">
    <textPr prompt="0" fileType="mac" sourceFile="http://vocabulary.odm2.org/api/v1/medium/?format=csv">
      <textFields>
        <textField/>
      </textFields>
    </textPr>
  </connection>
  <connection id="382" name="?format=csv441" type="6" refreshedVersion="0" background="1">
    <textPr prompt="0" fileType="mac" sourceFile="http://vocabulary.odm2.org/api/v1/specimentype/?format=csv">
      <textFields>
        <textField/>
      </textFields>
    </textPr>
  </connection>
  <connection id="383" name="?format=csv442" type="6" refreshedVersion="0" background="1">
    <textPr prompt="0" fileType="mac" sourceFile="http://vocabulary.odm2.org/api/v1/status/?format=csv">
      <textFields>
        <textField/>
      </textFields>
    </textPr>
  </connection>
  <connection id="384" name="?format=csv443" type="6" refreshedVersion="0" background="1">
    <textPr prompt="0" fileType="mac" sourceFile="http://vocabulary.odm2.org/api/v1/taxonomicclassifiertype/?format=csv">
      <textFields>
        <textField/>
      </textFields>
    </textPr>
  </connection>
  <connection id="385" name="?format=csv444" type="6" refreshedVersion="0" background="1">
    <textPr prompt="0" fileType="mac" sourceFile="http://vocabulary.odm2.org/api/v1/variablename/?format=csv">
      <textFields>
        <textField/>
      </textFields>
    </textPr>
  </connection>
  <connection id="386" name="?format=csv445" type="6" refreshedVersion="0" background="1">
    <textPr prompt="0" fileType="mac" sourceFile="http://vocabulary.odm2.org/api/v1/variabletype/?format=csv">
      <textFields>
        <textField/>
      </textFields>
    </textPr>
  </connection>
  <connection id="387" name="?format=csv446" type="6" refreshedVersion="0" background="1">
    <textPr prompt="0" fileType="mac" sourceFile="http://vocabulary.odm2.org/api/v1/unitstype/?format=csv">
      <textFields>
        <textField/>
      </textFields>
    </textPr>
  </connection>
  <connection id="388" name="?format=csv447" type="6" refreshedVersion="0" background="1">
    <textPr prompt="0" fileType="mac" sourceFile="http://vocabulary.odm2.org/api/v1/Boolean/?format=csv">
      <textFields>
        <textField/>
      </textFields>
    </textPr>
  </connection>
  <connection id="389" name="?format=csv448" type="6" refreshedVersion="0" background="1">
    <textPr prompt="0" fileType="mac" sourceFile="http://vocabulary.odm2.org/api/v1/NotApplicable/?format=csv">
      <textFields>
        <textField/>
      </textFields>
    </textPr>
  </connection>
  <connection id="390" name="?format=csv449" type="6" refreshedVersion="0" background="1">
    <textPr prompt="0" fileType="mac" sourceFile="http://vocabulary.odm2.org/api/v1/ApplicableDatasetTypes/?format=csv">
      <textFields>
        <textField/>
      </textFields>
    </textPr>
  </connection>
  <connection id="391" name="?format=csv45" type="6" refreshedVersion="0" background="1">
    <textPr prompt="0" fileType="mac" sourceFile="http://vocabulary.odm2.org/api/v1/ApplicableMethodTypes/?format=csv">
      <textFields>
        <textField/>
      </textFields>
    </textPr>
  </connection>
  <connection id="392" name="?format=csv450" type="6" refreshedVersion="0" background="1">
    <textPr prompt="0" fileType="mac" sourceFile="http://vocabulary.odm2.org/api/v1/ApplicableResultTypes/?format=csv">
      <textFields>
        <textField/>
      </textFields>
    </textPr>
  </connection>
  <connection id="393" name="?format=csv451" type="6" refreshedVersion="0" background="1">
    <textPr prompt="0" fileType="mac" sourceFile="http://vocabulary.odm2.org/api/v1/ApplicableMethodTypes/?format=csv">
      <textFields>
        <textField/>
      </textFields>
    </textPr>
  </connection>
  <connection id="394" name="?format=csv452" type="6" refreshedVersion="0" background="1">
    <textPr prompt="0" fileType="mac" sourceFile="http://vocabulary.odm2.org/api/v1/actiontype/?format=csv">
      <textFields>
        <textField/>
      </textFields>
    </textPr>
  </connection>
  <connection id="395" name="?format=csv453" type="6" refreshedVersion="0" background="1">
    <textPr prompt="0" fileType="mac" sourceFile="http://vocabulary.odm2.org/api/v1/aggregationstatistic/?format=csv">
      <textFields>
        <textField/>
      </textFields>
    </textPr>
  </connection>
  <connection id="396" name="?format=csv454" type="6" refreshedVersion="0" background="1">
    <textPr prompt="0" fileType="mac" sourceFile="http://vocabulary.odm2.org/api/v1/censorcode/?format=csv">
      <textFields>
        <textField/>
      </textFields>
    </textPr>
  </connection>
  <connection id="397" name="?format=csv455" type="6" refreshedVersion="0" background="1">
    <textPr prompt="0" fileType="mac" sourceFile="http://vocabulary.odm2.org/api/v1/dataqualitytype/?format=csv">
      <textFields>
        <textField/>
      </textFields>
    </textPr>
  </connection>
  <connection id="398" name="?format=csv456" type="6" refreshedVersion="0" background="1">
    <textPr prompt="0" fileType="mac" sourceFile="http://vocabulary.odm2.org/api/v1/datasettype/?format=csv">
      <textFields>
        <textField/>
      </textFields>
    </textPr>
  </connection>
  <connection id="399" name="?format=csv457" type="6" refreshedVersion="0" background="1">
    <textPr prompt="0" fileType="mac" sourceFile="http://vocabulary.odm2.org/api/v1/directivetype/?format=csv">
      <textFields>
        <textField/>
      </textFields>
    </textPr>
  </connection>
  <connection id="400" name="?format=csv458" type="6" refreshedVersion="0" background="1">
    <textPr prompt="0" fileType="mac" sourceFile="http://vocabulary.odm2.org/api/v1/elevationdatum/?format=csv">
      <textFields>
        <textField/>
      </textFields>
    </textPr>
  </connection>
  <connection id="401" name="?format=csv459" type="6" refreshedVersion="0" background="1">
    <textPr prompt="0" fileType="mac" sourceFile="http://vocabulary.odm2.org/api/v1/equipmenttype/?format=csv">
      <textFields>
        <textField/>
      </textFields>
    </textPr>
  </connection>
  <connection id="402" name="?format=csv46" type="6" refreshedVersion="0" background="1">
    <textPr prompt="0" fileType="mac" sourceFile="http://vocabulary.odm2.org/api/v1/actiontype/?format=csv">
      <textFields>
        <textField/>
      </textFields>
    </textPr>
  </connection>
  <connection id="403" name="?format=csv460" type="6" refreshedVersion="0" background="1">
    <textPr prompt="0" fileType="mac" sourceFile="http://vocabulary.odm2.org/api/v1/methodtype/?format=csv">
      <textFields>
        <textField/>
      </textFields>
    </textPr>
  </connection>
  <connection id="404" name="?format=csv461" type="6" refreshedVersion="0" background="1">
    <textPr prompt="0" fileType="mac" sourceFile="http://vocabulary.odm2.org/api/v1/organizationtype/?format=csv">
      <textFields>
        <textField/>
      </textFields>
    </textPr>
  </connection>
  <connection id="405" name="?format=csv462" type="6" refreshedVersion="0" background="1">
    <textPr prompt="0" fileType="mac" sourceFile="http://vocabulary.odm2.org/api/v1/Boolean/?format=csv">
      <textFields>
        <textField/>
      </textFields>
    </textPr>
  </connection>
  <connection id="406" name="?format=csv463" type="6" refreshedVersion="0" background="1">
    <textPr prompt="0" fileType="mac" sourceFile="http://vocabulary.odm2.org/api/v1/NotApplicable/?format=csv">
      <textFields>
        <textField/>
      </textFields>
    </textPr>
  </connection>
  <connection id="407" name="?format=csv464" type="6" refreshedVersion="0" background="1">
    <textPr prompt="0" fileType="mac" sourceFile="http://vocabulary.odm2.org/api/v1/ApplicableDatasetTypes/?format=csv">
      <textFields>
        <textField/>
      </textFields>
    </textPr>
  </connection>
  <connection id="408" name="?format=csv465" type="6" refreshedVersion="0" background="1">
    <textPr prompt="0" fileType="mac" sourceFile="http://vocabulary.odm2.org/api/v1/ApplicableResultTypes/?format=csv">
      <textFields>
        <textField/>
      </textFields>
    </textPr>
  </connection>
  <connection id="409" name="?format=csv466" type="6" refreshedVersion="0" background="1">
    <textPr prompt="0" fileType="mac" sourceFile="http://vocabulary.odm2.org/api/v1/ApplicableMethodTypes/?format=csv">
      <textFields>
        <textField/>
      </textFields>
    </textPr>
  </connection>
  <connection id="410" name="?format=csv467" type="6" refreshedVersion="0" background="1">
    <textPr prompt="0" fileType="mac" sourceFile="http://vocabulary.odm2.org/api/v1/actiontype/?format=csv">
      <textFields>
        <textField/>
      </textFields>
    </textPr>
  </connection>
  <connection id="411" name="?format=csv468" type="6" refreshedVersion="0" background="1">
    <textPr prompt="0" fileType="mac" sourceFile="http://vocabulary.odm2.org/api/v1/actiontype/?format=csv">
      <textFields>
        <textField/>
      </textFields>
    </textPr>
  </connection>
  <connection id="412" name="?format=csv469" type="6" refreshedVersion="0" background="1">
    <textPr prompt="0" sourceFile="http://vocabulary.odm2.org/api/v1/Boolean/?format=csv">
      <textFields>
        <textField/>
      </textFields>
    </textPr>
  </connection>
  <connection id="413" name="?format=csv47" type="6" refreshedVersion="0" background="1">
    <textPr prompt="0" fileType="mac" sourceFile="http://vocabulary.odm2.org/api/v1/aggregationstatistic/?format=csv">
      <textFields>
        <textField/>
      </textFields>
    </textPr>
  </connection>
  <connection id="414" name="?format=csv470" type="6" refreshedVersion="0" background="1">
    <textPr prompt="0" sourceFile="http://vocabulary.odm2.org/api/v1/NotApplicable/?format=csv">
      <textFields>
        <textField/>
      </textFields>
    </textPr>
  </connection>
  <connection id="415" name="?format=csv471" type="6" refreshedVersion="0" background="1">
    <textPr prompt="0" sourceFile="http://vocabulary.odm2.org/api/v1/ApplicableDatasetTypes/?format=csv">
      <textFields>
        <textField/>
      </textFields>
    </textPr>
  </connection>
  <connection id="416" name="?format=csv472" type="6" refreshedVersion="0" background="1">
    <textPr prompt="0" sourceFile="http://vocabulary.odm2.org/api/v1/ApplicableResultTypes/?format=csv">
      <textFields>
        <textField/>
      </textFields>
    </textPr>
  </connection>
  <connection id="417" name="?format=csv473" type="6" refreshedVersion="0" background="1">
    <textPr prompt="0" sourceFile="http://vocabulary.odm2.org/api/v1/ApplicableMethodTypes/?format=csv">
      <textFields>
        <textField/>
      </textFields>
    </textPr>
  </connection>
  <connection id="418" name="?format=csv474" type="6" refreshedVersion="0" background="1">
    <textPr prompt="0" sourceFile="http://vocabulary.odm2.org/api/v1/Boolean/?format=csv">
      <textFields>
        <textField/>
      </textFields>
    </textPr>
  </connection>
  <connection id="419" name="?format=csv475" type="6" refreshedVersion="0" background="1">
    <textPr prompt="0" sourceFile="http://vocabulary.odm2.org/api/v1/NotApplicable/?format=csv">
      <textFields>
        <textField/>
      </textFields>
    </textPr>
  </connection>
  <connection id="420" name="?format=csv476" type="6" refreshedVersion="0" background="1">
    <textPr prompt="0" sourceFile="http://vocabulary.odm2.org/api/v1/ApplicableDatasetTypes/?format=csv">
      <textFields>
        <textField/>
      </textFields>
    </textPr>
  </connection>
  <connection id="421" name="?format=csv477" type="6" refreshedVersion="0" background="1">
    <textPr prompt="0" sourceFile="http://vocabulary.odm2.org/api/v1/ApplicableResultTypes/?format=csv">
      <textFields>
        <textField/>
      </textFields>
    </textPr>
  </connection>
  <connection id="422" name="?format=csv478" type="6" refreshedVersion="0" background="1">
    <textPr prompt="0" sourceFile="http://vocabulary.odm2.org/api/v1/ApplicableMethodTypes/?format=csv">
      <textFields>
        <textField/>
      </textFields>
    </textPr>
  </connection>
  <connection id="423" name="?format=csv479" type="6" refreshedVersion="0" background="1">
    <textPr prompt="0" sourceFile="http://vocabulary.odm2.org/api/v1/Boolean/?format=csv">
      <textFields>
        <textField/>
      </textFields>
    </textPr>
  </connection>
  <connection id="424" name="?format=csv48" type="6" refreshedVersion="0" background="1">
    <textPr prompt="0" fileType="mac" sourceFile="http://vocabulary.odm2.org/api/v1/censorcode/?format=csv">
      <textFields>
        <textField/>
      </textFields>
    </textPr>
  </connection>
  <connection id="425" name="?format=csv480" type="6" refreshedVersion="0" background="1">
    <textPr prompt="0" sourceFile="http://vocabulary.odm2.org/api/v1/NotApplicable/?format=csv">
      <textFields>
        <textField/>
      </textFields>
    </textPr>
  </connection>
  <connection id="426" name="?format=csv481" type="6" refreshedVersion="0" background="1">
    <textPr prompt="0" sourceFile="http://vocabulary.odm2.org/api/v1/ApplicableDatasetTypes/?format=csv">
      <textFields>
        <textField/>
      </textFields>
    </textPr>
  </connection>
  <connection id="427" name="?format=csv482" type="6" refreshedVersion="0" background="1">
    <textPr prompt="0" sourceFile="http://vocabulary.odm2.org/api/v1/ApplicableResultTypes/?format=csv">
      <textFields>
        <textField/>
      </textFields>
    </textPr>
  </connection>
  <connection id="428" name="?format=csv483" type="6" refreshedVersion="0" background="1">
    <textPr prompt="0" sourceFile="http://vocabulary.odm2.org/api/v1/ApplicableMethodTypes/?format=csv">
      <textFields>
        <textField/>
      </textFields>
    </textPr>
  </connection>
  <connection id="429" name="?format=csv484" type="6" refreshedVersion="0" background="1">
    <textPr prompt="0" sourceFile="http://vocabulary.odm2.org/api/v1/Boolean/?format=csv">
      <textFields>
        <textField/>
      </textFields>
    </textPr>
  </connection>
  <connection id="430" name="?format=csv485" type="6" refreshedVersion="0" background="1">
    <textPr prompt="0" sourceFile="http://vocabulary.odm2.org/api/v1/NotApplicable/?format=csv">
      <textFields>
        <textField/>
      </textFields>
    </textPr>
  </connection>
  <connection id="431" name="?format=csv486" type="6" refreshedVersion="0" background="1">
    <textPr prompt="0" sourceFile="http://vocabulary.odm2.org/api/v1/ApplicableDatasetTypes/?format=csv">
      <textFields>
        <textField/>
      </textFields>
    </textPr>
  </connection>
  <connection id="432" name="?format=csv487" type="6" refreshedVersion="0" background="1">
    <textPr prompt="0" sourceFile="http://vocabulary.odm2.org/api/v1/ApplicableResultTypes/?format=csv">
      <textFields>
        <textField/>
      </textFields>
    </textPr>
  </connection>
  <connection id="433" name="?format=csv488" type="6" refreshedVersion="0" background="1">
    <textPr prompt="0" sourceFile="http://vocabulary.odm2.org/api/v1/ApplicableMethodTypes/?format=csv">
      <textFields>
        <textField/>
      </textFields>
    </textPr>
  </connection>
  <connection id="434" name="?format=csv489" type="6" refreshedVersion="0" background="1">
    <textPr prompt="0" sourceFile="http://vocabulary.odm2.org/api/v1/Boolean/?format=csv">
      <textFields>
        <textField/>
      </textFields>
    </textPr>
  </connection>
  <connection id="435" name="?format=csv49" type="6" refreshedVersion="0" background="1">
    <textPr prompt="0" fileType="mac" sourceFile="http://vocabulary.odm2.org/api/v1/dataqualitytype/?format=csv">
      <textFields>
        <textField/>
      </textFields>
    </textPr>
  </connection>
  <connection id="436" name="?format=csv490" type="6" refreshedVersion="0" background="1">
    <textPr prompt="0" sourceFile="http://vocabulary.odm2.org/api/v1/NotApplicable/?format=csv">
      <textFields>
        <textField/>
      </textFields>
    </textPr>
  </connection>
  <connection id="437" name="?format=csv491" type="6" refreshedVersion="0" background="1">
    <textPr prompt="0" sourceFile="http://vocabulary.odm2.org/api/v1/ApplicableDatasetTypes/?format=csv">
      <textFields>
        <textField/>
      </textFields>
    </textPr>
  </connection>
  <connection id="438" name="?format=csv492" type="6" refreshedVersion="0" background="1">
    <textPr prompt="0" sourceFile="http://vocabulary.odm2.org/api/v1/ApplicableResultTypes/?format=csv">
      <textFields>
        <textField/>
      </textFields>
    </textPr>
  </connection>
  <connection id="439" name="?format=csv493" type="6" refreshedVersion="0" background="1">
    <textPr prompt="0" sourceFile="http://vocabulary.odm2.org/api/v1/ApplicableMethodTypes/?format=csv">
      <textFields>
        <textField/>
      </textFields>
    </textPr>
  </connection>
  <connection id="440" name="?format=csv494" type="6" refreshedVersion="0" background="1">
    <textPr prompt="0" sourceFile="http://vocabulary.odm2.org/api/v1/Boolean/?format=csv">
      <textFields>
        <textField/>
      </textFields>
    </textPr>
  </connection>
  <connection id="441" name="?format=csv495" type="6" refreshedVersion="0" background="1">
    <textPr prompt="0" sourceFile="http://vocabulary.odm2.org/api/v1/NotApplicable/?format=csv">
      <textFields>
        <textField/>
      </textFields>
    </textPr>
  </connection>
  <connection id="442" name="?format=csv496" type="6" refreshedVersion="0" background="1">
    <textPr prompt="0" sourceFile="http://vocabulary.odm2.org/api/v1/ApplicableDatasetTypes/?format=csv">
      <textFields>
        <textField/>
      </textFields>
    </textPr>
  </connection>
  <connection id="443" name="?format=csv497" type="6" refreshedVersion="0" background="1">
    <textPr prompt="0" sourceFile="http://vocabulary.odm2.org/api/v1/ApplicableResultTypes/?format=csv">
      <textFields>
        <textField/>
      </textFields>
    </textPr>
  </connection>
  <connection id="444" name="?format=csv498" type="6" refreshedVersion="0" background="1">
    <textPr prompt="0" sourceFile="http://vocabulary.odm2.org/api/v1/ApplicableMethodTypes/?format=csv">
      <textFields>
        <textField/>
      </textFields>
    </textPr>
  </connection>
  <connection id="445" name="?format=csv499" type="6" refreshedVersion="0" background="1">
    <textPr prompt="0" sourceFile="http://vocabulary.odm2.org/api/v1/Boolean/?format=csv">
      <textFields>
        <textField/>
      </textFields>
    </textPr>
  </connection>
  <connection id="446" name="?format=csv5" type="6" refreshedVersion="0" background="1">
    <textPr prompt="0" fileType="mac" sourceFile="http://vocabulary.odm2.org/api/v1/Boolean/?format=csv">
      <textFields>
        <textField/>
      </textFields>
    </textPr>
  </connection>
  <connection id="447" name="?format=csv50" type="6" refreshedVersion="0" background="1">
    <textPr prompt="0" fileType="mac" sourceFile="http://vocabulary.odm2.org/api/v1/datasettype/?format=csv">
      <textFields>
        <textField/>
      </textFields>
    </textPr>
  </connection>
  <connection id="448" name="?format=csv500" type="6" refreshedVersion="0" background="1">
    <textPr prompt="0" sourceFile="http://vocabulary.odm2.org/api/v1/NotApplicable/?format=csv">
      <textFields>
        <textField/>
      </textFields>
    </textPr>
  </connection>
  <connection id="449" name="?format=csv501" type="6" refreshedVersion="0" background="1">
    <textPr prompt="0" sourceFile="http://vocabulary.odm2.org/api/v1/ApplicableDatasetTypes/?format=csv">
      <textFields>
        <textField/>
      </textFields>
    </textPr>
  </connection>
  <connection id="450" name="?format=csv502" type="6" refreshedVersion="0" background="1">
    <textPr prompt="0" sourceFile="http://vocabulary.odm2.org/api/v1/ApplicableResultTypes/?format=csv">
      <textFields>
        <textField/>
      </textFields>
    </textPr>
  </connection>
  <connection id="451" name="?format=csv503" type="6" refreshedVersion="0" background="1">
    <textPr prompt="0" sourceFile="http://vocabulary.odm2.org/api/v1/ApplicableMethodTypes/?format=csv">
      <textFields>
        <textField/>
      </textFields>
    </textPr>
  </connection>
  <connection id="452" name="?format=csv504" type="6" refreshedVersion="0" background="1">
    <textPr prompt="0" sourceFile="http://vocabulary.odm2.org/api/v1/Boolean/?format=csv">
      <textFields>
        <textField/>
      </textFields>
    </textPr>
  </connection>
  <connection id="453" name="?format=csv505" type="6" refreshedVersion="0" background="1">
    <textPr prompt="0" sourceFile="http://vocabulary.odm2.org/api/v1/NotApplicable/?format=csv">
      <textFields>
        <textField/>
      </textFields>
    </textPr>
  </connection>
  <connection id="454" name="?format=csv506" type="6" refreshedVersion="0" background="1">
    <textPr prompt="0" sourceFile="http://vocabulary.odm2.org/api/v1/ApplicableDatasetTypes/?format=csv">
      <textFields>
        <textField/>
      </textFields>
    </textPr>
  </connection>
  <connection id="455" name="?format=csv507" type="6" refreshedVersion="0" background="1">
    <textPr prompt="0" sourceFile="http://vocabulary.odm2.org/api/v1/ApplicableResultTypes/?format=csv">
      <textFields>
        <textField/>
      </textFields>
    </textPr>
  </connection>
  <connection id="456" name="?format=csv508" type="6" refreshedVersion="0" background="1">
    <textPr prompt="0" sourceFile="http://vocabulary.odm2.org/api/v1/ApplicableMethodTypes/?format=csv">
      <textFields>
        <textField/>
      </textFields>
    </textPr>
  </connection>
  <connection id="457" name="?format=csv51" type="6" refreshedVersion="0" background="1">
    <textPr prompt="0" fileType="mac" sourceFile="http://vocabulary.odm2.org/api/v1/directivetype/?format=csv">
      <textFields>
        <textField/>
      </textFields>
    </textPr>
  </connection>
  <connection id="458" name="?format=csv52" type="6" refreshedVersion="0" background="1">
    <textPr prompt="0" fileType="mac" sourceFile="http://vocabulary.odm2.org/api/v1/elevationdatum/?format=csv">
      <textFields>
        <textField/>
      </textFields>
    </textPr>
  </connection>
  <connection id="459" name="?format=csv53" type="6" refreshedVersion="0" background="1">
    <textPr prompt="0" fileType="mac" sourceFile="http://vocabulary.odm2.org/api/v1/equipmenttype/?format=csv">
      <textFields>
        <textField/>
      </textFields>
    </textPr>
  </connection>
  <connection id="460" name="?format=csv54" type="6" refreshedVersion="0" background="1">
    <textPr prompt="0" fileType="mac" sourceFile="http://vocabulary.odm2.org/api/v1/methodtype/?format=csv">
      <textFields>
        <textField/>
      </textFields>
    </textPr>
  </connection>
  <connection id="461" name="?format=csv55" type="6" refreshedVersion="0" background="1">
    <textPr prompt="0" fileType="mac" sourceFile="http://vocabulary.odm2.org/api/v1/organizationtype/?format=csv">
      <textFields>
        <textField/>
      </textFields>
    </textPr>
  </connection>
  <connection id="462" name="?format=csv56" type="6" refreshedVersion="0" background="1">
    <textPr prompt="0" fileType="mac" sourceFile="http://vocabulary.odm2.org/api/v1/propertydatatype/?format=csv">
      <textFields>
        <textField/>
      </textFields>
    </textPr>
  </connection>
  <connection id="463" name="?format=csv57" type="6" refreshedVersion="0" background="1">
    <textPr prompt="0" fileType="mac" sourceFile="http://vocabulary.odm2.org/api/v1/qualitycode/?format=csv">
      <textFields>
        <textField/>
      </textFields>
    </textPr>
  </connection>
  <connection id="464" name="?format=csv58" type="6" refreshedVersion="0" background="1">
    <textPr prompt="0" fileType="mac" sourceFile="http://vocabulary.odm2.org/api/v1/relationshiptype/?format=csv">
      <textFields>
        <textField/>
      </textFields>
    </textPr>
  </connection>
  <connection id="465" name="?format=csv59" type="6" refreshedVersion="0" background="1">
    <textPr prompt="0" fileType="mac" sourceFile="http://vocabulary.odm2.org/api/v1/resulttype/?format=csv">
      <textFields>
        <textField/>
      </textFields>
    </textPr>
  </connection>
  <connection id="466" name="?format=csv6" type="6" refreshedVersion="0" background="1">
    <textPr prompt="0" fileType="mac" sourceFile="http://vocabulary.odm2.org/api/v1/Boolean/?format=csv">
      <textFields>
        <textField/>
      </textFields>
    </textPr>
  </connection>
  <connection id="467" name="?format=csv60" type="6" refreshedVersion="0" background="1">
    <textPr prompt="0" fileType="mac" sourceFile="http://vocabulary.odm2.org/api/v1/samplingfeaturegeotype/?format=csv">
      <textFields>
        <textField/>
      </textFields>
    </textPr>
  </connection>
  <connection id="468" name="?format=csv61" type="6" refreshedVersion="0" background="1">
    <textPr prompt="0" fileType="mac" sourceFile="http://vocabulary.odm2.org/api/v1/samplingfeaturetype/?format=csv">
      <textFields>
        <textField/>
      </textFields>
    </textPr>
  </connection>
  <connection id="469" name="?format=csv62" type="6" refreshedVersion="0" background="1">
    <textPr prompt="0" fileType="mac" sourceFile="http://vocabulary.odm2.org/api/v1/sitetype/?format=csv">
      <textFields>
        <textField/>
      </textFields>
    </textPr>
  </connection>
  <connection id="470" name="?format=csv63" type="6" refreshedVersion="0" background="1">
    <textPr prompt="0" fileType="mac" sourceFile="http://vocabulary.odm2.org/api/v1/spatialoffsettype/?format=csv">
      <textFields>
        <textField/>
      </textFields>
    </textPr>
  </connection>
  <connection id="471" name="?format=csv64" type="6" refreshedVersion="0" background="1">
    <textPr prompt="0" fileType="mac" sourceFile="http://vocabulary.odm2.org/api/v1/speciation/?format=csv">
      <textFields>
        <textField/>
      </textFields>
    </textPr>
  </connection>
  <connection id="472" name="?format=csv65" type="6" refreshedVersion="0" background="1">
    <textPr prompt="0" fileType="mac" sourceFile="http://vocabulary.odm2.org/api/v1/medium/?format=csv">
      <textFields>
        <textField/>
      </textFields>
    </textPr>
  </connection>
  <connection id="473" name="?format=csv66" type="6" refreshedVersion="0" background="1">
    <textPr prompt="0" fileType="mac" sourceFile="http://vocabulary.odm2.org/api/v1/specimentype/?format=csv">
      <textFields>
        <textField/>
      </textFields>
    </textPr>
  </connection>
  <connection id="474" name="?format=csv67" type="6" refreshedVersion="0" background="1">
    <textPr prompt="0" fileType="mac" sourceFile="http://vocabulary.odm2.org/api/v1/status/?format=csv">
      <textFields>
        <textField/>
      </textFields>
    </textPr>
  </connection>
  <connection id="475" name="?format=csv68" type="6" refreshedVersion="0" background="1">
    <textPr prompt="0" fileType="mac" sourceFile="http://vocabulary.odm2.org/api/v1/taxonomicclassifiertype/?format=csv">
      <textFields>
        <textField/>
      </textFields>
    </textPr>
  </connection>
  <connection id="476" name="?format=csv69" type="6" refreshedVersion="0" background="1">
    <textPr prompt="0" fileType="mac" sourceFile="http://vocabulary.odm2.org/api/v1/variablename/?format=csv">
      <textFields>
        <textField/>
      </textFields>
    </textPr>
  </connection>
  <connection id="477" name="?format=csv7" type="6" refreshedVersion="0" background="1">
    <textPr prompt="0" fileType="mac" sourceFile="http://vocabulary.odm2.org/api/v1/Boolean/?format=csv">
      <textFields>
        <textField/>
      </textFields>
    </textPr>
  </connection>
  <connection id="478" name="?format=csv70" type="6" refreshedVersion="0" background="1">
    <textPr prompt="0" fileType="mac" sourceFile="http://vocabulary.odm2.org/api/v1/variabletype/?format=csv">
      <textFields>
        <textField/>
      </textFields>
    </textPr>
  </connection>
  <connection id="479" name="?format=csv71" type="6" refreshedVersion="0" background="1">
    <textPr prompt="0" fileType="mac" sourceFile="http://vocabulary.odm2.org/api/v1/unitstype/?format=csv">
      <textFields>
        <textField/>
      </textFields>
    </textPr>
  </connection>
  <connection id="480" name="?format=csv72" type="6" refreshedVersion="0" background="1">
    <textPr prompt="0" fileType="mac" sourceFile="http://vocabulary.odm2.org/api/v1/Boolean/?format=csv">
      <textFields>
        <textField/>
      </textFields>
    </textPr>
  </connection>
  <connection id="481" name="?format=csv73" type="6" refreshedVersion="0" background="1">
    <textPr prompt="0" fileType="mac" sourceFile="http://vocabulary.odm2.org/api/v1/NotApplicable/?format=csv">
      <textFields>
        <textField/>
      </textFields>
    </textPr>
  </connection>
  <connection id="482" name="?format=csv74" type="6" refreshedVersion="0" background="1">
    <textPr prompt="0" fileType="mac" sourceFile="http://vocabulary.odm2.org/api/v1/ApplicableDatasetTypes/?format=csv">
      <textFields>
        <textField/>
      </textFields>
    </textPr>
  </connection>
  <connection id="483" name="?format=csv75" type="6" refreshedVersion="0" background="1">
    <textPr prompt="0" fileType="mac" sourceFile="http://vocabulary.odm2.org/api/v1/ApplicableResultTypes/?format=csv">
      <textFields>
        <textField/>
      </textFields>
    </textPr>
  </connection>
  <connection id="484" name="?format=csv76" type="6" refreshedVersion="0" background="1">
    <textPr prompt="0" fileType="mac" sourceFile="http://vocabulary.odm2.org/api/v1/ApplicableMethodTypes/?format=csv">
      <textFields>
        <textField/>
      </textFields>
    </textPr>
  </connection>
  <connection id="485" name="?format=csv77" type="6" refreshedVersion="0" background="1">
    <textPr prompt="0" fileType="mac" sourceFile="http://vocabulary.odm2.org/api/v1/actiontype/?format=csv">
      <textFields>
        <textField/>
      </textFields>
    </textPr>
  </connection>
  <connection id="486" name="?format=csv78" type="6" refreshedVersion="0" background="1">
    <textPr prompt="0" fileType="mac" sourceFile="http://vocabulary.odm2.org/api/v1/aggregationstatistic/?format=csv">
      <textFields>
        <textField/>
      </textFields>
    </textPr>
  </connection>
  <connection id="487" name="?format=csv79" type="6" refreshedVersion="0" background="1">
    <textPr prompt="0" fileType="mac" sourceFile="http://vocabulary.odm2.org/api/v1/censorcode/?format=csv">
      <textFields>
        <textField/>
      </textFields>
    </textPr>
  </connection>
  <connection id="488" name="?format=csv8" type="6" refreshedVersion="0" background="1">
    <textPr prompt="0" fileType="mac" sourceFile="http://vocabulary.odm2.org/api/v1/Boolean/?format=csv">
      <textFields>
        <textField/>
      </textFields>
    </textPr>
  </connection>
  <connection id="489" name="?format=csv80" type="6" refreshedVersion="0" background="1">
    <textPr prompt="0" fileType="mac" sourceFile="http://vocabulary.odm2.org/api/v1/dataqualitytype/?format=csv">
      <textFields>
        <textField/>
      </textFields>
    </textPr>
  </connection>
  <connection id="490" name="?format=csv81" type="6" refreshedVersion="0" background="1">
    <textPr prompt="0" fileType="mac" sourceFile="http://vocabulary.odm2.org/api/v1/datasettype/?format=csv">
      <textFields>
        <textField/>
      </textFields>
    </textPr>
  </connection>
  <connection id="491" name="?format=csv82" type="6" refreshedVersion="0" background="1">
    <textPr prompt="0" fileType="mac" sourceFile="http://vocabulary.odm2.org/api/v1/directivetype/?format=csv">
      <textFields>
        <textField/>
      </textFields>
    </textPr>
  </connection>
  <connection id="492" name="?format=csv83" type="6" refreshedVersion="0" background="1">
    <textPr prompt="0" fileType="mac" sourceFile="http://vocabulary.odm2.org/api/v1/elevationdatum/?format=csv">
      <textFields>
        <textField/>
      </textFields>
    </textPr>
  </connection>
  <connection id="493" name="?format=csv84" type="6" refreshedVersion="0" background="1">
    <textPr prompt="0" fileType="mac" sourceFile="http://vocabulary.odm2.org/api/v1/equipmenttype/?format=csv">
      <textFields>
        <textField/>
      </textFields>
    </textPr>
  </connection>
  <connection id="494" name="?format=csv85" type="6" refreshedVersion="0" background="1">
    <textPr prompt="0" fileType="mac" sourceFile="http://vocabulary.odm2.org/api/v1/methodtype/?format=csv">
      <textFields>
        <textField/>
      </textFields>
    </textPr>
  </connection>
  <connection id="495" name="?format=csv86" type="6" refreshedVersion="0" background="1">
    <textPr prompt="0" fileType="mac" sourceFile="http://vocabulary.odm2.org/api/v1/organizationtype/?format=csv">
      <textFields>
        <textField/>
      </textFields>
    </textPr>
  </connection>
  <connection id="496" name="?format=csv87" type="6" refreshedVersion="0" background="1">
    <textPr prompt="0" fileType="mac" sourceFile="http://vocabulary.odm2.org/api/v1/propertydatatype/?format=csv">
      <textFields>
        <textField/>
      </textFields>
    </textPr>
  </connection>
  <connection id="497" name="?format=csv88" type="6" refreshedVersion="0" background="1">
    <textPr prompt="0" fileType="mac" sourceFile="http://vocabulary.odm2.org/api/v1/qualitycode/?format=csv">
      <textFields>
        <textField/>
      </textFields>
    </textPr>
  </connection>
  <connection id="498" name="?format=csv89" type="6" refreshedVersion="0" background="1">
    <textPr prompt="0" fileType="mac" sourceFile="http://vocabulary.odm2.org/api/v1/relationshiptype/?format=csv">
      <textFields>
        <textField/>
      </textFields>
    </textPr>
  </connection>
  <connection id="499" name="?format=csv9" type="6" refreshedVersion="0" background="1">
    <textPr prompt="0" fileType="mac" sourceFile="http://vocabulary.odm2.org/api/v1/Boolean/?format=csv">
      <textFields>
        <textField/>
      </textFields>
    </textPr>
  </connection>
  <connection id="500" name="?format=csv90" type="6" refreshedVersion="0" background="1">
    <textPr prompt="0" fileType="mac" sourceFile="http://vocabulary.odm2.org/api/v1/resulttype/?format=csv">
      <textFields>
        <textField/>
      </textFields>
    </textPr>
  </connection>
  <connection id="501" name="?format=csv91" type="6" refreshedVersion="0" background="1">
    <textPr prompt="0" fileType="mac" sourceFile="http://vocabulary.odm2.org/api/v1/samplingfeaturegeotype/?format=csv">
      <textFields>
        <textField/>
      </textFields>
    </textPr>
  </connection>
  <connection id="502" name="?format=csv92" type="6" refreshedVersion="0" background="1">
    <textPr prompt="0" fileType="mac" sourceFile="http://vocabulary.odm2.org/api/v1/samplingfeaturetype/?format=csv">
      <textFields>
        <textField/>
      </textFields>
    </textPr>
  </connection>
  <connection id="503" name="?format=csv93" type="6" refreshedVersion="0" background="1">
    <textPr prompt="0" fileType="mac" sourceFile="http://vocabulary.odm2.org/api/v1/sitetype/?format=csv">
      <textFields>
        <textField/>
      </textFields>
    </textPr>
  </connection>
  <connection id="504" name="?format=csv94" type="6" refreshedVersion="0" background="1">
    <textPr prompt="0" fileType="mac" sourceFile="http://vocabulary.odm2.org/api/v1/spatialoffsettype/?format=csv">
      <textFields>
        <textField/>
      </textFields>
    </textPr>
  </connection>
  <connection id="505" name="?format=csv95" type="6" refreshedVersion="0" background="1">
    <textPr prompt="0" fileType="mac" sourceFile="http://vocabulary.odm2.org/api/v1/speciation/?format=csv">
      <textFields>
        <textField/>
      </textFields>
    </textPr>
  </connection>
  <connection id="506" name="?format=csv96" type="6" refreshedVersion="0" background="1">
    <textPr prompt="0" fileType="mac" sourceFile="http://vocabulary.odm2.org/api/v1/medium/?format=csv">
      <textFields>
        <textField/>
      </textFields>
    </textPr>
  </connection>
  <connection id="507" name="?format=csv97" type="6" refreshedVersion="0" background="1">
    <textPr prompt="0" fileType="mac" sourceFile="http://vocabulary.odm2.org/api/v1/specimentype/?format=csv">
      <textFields>
        <textField/>
      </textFields>
    </textPr>
  </connection>
  <connection id="508" name="?format=csv98" type="6" refreshedVersion="0" background="1">
    <textPr prompt="0" fileType="mac" sourceFile="http://vocabulary.odm2.org/api/v1/status/?format=csv">
      <textFields>
        <textField/>
      </textFields>
    </textPr>
  </connection>
  <connection id="509" name="?format=csv99" type="6" refreshedVersion="0" background="1">
    <textPr prompt="0" fileType="mac" sourceFile="http://vocabulary.odm2.org/api/v1/taxonomicclassifiertype/?format=csv">
      <textFields>
        <textField/>
      </textFields>
    </textPr>
  </connection>
  <connection id="510" name="Connection" type="4" refreshedVersion="0" background="1">
    <webPr url="http://vocabulary.odm2.org/api/v1/Boolean/?format=csv" htmlTables="1" htmlFormat="all"/>
  </connection>
  <connection id="511" name="Connection1" type="4" refreshedVersion="0" background="1">
    <webPr url="http://vocabulary.odm2.org/api/v1/Boolean/?format=csv" htmlTables="1" htmlFormat="all"/>
  </connection>
  <connection id="512" name="Connection10" type="4" refreshedVersion="0" background="1">
    <webPr url="http://vocabulary.odm2.org/api/v1/censorcode/?format=csv" htmlTables="1" htmlFormat="all"/>
  </connection>
  <connection id="513" name="Connection100" type="4" refreshedVersion="0" background="1">
    <webPr url="http://vocabulary.odm2.org/api/v1/ApplicableMethodTypes/?format=csv" htmlTables="1" htmlFormat="all"/>
  </connection>
  <connection id="514" name="Connection101" type="4" refreshedVersion="0" background="1">
    <webPr url="http://vocabulary.odm2.org/api/v1/Boolean/?format=csv" htmlTables="1" htmlFormat="all"/>
  </connection>
  <connection id="515" name="Connection102" type="4" refreshedVersion="0" background="1">
    <webPr url="http://vocabulary.odm2.org/api/v1/Boolean/?format=csv" htmlTables="1" htmlFormat="all"/>
  </connection>
  <connection id="516" name="Connection103" type="4" refreshedVersion="0" background="1">
    <webPr url="http://vocabulary.odm2.org/api/v1/NotApplicable/?format=csv" htmlTables="1" htmlFormat="all"/>
  </connection>
  <connection id="517" name="Connection104" type="4" refreshedVersion="0" background="1">
    <webPr url="http://vocabulary.odm2.org/api/v1/ApplicableDatasetTypes/?format=csv" htmlTables="1" htmlFormat="all"/>
  </connection>
  <connection id="518" name="Connection105" type="4" refreshedVersion="0" background="1">
    <webPr url="http://vocabulary.odm2.org/api/v1/ApplicableResultTypes/?format=csv" htmlTables="1" htmlFormat="all"/>
  </connection>
  <connection id="519" name="Connection106" type="4" refreshedVersion="0" background="1">
    <webPr url="http://vocabulary.odm2.org/api/v1/ApplicableMethodTypes/?format=csv" htmlTables="1" htmlFormat="all"/>
  </connection>
  <connection id="520" name="Connection107" type="4" refreshedVersion="0" background="1">
    <webPr url="http://vocabulary.odm2.org/api/v1/NotApplicable/?format=csv" htmlTables="1" htmlFormat="all"/>
  </connection>
  <connection id="521" name="Connection108" type="4" refreshedVersion="0" background="1">
    <webPr url="http://vocabulary.odm2.org/api/v1/ApplicableDatasetTypes/?format=csv" htmlTables="1" htmlFormat="all"/>
  </connection>
  <connection id="522" name="Connection109" type="4" refreshedVersion="0" background="1">
    <webPr url="http://vocabulary.odm2.org/api/v1/ApplicableResultTypes/?format=csv" htmlTables="1" htmlFormat="all"/>
  </connection>
  <connection id="523" name="Connection11" type="4" refreshedVersion="0" background="1">
    <webPr url="http://vocabulary.odm2.org/api/v1/dataqualitytype/?format=csv" htmlTables="1" htmlFormat="all"/>
  </connection>
  <connection id="524" name="Connection110" type="4" refreshedVersion="0" background="1">
    <webPr url="http://vocabulary.odm2.org/api/v1/ApplicableMethodTypes/?format=csv" htmlTables="1" htmlFormat="all"/>
  </connection>
  <connection id="525" name="Connection111" type="4" refreshedVersion="0" background="1">
    <webPr url="http://vocabulary.odm2.org/api/v1/Boolean/?format=csv" htmlTables="1" htmlFormat="all"/>
  </connection>
  <connection id="526" name="Connection112" type="4" refreshedVersion="0" background="1">
    <webPr url="http://vocabulary.odm2.org/api/v1/Boolean/?format=csv" htmlTables="1" htmlFormat="all"/>
  </connection>
  <connection id="527" name="Connection113" type="4" refreshedVersion="0" background="1">
    <webPr url="http://vocabulary.odm2.org/api/v1/NotApplicable/?format=csv" htmlTables="1" htmlFormat="all"/>
  </connection>
  <connection id="528" name="Connection114" type="4" refreshedVersion="0" background="1">
    <webPr url="http://vocabulary.odm2.org/api/v1/ApplicableDatasetTypes/?format=csv" htmlTables="1" htmlFormat="all"/>
  </connection>
  <connection id="529" name="Connection115" type="4" refreshedVersion="0" background="1">
    <webPr url="http://vocabulary.odm2.org/api/v1/ApplicableResultTypes/?format=csv" htmlTables="1" htmlFormat="all"/>
  </connection>
  <connection id="530" name="Connection116" type="4" refreshedVersion="0" background="1">
    <webPr url="http://vocabulary.odm2.org/api/v1/ApplicableMethodTypes/?format=csv" htmlTables="1" htmlFormat="all"/>
  </connection>
  <connection id="531" name="Connection117" type="4" refreshedVersion="0" background="1">
    <webPr url="http://vocabulary.odm2.org/api/v1/NotApplicable/?format=csv" htmlTables="1" htmlFormat="all"/>
  </connection>
  <connection id="532" name="Connection118" type="4" refreshedVersion="0" background="1">
    <webPr url="http://vocabulary.odm2.org/api/v1/ApplicableDatasetTypes/?format=csv" htmlTables="1" htmlFormat="all"/>
  </connection>
  <connection id="533" name="Connection119" type="4" refreshedVersion="0" background="1">
    <webPr url="http://vocabulary.odm2.org/api/v1/ApplicableResultTypes/?format=csv" htmlTables="1" htmlFormat="all"/>
  </connection>
  <connection id="534" name="Connection12" type="4" refreshedVersion="0" background="1">
    <webPr url="http://vocabulary.odm2.org/api/v1/datasettype/?format=csv" htmlTables="1" htmlFormat="all"/>
  </connection>
  <connection id="535" name="Connection120" type="4" refreshedVersion="0" background="1">
    <webPr url="http://vocabulary.odm2.org/api/v1/ApplicableMethodTypes/?format=csv" htmlTables="1" htmlFormat="all"/>
  </connection>
  <connection id="536" name="Connection121" type="4" refreshedVersion="0" background="1">
    <webPr url="http://vocabulary.odm2.org/api/v1/Boolean/?format=csv" htmlTables="1" htmlFormat="all"/>
  </connection>
  <connection id="537" name="Connection122" type="4" refreshedVersion="0" background="1">
    <webPr url="http://vocabulary.odm2.org/api/v1/NotApplicable/?format=csv" htmlTables="1" htmlFormat="all"/>
  </connection>
  <connection id="538" name="Connection123" type="4" refreshedVersion="0" background="1">
    <webPr url="http://vocabulary.odm2.org/api/v1/ApplicableDatasetTypes/?format=csv" htmlTables="1" htmlFormat="all"/>
  </connection>
  <connection id="539" name="Connection124" type="4" refreshedVersion="0" background="1">
    <webPr url="http://vocabulary.odm2.org/api/v1/ApplicableResultTypes/?format=csv" htmlTables="1" htmlFormat="all"/>
  </connection>
  <connection id="540" name="Connection125" type="4" refreshedVersion="0" background="1">
    <webPr url="http://vocabulary.odm2.org/api/v1/ApplicableMethodTypes/?format=csv" htmlTables="1" htmlFormat="all"/>
  </connection>
  <connection id="541" name="Connection126" type="4" refreshedVersion="0" background="1">
    <webPr url="http://vocabulary.odm2.org/api/v1/Boolean/?format=csv" htmlTables="1" htmlFormat="all"/>
  </connection>
  <connection id="542" name="Connection127" type="4" refreshedVersion="0" background="1">
    <webPr url="http://vocabulary.odm2.org/api/v1/NotApplicable/?format=csv" htmlTables="1" htmlFormat="all"/>
  </connection>
  <connection id="543" name="Connection128" type="4" refreshedVersion="0" background="1">
    <webPr url="http://vocabulary.odm2.org/api/v1/ApplicableDatasetTypes/?format=csv" htmlTables="1" htmlFormat="all"/>
  </connection>
  <connection id="544" name="Connection129" type="4" refreshedVersion="0" background="1">
    <webPr url="http://vocabulary.odm2.org/api/v1/ApplicableResultTypes/?format=csv" htmlTables="1" htmlFormat="all"/>
  </connection>
  <connection id="545" name="Connection13" type="4" refreshedVersion="0" background="1">
    <webPr url="http://vocabulary.odm2.org/api/v1/directivetype/?format=csv" htmlTables="1" htmlFormat="all"/>
  </connection>
  <connection id="546" name="Connection130" type="4" refreshedVersion="0" background="1">
    <webPr url="http://vocabulary.odm2.org/api/v1/ApplicableMethodTypes/?format=csv" htmlTables="1" htmlFormat="all"/>
  </connection>
  <connection id="547" name="Connection131" type="4" refreshedVersion="0" background="1">
    <webPr url="http://vocabulary.odm2.org/api/v1/actiontype/?format=csv" htmlTables="1" htmlFormat="all"/>
  </connection>
  <connection id="548" name="Connection132" type="4" refreshedVersion="0" background="1">
    <webPr url="http://vocabulary.odm2.org/api/v1/aggregationstatistic/?format=csv" htmlTables="1" htmlFormat="all"/>
  </connection>
  <connection id="549" name="Connection133" type="4" refreshedVersion="0" background="1">
    <webPr url="http://vocabulary.odm2.org/api/v1/censorcode/?format=csv" htmlTables="1" htmlFormat="all"/>
  </connection>
  <connection id="550" name="Connection134" type="4" refreshedVersion="0" background="1">
    <webPr url="http://vocabulary.odm2.org/api/v1/dataqualitytype/?format=csv" htmlTables="1" htmlFormat="all"/>
  </connection>
  <connection id="551" name="Connection135" type="4" refreshedVersion="0" background="1">
    <webPr url="http://vocabulary.odm2.org/api/v1/datasettype/?format=csv" htmlTables="1" htmlFormat="all"/>
  </connection>
  <connection id="552" name="Connection136" type="4" refreshedVersion="0" background="1">
    <webPr url="http://vocabulary.odm2.org/api/v1/directivetype/?format=csv" htmlTables="1" htmlFormat="all"/>
  </connection>
  <connection id="553" name="Connection137" type="4" refreshedVersion="0" background="1">
    <webPr url="http://vocabulary.odm2.org/api/v1/elevationdatum/?format=csv" htmlTables="1" htmlFormat="all"/>
  </connection>
  <connection id="554" name="Connection138" type="4" refreshedVersion="0" background="1">
    <webPr url="http://vocabulary.odm2.org/api/v1/equipmenttype/?format=csv" htmlTables="1" htmlFormat="all"/>
  </connection>
  <connection id="555" name="Connection139" type="4" refreshedVersion="0" background="1">
    <webPr url="http://vocabulary.odm2.org/api/v1/methodtype/?format=csv" htmlTables="1" htmlFormat="all"/>
  </connection>
  <connection id="556" name="Connection14" type="4" refreshedVersion="0" background="1">
    <webPr url="http://vocabulary.odm2.org/api/v1/elevationdatum/?format=csv" htmlTables="1" htmlFormat="all"/>
  </connection>
  <connection id="557" name="Connection140" type="4" refreshedVersion="0" background="1">
    <webPr url="http://vocabulary.odm2.org/api/v1/organizationtype/?format=csv" htmlTables="1" htmlFormat="all"/>
  </connection>
  <connection id="558" name="Connection141" type="4" refreshedVersion="0" background="1">
    <webPr url="http://vocabulary.odm2.org/api/v1/propertydatatype/?format=csv" htmlTables="1" htmlFormat="all"/>
  </connection>
  <connection id="559" name="Connection142" type="4" refreshedVersion="0" background="1">
    <webPr url="http://vocabulary.odm2.org/api/v1/qualitycode/?format=csv" htmlTables="1" htmlFormat="all"/>
  </connection>
  <connection id="560" name="Connection143" type="4" refreshedVersion="0" background="1">
    <webPr url="http://vocabulary.odm2.org/api/v1/relationshiptype/?format=csv" htmlTables="1" htmlFormat="all"/>
  </connection>
  <connection id="561" name="Connection144" type="4" refreshedVersion="0" background="1">
    <webPr url="http://vocabulary.odm2.org/api/v1/resulttype/?format=csv" htmlTables="1" htmlFormat="all"/>
  </connection>
  <connection id="562" name="Connection145" type="4" refreshedVersion="0" background="1">
    <webPr url="http://vocabulary.odm2.org/api/v1/samplingfeaturegeotype/?format=csv" htmlTables="1" htmlFormat="all"/>
  </connection>
  <connection id="563" name="Connection146" type="4" refreshedVersion="0" background="1">
    <webPr url="http://vocabulary.odm2.org/api/v1/samplingfeaturetype/?format=csv" htmlTables="1" htmlFormat="all"/>
  </connection>
  <connection id="564" name="Connection147" type="4" refreshedVersion="0" background="1">
    <webPr url="http://vocabulary.odm2.org/api/v1/sitetype/?format=csv" htmlTables="1" htmlFormat="all"/>
  </connection>
  <connection id="565" name="Connection148" type="4" refreshedVersion="0" background="1">
    <webPr url="http://vocabulary.odm2.org/api/v1/spatialoffsettype/?format=csv" htmlTables="1" htmlFormat="all"/>
  </connection>
  <connection id="566" name="Connection149" type="4" refreshedVersion="0" background="1">
    <webPr url="http://vocabulary.odm2.org/api/v1/speciation/?format=csv" htmlTables="1" htmlFormat="all"/>
  </connection>
  <connection id="567" name="Connection15" type="4" refreshedVersion="0" background="1">
    <webPr url="http://vocabulary.odm2.org/api/v1/equipmenttype/?format=csv" htmlTables="1" htmlFormat="all"/>
  </connection>
  <connection id="568" name="Connection150" type="4" refreshedVersion="0" background="1">
    <webPr url="http://vocabulary.odm2.org/api/v1/medium/?format=csv" htmlTables="1" htmlFormat="all"/>
  </connection>
  <connection id="569" name="Connection151" type="4" refreshedVersion="0" background="1">
    <webPr url="http://vocabulary.odm2.org/api/v1/specimentype/?format=csv" htmlTables="1" htmlFormat="all"/>
  </connection>
  <connection id="570" name="Connection152" type="4" refreshedVersion="0" background="1">
    <webPr url="http://vocabulary.odm2.org/api/v1/status/?format=csv" htmlTables="1" htmlFormat="all"/>
  </connection>
  <connection id="571" name="Connection153" type="4" refreshedVersion="0" background="1">
    <webPr url="http://vocabulary.odm2.org/api/v1/taxonomicclassifiertype/?format=csv" htmlTables="1" htmlFormat="all"/>
  </connection>
  <connection id="572" name="Connection154" type="4" refreshedVersion="0" background="1">
    <webPr url="http://vocabulary.odm2.org/api/v1/variablename/?format=csv" htmlTables="1" htmlFormat="all"/>
  </connection>
  <connection id="573" name="Connection155" type="4" refreshedVersion="0" background="1">
    <webPr url="http://vocabulary.odm2.org/api/v1/variabletype/?format=csv" htmlTables="1" htmlFormat="all"/>
  </connection>
  <connection id="574" name="Connection156" type="4" refreshedVersion="0" background="1">
    <webPr url="http://vocabulary.odm2.org/api/v1/unitstype/?format=csv" htmlTables="1" htmlFormat="all"/>
  </connection>
  <connection id="575" name="Connection157" type="4" refreshedVersion="0" background="1">
    <webPr url="http://vocabulary.odm2.org/api/v1/Boolean/?format=csv" htmlTables="1" htmlFormat="all"/>
  </connection>
  <connection id="576" name="Connection158" type="4" refreshedVersion="0" background="1">
    <webPr url="http://vocabulary.odm2.org/api/v1/NotApplicable/?format=csv" htmlTables="1" htmlFormat="all"/>
  </connection>
  <connection id="577" name="Connection159" type="4" refreshedVersion="0" background="1">
    <webPr url="http://vocabulary.odm2.org/api/v1/ApplicableDatasetTypes/?format=csv" htmlTables="1" htmlFormat="all"/>
  </connection>
  <connection id="578" name="Connection16" type="4" refreshedVersion="0" background="1">
    <webPr url="http://vocabulary.odm2.org/api/v1/methodtype/?format=csv" htmlTables="1" htmlFormat="all"/>
  </connection>
  <connection id="579" name="Connection160" type="4" refreshedVersion="0" background="1">
    <webPr url="http://vocabulary.odm2.org/api/v1/ApplicableResultTypes/?format=csv" htmlTables="1" htmlFormat="all"/>
  </connection>
  <connection id="580" name="Connection161" type="4" refreshedVersion="0" background="1">
    <webPr url="http://vocabulary.odm2.org/api/v1/ApplicableMethodTypes/?format=csv" htmlTables="1" htmlFormat="all"/>
  </connection>
  <connection id="581" name="Connection162" type="4" refreshedVersion="0" background="1">
    <webPr url="http://vocabulary.odm2.org/api/v1/actiontype/?format=csv" htmlTables="1" htmlFormat="all"/>
  </connection>
  <connection id="582" name="Connection163" type="4" refreshedVersion="0" background="1">
    <webPr url="http://vocabulary.odm2.org/api/v1/aggregationstatistic/?format=csv" htmlTables="1" htmlFormat="all"/>
  </connection>
  <connection id="583" name="Connection164" type="4" refreshedVersion="0" background="1">
    <webPr url="http://vocabulary.odm2.org/api/v1/censorcode/?format=csv" htmlTables="1" htmlFormat="all"/>
  </connection>
  <connection id="584" name="Connection165" type="4" refreshedVersion="0" background="1">
    <webPr url="http://vocabulary.odm2.org/api/v1/dataqualitytype/?format=csv" htmlTables="1" htmlFormat="all"/>
  </connection>
  <connection id="585" name="Connection166" type="4" refreshedVersion="0" background="1">
    <webPr url="http://vocabulary.odm2.org/api/v1/datasettype/?format=csv" htmlTables="1" htmlFormat="all"/>
  </connection>
  <connection id="586" name="Connection167" type="4" refreshedVersion="0" background="1">
    <webPr url="http://vocabulary.odm2.org/api/v1/directivetype/?format=csv" htmlTables="1" htmlFormat="all"/>
  </connection>
  <connection id="587" name="Connection168" type="4" refreshedVersion="0" background="1">
    <webPr url="http://vocabulary.odm2.org/api/v1/elevationdatum/?format=csv" htmlTables="1" htmlFormat="all"/>
  </connection>
  <connection id="588" name="Connection169" type="4" refreshedVersion="0" background="1">
    <webPr url="http://vocabulary.odm2.org/api/v1/equipmenttype/?format=csv" htmlTables="1" htmlFormat="all"/>
  </connection>
  <connection id="589" name="Connection17" type="4" refreshedVersion="0" background="1">
    <webPr url="http://vocabulary.odm2.org/api/v1/organizationtype/?format=csv" htmlTables="1" htmlFormat="all"/>
  </connection>
  <connection id="590" name="Connection170" type="4" refreshedVersion="0" background="1">
    <webPr url="http://vocabulary.odm2.org/api/v1/methodtype/?format=csv" htmlTables="1" htmlFormat="all"/>
  </connection>
  <connection id="591" name="Connection171" type="4" refreshedVersion="0" background="1">
    <webPr url="http://vocabulary.odm2.org/api/v1/organizationtype/?format=csv" htmlTables="1" htmlFormat="all"/>
  </connection>
  <connection id="592" name="Connection172" type="4" refreshedVersion="0" background="1">
    <webPr url="http://vocabulary.odm2.org/api/v1/propertydatatype/?format=csv" htmlTables="1" htmlFormat="all"/>
  </connection>
  <connection id="593" name="Connection173" type="4" refreshedVersion="0" background="1">
    <webPr url="http://vocabulary.odm2.org/api/v1/qualitycode/?format=csv" htmlTables="1" htmlFormat="all"/>
  </connection>
  <connection id="594" name="Connection174" type="4" refreshedVersion="0" background="1">
    <webPr url="http://vocabulary.odm2.org/api/v1/relationshiptype/?format=csv" htmlTables="1" htmlFormat="all"/>
  </connection>
  <connection id="595" name="Connection175" type="4" refreshedVersion="0" background="1">
    <webPr url="http://vocabulary.odm2.org/api/v1/resulttype/?format=csv" htmlTables="1" htmlFormat="all"/>
  </connection>
  <connection id="596" name="Connection176" type="4" refreshedVersion="0" background="1">
    <webPr url="http://vocabulary.odm2.org/api/v1/samplingfeaturegeotype/?format=csv" htmlTables="1" htmlFormat="all"/>
  </connection>
  <connection id="597" name="Connection177" type="4" refreshedVersion="0" background="1">
    <webPr url="http://vocabulary.odm2.org/api/v1/samplingfeaturetype/?format=csv" htmlTables="1" htmlFormat="all"/>
  </connection>
  <connection id="598" name="Connection178" type="4" refreshedVersion="0" background="1">
    <webPr url="http://vocabulary.odm2.org/api/v1/sitetype/?format=csv" htmlTables="1" htmlFormat="all"/>
  </connection>
  <connection id="599" name="Connection179" type="4" refreshedVersion="0" background="1">
    <webPr url="http://vocabulary.odm2.org/api/v1/spatialoffsettype/?format=csv" htmlTables="1" htmlFormat="all"/>
  </connection>
  <connection id="600" name="Connection18" type="4" refreshedVersion="0" background="1">
    <webPr url="http://vocabulary.odm2.org/api/v1/propertydatatype/?format=csv" htmlTables="1" htmlFormat="all"/>
  </connection>
  <connection id="601" name="Connection180" type="4" refreshedVersion="0" background="1">
    <webPr url="http://vocabulary.odm2.org/api/v1/speciation/?format=csv" htmlTables="1" htmlFormat="all"/>
  </connection>
  <connection id="602" name="Connection181" type="4" refreshedVersion="0" background="1">
    <webPr url="http://vocabulary.odm2.org/api/v1/medium/?format=csv" htmlTables="1" htmlFormat="all"/>
  </connection>
  <connection id="603" name="Connection182" type="4" refreshedVersion="0" background="1">
    <webPr url="http://vocabulary.odm2.org/api/v1/specimentype/?format=csv" htmlTables="1" htmlFormat="all"/>
  </connection>
  <connection id="604" name="Connection183" type="4" refreshedVersion="0" background="1">
    <webPr url="http://vocabulary.odm2.org/api/v1/status/?format=csv" htmlTables="1" htmlFormat="all"/>
  </connection>
  <connection id="605" name="Connection184" type="4" refreshedVersion="0" background="1">
    <webPr url="http://vocabulary.odm2.org/api/v1/taxonomicclassifiertype/?format=csv" htmlTables="1" htmlFormat="all"/>
  </connection>
  <connection id="606" name="Connection185" type="4" refreshedVersion="0" background="1">
    <webPr url="http://vocabulary.odm2.org/api/v1/variablename/?format=csv" htmlTables="1" htmlFormat="all"/>
  </connection>
  <connection id="607" name="Connection186" type="4" refreshedVersion="0" background="1">
    <webPr url="http://vocabulary.odm2.org/api/v1/variabletype/?format=csv" htmlTables="1" htmlFormat="all"/>
  </connection>
  <connection id="608" name="Connection187" type="4" refreshedVersion="0" background="1">
    <webPr url="http://vocabulary.odm2.org/api/v1/unitstype/?format=csv" htmlTables="1" htmlFormat="all"/>
  </connection>
  <connection id="609" name="Connection188" type="4" refreshedVersion="0" background="1">
    <webPr url="http://vocabulary.odm2.org/api/v1/Boolean/?format=csv" htmlTables="1" htmlFormat="all"/>
  </connection>
  <connection id="610" name="Connection189" type="4" refreshedVersion="0" background="1">
    <webPr url="http://vocabulary.odm2.org/api/v1/NotApplicable/?format=csv" htmlTables="1" htmlFormat="all"/>
  </connection>
  <connection id="611" name="Connection19" type="4" refreshedVersion="0" background="1">
    <webPr url="http://vocabulary.odm2.org/api/v1/qualitycode/?format=csv" htmlTables="1" htmlFormat="all"/>
  </connection>
  <connection id="612" name="Connection190" type="4" refreshedVersion="0" background="1">
    <webPr url="http://vocabulary.odm2.org/api/v1/ApplicableDatasetTypes/?format=csv" htmlTables="1" htmlFormat="all"/>
  </connection>
  <connection id="613" name="Connection191" type="4" refreshedVersion="0" background="1">
    <webPr url="http://vocabulary.odm2.org/api/v1/ApplicableResultTypes/?format=csv" htmlTables="1" htmlFormat="all"/>
  </connection>
  <connection id="614" name="Connection192" type="4" refreshedVersion="0" background="1">
    <webPr url="http://vocabulary.odm2.org/api/v1/ApplicableMethodTypes/?format=csv" htmlTables="1" htmlFormat="all"/>
  </connection>
  <connection id="615" name="Connection193" type="4" refreshedVersion="0" background="1">
    <webPr url="http://vocabulary.odm2.org/api/v1/actiontype/?format=csv" htmlTables="1" htmlFormat="all"/>
  </connection>
  <connection id="616" name="Connection194" type="4" refreshedVersion="0" background="1">
    <webPr url="http://vocabulary.odm2.org/api/v1/aggregationstatistic/?format=csv" htmlTables="1" htmlFormat="all"/>
  </connection>
  <connection id="617" name="Connection195" type="4" refreshedVersion="0" background="1">
    <webPr url="http://vocabulary.odm2.org/api/v1/censorcode/?format=csv" htmlTables="1" htmlFormat="all"/>
  </connection>
  <connection id="618" name="Connection196" type="4" refreshedVersion="0" background="1">
    <webPr url="http://vocabulary.odm2.org/api/v1/dataqualitytype/?format=csv" htmlTables="1" htmlFormat="all"/>
  </connection>
  <connection id="619" name="Connection197" type="4" refreshedVersion="0" background="1">
    <webPr url="http://vocabulary.odm2.org/api/v1/datasettype/?format=csv" htmlTables="1" htmlFormat="all"/>
  </connection>
  <connection id="620" name="Connection198" type="4" refreshedVersion="0" background="1">
    <webPr url="http://vocabulary.odm2.org/api/v1/directivetype/?format=csv" htmlTables="1" htmlFormat="all"/>
  </connection>
  <connection id="621" name="Connection199" type="4" refreshedVersion="0" background="1">
    <webPr url="http://vocabulary.odm2.org/api/v1/elevationdatum/?format=csv" htmlTables="1" htmlFormat="all"/>
  </connection>
  <connection id="622" name="Connection2" type="4" refreshedVersion="0" background="1" saveData="1">
    <webPr url="http://vocabulary.odm2.org/api/v1/Boolean/?format=csv" htmlTables="1" htmlFormat="all"/>
  </connection>
  <connection id="623" name="Connection20" type="4" refreshedVersion="0" background="1">
    <webPr url="http://vocabulary.odm2.org/api/v1/relationshiptype/?format=csv" htmlTables="1" htmlFormat="all"/>
  </connection>
  <connection id="624" name="Connection200" type="4" refreshedVersion="0" background="1">
    <webPr url="http://vocabulary.odm2.org/api/v1/equipmenttype/?format=csv" htmlTables="1" htmlFormat="all"/>
  </connection>
  <connection id="625" name="Connection201" type="4" refreshedVersion="0" background="1">
    <webPr url="http://vocabulary.odm2.org/api/v1/methodtype/?format=csv" htmlTables="1" htmlFormat="all"/>
  </connection>
  <connection id="626" name="Connection202" type="4" refreshedVersion="0" background="1">
    <webPr url="http://vocabulary.odm2.org/api/v1/organizationtype/?format=csv" htmlTables="1" htmlFormat="all"/>
  </connection>
  <connection id="627" name="Connection203" type="4" refreshedVersion="0" background="1">
    <webPr url="http://vocabulary.odm2.org/api/v1/propertydatatype/?format=csv" htmlTables="1" htmlFormat="all"/>
  </connection>
  <connection id="628" name="Connection204" type="4" refreshedVersion="0" background="1">
    <webPr url="http://vocabulary.odm2.org/api/v1/qualitycode/?format=csv" htmlTables="1" htmlFormat="all"/>
  </connection>
  <connection id="629" name="Connection205" type="4" refreshedVersion="0" background="1">
    <webPr url="http://vocabulary.odm2.org/api/v1/relationshiptype/?format=csv" htmlTables="1" htmlFormat="all"/>
  </connection>
  <connection id="630" name="Connection206" type="4" refreshedVersion="0" background="1">
    <webPr url="http://vocabulary.odm2.org/api/v1/resulttype/?format=csv" htmlTables="1" htmlFormat="all"/>
  </connection>
  <connection id="631" name="Connection207" type="4" refreshedVersion="0" background="1">
    <webPr url="http://vocabulary.odm2.org/api/v1/samplingfeaturegeotype/?format=csv" htmlTables="1" htmlFormat="all"/>
  </connection>
  <connection id="632" name="Connection208" type="4" refreshedVersion="0" background="1">
    <webPr url="http://vocabulary.odm2.org/api/v1/samplingfeaturetype/?format=csv" htmlTables="1" htmlFormat="all"/>
  </connection>
  <connection id="633" name="Connection209" type="4" refreshedVersion="0" background="1">
    <webPr url="http://vocabulary.odm2.org/api/v1/sitetype/?format=csv" htmlTables="1" htmlFormat="all"/>
  </connection>
  <connection id="634" name="Connection21" type="4" refreshedVersion="0" background="1">
    <webPr url="http://vocabulary.odm2.org/api/v1/resulttype/?format=csv" htmlTables="1" htmlFormat="all"/>
  </connection>
  <connection id="635" name="Connection210" type="4" refreshedVersion="0" background="1">
    <webPr url="http://vocabulary.odm2.org/api/v1/spatialoffsettype/?format=csv" htmlTables="1" htmlFormat="all"/>
  </connection>
  <connection id="636" name="Connection211" type="4" refreshedVersion="0" background="1">
    <webPr url="http://vocabulary.odm2.org/api/v1/speciation/?format=csv" htmlTables="1" htmlFormat="all"/>
  </connection>
  <connection id="637" name="Connection212" type="4" refreshedVersion="0" background="1">
    <webPr url="http://vocabulary.odm2.org/api/v1/medium/?format=csv" htmlTables="1" htmlFormat="all"/>
  </connection>
  <connection id="638" name="Connection213" type="4" refreshedVersion="0" background="1">
    <webPr url="http://vocabulary.odm2.org/api/v1/specimentype/?format=csv" htmlTables="1" htmlFormat="all"/>
  </connection>
  <connection id="639" name="Connection214" type="4" refreshedVersion="0" background="1">
    <webPr url="http://vocabulary.odm2.org/api/v1/status/?format=csv" htmlTables="1" htmlFormat="all"/>
  </connection>
  <connection id="640" name="Connection215" type="4" refreshedVersion="0" background="1">
    <webPr url="http://vocabulary.odm2.org/api/v1/taxonomicclassifiertype/?format=csv" htmlTables="1" htmlFormat="all"/>
  </connection>
  <connection id="641" name="Connection216" type="4" refreshedVersion="0" background="1">
    <webPr url="http://vocabulary.odm2.org/api/v1/variablename/?format=csv" htmlTables="1" htmlFormat="all"/>
  </connection>
  <connection id="642" name="Connection217" type="4" refreshedVersion="0" background="1">
    <webPr url="http://vocabulary.odm2.org/api/v1/variabletype/?format=csv" htmlTables="1" htmlFormat="all"/>
  </connection>
  <connection id="643" name="Connection218" type="4" refreshedVersion="0" background="1">
    <webPr url="http://vocabulary.odm2.org/api/v1/unitstype/?format=csv" htmlTables="1" htmlFormat="all"/>
  </connection>
  <connection id="644" name="Connection219" type="4" refreshedVersion="0" background="1">
    <webPr url="http://vocabulary.odm2.org/api/v1/Boolean/?format=csv" htmlTables="1" htmlFormat="all"/>
  </connection>
  <connection id="645" name="Connection22" type="4" refreshedVersion="0" background="1">
    <webPr url="http://vocabulary.odm2.org/api/v1/samplingfeaturegeotype/?format=csv" htmlTables="1" htmlFormat="all"/>
  </connection>
  <connection id="646" name="Connection220" type="4" refreshedVersion="0" background="1">
    <webPr url="http://vocabulary.odm2.org/api/v1/NotApplicable/?format=csv" htmlTables="1" htmlFormat="all"/>
  </connection>
  <connection id="647" name="Connection221" type="4" refreshedVersion="0" background="1">
    <webPr url="http://vocabulary.odm2.org/api/v1/ApplicableDatasetTypes/?format=csv" htmlTables="1" htmlFormat="all"/>
  </connection>
  <connection id="648" name="Connection222" type="4" refreshedVersion="0" background="1">
    <webPr url="http://vocabulary.odm2.org/api/v1/ApplicableResultTypes/?format=csv" htmlTables="1" htmlFormat="all"/>
  </connection>
  <connection id="649" name="Connection223" type="4" refreshedVersion="0" background="1">
    <webPr url="http://vocabulary.odm2.org/api/v1/ApplicableMethodTypes/?format=csv" htmlTables="1" htmlFormat="all"/>
  </connection>
  <connection id="650" name="Connection224" type="4" refreshedVersion="0" background="1">
    <webPr url="http://vocabulary.odm2.org/api/v1/actiontype/?format=csv" htmlTables="1" htmlFormat="all"/>
  </connection>
  <connection id="651" name="Connection225" type="4" refreshedVersion="0" background="1">
    <webPr url="http://vocabulary.odm2.org/api/v1/aggregationstatistic/?format=csv" htmlTables="1" htmlFormat="all"/>
  </connection>
  <connection id="652" name="Connection226" type="4" refreshedVersion="0" background="1">
    <webPr url="http://vocabulary.odm2.org/api/v1/censorcode/?format=csv" htmlTables="1" htmlFormat="all"/>
  </connection>
  <connection id="653" name="Connection227" type="4" refreshedVersion="0" background="1">
    <webPr url="http://vocabulary.odm2.org/api/v1/dataqualitytype/?format=csv" htmlTables="1" htmlFormat="all"/>
  </connection>
  <connection id="654" name="Connection228" type="4" refreshedVersion="0" background="1">
    <webPr url="http://vocabulary.odm2.org/api/v1/datasettype/?format=csv" htmlTables="1" htmlFormat="all"/>
  </connection>
  <connection id="655" name="Connection229" type="4" refreshedVersion="0" background="1">
    <webPr url="http://vocabulary.odm2.org/api/v1/directivetype/?format=csv" htmlTables="1" htmlFormat="all"/>
  </connection>
  <connection id="656" name="Connection23" type="4" refreshedVersion="0" background="1">
    <webPr url="http://vocabulary.odm2.org/api/v1/samplingfeaturetype/?format=csv" htmlTables="1" htmlFormat="all"/>
  </connection>
  <connection id="657" name="Connection230" type="4" refreshedVersion="0" background="1">
    <webPr url="http://vocabulary.odm2.org/api/v1/elevationdatum/?format=csv" htmlTables="1" htmlFormat="all"/>
  </connection>
  <connection id="658" name="Connection231" type="4" refreshedVersion="0" background="1">
    <webPr url="http://vocabulary.odm2.org/api/v1/equipmenttype/?format=csv" htmlTables="1" htmlFormat="all"/>
  </connection>
  <connection id="659" name="Connection232" type="4" refreshedVersion="0" background="1">
    <webPr url="http://vocabulary.odm2.org/api/v1/methodtype/?format=csv" htmlTables="1" htmlFormat="all"/>
  </connection>
  <connection id="660" name="Connection233" type="4" refreshedVersion="0" background="1">
    <webPr url="http://vocabulary.odm2.org/api/v1/organizationtype/?format=csv" htmlTables="1" htmlFormat="all"/>
  </connection>
  <connection id="661" name="Connection234" type="4" refreshedVersion="0" background="1">
    <webPr url="http://vocabulary.odm2.org/api/v1/propertydatatype/?format=csv" htmlTables="1" htmlFormat="all"/>
  </connection>
  <connection id="662" name="Connection235" type="4" refreshedVersion="0" background="1">
    <webPr url="http://vocabulary.odm2.org/api/v1/qualitycode/?format=csv" htmlTables="1" htmlFormat="all"/>
  </connection>
  <connection id="663" name="Connection236" type="4" refreshedVersion="0" background="1">
    <webPr url="http://vocabulary.odm2.org/api/v1/relationshiptype/?format=csv" htmlTables="1" htmlFormat="all"/>
  </connection>
  <connection id="664" name="Connection237" type="4" refreshedVersion="0" background="1">
    <webPr url="http://vocabulary.odm2.org/api/v1/resulttype/?format=csv" htmlTables="1" htmlFormat="all"/>
  </connection>
  <connection id="665" name="Connection238" type="4" refreshedVersion="0" background="1">
    <webPr url="http://vocabulary.odm2.org/api/v1/samplingfeaturegeotype/?format=csv" htmlTables="1" htmlFormat="all"/>
  </connection>
  <connection id="666" name="Connection239" type="4" refreshedVersion="0" background="1">
    <webPr url="http://vocabulary.odm2.org/api/v1/samplingfeaturetype/?format=csv" htmlTables="1" htmlFormat="all"/>
  </connection>
  <connection id="667" name="Connection24" type="4" refreshedVersion="0" background="1">
    <webPr url="http://vocabulary.odm2.org/api/v1/sitetype/?format=csv" htmlTables="1" htmlFormat="all"/>
  </connection>
  <connection id="668" name="Connection240" type="4" refreshedVersion="0" background="1">
    <webPr url="http://vocabulary.odm2.org/api/v1/sitetype/?format=csv" htmlTables="1" htmlFormat="all"/>
  </connection>
  <connection id="669" name="Connection241" type="4" refreshedVersion="0" background="1">
    <webPr url="http://vocabulary.odm2.org/api/v1/spatialoffsettype/?format=csv" htmlTables="1" htmlFormat="all"/>
  </connection>
  <connection id="670" name="Connection242" type="4" refreshedVersion="0" background="1">
    <webPr url="http://vocabulary.odm2.org/api/v1/speciation/?format=csv" htmlTables="1" htmlFormat="all"/>
  </connection>
  <connection id="671" name="Connection243" type="4" refreshedVersion="0" background="1">
    <webPr url="http://vocabulary.odm2.org/api/v1/medium/?format=csv" htmlTables="1" htmlFormat="all"/>
  </connection>
  <connection id="672" name="Connection244" type="4" refreshedVersion="0" background="1">
    <webPr url="http://vocabulary.odm2.org/api/v1/specimentype/?format=csv" htmlTables="1" htmlFormat="all"/>
  </connection>
  <connection id="673" name="Connection245" type="4" refreshedVersion="0" background="1">
    <webPr url="http://vocabulary.odm2.org/api/v1/status/?format=csv" htmlTables="1" htmlFormat="all"/>
  </connection>
  <connection id="674" name="Connection246" type="4" refreshedVersion="0" background="1">
    <webPr url="http://vocabulary.odm2.org/api/v1/taxonomicclassifiertype/?format=csv" htmlTables="1" htmlFormat="all"/>
  </connection>
  <connection id="675" name="Connection247" type="4" refreshedVersion="0" background="1">
    <webPr url="http://vocabulary.odm2.org/api/v1/variablename/?format=csv" htmlTables="1" htmlFormat="all"/>
  </connection>
  <connection id="676" name="Connection248" type="4" refreshedVersion="0" background="1">
    <webPr url="http://vocabulary.odm2.org/api/v1/variabletype/?format=csv" htmlTables="1" htmlFormat="all"/>
  </connection>
  <connection id="677" name="Connection249" type="4" refreshedVersion="0" background="1">
    <webPr url="http://vocabulary.odm2.org/api/v1/unitstype/?format=csv" htmlTables="1" htmlFormat="all"/>
  </connection>
  <connection id="678" name="Connection25" type="4" refreshedVersion="0" background="1">
    <webPr url="http://vocabulary.odm2.org/api/v1/spatialoffsettype/?format=csv" htmlTables="1" htmlFormat="all"/>
  </connection>
  <connection id="679" name="Connection250" type="4" refreshedVersion="0" background="1">
    <webPr url="http://vocabulary.odm2.org/api/v1/Boolean/?format=csv" htmlTables="1" htmlFormat="all"/>
  </connection>
  <connection id="680" name="Connection251" type="4" refreshedVersion="0" background="1">
    <webPr url="http://vocabulary.odm2.org/api/v1/NotApplicable/?format=csv" htmlTables="1" htmlFormat="all"/>
  </connection>
  <connection id="681" name="Connection252" type="4" refreshedVersion="0" background="1">
    <webPr url="http://vocabulary.odm2.org/api/v1/ApplicableDatasetTypes/?format=csv" htmlTables="1" htmlFormat="all"/>
  </connection>
  <connection id="682" name="Connection253" type="4" refreshedVersion="0" background="1">
    <webPr url="http://vocabulary.odm2.org/api/v1/ApplicableResultTypes/?format=csv" htmlTables="1" htmlFormat="all"/>
  </connection>
  <connection id="683" name="Connection254" type="4" refreshedVersion="0" background="1">
    <webPr url="http://vocabulary.odm2.org/api/v1/ApplicableMethodTypes/?format=csv" htmlTables="1" htmlFormat="all"/>
  </connection>
  <connection id="684" name="Connection255" type="4" refreshedVersion="0" background="1">
    <webPr url="http://vocabulary.odm2.org/api/v1/actiontype/?format=csv" htmlTables="1" htmlFormat="all"/>
  </connection>
  <connection id="685" name="Connection256" type="4" refreshedVersion="0" background="1">
    <webPr url="http://vocabulary.odm2.org/api/v1/aggregationstatistic/?format=csv" htmlTables="1" htmlFormat="all"/>
  </connection>
  <connection id="686" name="Connection257" type="4" refreshedVersion="0" background="1">
    <webPr url="http://vocabulary.odm2.org/api/v1/censorcode/?format=csv" htmlTables="1" htmlFormat="all"/>
  </connection>
  <connection id="687" name="Connection258" type="4" refreshedVersion="0" background="1">
    <webPr url="http://vocabulary.odm2.org/api/v1/dataqualitytype/?format=csv" htmlTables="1" htmlFormat="all"/>
  </connection>
  <connection id="688" name="Connection259" type="4" refreshedVersion="0" background="1">
    <webPr url="http://vocabulary.odm2.org/api/v1/datasettype/?format=csv" htmlTables="1" htmlFormat="all"/>
  </connection>
  <connection id="689" name="Connection26" type="4" refreshedVersion="0" background="1">
    <webPr url="http://vocabulary.odm2.org/api/v1/speciation/?format=csv" htmlTables="1" htmlFormat="all"/>
  </connection>
  <connection id="690" name="Connection260" type="4" refreshedVersion="0" background="1">
    <webPr url="http://vocabulary.odm2.org/api/v1/directivetype/?format=csv" htmlTables="1" htmlFormat="all"/>
  </connection>
  <connection id="691" name="Connection261" type="4" refreshedVersion="0" background="1">
    <webPr url="http://vocabulary.odm2.org/api/v1/elevationdatum/?format=csv" htmlTables="1" htmlFormat="all"/>
  </connection>
  <connection id="692" name="Connection262" type="4" refreshedVersion="0" background="1">
    <webPr url="http://vocabulary.odm2.org/api/v1/equipmenttype/?format=csv" htmlTables="1" htmlFormat="all"/>
  </connection>
  <connection id="693" name="Connection263" type="4" refreshedVersion="0" background="1">
    <webPr url="http://vocabulary.odm2.org/api/v1/methodtype/?format=csv" htmlTables="1" htmlFormat="all"/>
  </connection>
  <connection id="694" name="Connection264" type="4" refreshedVersion="0" background="1">
    <webPr url="http://vocabulary.odm2.org/api/v1/organizationtype/?format=csv" htmlTables="1" htmlFormat="all"/>
  </connection>
  <connection id="695" name="Connection265" type="4" refreshedVersion="0" background="1">
    <webPr url="http://vocabulary.odm2.org/api/v1/propertydatatype/?format=csv" htmlTables="1" htmlFormat="all"/>
  </connection>
  <connection id="696" name="Connection266" type="4" refreshedVersion="0" background="1">
    <webPr url="http://vocabulary.odm2.org/api/v1/qualitycode/?format=csv" htmlTables="1" htmlFormat="all"/>
  </connection>
  <connection id="697" name="Connection267" type="4" refreshedVersion="0" background="1">
    <webPr url="http://vocabulary.odm2.org/api/v1/relationshiptype/?format=csv" htmlTables="1" htmlFormat="all"/>
  </connection>
  <connection id="698" name="Connection268" type="4" refreshedVersion="0" background="1">
    <webPr url="http://vocabulary.odm2.org/api/v1/resulttype/?format=csv" htmlTables="1" htmlFormat="all"/>
  </connection>
  <connection id="699" name="Connection269" type="4" refreshedVersion="0" background="1">
    <webPr url="http://vocabulary.odm2.org/api/v1/samplingfeaturegeotype/?format=csv" htmlTables="1" htmlFormat="all"/>
  </connection>
  <connection id="700" name="Connection27" type="4" refreshedVersion="0" background="1">
    <webPr url="http://vocabulary.odm2.org/api/v1/medium/?format=csv" htmlTables="1" htmlFormat="all"/>
  </connection>
  <connection id="701" name="Connection270" type="4" refreshedVersion="0" background="1">
    <webPr url="http://vocabulary.odm2.org/api/v1/samplingfeaturetype/?format=csv" htmlTables="1" htmlFormat="all"/>
  </connection>
  <connection id="702" name="Connection271" type="4" refreshedVersion="0" background="1">
    <webPr url="http://vocabulary.odm2.org/api/v1/sitetype/?format=csv" htmlTables="1" htmlFormat="all"/>
  </connection>
  <connection id="703" name="Connection272" type="4" refreshedVersion="0" background="1">
    <webPr url="http://vocabulary.odm2.org/api/v1/spatialoffsettype/?format=csv" htmlTables="1" htmlFormat="all"/>
  </connection>
  <connection id="704" name="Connection273" type="4" refreshedVersion="0" background="1">
    <webPr url="http://vocabulary.odm2.org/api/v1/speciation/?format=csv" htmlTables="1" htmlFormat="all"/>
  </connection>
  <connection id="705" name="Connection274" type="4" refreshedVersion="0" background="1">
    <webPr url="http://vocabulary.odm2.org/api/v1/medium/?format=csv" htmlTables="1" htmlFormat="all"/>
  </connection>
  <connection id="706" name="Connection275" type="4" refreshedVersion="0" background="1">
    <webPr url="http://vocabulary.odm2.org/api/v1/specimentype/?format=csv" htmlTables="1" htmlFormat="all"/>
  </connection>
  <connection id="707" name="Connection276" type="4" refreshedVersion="0" background="1">
    <webPr url="http://vocabulary.odm2.org/api/v1/status/?format=csv" htmlTables="1" htmlFormat="all"/>
  </connection>
  <connection id="708" name="Connection277" type="4" refreshedVersion="0" background="1">
    <webPr url="http://vocabulary.odm2.org/api/v1/taxonomicclassifiertype/?format=csv" htmlTables="1" htmlFormat="all"/>
  </connection>
  <connection id="709" name="Connection278" type="4" refreshedVersion="0" background="1">
    <webPr url="http://vocabulary.odm2.org/api/v1/variablename/?format=csv" htmlTables="1" htmlFormat="all"/>
  </connection>
  <connection id="710" name="Connection279" type="4" refreshedVersion="0" background="1">
    <webPr url="http://vocabulary.odm2.org/api/v1/variabletype/?format=csv" htmlTables="1" htmlFormat="all"/>
  </connection>
  <connection id="711" name="Connection28" type="4" refreshedVersion="0" background="1">
    <webPr url="http://vocabulary.odm2.org/api/v1/specimentype/?format=csv" htmlTables="1" htmlFormat="all"/>
  </connection>
  <connection id="712" name="Connection280" type="4" refreshedVersion="0" background="1">
    <webPr url="http://vocabulary.odm2.org/api/v1/unitstype/?format=csv" htmlTables="1" htmlFormat="all"/>
  </connection>
  <connection id="713" name="Connection281" type="4" refreshedVersion="0" background="1">
    <webPr url="http://vocabulary.odm2.org/api/v1/Boolean/?format=csv" htmlTables="1" htmlFormat="all"/>
  </connection>
  <connection id="714" name="Connection282" type="4" refreshedVersion="0" background="1">
    <webPr url="http://vocabulary.odm2.org/api/v1/NotApplicable/?format=csv" htmlTables="1" htmlFormat="all"/>
  </connection>
  <connection id="715" name="Connection283" type="4" refreshedVersion="0" background="1">
    <webPr url="http://vocabulary.odm2.org/api/v1/ApplicableDatasetTypes/?format=csv" htmlTables="1" htmlFormat="all"/>
  </connection>
  <connection id="716" name="Connection284" type="4" refreshedVersion="0" background="1">
    <webPr url="http://vocabulary.odm2.org/api/v1/ApplicableResultTypes/?format=csv" htmlTables="1" htmlFormat="all"/>
  </connection>
  <connection id="717" name="Connection285" type="4" refreshedVersion="0" background="1">
    <webPr url="http://vocabulary.odm2.org/api/v1/ApplicableMethodTypes/?format=csv" htmlTables="1" htmlFormat="all"/>
  </connection>
  <connection id="718" name="Connection286" type="4" refreshedVersion="0" background="1">
    <webPr url="http://vocabulary.odm2.org/api/v1/actiontype/?format=csv" htmlTables="1" htmlFormat="all"/>
  </connection>
  <connection id="719" name="Connection287" type="4" refreshedVersion="0" background="1">
    <webPr url="http://vocabulary.odm2.org/api/v1/aggregationstatistic/?format=csv" htmlTables="1" htmlFormat="all"/>
  </connection>
  <connection id="720" name="Connection288" type="4" refreshedVersion="0" background="1">
    <webPr url="http://vocabulary.odm2.org/api/v1/censorcode/?format=csv" htmlTables="1" htmlFormat="all"/>
  </connection>
  <connection id="721" name="Connection289" type="4" refreshedVersion="0" background="1">
    <webPr url="http://vocabulary.odm2.org/api/v1/dataqualitytype/?format=csv" htmlTables="1" htmlFormat="all"/>
  </connection>
  <connection id="722" name="Connection29" type="4" refreshedVersion="0" background="1">
    <webPr url="http://vocabulary.odm2.org/api/v1/status/?format=csv" htmlTables="1" htmlFormat="all"/>
  </connection>
  <connection id="723" name="Connection290" type="4" refreshedVersion="0" background="1">
    <webPr url="http://vocabulary.odm2.org/api/v1/datasettype/?format=csv" htmlTables="1" htmlFormat="all"/>
  </connection>
  <connection id="724" name="Connection291" type="4" refreshedVersion="0" background="1">
    <webPr url="http://vocabulary.odm2.org/api/v1/directivetype/?format=csv" htmlTables="1" htmlFormat="all"/>
  </connection>
  <connection id="725" name="Connection292" type="4" refreshedVersion="0" background="1">
    <webPr url="http://vocabulary.odm2.org/api/v1/elevationdatum/?format=csv" htmlTables="1" htmlFormat="all"/>
  </connection>
  <connection id="726" name="Connection293" type="4" refreshedVersion="0" background="1">
    <webPr url="http://vocabulary.odm2.org/api/v1/equipmenttype/?format=csv" htmlTables="1" htmlFormat="all"/>
  </connection>
  <connection id="727" name="Connection294" type="4" refreshedVersion="0" background="1">
    <webPr url="http://vocabulary.odm2.org/api/v1/methodtype/?format=csv" htmlTables="1" htmlFormat="all"/>
  </connection>
  <connection id="728" name="Connection295" type="4" refreshedVersion="0" background="1">
    <webPr url="http://vocabulary.odm2.org/api/v1/organizationtype/?format=csv" htmlTables="1" htmlFormat="all"/>
  </connection>
  <connection id="729" name="Connection296" type="4" refreshedVersion="0" background="1">
    <webPr url="http://vocabulary.odm2.org/api/v1/propertydatatype/?format=csv" htmlTables="1" htmlFormat="all"/>
  </connection>
  <connection id="730" name="Connection297" type="4" refreshedVersion="0" background="1">
    <webPr url="http://vocabulary.odm2.org/api/v1/qualitycode/?format=csv" htmlTables="1" htmlFormat="all"/>
  </connection>
  <connection id="731" name="Connection298" type="4" refreshedVersion="0" background="1">
    <webPr url="http://vocabulary.odm2.org/api/v1/relationshiptype/?format=csv" htmlTables="1" htmlFormat="all"/>
  </connection>
  <connection id="732" name="Connection299" type="4" refreshedVersion="0" background="1">
    <webPr url="http://vocabulary.odm2.org/api/v1/resulttype/?format=csv" htmlTables="1" htmlFormat="all"/>
  </connection>
  <connection id="733" name="Connection3" type="4" refreshedVersion="0" background="1">
    <webPr url="http://vocabulary.odm2.org/api/v1/Boolean/?format=csv" htmlTables="1" htmlFormat="all"/>
  </connection>
  <connection id="734" name="Connection30" type="4" refreshedVersion="0" background="1">
    <webPr url="http://vocabulary.odm2.org/api/v1/taxonomicclassifiertype/?format=csv" htmlTables="1" htmlFormat="all"/>
  </connection>
  <connection id="735" name="Connection300" type="4" refreshedVersion="0" background="1">
    <webPr url="http://vocabulary.odm2.org/api/v1/samplingfeaturegeotype/?format=csv" htmlTables="1" htmlFormat="all"/>
  </connection>
  <connection id="736" name="Connection301" type="4" refreshedVersion="0" background="1">
    <webPr url="http://vocabulary.odm2.org/api/v1/samplingfeaturetype/?format=csv" htmlTables="1" htmlFormat="all"/>
  </connection>
  <connection id="737" name="Connection302" type="4" refreshedVersion="0" background="1">
    <webPr url="http://vocabulary.odm2.org/api/v1/sitetype/?format=csv" htmlTables="1" htmlFormat="all"/>
  </connection>
  <connection id="738" name="Connection303" type="4" refreshedVersion="0" background="1">
    <webPr url="http://vocabulary.odm2.org/api/v1/spatialoffsettype/?format=csv" htmlTables="1" htmlFormat="all"/>
  </connection>
  <connection id="739" name="Connection304" type="4" refreshedVersion="0" background="1">
    <webPr url="http://vocabulary.odm2.org/api/v1/speciation/?format=csv" htmlTables="1" htmlFormat="all"/>
  </connection>
  <connection id="740" name="Connection305" type="4" refreshedVersion="0" background="1">
    <webPr url="http://vocabulary.odm2.org/api/v1/medium/?format=csv" htmlTables="1" htmlFormat="all"/>
  </connection>
  <connection id="741" name="Connection306" type="4" refreshedVersion="0" background="1">
    <webPr url="http://vocabulary.odm2.org/api/v1/specimentype/?format=csv" htmlTables="1" htmlFormat="all"/>
  </connection>
  <connection id="742" name="Connection307" type="4" refreshedVersion="0" background="1">
    <webPr url="http://vocabulary.odm2.org/api/v1/status/?format=csv" htmlTables="1" htmlFormat="all"/>
  </connection>
  <connection id="743" name="Connection308" type="4" refreshedVersion="0" background="1">
    <webPr url="http://vocabulary.odm2.org/api/v1/taxonomicclassifiertype/?format=csv" htmlTables="1" htmlFormat="all"/>
  </connection>
  <connection id="744" name="Connection309" type="4" refreshedVersion="0" background="1">
    <webPr url="http://vocabulary.odm2.org/api/v1/variablename/?format=csv" htmlTables="1" htmlFormat="all"/>
  </connection>
  <connection id="745" name="Connection31" type="4" refreshedVersion="0" background="1">
    <webPr url="http://vocabulary.odm2.org/api/v1/variablename/?format=csv" htmlTables="1" htmlFormat="all"/>
  </connection>
  <connection id="746" name="Connection310" type="4" refreshedVersion="0" background="1">
    <webPr url="http://vocabulary.odm2.org/api/v1/variabletype/?format=csv" htmlTables="1" htmlFormat="all"/>
  </connection>
  <connection id="747" name="Connection311" type="4" refreshedVersion="0" background="1">
    <webPr url="http://vocabulary.odm2.org/api/v1/unitstype/?format=csv" htmlTables="1" htmlFormat="all"/>
  </connection>
  <connection id="748" name="Connection312" type="4" refreshedVersion="0" background="1">
    <webPr url="http://vocabulary.odm2.org/api/v1/Boolean/?format=csv" htmlTables="1" htmlFormat="all"/>
  </connection>
  <connection id="749" name="Connection313" type="4" refreshedVersion="0" background="1">
    <webPr url="http://vocabulary.odm2.org/api/v1/NotApplicable/?format=csv" htmlTables="1" htmlFormat="all"/>
  </connection>
  <connection id="750" name="Connection314" type="4" refreshedVersion="0" background="1">
    <webPr url="http://vocabulary.odm2.org/api/v1/ApplicableDatasetTypes/?format=csv" htmlTables="1" htmlFormat="all"/>
  </connection>
  <connection id="751" name="Connection315" type="4" refreshedVersion="0" background="1">
    <webPr url="http://vocabulary.odm2.org/api/v1/ApplicableResultTypes/?format=csv" htmlTables="1" htmlFormat="all"/>
  </connection>
  <connection id="752" name="Connection316" type="4" refreshedVersion="0" background="1">
    <webPr url="http://vocabulary.odm2.org/api/v1/ApplicableMethodTypes/?format=csv" htmlTables="1" htmlFormat="all"/>
  </connection>
  <connection id="753" name="Connection317" type="4" refreshedVersion="0" background="1">
    <webPr url="http://vocabulary.odm2.org/api/v1/Boolean/?format=csv" htmlTables="1" htmlFormat="all"/>
  </connection>
  <connection id="754" name="Connection318" type="4" refreshedVersion="0" background="1">
    <webPr url="http://vocabulary.odm2.org/api/v1/NotApplicable/?format=csv" htmlTables="1" htmlFormat="all"/>
  </connection>
  <connection id="755" name="Connection319" type="4" refreshedVersion="0" background="1">
    <webPr url="http://vocabulary.odm2.org/api/v1/ApplicableDatasetTypes/?format=csv" htmlTables="1" htmlFormat="all"/>
  </connection>
  <connection id="756" name="Connection32" type="4" refreshedVersion="0" background="1">
    <webPr url="http://vocabulary.odm2.org/api/v1/variabletype/?format=csv" htmlTables="1" htmlFormat="all"/>
  </connection>
  <connection id="757" name="Connection320" type="4" refreshedVersion="0" background="1">
    <webPr url="http://vocabulary.odm2.org/api/v1/ApplicableResultTypes/?format=csv" htmlTables="1" htmlFormat="all"/>
  </connection>
  <connection id="758" name="Connection321" type="4" refreshedVersion="0" background="1">
    <webPr url="http://vocabulary.odm2.org/api/v1/ApplicableMethodTypes/?format=csv" htmlTables="1" htmlFormat="all"/>
  </connection>
  <connection id="759" name="Connection322" type="4" refreshedVersion="0" background="1">
    <webPr url="http://vocabulary.odm2.org/api/v1/actiontype/?format=csv" htmlTables="1" htmlFormat="all"/>
  </connection>
  <connection id="760" name="Connection323" type="4" refreshedVersion="0" background="1">
    <webPr url="http://vocabulary.odm2.org/api/v1/aggregationstatistic/?format=csv" htmlTables="1" htmlFormat="all"/>
  </connection>
  <connection id="761" name="Connection324" type="4" refreshedVersion="0" background="1">
    <webPr url="http://vocabulary.odm2.org/api/v1/censorcode/?format=csv" htmlTables="1" htmlFormat="all"/>
  </connection>
  <connection id="762" name="Connection325" type="4" refreshedVersion="0" background="1">
    <webPr url="http://vocabulary.odm2.org/api/v1/dataqualitytype/?format=csv" htmlTables="1" htmlFormat="all"/>
  </connection>
  <connection id="763" name="Connection326" type="4" refreshedVersion="0" background="1">
    <webPr url="http://vocabulary.odm2.org/api/v1/datasettype/?format=csv" htmlTables="1" htmlFormat="all"/>
  </connection>
  <connection id="764" name="Connection327" type="4" refreshedVersion="0" background="1">
    <webPr url="http://vocabulary.odm2.org/api/v1/directivetype/?format=csv" htmlTables="1" htmlFormat="all"/>
  </connection>
  <connection id="765" name="Connection328" type="4" refreshedVersion="0" background="1">
    <webPr url="http://vocabulary.odm2.org/api/v1/elevationdatum/?format=csv" htmlTables="1" htmlFormat="all"/>
  </connection>
  <connection id="766" name="Connection329" type="4" refreshedVersion="0" background="1">
    <webPr url="http://vocabulary.odm2.org/api/v1/equipmenttype/?format=csv" htmlTables="1" htmlFormat="all"/>
  </connection>
  <connection id="767" name="Connection33" type="4" refreshedVersion="0" background="1">
    <webPr url="http://vocabulary.odm2.org/api/v1/unitstype/?format=csv" htmlTables="1" htmlFormat="all"/>
  </connection>
  <connection id="768" name="Connection330" type="4" refreshedVersion="0" background="1">
    <webPr url="http://vocabulary.odm2.org/api/v1/methodtype/?format=csv" htmlTables="1" htmlFormat="all"/>
  </connection>
  <connection id="769" name="Connection331" type="4" refreshedVersion="0" background="1">
    <webPr url="http://vocabulary.odm2.org/api/v1/organizationtype/?format=csv" htmlTables="1" htmlFormat="all"/>
  </connection>
  <connection id="770" name="Connection332" type="4" refreshedVersion="0" background="1">
    <webPr url="http://vocabulary.odm2.org/api/v1/propertydatatype/?format=csv" htmlTables="1" htmlFormat="all"/>
  </connection>
  <connection id="771" name="Connection333" type="4" refreshedVersion="0" background="1">
    <webPr url="http://vocabulary.odm2.org/api/v1/qualitycode/?format=csv" htmlTables="1" htmlFormat="all"/>
  </connection>
  <connection id="772" name="Connection334" type="4" refreshedVersion="0" background="1">
    <webPr url="http://vocabulary.odm2.org/api/v1/relationshiptype/?format=csv" htmlTables="1" htmlFormat="all"/>
  </connection>
  <connection id="773" name="Connection335" type="4" refreshedVersion="0" background="1">
    <webPr url="http://vocabulary.odm2.org/api/v1/resulttype/?format=csv" htmlTables="1" htmlFormat="all"/>
  </connection>
  <connection id="774" name="Connection336" type="4" refreshedVersion="0" background="1">
    <webPr url="http://vocabulary.odm2.org/api/v1/samplingfeaturegeotype/?format=csv" htmlTables="1" htmlFormat="all"/>
  </connection>
  <connection id="775" name="Connection337" type="4" refreshedVersion="0" background="1">
    <webPr url="http://vocabulary.odm2.org/api/v1/samplingfeaturetype/?format=csv" htmlTables="1" htmlFormat="all"/>
  </connection>
  <connection id="776" name="Connection338" type="4" refreshedVersion="0" background="1">
    <webPr url="http://vocabulary.odm2.org/api/v1/sitetype/?format=csv" htmlTables="1" htmlFormat="all"/>
  </connection>
  <connection id="777" name="Connection339" type="4" refreshedVersion="0" background="1">
    <webPr url="http://vocabulary.odm2.org/api/v1/spatialoffsettype/?format=csv" htmlTables="1" htmlFormat="all"/>
  </connection>
  <connection id="778" name="Connection34" type="4" refreshedVersion="0" background="1">
    <webPr url="http://vocabulary.odm2.org/api/v1/Boolean/?format=csv" htmlTables="1" htmlFormat="all"/>
  </connection>
  <connection id="779" name="Connection340" type="4" refreshedVersion="0" background="1">
    <webPr url="http://vocabulary.odm2.org/api/v1/speciation/?format=csv" htmlTables="1" htmlFormat="all"/>
  </connection>
  <connection id="780" name="Connection341" type="4" refreshedVersion="0" background="1">
    <webPr url="http://vocabulary.odm2.org/api/v1/medium/?format=csv" htmlTables="1" htmlFormat="all"/>
  </connection>
  <connection id="781" name="Connection342" type="4" refreshedVersion="0" background="1">
    <webPr url="http://vocabulary.odm2.org/api/v1/specimentype/?format=csv" htmlTables="1" htmlFormat="all"/>
  </connection>
  <connection id="782" name="Connection343" type="4" refreshedVersion="0" background="1">
    <webPr url="http://vocabulary.odm2.org/api/v1/status/?format=csv" htmlTables="1" htmlFormat="all"/>
  </connection>
  <connection id="783" name="Connection344" type="4" refreshedVersion="0" background="1">
    <webPr url="http://vocabulary.odm2.org/api/v1/taxonomicclassifiertype/?format=csv" htmlTables="1" htmlFormat="all"/>
  </connection>
  <connection id="784" name="Connection345" type="4" refreshedVersion="0" background="1">
    <webPr url="http://vocabulary.odm2.org/api/v1/variablename/?format=csv" htmlTables="1" htmlFormat="all"/>
  </connection>
  <connection id="785" name="Connection346" type="4" refreshedVersion="0" background="1">
    <webPr url="http://vocabulary.odm2.org/api/v1/variabletype/?format=csv" htmlTables="1" htmlFormat="all"/>
  </connection>
  <connection id="786" name="Connection347" type="4" refreshedVersion="0" background="1">
    <webPr url="http://vocabulary.odm2.org/api/v1/unitstype/?format=csv" htmlTables="1" htmlFormat="all"/>
  </connection>
  <connection id="787" name="Connection348" type="4" refreshedVersion="0" background="1">
    <webPr url="http://vocabulary.odm2.org/api/v1/Boolean/?format=csv" htmlTables="1" htmlFormat="all"/>
  </connection>
  <connection id="788" name="Connection349" type="4" refreshedVersion="0" background="1">
    <webPr url="http://vocabulary.odm2.org/api/v1/NotApplicable/?format=csv" htmlTables="1" htmlFormat="all"/>
  </connection>
  <connection id="789" name="Connection35" type="4" refreshedVersion="0" background="1">
    <webPr url="http://vocabulary.odm2.org/api/v1/NotApplicable/?format=csv" htmlTables="1" htmlFormat="all"/>
  </connection>
  <connection id="790" name="Connection350" type="4" refreshedVersion="0" background="1">
    <webPr url="http://vocabulary.odm2.org/api/v1/ApplicableDatasetTypes/?format=csv" htmlTables="1" htmlFormat="all"/>
  </connection>
  <connection id="791" name="Connection351" type="4" refreshedVersion="0" background="1">
    <webPr url="http://vocabulary.odm2.org/api/v1/ApplicableResultTypes/?format=csv" htmlTables="1" htmlFormat="all"/>
  </connection>
  <connection id="792" name="Connection352" type="4" refreshedVersion="0" background="1">
    <webPr url="http://vocabulary.odm2.org/api/v1/ApplicableMethodTypes/?format=csv" htmlTables="1" htmlFormat="all"/>
  </connection>
  <connection id="793" name="Connection353" type="4" refreshedVersion="0" background="1">
    <webPr url="http://vocabulary.odm2.org/api/v1/Boolean/?format=csv" htmlTables="1" htmlFormat="all"/>
  </connection>
  <connection id="794" name="Connection354" type="4" refreshedVersion="0" background="1">
    <webPr url="http://vocabulary.odm2.org/api/v1/NotApplicable/?format=csv" htmlTables="1" htmlFormat="all"/>
  </connection>
  <connection id="795" name="Connection355" type="4" refreshedVersion="0" background="1">
    <webPr url="http://vocabulary.odm2.org/api/v1/ApplicableDatasetTypes/?format=csv" htmlTables="1" htmlFormat="all"/>
  </connection>
  <connection id="796" name="Connection356" type="4" refreshedVersion="0" background="1">
    <webPr url="http://vocabulary.odm2.org/api/v1/ApplicableResultTypes/?format=csv" htmlTables="1" htmlFormat="all"/>
  </connection>
  <connection id="797" name="Connection357" type="4" refreshedVersion="0" background="1">
    <webPr url="http://vocabulary.odm2.org/api/v1/ApplicableMethodTypes/?format=csv" htmlTables="1" htmlFormat="all"/>
  </connection>
  <connection id="798" name="Connection358" type="4" refreshedVersion="0" background="1">
    <webPr url="http://vocabulary.odm2.org/api/v1/Boolean/?format=csv" htmlTables="1" htmlFormat="all"/>
  </connection>
  <connection id="799" name="Connection359" type="4" refreshedVersion="0" background="1">
    <webPr url="http://vocabulary.odm2.org/api/v1/NotApplicable/?format=csv" htmlTables="1" htmlFormat="all"/>
  </connection>
  <connection id="800" name="Connection36" type="4" refreshedVersion="0" background="1">
    <webPr url="http://vocabulary.odm2.org/api/v1/ApplicableDatasetTypes/?format=csv" htmlTables="1" htmlFormat="all"/>
  </connection>
  <connection id="801" name="Connection360" type="4" refreshedVersion="0" background="1">
    <webPr url="http://vocabulary.odm2.org/api/v1/ApplicableDatasetTypes/?format=csv" htmlTables="1" htmlFormat="all"/>
  </connection>
  <connection id="802" name="Connection361" type="4" refreshedVersion="0" background="1">
    <webPr url="http://vocabulary.odm2.org/api/v1/ApplicableResultTypes/?format=csv" htmlTables="1" htmlFormat="all"/>
  </connection>
  <connection id="803" name="Connection362" type="4" refreshedVersion="0" background="1">
    <webPr url="http://vocabulary.odm2.org/api/v1/ApplicableMethodTypes/?format=csv" htmlTables="1" htmlFormat="all"/>
  </connection>
  <connection id="804" name="Connection363" type="4" refreshedVersion="0" background="1">
    <webPr url="http://vocabulary.odm2.org/api/v1/actiontype/?format=csv" htmlTables="1" htmlFormat="all"/>
  </connection>
  <connection id="805" name="Connection364" type="4" refreshedVersion="0" background="1">
    <webPr url="http://vocabulary.odm2.org/api/v1/aggregationstatistic/?format=csv" htmlTables="1" htmlFormat="all"/>
  </connection>
  <connection id="806" name="Connection365" type="4" refreshedVersion="0" background="1">
    <webPr url="http://vocabulary.odm2.org/api/v1/censorcode/?format=csv" htmlTables="1" htmlFormat="all"/>
  </connection>
  <connection id="807" name="Connection366" type="4" refreshedVersion="0" background="1">
    <webPr url="http://vocabulary.odm2.org/api/v1/dataqualitytype/?format=csv" htmlTables="1" htmlFormat="all"/>
  </connection>
  <connection id="808" name="Connection367" type="4" refreshedVersion="0" background="1">
    <webPr url="http://vocabulary.odm2.org/api/v1/datasettype/?format=csv" htmlTables="1" htmlFormat="all"/>
  </connection>
  <connection id="809" name="Connection368" type="4" refreshedVersion="0" background="1">
    <webPr url="http://vocabulary.odm2.org/api/v1/directivetype/?format=csv" htmlTables="1" htmlFormat="all"/>
  </connection>
  <connection id="810" name="Connection369" type="4" refreshedVersion="0" background="1">
    <webPr url="http://vocabulary.odm2.org/api/v1/elevationdatum/?format=csv" htmlTables="1" htmlFormat="all"/>
  </connection>
  <connection id="811" name="Connection37" type="4" refreshedVersion="0" background="1">
    <webPr url="http://vocabulary.odm2.org/api/v1/ApplicableResultTypes/?format=csv" htmlTables="1" htmlFormat="all"/>
  </connection>
  <connection id="812" name="Connection370" type="4" refreshedVersion="0" background="1">
    <webPr url="http://vocabulary.odm2.org/api/v1/equipmenttype/?format=csv" htmlTables="1" htmlFormat="all"/>
  </connection>
  <connection id="813" name="Connection371" type="4" refreshedVersion="0" background="1">
    <webPr url="http://vocabulary.odm2.org/api/v1/methodtype/?format=csv" htmlTables="1" htmlFormat="all"/>
  </connection>
  <connection id="814" name="Connection372" type="4" refreshedVersion="0" background="1">
    <webPr url="http://vocabulary.odm2.org/api/v1/organizationtype/?format=csv" htmlTables="1" htmlFormat="all"/>
  </connection>
  <connection id="815" name="Connection373" type="4" refreshedVersion="0" background="1">
    <webPr url="http://vocabulary.odm2.org/api/v1/propertydatatype/?format=csv" htmlTables="1" htmlFormat="all"/>
  </connection>
  <connection id="816" name="Connection374" type="4" refreshedVersion="0" background="1">
    <webPr url="http://vocabulary.odm2.org/api/v1/qualitycode/?format=csv" htmlTables="1" htmlFormat="all"/>
  </connection>
  <connection id="817" name="Connection375" type="4" refreshedVersion="0" background="1">
    <webPr url="http://vocabulary.odm2.org/api/v1/relationshiptype/?format=csv" htmlTables="1" htmlFormat="all"/>
  </connection>
  <connection id="818" name="Connection376" type="4" refreshedVersion="0" background="1">
    <webPr url="http://vocabulary.odm2.org/api/v1/resulttype/?format=csv" htmlTables="1" htmlFormat="all"/>
  </connection>
  <connection id="819" name="Connection377" type="4" refreshedVersion="0" background="1">
    <webPr url="http://vocabulary.odm2.org/api/v1/samplingfeaturegeotype/?format=csv" htmlTables="1" htmlFormat="all"/>
  </connection>
  <connection id="820" name="Connection378" type="4" refreshedVersion="0" background="1">
    <webPr url="http://vocabulary.odm2.org/api/v1/samplingfeaturetype/?format=csv" htmlTables="1" htmlFormat="all"/>
  </connection>
  <connection id="821" name="Connection379" type="4" refreshedVersion="0" background="1">
    <webPr url="http://vocabulary.odm2.org/api/v1/sitetype/?format=csv" htmlTables="1" htmlFormat="all"/>
  </connection>
  <connection id="822" name="Connection38" type="4" refreshedVersion="0" background="1">
    <webPr url="http://vocabulary.odm2.org/api/v1/ApplicableMethodTypes/?format=csv" htmlTables="1" htmlFormat="all"/>
  </connection>
  <connection id="823" name="Connection380" type="4" refreshedVersion="0" background="1">
    <webPr url="http://vocabulary.odm2.org/api/v1/spatialoffsettype/?format=csv" htmlTables="1" htmlFormat="all"/>
  </connection>
  <connection id="824" name="Connection381" type="4" refreshedVersion="0" background="1">
    <webPr url="http://vocabulary.odm2.org/api/v1/speciation/?format=csv" htmlTables="1" htmlFormat="all"/>
  </connection>
  <connection id="825" name="Connection382" type="4" refreshedVersion="0" background="1">
    <webPr url="http://vocabulary.odm2.org/api/v1/medium/?format=csv" htmlTables="1" htmlFormat="all"/>
  </connection>
  <connection id="826" name="Connection383" type="4" refreshedVersion="0" background="1">
    <webPr url="http://vocabulary.odm2.org/api/v1/specimentype/?format=csv" htmlTables="1" htmlFormat="all"/>
  </connection>
  <connection id="827" name="Connection384" type="4" refreshedVersion="0" background="1">
    <webPr url="http://vocabulary.odm2.org/api/v1/status/?format=csv" htmlTables="1" htmlFormat="all"/>
  </connection>
  <connection id="828" name="Connection385" type="4" refreshedVersion="0" background="1">
    <webPr url="http://vocabulary.odm2.org/api/v1/taxonomicclassifiertype/?format=csv" htmlTables="1" htmlFormat="all"/>
  </connection>
  <connection id="829" name="Connection386" type="4" refreshedVersion="0" background="1">
    <webPr url="http://vocabulary.odm2.org/api/v1/variablename/?format=csv" htmlTables="1" htmlFormat="all"/>
  </connection>
  <connection id="830" name="Connection387" type="4" refreshedVersion="0" background="1">
    <webPr url="http://vocabulary.odm2.org/api/v1/variabletype/?format=csv" htmlTables="1" htmlFormat="all"/>
  </connection>
  <connection id="831" name="Connection388" type="4" refreshedVersion="0" background="1">
    <webPr url="http://vocabulary.odm2.org/api/v1/unitstype/?format=csv" htmlTables="1" htmlFormat="all"/>
  </connection>
  <connection id="832" name="Connection389" type="4" refreshedVersion="0" background="1">
    <webPr url="http://vocabulary.odm2.org/api/v1/Boolean/?format=csv" htmlTables="1" htmlFormat="all"/>
  </connection>
  <connection id="833" name="Connection39" type="4" refreshedVersion="0" background="1">
    <webPr url="http://vocabulary.odm2.org/api/v1/actiontype/?format=csv" htmlTables="1" htmlFormat="all"/>
  </connection>
  <connection id="834" name="Connection390" type="4" refreshedVersion="0" background="1">
    <webPr url="http://vocabulary.odm2.org/api/v1/NotApplicable/?format=csv" htmlTables="1" htmlFormat="all"/>
  </connection>
  <connection id="835" name="Connection391" type="4" refreshedVersion="0" background="1">
    <webPr url="http://vocabulary.odm2.org/api/v1/ApplicableDatasetTypes/?format=csv" htmlTables="1" htmlFormat="all"/>
  </connection>
  <connection id="836" name="Connection392" type="4" refreshedVersion="0" background="1">
    <webPr url="http://vocabulary.odm2.org/api/v1/ApplicableResultTypes/?format=csv" htmlTables="1" htmlFormat="all"/>
  </connection>
  <connection id="837" name="Connection393" type="4" refreshedVersion="0" background="1">
    <webPr url="http://vocabulary.odm2.org/api/v1/ApplicableMethodTypes/?format=csv" htmlTables="1" htmlFormat="all"/>
  </connection>
  <connection id="838" name="Connection394" type="4" refreshedVersion="0" background="1">
    <webPr url="http://vocabulary.odm2.org/api/v1/actiontype/?format=csv" htmlTables="1" htmlFormat="all"/>
  </connection>
  <connection id="839" name="Connection395" type="4" refreshedVersion="0" background="1">
    <webPr url="http://vocabulary.odm2.org/api/v1/aggregationstatistic/?format=csv" htmlTables="1" htmlFormat="all"/>
  </connection>
  <connection id="840" name="Connection396" type="4" refreshedVersion="0" background="1">
    <webPr url="http://vocabulary.odm2.org/api/v1/censorcode/?format=csv" htmlTables="1" htmlFormat="all"/>
  </connection>
  <connection id="841" name="Connection397" type="4" refreshedVersion="0" background="1">
    <webPr url="http://vocabulary.odm2.org/api/v1/dataqualitytype/?format=csv" htmlTables="1" htmlFormat="all"/>
  </connection>
  <connection id="842" name="Connection398" type="4" refreshedVersion="0" background="1">
    <webPr url="http://vocabulary.odm2.org/api/v1/datasettype/?format=csv" htmlTables="1" htmlFormat="all"/>
  </connection>
  <connection id="843" name="Connection399" type="4" refreshedVersion="0" background="1">
    <webPr url="http://vocabulary.odm2.org/api/v1/directivetype/?format=csv" htmlTables="1" htmlFormat="all"/>
  </connection>
  <connection id="844" name="Connection4" type="4" refreshedVersion="0" background="1">
    <webPr url="http://vocabulary.odm2.org/api/v1/NotApplicable/?format=csv" htmlTables="1" htmlFormat="all"/>
  </connection>
  <connection id="845" name="Connection40" type="4" refreshedVersion="0" background="1">
    <webPr url="http://vocabulary.odm2.org/api/v1/aggregationstatistic/?format=csv" htmlTables="1" htmlFormat="all"/>
  </connection>
  <connection id="846" name="Connection400" type="4" refreshedVersion="0" background="1">
    <webPr url="http://vocabulary.odm2.org/api/v1/elevationdatum/?format=csv" htmlTables="1" htmlFormat="all"/>
  </connection>
  <connection id="847" name="Connection401" type="4" refreshedVersion="0" background="1">
    <webPr url="http://vocabulary.odm2.org/api/v1/equipmenttype/?format=csv" htmlTables="1" htmlFormat="all"/>
  </connection>
  <connection id="848" name="Connection402" type="4" refreshedVersion="0" background="1">
    <webPr url="http://vocabulary.odm2.org/api/v1/methodtype/?format=csv" htmlTables="1" htmlFormat="all"/>
  </connection>
  <connection id="849" name="Connection403" type="4" refreshedVersion="0" background="1">
    <webPr url="http://vocabulary.odm2.org/api/v1/organizationtype/?format=csv" htmlTables="1" htmlFormat="all"/>
  </connection>
  <connection id="850" name="Connection404" type="4" refreshedVersion="0" background="1">
    <webPr url="http://vocabulary.odm2.org/api/v1/propertydatatype/?format=csv" htmlTables="1" htmlFormat="all"/>
  </connection>
  <connection id="851" name="Connection405" type="4" refreshedVersion="0" background="1">
    <webPr url="http://vocabulary.odm2.org/api/v1/qualitycode/?format=csv" htmlTables="1" htmlFormat="all"/>
  </connection>
  <connection id="852" name="Connection406" type="4" refreshedVersion="0" background="1">
    <webPr url="http://vocabulary.odm2.org/api/v1/relationshiptype/?format=csv" htmlTables="1" htmlFormat="all"/>
  </connection>
  <connection id="853" name="Connection407" type="4" refreshedVersion="0" background="1">
    <webPr url="http://vocabulary.odm2.org/api/v1/resulttype/?format=csv" htmlTables="1" htmlFormat="all"/>
  </connection>
  <connection id="854" name="Connection408" type="4" refreshedVersion="0" background="1">
    <webPr url="http://vocabulary.odm2.org/api/v1/samplingfeaturegeotype/?format=csv" htmlTables="1" htmlFormat="all"/>
  </connection>
  <connection id="855" name="Connection409" type="4" refreshedVersion="0" background="1">
    <webPr url="http://vocabulary.odm2.org/api/v1/samplingfeaturetype/?format=csv" htmlTables="1" htmlFormat="all"/>
  </connection>
  <connection id="856" name="Connection41" type="4" refreshedVersion="0" background="1">
    <webPr url="http://vocabulary.odm2.org/api/v1/censorcode/?format=csv" htmlTables="1" htmlFormat="all"/>
  </connection>
  <connection id="857" name="Connection410" type="4" refreshedVersion="0" background="1">
    <webPr url="http://vocabulary.odm2.org/api/v1/sitetype/?format=csv" htmlTables="1" htmlFormat="all"/>
  </connection>
  <connection id="858" name="Connection411" type="4" refreshedVersion="0" background="1">
    <webPr url="http://vocabulary.odm2.org/api/v1/spatialoffsettype/?format=csv" htmlTables="1" htmlFormat="all"/>
  </connection>
  <connection id="859" name="Connection412" type="4" refreshedVersion="0" background="1">
    <webPr url="http://vocabulary.odm2.org/api/v1/speciation/?format=csv" htmlTables="1" htmlFormat="all"/>
  </connection>
  <connection id="860" name="Connection413" type="4" refreshedVersion="0" background="1">
    <webPr url="http://vocabulary.odm2.org/api/v1/medium/?format=csv" htmlTables="1" htmlFormat="all"/>
  </connection>
  <connection id="861" name="Connection414" type="4" refreshedVersion="0" background="1">
    <webPr url="http://vocabulary.odm2.org/api/v1/specimentype/?format=csv" htmlTables="1" htmlFormat="all"/>
  </connection>
  <connection id="862" name="Connection415" type="4" refreshedVersion="0" background="1">
    <webPr url="http://vocabulary.odm2.org/api/v1/status/?format=csv" htmlTables="1" htmlFormat="all"/>
  </connection>
  <connection id="863" name="Connection416" type="4" refreshedVersion="0" background="1">
    <webPr url="http://vocabulary.odm2.org/api/v1/taxonomicclassifiertype/?format=csv" htmlTables="1" htmlFormat="all"/>
  </connection>
  <connection id="864" name="Connection417" type="4" refreshedVersion="0" background="1">
    <webPr url="http://vocabulary.odm2.org/api/v1/variablename/?format=csv" htmlTables="1" htmlFormat="all"/>
  </connection>
  <connection id="865" name="Connection418" type="4" refreshedVersion="0" background="1">
    <webPr url="http://vocabulary.odm2.org/api/v1/variabletype/?format=csv" htmlTables="1" htmlFormat="all"/>
  </connection>
  <connection id="866" name="Connection419" type="4" refreshedVersion="0" background="1">
    <webPr url="http://vocabulary.odm2.org/api/v1/unitstype/?format=csv" htmlTables="1" htmlFormat="all"/>
  </connection>
  <connection id="867" name="Connection42" type="4" refreshedVersion="0" background="1">
    <webPr url="http://vocabulary.odm2.org/api/v1/dataqualitytype/?format=csv" htmlTables="1" htmlFormat="all"/>
  </connection>
  <connection id="868" name="Connection420" type="4" refreshedVersion="0" background="1">
    <webPr url="http://vocabulary.odm2.org/api/v1/Boolean/?format=csv" htmlTables="1" htmlFormat="all"/>
  </connection>
  <connection id="869" name="Connection421" type="4" refreshedVersion="0" background="1">
    <webPr url="http://vocabulary.odm2.org/api/v1/NotApplicable/?format=csv" htmlTables="1" htmlFormat="all"/>
  </connection>
  <connection id="870" name="Connection422" type="4" refreshedVersion="0" background="1">
    <webPr url="http://vocabulary.odm2.org/api/v1/ApplicableDatasetTypes/?format=csv" htmlTables="1" htmlFormat="all"/>
  </connection>
  <connection id="871" name="Connection423" type="4" refreshedVersion="0" background="1">
    <webPr url="http://vocabulary.odm2.org/api/v1/ApplicableResultTypes/?format=csv" htmlTables="1" htmlFormat="all"/>
  </connection>
  <connection id="872" name="Connection424" type="4" refreshedVersion="0" background="1">
    <webPr url="http://vocabulary.odm2.org/api/v1/ApplicableMethodTypes/?format=csv" htmlTables="1" htmlFormat="all"/>
  </connection>
  <connection id="873" name="Connection425" type="4" refreshedVersion="0" background="1">
    <webPr url="http://vocabulary.odm2.org/api/v1/Boolean/?format=csv" htmlTables="1" htmlFormat="all"/>
  </connection>
  <connection id="874" name="Connection426" type="4" refreshedVersion="0" background="1">
    <webPr url="http://vocabulary.odm2.org/api/v1/NotApplicable/?format=csv" htmlTables="1" htmlFormat="all"/>
  </connection>
  <connection id="875" name="Connection427" type="4" refreshedVersion="0" background="1">
    <webPr url="http://vocabulary.odm2.org/api/v1/ApplicableDatasetTypes/?format=csv" htmlTables="1" htmlFormat="all"/>
  </connection>
  <connection id="876" name="Connection428" type="4" refreshedVersion="0" background="1">
    <webPr url="http://vocabulary.odm2.org/api/v1/ApplicableResultTypes/?format=csv" htmlTables="1" htmlFormat="all"/>
  </connection>
  <connection id="877" name="Connection429" type="4" refreshedVersion="0" background="1">
    <webPr url="http://vocabulary.odm2.org/api/v1/ApplicableMethodTypes/?format=csv" htmlTables="1" htmlFormat="all"/>
  </connection>
  <connection id="878" name="Connection43" type="4" refreshedVersion="0" background="1">
    <webPr url="http://vocabulary.odm2.org/api/v1/datasettype/?format=csv" htmlTables="1" htmlFormat="all"/>
  </connection>
  <connection id="879" name="Connection430" type="4" refreshedVersion="0" background="1">
    <webPr url="http://vocabulary.odm2.org/api/v1/actiontype/?format=csv" htmlTables="1" htmlFormat="all"/>
  </connection>
  <connection id="880" name="Connection431" type="4" refreshedVersion="0" background="1">
    <webPr url="http://vocabulary.odm2.org/api/v1/aggregationstatistic/?format=csv" htmlTables="1" htmlFormat="all"/>
  </connection>
  <connection id="881" name="Connection432" type="4" refreshedVersion="0" background="1">
    <webPr url="http://vocabulary.odm2.org/api/v1/censorcode/?format=csv" htmlTables="1" htmlFormat="all"/>
  </connection>
  <connection id="882" name="Connection433" type="4" refreshedVersion="0" background="1">
    <webPr url="http://vocabulary.odm2.org/api/v1/dataqualitytype/?format=csv" htmlTables="1" htmlFormat="all"/>
  </connection>
  <connection id="883" name="Connection434" type="4" refreshedVersion="0" background="1">
    <webPr url="http://vocabulary.odm2.org/api/v1/datasettype/?format=csv" htmlTables="1" htmlFormat="all"/>
  </connection>
  <connection id="884" name="Connection435" type="4" refreshedVersion="0" background="1">
    <webPr url="http://vocabulary.odm2.org/api/v1/directivetype/?format=csv" htmlTables="1" htmlFormat="all"/>
  </connection>
  <connection id="885" name="Connection436" type="4" refreshedVersion="0" background="1">
    <webPr url="http://vocabulary.odm2.org/api/v1/elevationdatum/?format=csv" htmlTables="1" htmlFormat="all"/>
  </connection>
  <connection id="886" name="Connection437" type="4" refreshedVersion="0" background="1">
    <webPr url="http://vocabulary.odm2.org/api/v1/equipmenttype/?format=csv" htmlTables="1" htmlFormat="all"/>
  </connection>
  <connection id="887" name="Connection438" type="4" refreshedVersion="0" background="1">
    <webPr url="http://vocabulary.odm2.org/api/v1/methodtype/?format=csv" htmlTables="1" htmlFormat="all"/>
  </connection>
  <connection id="888" name="Connection439" type="4" refreshedVersion="0" background="1">
    <webPr url="http://vocabulary.odm2.org/api/v1/organizationtype/?format=csv" htmlTables="1" htmlFormat="all"/>
  </connection>
  <connection id="889" name="Connection44" type="4" refreshedVersion="0" background="1">
    <webPr url="http://vocabulary.odm2.org/api/v1/directivetype/?format=csv" htmlTables="1" htmlFormat="all"/>
  </connection>
  <connection id="890" name="Connection440" type="4" refreshedVersion="0" background="1">
    <webPr url="http://vocabulary.odm2.org/api/v1/propertydatatype/?format=csv" htmlTables="1" htmlFormat="all"/>
  </connection>
  <connection id="891" name="Connection441" type="4" refreshedVersion="0" background="1">
    <webPr url="http://vocabulary.odm2.org/api/v1/qualitycode/?format=csv" htmlTables="1" htmlFormat="all"/>
  </connection>
  <connection id="892" name="Connection442" type="4" refreshedVersion="0" background="1">
    <webPr url="http://vocabulary.odm2.org/api/v1/relationshiptype/?format=csv" htmlTables="1" htmlFormat="all"/>
  </connection>
  <connection id="893" name="Connection443" type="4" refreshedVersion="0" background="1">
    <webPr url="http://vocabulary.odm2.org/api/v1/resulttype/?format=csv" htmlTables="1" htmlFormat="all"/>
  </connection>
  <connection id="894" name="Connection444" type="4" refreshedVersion="0" background="1">
    <webPr url="http://vocabulary.odm2.org/api/v1/samplingfeaturegeotype/?format=csv" htmlTables="1" htmlFormat="all"/>
  </connection>
  <connection id="895" name="Connection445" type="4" refreshedVersion="0" background="1">
    <webPr url="http://vocabulary.odm2.org/api/v1/samplingfeaturetype/?format=csv" htmlTables="1" htmlFormat="all"/>
  </connection>
  <connection id="896" name="Connection446" type="4" refreshedVersion="0" background="1">
    <webPr url="http://vocabulary.odm2.org/api/v1/sitetype/?format=csv" htmlTables="1" htmlFormat="all"/>
  </connection>
  <connection id="897" name="Connection447" type="4" refreshedVersion="0" background="1">
    <webPr url="http://vocabulary.odm2.org/api/v1/spatialoffsettype/?format=csv" htmlTables="1" htmlFormat="all"/>
  </connection>
  <connection id="898" name="Connection448" type="4" refreshedVersion="0" background="1">
    <webPr url="http://vocabulary.odm2.org/api/v1/speciation/?format=csv" htmlTables="1" htmlFormat="all"/>
  </connection>
  <connection id="899" name="Connection449" type="4" refreshedVersion="0" background="1">
    <webPr url="http://vocabulary.odm2.org/api/v1/medium/?format=csv" htmlTables="1" htmlFormat="all"/>
  </connection>
  <connection id="900" name="Connection45" type="4" refreshedVersion="0" background="1">
    <webPr url="http://vocabulary.odm2.org/api/v1/elevationdatum/?format=csv" htmlTables="1" htmlFormat="all"/>
  </connection>
  <connection id="901" name="Connection450" type="4" refreshedVersion="0" background="1">
    <webPr url="http://vocabulary.odm2.org/api/v1/specimentype/?format=csv" htmlTables="1" htmlFormat="all"/>
  </connection>
  <connection id="902" name="Connection451" type="4" refreshedVersion="0" background="1">
    <webPr url="http://vocabulary.odm2.org/api/v1/status/?format=csv" htmlTables="1" htmlFormat="all"/>
  </connection>
  <connection id="903" name="Connection452" type="4" refreshedVersion="0" background="1">
    <webPr url="http://vocabulary.odm2.org/api/v1/taxonomicclassifiertype/?format=csv" htmlTables="1" htmlFormat="all"/>
  </connection>
  <connection id="904" name="Connection453" type="4" refreshedVersion="0" background="1">
    <webPr url="http://vocabulary.odm2.org/api/v1/variablename/?format=csv" htmlTables="1" htmlFormat="all"/>
  </connection>
  <connection id="905" name="Connection454" type="4" refreshedVersion="0" background="1">
    <webPr url="http://vocabulary.odm2.org/api/v1/variabletype/?format=csv" htmlTables="1" htmlFormat="all"/>
  </connection>
  <connection id="906" name="Connection455" type="4" refreshedVersion="0" background="1">
    <webPr url="http://vocabulary.odm2.org/api/v1/unitstype/?format=csv" htmlTables="1" htmlFormat="all"/>
  </connection>
  <connection id="907" name="Connection456" type="4" refreshedVersion="0" background="1">
    <webPr url="http://vocabulary.odm2.org/api/v1/Boolean/?format=csv" htmlTables="1" htmlFormat="all"/>
  </connection>
  <connection id="908" name="Connection457" type="4" refreshedVersion="0" background="1">
    <webPr url="http://vocabulary.odm2.org/api/v1/NotApplicable/?format=csv" htmlTables="1" htmlFormat="all"/>
  </connection>
  <connection id="909" name="Connection458" type="4" refreshedVersion="0" background="1">
    <webPr url="http://vocabulary.odm2.org/api/v1/ApplicableDatasetTypes/?format=csv" htmlTables="1" htmlFormat="all"/>
  </connection>
  <connection id="910" name="Connection459" type="4" refreshedVersion="0" background="1">
    <webPr url="http://vocabulary.odm2.org/api/v1/ApplicableResultTypes/?format=csv" htmlTables="1" htmlFormat="all"/>
  </connection>
  <connection id="911" name="Connection46" type="4" refreshedVersion="0" background="1">
    <webPr url="http://vocabulary.odm2.org/api/v1/equipmenttype/?format=csv" htmlTables="1" htmlFormat="all"/>
  </connection>
  <connection id="912" name="Connection460" type="4" refreshedVersion="0" background="1">
    <webPr url="http://vocabulary.odm2.org/api/v1/ApplicableMethodTypes/?format=csv" htmlTables="1" htmlFormat="all"/>
  </connection>
  <connection id="913" name="Connection461" type="4" refreshedVersion="0" background="1">
    <webPr url="http://vocabulary.odm2.org/api/v1/actiontype/?format=csv" htmlTables="1" htmlFormat="all"/>
  </connection>
  <connection id="914" name="Connection462" type="4" refreshedVersion="0" background="1">
    <webPr url="http://vocabulary.odm2.org/api/v1/aggregationstatistic/?format=csv" htmlTables="1" htmlFormat="all"/>
  </connection>
  <connection id="915" name="Connection463" type="4" refreshedVersion="0" background="1">
    <webPr url="http://vocabulary.odm2.org/api/v1/censorcode/?format=csv" htmlTables="1" htmlFormat="all"/>
  </connection>
  <connection id="916" name="Connection464" type="4" refreshedVersion="0" background="1">
    <webPr url="http://vocabulary.odm2.org/api/v1/dataqualitytype/?format=csv" htmlTables="1" htmlFormat="all"/>
  </connection>
  <connection id="917" name="Connection465" type="4" refreshedVersion="0" background="1">
    <webPr url="http://vocabulary.odm2.org/api/v1/datasettype/?format=csv" htmlTables="1" htmlFormat="all"/>
  </connection>
  <connection id="918" name="Connection466" type="4" refreshedVersion="0" background="1">
    <webPr url="http://vocabulary.odm2.org/api/v1/directivetype/?format=csv" htmlTables="1" htmlFormat="all"/>
  </connection>
  <connection id="919" name="Connection467" type="4" refreshedVersion="0" background="1">
    <webPr url="http://vocabulary.odm2.org/api/v1/elevationdatum/?format=csv" htmlTables="1" htmlFormat="all"/>
  </connection>
  <connection id="920" name="Connection468" type="4" refreshedVersion="0" background="1">
    <webPr url="http://vocabulary.odm2.org/api/v1/equipmenttype/?format=csv" htmlTables="1" htmlFormat="all"/>
  </connection>
  <connection id="921" name="Connection469" type="4" refreshedVersion="0" background="1">
    <webPr url="http://vocabulary.odm2.org/api/v1/methodtype/?format=csv" htmlTables="1" htmlFormat="all"/>
  </connection>
  <connection id="922" name="Connection47" type="4" refreshedVersion="0" background="1">
    <webPr url="http://vocabulary.odm2.org/api/v1/methodtype/?format=csv" htmlTables="1" htmlFormat="all"/>
  </connection>
  <connection id="923" name="Connection470" type="4" refreshedVersion="0" background="1">
    <webPr url="http://vocabulary.odm2.org/api/v1/organizationtype/?format=csv" htmlTables="1" htmlFormat="all"/>
  </connection>
  <connection id="924" name="Connection471" type="4" refreshedVersion="0" background="1">
    <webPr url="http://vocabulary.odm2.org/api/v1/propertydatatype/?format=csv" htmlTables="1" htmlFormat="all"/>
  </connection>
  <connection id="925" name="Connection472" type="4" refreshedVersion="0" background="1">
    <webPr url="http://vocabulary.odm2.org/api/v1/qualitycode/?format=csv" htmlTables="1" htmlFormat="all"/>
  </connection>
  <connection id="926" name="Connection473" type="4" refreshedVersion="0" background="1">
    <webPr url="http://vocabulary.odm2.org/api/v1/relationshiptype/?format=csv" htmlTables="1" htmlFormat="all"/>
  </connection>
  <connection id="927" name="Connection474" type="4" refreshedVersion="0" background="1">
    <webPr url="http://vocabulary.odm2.org/api/v1/resulttype/?format=csv" htmlTables="1" htmlFormat="all"/>
  </connection>
  <connection id="928" name="Connection475" type="4" refreshedVersion="0" background="1">
    <webPr url="http://vocabulary.odm2.org/api/v1/samplingfeaturegeotype/?format=csv" htmlTables="1" htmlFormat="all"/>
  </connection>
  <connection id="929" name="Connection476" type="4" refreshedVersion="0" background="1">
    <webPr url="http://vocabulary.odm2.org/api/v1/samplingfeaturetype/?format=csv" htmlTables="1" htmlFormat="all"/>
  </connection>
  <connection id="930" name="Connection477" type="4" refreshedVersion="0" background="1">
    <webPr url="http://vocabulary.odm2.org/api/v1/sitetype/?format=csv" htmlTables="1" htmlFormat="all"/>
  </connection>
  <connection id="931" name="Connection478" type="4" refreshedVersion="0" background="1">
    <webPr url="http://vocabulary.odm2.org/api/v1/spatialoffsettype/?format=csv" htmlTables="1" htmlFormat="all"/>
  </connection>
  <connection id="932" name="Connection479" type="4" refreshedVersion="0" background="1">
    <webPr url="http://vocabulary.odm2.org/api/v1/speciation/?format=csv" htmlTables="1" htmlFormat="all"/>
  </connection>
  <connection id="933" name="Connection48" type="4" refreshedVersion="0" background="1">
    <webPr url="http://vocabulary.odm2.org/api/v1/organizationtype/?format=csv" htmlTables="1" htmlFormat="all"/>
  </connection>
  <connection id="934" name="Connection480" type="4" refreshedVersion="0" background="1">
    <webPr url="http://vocabulary.odm2.org/api/v1/medium/?format=csv" htmlTables="1" htmlFormat="all"/>
  </connection>
  <connection id="935" name="Connection481" type="4" refreshedVersion="0" background="1">
    <webPr url="http://vocabulary.odm2.org/api/v1/specimentype/?format=csv" htmlTables="1" htmlFormat="all"/>
  </connection>
  <connection id="936" name="Connection482" type="4" refreshedVersion="0" background="1">
    <webPr url="http://vocabulary.odm2.org/api/v1/status/?format=csv" htmlTables="1" htmlFormat="all"/>
  </connection>
  <connection id="937" name="Connection483" type="4" refreshedVersion="0" background="1">
    <webPr url="http://vocabulary.odm2.org/api/v1/taxonomicclassifiertype/?format=csv" htmlTables="1" htmlFormat="all"/>
  </connection>
  <connection id="938" name="Connection484" type="4" refreshedVersion="0" background="1">
    <webPr url="http://vocabulary.odm2.org/api/v1/variablename/?format=csv" htmlTables="1" htmlFormat="all"/>
  </connection>
  <connection id="939" name="Connection485" type="4" refreshedVersion="0" background="1">
    <webPr url="http://vocabulary.odm2.org/api/v1/variabletype/?format=csv" htmlTables="1" htmlFormat="all"/>
  </connection>
  <connection id="940" name="Connection486" type="4" refreshedVersion="0" background="1">
    <webPr url="http://vocabulary.odm2.org/api/v1/unitstype/?format=csv" htmlTables="1" htmlFormat="all"/>
  </connection>
  <connection id="941" name="Connection487" type="4" refreshedVersion="0" background="1">
    <webPr url="http://vocabulary.odm2.org/api/v1/Boolean/?format=csv" htmlTables="1" htmlFormat="all"/>
  </connection>
  <connection id="942" name="Connection488" type="4" refreshedVersion="0" background="1">
    <webPr url="http://vocabulary.odm2.org/api/v1/NotApplicable/?format=csv" htmlTables="1" htmlFormat="all"/>
  </connection>
  <connection id="943" name="Connection489" type="4" refreshedVersion="0" background="1">
    <webPr url="http://vocabulary.odm2.org/api/v1/ApplicableDatasetTypes/?format=csv" htmlTables="1" htmlFormat="all"/>
  </connection>
  <connection id="944" name="Connection49" type="4" refreshedVersion="0" background="1">
    <webPr url="http://vocabulary.odm2.org/api/v1/propertydatatype/?format=csv" htmlTables="1" htmlFormat="all"/>
  </connection>
  <connection id="945" name="Connection490" type="4" refreshedVersion="0" background="1">
    <webPr url="http://vocabulary.odm2.org/api/v1/ApplicableResultTypes/?format=csv" htmlTables="1" htmlFormat="all"/>
  </connection>
  <connection id="946" name="Connection491" type="4" refreshedVersion="0" background="1">
    <webPr url="http://vocabulary.odm2.org/api/v1/ApplicableMethodTypes/?format=csv" htmlTables="1" htmlFormat="all"/>
  </connection>
  <connection id="947" name="Connection492" type="4" refreshedVersion="0" background="1">
    <webPr url="http://vocabulary.odm2.org/api/v1/actiontype/?format=csv" htmlTables="1" htmlFormat="all"/>
  </connection>
  <connection id="948" name="Connection493" type="4" refreshedVersion="0" background="1">
    <webPr url="http://vocabulary.odm2.org/api/v1/aggregationstatistic/?format=csv" htmlTables="1" htmlFormat="all"/>
  </connection>
  <connection id="949" name="Connection494" type="4" refreshedVersion="0" background="1">
    <webPr url="http://vocabulary.odm2.org/api/v1/censorcode/?format=csv" htmlTables="1" htmlFormat="all"/>
  </connection>
  <connection id="950" name="Connection495" type="4" refreshedVersion="0" background="1">
    <webPr url="http://vocabulary.odm2.org/api/v1/dataqualitytype/?format=csv" htmlTables="1" htmlFormat="all"/>
  </connection>
  <connection id="951" name="Connection496" type="4" refreshedVersion="0" background="1">
    <webPr url="http://vocabulary.odm2.org/api/v1/datasettype/?format=csv" htmlTables="1" htmlFormat="all"/>
  </connection>
  <connection id="952" name="Connection497" type="4" refreshedVersion="0" background="1">
    <webPr url="http://vocabulary.odm2.org/api/v1/directivetype/?format=csv" htmlTables="1" htmlFormat="all"/>
  </connection>
  <connection id="953" name="Connection498" type="4" refreshedVersion="0" background="1">
    <webPr url="http://vocabulary.odm2.org/api/v1/elevationdatum/?format=csv" htmlTables="1" htmlFormat="all"/>
  </connection>
  <connection id="954" name="Connection499" type="4" refreshedVersion="0" background="1">
    <webPr url="http://vocabulary.odm2.org/api/v1/equipmenttype/?format=csv" htmlTables="1" htmlFormat="all"/>
  </connection>
  <connection id="955" name="Connection5" type="4" refreshedVersion="0" background="1">
    <webPr url="http://vocabulary.odm2.org/api/v1/ApplicableDatasetTypes/?format=csv" htmlTables="1" htmlFormat="all"/>
  </connection>
  <connection id="956" name="Connection50" type="4" refreshedVersion="0" background="1">
    <webPr url="http://vocabulary.odm2.org/api/v1/qualitycode/?format=csv" htmlTables="1" htmlFormat="all"/>
  </connection>
  <connection id="957" name="Connection500" type="4" refreshedVersion="0" background="1">
    <webPr url="http://vocabulary.odm2.org/api/v1/methodtype/?format=csv" htmlTables="1" htmlFormat="all"/>
  </connection>
  <connection id="958" name="Connection501" type="4" refreshedVersion="0" background="1">
    <webPr url="http://vocabulary.odm2.org/api/v1/organizationtype/?format=csv" htmlTables="1" htmlFormat="all"/>
  </connection>
  <connection id="959" name="Connection502" type="4" refreshedVersion="0" background="1">
    <webPr url="http://vocabulary.odm2.org/api/v1/propertydatatype/?format=csv" htmlTables="1" htmlFormat="all"/>
  </connection>
  <connection id="960" name="Connection503" type="4" refreshedVersion="0" background="1">
    <webPr url="http://vocabulary.odm2.org/api/v1/qualitycode/?format=csv" htmlTables="1" htmlFormat="all"/>
  </connection>
  <connection id="961" name="Connection504" type="4" refreshedVersion="0" background="1">
    <webPr url="http://vocabulary.odm2.org/api/v1/relationshiptype/?format=csv" htmlTables="1" htmlFormat="all"/>
  </connection>
  <connection id="962" name="Connection505" type="4" refreshedVersion="0" background="1">
    <webPr url="http://vocabulary.odm2.org/api/v1/resulttype/?format=csv" htmlTables="1" htmlFormat="all"/>
  </connection>
  <connection id="963" name="Connection506" type="4" refreshedVersion="0" background="1">
    <webPr url="http://vocabulary.odm2.org/api/v1/samplingfeaturegeotype/?format=csv" htmlTables="1" htmlFormat="all"/>
  </connection>
  <connection id="964" name="Connection507" type="4" refreshedVersion="0" background="1">
    <webPr url="http://vocabulary.odm2.org/api/v1/samplingfeaturetype/?format=csv" htmlTables="1" htmlFormat="all"/>
  </connection>
  <connection id="965" name="Connection508" type="4" refreshedVersion="0" background="1">
    <webPr url="http://vocabulary.odm2.org/api/v1/sitetype/?format=csv" htmlTables="1" htmlFormat="all"/>
  </connection>
  <connection id="966" name="Connection509" type="4" refreshedVersion="0" background="1">
    <webPr url="http://vocabulary.odm2.org/api/v1/spatialoffsettype/?format=csv" htmlTables="1" htmlFormat="all"/>
  </connection>
  <connection id="967" name="Connection51" type="4" refreshedVersion="0" background="1">
    <webPr url="http://vocabulary.odm2.org/api/v1/relationshiptype/?format=csv" htmlTables="1" htmlFormat="all"/>
  </connection>
  <connection id="968" name="Connection510" type="4" refreshedVersion="0" background="1">
    <webPr url="http://vocabulary.odm2.org/api/v1/speciation/?format=csv" htmlTables="1" htmlFormat="all"/>
  </connection>
  <connection id="969" name="Connection511" type="4" refreshedVersion="0" background="1">
    <webPr url="http://vocabulary.odm2.org/api/v1/medium/?format=csv" htmlTables="1" htmlFormat="all"/>
  </connection>
  <connection id="970" name="Connection512" type="4" refreshedVersion="0" background="1">
    <webPr url="http://vocabulary.odm2.org/api/v1/specimentype/?format=csv" htmlTables="1" htmlFormat="all"/>
  </connection>
  <connection id="971" name="Connection513" type="4" refreshedVersion="0" background="1">
    <webPr url="http://vocabulary.odm2.org/api/v1/status/?format=csv" htmlTables="1" htmlFormat="all"/>
  </connection>
  <connection id="972" name="Connection514" type="4" refreshedVersion="0" background="1">
    <webPr url="http://vocabulary.odm2.org/api/v1/taxonomicclassifiertype/?format=csv" htmlTables="1" htmlFormat="all"/>
  </connection>
  <connection id="973" name="Connection515" type="4" refreshedVersion="0" background="1">
    <webPr url="http://vocabulary.odm2.org/api/v1/variablename/?format=csv" htmlTables="1" htmlFormat="all"/>
  </connection>
  <connection id="974" name="Connection516" type="4" refreshedVersion="0" background="1">
    <webPr url="http://vocabulary.odm2.org/api/v1/variabletype/?format=csv" htmlTables="1" htmlFormat="all"/>
  </connection>
  <connection id="975" name="Connection517" type="4" refreshedVersion="0" background="1">
    <webPr url="http://vocabulary.odm2.org/api/v1/unitstype/?format=csv" htmlTables="1" htmlFormat="all"/>
  </connection>
  <connection id="976" name="Connection518" type="4" refreshedVersion="0" background="1">
    <webPr url="http://vocabulary.odm2.org/api/v1/Boolean/?format=csv" htmlTables="1" htmlFormat="all"/>
  </connection>
  <connection id="977" name="Connection519" type="4" refreshedVersion="0" background="1">
    <webPr url="http://vocabulary.odm2.org/api/v1/NotApplicable/?format=csv" htmlTables="1" htmlFormat="all"/>
  </connection>
  <connection id="978" name="Connection52" type="4" refreshedVersion="0" background="1">
    <webPr url="http://vocabulary.odm2.org/api/v1/resulttype/?format=csv" htmlTables="1" htmlFormat="all"/>
  </connection>
  <connection id="979" name="Connection520" type="4" refreshedVersion="0" background="1">
    <webPr url="http://vocabulary.odm2.org/api/v1/ApplicableDatasetTypes/?format=csv" htmlTables="1" htmlFormat="all"/>
  </connection>
  <connection id="980" name="Connection521" type="4" refreshedVersion="0" background="1">
    <webPr url="http://vocabulary.odm2.org/api/v1/ApplicableResultTypes/?format=csv" htmlTables="1" htmlFormat="all"/>
  </connection>
  <connection id="981" name="Connection522" type="4" refreshedVersion="0" background="1">
    <webPr url="http://vocabulary.odm2.org/api/v1/ApplicableMethodTypes/?format=csv" htmlTables="1" htmlFormat="all"/>
  </connection>
  <connection id="982" name="Connection523" type="4" refreshedVersion="0" background="1">
    <webPr url="http://vocabulary.odm2.org/api/v1/actiontype/?format=csv" htmlTables="1" htmlFormat="all"/>
  </connection>
  <connection id="983" name="Connection524" type="4" refreshedVersion="0" background="1">
    <webPr url="http://vocabulary.odm2.org/api/v1/aggregationstatistic/?format=csv" htmlTables="1" htmlFormat="all"/>
  </connection>
  <connection id="984" name="Connection525" type="4" refreshedVersion="0" background="1">
    <webPr url="http://vocabulary.odm2.org/api/v1/censorcode/?format=csv" htmlTables="1" htmlFormat="all"/>
  </connection>
  <connection id="985" name="Connection526" type="4" refreshedVersion="0" background="1">
    <webPr url="http://vocabulary.odm2.org/api/v1/dataqualitytype/?format=csv" htmlTables="1" htmlFormat="all"/>
  </connection>
  <connection id="986" name="Connection527" type="4" refreshedVersion="0" background="1">
    <webPr url="http://vocabulary.odm2.org/api/v1/datasettype/?format=csv" htmlTables="1" htmlFormat="all"/>
  </connection>
  <connection id="987" name="Connection528" type="4" refreshedVersion="0" background="1">
    <webPr url="http://vocabulary.odm2.org/api/v1/directivetype/?format=csv" htmlTables="1" htmlFormat="all"/>
  </connection>
  <connection id="988" name="Connection529" type="4" refreshedVersion="0" background="1">
    <webPr url="http://vocabulary.odm2.org/api/v1/elevationdatum/?format=csv" htmlTables="1" htmlFormat="all"/>
  </connection>
  <connection id="989" name="Connection53" type="4" refreshedVersion="0" background="1">
    <webPr url="http://vocabulary.odm2.org/api/v1/samplingfeaturegeotype/?format=csv" htmlTables="1" htmlFormat="all"/>
  </connection>
  <connection id="990" name="Connection530" type="4" refreshedVersion="0" background="1">
    <webPr url="http://vocabulary.odm2.org/api/v1/equipmenttype/?format=csv" htmlTables="1" htmlFormat="all"/>
  </connection>
  <connection id="991" name="Connection531" type="4" refreshedVersion="0" background="1">
    <webPr url="http://vocabulary.odm2.org/api/v1/methodtype/?format=csv" htmlTables="1" htmlFormat="all"/>
  </connection>
  <connection id="992" name="Connection532" type="4" refreshedVersion="0" background="1">
    <webPr url="http://vocabulary.odm2.org/api/v1/organizationtype/?format=csv" htmlTables="1" htmlFormat="all"/>
  </connection>
  <connection id="993" name="Connection533" type="4" refreshedVersion="0" background="1">
    <webPr url="http://vocabulary.odm2.org/api/v1/propertydatatype/?format=csv" htmlTables="1" htmlFormat="all"/>
  </connection>
  <connection id="994" name="Connection534" type="4" refreshedVersion="0" background="1">
    <webPr url="http://vocabulary.odm2.org/api/v1/qualitycode/?format=csv" htmlTables="1" htmlFormat="all"/>
  </connection>
  <connection id="995" name="Connection535" type="4" refreshedVersion="0" background="1">
    <webPr url="http://vocabulary.odm2.org/api/v1/relationshiptype/?format=csv" htmlTables="1" htmlFormat="all"/>
  </connection>
  <connection id="996" name="Connection536" type="4" refreshedVersion="0" background="1">
    <webPr url="http://vocabulary.odm2.org/api/v1/resulttype/?format=csv" htmlTables="1" htmlFormat="all"/>
  </connection>
  <connection id="997" name="Connection537" type="4" refreshedVersion="0" background="1">
    <webPr url="http://vocabulary.odm2.org/api/v1/samplingfeaturegeotype/?format=csv" htmlTables="1" htmlFormat="all"/>
  </connection>
  <connection id="998" name="Connection538" type="4" refreshedVersion="0" background="1">
    <webPr url="http://vocabulary.odm2.org/api/v1/samplingfeaturetype/?format=csv" htmlTables="1" htmlFormat="all"/>
  </connection>
  <connection id="999" name="Connection539" type="4" refreshedVersion="0" background="1">
    <webPr url="http://vocabulary.odm2.org/api/v1/sitetype/?format=csv" htmlTables="1" htmlFormat="all"/>
  </connection>
  <connection id="1000" name="Connection54" type="4" refreshedVersion="0" background="1">
    <webPr url="http://vocabulary.odm2.org/api/v1/samplingfeaturetype/?format=csv" htmlTables="1" htmlFormat="all"/>
  </connection>
  <connection id="1001" name="Connection540" type="4" refreshedVersion="0" background="1">
    <webPr url="http://vocabulary.odm2.org/api/v1/spatialoffsettype/?format=csv" htmlTables="1" htmlFormat="all"/>
  </connection>
  <connection id="1002" name="Connection541" type="4" refreshedVersion="0" background="1">
    <webPr url="http://vocabulary.odm2.org/api/v1/speciation/?format=csv" htmlTables="1" htmlFormat="all"/>
  </connection>
  <connection id="1003" name="Connection542" type="4" refreshedVersion="0" background="1">
    <webPr url="http://vocabulary.odm2.org/api/v1/medium/?format=csv" htmlTables="1" htmlFormat="all"/>
  </connection>
  <connection id="1004" name="Connection543" type="4" refreshedVersion="0" background="1">
    <webPr url="http://vocabulary.odm2.org/api/v1/specimentype/?format=csv" htmlTables="1" htmlFormat="all"/>
  </connection>
  <connection id="1005" name="Connection544" type="4" refreshedVersion="0" background="1">
    <webPr url="http://vocabulary.odm2.org/api/v1/status/?format=csv" htmlTables="1" htmlFormat="all"/>
  </connection>
  <connection id="1006" name="Connection545" type="4" refreshedVersion="0" background="1">
    <webPr url="http://vocabulary.odm2.org/api/v1/taxonomicclassifiertype/?format=csv" htmlTables="1" htmlFormat="all"/>
  </connection>
  <connection id="1007" name="Connection546" type="4" refreshedVersion="0" background="1">
    <webPr url="http://vocabulary.odm2.org/api/v1/variablename/?format=csv" htmlTables="1" htmlFormat="all"/>
  </connection>
  <connection id="1008" name="Connection547" type="4" refreshedVersion="0" background="1">
    <webPr url="http://vocabulary.odm2.org/api/v1/variabletype/?format=csv" htmlTables="1" htmlFormat="all"/>
  </connection>
  <connection id="1009" name="Connection548" type="4" refreshedVersion="0" background="1">
    <webPr url="http://vocabulary.odm2.org/api/v1/unitstype/?format=csv" htmlTables="1" htmlFormat="all"/>
  </connection>
  <connection id="1010" name="Connection549" type="4" refreshedVersion="0" background="1">
    <webPr url="http://vocabulary.odm2.org/api/v1/Boolean/?format=csv" htmlTables="1" htmlFormat="all"/>
  </connection>
  <connection id="1011" name="Connection55" type="4" refreshedVersion="0" background="1">
    <webPr url="http://vocabulary.odm2.org/api/v1/sitetype/?format=csv" htmlTables="1" htmlFormat="all"/>
  </connection>
  <connection id="1012" name="Connection550" type="4" refreshedVersion="0" background="1">
    <webPr url="http://vocabulary.odm2.org/api/v1/NotApplicable/?format=csv" htmlTables="1" htmlFormat="all"/>
  </connection>
  <connection id="1013" name="Connection551" type="4" refreshedVersion="0" background="1">
    <webPr url="http://vocabulary.odm2.org/api/v1/ApplicableDatasetTypes/?format=csv" htmlTables="1" htmlFormat="all"/>
  </connection>
  <connection id="1014" name="Connection552" type="4" refreshedVersion="0" background="1">
    <webPr url="http://vocabulary.odm2.org/api/v1/ApplicableResultTypes/?format=csv" htmlTables="1" htmlFormat="all"/>
  </connection>
  <connection id="1015" name="Connection553" type="4" refreshedVersion="0" background="1">
    <webPr url="http://vocabulary.odm2.org/api/v1/ApplicableMethodTypes/?format=csv" htmlTables="1" htmlFormat="all"/>
  </connection>
  <connection id="1016" name="Connection554" type="4" refreshedVersion="0" background="1">
    <webPr url="http://vocabulary.odm2.org/api/v1/actiontype/?format=csv" htmlTables="1" htmlFormat="all"/>
  </connection>
  <connection id="1017" name="Connection555" type="4" refreshedVersion="0" background="1">
    <webPr url="http://vocabulary.odm2.org/api/v1/aggregationstatistic/?format=csv" htmlTables="1" htmlFormat="all"/>
  </connection>
  <connection id="1018" name="Connection556" type="4" refreshedVersion="0" background="1">
    <webPr url="http://vocabulary.odm2.org/api/v1/censorcode/?format=csv" htmlTables="1" htmlFormat="all"/>
  </connection>
  <connection id="1019" name="Connection557" type="4" refreshedVersion="0" background="1">
    <webPr url="http://vocabulary.odm2.org/api/v1/dataqualitytype/?format=csv" htmlTables="1" htmlFormat="all"/>
  </connection>
  <connection id="1020" name="Connection558" type="4" refreshedVersion="0" background="1">
    <webPr url="http://vocabulary.odm2.org/api/v1/datasettype/?format=csv" htmlTables="1" htmlFormat="all"/>
  </connection>
  <connection id="1021" name="Connection559" type="4" refreshedVersion="0" background="1">
    <webPr url="http://vocabulary.odm2.org/api/v1/directivetype/?format=csv" htmlTables="1" htmlFormat="all"/>
  </connection>
  <connection id="1022" name="Connection56" type="4" refreshedVersion="0" background="1">
    <webPr url="http://vocabulary.odm2.org/api/v1/spatialoffsettype/?format=csv" htmlTables="1" htmlFormat="all"/>
  </connection>
  <connection id="1023" name="Connection560" type="4" refreshedVersion="0" background="1">
    <webPr url="http://vocabulary.odm2.org/api/v1/elevationdatum/?format=csv" htmlTables="1" htmlFormat="all"/>
  </connection>
  <connection id="1024" name="Connection561" type="4" refreshedVersion="0" background="1">
    <webPr url="http://vocabulary.odm2.org/api/v1/equipmenttype/?format=csv" htmlTables="1" htmlFormat="all"/>
  </connection>
  <connection id="1025" name="Connection562" type="4" refreshedVersion="0" background="1">
    <webPr url="http://vocabulary.odm2.org/api/v1/methodtype/?format=csv" htmlTables="1" htmlFormat="all"/>
  </connection>
  <connection id="1026" name="Connection563" type="4" refreshedVersion="0" background="1">
    <webPr url="http://vocabulary.odm2.org/api/v1/organizationtype/?format=csv" htmlTables="1" htmlFormat="all"/>
  </connection>
  <connection id="1027" name="Connection564" type="4" refreshedVersion="0" background="1">
    <webPr url="http://vocabulary.odm2.org/api/v1/propertydatatype/?format=csv" htmlTables="1" htmlFormat="all"/>
  </connection>
  <connection id="1028" name="Connection565" type="4" refreshedVersion="0" background="1">
    <webPr url="http://vocabulary.odm2.org/api/v1/qualitycode/?format=csv" htmlTables="1" htmlFormat="all"/>
  </connection>
  <connection id="1029" name="Connection566" type="4" refreshedVersion="0" background="1">
    <webPr url="http://vocabulary.odm2.org/api/v1/relationshiptype/?format=csv" htmlTables="1" htmlFormat="all"/>
  </connection>
  <connection id="1030" name="Connection567" type="4" refreshedVersion="0" background="1">
    <webPr url="http://vocabulary.odm2.org/api/v1/resulttype/?format=csv" htmlTables="1" htmlFormat="all"/>
  </connection>
  <connection id="1031" name="Connection568" type="4" refreshedVersion="0" background="1">
    <webPr url="http://vocabulary.odm2.org/api/v1/samplingfeaturegeotype/?format=csv" htmlTables="1" htmlFormat="all"/>
  </connection>
  <connection id="1032" name="Connection569" type="4" refreshedVersion="0" background="1">
    <webPr url="http://vocabulary.odm2.org/api/v1/samplingfeaturetype/?format=csv" htmlTables="1" htmlFormat="all"/>
  </connection>
  <connection id="1033" name="Connection57" type="4" refreshedVersion="0" background="1">
    <webPr url="http://vocabulary.odm2.org/api/v1/speciation/?format=csv" htmlTables="1" htmlFormat="all"/>
  </connection>
  <connection id="1034" name="Connection570" type="4" refreshedVersion="0" background="1">
    <webPr url="http://vocabulary.odm2.org/api/v1/sitetype/?format=csv" htmlTables="1" htmlFormat="all"/>
  </connection>
  <connection id="1035" name="Connection571" type="4" refreshedVersion="0" background="1">
    <webPr url="http://vocabulary.odm2.org/api/v1/spatialoffsettype/?format=csv" htmlTables="1" htmlFormat="all"/>
  </connection>
  <connection id="1036" name="Connection572" type="4" refreshedVersion="0" background="1">
    <webPr url="http://vocabulary.odm2.org/api/v1/speciation/?format=csv" htmlTables="1" htmlFormat="all"/>
  </connection>
  <connection id="1037" name="Connection573" type="4" refreshedVersion="0" background="1">
    <webPr url="http://vocabulary.odm2.org/api/v1/medium/?format=csv" htmlTables="1" htmlFormat="all"/>
  </connection>
  <connection id="1038" name="Connection574" type="4" refreshedVersion="0" background="1">
    <webPr url="http://vocabulary.odm2.org/api/v1/specimentype/?format=csv" htmlTables="1" htmlFormat="all"/>
  </connection>
  <connection id="1039" name="Connection575" type="4" refreshedVersion="0" background="1">
    <webPr url="http://vocabulary.odm2.org/api/v1/status/?format=csv" htmlTables="1" htmlFormat="all"/>
  </connection>
  <connection id="1040" name="Connection576" type="4" refreshedVersion="0" background="1">
    <webPr url="http://vocabulary.odm2.org/api/v1/taxonomicclassifiertype/?format=csv" htmlTables="1" htmlFormat="all"/>
  </connection>
  <connection id="1041" name="Connection577" type="4" refreshedVersion="0" background="1">
    <webPr url="http://vocabulary.odm2.org/api/v1/variablename/?format=csv" htmlTables="1" htmlFormat="all"/>
  </connection>
  <connection id="1042" name="Connection578" type="4" refreshedVersion="0" background="1">
    <webPr url="http://vocabulary.odm2.org/api/v1/variabletype/?format=csv" htmlTables="1" htmlFormat="all"/>
  </connection>
  <connection id="1043" name="Connection579" type="4" refreshedVersion="0" background="1">
    <webPr url="http://vocabulary.odm2.org/api/v1/unitstype/?format=csv" htmlTables="1" htmlFormat="all"/>
  </connection>
  <connection id="1044" name="Connection58" type="4" refreshedVersion="0" background="1">
    <webPr url="http://vocabulary.odm2.org/api/v1/medium/?format=csv" htmlTables="1" htmlFormat="all"/>
  </connection>
  <connection id="1045" name="Connection580" type="4" refreshedVersion="0" background="1">
    <webPr url="http://vocabulary.odm2.org/api/v1/Boolean/?format=csv" htmlTables="1" htmlFormat="all"/>
  </connection>
  <connection id="1046" name="Connection581" type="4" refreshedVersion="0" background="1">
    <webPr url="http://vocabulary.odm2.org/api/v1/NotApplicable/?format=csv" htmlTables="1" htmlFormat="all"/>
  </connection>
  <connection id="1047" name="Connection582" type="4" refreshedVersion="0" background="1">
    <webPr url="http://vocabulary.odm2.org/api/v1/ApplicableDatasetTypes/?format=csv" htmlTables="1" htmlFormat="all"/>
  </connection>
  <connection id="1048" name="Connection583" type="4" refreshedVersion="0" background="1">
    <webPr url="http://vocabulary.odm2.org/api/v1/ApplicableResultTypes/?format=csv" htmlTables="1" htmlFormat="all"/>
  </connection>
  <connection id="1049" name="Connection584" type="4" refreshedVersion="0" background="1">
    <webPr url="http://vocabulary.odm2.org/api/v1/ApplicableMethodTypes/?format=csv" htmlTables="1" htmlFormat="all"/>
  </connection>
  <connection id="1050" name="Connection585" type="4" refreshedVersion="0" background="1">
    <webPr url="http://vocabulary.odm2.org/api/v1/actiontype/?format=csv" htmlTables="1" htmlFormat="all"/>
  </connection>
  <connection id="1051" name="Connection586" type="4" refreshedVersion="0" background="1">
    <webPr url="http://vocabulary.odm2.org/api/v1/aggregationstatistic/?format=csv" htmlTables="1" htmlFormat="all"/>
  </connection>
  <connection id="1052" name="Connection587" type="4" refreshedVersion="0" background="1">
    <webPr url="http://vocabulary.odm2.org/api/v1/censorcode/?format=csv" htmlTables="1" htmlFormat="all"/>
  </connection>
  <connection id="1053" name="Connection588" type="4" refreshedVersion="0" background="1">
    <webPr url="http://vocabulary.odm2.org/api/v1/dataqualitytype/?format=csv" htmlTables="1" htmlFormat="all"/>
  </connection>
  <connection id="1054" name="Connection589" type="4" refreshedVersion="0" background="1">
    <webPr url="http://vocabulary.odm2.org/api/v1/datasettype/?format=csv" htmlTables="1" htmlFormat="all"/>
  </connection>
  <connection id="1055" name="Connection59" type="4" refreshedVersion="0" background="1">
    <webPr url="http://vocabulary.odm2.org/api/v1/specimentype/?format=csv" htmlTables="1" htmlFormat="all"/>
  </connection>
  <connection id="1056" name="Connection590" type="4" refreshedVersion="0" background="1">
    <webPr url="http://vocabulary.odm2.org/api/v1/directivetype/?format=csv" htmlTables="1" htmlFormat="all"/>
  </connection>
  <connection id="1057" name="Connection591" type="4" refreshedVersion="0" background="1">
    <webPr url="http://vocabulary.odm2.org/api/v1/elevationdatum/?format=csv" htmlTables="1" htmlFormat="all"/>
  </connection>
  <connection id="1058" name="Connection592" type="4" refreshedVersion="0" background="1">
    <webPr url="http://vocabulary.odm2.org/api/v1/equipmenttype/?format=csv" htmlTables="1" htmlFormat="all"/>
  </connection>
  <connection id="1059" name="Connection593" type="4" refreshedVersion="0" background="1">
    <webPr url="http://vocabulary.odm2.org/api/v1/methodtype/?format=csv" htmlTables="1" htmlFormat="all"/>
  </connection>
  <connection id="1060" name="Connection594" type="4" refreshedVersion="0" background="1">
    <webPr url="http://vocabulary.odm2.org/api/v1/organizationtype/?format=csv" htmlTables="1" htmlFormat="all"/>
  </connection>
  <connection id="1061" name="Connection595" type="4" refreshedVersion="0" background="1">
    <webPr url="http://vocabulary.odm2.org/api/v1/propertydatatype/?format=csv" htmlTables="1" htmlFormat="all"/>
  </connection>
  <connection id="1062" name="Connection596" type="4" refreshedVersion="0" background="1">
    <webPr url="http://vocabulary.odm2.org/api/v1/qualitycode/?format=csv" htmlTables="1" htmlFormat="all"/>
  </connection>
  <connection id="1063" name="Connection597" type="4" refreshedVersion="0" background="1">
    <webPr url="http://vocabulary.odm2.org/api/v1/relationshiptype/?format=csv" htmlTables="1" htmlFormat="all"/>
  </connection>
  <connection id="1064" name="Connection598" type="4" refreshedVersion="0" background="1">
    <webPr url="http://vocabulary.odm2.org/api/v1/resulttype/?format=csv" htmlTables="1" htmlFormat="all"/>
  </connection>
  <connection id="1065" name="Connection599" type="4" refreshedVersion="0" background="1">
    <webPr url="http://vocabulary.odm2.org/api/v1/samplingfeaturegeotype/?format=csv" htmlTables="1" htmlFormat="all"/>
  </connection>
  <connection id="1066" name="Connection6" type="4" refreshedVersion="0" background="1">
    <webPr url="http://vocabulary.odm2.org/api/v1/ApplicableResultTypes/?format=csv" htmlTables="1" htmlFormat="all"/>
  </connection>
  <connection id="1067" name="Connection60" type="4" refreshedVersion="0" background="1">
    <webPr url="http://vocabulary.odm2.org/api/v1/status/?format=csv" htmlTables="1" htmlFormat="all"/>
  </connection>
  <connection id="1068" name="Connection600" type="4" refreshedVersion="0" background="1">
    <webPr url="http://vocabulary.odm2.org/api/v1/samplingfeaturetype/?format=csv" htmlTables="1" htmlFormat="all"/>
  </connection>
  <connection id="1069" name="Connection601" type="4" refreshedVersion="0" background="1">
    <webPr url="http://vocabulary.odm2.org/api/v1/sitetype/?format=csv" htmlTables="1" htmlFormat="all"/>
  </connection>
  <connection id="1070" name="Connection602" type="4" refreshedVersion="0" background="1">
    <webPr url="http://vocabulary.odm2.org/api/v1/spatialoffsettype/?format=csv" htmlTables="1" htmlFormat="all"/>
  </connection>
  <connection id="1071" name="Connection603" type="4" refreshedVersion="0" background="1">
    <webPr url="http://vocabulary.odm2.org/api/v1/speciation/?format=csv" htmlTables="1" htmlFormat="all"/>
  </connection>
  <connection id="1072" name="Connection604" type="4" refreshedVersion="0" background="1">
    <webPr url="http://vocabulary.odm2.org/api/v1/medium/?format=csv" htmlTables="1" htmlFormat="all"/>
  </connection>
  <connection id="1073" name="Connection605" type="4" refreshedVersion="0" background="1">
    <webPr url="http://vocabulary.odm2.org/api/v1/specimentype/?format=csv" htmlTables="1" htmlFormat="all"/>
  </connection>
  <connection id="1074" name="Connection606" type="4" refreshedVersion="0" background="1">
    <webPr url="http://vocabulary.odm2.org/api/v1/status/?format=csv" htmlTables="1" htmlFormat="all"/>
  </connection>
  <connection id="1075" name="Connection607" type="4" refreshedVersion="0" background="1">
    <webPr url="http://vocabulary.odm2.org/api/v1/taxonomicclassifiertype/?format=csv" htmlTables="1" htmlFormat="all"/>
  </connection>
  <connection id="1076" name="Connection608" type="4" refreshedVersion="0" background="1">
    <webPr url="http://vocabulary.odm2.org/api/v1/variablename/?format=csv" htmlTables="1" htmlFormat="all"/>
  </connection>
  <connection id="1077" name="Connection609" type="4" refreshedVersion="0" background="1">
    <webPr url="http://vocabulary.odm2.org/api/v1/variabletype/?format=csv" htmlTables="1" htmlFormat="all"/>
  </connection>
  <connection id="1078" name="Connection61" type="4" refreshedVersion="0" background="1">
    <webPr url="http://vocabulary.odm2.org/api/v1/taxonomicclassifiertype/?format=csv" htmlTables="1" htmlFormat="all"/>
  </connection>
  <connection id="1079" name="Connection610" type="4" refreshedVersion="0" background="1">
    <webPr url="http://vocabulary.odm2.org/api/v1/unitstype/?format=csv" htmlTables="1" htmlFormat="all"/>
  </connection>
  <connection id="1080" name="Connection611" type="4" refreshedVersion="0" background="1">
    <webPr url="http://vocabulary.odm2.org/api/v1/Boolean/?format=csv" htmlTables="1" htmlFormat="all"/>
  </connection>
  <connection id="1081" name="Connection612" type="4" refreshedVersion="0" background="1">
    <webPr url="http://vocabulary.odm2.org/api/v1/NotApplicable/?format=csv" htmlTables="1" htmlFormat="all"/>
  </connection>
  <connection id="1082" name="Connection613" type="4" refreshedVersion="0" background="1">
    <webPr url="http://vocabulary.odm2.org/api/v1/ApplicableDatasetTypes/?format=csv" htmlTables="1" htmlFormat="all"/>
  </connection>
  <connection id="1083" name="Connection614" type="4" refreshedVersion="0" background="1">
    <webPr url="http://vocabulary.odm2.org/api/v1/ApplicableResultTypes/?format=csv" htmlTables="1" htmlFormat="all"/>
  </connection>
  <connection id="1084" name="Connection615" type="4" refreshedVersion="0" background="1">
    <webPr url="http://vocabulary.odm2.org/api/v1/ApplicableMethodTypes/?format=csv" htmlTables="1" htmlFormat="all"/>
  </connection>
  <connection id="1085" name="Connection616" type="4" refreshedVersion="0" background="1">
    <webPr url="http://vocabulary.odm2.org/api/v1/actiontype/?format=csv" htmlTables="1" htmlFormat="all"/>
  </connection>
  <connection id="1086" name="Connection617" type="4" refreshedVersion="0" background="1">
    <webPr url="http://vocabulary.odm2.org/api/v1/aggregationstatistic/?format=csv" htmlTables="1" htmlFormat="all"/>
  </connection>
  <connection id="1087" name="Connection618" type="4" refreshedVersion="0" background="1">
    <webPr url="http://vocabulary.odm2.org/api/v1/censorcode/?format=csv" htmlTables="1" htmlFormat="all"/>
  </connection>
  <connection id="1088" name="Connection619" type="4" refreshedVersion="0" background="1">
    <webPr url="http://vocabulary.odm2.org/api/v1/dataqualitytype/?format=csv" htmlTables="1" htmlFormat="all"/>
  </connection>
  <connection id="1089" name="Connection62" type="4" refreshedVersion="0" background="1">
    <webPr url="http://vocabulary.odm2.org/api/v1/variablename/?format=csv" htmlTables="1" htmlFormat="all"/>
  </connection>
  <connection id="1090" name="Connection620" type="4" refreshedVersion="0" background="1">
    <webPr url="http://vocabulary.odm2.org/api/v1/datasettype/?format=csv" htmlTables="1" htmlFormat="all"/>
  </connection>
  <connection id="1091" name="Connection621" type="4" refreshedVersion="0" background="1">
    <webPr url="http://vocabulary.odm2.org/api/v1/directivetype/?format=csv" htmlTables="1" htmlFormat="all"/>
  </connection>
  <connection id="1092" name="Connection622" type="4" refreshedVersion="0" background="1">
    <webPr url="http://vocabulary.odm2.org/api/v1/elevationdatum/?format=csv" htmlTables="1" htmlFormat="all"/>
  </connection>
  <connection id="1093" name="Connection623" type="4" refreshedVersion="0" background="1">
    <webPr url="http://vocabulary.odm2.org/api/v1/equipmenttype/?format=csv" htmlTables="1" htmlFormat="all"/>
  </connection>
  <connection id="1094" name="Connection624" type="4" refreshedVersion="0" background="1">
    <webPr url="http://vocabulary.odm2.org/api/v1/methodtype/?format=csv" htmlTables="1" htmlFormat="all"/>
  </connection>
  <connection id="1095" name="Connection625" type="4" refreshedVersion="0" background="1">
    <webPr url="http://vocabulary.odm2.org/api/v1/organizationtype/?format=csv" htmlTables="1" htmlFormat="all"/>
  </connection>
  <connection id="1096" name="Connection626" type="4" refreshedVersion="0" background="1">
    <webPr url="http://vocabulary.odm2.org/api/v1/propertydatatype/?format=csv" htmlTables="1" htmlFormat="all"/>
  </connection>
  <connection id="1097" name="Connection627" type="4" refreshedVersion="0" background="1">
    <webPr url="http://vocabulary.odm2.org/api/v1/qualitycode/?format=csv" htmlTables="1" htmlFormat="all"/>
  </connection>
  <connection id="1098" name="Connection628" type="4" refreshedVersion="0" background="1">
    <webPr url="http://vocabulary.odm2.org/api/v1/relationshiptype/?format=csv" htmlTables="1" htmlFormat="all"/>
  </connection>
  <connection id="1099" name="Connection629" type="4" refreshedVersion="0" background="1">
    <webPr url="http://vocabulary.odm2.org/api/v1/resulttype/?format=csv" htmlTables="1" htmlFormat="all"/>
  </connection>
  <connection id="1100" name="Connection63" type="4" refreshedVersion="0" background="1">
    <webPr url="http://vocabulary.odm2.org/api/v1/variabletype/?format=csv" htmlTables="1" htmlFormat="all"/>
  </connection>
  <connection id="1101" name="Connection630" type="4" refreshedVersion="0" background="1">
    <webPr url="http://vocabulary.odm2.org/api/v1/samplingfeaturegeotype/?format=csv" htmlTables="1" htmlFormat="all"/>
  </connection>
  <connection id="1102" name="Connection631" type="4" refreshedVersion="0" background="1">
    <webPr url="http://vocabulary.odm2.org/api/v1/samplingfeaturetype/?format=csv" htmlTables="1" htmlFormat="all"/>
  </connection>
  <connection id="1103" name="Connection632" type="4" refreshedVersion="0" background="1">
    <webPr url="http://vocabulary.odm2.org/api/v1/sitetype/?format=csv" htmlTables="1" htmlFormat="all"/>
  </connection>
  <connection id="1104" name="Connection633" type="4" refreshedVersion="0" background="1">
    <webPr url="http://vocabulary.odm2.org/api/v1/spatialoffsettype/?format=csv" htmlTables="1" htmlFormat="all"/>
  </connection>
  <connection id="1105" name="Connection634" type="4" refreshedVersion="0" background="1">
    <webPr url="http://vocabulary.odm2.org/api/v1/speciation/?format=csv" htmlTables="1" htmlFormat="all"/>
  </connection>
  <connection id="1106" name="Connection635" type="4" refreshedVersion="0" background="1">
    <webPr url="http://vocabulary.odm2.org/api/v1/medium/?format=csv" htmlTables="1" htmlFormat="all"/>
  </connection>
  <connection id="1107" name="Connection636" type="4" refreshedVersion="0" background="1">
    <webPr url="http://vocabulary.odm2.org/api/v1/specimentype/?format=csv" htmlTables="1" htmlFormat="all"/>
  </connection>
  <connection id="1108" name="Connection637" type="4" refreshedVersion="0" background="1">
    <webPr url="http://vocabulary.odm2.org/api/v1/status/?format=csv" htmlTables="1" htmlFormat="all"/>
  </connection>
  <connection id="1109" name="Connection638" type="4" refreshedVersion="0" background="1">
    <webPr url="http://vocabulary.odm2.org/api/v1/taxonomicclassifiertype/?format=csv" htmlTables="1" htmlFormat="all"/>
  </connection>
  <connection id="1110" name="Connection639" type="4" refreshedVersion="0" background="1">
    <webPr url="http://vocabulary.odm2.org/api/v1/variablename/?format=csv" htmlTables="1" htmlFormat="all"/>
  </connection>
  <connection id="1111" name="Connection64" type="4" refreshedVersion="0" background="1">
    <webPr url="http://vocabulary.odm2.org/api/v1/unitstype/?format=csv" htmlTables="1" htmlFormat="all"/>
  </connection>
  <connection id="1112" name="Connection640" type="4" refreshedVersion="0" background="1">
    <webPr url="http://vocabulary.odm2.org/api/v1/variabletype/?format=csv" htmlTables="1" htmlFormat="all"/>
  </connection>
  <connection id="1113" name="Connection641" type="4" refreshedVersion="0" background="1">
    <webPr url="http://vocabulary.odm2.org/api/v1/unitstype/?format=csv" htmlTables="1" htmlFormat="all"/>
  </connection>
  <connection id="1114" name="Connection642" type="4" refreshedVersion="0" background="1">
    <webPr url="http://vocabulary.odm2.org/api/v1/Boolean/?format=csv" htmlTables="1" htmlFormat="all"/>
  </connection>
  <connection id="1115" name="Connection643" type="4" refreshedVersion="0" background="1">
    <webPr url="http://vocabulary.odm2.org/api/v1/NotApplicable/?format=csv" htmlTables="1" htmlFormat="all"/>
  </connection>
  <connection id="1116" name="Connection644" type="4" refreshedVersion="0" background="1">
    <webPr url="http://vocabulary.odm2.org/api/v1/ApplicableDatasetTypes/?format=csv" htmlTables="1" htmlFormat="all"/>
  </connection>
  <connection id="1117" name="Connection645" type="4" refreshedVersion="0" background="1">
    <webPr url="http://vocabulary.odm2.org/api/v1/ApplicableResultTypes/?format=csv" htmlTables="1" htmlFormat="all"/>
  </connection>
  <connection id="1118" name="Connection646" type="4" refreshedVersion="0" background="1">
    <webPr url="http://vocabulary.odm2.org/api/v1/ApplicableMethodTypes/?format=csv" htmlTables="1" htmlFormat="all"/>
  </connection>
  <connection id="1119" name="Connection647" type="4" refreshedVersion="0" background="1">
    <webPr url="http://vocabulary.odm2.org/api/v1/actiontype/?format=csv" htmlTables="1" htmlFormat="all"/>
  </connection>
  <connection id="1120" name="Connection648" type="4" refreshedVersion="0" background="1">
    <webPr url="http://vocabulary.odm2.org/api/v1/aggregationstatistic/?format=csv" htmlTables="1" htmlFormat="all"/>
  </connection>
  <connection id="1121" name="Connection649" type="4" refreshedVersion="0" background="1">
    <webPr url="http://vocabulary.odm2.org/api/v1/censorcode/?format=csv" htmlTables="1" htmlFormat="all"/>
  </connection>
  <connection id="1122" name="Connection65" type="4" refreshedVersion="0" background="1">
    <webPr url="http://vocabulary.odm2.org/api/v1/Boolean/?format=csv" htmlTables="1" htmlFormat="all"/>
  </connection>
  <connection id="1123" name="Connection650" type="4" refreshedVersion="0" background="1">
    <webPr url="http://vocabulary.odm2.org/api/v1/dataqualitytype/?format=csv" htmlTables="1" htmlFormat="all"/>
  </connection>
  <connection id="1124" name="Connection651" type="4" refreshedVersion="0" background="1">
    <webPr url="http://vocabulary.odm2.org/api/v1/datasettype/?format=csv" htmlTables="1" htmlFormat="all"/>
  </connection>
  <connection id="1125" name="Connection652" type="4" refreshedVersion="0" background="1">
    <webPr url="http://vocabulary.odm2.org/api/v1/directivetype/?format=csv" htmlTables="1" htmlFormat="all"/>
  </connection>
  <connection id="1126" name="Connection653" type="4" refreshedVersion="0" background="1">
    <webPr url="http://vocabulary.odm2.org/api/v1/elevationdatum/?format=csv" htmlTables="1" htmlFormat="all"/>
  </connection>
  <connection id="1127" name="Connection654" type="4" refreshedVersion="0" background="1">
    <webPr url="http://vocabulary.odm2.org/api/v1/equipmenttype/?format=csv" htmlTables="1" htmlFormat="all"/>
  </connection>
  <connection id="1128" name="Connection655" type="4" refreshedVersion="0" background="1">
    <webPr url="http://vocabulary.odm2.org/api/v1/methodtype/?format=csv" htmlTables="1" htmlFormat="all"/>
  </connection>
  <connection id="1129" name="Connection656" type="4" refreshedVersion="0" background="1">
    <webPr url="http://vocabulary.odm2.org/api/v1/organizationtype/?format=csv" htmlTables="1" htmlFormat="all"/>
  </connection>
  <connection id="1130" name="Connection657" type="4" refreshedVersion="0" background="1">
    <webPr url="http://vocabulary.odm2.org/api/v1/propertydatatype/?format=csv" htmlTables="1" htmlFormat="all"/>
  </connection>
  <connection id="1131" name="Connection658" type="4" refreshedVersion="0" background="1">
    <webPr url="http://vocabulary.odm2.org/api/v1/qualitycode/?format=csv" htmlTables="1" htmlFormat="all"/>
  </connection>
  <connection id="1132" name="Connection659" type="4" refreshedVersion="0" background="1">
    <webPr url="http://vocabulary.odm2.org/api/v1/relationshiptype/?format=csv" htmlTables="1" htmlFormat="all"/>
  </connection>
  <connection id="1133" name="Connection66" type="4" refreshedVersion="0" background="1">
    <webPr url="http://vocabulary.odm2.org/api/v1/NotApplicable/?format=csv" htmlTables="1" htmlFormat="all"/>
  </connection>
  <connection id="1134" name="Connection660" type="4" refreshedVersion="0" background="1">
    <webPr url="http://vocabulary.odm2.org/api/v1/resulttype/?format=csv" htmlTables="1" htmlFormat="all"/>
  </connection>
  <connection id="1135" name="Connection661" type="4" refreshedVersion="0" background="1">
    <webPr url="http://vocabulary.odm2.org/api/v1/samplingfeaturegeotype/?format=csv" htmlTables="1" htmlFormat="all"/>
  </connection>
  <connection id="1136" name="Connection662" type="4" refreshedVersion="0" background="1">
    <webPr url="http://vocabulary.odm2.org/api/v1/samplingfeaturetype/?format=csv" htmlTables="1" htmlFormat="all"/>
  </connection>
  <connection id="1137" name="Connection663" type="4" refreshedVersion="0" background="1">
    <webPr url="http://vocabulary.odm2.org/api/v1/sitetype/?format=csv" htmlTables="1" htmlFormat="all"/>
  </connection>
  <connection id="1138" name="Connection664" type="4" refreshedVersion="0" background="1">
    <webPr url="http://vocabulary.odm2.org/api/v1/spatialoffsettype/?format=csv" htmlTables="1" htmlFormat="all"/>
  </connection>
  <connection id="1139" name="Connection665" type="4" refreshedVersion="0" background="1">
    <webPr url="http://vocabulary.odm2.org/api/v1/speciation/?format=csv" htmlTables="1" htmlFormat="all"/>
  </connection>
  <connection id="1140" name="Connection666" type="4" refreshedVersion="0" background="1">
    <webPr url="http://vocabulary.odm2.org/api/v1/medium/?format=csv" htmlTables="1" htmlFormat="all"/>
  </connection>
  <connection id="1141" name="Connection667" type="4" refreshedVersion="0" background="1">
    <webPr url="http://vocabulary.odm2.org/api/v1/specimentype/?format=csv" htmlTables="1" htmlFormat="all"/>
  </connection>
  <connection id="1142" name="Connection668" type="4" refreshedVersion="0" background="1">
    <webPr url="http://vocabulary.odm2.org/api/v1/status/?format=csv" htmlTables="1" htmlFormat="all"/>
  </connection>
  <connection id="1143" name="Connection669" type="4" refreshedVersion="0" background="1">
    <webPr url="http://vocabulary.odm2.org/api/v1/taxonomicclassifiertype/?format=csv" htmlTables="1" htmlFormat="all"/>
  </connection>
  <connection id="1144" name="Connection67" type="4" refreshedVersion="0" background="1">
    <webPr url="http://vocabulary.odm2.org/api/v1/ApplicableDatasetTypes/?format=csv" htmlTables="1" htmlFormat="all"/>
  </connection>
  <connection id="1145" name="Connection670" type="4" refreshedVersion="0" background="1">
    <webPr url="http://vocabulary.odm2.org/api/v1/variablename/?format=csv" htmlTables="1" htmlFormat="all"/>
  </connection>
  <connection id="1146" name="Connection671" type="4" refreshedVersion="0" background="1">
    <webPr url="http://vocabulary.odm2.org/api/v1/variabletype/?format=csv" htmlTables="1" htmlFormat="all"/>
  </connection>
  <connection id="1147" name="Connection672" type="4" refreshedVersion="0" background="1">
    <webPr url="http://vocabulary.odm2.org/api/v1/unitstype/?format=csv" htmlTables="1" htmlFormat="all"/>
  </connection>
  <connection id="1148" name="Connection673" type="4" refreshedVersion="0" background="1">
    <webPr url="http://vocabulary.odm2.org/api/v1/Boolean/?format=csv" htmlTables="1" htmlFormat="all"/>
  </connection>
  <connection id="1149" name="Connection674" type="4" refreshedVersion="0" background="1">
    <webPr url="http://vocabulary.odm2.org/api/v1/NotApplicable/?format=csv" htmlTables="1" htmlFormat="all"/>
  </connection>
  <connection id="1150" name="Connection675" type="4" refreshedVersion="0" background="1">
    <webPr url="http://vocabulary.odm2.org/api/v1/ApplicableDatasetTypes/?format=csv" htmlTables="1" htmlFormat="all"/>
  </connection>
  <connection id="1151" name="Connection676" type="4" refreshedVersion="0" background="1">
    <webPr url="http://vocabulary.odm2.org/api/v1/ApplicableResultTypes/?format=csv" htmlTables="1" htmlFormat="all"/>
  </connection>
  <connection id="1152" name="Connection677" type="4" refreshedVersion="0" background="1">
    <webPr url="http://vocabulary.odm2.org/api/v1/ApplicableMethodTypes/?format=csv" htmlTables="1" htmlFormat="all"/>
  </connection>
  <connection id="1153" name="Connection678" type="4" refreshedVersion="0" background="1">
    <webPr url="http://vocabulary.odm2.org/api/v1/actiontype/?format=csv" htmlTables="1" htmlFormat="all"/>
  </connection>
  <connection id="1154" name="Connection679" type="4" refreshedVersion="0" background="1">
    <webPr url="http://vocabulary.odm2.org/api/v1/aggregationstatistic/?format=csv" htmlTables="1" htmlFormat="all"/>
  </connection>
  <connection id="1155" name="Connection68" type="4" refreshedVersion="0" background="1">
    <webPr url="http://vocabulary.odm2.org/api/v1/ApplicableResultTypes/?format=csv" htmlTables="1" htmlFormat="all"/>
  </connection>
  <connection id="1156" name="Connection680" type="4" refreshedVersion="0" background="1">
    <webPr url="http://vocabulary.odm2.org/api/v1/censorcode/?format=csv" htmlTables="1" htmlFormat="all"/>
  </connection>
  <connection id="1157" name="Connection681" type="4" refreshedVersion="0" background="1">
    <webPr url="http://vocabulary.odm2.org/api/v1/dataqualitytype/?format=csv" htmlTables="1" htmlFormat="all"/>
  </connection>
  <connection id="1158" name="Connection682" type="4" refreshedVersion="0" background="1">
    <webPr url="http://vocabulary.odm2.org/api/v1/datasettype/?format=csv" htmlTables="1" htmlFormat="all"/>
  </connection>
  <connection id="1159" name="Connection683" type="4" refreshedVersion="0" background="1">
    <webPr url="http://vocabulary.odm2.org/api/v1/directivetype/?format=csv" htmlTables="1" htmlFormat="all"/>
  </connection>
  <connection id="1160" name="Connection684" type="4" refreshedVersion="0" background="1">
    <webPr url="http://vocabulary.odm2.org/api/v1/elevationdatum/?format=csv" htmlTables="1" htmlFormat="all"/>
  </connection>
  <connection id="1161" name="Connection685" type="4" refreshedVersion="0" background="1">
    <webPr url="http://vocabulary.odm2.org/api/v1/equipmenttype/?format=csv" htmlTables="1" htmlFormat="all"/>
  </connection>
  <connection id="1162" name="Connection686" type="4" refreshedVersion="0" background="1">
    <webPr url="http://vocabulary.odm2.org/api/v1/methodtype/?format=csv" htmlTables="1" htmlFormat="all"/>
  </connection>
  <connection id="1163" name="Connection687" type="4" refreshedVersion="0" background="1">
    <webPr url="http://vocabulary.odm2.org/api/v1/organizationtype/?format=csv" htmlTables="1" htmlFormat="all"/>
  </connection>
  <connection id="1164" name="Connection688" type="4" refreshedVersion="0" background="1">
    <webPr url="http://vocabulary.odm2.org/api/v1/propertydatatype/?format=csv" htmlTables="1" htmlFormat="all"/>
  </connection>
  <connection id="1165" name="Connection689" type="4" refreshedVersion="0" background="1">
    <webPr url="http://vocabulary.odm2.org/api/v1/qualitycode/?format=csv" htmlTables="1" htmlFormat="all"/>
  </connection>
  <connection id="1166" name="Connection69" type="4" refreshedVersion="0" background="1">
    <webPr url="http://vocabulary.odm2.org/api/v1/ApplicableMethodTypes/?format=csv" htmlTables="1" htmlFormat="all"/>
  </connection>
  <connection id="1167" name="Connection690" type="4" refreshedVersion="0" background="1">
    <webPr url="http://vocabulary.odm2.org/api/v1/relationshiptype/?format=csv" htmlTables="1" htmlFormat="all"/>
  </connection>
  <connection id="1168" name="Connection691" type="4" refreshedVersion="0" background="1">
    <webPr url="http://vocabulary.odm2.org/api/v1/resulttype/?format=csv" htmlTables="1" htmlFormat="all"/>
  </connection>
  <connection id="1169" name="Connection692" type="4" refreshedVersion="0" background="1">
    <webPr url="http://vocabulary.odm2.org/api/v1/samplingfeaturegeotype/?format=csv" htmlTables="1" htmlFormat="all"/>
  </connection>
  <connection id="1170" name="Connection693" type="4" refreshedVersion="0" background="1">
    <webPr url="http://vocabulary.odm2.org/api/v1/samplingfeaturetype/?format=csv" htmlTables="1" htmlFormat="all"/>
  </connection>
  <connection id="1171" name="Connection694" type="4" refreshedVersion="0" background="1">
    <webPr url="http://vocabulary.odm2.org/api/v1/sitetype/?format=csv" htmlTables="1" htmlFormat="all"/>
  </connection>
  <connection id="1172" name="Connection695" type="4" refreshedVersion="0" background="1">
    <webPr url="http://vocabulary.odm2.org/api/v1/spatialoffsettype/?format=csv" htmlTables="1" htmlFormat="all"/>
  </connection>
  <connection id="1173" name="Connection696" type="4" refreshedVersion="0" background="1">
    <webPr url="http://vocabulary.odm2.org/api/v1/speciation/?format=csv" htmlTables="1" htmlFormat="all"/>
  </connection>
  <connection id="1174" name="Connection697" type="4" refreshedVersion="0" background="1">
    <webPr url="http://vocabulary.odm2.org/api/v1/medium/?format=csv" htmlTables="1" htmlFormat="all"/>
  </connection>
  <connection id="1175" name="Connection698" type="4" refreshedVersion="0" background="1">
    <webPr url="http://vocabulary.odm2.org/api/v1/specimentype/?format=csv" htmlTables="1" htmlFormat="all"/>
  </connection>
  <connection id="1176" name="Connection699" type="4" refreshedVersion="0" background="1">
    <webPr url="http://vocabulary.odm2.org/api/v1/status/?format=csv" htmlTables="1" htmlFormat="all"/>
  </connection>
  <connection id="1177" name="Connection7" type="4" refreshedVersion="0" background="1">
    <webPr url="http://vocabulary.odm2.org/api/v1/ApplicableMethodTypes/?format=csv" htmlTables="1" htmlFormat="all"/>
  </connection>
  <connection id="1178" name="Connection70" type="4" refreshedVersion="0" saveData="1">
    <webPr url="http://vocabulary.odm2.org/api/v1/actiontype/?format=csv" htmlFormat="all"/>
  </connection>
  <connection id="1179" name="Connection700" type="4" refreshedVersion="0" background="1">
    <webPr url="http://vocabulary.odm2.org/api/v1/taxonomicclassifiertype/?format=csv" htmlTables="1" htmlFormat="all"/>
  </connection>
  <connection id="1180" name="Connection701" type="4" refreshedVersion="0" background="1">
    <webPr url="http://vocabulary.odm2.org/api/v1/variablename/?format=csv" htmlTables="1" htmlFormat="all"/>
  </connection>
  <connection id="1181" name="Connection702" type="4" refreshedVersion="0" background="1">
    <webPr url="http://vocabulary.odm2.org/api/v1/variabletype/?format=csv" htmlTables="1" htmlFormat="all"/>
  </connection>
  <connection id="1182" name="Connection703" type="4" refreshedVersion="0" background="1">
    <webPr url="http://vocabulary.odm2.org/api/v1/unitstype/?format=csv" htmlTables="1" htmlFormat="all"/>
  </connection>
  <connection id="1183" name="Connection704" type="4" refreshedVersion="0" background="1">
    <webPr url="http://vocabulary.odm2.org/api/v1/Boolean/?format=csv" htmlTables="1" htmlFormat="all"/>
  </connection>
  <connection id="1184" name="Connection705" type="4" refreshedVersion="0" background="1">
    <webPr url="http://vocabulary.odm2.org/api/v1/Boolean/?format=csv" htmlTables="1" htmlFormat="all"/>
  </connection>
  <connection id="1185" name="Connection706" type="4" refreshedVersion="0" background="1">
    <webPr url="http://vocabulary.odm2.org/api/v1/NotApplicable/?format=csv" htmlTables="1" htmlFormat="all"/>
  </connection>
  <connection id="1186" name="Connection707" type="4" refreshedVersion="0" background="1">
    <webPr url="http://vocabulary.odm2.org/api/v1/ApplicableDatasetTypes/?format=csv" htmlTables="1" htmlFormat="all"/>
  </connection>
  <connection id="1187" name="Connection708" type="4" refreshedVersion="0" background="1">
    <webPr url="http://vocabulary.odm2.org/api/v1/ApplicableResultTypes/?format=csv" htmlTables="1" htmlFormat="all"/>
  </connection>
  <connection id="1188" name="Connection709" type="4" refreshedVersion="0" background="1">
    <webPr url="http://vocabulary.odm2.org/api/v1/ApplicableMethodTypes/?format=csv" htmlTables="1" htmlFormat="all"/>
  </connection>
  <connection id="1189" name="Connection71" type="4" refreshedVersion="0" saveData="1">
    <webPr url="http://vocabulary.odm2.org/api/v1/aggregationstatistic/?format=csv" htmlFormat="all"/>
  </connection>
  <connection id="1190" name="Connection710" type="4" refreshedVersion="0" background="1">
    <webPr url="http://vocabulary.odm2.org/api/v1/actiontype/?format=csv" htmlTables="1" htmlFormat="all"/>
  </connection>
  <connection id="1191" name="Connection711" type="4" refreshedVersion="0" background="1">
    <webPr url="http://vocabulary.odm2.org/api/v1/aggregationstatistic/?format=csv" htmlTables="1" htmlFormat="all"/>
  </connection>
  <connection id="1192" name="Connection712" type="4" refreshedVersion="0" background="1">
    <webPr url="http://vocabulary.odm2.org/api/v1/censorcode/?format=csv" htmlTables="1" htmlFormat="all"/>
  </connection>
  <connection id="1193" name="Connection713" type="4" refreshedVersion="0" background="1">
    <webPr url="http://vocabulary.odm2.org/api/v1/dataqualitytype/?format=csv" htmlTables="1" htmlFormat="all"/>
  </connection>
  <connection id="1194" name="Connection714" type="4" refreshedVersion="0" background="1">
    <webPr url="http://vocabulary.odm2.org/api/v1/datasettype/?format=csv" htmlTables="1" htmlFormat="all"/>
  </connection>
  <connection id="1195" name="Connection715" type="4" refreshedVersion="0" background="1">
    <webPr url="http://vocabulary.odm2.org/api/v1/directivetype/?format=csv" htmlTables="1" htmlFormat="all"/>
  </connection>
  <connection id="1196" name="Connection716" type="4" refreshedVersion="0" background="1">
    <webPr url="http://vocabulary.odm2.org/api/v1/elevationdatum/?format=csv" htmlTables="1" htmlFormat="all"/>
  </connection>
  <connection id="1197" name="Connection717" type="4" refreshedVersion="0" background="1">
    <webPr url="http://vocabulary.odm2.org/api/v1/equipmenttype/?format=csv" htmlTables="1" htmlFormat="all"/>
  </connection>
  <connection id="1198" name="Connection718" type="4" refreshedVersion="0" background="1">
    <webPr url="http://vocabulary.odm2.org/api/v1/methodtype/?format=csv" htmlTables="1" htmlFormat="all"/>
  </connection>
  <connection id="1199" name="Connection719" type="4" refreshedVersion="0" background="1">
    <webPr url="http://vocabulary.odm2.org/api/v1/organizationtype/?format=csv" htmlTables="1" htmlFormat="all"/>
  </connection>
  <connection id="1200" name="Connection72" type="4" refreshedVersion="0" saveData="1">
    <webPr url="http://vocabulary.odm2.org/api/v1/censorcode/?format=csv" htmlFormat="all"/>
  </connection>
  <connection id="1201" name="Connection720" type="4" refreshedVersion="0" background="1">
    <webPr url="http://vocabulary.odm2.org/api/v1/propertydatatype/?format=csv" htmlTables="1" htmlFormat="all"/>
  </connection>
  <connection id="1202" name="Connection721" type="4" refreshedVersion="0" background="1">
    <webPr url="http://vocabulary.odm2.org/api/v1/qualitycode/?format=csv" htmlTables="1" htmlFormat="all"/>
  </connection>
  <connection id="1203" name="Connection722" type="4" refreshedVersion="0" background="1">
    <webPr url="http://vocabulary.odm2.org/api/v1/relationshiptype/?format=csv" htmlTables="1" htmlFormat="all"/>
  </connection>
  <connection id="1204" name="Connection723" type="4" refreshedVersion="0" background="1">
    <webPr url="http://vocabulary.odm2.org/api/v1/resulttype/?format=csv" htmlTables="1" htmlFormat="all"/>
  </connection>
  <connection id="1205" name="Connection724" type="4" refreshedVersion="0" background="1">
    <webPr url="http://vocabulary.odm2.org/api/v1/samplingfeaturegeotype/?format=csv" htmlTables="1" htmlFormat="all"/>
  </connection>
  <connection id="1206" name="Connection725" type="4" refreshedVersion="0" background="1">
    <webPr url="http://vocabulary.odm2.org/api/v1/samplingfeaturetype/?format=csv" htmlTables="1" htmlFormat="all"/>
  </connection>
  <connection id="1207" name="Connection726" type="4" refreshedVersion="0" background="1">
    <webPr url="http://vocabulary.odm2.org/api/v1/sitetype/?format=csv" htmlTables="1" htmlFormat="all"/>
  </connection>
  <connection id="1208" name="Connection727" type="4" refreshedVersion="0" background="1">
    <webPr url="http://vocabulary.odm2.org/api/v1/spatialoffsettype/?format=csv" htmlTables="1" htmlFormat="all"/>
  </connection>
  <connection id="1209" name="Connection728" type="4" refreshedVersion="0" background="1">
    <webPr url="http://vocabulary.odm2.org/api/v1/speciation/?format=csv" htmlTables="1" htmlFormat="all"/>
  </connection>
  <connection id="1210" name="Connection729" type="4" refreshedVersion="0" background="1">
    <webPr url="http://vocabulary.odm2.org/api/v1/medium/?format=csv" htmlTables="1" htmlFormat="all"/>
  </connection>
  <connection id="1211" name="Connection73" type="4" refreshedVersion="0" saveData="1">
    <webPr url="http://vocabulary.odm2.org/api/v1/dataqualitytype/?format=csv" htmlFormat="all"/>
  </connection>
  <connection id="1212" name="Connection730" type="4" refreshedVersion="0" background="1">
    <webPr url="http://vocabulary.odm2.org/api/v1/specimentype/?format=csv" htmlTables="1" htmlFormat="all"/>
  </connection>
  <connection id="1213" name="Connection731" type="4" refreshedVersion="0" background="1">
    <webPr url="http://vocabulary.odm2.org/api/v1/status/?format=csv" htmlTables="1" htmlFormat="all"/>
  </connection>
  <connection id="1214" name="Connection732" type="4" refreshedVersion="0" background="1">
    <webPr url="http://vocabulary.odm2.org/api/v1/taxonomicclassifiertype/?format=csv" htmlTables="1" htmlFormat="all"/>
  </connection>
  <connection id="1215" name="Connection733" type="4" refreshedVersion="0" background="1">
    <webPr url="http://vocabulary.odm2.org/api/v1/variablename/?format=csv" htmlTables="1" htmlFormat="all"/>
  </connection>
  <connection id="1216" name="Connection734" type="4" refreshedVersion="0" background="1">
    <webPr url="http://vocabulary.odm2.org/api/v1/variabletype/?format=csv" htmlTables="1" htmlFormat="all"/>
  </connection>
  <connection id="1217" name="Connection735" type="4" refreshedVersion="0" background="1">
    <webPr url="http://vocabulary.odm2.org/api/v1/unitstype/?format=csv" htmlTables="1" htmlFormat="all"/>
  </connection>
  <connection id="1218" name="Connection736" type="4" refreshedVersion="0" background="1">
    <webPr url="http://vocabulary.odm2.org/api/v1/Boolean/?format=csv" htmlTables="1" htmlFormat="all"/>
  </connection>
  <connection id="1219" name="Connection737" type="4" refreshedVersion="0" background="1">
    <webPr url="http://vocabulary.odm2.org/api/v1/Boolean/?format=csv" htmlTables="1" htmlFormat="all"/>
  </connection>
  <connection id="1220" name="Connection738" type="4" refreshedVersion="0" background="1">
    <webPr url="http://vocabulary.odm2.org/api/v1/Boolean/?format=csv" htmlTables="1" htmlFormat="all"/>
  </connection>
  <connection id="1221" name="Connection739" type="4" refreshedVersion="0" background="1">
    <webPr url="http://vocabulary.odm2.org/api/v1/NotApplicable/?format=csv" htmlTables="1" htmlFormat="all"/>
  </connection>
  <connection id="1222" name="Connection74" type="4" refreshedVersion="0" saveData="1">
    <webPr url="http://vocabulary.odm2.org/api/v1/datasettype/?format=csv" htmlFormat="all"/>
  </connection>
  <connection id="1223" name="Connection740" type="4" refreshedVersion="0" background="1">
    <webPr url="http://vocabulary.odm2.org/api/v1/ApplicableDatasetTypes/?format=csv" htmlTables="1" htmlFormat="all"/>
  </connection>
  <connection id="1224" name="Connection741" type="4" refreshedVersion="0" background="1">
    <webPr url="http://vocabulary.odm2.org/api/v1/ApplicableResultTypes/?format=csv" htmlTables="1" htmlFormat="all"/>
  </connection>
  <connection id="1225" name="Connection742" type="4" refreshedVersion="0" background="1">
    <webPr url="http://vocabulary.odm2.org/api/v1/ApplicableMethodTypes/?format=csv" htmlTables="1" htmlFormat="all"/>
  </connection>
  <connection id="1226" name="Connection743" type="4" refreshedVersion="0" background="1">
    <webPr url="http://vocabulary.odm2.org/api/v1/unitstype/?format=csv" htmlTables="1" htmlFormat="all"/>
  </connection>
  <connection id="1227" name="Connection744" type="4" refreshedVersion="0" background="1">
    <webPr url="http://vocabulary.odm2.org/api/v1/Boolean/?format=csv" htmlTables="1" htmlFormat="all"/>
  </connection>
  <connection id="1228" name="Connection745" type="4" refreshedVersion="0" background="1">
    <webPr url="http://vocabulary.odm2.org/api/v1/NotApplicable/?format=csv" htmlTables="1" htmlFormat="all"/>
  </connection>
  <connection id="1229" name="Connection746" type="4" refreshedVersion="0" background="1">
    <webPr url="http://vocabulary.odm2.org/api/v1/ApplicableDatasetTypes/?format=csv" htmlTables="1" htmlFormat="all"/>
  </connection>
  <connection id="1230" name="Connection747" type="4" refreshedVersion="0" background="1">
    <webPr url="http://vocabulary.odm2.org/api/v1/ApplicableResultTypes/?format=csv" htmlTables="1" htmlFormat="all"/>
  </connection>
  <connection id="1231" name="Connection748" type="4" refreshedVersion="0" background="1">
    <webPr url="http://vocabulary.odm2.org/api/v1/ApplicableMethodTypes/?format=csv" htmlTables="1" htmlFormat="all"/>
  </connection>
  <connection id="1232" name="Connection749" type="4" refreshedVersion="0" background="1">
    <webPr url="http://vocabulary.odm2.org/api/v1/unitstype/?format=csv" htmlTables="1" htmlFormat="all"/>
  </connection>
  <connection id="1233" name="Connection75" type="4" refreshedVersion="0" saveData="1">
    <webPr url="http://vocabulary.odm2.org/api/v1/directivetype/?format=csv" htmlFormat="all"/>
  </connection>
  <connection id="1234" name="Connection750" type="4" refreshedVersion="0" background="1">
    <webPr url="http://vocabulary.odm2.org/api/v1/Boolean/?format=csv" htmlTables="1" htmlFormat="all"/>
  </connection>
  <connection id="1235" name="Connection751" type="4" refreshedVersion="0" background="1">
    <webPr url="http://vocabulary.odm2.org/api/v1/NotApplicable/?format=csv" htmlTables="1" htmlFormat="all"/>
  </connection>
  <connection id="1236" name="Connection752" type="4" refreshedVersion="0" background="1">
    <webPr url="http://vocabulary.odm2.org/api/v1/ApplicableDatasetTypes/?format=csv" htmlTables="1" htmlFormat="all"/>
  </connection>
  <connection id="1237" name="Connection753" type="4" refreshedVersion="0" background="1">
    <webPr url="http://vocabulary.odm2.org/api/v1/ApplicableResultTypes/?format=csv" htmlTables="1" htmlFormat="all"/>
  </connection>
  <connection id="1238" name="Connection754" type="4" refreshedVersion="0" background="1">
    <webPr url="http://vocabulary.odm2.org/api/v1/ApplicableMethodTypes/?format=csv" htmlTables="1" htmlFormat="all"/>
  </connection>
  <connection id="1239" name="Connection755" type="4" refreshedVersion="0" background="1">
    <webPr url="http://vocabulary.odm2.org/api/v1/unitstype/?format=csv" htmlTables="1" htmlFormat="all"/>
  </connection>
  <connection id="1240" name="Connection756" type="4" refreshedVersion="0" background="1">
    <webPr url="http://vocabulary.odm2.org/api/v1/Boolean/?format=csv" htmlTables="1" htmlFormat="all"/>
  </connection>
  <connection id="1241" name="Connection757" type="4" refreshedVersion="0" background="1">
    <webPr url="http://vocabulary.odm2.org/api/v1/NotApplicable/?format=csv" htmlTables="1" htmlFormat="all"/>
  </connection>
  <connection id="1242" name="Connection758" type="4" refreshedVersion="0" background="1">
    <webPr url="http://vocabulary.odm2.org/api/v1/ApplicableDatasetTypes/?format=csv" htmlTables="1" htmlFormat="all"/>
  </connection>
  <connection id="1243" name="Connection759" type="4" refreshedVersion="0" background="1">
    <webPr url="http://vocabulary.odm2.org/api/v1/ApplicableResultTypes/?format=csv" htmlTables="1" htmlFormat="all"/>
  </connection>
  <connection id="1244" name="Connection76" type="4" refreshedVersion="0" saveData="1">
    <webPr url="http://vocabulary.odm2.org/api/v1/elevationdatum/?format=csv" htmlFormat="all"/>
  </connection>
  <connection id="1245" name="Connection760" type="4" refreshedVersion="0" background="1">
    <webPr url="http://vocabulary.odm2.org/api/v1/ApplicableMethodTypes/?format=csv" htmlTables="1" htmlFormat="all"/>
  </connection>
  <connection id="1246" name="Connection761" type="4" refreshedVersion="0" background="1">
    <webPr url="http://vocabulary.odm2.org/api/v1/unitstype/?format=csv" htmlTables="1" htmlFormat="all"/>
  </connection>
  <connection id="1247" name="Connection762" type="4" refreshedVersion="0" background="1">
    <webPr url="http://vocabulary.odm2.org/api/v1/Boolean/?format=csv" htmlTables="1" htmlFormat="all"/>
  </connection>
  <connection id="1248" name="Connection763" type="4" refreshedVersion="0" background="1">
    <webPr url="http://vocabulary.odm2.org/api/v1/NotApplicable/?format=csv" htmlTables="1" htmlFormat="all"/>
  </connection>
  <connection id="1249" name="Connection764" type="4" refreshedVersion="0" background="1">
    <webPr url="http://vocabulary.odm2.org/api/v1/ApplicableDatasetTypes/?format=csv" htmlTables="1" htmlFormat="all"/>
  </connection>
  <connection id="1250" name="Connection765" type="4" refreshedVersion="0" background="1">
    <webPr url="http://vocabulary.odm2.org/api/v1/ApplicableResultTypes/?format=csv" htmlTables="1" htmlFormat="all"/>
  </connection>
  <connection id="1251" name="Connection766" type="4" refreshedVersion="0" background="1">
    <webPr url="http://vocabulary.odm2.org/api/v1/ApplicableMethodTypes/?format=csv" htmlTables="1" htmlFormat="all"/>
  </connection>
  <connection id="1252" name="Connection767" type="4" refreshedVersion="0" background="1">
    <webPr url="http://vocabulary.odm2.org/api/v1/unitstype/?format=csv" htmlTables="1" htmlFormat="all"/>
  </connection>
  <connection id="1253" name="Connection768" type="4" refreshedVersion="0" background="1">
    <webPr url="http://vocabulary.odm2.org/api/v1/Boolean/?format=csv" htmlTables="1" htmlFormat="all"/>
  </connection>
  <connection id="1254" name="Connection769" type="4" refreshedVersion="0" background="1">
    <webPr url="http://vocabulary.odm2.org/api/v1/NotApplicable/?format=csv" htmlTables="1" htmlFormat="all"/>
  </connection>
  <connection id="1255" name="Connection77" type="4" refreshedVersion="0" saveData="1">
    <webPr url="http://vocabulary.odm2.org/api/v1/equipmenttype/?format=csv" htmlFormat="all"/>
  </connection>
  <connection id="1256" name="Connection770" type="4" refreshedVersion="0" background="1">
    <webPr url="http://vocabulary.odm2.org/api/v1/ApplicableDatasetTypes/?format=csv" htmlTables="1" htmlFormat="all"/>
  </connection>
  <connection id="1257" name="Connection771" type="4" refreshedVersion="0" background="1">
    <webPr url="http://vocabulary.odm2.org/api/v1/ApplicableResultTypes/?format=csv" htmlTables="1" htmlFormat="all"/>
  </connection>
  <connection id="1258" name="Connection772" type="4" refreshedVersion="0" background="1">
    <webPr url="http://vocabulary.odm2.org/api/v1/ApplicableMethodTypes/?format=csv" htmlTables="1" htmlFormat="all"/>
  </connection>
  <connection id="1259" name="Connection773" type="4" refreshedVersion="0" background="1">
    <webPr url="http://vocabulary.odm2.org/api/v1/actiontype/?format=csv" htmlTables="1" htmlFormat="all"/>
  </connection>
  <connection id="1260" name="Connection774" type="4" refreshedVersion="0" background="1">
    <webPr url="http://vocabulary.odm2.org/api/v1/aggregationstatistic/?format=csv" htmlTables="1" htmlFormat="all"/>
  </connection>
  <connection id="1261" name="Connection775" type="4" refreshedVersion="0" background="1">
    <webPr url="http://vocabulary.odm2.org/api/v1/censorcode/?format=csv" htmlTables="1" htmlFormat="all"/>
  </connection>
  <connection id="1262" name="Connection776" type="4" refreshedVersion="0" background="1">
    <webPr url="http://vocabulary.odm2.org/api/v1/dataqualitytype/?format=csv" htmlTables="1" htmlFormat="all"/>
  </connection>
  <connection id="1263" name="Connection777" type="4" refreshedVersion="0" background="1">
    <webPr url="http://vocabulary.odm2.org/api/v1/datasettype/?format=csv" htmlTables="1" htmlFormat="all"/>
  </connection>
  <connection id="1264" name="Connection778" type="4" refreshedVersion="0" background="1">
    <webPr url="http://vocabulary.odm2.org/api/v1/directivetype/?format=csv" htmlTables="1" htmlFormat="all"/>
  </connection>
  <connection id="1265" name="Connection779" type="4" refreshedVersion="0" background="1">
    <webPr url="http://vocabulary.odm2.org/api/v1/elevationdatum/?format=csv" htmlTables="1" htmlFormat="all"/>
  </connection>
  <connection id="1266" name="Connection78" type="4" refreshedVersion="0" saveData="1">
    <webPr url="http://vocabulary.odm2.org/api/v1/methodtype/?format=csv" htmlFormat="all"/>
  </connection>
  <connection id="1267" name="Connection780" type="4" refreshedVersion="0" background="1">
    <webPr url="http://vocabulary.odm2.org/api/v1/equipmenttype/?format=csv" htmlTables="1" htmlFormat="all"/>
  </connection>
  <connection id="1268" name="Connection781" type="4" refreshedVersion="0" background="1">
    <webPr url="http://vocabulary.odm2.org/api/v1/methodtype/?format=csv" htmlTables="1" htmlFormat="all"/>
  </connection>
  <connection id="1269" name="Connection782" type="4" refreshedVersion="0" background="1">
    <webPr url="http://vocabulary.odm2.org/api/v1/organizationtype/?format=csv" htmlTables="1" htmlFormat="all"/>
  </connection>
  <connection id="1270" name="Connection783" type="4" refreshedVersion="0" background="1">
    <webPr url="http://vocabulary.odm2.org/api/v1/propertydatatype/?format=csv" htmlTables="1" htmlFormat="all"/>
  </connection>
  <connection id="1271" name="Connection784" type="4" refreshedVersion="0" background="1">
    <webPr url="http://vocabulary.odm2.org/api/v1/qualitycode/?format=csv" htmlTables="1" htmlFormat="all"/>
  </connection>
  <connection id="1272" name="Connection785" type="4" refreshedVersion="0" background="1">
    <webPr url="http://vocabulary.odm2.org/api/v1/relationshiptype/?format=csv" htmlTables="1" htmlFormat="all"/>
  </connection>
  <connection id="1273" name="Connection786" type="4" refreshedVersion="0" background="1">
    <webPr url="http://vocabulary.odm2.org/api/v1/resulttype/?format=csv" htmlTables="1" htmlFormat="all"/>
  </connection>
  <connection id="1274" name="Connection787" type="4" refreshedVersion="0" background="1">
    <webPr url="http://vocabulary.odm2.org/api/v1/samplingfeaturegeotype/?format=csv" htmlTables="1" htmlFormat="all"/>
  </connection>
  <connection id="1275" name="Connection788" type="4" refreshedVersion="0" background="1">
    <webPr url="http://vocabulary.odm2.org/api/v1/samplingfeaturetype/?format=csv" htmlTables="1" htmlFormat="all"/>
  </connection>
  <connection id="1276" name="Connection789" type="4" refreshedVersion="0" background="1">
    <webPr url="http://vocabulary.odm2.org/api/v1/sitetype/?format=csv" htmlTables="1" htmlFormat="all"/>
  </connection>
  <connection id="1277" name="Connection79" type="4" refreshedVersion="0" saveData="1">
    <webPr url="http://vocabulary.odm2.org/api/v1/organizationtype/?format=csv" htmlFormat="all"/>
  </connection>
  <connection id="1278" name="Connection790" type="4" refreshedVersion="0" background="1">
    <webPr url="http://vocabulary.odm2.org/api/v1/spatialoffsettype/?format=csv" htmlTables="1" htmlFormat="all"/>
  </connection>
  <connection id="1279" name="Connection791" type="4" refreshedVersion="0" background="1">
    <webPr url="http://vocabulary.odm2.org/api/v1/speciation/?format=csv" htmlTables="1" htmlFormat="all"/>
  </connection>
  <connection id="1280" name="Connection792" type="4" refreshedVersion="0" background="1">
    <webPr url="http://vocabulary.odm2.org/api/v1/medium/?format=csv" htmlTables="1" htmlFormat="all"/>
  </connection>
  <connection id="1281" name="Connection793" type="4" refreshedVersion="0" background="1">
    <webPr url="http://vocabulary.odm2.org/api/v1/specimentype/?format=csv" htmlTables="1" htmlFormat="all"/>
  </connection>
  <connection id="1282" name="Connection794" type="4" refreshedVersion="0" background="1">
    <webPr url="http://vocabulary.odm2.org/api/v1/status/?format=csv" htmlTables="1" htmlFormat="all"/>
  </connection>
  <connection id="1283" name="Connection795" type="4" refreshedVersion="0" background="1">
    <webPr url="http://vocabulary.odm2.org/api/v1/taxonomicclassifiertype/?format=csv" htmlTables="1" htmlFormat="all"/>
  </connection>
  <connection id="1284" name="Connection796" type="4" refreshedVersion="0" background="1">
    <webPr url="http://vocabulary.odm2.org/api/v1/variablename/?format=csv" htmlTables="1" htmlFormat="all"/>
  </connection>
  <connection id="1285" name="Connection797" type="4" refreshedVersion="0" background="1">
    <webPr url="http://vocabulary.odm2.org/api/v1/variabletype/?format=csv" htmlTables="1" htmlFormat="all"/>
  </connection>
  <connection id="1286" name="Connection798" type="4" refreshedVersion="0" background="1">
    <webPr url="http://vocabulary.odm2.org/api/v1/unitstype/?format=csv" htmlTables="1" htmlFormat="all"/>
  </connection>
  <connection id="1287" name="Connection799" type="4" refreshedVersion="0" background="1">
    <webPr url="http://vocabulary.odm2.org/api/v1/Boolean/?format=csv" htmlTables="1" htmlFormat="all"/>
  </connection>
  <connection id="1288" name="Connection8" type="4" refreshedVersion="0" background="1">
    <webPr url="http://vocabulary.odm2.org/api/v1/actiontype/?format=csv" htmlTables="1" htmlFormat="all"/>
  </connection>
  <connection id="1289" name="Connection80" type="4" refreshedVersion="0" saveData="1">
    <webPr url="http://vocabulary.odm2.org/api/v1/propertydatatype/?format=csv" htmlFormat="all"/>
  </connection>
  <connection id="1290" name="Connection800" type="4" refreshedVersion="0" background="1">
    <webPr url="http://vocabulary.odm2.org/api/v1/NotApplicable/?format=csv" htmlTables="1" htmlFormat="all"/>
  </connection>
  <connection id="1291" name="Connection801" type="4" refreshedVersion="0" background="1">
    <webPr url="http://vocabulary.odm2.org/api/v1/ApplicableDatasetTypes/?format=csv" htmlTables="1" htmlFormat="all"/>
  </connection>
  <connection id="1292" name="Connection802" type="4" refreshedVersion="0" background="1">
    <webPr url="http://vocabulary.odm2.org/api/v1/ApplicableResultTypes/?format=csv" htmlTables="1" htmlFormat="all"/>
  </connection>
  <connection id="1293" name="Connection803" type="4" refreshedVersion="0" background="1">
    <webPr url="http://vocabulary.odm2.org/api/v1/ApplicableMethodTypes/?format=csv" htmlTables="1" htmlFormat="all"/>
  </connection>
  <connection id="1294" name="Connection804" type="4" refreshedVersion="0" background="1">
    <webPr url="http://vocabulary.odm2.org/api/v1/actiontype/?format=csv" htmlTables="1" htmlFormat="all"/>
  </connection>
  <connection id="1295" name="Connection805" type="4" refreshedVersion="0" background="1">
    <webPr url="http://vocabulary.odm2.org/api/v1/aggregationstatistic/?format=csv" htmlTables="1" htmlFormat="all"/>
  </connection>
  <connection id="1296" name="Connection806" type="4" refreshedVersion="0" background="1">
    <webPr url="http://vocabulary.odm2.org/api/v1/censorcode/?format=csv" htmlTables="1" htmlFormat="all"/>
  </connection>
  <connection id="1297" name="Connection807" type="4" refreshedVersion="0" background="1">
    <webPr url="http://vocabulary.odm2.org/api/v1/dataqualitytype/?format=csv" htmlTables="1" htmlFormat="all"/>
  </connection>
  <connection id="1298" name="Connection808" type="4" refreshedVersion="0" background="1">
    <webPr url="http://vocabulary.odm2.org/api/v1/datasettype/?format=csv" htmlTables="1" htmlFormat="all"/>
  </connection>
  <connection id="1299" name="Connection809" type="4" refreshedVersion="0" background="1">
    <webPr url="http://vocabulary.odm2.org/api/v1/directivetype/?format=csv" htmlTables="1" htmlFormat="all"/>
  </connection>
  <connection id="1300" name="Connection81" type="4" refreshedVersion="0" saveData="1">
    <webPr url="http://vocabulary.odm2.org/api/v1/qualitycode/?format=csv" htmlFormat="all"/>
  </connection>
  <connection id="1301" name="Connection810" type="4" refreshedVersion="0" background="1">
    <webPr url="http://vocabulary.odm2.org/api/v1/elevationdatum/?format=csv" htmlTables="1" htmlFormat="all"/>
  </connection>
  <connection id="1302" name="Connection811" type="4" refreshedVersion="0" background="1">
    <webPr url="http://vocabulary.odm2.org/api/v1/equipmenttype/?format=csv" htmlTables="1" htmlFormat="all"/>
  </connection>
  <connection id="1303" name="Connection812" type="4" refreshedVersion="0" background="1">
    <webPr url="http://vocabulary.odm2.org/api/v1/methodtype/?format=csv" htmlTables="1" htmlFormat="all"/>
  </connection>
  <connection id="1304" name="Connection813" type="4" refreshedVersion="0" background="1">
    <webPr url="http://vocabulary.odm2.org/api/v1/organizationtype/?format=csv" htmlTables="1" htmlFormat="all"/>
  </connection>
  <connection id="1305" name="Connection814" type="4" refreshedVersion="0" background="1">
    <webPr url="http://vocabulary.odm2.org/api/v1/propertydatatype/?format=csv" htmlTables="1" htmlFormat="all"/>
  </connection>
  <connection id="1306" name="Connection815" type="4" refreshedVersion="0" background="1">
    <webPr url="http://vocabulary.odm2.org/api/v1/qualitycode/?format=csv" htmlTables="1" htmlFormat="all"/>
  </connection>
  <connection id="1307" name="Connection816" type="4" refreshedVersion="0" background="1">
    <webPr url="http://vocabulary.odm2.org/api/v1/relationshiptype/?format=csv" htmlTables="1" htmlFormat="all"/>
  </connection>
  <connection id="1308" name="Connection817" type="4" refreshedVersion="0" background="1">
    <webPr url="http://vocabulary.odm2.org/api/v1/resulttype/?format=csv" htmlTables="1" htmlFormat="all"/>
  </connection>
  <connection id="1309" name="Connection818" type="4" refreshedVersion="0" background="1">
    <webPr url="http://vocabulary.odm2.org/api/v1/samplingfeaturegeotype/?format=csv" htmlTables="1" htmlFormat="all"/>
  </connection>
  <connection id="1310" name="Connection819" type="4" refreshedVersion="0" background="1">
    <webPr url="http://vocabulary.odm2.org/api/v1/samplingfeaturetype/?format=csv" htmlTables="1" htmlFormat="all"/>
  </connection>
  <connection id="1311" name="Connection82" type="4" refreshedVersion="0" saveData="1">
    <webPr url="http://vocabulary.odm2.org/api/v1/relationshiptype/?format=csv" htmlFormat="all"/>
  </connection>
  <connection id="1312" name="Connection820" type="4" refreshedVersion="0" background="1">
    <webPr url="http://vocabulary.odm2.org/api/v1/sitetype/?format=csv" htmlTables="1" htmlFormat="all"/>
  </connection>
  <connection id="1313" name="Connection821" type="4" refreshedVersion="0" background="1">
    <webPr url="http://vocabulary.odm2.org/api/v1/spatialoffsettype/?format=csv" htmlTables="1" htmlFormat="all"/>
  </connection>
  <connection id="1314" name="Connection822" type="4" refreshedVersion="0" background="1">
    <webPr url="http://vocabulary.odm2.org/api/v1/speciation/?format=csv" htmlTables="1" htmlFormat="all"/>
  </connection>
  <connection id="1315" name="Connection823" type="4" refreshedVersion="0" background="1">
    <webPr url="http://vocabulary.odm2.org/api/v1/medium/?format=csv" htmlTables="1" htmlFormat="all"/>
  </connection>
  <connection id="1316" name="Connection824" type="4" refreshedVersion="0" background="1">
    <webPr url="http://vocabulary.odm2.org/api/v1/specimentype/?format=csv" htmlTables="1" htmlFormat="all"/>
  </connection>
  <connection id="1317" name="Connection825" type="4" refreshedVersion="0" background="1">
    <webPr url="http://vocabulary.odm2.org/api/v1/status/?format=csv" htmlTables="1" htmlFormat="all"/>
  </connection>
  <connection id="1318" name="Connection826" type="4" refreshedVersion="0" background="1">
    <webPr url="http://vocabulary.odm2.org/api/v1/taxonomicclassifiertype/?format=csv" htmlTables="1" htmlFormat="all"/>
  </connection>
  <connection id="1319" name="Connection827" type="4" refreshedVersion="0" background="1">
    <webPr url="http://vocabulary.odm2.org/api/v1/variablename/?format=csv" htmlTables="1" htmlFormat="all"/>
  </connection>
  <connection id="1320" name="Connection828" type="4" refreshedVersion="0" background="1">
    <webPr url="http://vocabulary.odm2.org/api/v1/variabletype/?format=csv" htmlTables="1" htmlFormat="all"/>
  </connection>
  <connection id="1321" name="Connection829" type="4" refreshedVersion="0" background="1">
    <webPr url="http://vocabulary.odm2.org/api/v1/unitstype/?format=csv" htmlTables="1" htmlFormat="all"/>
  </connection>
  <connection id="1322" name="Connection83" type="4" refreshedVersion="0" saveData="1">
    <webPr url="http://vocabulary.odm2.org/api/v1/resulttype/?format=csv" htmlFormat="all"/>
  </connection>
  <connection id="1323" name="Connection830" type="4" refreshedVersion="0" background="1">
    <webPr url="http://vocabulary.odm2.org/api/v1/Boolean/?format=csv" htmlTables="1" htmlFormat="all"/>
  </connection>
  <connection id="1324" name="Connection831" type="4" refreshedVersion="0" background="1">
    <webPr url="http://vocabulary.odm2.org/api/v1/NotApplicable/?format=csv" htmlTables="1" htmlFormat="all"/>
  </connection>
  <connection id="1325" name="Connection832" type="4" refreshedVersion="0" background="1">
    <webPr url="http://vocabulary.odm2.org/api/v1/ApplicableDatasetTypes/?format=csv" htmlTables="1" htmlFormat="all"/>
  </connection>
  <connection id="1326" name="Connection833" type="4" refreshedVersion="0" background="1">
    <webPr url="http://vocabulary.odm2.org/api/v1/ApplicableResultTypes/?format=csv" htmlTables="1" htmlFormat="all"/>
  </connection>
  <connection id="1327" name="Connection834" type="4" refreshedVersion="0" background="1">
    <webPr url="http://vocabulary.odm2.org/api/v1/ApplicableMethodTypes/?format=csv" htmlTables="1" htmlFormat="all"/>
  </connection>
  <connection id="1328" name="Connection835" type="4" refreshedVersion="0" background="1">
    <webPr url="http://vocabulary.odm2.org/api/v1/actiontype/?format=csv" htmlTables="1" htmlFormat="all"/>
  </connection>
  <connection id="1329" name="Connection836" type="4" refreshedVersion="0" background="1">
    <webPr url="http://vocabulary.odm2.org/api/v1/aggregationstatistic/?format=csv" htmlTables="1" htmlFormat="all"/>
  </connection>
  <connection id="1330" name="Connection837" type="4" refreshedVersion="0" background="1">
    <webPr url="http://vocabulary.odm2.org/api/v1/censorcode/?format=csv" htmlTables="1" htmlFormat="all"/>
  </connection>
  <connection id="1331" name="Connection838" type="4" refreshedVersion="0" background="1">
    <webPr url="http://vocabulary.odm2.org/api/v1/dataqualitytype/?format=csv" htmlTables="1" htmlFormat="all"/>
  </connection>
  <connection id="1332" name="Connection839" type="4" refreshedVersion="0" background="1">
    <webPr url="http://vocabulary.odm2.org/api/v1/datasettype/?format=csv" htmlTables="1" htmlFormat="all"/>
  </connection>
  <connection id="1333" name="Connection84" type="4" refreshedVersion="0" saveData="1">
    <webPr url="http://vocabulary.odm2.org/api/v1/samplingfeaturegeotype/?format=csv" htmlFormat="all"/>
  </connection>
  <connection id="1334" name="Connection840" type="4" refreshedVersion="0" background="1">
    <webPr url="http://vocabulary.odm2.org/api/v1/directivetype/?format=csv" htmlTables="1" htmlFormat="all"/>
  </connection>
  <connection id="1335" name="Connection841" type="4" refreshedVersion="0" background="1">
    <webPr url="http://vocabulary.odm2.org/api/v1/elevationdatum/?format=csv" htmlTables="1" htmlFormat="all"/>
  </connection>
  <connection id="1336" name="Connection842" type="4" refreshedVersion="0" background="1">
    <webPr url="http://vocabulary.odm2.org/api/v1/equipmenttype/?format=csv" htmlTables="1" htmlFormat="all"/>
  </connection>
  <connection id="1337" name="Connection843" type="4" refreshedVersion="0" background="1">
    <webPr url="http://vocabulary.odm2.org/api/v1/methodtype/?format=csv" htmlTables="1" htmlFormat="all"/>
  </connection>
  <connection id="1338" name="Connection844" type="4" refreshedVersion="0" background="1">
    <webPr url="http://vocabulary.odm2.org/api/v1/organizationtype/?format=csv" htmlTables="1" htmlFormat="all"/>
  </connection>
  <connection id="1339" name="Connection845" type="4" refreshedVersion="0" background="1">
    <webPr url="http://vocabulary.odm2.org/api/v1/propertydatatype/?format=csv" htmlTables="1" htmlFormat="all"/>
  </connection>
  <connection id="1340" name="Connection846" type="4" refreshedVersion="0" background="1">
    <webPr url="http://vocabulary.odm2.org/api/v1/qualitycode/?format=csv" htmlTables="1" htmlFormat="all"/>
  </connection>
  <connection id="1341" name="Connection847" type="4" refreshedVersion="0" background="1">
    <webPr url="http://vocabulary.odm2.org/api/v1/relationshiptype/?format=csv" htmlTables="1" htmlFormat="all"/>
  </connection>
  <connection id="1342" name="Connection848" type="4" refreshedVersion="0" background="1">
    <webPr url="http://vocabulary.odm2.org/api/v1/resulttype/?format=csv" htmlTables="1" htmlFormat="all"/>
  </connection>
  <connection id="1343" name="Connection849" type="4" refreshedVersion="0" background="1">
    <webPr url="http://vocabulary.odm2.org/api/v1/samplingfeaturegeotype/?format=csv" htmlTables="1" htmlFormat="all"/>
  </connection>
  <connection id="1344" name="Connection85" type="4" refreshedVersion="0" saveData="1">
    <webPr url="http://vocabulary.odm2.org/api/v1/samplingfeaturetype/?format=csv" htmlFormat="all"/>
  </connection>
  <connection id="1345" name="Connection850" type="4" refreshedVersion="0" background="1">
    <webPr url="http://vocabulary.odm2.org/api/v1/samplingfeaturetype/?format=csv" htmlTables="1" htmlFormat="all"/>
  </connection>
  <connection id="1346" name="Connection851" type="4" refreshedVersion="0" background="1">
    <webPr url="http://vocabulary.odm2.org/api/v1/sitetype/?format=csv" htmlTables="1" htmlFormat="all"/>
  </connection>
  <connection id="1347" name="Connection852" type="4" refreshedVersion="0" background="1">
    <webPr url="http://vocabulary.odm2.org/api/v1/spatialoffsettype/?format=csv" htmlTables="1" htmlFormat="all"/>
  </connection>
  <connection id="1348" name="Connection853" type="4" refreshedVersion="0" background="1">
    <webPr url="http://vocabulary.odm2.org/api/v1/speciation/?format=csv" htmlTables="1" htmlFormat="all"/>
  </connection>
  <connection id="1349" name="Connection854" type="4" refreshedVersion="0" background="1">
    <webPr url="http://vocabulary.odm2.org/api/v1/medium/?format=csv" htmlTables="1" htmlFormat="all"/>
  </connection>
  <connection id="1350" name="Connection855" type="4" refreshedVersion="0" background="1">
    <webPr url="http://vocabulary.odm2.org/api/v1/specimentype/?format=csv" htmlTables="1" htmlFormat="all"/>
  </connection>
  <connection id="1351" name="Connection856" type="4" refreshedVersion="0" background="1">
    <webPr url="http://vocabulary.odm2.org/api/v1/status/?format=csv" htmlTables="1" htmlFormat="all"/>
  </connection>
  <connection id="1352" name="Connection857" type="4" refreshedVersion="0" background="1">
    <webPr url="http://vocabulary.odm2.org/api/v1/taxonomicclassifiertype/?format=csv" htmlTables="1" htmlFormat="all"/>
  </connection>
  <connection id="1353" name="Connection858" type="4" refreshedVersion="0" background="1">
    <webPr url="http://vocabulary.odm2.org/api/v1/variablename/?format=csv" htmlTables="1" htmlFormat="all"/>
  </connection>
  <connection id="1354" name="Connection859" type="4" refreshedVersion="0" background="1">
    <webPr url="http://vocabulary.odm2.org/api/v1/variabletype/?format=csv" htmlTables="1" htmlFormat="all"/>
  </connection>
  <connection id="1355" name="Connection86" type="4" refreshedVersion="0" saveData="1">
    <webPr url="http://vocabulary.odm2.org/api/v1/sitetype/?format=csv" htmlFormat="all"/>
  </connection>
  <connection id="1356" name="Connection860" type="4" refreshedVersion="0" background="1">
    <webPr url="http://vocabulary.odm2.org/api/v1/unitstype/?format=csv" htmlTables="1" htmlFormat="all"/>
  </connection>
  <connection id="1357" name="Connection87" type="4" refreshedVersion="0" saveData="1">
    <webPr url="http://vocabulary.odm2.org/api/v1/spatialoffsettype/?format=csv" htmlFormat="all"/>
  </connection>
  <connection id="1358" name="Connection88" type="4" refreshedVersion="0" saveData="1">
    <webPr url="http://vocabulary.odm2.org/api/v1/speciation/?format=csv" htmlFormat="all"/>
  </connection>
  <connection id="1359" name="Connection89" type="4" refreshedVersion="0" saveData="1">
    <webPr url="http://vocabulary.odm2.org/api/v1/medium/?format=csv" htmlFormat="all"/>
  </connection>
  <connection id="1360" name="Connection9" type="4" refreshedVersion="0" background="1">
    <webPr url="http://vocabulary.odm2.org/api/v1/aggregationstatistic/?format=csv" htmlTables="1" htmlFormat="all"/>
  </connection>
  <connection id="1361" name="Connection90" type="4" refreshedVersion="0" saveData="1">
    <webPr url="http://vocabulary.odm2.org/api/v1/specimentype/?format=csv" htmlFormat="all"/>
  </connection>
  <connection id="1362" name="Connection91" type="4" refreshedVersion="0" saveData="1">
    <webPr url="http://vocabulary.odm2.org/api/v1/status/?format=csv" htmlFormat="all"/>
  </connection>
  <connection id="1363" name="Connection92" type="4" refreshedVersion="0" saveData="1">
    <webPr url="http://vocabulary.odm2.org/api/v1/taxonomicclassifiertype/?format=csv" htmlFormat="all"/>
  </connection>
  <connection id="1364" name="Connection93" type="4" refreshedVersion="0" saveData="1">
    <webPr url="http://vocabulary.odm2.org/api/v1/variablename/?format=csv" htmlFormat="all"/>
  </connection>
  <connection id="1365" name="Connection94" type="4" refreshedVersion="0" saveData="1">
    <webPr url="http://vocabulary.odm2.org/api/v1/variabletype/?format=csv" htmlFormat="all"/>
  </connection>
  <connection id="1366" name="Connection95" type="4" refreshedVersion="0" saveData="1">
    <webPr url="http://vocabulary.odm2.org/api/v1/unitstype/?format=csv" htmlFormat="all"/>
  </connection>
  <connection id="1367" name="Connection96" type="4" refreshedVersion="0" background="1">
    <webPr url="http://vocabulary.odm2.org/api/v1/Boolean/?format=csv" htmlTables="1" htmlFormat="all"/>
  </connection>
  <connection id="1368" name="Connection97" type="4" refreshedVersion="0" background="1">
    <webPr url="http://vocabulary.odm2.org/api/v1/NotApplicable/?format=csv" htmlTables="1" htmlFormat="all"/>
  </connection>
  <connection id="1369" name="Connection98" type="4" refreshedVersion="0" background="1">
    <webPr url="http://vocabulary.odm2.org/api/v1/ApplicableDatasetTypes/?format=csv" htmlTables="1" htmlFormat="all"/>
  </connection>
  <connection id="1370" name="Connection99" type="4" refreshedVersion="0" background="1">
    <webPr url="http://vocabulary.odm2.org/api/v1/ApplicableResultTypes/?format=csv" htmlTables="1" htmlFormat="all"/>
  </connection>
</connections>
</file>

<file path=xl/sharedStrings.xml><?xml version="1.0" encoding="utf-8"?>
<sst xmlns="http://schemas.openxmlformats.org/spreadsheetml/2006/main" count="1065" uniqueCount="977">
  <si>
    <t>Dataset UUID</t>
  </si>
  <si>
    <t>Dataset Title</t>
  </si>
  <si>
    <t>Dataset Code</t>
  </si>
  <si>
    <t>Dataset Type</t>
  </si>
  <si>
    <t>Dataset Abstract</t>
  </si>
  <si>
    <t>Citation Link</t>
  </si>
  <si>
    <t>Publication Year</t>
  </si>
  <si>
    <t>Unknown</t>
  </si>
  <si>
    <t>First Name</t>
  </si>
  <si>
    <t>Middle Name</t>
  </si>
  <si>
    <t>Last Name</t>
  </si>
  <si>
    <t>Primary Email</t>
  </si>
  <si>
    <t>Organization Name</t>
  </si>
  <si>
    <t>Sampling Feature UUID</t>
  </si>
  <si>
    <t>Sampling Feature Type</t>
  </si>
  <si>
    <t>Latitude</t>
  </si>
  <si>
    <t>Longitude</t>
  </si>
  <si>
    <t>Elevation_m</t>
  </si>
  <si>
    <t>Elevation Datum</t>
  </si>
  <si>
    <t>Feature Geo Type</t>
  </si>
  <si>
    <t>LatLon Datum</t>
  </si>
  <si>
    <t>Reference Datum for all Sampling Features</t>
  </si>
  <si>
    <t>NAD27</t>
  </si>
  <si>
    <t>NAD83</t>
  </si>
  <si>
    <t>WGS84</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</si>
  <si>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</si>
  <si>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</si>
  <si>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</si>
  <si>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</si>
  <si>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</si>
  <si>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</si>
  <si>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</si>
  <si>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</si>
  <si>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</si>
  <si>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</si>
  <si>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</si>
  <si>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</si>
  <si>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</si>
  <si>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</si>
  <si>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</si>
  <si>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</si>
  <si>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</si>
  <si>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</si>
  <si>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Consortium</t>
  </si>
  <si>
    <t>Publisher</t>
  </si>
  <si>
    <t>Author Number</t>
  </si>
  <si>
    <t>Citation Title</t>
  </si>
  <si>
    <t>Primary Address</t>
  </si>
  <si>
    <t>Citation DOI</t>
  </si>
  <si>
    <t>Dataset Citation Relationship</t>
  </si>
  <si>
    <t>Site Type</t>
  </si>
  <si>
    <t>Boolean</t>
  </si>
  <si>
    <t>Feature Name</t>
  </si>
  <si>
    <t>Feature Description</t>
  </si>
  <si>
    <t>Feature Code</t>
  </si>
  <si>
    <t>Feature Geometry</t>
  </si>
  <si>
    <t>NotApplicable</t>
  </si>
  <si>
    <t>Method Type</t>
  </si>
  <si>
    <t>Method Link</t>
  </si>
  <si>
    <t>Method Information</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</si>
  <si>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</si>
  <si>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</si>
  <si>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</si>
  <si>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</si>
  <si>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</si>
  <si>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</si>
  <si>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</si>
  <si>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</si>
  <si>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</si>
  <si>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</si>
  <si>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</si>
  <si>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</si>
  <si>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SiteID</t>
  </si>
  <si>
    <t>ResultUUID</t>
  </si>
  <si>
    <t>Sampled Medium</t>
  </si>
  <si>
    <t>Aggregation Statistic</t>
  </si>
  <si>
    <t>Sampling Feature Code</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</si>
  <si>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</si>
  <si>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</si>
  <si>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</si>
  <si>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</si>
  <si>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</si>
  <si>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</si>
  <si>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</si>
  <si>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Column Label</t>
  </si>
  <si>
    <t>Feature IGSN</t>
  </si>
  <si>
    <t>How to use this template:</t>
  </si>
  <si>
    <t>Purpose of this template:</t>
  </si>
  <si>
    <t>Limitations of this template: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</si>
  <si>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</si>
  <si>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</si>
  <si>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</si>
  <si>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Features</t>
  </si>
  <si>
    <t># Authors:</t>
  </si>
  <si>
    <t># Organizations:</t>
  </si>
  <si>
    <t># People:</t>
  </si>
  <si>
    <t># Methods:</t>
  </si>
  <si>
    <t># Variables</t>
  </si>
  <si>
    <t># Levels</t>
  </si>
  <si>
    <t>This template is designed to  generate correctly formatted YAML Observation Data Archive &amp; Exchange (YODA) Files based on data typed into the various data tabs.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</si>
  <si>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</si>
  <si>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</si>
  <si>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</si>
  <si>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</si>
  <si>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</si>
  <si>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</si>
  <si>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</si>
  <si>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</si>
  <si>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</si>
  <si>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</si>
  <si>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</si>
  <si>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</si>
  <si>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</si>
  <si>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</si>
  <si>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</si>
  <si>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</si>
  <si>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</si>
  <si>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</si>
  <si>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</si>
  <si>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</si>
  <si>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</si>
  <si>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</si>
  <si>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</si>
  <si>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</si>
  <si>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</si>
  <si>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</si>
  <si>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</si>
  <si>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</si>
  <si>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</si>
  <si>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</si>
  <si>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</si>
  <si>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</si>
  <si>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</si>
  <si>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</si>
  <si>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</si>
  <si>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</si>
  <si>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</si>
  <si>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</si>
  <si>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</si>
  <si>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</si>
  <si>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</si>
  <si>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</si>
  <si>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</si>
  <si>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</si>
  <si>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</si>
  <si>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</si>
  <si>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</si>
  <si>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</si>
  <si>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URI Structure</t>
  </si>
  <si>
    <t>http://app.geosamples.org/sample/igsn/</t>
  </si>
  <si>
    <t>ExternalIDNum</t>
  </si>
  <si>
    <t># ORCIDs:</t>
  </si>
  <si>
    <t>TODO:  Allow custom spatial references</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</si>
  <si>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</si>
  <si>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</si>
  <si>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</si>
  <si>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</si>
  <si>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</si>
  <si>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</si>
  <si>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</si>
  <si>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</si>
  <si>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</si>
  <si>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</si>
  <si>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</si>
  <si>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</si>
  <si>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</si>
  <si>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</si>
  <si>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</si>
  <si>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</si>
  <si>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</si>
  <si>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</si>
  <si>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</si>
  <si>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</si>
  <si>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</si>
  <si>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</si>
  <si>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</si>
  <si>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</si>
  <si>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</si>
  <si>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</si>
  <si>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</si>
  <si>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</si>
  <si>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</si>
  <si>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</si>
  <si>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</si>
  <si>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</si>
  <si>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</si>
  <si>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</si>
  <si>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</si>
  <si>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</si>
  <si>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</si>
  <si>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</si>
  <si>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</si>
  <si>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</si>
  <si>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</si>
  <si>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Remove completely blank lines and fill in missing values with the appropriate "No Data Value" value for the variable in question.</t>
  </si>
  <si>
    <t>--- As you fill out each worksheet, watch for orange and red flagging text indicating you have made a possible mistake.  Correct all mistakes immediately.</t>
  </si>
  <si>
    <t>For questions or problems with this excel template or the YAML it produces, please contact Sara Damiano at sdamiano@stroudcenter.org</t>
  </si>
  <si>
    <t>0.1.0</t>
  </si>
  <si>
    <t>S</t>
  </si>
  <si>
    <t>Sb</t>
  </si>
  <si>
    <t>Se</t>
  </si>
  <si>
    <t>Si</t>
  </si>
  <si>
    <t>SiO2</t>
  </si>
  <si>
    <t>Sn</t>
  </si>
  <si>
    <t>SO4</t>
  </si>
  <si>
    <t>Sr</t>
  </si>
  <si>
    <t>TA</t>
  </si>
  <si>
    <t>Th</t>
  </si>
  <si>
    <t>Ti</t>
  </si>
  <si>
    <t>Tl</t>
  </si>
  <si>
    <t>U</t>
  </si>
  <si>
    <t>V</t>
  </si>
  <si>
    <t>Zn</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</si>
  <si>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</si>
  <si>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</si>
  <si>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</si>
  <si>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</si>
  <si>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</si>
  <si>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</si>
  <si>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</si>
  <si>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</si>
  <si>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</si>
  <si>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</si>
  <si>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</si>
  <si>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</si>
  <si>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</si>
  <si>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</si>
  <si>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</si>
  <si>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</si>
  <si>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</si>
  <si>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</si>
  <si>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</si>
  <si>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</si>
  <si>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</si>
  <si>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</si>
  <si>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</si>
  <si>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</si>
  <si>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</si>
  <si>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</si>
  <si>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</si>
  <si>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</si>
  <si>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</si>
  <si>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Derivation</t>
  </si>
  <si>
    <t>Observation</t>
  </si>
  <si>
    <t>Estimation</t>
  </si>
  <si>
    <t>Instrument deployment</t>
  </si>
  <si>
    <t>Simulation</t>
  </si>
  <si>
    <t>Specimen analysis</t>
  </si>
  <si>
    <t>Multi-time series</t>
  </si>
  <si>
    <t>Single time series</t>
  </si>
  <si>
    <t>Time series coverage</t>
  </si>
  <si>
    <t>Age</t>
  </si>
  <si>
    <t>unitstype</t>
  </si>
  <si>
    <t>Units Information</t>
  </si>
  <si>
    <t>Units Name</t>
  </si>
  <si>
    <t>Units Link</t>
  </si>
  <si>
    <t xml:space="preserve">Units Abbreviation </t>
  </si>
  <si>
    <t>Units Type</t>
  </si>
  <si>
    <t>medium</t>
  </si>
  <si>
    <t># Units</t>
  </si>
  <si>
    <t>Affiliation Start Date</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</si>
  <si>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</si>
  <si>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</si>
  <si>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</si>
  <si>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</si>
  <si>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</si>
  <si>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</si>
  <si>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</si>
  <si>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</si>
  <si>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</si>
  <si>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</si>
  <si>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0.3.2-alpha</t>
  </si>
  <si>
    <t>--- Macros must be allowed for this template to work.  Please accept any security warnings and allow Macros to run.</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</si>
  <si>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template file incomplete and may make it unable to be parsed by data ingestion tools.</t>
    </r>
  </si>
  <si>
    <t>--- Also verify that there are no "holes" in your data.  Any completely blank lines or missing values will create problems for parsing tools.</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</si>
  <si>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a YODA file generated from this template.</t>
    </r>
  </si>
  <si>
    <t>Relationships among SamplingFeatures, Citations, and Datasets cannot be included in this template.</t>
  </si>
  <si>
    <t>This template does not allow for inputs of details about Actions and Feature actions.  All actions will be coded as generic "Observation" Actions at the given sampling feature.</t>
  </si>
  <si>
    <r>
      <t xml:space="preserve">This template also does not allow for </t>
    </r>
    <r>
      <rPr>
        <i/>
        <sz val="11"/>
        <color theme="1"/>
        <rFont val="Calibri"/>
        <family val="2"/>
        <scheme val="minor"/>
      </rPr>
      <t>value-by-value</t>
    </r>
    <r>
      <rPr>
        <sz val="11"/>
        <color theme="1"/>
        <rFont val="Calibri"/>
        <family val="2"/>
        <scheme val="minor"/>
      </rPr>
      <t xml:space="preserve"> annotations, censor codes, quality codes, or time aggregation information.  All of these can only be specified for entire columns of data.</t>
    </r>
  </si>
  <si>
    <t>Cruise</t>
  </si>
  <si>
    <t>Data retrieval</t>
  </si>
  <si>
    <t>Equipment deployment</t>
  </si>
  <si>
    <t>Equipment maintenance</t>
  </si>
  <si>
    <t>Equipment programming</t>
  </si>
  <si>
    <t>Equipment retrieval</t>
  </si>
  <si>
    <t>Expedition</t>
  </si>
  <si>
    <t>Field activity</t>
  </si>
  <si>
    <t>Generic non-observation</t>
  </si>
  <si>
    <t>Other</t>
  </si>
  <si>
    <t>Instrument calibration</t>
  </si>
  <si>
    <t>Instrument retrieval</t>
  </si>
  <si>
    <t>Site visit</t>
  </si>
  <si>
    <t>Specimen collection</t>
  </si>
  <si>
    <t>Specimen fractionation</t>
  </si>
  <si>
    <t>Specimen preparation</t>
  </si>
  <si>
    <t>Specimen preservation</t>
  </si>
  <si>
    <t>Submersible launch</t>
  </si>
  <si>
    <t>Average</t>
  </si>
  <si>
    <t>Best easy systematic estimator</t>
  </si>
  <si>
    <t>Categorical</t>
  </si>
  <si>
    <t>Constant over interval</t>
  </si>
  <si>
    <t>Continuous</t>
  </si>
  <si>
    <t>Cumulative</t>
  </si>
  <si>
    <t>Incremental</t>
  </si>
  <si>
    <t>Maximum</t>
  </si>
  <si>
    <t>Median</t>
  </si>
  <si>
    <t>Minimum</t>
  </si>
  <si>
    <t>Mode</t>
  </si>
  <si>
    <t>Sporadic</t>
  </si>
  <si>
    <t>Standard deviation</t>
  </si>
  <si>
    <t>Standard error of mean</t>
  </si>
  <si>
    <t>Standard error of the mean</t>
  </si>
  <si>
    <t>Greater than</t>
  </si>
  <si>
    <t>Less than</t>
  </si>
  <si>
    <t>Non-detect</t>
  </si>
  <si>
    <t>Not censored</t>
  </si>
  <si>
    <t>Present but not quantified</t>
  </si>
  <si>
    <t>Accuracy</t>
  </si>
  <si>
    <t>Method detection limit</t>
  </si>
  <si>
    <t>Physical limit lower bound</t>
  </si>
  <si>
    <t>Physical limit upper bound</t>
  </si>
  <si>
    <t>Precision</t>
  </si>
  <si>
    <t>Multi-variable specimen measurements</t>
  </si>
  <si>
    <t>Field campaign</t>
  </si>
  <si>
    <t>Monitoring program</t>
  </si>
  <si>
    <t>EGM96</t>
  </si>
  <si>
    <t>MSL</t>
  </si>
  <si>
    <t>NAVD88</t>
  </si>
  <si>
    <t>NGVD29</t>
  </si>
  <si>
    <t>Antenna</t>
  </si>
  <si>
    <t>Automatic level</t>
  </si>
  <si>
    <t>Battery</t>
  </si>
  <si>
    <t>Cable</t>
  </si>
  <si>
    <t>Camera</t>
  </si>
  <si>
    <t>Charge regulator</t>
  </si>
  <si>
    <t>Datalogger</t>
  </si>
  <si>
    <t>Electronic device</t>
  </si>
  <si>
    <t>Enclosure</t>
  </si>
  <si>
    <t>Fluorometer</t>
  </si>
  <si>
    <t>Sensor</t>
  </si>
  <si>
    <t>Global positioning system receiver</t>
  </si>
  <si>
    <t>Interface</t>
  </si>
  <si>
    <t>Laboratory instrument</t>
  </si>
  <si>
    <t>Level staff</t>
  </si>
  <si>
    <t>Mast</t>
  </si>
  <si>
    <t>Measurement tower</t>
  </si>
  <si>
    <t>Multiplexer</t>
  </si>
  <si>
    <t>Power supply</t>
  </si>
  <si>
    <t>Pressure transducer</t>
  </si>
  <si>
    <t>Radio</t>
  </si>
  <si>
    <t>Sampler</t>
  </si>
  <si>
    <t>Solar panel</t>
  </si>
  <si>
    <t>Storm box</t>
  </si>
  <si>
    <t>Total station</t>
  </si>
  <si>
    <t>Tripod</t>
  </si>
  <si>
    <t>Turbidimeter</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</si>
  <si>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</si>
  <si>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</si>
  <si>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</si>
  <si>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</si>
  <si>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</si>
  <si>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</si>
  <si>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</si>
  <si>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</si>
  <si>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</si>
  <si>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</si>
  <si>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</si>
  <si>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</si>
  <si>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</si>
  <si>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</si>
  <si>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</si>
  <si>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</si>
  <si>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</si>
  <si>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</si>
  <si>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</si>
  <si>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</si>
  <si>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</si>
  <si>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University</t>
  </si>
  <si>
    <t>Floading point number</t>
  </si>
  <si>
    <t>Integer</t>
  </si>
  <si>
    <t>Bad</t>
  </si>
  <si>
    <t>Good</t>
  </si>
  <si>
    <t>Marginal</t>
  </si>
  <si>
    <t>None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</si>
  <si>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</si>
  <si>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</si>
  <si>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</si>
  <si>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</si>
  <si>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</si>
  <si>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</si>
  <si>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</si>
  <si>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</si>
  <si>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</si>
  <si>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</si>
  <si>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</si>
  <si>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</si>
  <si>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</si>
  <si>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</si>
  <si>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</si>
  <si>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</si>
  <si>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</si>
  <si>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</si>
  <si>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</si>
  <si>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</si>
  <si>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retrieval for</t>
  </si>
  <si>
    <t>Is reviewed by</t>
  </si>
  <si>
    <t>Is source of</t>
  </si>
  <si>
    <t>Is supplemented by</t>
  </si>
  <si>
    <t>Is supplement to</t>
  </si>
  <si>
    <t>Is variant form of</t>
  </si>
  <si>
    <t>References</t>
  </si>
  <si>
    <t>Reviews</t>
  </si>
  <si>
    <t>Category observation</t>
  </si>
  <si>
    <t>Measurement</t>
  </si>
  <si>
    <t>Count observation</t>
  </si>
  <si>
    <t>Point coverage</t>
  </si>
  <si>
    <t>Profile coverage</t>
  </si>
  <si>
    <t>Section coverage</t>
  </si>
  <si>
    <t>Spectra coverage</t>
  </si>
  <si>
    <t>Temporal observation</t>
  </si>
  <si>
    <t>Trajectory coverage</t>
  </si>
  <si>
    <t>Transect coverage</t>
  </si>
  <si>
    <t>Line string</t>
  </si>
  <si>
    <t>Multi line string</t>
  </si>
  <si>
    <t>Multi point</t>
  </si>
  <si>
    <t>Multi polygon</t>
  </si>
  <si>
    <t>Not applicable</t>
  </si>
  <si>
    <t>Point</t>
  </si>
  <si>
    <t>Polygon</t>
  </si>
  <si>
    <t>Volume</t>
  </si>
  <si>
    <t>Borehole</t>
  </si>
  <si>
    <t>Cross section</t>
  </si>
  <si>
    <t>CTD</t>
  </si>
  <si>
    <t>Specimen</t>
  </si>
  <si>
    <t>Depth interval</t>
  </si>
  <si>
    <t>Excavation</t>
  </si>
  <si>
    <t>Field area</t>
  </si>
  <si>
    <t>Flightline</t>
  </si>
  <si>
    <t>Interval</t>
  </si>
  <si>
    <t>Observation well</t>
  </si>
  <si>
    <t>Profile</t>
  </si>
  <si>
    <t>Quadrat</t>
  </si>
  <si>
    <t>Scene</t>
  </si>
  <si>
    <t>Ships track</t>
  </si>
  <si>
    <t>Site</t>
  </si>
  <si>
    <t>Soil pit section</t>
  </si>
  <si>
    <t>Stream gage</t>
  </si>
  <si>
    <t>Trajectory</t>
  </si>
  <si>
    <t>Transect</t>
  </si>
  <si>
    <t>Traverse</t>
  </si>
  <si>
    <t>Water quality station</t>
  </si>
  <si>
    <t>Aggregate groundwater use</t>
  </si>
  <si>
    <t>Aggregate surface-water-use</t>
  </si>
  <si>
    <t>Aggregate water-use establishment</t>
  </si>
  <si>
    <t>Animal waste lagoon</t>
  </si>
  <si>
    <t>Atmosphere</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</si>
  <si>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</si>
  <si>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</si>
  <si>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</si>
  <si>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</si>
  <si>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</si>
  <si>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</si>
  <si>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</si>
  <si>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</si>
  <si>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</si>
  <si>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</si>
  <si>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</si>
  <si>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</si>
  <si>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</si>
  <si>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</si>
  <si>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</si>
  <si>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</si>
  <si>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</si>
  <si>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</si>
  <si>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</si>
  <si>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</si>
  <si>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</si>
  <si>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</si>
  <si>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</si>
  <si>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</si>
  <si>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</si>
  <si>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</si>
  <si>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</si>
  <si>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</si>
  <si>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</si>
  <si>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</si>
  <si>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</si>
  <si>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</si>
  <si>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</si>
  <si>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</si>
  <si>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</si>
  <si>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</si>
  <si>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</si>
  <si>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</si>
  <si>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</si>
  <si>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</si>
  <si>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</si>
  <si>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</si>
  <si>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</si>
  <si>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</si>
  <si>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Cartesian offset</t>
  </si>
  <si>
    <t>Depth</t>
  </si>
  <si>
    <t>Depth, directional</t>
  </si>
  <si>
    <t>Height</t>
  </si>
  <si>
    <t>Height, directional</t>
  </si>
  <si>
    <t>Height interval</t>
  </si>
  <si>
    <t>Longitudinal interval</t>
  </si>
  <si>
    <t>Radial horizontal offset</t>
  </si>
  <si>
    <t>Radial horizontal offset with depth</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</si>
  <si>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</si>
  <si>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</si>
  <si>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</si>
  <si>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</si>
  <si>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</si>
  <si>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</si>
  <si>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</si>
  <si>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</si>
  <si>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</si>
  <si>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</si>
  <si>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</si>
  <si>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</si>
  <si>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</si>
  <si>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</si>
  <si>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</si>
  <si>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</si>
  <si>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</si>
  <si>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</si>
  <si>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</si>
  <si>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</si>
  <si>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</si>
  <si>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</si>
  <si>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</si>
  <si>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</si>
  <si>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</si>
  <si>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</si>
  <si>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</si>
  <si>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</si>
  <si>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</si>
  <si>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</si>
  <si>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</si>
  <si>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</si>
  <si>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</si>
  <si>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</si>
  <si>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</si>
  <si>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</si>
  <si>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</si>
  <si>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</si>
  <si>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</si>
  <si>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</si>
  <si>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</si>
  <si>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</si>
  <si>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</si>
  <si>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</si>
  <si>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</si>
  <si>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</si>
  <si>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</si>
  <si>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</si>
  <si>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</si>
  <si>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</si>
  <si>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</si>
  <si>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</si>
  <si>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</si>
  <si>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</si>
  <si>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</si>
  <si>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</si>
  <si>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</si>
  <si>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</si>
  <si>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</si>
  <si>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</si>
  <si>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</si>
  <si>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</si>
  <si>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</si>
  <si>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</si>
  <si>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</si>
  <si>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</si>
  <si>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</si>
  <si>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</si>
  <si>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</si>
  <si>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</si>
  <si>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</si>
  <si>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</si>
  <si>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</si>
  <si>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</si>
  <si>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</si>
  <si>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</si>
  <si>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</si>
  <si>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</si>
  <si>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</si>
  <si>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</si>
  <si>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</si>
  <si>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</si>
  <si>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</si>
  <si>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</si>
  <si>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</si>
  <si>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</si>
  <si>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</si>
  <si>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</si>
  <si>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</si>
  <si>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</si>
  <si>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</si>
  <si>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</si>
  <si>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</si>
  <si>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</si>
  <si>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</si>
  <si>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</si>
  <si>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</si>
  <si>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</si>
  <si>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</si>
  <si>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</si>
  <si>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</si>
  <si>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</si>
  <si>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</si>
  <si>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</si>
  <si>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</si>
  <si>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</si>
  <si>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</si>
  <si>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</si>
  <si>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</si>
  <si>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</si>
  <si>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</si>
  <si>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</si>
  <si>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</si>
  <si>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</si>
  <si>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t>
  </si>
  <si>
    <t>Na</t>
  </si>
  <si>
    <t>NH4</t>
  </si>
  <si>
    <t>Ni</t>
  </si>
  <si>
    <t>NO2</t>
  </si>
  <si>
    <t>NO3</t>
  </si>
  <si>
    <t>Not Applicable</t>
  </si>
  <si>
    <t>O2</t>
  </si>
  <si>
    <t>P</t>
  </si>
  <si>
    <t>Pb</t>
  </si>
  <si>
    <t>pH</t>
  </si>
  <si>
    <t>PO4</t>
  </si>
  <si>
    <t>Ra</t>
  </si>
  <si>
    <t>Re</t>
  </si>
  <si>
    <t>Air</t>
  </si>
  <si>
    <t>Gas</t>
  </si>
  <si>
    <t>Ice</t>
  </si>
  <si>
    <t>Liquid aqueous</t>
  </si>
  <si>
    <t>Liquid organic</t>
  </si>
  <si>
    <t>Mineral</t>
  </si>
  <si>
    <t>Organism</t>
  </si>
  <si>
    <t>Particulate</t>
  </si>
  <si>
    <t>Rock</t>
  </si>
  <si>
    <t>Sediment</t>
  </si>
  <si>
    <t>Snow</t>
  </si>
  <si>
    <t>Soil</t>
  </si>
  <si>
    <t>Tissue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</si>
  <si>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</si>
  <si>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</si>
  <si>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</si>
  <si>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</si>
  <si>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</si>
  <si>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</si>
  <si>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</si>
  <si>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</si>
  <si>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</si>
  <si>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</si>
  <si>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</si>
  <si>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</si>
  <si>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</si>
  <si>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</si>
  <si>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Grab</t>
  </si>
  <si>
    <t>Individual sample</t>
  </si>
  <si>
    <t>Litter fall digestion</t>
  </si>
  <si>
    <t>Oriented core</t>
  </si>
  <si>
    <t>Petri dish (dry deposition)</t>
  </si>
  <si>
    <t>Precipitation bulk</t>
  </si>
  <si>
    <t>Rock powder</t>
  </si>
  <si>
    <t>Standard reference specimen</t>
  </si>
  <si>
    <t>Terrestrial section</t>
  </si>
  <si>
    <t>The specimen type is unknown</t>
  </si>
  <si>
    <t>Complete</t>
  </si>
  <si>
    <t>Ongoing</t>
  </si>
  <si>
    <t>Planned</t>
  </si>
  <si>
    <t>Biology</t>
  </si>
  <si>
    <t>Chemistry</t>
  </si>
  <si>
    <t>Climate</t>
  </si>
  <si>
    <t>Geology</t>
  </si>
  <si>
    <t>Hydrology</t>
  </si>
  <si>
    <t>Instrumentation</t>
  </si>
  <si>
    <t>Lithology</t>
  </si>
  <si>
    <t>Soil color</t>
  </si>
  <si>
    <t>Soil horizon</t>
  </si>
  <si>
    <t>Soil structure</t>
  </si>
  <si>
    <t>Soil texture</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</si>
  <si>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</si>
  <si>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</si>
  <si>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</si>
  <si>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</si>
  <si>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</si>
  <si>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</si>
  <si>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</si>
  <si>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</si>
  <si>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</si>
  <si>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</si>
  <si>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</si>
  <si>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</si>
  <si>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</si>
  <si>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</si>
  <si>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</si>
  <si>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</si>
  <si>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</si>
  <si>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</si>
  <si>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</si>
  <si>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</si>
  <si>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</si>
  <si>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</si>
  <si>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</si>
  <si>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</si>
  <si>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</si>
  <si>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</si>
  <si>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</si>
  <si>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</si>
  <si>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</si>
  <si>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</si>
  <si>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</si>
  <si>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</si>
  <si>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</si>
  <si>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</si>
  <si>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</si>
  <si>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</si>
  <si>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</si>
  <si>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</si>
  <si>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</si>
  <si>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</si>
  <si>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</si>
  <si>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</si>
  <si>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</si>
  <si>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</si>
  <si>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</si>
  <si>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</si>
  <si>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</si>
  <si>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</si>
  <si>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</si>
  <si>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</si>
  <si>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</si>
  <si>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</si>
  <si>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</si>
  <si>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</si>
  <si>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</si>
  <si>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</si>
  <si>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</si>
  <si>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</si>
  <si>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</si>
  <si>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</si>
  <si>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</si>
  <si>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</si>
  <si>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</si>
  <si>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</si>
  <si>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</si>
  <si>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</si>
  <si>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</si>
  <si>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</si>
  <si>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</si>
  <si>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</si>
  <si>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</si>
  <si>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</si>
  <si>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</si>
  <si>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</si>
  <si>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</si>
  <si>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</si>
  <si>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</si>
  <si>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</si>
  <si>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</si>
  <si>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</si>
  <si>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</si>
  <si>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</si>
  <si>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</si>
  <si>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</si>
  <si>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</si>
  <si>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</si>
  <si>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</si>
  <si>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</si>
  <si>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</si>
  <si>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</si>
  <si>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</si>
  <si>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</si>
  <si>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</si>
  <si>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</si>
  <si>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</si>
  <si>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</si>
  <si>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</si>
  <si>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</si>
  <si>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</si>
  <si>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</si>
  <si>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Area</t>
  </si>
  <si>
    <t>Color</t>
  </si>
  <si>
    <t>Electrical conductivity</t>
  </si>
  <si>
    <t>Mass</t>
  </si>
  <si>
    <t>Salinity</t>
  </si>
  <si>
    <t>Temperature</t>
  </si>
  <si>
    <t>Turbidity</t>
  </si>
  <si>
    <t>Biota</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</si>
  <si>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</si>
  <si>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</si>
  <si>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</si>
  <si>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</si>
  <si>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</si>
  <si>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</si>
  <si>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</si>
  <si>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</si>
  <si>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</si>
  <si>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</si>
  <si>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</si>
  <si>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</si>
  <si>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</si>
  <si>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Absorbed dose</t>
  </si>
  <si>
    <t>Absorbed dose rate</t>
  </si>
  <si>
    <t>Amount of Information</t>
  </si>
  <si>
    <t>Angle</t>
  </si>
  <si>
    <t>Angular acceleration</t>
  </si>
  <si>
    <t>Angular mass</t>
  </si>
  <si>
    <t>Angular momentum</t>
  </si>
  <si>
    <t>Angular velocity or frequency</t>
  </si>
  <si>
    <t>Area angle</t>
  </si>
  <si>
    <t>Area per length</t>
  </si>
  <si>
    <t>Area temperature</t>
  </si>
  <si>
    <t>Area thermal expansion</t>
  </si>
  <si>
    <t>Area time</t>
  </si>
  <si>
    <t>Area time temperature</t>
  </si>
  <si>
    <t>Biological activity</t>
  </si>
  <si>
    <t>Catalytic activity</t>
  </si>
  <si>
    <t>Dimensionless</t>
  </si>
  <si>
    <t>Concentration count per count</t>
  </si>
  <si>
    <t>Concentration count per mass</t>
  </si>
  <si>
    <t>Concentration count per volume</t>
  </si>
  <si>
    <t>Concentration or density mass per volume</t>
  </si>
  <si>
    <t>Concentration percent saturation</t>
  </si>
  <si>
    <t>Concentration volume per volume</t>
  </si>
  <si>
    <t>Count</t>
  </si>
  <si>
    <t>Count per area</t>
  </si>
  <si>
    <t>Count per length</t>
  </si>
  <si>
    <t>Currency</t>
  </si>
  <si>
    <t>Data rate</t>
  </si>
  <si>
    <t>Diffusivity</t>
  </si>
  <si>
    <t>Dose equivalent</t>
  </si>
  <si>
    <t>Dynamic viscosity</t>
  </si>
  <si>
    <t>Electrical capacitance</t>
  </si>
  <si>
    <t>Electrical charge</t>
  </si>
  <si>
    <t>Electrical charge line density</t>
  </si>
  <si>
    <t>Electrical charge per count</t>
  </si>
  <si>
    <t>Electrical charge per mass</t>
  </si>
  <si>
    <t>Electrical charge volume density</t>
  </si>
  <si>
    <t>Electrical conductance</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</si>
  <si>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</si>
  <si>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</si>
  <si>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</si>
  <si>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</si>
  <si>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</si>
  <si>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</si>
  <si>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</si>
  <si>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</si>
  <si>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</si>
  <si>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</si>
  <si>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Electrical resistance</t>
  </si>
  <si>
    <t>Electrical resistivity</t>
  </si>
  <si>
    <t>Electromotive force</t>
  </si>
  <si>
    <t>Energy</t>
  </si>
  <si>
    <t>Energy density</t>
  </si>
  <si>
    <t>Energy flux</t>
  </si>
  <si>
    <t>Energy per area</t>
  </si>
  <si>
    <t>Energy per area electrical charge</t>
  </si>
  <si>
    <t>Energy per square magnetic flux density</t>
  </si>
  <si>
    <t>Fluid permeance</t>
  </si>
  <si>
    <t>Fluid resistance</t>
  </si>
  <si>
    <t>Fluidity</t>
  </si>
  <si>
    <t>Fluorescence</t>
  </si>
  <si>
    <t>Force</t>
  </si>
  <si>
    <t>Force per length</t>
  </si>
  <si>
    <t>Frequency</t>
  </si>
  <si>
    <t>Gravitational attraction</t>
  </si>
  <si>
    <t>Heat capacity</t>
  </si>
  <si>
    <t>Heat transfer Coefficient</t>
  </si>
  <si>
    <t>Hyperpolarizability</t>
  </si>
  <si>
    <t>Illuminance</t>
  </si>
  <si>
    <t>Inductance</t>
  </si>
  <si>
    <t>Inverse count</t>
  </si>
  <si>
    <t>Inverse energy</t>
  </si>
  <si>
    <t>Inverse length</t>
  </si>
  <si>
    <t>Inverse length temperature</t>
  </si>
  <si>
    <t>Inverse magnetic flux</t>
  </si>
  <si>
    <t>Inverse permittivity</t>
  </si>
  <si>
    <t>Inverse square energy</t>
  </si>
  <si>
    <t>Inverse time temperature</t>
  </si>
  <si>
    <t>Inverse volume</t>
  </si>
  <si>
    <t>Jerk</t>
  </si>
  <si>
    <t>Length</t>
  </si>
  <si>
    <t>Length energy</t>
  </si>
  <si>
    <t>Length fraction</t>
  </si>
  <si>
    <t>Length integrated mass concentration</t>
  </si>
  <si>
    <t>Length mass</t>
  </si>
  <si>
    <t>Length molar energy</t>
  </si>
  <si>
    <t>Length per magnetic flux</t>
  </si>
  <si>
    <t>Length temperature</t>
  </si>
  <si>
    <t>Length temperature time</t>
  </si>
  <si>
    <t>Level</t>
  </si>
  <si>
    <t>Linear acceleration</t>
  </si>
  <si>
    <t>Linear energy transfer</t>
  </si>
  <si>
    <t>Linear momentum</t>
  </si>
  <si>
    <t>Linear thermal expansion</t>
  </si>
  <si>
    <t>Linear velocity</t>
  </si>
  <si>
    <t>Luminance</t>
  </si>
  <si>
    <t>Luminous efficacy</t>
  </si>
  <si>
    <t>Luminous Energy</t>
  </si>
  <si>
    <t>Luminous flux</t>
  </si>
  <si>
    <t>Luminous intensity</t>
  </si>
  <si>
    <t>Magnetic dipole moment</t>
  </si>
  <si>
    <t>Magnetic field strength</t>
  </si>
  <si>
    <t>Magnetic flux</t>
  </si>
  <si>
    <t>Magnetic flux density</t>
  </si>
  <si>
    <t>Magnetic flux per length</t>
  </si>
  <si>
    <t>Magnetic permeability</t>
  </si>
  <si>
    <t>Magnetomotive force</t>
  </si>
  <si>
    <t>Mass count</t>
  </si>
  <si>
    <t>Mass count temperature</t>
  </si>
  <si>
    <t>Mass flux</t>
  </si>
  <si>
    <t>Mass fraction</t>
  </si>
  <si>
    <t>Mass normalized particle loading</t>
  </si>
  <si>
    <t>Mass per area</t>
  </si>
  <si>
    <t>Mass per electrical charge</t>
  </si>
  <si>
    <t>Mass per length</t>
  </si>
  <si>
    <t>Mass per time</t>
  </si>
  <si>
    <t>Mass temperature</t>
  </si>
  <si>
    <t>Molar angular momentum</t>
  </si>
  <si>
    <t>Molar conductivity</t>
  </si>
  <si>
    <t>Molar energy</t>
  </si>
  <si>
    <t>Molar heat capacity</t>
  </si>
  <si>
    <t>Molar mass</t>
  </si>
  <si>
    <t>Molar volume</t>
  </si>
  <si>
    <t>Particle flux</t>
  </si>
  <si>
    <t>Particle loading</t>
  </si>
  <si>
    <t>Polarizability</t>
  </si>
  <si>
    <t>Potential vorticity</t>
  </si>
  <si>
    <t>Power</t>
  </si>
  <si>
    <t>Power area</t>
  </si>
  <si>
    <t>Power area per solid angle</t>
  </si>
  <si>
    <t>Power per area</t>
  </si>
  <si>
    <t>Power per area quartic temperature</t>
  </si>
  <si>
    <t>Power per electrical charge</t>
  </si>
  <si>
    <t>Pressure or stress</t>
  </si>
  <si>
    <t>Pressure or stress rate</t>
  </si>
  <si>
    <t>Quartic electrical dipole moment per cubic energy</t>
  </si>
  <si>
    <t>Radiance</t>
  </si>
  <si>
    <t>Radiant Intensity</t>
  </si>
  <si>
    <t>Radioactivity</t>
  </si>
  <si>
    <t>Radioactivity per volume</t>
  </si>
  <si>
    <t>Satellite resolution</t>
  </si>
  <si>
    <t>Snap</t>
  </si>
  <si>
    <t>Solid angle</t>
  </si>
  <si>
    <t>Specific energy</t>
  </si>
  <si>
    <t>Specific heat capacity</t>
  </si>
  <si>
    <t>Specific heat pressure</t>
  </si>
  <si>
    <t>Specific heat volume</t>
  </si>
  <si>
    <t>Specific radioactivity</t>
  </si>
  <si>
    <t>Specific surface area</t>
  </si>
  <si>
    <t>Specific volume</t>
  </si>
  <si>
    <t>Stable isotope delta</t>
  </si>
  <si>
    <t>Standard gravitational parameter</t>
  </si>
  <si>
    <t>Temperature count</t>
  </si>
  <si>
    <t>Temperature per magnetic flux density</t>
  </si>
  <si>
    <t>Temperature per time</t>
  </si>
  <si>
    <t>Thermal conductivity</t>
  </si>
  <si>
    <t>Thermal insulance</t>
  </si>
  <si>
    <t>Thermal resistance</t>
  </si>
  <si>
    <t>Thermal resistivity</t>
  </si>
  <si>
    <t>Thrust to mass ratio</t>
  </si>
  <si>
    <t>Time</t>
  </si>
  <si>
    <t>Time squared</t>
  </si>
  <si>
    <t>Torque</t>
  </si>
  <si>
    <t>Volume thermal expansion</t>
  </si>
  <si>
    <t>Volumetric flow rate</t>
  </si>
  <si>
    <t>Volumetric flux</t>
  </si>
  <si>
    <t>Volumetric heat capacity</t>
  </si>
  <si>
    <t>Volumetric productivity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</si>
</sst>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409]m/d/yy\ h:mm\ AM/PM;@"/>
    <numFmt numFmtId="165" formatCode="yyyy\-mm\-dd"/>
  </numFmts>
  <fonts count="20">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font>
    <font>
      <b/>
      <i/>
      <u/>
      <sz val="11"/>
      <color theme="1"/>
      <name val="Calibri (Body)"/>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67">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s>
  <cellStyleXfs count="2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196">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43" xfId="0" applyFont="1" applyBorder="1" applyProtection="1"/>
    <xf numFmtId="0" fontId="10" fillId="0" borderId="44"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7" xfId="0" applyFont="1" applyFill="1" applyBorder="1" applyProtection="1"/>
    <xf numFmtId="0" fontId="10" fillId="0" borderId="35" xfId="0" applyFont="1" applyFill="1" applyBorder="1" applyProtection="1"/>
    <xf numFmtId="0" fontId="10" fillId="0" borderId="36" xfId="0" applyFont="1" applyFill="1" applyBorder="1" applyProtection="1"/>
    <xf numFmtId="0" fontId="10" fillId="0" borderId="44"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32" xfId="0" applyFill="1" applyBorder="1" applyProtection="1">
      <protection locked="0"/>
    </xf>
    <xf numFmtId="0" fontId="0" fillId="3" borderId="32" xfId="0" applyFill="1" applyBorder="1" applyProtection="1">
      <protection locked="0"/>
    </xf>
    <xf numFmtId="0" fontId="1" fillId="0" borderId="41"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8" xfId="0" applyFill="1" applyBorder="1" applyProtection="1">
      <protection locked="0"/>
    </xf>
    <xf numFmtId="0" fontId="0" fillId="3" borderId="39" xfId="0" applyFill="1" applyBorder="1" applyProtection="1">
      <protection locked="0"/>
    </xf>
    <xf numFmtId="0" fontId="0" fillId="3" borderId="40"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2" xfId="0" applyFont="1" applyFill="1" applyBorder="1" applyProtection="1"/>
    <xf numFmtId="0" fontId="10" fillId="0" borderId="43"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45" xfId="0" applyFill="1" applyBorder="1"/>
    <xf numFmtId="0" fontId="0" fillId="3" borderId="46" xfId="0" applyFill="1" applyBorder="1"/>
    <xf numFmtId="0" fontId="0" fillId="3" borderId="1" xfId="0" applyFill="1" applyBorder="1"/>
    <xf numFmtId="0" fontId="0" fillId="3" borderId="2" xfId="0" applyFill="1" applyBorder="1"/>
    <xf numFmtId="0" fontId="0" fillId="3" borderId="3" xfId="0" applyFill="1" applyBorder="1"/>
    <xf numFmtId="0" fontId="0" fillId="2" borderId="47" xfId="0" applyFill="1" applyBorder="1"/>
    <xf numFmtId="0" fontId="0" fillId="3" borderId="47"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47" xfId="0" applyFill="1" applyBorder="1" applyProtection="1">
      <protection locked="0"/>
    </xf>
    <xf numFmtId="0" fontId="0" fillId="3" borderId="47"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46"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47" xfId="0" applyFont="1" applyFill="1" applyBorder="1" applyProtection="1"/>
    <xf numFmtId="0" fontId="10" fillId="0" borderId="46"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54" xfId="0" applyFill="1" applyBorder="1" applyProtection="1">
      <protection locked="0"/>
    </xf>
    <xf numFmtId="0" fontId="0" fillId="3" borderId="47"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57" xfId="0" applyFont="1" applyBorder="1" applyProtection="1"/>
    <xf numFmtId="0" fontId="6" fillId="0" borderId="57"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2" fillId="0" borderId="0" xfId="0" applyFont="1" applyAlignment="1">
      <alignment wrapText="1"/>
    </xf>
    <xf numFmtId="0" fontId="13"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57" xfId="0" applyFont="1" applyBorder="1" applyAlignment="1" applyProtection="1">
      <alignment wrapText="1"/>
    </xf>
    <xf numFmtId="0" fontId="6" fillId="0" borderId="58" xfId="0" applyFont="1" applyBorder="1" applyAlignment="1" applyProtection="1">
      <alignment wrapText="1"/>
    </xf>
    <xf numFmtId="0" fontId="6" fillId="0" borderId="58" xfId="0" applyFont="1" applyBorder="1" applyProtection="1"/>
    <xf numFmtId="0" fontId="6" fillId="0" borderId="59" xfId="0" applyFont="1" applyBorder="1" applyProtection="1"/>
    <xf numFmtId="0" fontId="0" fillId="3" borderId="21" xfId="0" applyFont="1" applyFill="1" applyBorder="1" applyProtection="1">
      <protection locked="0"/>
    </xf>
    <xf numFmtId="0" fontId="0" fillId="3" borderId="62" xfId="0" applyFont="1" applyFill="1" applyBorder="1" applyProtection="1">
      <protection locked="0"/>
    </xf>
    <xf numFmtId="0" fontId="16" fillId="0" borderId="64" xfId="0" applyFont="1" applyFill="1" applyBorder="1" applyProtection="1"/>
    <xf numFmtId="0" fontId="15" fillId="4" borderId="63" xfId="0" applyFont="1" applyFill="1" applyBorder="1" applyProtection="1"/>
    <xf numFmtId="0" fontId="15" fillId="4" borderId="61" xfId="0" applyFont="1" applyFill="1" applyBorder="1" applyProtection="1"/>
    <xf numFmtId="0" fontId="15" fillId="4" borderId="66" xfId="0" applyFont="1" applyFill="1" applyBorder="1" applyProtection="1"/>
    <xf numFmtId="0" fontId="0" fillId="3" borderId="1" xfId="0" applyFill="1" applyBorder="1" applyProtection="1">
      <protection locked="0"/>
    </xf>
    <xf numFmtId="0" fontId="0" fillId="3" borderId="3" xfId="0" applyFill="1" applyBorder="1" applyProtection="1">
      <protection locked="0"/>
    </xf>
    <xf numFmtId="0" fontId="0" fillId="3" borderId="60" xfId="0" applyFill="1" applyBorder="1" applyAlignment="1" applyProtection="1">
      <alignment wrapText="1"/>
      <protection locked="0"/>
    </xf>
    <xf numFmtId="0" fontId="0" fillId="3" borderId="60" xfId="0" applyFill="1" applyBorder="1" applyProtection="1">
      <protection locked="0"/>
    </xf>
    <xf numFmtId="0" fontId="0" fillId="3" borderId="65" xfId="0" applyFont="1" applyFill="1" applyBorder="1" applyProtection="1">
      <protection locked="0"/>
    </xf>
    <xf numFmtId="0" fontId="0" fillId="3" borderId="60" xfId="0" applyFont="1" applyFill="1" applyBorder="1" applyProtection="1">
      <protection locked="0"/>
    </xf>
    <xf numFmtId="164" fontId="13"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11" fontId="0" fillId="3" borderId="1" xfId="0" applyNumberFormat="1" applyFill="1" applyBorder="1" applyProtection="1">
      <protection locked="0"/>
    </xf>
    <xf numFmtId="0" fontId="10" fillId="0" borderId="0" xfId="0" applyFont="1" applyFill="1" applyBorder="1" applyProtection="1"/>
    <xf numFmtId="0" fontId="0" fillId="3" borderId="20" xfId="3" applyFont="1" applyFill="1" applyBorder="1" applyAlignment="1" applyProtection="1">
      <alignment wrapText="1"/>
      <protection locked="0"/>
    </xf>
    <xf numFmtId="165" fontId="0" fillId="2" borderId="9" xfId="0" applyNumberFormat="1"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48" xfId="0" applyFont="1" applyBorder="1" applyAlignment="1" applyProtection="1">
      <alignment horizontal="center"/>
      <protection locked="0"/>
    </xf>
    <xf numFmtId="0" fontId="1" fillId="0" borderId="49" xfId="0" applyFont="1" applyBorder="1" applyAlignment="1" applyProtection="1">
      <alignment horizontal="center"/>
      <protection locked="0"/>
    </xf>
    <xf numFmtId="0" fontId="1" fillId="0" borderId="50"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48" xfId="0" applyFont="1" applyBorder="1" applyAlignment="1" applyProtection="1">
      <alignment horizontal="center"/>
    </xf>
    <xf numFmtId="0" fontId="1" fillId="0" borderId="49" xfId="0" applyFont="1" applyBorder="1" applyAlignment="1" applyProtection="1">
      <alignment horizontal="center"/>
    </xf>
    <xf numFmtId="0" fontId="1" fillId="0" borderId="50" xfId="0" applyFont="1" applyBorder="1" applyAlignment="1" applyProtection="1">
      <alignment horizontal="center"/>
    </xf>
    <xf numFmtId="0" fontId="1" fillId="0" borderId="51" xfId="0" applyFont="1" applyBorder="1" applyAlignment="1">
      <alignment horizontal="center"/>
    </xf>
    <xf numFmtId="0" fontId="1" fillId="0" borderId="52" xfId="0" applyFont="1" applyBorder="1" applyAlignment="1">
      <alignment horizontal="center"/>
    </xf>
    <xf numFmtId="0" fontId="1" fillId="0" borderId="53" xfId="0" applyFont="1" applyBorder="1" applyAlignment="1">
      <alignment horizontal="center"/>
    </xf>
    <xf numFmtId="0" fontId="1" fillId="0" borderId="48" xfId="0" applyFont="1" applyBorder="1" applyAlignment="1">
      <alignment horizontal="center"/>
    </xf>
    <xf numFmtId="0" fontId="1" fillId="0" borderId="49" xfId="0" applyFont="1" applyBorder="1" applyAlignment="1">
      <alignment horizontal="center"/>
    </xf>
    <xf numFmtId="0" fontId="1" fillId="0" borderId="50" xfId="0" applyFont="1" applyBorder="1" applyAlignment="1">
      <alignment horizontal="center"/>
    </xf>
  </cellXfs>
  <cellStyles count="2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s>
  <dxfs count="203">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numFmt numFmtId="165" formatCode="yyyy\-mm\-dd"/>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6543675</xdr:colOff>
          <xdr:row>4</xdr:row>
          <xdr:rowOff>38100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4905375</xdr:colOff>
          <xdr:row>2</xdr:row>
          <xdr:rowOff>66675</xdr:rowOff>
        </xdr:from>
        <xdr:to>
          <xdr:col>3</xdr:col>
          <xdr:colOff>228600</xdr:colOff>
          <xdr:row>4</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904875</xdr:colOff>
          <xdr:row>4</xdr:row>
          <xdr:rowOff>152400</xdr:rowOff>
        </xdr:from>
        <xdr:to>
          <xdr:col>5</xdr:col>
          <xdr:colOff>142875</xdr:colOff>
          <xdr:row>6</xdr:row>
          <xdr:rowOff>142875</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1209675</xdr:colOff>
          <xdr:row>0</xdr:row>
          <xdr:rowOff>161925</xdr:rowOff>
        </xdr:from>
        <xdr:to>
          <xdr:col>7</xdr:col>
          <xdr:colOff>257175</xdr:colOff>
          <xdr:row>2</xdr:row>
          <xdr:rowOff>161925</xdr:rowOff>
        </xdr:to>
        <xdr:sp macro="" textlink="">
          <xdr:nvSpPr>
            <xdr:cNvPr id="35851" name="Button 11" hidden="1">
              <a:extLst>
                <a:ext uri="{63B3BB69-23CF-44E3-9099-C40C66FF867C}">
                  <a14:compatExt spid="_x0000_s358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88" dataDxfId="186" headerRowBorderDxfId="187" tableBorderDxfId="185">
  <tableColumns count="5">
    <tableColumn id="1" name="Organization Type [CV]" dataDxfId="184"/>
    <tableColumn id="2" name="Organization Code" dataDxfId="183"/>
    <tableColumn id="3" name="Organization Name" dataDxfId="182"/>
    <tableColumn id="4" name="Organization Description" dataDxfId="181"/>
    <tableColumn id="5" name="Organization Link" dataDxfId="180"/>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J33" totalsRowShown="0" headerRowDxfId="179" dataDxfId="177" headerRowBorderDxfId="178" tableBorderDxfId="176">
  <tableColumns count="10">
    <tableColumn id="1" name="First Name" dataDxfId="175"/>
    <tableColumn id="2" name="Middle Name" dataDxfId="174"/>
    <tableColumn id="3" name="Last Name" dataDxfId="173"/>
    <tableColumn id="5" name="Organization Name" dataDxfId="172"/>
    <tableColumn id="4" name="Affiliation Start Date" dataDxfId="171"/>
    <tableColumn id="6" name="Primary Email" dataDxfId="170"/>
    <tableColumn id="7" name="Primary Address" dataDxfId="169"/>
    <tableColumn id="10" name="Person OrcID" dataDxfId="168"/>
    <tableColumn id="8" name="Full Name" dataDxfId="167">
      <calculatedColumnFormula>CONCATENATE(People[[#This Row],[First Name]]," ",People[[#This Row],[Middle Name]]," ",People[[#This Row],[Last Name]])</calculatedColumnFormula>
    </tableColumn>
    <tableColumn id="9" name="ExternalIDNum" dataDxfId="166">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59" dataDxfId="157" headerRowBorderDxfId="158" tableBorderDxfId="156">
  <tableColumns count="2">
    <tableColumn id="1" name="Author Number" dataDxfId="155">
      <calculatedColumnFormula>IF(AuthorList[[#This Row],[Author Name]]&lt;&gt;"",MAX(INDIRECT(CONCATENATE("R",ROW(AuthorList[#Headers]),"C",COLUMN(),":R",ROW()-1,"C",COLUMN()),FALSE))+1,"")</calculatedColumnFormula>
    </tableColumn>
    <tableColumn id="2" name="Author Name" dataDxfId="154"/>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M61" totalsRowShown="0" headerRowDxfId="131" dataDxfId="129" headerRowBorderDxfId="130" tableBorderDxfId="128">
  <tableColumns count="13">
    <tableColumn id="1" name="Sampling Feature UUID" dataDxfId="127"/>
    <tableColumn id="2" name="Sampling Feature Type" dataDxfId="126"/>
    <tableColumn id="3" name="Feature Geo Type" dataDxfId="125"/>
    <tableColumn id="4" name="Feature Code" dataDxfId="124"/>
    <tableColumn id="5" name="Feature Name" dataDxfId="123"/>
    <tableColumn id="6" name="Feature Description" dataDxfId="122"/>
    <tableColumn id="7" name="Feature Geometry" dataDxfId="121"/>
    <tableColumn id="8" name="Elevation_m" dataDxfId="120"/>
    <tableColumn id="9" name="Feature IGSN" dataDxfId="119"/>
    <tableColumn id="11" name="SiteID" dataDxfId="118">
      <calculatedColumnFormula>IF(SamplingFeatures[[#This Row],[Sampling Feature Type]]="Site",MAX(INDIRECT(CONCATENATE("R",ROW(SamplingFeatures[#Headers]),"C",COLUMN(),":R",ROW()-1,"C",COLUMN()),FALSE))+1,"")</calculatedColumnFormula>
    </tableColumn>
    <tableColumn id="12" name="Site Type" dataDxfId="117"/>
    <tableColumn id="13" name="Latitude" dataDxfId="116"/>
    <tableColumn id="14" name="Longitude" dataDxfId="115"/>
  </tableColumns>
  <tableStyleInfo name="TableStyleMedium2" showFirstColumn="0" showLastColumn="0" showRowStripes="1" showColumnStripes="0"/>
</table>
</file>

<file path=xl/tables/table5.xml><?xml version="1.0" encoding="utf-8"?>
<table xmlns="http://schemas.openxmlformats.org/spreadsheetml/2006/main" id="10" name="Methods" displayName="Methods" ref="A9:F30" totalsRowShown="0" headerRowDxfId="110" dataDxfId="108" headerRowBorderDxfId="109" tableBorderDxfId="107">
  <tableColumns count="6">
    <tableColumn id="1" name="Method Type" dataDxfId="106"/>
    <tableColumn id="2" name="Method Code" dataDxfId="105"/>
    <tableColumn id="3" name="Method Name" dataDxfId="104"/>
    <tableColumn id="4" name="Method Description" dataDxfId="103"/>
    <tableColumn id="5" name="Method Link" dataDxfId="102"/>
    <tableColumn id="6" name="Organization Name" dataDxfId="101"/>
  </tableColumns>
  <tableStyleInfo name="TableStyleMedium2" showFirstColumn="0" showLastColumn="0" showRowStripes="1" showColumnStripes="0"/>
</table>
</file>

<file path=xl/tables/table6.xml><?xml version="1.0" encoding="utf-8"?>
<table xmlns="http://schemas.openxmlformats.org/spreadsheetml/2006/main" id="11" name="Variables" displayName="Variables" ref="A8:F27" totalsRowShown="0" headerRowDxfId="88" dataDxfId="86" headerRowBorderDxfId="87" tableBorderDxfId="85">
  <tableColumns count="6">
    <tableColumn id="1" name="Variable Type" dataDxfId="84"/>
    <tableColumn id="2" name="Variable Code" dataDxfId="83"/>
    <tableColumn id="3" name="Variable Name" dataDxfId="82"/>
    <tableColumn id="4" name="Variable Definition" dataDxfId="81"/>
    <tableColumn id="5" name="Speciation" dataDxfId="80"/>
    <tableColumn id="6" name="No Data Value" dataDxfId="79"/>
  </tableColumns>
  <tableStyleInfo name="TableStyleMedium2" showFirstColumn="0" showLastColumn="0" showRowStripes="1" showColumnStripes="0"/>
</table>
</file>

<file path=xl/tables/table7.xml><?xml version="1.0" encoding="utf-8"?>
<table xmlns="http://schemas.openxmlformats.org/spreadsheetml/2006/main" id="13" name="ProcessingLevels" displayName="ProcessingLevels" ref="A9:C27" totalsRowShown="0" headerRowDxfId="75" dataDxfId="73" headerRowBorderDxfId="74" tableBorderDxfId="72">
  <tableColumns count="3">
    <tableColumn id="1" name="Processing Level Code" dataDxfId="71"/>
    <tableColumn id="2" name="Definition" dataDxfId="70"/>
    <tableColumn id="3" name="Explanation" dataDxfId="69"/>
  </tableColumns>
  <tableStyleInfo name="TableStyleMedium2" showFirstColumn="0" showLastColumn="0" showRowStripes="1" showColumnStripes="0"/>
</table>
</file>

<file path=xl/tables/table8.xml><?xml version="1.0" encoding="utf-8"?>
<table xmlns="http://schemas.openxmlformats.org/spreadsheetml/2006/main" id="6" name="Units" displayName="Units" ref="A11:D50" totalsRowShown="0" dataDxfId="64" tableBorderDxfId="63">
  <autoFilter ref="A11:D50"/>
  <tableColumns count="4">
    <tableColumn id="1" name="Units Type" dataDxfId="62"/>
    <tableColumn id="2" name="Units Abbreviation " dataDxfId="61"/>
    <tableColumn id="3" name="Units Name" dataDxfId="60"/>
    <tableColumn id="4" name="Units Link" dataDxfId="59"/>
  </tableColumns>
  <tableStyleInfo name="TableStyleMedium2" showFirstColumn="0" showLastColumn="0" showRowStripes="1" showColumnStripes="0"/>
</table>
</file>

<file path=xl/tables/table9.xml><?xml version="1.0" encoding="utf-8"?>
<table xmlns="http://schemas.openxmlformats.org/spreadsheetml/2006/main" id="12" name="DataColumns" displayName="DataColumns" ref="A10:P97" totalsRowShown="0" headerRowDxfId="43" dataDxfId="41" headerRowBorderDxfId="42" tableBorderDxfId="40">
  <tableColumns count="16">
    <tableColumn id="1" name="Col #" dataDxfId="39">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38"/>
    <tableColumn id="3" name="ResultUUID" dataDxfId="37"/>
    <tableColumn id="4" name="Sampling Feature Code" dataDxfId="36"/>
    <tableColumn id="5" name="Method Code" dataDxfId="35"/>
    <tableColumn id="10" name="Data Collector" dataDxfId="34"/>
    <tableColumn id="6" name="Result Type" dataDxfId="33"/>
    <tableColumn id="7" name="Variable Code" dataDxfId="32"/>
    <tableColumn id="8" name="Unit Name" dataDxfId="31"/>
    <tableColumn id="9" name="Processing Level" dataDxfId="30"/>
    <tableColumn id="11" name="Sampled Medium" dataDxfId="29"/>
    <tableColumn id="12" name="Time Aggregation Interval" dataDxfId="28"/>
    <tableColumn id="13" name="Time Aggregation Unit" dataDxfId="27"/>
    <tableColumn id="14" name="Aggregation Statistic" dataDxfId="26"/>
    <tableColumn id="15" name="Censor Code" dataDxfId="25"/>
    <tableColumn id="16" name="Quality Code" dataDxfId="24"/>
  </tableColumns>
  <tableStyleInfo name="TableStyleMedium2" showFirstColumn="0" showLastColumn="0" showRowStripes="1" showColumnStripes="0"/>
</table>
</file>

<file path=xl/tables/table10.xml><?xml version="1.0" encoding="utf-8"?>
<table xmlns="http://schemas.openxmlformats.org/spreadsheetml/2006/main" id="1" name="ControlledVocabularies" displayName="ControlledVocabularies" ref="A1:AE804" totalsRowShown="0" headerRowDxfId="23">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1.xml><?xml version="1.0" encoding="utf-8"?>
<table xmlns="http://schemas.openxmlformats.org/spreadsheetml/2006/main" id="8" name="SpatialReferences" displayName="SpatialReferences" ref="A4:D8" totalsRowShown="0" headerRowDxfId="22" headerRowBorderDxfId="21" tableBorderDxfId="20">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2.xml><?xml version="1.0" encoding="utf-8"?>
<table xmlns="http://schemas.openxmlformats.org/spreadsheetml/2006/main" id="16" name="ExternalIdentifiers" displayName="ExternalIdentifiers" ref="A17:E20" totalsRowShown="0" headerRowDxfId="15" headerRowBorderDxfId="14" tableBorderDxfId="13">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3.xml><?xml version="1.0" encoding="utf-8"?>
<table xmlns="http://schemas.openxmlformats.org/spreadsheetml/2006/main" id="17" name="ExternalIDOrgs" displayName="ExternalIDOrgs" ref="A4:E7" totalsRowShown="0" headerRowDxfId="7" headerRowBorderDxfId="6" tableBorderDxfId="5">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2.v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2.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3.xml"/><Relationship Id="rId5" Type="http://schemas.openxmlformats.org/officeDocument/2006/relationships/comments" Target="../comments3.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6.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4.xml"/><Relationship Id="rId5" Type="http://schemas.openxmlformats.org/officeDocument/2006/relationships/comments" Target="../comments5.xml"/><Relationship Id="rId4"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0.xml"/><Relationship Id="rId1"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5" Type="http://schemas.openxmlformats.org/officeDocument/2006/relationships/hyperlink" Target="http://www.doi.org/index.html" TargetMode="External"/><Relationship Id="rId10" Type="http://schemas.openxmlformats.org/officeDocument/2006/relationships/table" Target="../tables/table13.xml"/><Relationship Id="rId4" Type="http://schemas.openxmlformats.org/officeDocument/2006/relationships/hyperlink" Target="http://orcid.org/" TargetMode="External"/><Relationship Id="rId9"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52"/>
  <sheetViews>
    <sheetView tabSelected="1" workbookViewId="0"/>
  </sheetViews>
  <sheetFormatPr defaultColWidth="9.140625" defaultRowHeight="15"/>
  <cols>
    <col min="1" max="1" width="115.140625" style="73" customWidth="1"/>
  </cols>
  <sheetData>
    <row r="1" spans="1:1" s="4" customFormat="1" ht="18.75">
      <c r="A1" s="130" t="s">
        <v>158</v>
      </c>
    </row>
    <row r="2" spans="1:1" s="4" customFormat="1" ht="18.75">
      <c r="A2" s="131" t="s">
        <v>197</v>
      </c>
    </row>
    <row r="3" spans="1:1" s="4" customFormat="1" ht="18.75">
      <c r="A3" s="130" t="s">
        <v>156</v>
      </c>
    </row>
    <row r="4" spans="1:1" s="4" customFormat="1" ht="18.75">
      <c r="A4" s="131" t="s">
        <v>157</v>
      </c>
    </row>
    <row r="5" spans="1:1" s="4" customFormat="1" ht="18.75">
      <c r="A5" s="130" t="s">
        <v>155</v>
      </c>
    </row>
    <row r="6" spans="1:1" s="4" customFormat="1" ht="18.75">
      <c r="A6" s="131" t="s">
        <v>271</v>
      </c>
    </row>
    <row r="7" spans="1:1" s="4" customFormat="1" ht="18.75">
      <c r="A7" s="130" t="s">
        <v>213</v>
      </c>
    </row>
    <row r="8" spans="1:1" s="4" customFormat="1" ht="18.75">
      <c r="A8" s="158">
        <v>42453.710428240738</v>
      </c>
    </row>
    <row r="9" spans="1:1" s="4" customFormat="1">
      <c r="A9" s="73"/>
    </row>
    <row r="10" spans="1:1" ht="18.75">
      <c r="A10" s="130" t="s">
        <v>87</v>
      </c>
    </row>
    <row r="11" spans="1:1" s="4" customFormat="1" ht="30">
      <c r="A11" s="73" t="s">
        <v>99</v>
      </c>
    </row>
    <row r="12" spans="1:1" s="4" customFormat="1">
      <c r="A12" s="73"/>
    </row>
    <row r="13" spans="1:1" ht="18.75">
      <c r="A13" s="130" t="s">
        <v>86</v>
      </c>
    </row>
    <row r="14" spans="1:1" s="4" customFormat="1">
      <c r="A14" s="132" t="s">
        <v>183</v>
      </c>
    </row>
    <row r="15" spans="1:1" s="4" customFormat="1">
      <c r="A15" s="133" t="s">
        <v>272</v>
      </c>
    </row>
    <row r="16" spans="1:1" s="4" customFormat="1">
      <c r="A16" s="133" t="s">
        <v>186</v>
      </c>
    </row>
    <row r="17" spans="1:1" s="4" customFormat="1" ht="60">
      <c r="A17" s="133" t="s">
        <v>241</v>
      </c>
    </row>
    <row r="18" spans="1:1" s="4" customFormat="1">
      <c r="A18" s="134" t="s">
        <v>184</v>
      </c>
    </row>
    <row r="19" spans="1:1" s="4" customFormat="1" ht="30">
      <c r="A19" s="133" t="s">
        <v>185</v>
      </c>
    </row>
    <row r="20" spans="1:1" s="4" customFormat="1" ht="30">
      <c r="A20" s="133" t="s">
        <v>273</v>
      </c>
    </row>
    <row r="21" spans="1:1" s="4" customFormat="1">
      <c r="A21" s="133" t="s">
        <v>187</v>
      </c>
    </row>
    <row r="22" spans="1:1" s="4" customFormat="1">
      <c r="A22" s="133" t="s">
        <v>188</v>
      </c>
    </row>
    <row r="23" spans="1:1" s="4" customFormat="1" ht="30">
      <c r="A23" s="133" t="s">
        <v>189</v>
      </c>
    </row>
    <row r="24" spans="1:1" s="4" customFormat="1" ht="30">
      <c r="A24" s="133" t="s">
        <v>261</v>
      </c>
    </row>
    <row r="25" spans="1:1" s="4" customFormat="1" ht="30">
      <c r="A25" s="133" t="s">
        <v>195</v>
      </c>
    </row>
    <row r="26" spans="1:1" s="4" customFormat="1">
      <c r="A26" s="134" t="s">
        <v>190</v>
      </c>
    </row>
    <row r="27" spans="1:1" s="4" customFormat="1">
      <c r="A27" s="133" t="s">
        <v>191</v>
      </c>
    </row>
    <row r="28" spans="1:1" s="4" customFormat="1">
      <c r="A28" s="133" t="s">
        <v>262</v>
      </c>
    </row>
    <row r="29" spans="1:1" s="4" customFormat="1" ht="30">
      <c r="A29" s="133" t="s">
        <v>263</v>
      </c>
    </row>
    <row r="30" spans="1:1" s="4" customFormat="1" ht="30">
      <c r="A30" s="133" t="s">
        <v>192</v>
      </c>
    </row>
    <row r="31" spans="1:1" s="4" customFormat="1" ht="30">
      <c r="A31" s="133" t="s">
        <v>193</v>
      </c>
    </row>
    <row r="32" spans="1:1" s="4" customFormat="1" ht="30">
      <c r="A32" s="133" t="s">
        <v>274</v>
      </c>
    </row>
    <row r="33" spans="1:1" s="4" customFormat="1" ht="30">
      <c r="A33" s="133" t="s">
        <v>194</v>
      </c>
    </row>
    <row r="34" spans="1:1" s="4" customFormat="1">
      <c r="A34" s="133"/>
    </row>
    <row r="35" spans="1:1" ht="18.75">
      <c r="A35" s="130" t="s">
        <v>88</v>
      </c>
    </row>
    <row r="36" spans="1:1" ht="30">
      <c r="A36" s="73" t="s">
        <v>275</v>
      </c>
    </row>
    <row r="37" spans="1:1" s="4" customFormat="1">
      <c r="A37" s="73" t="s">
        <v>101</v>
      </c>
    </row>
    <row r="38" spans="1:1" s="4" customFormat="1">
      <c r="A38" s="73" t="s">
        <v>102</v>
      </c>
    </row>
    <row r="39" spans="1:1">
      <c r="A39" s="73" t="s">
        <v>103</v>
      </c>
    </row>
    <row r="40" spans="1:1">
      <c r="A40" s="73" t="s">
        <v>276</v>
      </c>
    </row>
    <row r="41" spans="1:1">
      <c r="A41" s="73" t="s">
        <v>100</v>
      </c>
    </row>
    <row r="42" spans="1:1" ht="30">
      <c r="A42" s="73" t="s">
        <v>264</v>
      </c>
    </row>
    <row r="43" spans="1:1">
      <c r="A43" s="73" t="s">
        <v>104</v>
      </c>
    </row>
    <row r="44" spans="1:1">
      <c r="A44" s="73" t="s">
        <v>105</v>
      </c>
    </row>
    <row r="45" spans="1:1">
      <c r="A45" s="73" t="s">
        <v>106</v>
      </c>
    </row>
    <row r="46" spans="1:1" ht="30">
      <c r="A46" s="73" t="s">
        <v>277</v>
      </c>
    </row>
    <row r="47" spans="1:1" ht="30">
      <c r="A47" s="135" t="s">
        <v>278</v>
      </c>
    </row>
    <row r="48" spans="1:1" ht="30">
      <c r="A48" s="73" t="s">
        <v>107</v>
      </c>
    </row>
    <row r="50" spans="1:1" ht="18.75">
      <c r="A50" s="130" t="s">
        <v>181</v>
      </c>
    </row>
    <row r="51" spans="1:1" ht="30">
      <c r="A51" s="73" t="s">
        <v>196</v>
      </c>
    </row>
    <row r="52" spans="1:1">
      <c r="A52" s="73" t="s">
        <v>182</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6543675</xdr:colOff>
                    <xdr:row>4</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33"/>
  <sheetViews>
    <sheetView workbookViewId="0">
      <selection activeCell="G4" sqref="G4:H6"/>
    </sheetView>
  </sheetViews>
  <sheetFormatPr defaultColWidth="8.85546875" defaultRowHeight="15"/>
  <cols>
    <col min="1" max="1" width="24" style="5" bestFit="1" customWidth="1"/>
    <col min="2" max="2" width="20" style="5" customWidth="1"/>
    <col min="3" max="3" width="19.85546875" style="5" bestFit="1" customWidth="1"/>
    <col min="4" max="4" width="24.42578125" style="5" customWidth="1"/>
    <col min="5" max="5" width="22.85546875" style="5" customWidth="1"/>
    <col min="6" max="6" width="53.85546875" style="5" customWidth="1"/>
    <col min="7" max="7" width="19.42578125" style="5" bestFit="1" customWidth="1"/>
    <col min="8" max="8" width="23.140625" style="37" bestFit="1" customWidth="1"/>
    <col min="9" max="9" width="4" style="37" customWidth="1"/>
    <col min="10" max="16384" width="8.85546875" style="5"/>
  </cols>
  <sheetData>
    <row r="1" spans="1:9">
      <c r="A1" s="23" t="s">
        <v>167</v>
      </c>
    </row>
    <row r="2" spans="1:9">
      <c r="A2" s="5" t="s">
        <v>164</v>
      </c>
    </row>
    <row r="3" spans="1:9" ht="15.75" thickBot="1">
      <c r="A3" s="23" t="s">
        <v>163</v>
      </c>
    </row>
    <row r="4" spans="1:9" ht="15.75" thickBot="1">
      <c r="A4" s="23" t="s">
        <v>165</v>
      </c>
      <c r="G4" s="24" t="s">
        <v>94</v>
      </c>
      <c r="H4" s="45">
        <f>COUNTA(OrganizationNames)</f>
        <v>0</v>
      </c>
    </row>
    <row r="5" spans="1:9" ht="15.75" thickBot="1">
      <c r="A5" s="23" t="s">
        <v>65</v>
      </c>
      <c r="G5" s="24" t="s">
        <v>95</v>
      </c>
      <c r="H5" s="45">
        <f>COUNTA(People[Last Name])</f>
        <v>0</v>
      </c>
    </row>
    <row r="6" spans="1:9" ht="15.75" thickBot="1">
      <c r="G6" s="24" t="s">
        <v>151</v>
      </c>
      <c r="H6" s="45">
        <f ca="1">MAX(People[ExternalIDNum])</f>
        <v>0</v>
      </c>
    </row>
    <row r="7" spans="1:9" ht="15.75" thickBot="1">
      <c r="A7" s="165" t="s">
        <v>38</v>
      </c>
      <c r="B7" s="166"/>
      <c r="C7" s="166"/>
      <c r="D7" s="166"/>
      <c r="E7" s="167"/>
    </row>
    <row r="8" spans="1:9" ht="15.75" thickBot="1">
      <c r="A8" s="122" t="s">
        <v>39</v>
      </c>
      <c r="B8" s="123" t="s">
        <v>40</v>
      </c>
      <c r="C8" s="123" t="s">
        <v>12</v>
      </c>
      <c r="D8" s="124" t="s">
        <v>41</v>
      </c>
      <c r="E8" s="125" t="s">
        <v>42</v>
      </c>
      <c r="I8" s="5"/>
    </row>
    <row r="9" spans="1:9" ht="15.75" thickTop="1">
      <c r="A9" s="98"/>
      <c r="B9" s="14"/>
      <c r="C9" s="14"/>
      <c r="D9" s="39"/>
      <c r="E9" s="99"/>
      <c r="I9" s="5"/>
    </row>
    <row r="10" spans="1:9">
      <c r="A10" s="92"/>
      <c r="B10" s="7"/>
      <c r="C10" s="7"/>
      <c r="D10" s="8"/>
      <c r="E10" s="93"/>
      <c r="G10" s="37"/>
      <c r="I10" s="5"/>
    </row>
    <row r="11" spans="1:9">
      <c r="A11" s="92"/>
      <c r="B11" s="7"/>
      <c r="C11" s="7"/>
      <c r="D11" s="8"/>
      <c r="E11" s="115"/>
      <c r="G11" s="37"/>
      <c r="I11" s="5"/>
    </row>
    <row r="12" spans="1:9">
      <c r="A12" s="92"/>
      <c r="B12" s="7"/>
      <c r="C12" s="7"/>
      <c r="D12" s="8"/>
      <c r="E12" s="115"/>
      <c r="G12" s="37"/>
      <c r="I12" s="5"/>
    </row>
    <row r="13" spans="1:9">
      <c r="A13" s="92"/>
      <c r="B13" s="7"/>
      <c r="C13" s="7"/>
      <c r="D13" s="8"/>
      <c r="E13" s="115"/>
      <c r="G13" s="37"/>
      <c r="I13" s="5"/>
    </row>
    <row r="14" spans="1:9">
      <c r="A14" s="92"/>
      <c r="B14" s="7"/>
      <c r="C14" s="7"/>
      <c r="D14" s="8"/>
      <c r="E14" s="115"/>
      <c r="G14" s="37"/>
      <c r="I14" s="5"/>
    </row>
    <row r="15" spans="1:9">
      <c r="A15" s="92"/>
      <c r="B15" s="7"/>
      <c r="C15" s="7"/>
      <c r="D15" s="8"/>
      <c r="E15" s="115"/>
      <c r="G15" s="37"/>
      <c r="I15" s="5"/>
    </row>
    <row r="16" spans="1:9">
      <c r="A16" s="92"/>
      <c r="B16" s="7"/>
      <c r="C16" s="7"/>
      <c r="D16" s="8"/>
      <c r="E16" s="115"/>
      <c r="G16" s="37"/>
      <c r="I16" s="5"/>
    </row>
    <row r="17" spans="1:10">
      <c r="A17" s="92"/>
      <c r="B17" s="7"/>
      <c r="C17" s="7"/>
      <c r="D17" s="8"/>
      <c r="E17" s="115"/>
      <c r="G17" s="37"/>
      <c r="I17" s="5"/>
    </row>
    <row r="18" spans="1:10" ht="15.75" thickBot="1">
      <c r="A18" s="94"/>
      <c r="B18" s="95"/>
      <c r="C18" s="95"/>
      <c r="D18" s="96"/>
      <c r="E18" s="116"/>
      <c r="G18" s="37"/>
      <c r="I18" s="5"/>
    </row>
    <row r="19" spans="1:10">
      <c r="H19" s="5"/>
      <c r="I19" s="5"/>
    </row>
    <row r="20" spans="1:10">
      <c r="H20" s="5"/>
      <c r="I20" s="5"/>
    </row>
    <row r="21" spans="1:10" ht="15.75" thickBot="1">
      <c r="H21" s="5"/>
      <c r="I21" s="5"/>
    </row>
    <row r="22" spans="1:10">
      <c r="A22" s="168" t="s">
        <v>37</v>
      </c>
      <c r="B22" s="169"/>
      <c r="C22" s="169"/>
      <c r="D22" s="169"/>
      <c r="E22" s="169"/>
      <c r="F22" s="169"/>
      <c r="G22" s="169"/>
      <c r="H22" s="169"/>
      <c r="I22" s="170"/>
    </row>
    <row r="23" spans="1:10" ht="15.75" thickBot="1">
      <c r="A23" s="50" t="s">
        <v>8</v>
      </c>
      <c r="B23" s="52" t="s">
        <v>9</v>
      </c>
      <c r="C23" s="48" t="s">
        <v>10</v>
      </c>
      <c r="D23" s="48" t="s">
        <v>12</v>
      </c>
      <c r="E23" s="48" t="s">
        <v>260</v>
      </c>
      <c r="F23" s="48" t="s">
        <v>11</v>
      </c>
      <c r="G23" s="49" t="s">
        <v>47</v>
      </c>
      <c r="H23" s="53" t="s">
        <v>132</v>
      </c>
      <c r="I23" s="26" t="s">
        <v>63</v>
      </c>
      <c r="J23" s="26" t="s">
        <v>150</v>
      </c>
    </row>
    <row r="24" spans="1:10" ht="15.75" thickTop="1">
      <c r="A24" s="13"/>
      <c r="B24" s="15"/>
      <c r="C24" s="14"/>
      <c r="D24" s="7"/>
      <c r="E24" s="164"/>
      <c r="F24" s="16"/>
      <c r="G24" s="17"/>
      <c r="H24" s="15"/>
      <c r="I24" s="110" t="str">
        <f>CONCATENATE(People[[#This Row],[First Name]]," ",People[[#This Row],[Middle Name]]," ",People[[#This Row],[Last Name]])</f>
        <v xml:space="preserve">  </v>
      </c>
      <c r="J24" s="112" t="str">
        <f ca="1">IF(People[[#This Row],[Person OrcID]]&lt;&gt;"",MAX(INDIRECT(CONCATENATE("R",ROW(People[#Headers]),"C",COLUMN(),":R",ROW()-1,"C",COLUMN()),FALSE))+1,"")</f>
        <v/>
      </c>
    </row>
    <row r="25" spans="1:10">
      <c r="A25" s="6"/>
      <c r="B25" s="18"/>
      <c r="C25" s="7"/>
      <c r="D25" s="7"/>
      <c r="E25" s="164"/>
      <c r="F25" s="19"/>
      <c r="G25" s="163"/>
      <c r="H25" s="18"/>
      <c r="I25" s="109" t="str">
        <f>CONCATENATE(People[[#This Row],[First Name]]," ",People[[#This Row],[Middle Name]]," ",People[[#This Row],[Last Name]])</f>
        <v xml:space="preserve">  </v>
      </c>
      <c r="J25" s="113" t="str">
        <f ca="1">IF(People[[#This Row],[Person OrcID]]&lt;&gt;"",MAX(INDIRECT(CONCATENATE("R",ROW(People[#Headers]),"C",COLUMN(),":R",ROW()-1,"C",COLUMN()),FALSE))+1,"")</f>
        <v/>
      </c>
    </row>
    <row r="26" spans="1:10">
      <c r="A26" s="6"/>
      <c r="B26" s="18"/>
      <c r="C26" s="7"/>
      <c r="D26" s="7"/>
      <c r="E26" s="164"/>
      <c r="F26" s="19"/>
      <c r="G26" s="108"/>
      <c r="H26" s="18"/>
      <c r="I26" s="109" t="str">
        <f>CONCATENATE(People[[#This Row],[First Name]]," ",People[[#This Row],[Middle Name]]," ",People[[#This Row],[Last Name]])</f>
        <v xml:space="preserve">  </v>
      </c>
      <c r="J26" s="113" t="str">
        <f ca="1">IF(People[[#This Row],[Person OrcID]]&lt;&gt;"",MAX(INDIRECT(CONCATENATE("R",ROW(People[#Headers]),"C",COLUMN(),":R",ROW()-1,"C",COLUMN()),FALSE))+1,"")</f>
        <v/>
      </c>
    </row>
    <row r="27" spans="1:10">
      <c r="A27" s="6"/>
      <c r="B27" s="18"/>
      <c r="C27" s="7"/>
      <c r="D27" s="7"/>
      <c r="E27" s="164"/>
      <c r="F27" s="19"/>
      <c r="G27" s="108"/>
      <c r="H27" s="18"/>
      <c r="I27" s="109" t="str">
        <f>CONCATENATE(People[[#This Row],[First Name]]," ",People[[#This Row],[Middle Name]]," ",People[[#This Row],[Last Name]])</f>
        <v xml:space="preserve">  </v>
      </c>
      <c r="J27" s="113" t="str">
        <f ca="1">IF(People[[#This Row],[Person OrcID]]&lt;&gt;"",MAX(INDIRECT(CONCATENATE("R",ROW(People[#Headers]),"C",COLUMN(),":R",ROW()-1,"C",COLUMN()),FALSE))+1,"")</f>
        <v/>
      </c>
    </row>
    <row r="28" spans="1:10">
      <c r="A28" s="6"/>
      <c r="B28" s="18"/>
      <c r="C28" s="7"/>
      <c r="D28" s="7"/>
      <c r="E28" s="164"/>
      <c r="F28" s="19"/>
      <c r="G28" s="20"/>
      <c r="H28" s="18"/>
      <c r="I28" s="109" t="str">
        <f>CONCATENATE(People[[#This Row],[First Name]]," ",People[[#This Row],[Middle Name]]," ",People[[#This Row],[Last Name]])</f>
        <v xml:space="preserve">  </v>
      </c>
      <c r="J28" s="113" t="str">
        <f ca="1">IF(People[[#This Row],[Person OrcID]]&lt;&gt;"",MAX(INDIRECT(CONCATENATE("R",ROW(People[#Headers]),"C",COLUMN(),":R",ROW()-1,"C",COLUMN()),FALSE))+1,"")</f>
        <v/>
      </c>
    </row>
    <row r="29" spans="1:10">
      <c r="A29" s="6"/>
      <c r="B29" s="18"/>
      <c r="C29" s="7"/>
      <c r="D29" s="7"/>
      <c r="E29" s="164"/>
      <c r="F29" s="7"/>
      <c r="G29" s="20"/>
      <c r="H29" s="18"/>
      <c r="I29" s="109" t="str">
        <f>CONCATENATE(People[[#This Row],[First Name]]," ",People[[#This Row],[Middle Name]]," ",People[[#This Row],[Last Name]])</f>
        <v xml:space="preserve">  </v>
      </c>
      <c r="J29" s="113" t="str">
        <f ca="1">IF(People[[#This Row],[Person OrcID]]&lt;&gt;"",MAX(INDIRECT(CONCATENATE("R",ROW(People[#Headers]),"C",COLUMN(),":R",ROW()-1,"C",COLUMN()),FALSE))+1,"")</f>
        <v/>
      </c>
    </row>
    <row r="30" spans="1:10">
      <c r="A30" s="6"/>
      <c r="B30" s="18"/>
      <c r="C30" s="7"/>
      <c r="D30" s="7"/>
      <c r="E30" s="164"/>
      <c r="F30" s="7"/>
      <c r="G30" s="20"/>
      <c r="H30" s="18"/>
      <c r="I30" s="109" t="str">
        <f>CONCATENATE(People[[#This Row],[First Name]]," ",People[[#This Row],[Middle Name]]," ",People[[#This Row],[Last Name]])</f>
        <v xml:space="preserve">  </v>
      </c>
      <c r="J30" s="113" t="str">
        <f ca="1">IF(People[[#This Row],[Person OrcID]]&lt;&gt;"",MAX(INDIRECT(CONCATENATE("R",ROW(People[#Headers]),"C",COLUMN(),":R",ROW()-1,"C",COLUMN()),FALSE))+1,"")</f>
        <v/>
      </c>
    </row>
    <row r="31" spans="1:10">
      <c r="A31" s="6"/>
      <c r="B31" s="18"/>
      <c r="C31" s="7"/>
      <c r="D31" s="7"/>
      <c r="E31" s="164"/>
      <c r="F31" s="7"/>
      <c r="G31" s="20"/>
      <c r="H31" s="18"/>
      <c r="I31" s="109" t="str">
        <f>CONCATENATE(People[[#This Row],[First Name]]," ",People[[#This Row],[Middle Name]]," ",People[[#This Row],[Last Name]])</f>
        <v xml:space="preserve">  </v>
      </c>
      <c r="J31" s="113" t="str">
        <f ca="1">IF(People[[#This Row],[Person OrcID]]&lt;&gt;"",MAX(INDIRECT(CONCATENATE("R",ROW(People[#Headers]),"C",COLUMN(),":R",ROW()-1,"C",COLUMN()),FALSE))+1,"")</f>
        <v/>
      </c>
    </row>
    <row r="32" spans="1:10">
      <c r="A32" s="6"/>
      <c r="B32" s="18"/>
      <c r="C32" s="7"/>
      <c r="D32" s="7"/>
      <c r="E32" s="164"/>
      <c r="F32" s="7"/>
      <c r="G32" s="20"/>
      <c r="H32" s="18"/>
      <c r="I32" s="109" t="str">
        <f>CONCATENATE(People[[#This Row],[First Name]]," ",People[[#This Row],[Middle Name]]," ",People[[#This Row],[Last Name]])</f>
        <v xml:space="preserve">  </v>
      </c>
      <c r="J32" s="113" t="str">
        <f ca="1">IF(People[[#This Row],[Person OrcID]]&lt;&gt;"",MAX(INDIRECT(CONCATENATE("R",ROW(People[#Headers]),"C",COLUMN(),":R",ROW()-1,"C",COLUMN()),FALSE))+1,"")</f>
        <v/>
      </c>
    </row>
    <row r="33" spans="1:10" ht="15.75" thickBot="1">
      <c r="A33" s="10"/>
      <c r="B33" s="21"/>
      <c r="C33" s="11"/>
      <c r="D33" s="11"/>
      <c r="E33" s="164"/>
      <c r="F33" s="11"/>
      <c r="G33" s="22"/>
      <c r="H33" s="21"/>
      <c r="I33" s="111" t="str">
        <f>CONCATENATE(People[[#This Row],[First Name]]," ",People[[#This Row],[Middle Name]]," ",People[[#This Row],[Last Name]])</f>
        <v xml:space="preserve">  </v>
      </c>
      <c r="J33" s="114"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1:A18">
    <cfRule type="expression" dxfId="202" priority="16">
      <formula>AND(COUNTIF(OrganizationTypeCV,$A11)=0,$A11&lt;&gt;"")</formula>
    </cfRule>
  </conditionalFormatting>
  <conditionalFormatting sqref="A11:C18">
    <cfRule type="expression" dxfId="201" priority="15">
      <formula>AND(COUNTA($A11:$E11)&gt;0,A11="")</formula>
    </cfRule>
  </conditionalFormatting>
  <conditionalFormatting sqref="D27:D33 E24:E33">
    <cfRule type="expression" dxfId="200" priority="14">
      <formula>AND(COUNTIF(OrganizationNames,$D24)=0,D24&lt;&gt;"")</formula>
    </cfRule>
  </conditionalFormatting>
  <conditionalFormatting sqref="A11:E18">
    <cfRule type="expression" dxfId="199" priority="12">
      <formula>AND(COUNTA($A10:$E10)=0,A11&lt;&gt;"")</formula>
    </cfRule>
  </conditionalFormatting>
  <conditionalFormatting sqref="C11:C18">
    <cfRule type="duplicateValues" dxfId="198" priority="10"/>
  </conditionalFormatting>
  <conditionalFormatting sqref="H27:H33">
    <cfRule type="duplicateValues" dxfId="197" priority="9"/>
  </conditionalFormatting>
  <conditionalFormatting sqref="A9:A10">
    <cfRule type="expression" dxfId="196" priority="8">
      <formula>AND(COUNTIF(OrganizationTypeCV,$A9)=0,$A9&lt;&gt;"")</formula>
    </cfRule>
  </conditionalFormatting>
  <conditionalFormatting sqref="A9:C10">
    <cfRule type="expression" dxfId="195" priority="7">
      <formula>AND(COUNTA($A9:$E9)&gt;0,A9="")</formula>
    </cfRule>
  </conditionalFormatting>
  <conditionalFormatting sqref="A10:E10">
    <cfRule type="expression" dxfId="194" priority="6">
      <formula>AND(COUNTA($A9:$E9)=0,A10&lt;&gt;"")</formula>
    </cfRule>
  </conditionalFormatting>
  <conditionalFormatting sqref="C9:C10">
    <cfRule type="duplicateValues" dxfId="193" priority="5"/>
  </conditionalFormatting>
  <conditionalFormatting sqref="D24:D26">
    <cfRule type="expression" dxfId="192" priority="4">
      <formula>AND(COUNTIF(OrganizationNames,$D24)=0,D24&lt;&gt;"")</formula>
    </cfRule>
  </conditionalFormatting>
  <conditionalFormatting sqref="H24:H26">
    <cfRule type="duplicateValues" dxfId="191" priority="1"/>
  </conditionalFormatting>
  <conditionalFormatting sqref="A24:A33 C24:F33">
    <cfRule type="expression" dxfId="190" priority="28">
      <formula>AND(COUNTA($A24:$H24)&gt;0,A24="")</formula>
    </cfRule>
  </conditionalFormatting>
  <conditionalFormatting sqref="E24 A25:H33">
    <cfRule type="expression" dxfId="189" priority="31">
      <formula>AND(COUNTA($A23:$H23)=0,A24&lt;&gt;"")</formula>
    </cfRule>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legacyDrawing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2"/>
  <sheetViews>
    <sheetView workbookViewId="0">
      <selection activeCell="B7" sqref="B7"/>
    </sheetView>
  </sheetViews>
  <sheetFormatPr defaultColWidth="8.85546875" defaultRowHeight="15"/>
  <cols>
    <col min="1" max="1" width="27.85546875" style="5" customWidth="1"/>
    <col min="2" max="2" width="90" style="5" customWidth="1"/>
    <col min="3" max="3" width="17.85546875" style="5" customWidth="1"/>
    <col min="4" max="4" width="20.7109375" style="5" customWidth="1"/>
    <col min="5" max="5" width="22.85546875" style="5" customWidth="1"/>
    <col min="6" max="16384" width="8.85546875" style="5"/>
  </cols>
  <sheetData>
    <row r="1" spans="1:9">
      <c r="A1" s="23" t="s">
        <v>166</v>
      </c>
    </row>
    <row r="2" spans="1:9">
      <c r="A2" s="23" t="s">
        <v>163</v>
      </c>
      <c r="H2" s="37"/>
      <c r="I2" s="37"/>
    </row>
    <row r="3" spans="1:9">
      <c r="A3" s="23" t="s">
        <v>162</v>
      </c>
    </row>
    <row r="4" spans="1:9">
      <c r="A4" s="23" t="s">
        <v>265</v>
      </c>
    </row>
    <row r="5" spans="1:9" ht="15.75" thickBot="1"/>
    <row r="6" spans="1:9" ht="15.75" thickBot="1">
      <c r="A6" s="171" t="s">
        <v>159</v>
      </c>
      <c r="B6" s="172"/>
    </row>
    <row r="7" spans="1:9" ht="15.75" thickTop="1">
      <c r="A7" s="33" t="s">
        <v>0</v>
      </c>
      <c r="B7" s="120"/>
    </row>
    <row r="8" spans="1:9">
      <c r="A8" s="34" t="s">
        <v>3</v>
      </c>
      <c r="B8" s="28"/>
    </row>
    <row r="9" spans="1:9">
      <c r="A9" s="34" t="s">
        <v>2</v>
      </c>
      <c r="B9" s="28"/>
    </row>
    <row r="10" spans="1:9">
      <c r="A10" s="34" t="s">
        <v>1</v>
      </c>
      <c r="B10" s="28"/>
    </row>
    <row r="11" spans="1:9" ht="15.75" thickBot="1">
      <c r="A11" s="36" t="s">
        <v>4</v>
      </c>
      <c r="B11" s="121"/>
    </row>
    <row r="12" spans="1:9" customFormat="1" ht="15.75" thickBot="1"/>
    <row r="13" spans="1:9" customFormat="1" ht="15.75" thickBot="1">
      <c r="A13" s="173" t="s">
        <v>161</v>
      </c>
      <c r="B13" s="174"/>
    </row>
    <row r="14" spans="1:9" ht="15.75" thickTop="1">
      <c r="A14" s="33" t="s">
        <v>49</v>
      </c>
      <c r="B14" s="120"/>
    </row>
    <row r="15" spans="1:9">
      <c r="A15" s="35" t="s">
        <v>46</v>
      </c>
      <c r="B15" s="115"/>
      <c r="D15" s="29"/>
    </row>
    <row r="16" spans="1:9">
      <c r="A16" s="35" t="s">
        <v>44</v>
      </c>
      <c r="B16" s="115"/>
    </row>
    <row r="17" spans="1:5">
      <c r="A17" s="35" t="s">
        <v>6</v>
      </c>
      <c r="B17" s="115"/>
    </row>
    <row r="18" spans="1:5">
      <c r="A18" s="35" t="s">
        <v>48</v>
      </c>
      <c r="B18" s="115"/>
    </row>
    <row r="19" spans="1:5" ht="15.75" thickBot="1">
      <c r="A19" s="36" t="s">
        <v>5</v>
      </c>
      <c r="B19" s="97"/>
      <c r="D19" s="29"/>
    </row>
    <row r="20" spans="1:5" ht="15.75" thickBot="1"/>
    <row r="21" spans="1:5" ht="15.75" thickBot="1">
      <c r="A21" s="168" t="s">
        <v>160</v>
      </c>
      <c r="B21" s="170"/>
      <c r="C21" s="31"/>
      <c r="D21" s="32"/>
      <c r="E21" s="32"/>
    </row>
    <row r="22" spans="1:5" ht="15.75" thickBot="1">
      <c r="A22" s="50" t="s">
        <v>45</v>
      </c>
      <c r="B22" s="51" t="s">
        <v>64</v>
      </c>
      <c r="D22" s="24" t="s">
        <v>93</v>
      </c>
      <c r="E22" s="25">
        <f>COUNTA(AuthorList[Author Name])</f>
        <v>0</v>
      </c>
    </row>
    <row r="23" spans="1:5" ht="15.75" thickTop="1">
      <c r="A23" s="127" t="str">
        <f ca="1">IF(AuthorList[[#This Row],[Author Name]]&lt;&gt;"",MAX(INDIRECT(CONCATENATE("R",ROW(AuthorList[#Headers]),"C",COLUMN(),":R",ROW()-1,"C",COLUMN()),FALSE))+1,"")</f>
        <v/>
      </c>
      <c r="B23" s="40"/>
    </row>
    <row r="24" spans="1:5">
      <c r="A24" s="128" t="str">
        <f ca="1">IF(AuthorList[[#This Row],[Author Name]]&lt;&gt;"",MAX(INDIRECT(CONCATENATE("R",ROW(AuthorList[#Headers]),"C",COLUMN(),":R",ROW()-1,"C",COLUMN()),FALSE))+1,"")</f>
        <v/>
      </c>
      <c r="B24" s="9"/>
    </row>
    <row r="25" spans="1:5">
      <c r="A25" s="128" t="str">
        <f ca="1">IF(AuthorList[[#This Row],[Author Name]]&lt;&gt;"",MAX(INDIRECT(CONCATENATE("R",ROW(AuthorList[#Headers]),"C",COLUMN(),":R",ROW()-1,"C",COLUMN()),FALSE))+1,"")</f>
        <v/>
      </c>
      <c r="B25" s="9"/>
    </row>
    <row r="26" spans="1:5">
      <c r="A26" s="128" t="str">
        <f ca="1">IF(AuthorList[[#This Row],[Author Name]]&lt;&gt;"",MAX(INDIRECT(CONCATENATE("R",ROW(AuthorList[#Headers]),"C",COLUMN(),":R",ROW()-1,"C",COLUMN()),FALSE))+1,"")</f>
        <v/>
      </c>
      <c r="B26" s="9"/>
    </row>
    <row r="27" spans="1:5">
      <c r="A27" s="128" t="str">
        <f ca="1">IF(AuthorList[[#This Row],[Author Name]]&lt;&gt;"",MAX(INDIRECT(CONCATENATE("R",ROW(AuthorList[#Headers]),"C",COLUMN(),":R",ROW()-1,"C",COLUMN()),FALSE))+1,"")</f>
        <v/>
      </c>
      <c r="B27" s="9"/>
    </row>
    <row r="28" spans="1:5">
      <c r="A28" s="128" t="str">
        <f ca="1">IF(AuthorList[[#This Row],[Author Name]]&lt;&gt;"",MAX(INDIRECT(CONCATENATE("R",ROW(AuthorList[#Headers]),"C",COLUMN(),":R",ROW()-1,"C",COLUMN()),FALSE))+1,"")</f>
        <v/>
      </c>
      <c r="B28" s="9"/>
    </row>
    <row r="29" spans="1:5">
      <c r="A29" s="128" t="str">
        <f ca="1">IF(AuthorList[[#This Row],[Author Name]]&lt;&gt;"",MAX(INDIRECT(CONCATENATE("R",ROW(AuthorList[#Headers]),"C",COLUMN(),":R",ROW()-1,"C",COLUMN()),FALSE))+1,"")</f>
        <v/>
      </c>
      <c r="B29" s="9"/>
    </row>
    <row r="30" spans="1:5">
      <c r="A30" s="128" t="str">
        <f ca="1">IF(AuthorList[[#This Row],[Author Name]]&lt;&gt;"",MAX(INDIRECT(CONCATENATE("R",ROW(AuthorList[#Headers]),"C",COLUMN(),":R",ROW()-1,"C",COLUMN()),FALSE))+1,"")</f>
        <v/>
      </c>
      <c r="B30" s="9"/>
    </row>
    <row r="31" spans="1:5">
      <c r="A31" s="128" t="str">
        <f ca="1">IF(AuthorList[[#This Row],[Author Name]]&lt;&gt;"",MAX(INDIRECT(CONCATENATE("R",ROW(AuthorList[#Headers]),"C",COLUMN(),":R",ROW()-1,"C",COLUMN()),FALSE))+1,"")</f>
        <v/>
      </c>
      <c r="B31" s="9"/>
    </row>
    <row r="32" spans="1:5">
      <c r="A32" s="129" t="str">
        <f ca="1">IF(AuthorList[[#This Row],[Author Name]]&lt;&gt;"",MAX(INDIRECT(CONCATENATE("R",ROW(AuthorList[#Headers]),"C",COLUMN(),":R",ROW()-1,"C",COLUMN()),FALSE))+1,"")</f>
        <v/>
      </c>
      <c r="B32" s="12"/>
    </row>
  </sheetData>
  <sheetProtection formatColumns="0" insertRows="0" insertHyperlinks="0" deleteRows="0"/>
  <mergeCells count="3">
    <mergeCell ref="A6:B6"/>
    <mergeCell ref="A21:B21"/>
    <mergeCell ref="A13:B13"/>
  </mergeCells>
  <conditionalFormatting sqref="B14:B17 B23">
    <cfRule type="expression" dxfId="165" priority="6">
      <formula>AND(COUNTA(CitationInformation)&gt;0,$B14="")</formula>
    </cfRule>
    <cfRule type="expression" dxfId="164" priority="8">
      <formula>COUNTA(CitationInformation)&gt;0</formula>
    </cfRule>
  </conditionalFormatting>
  <conditionalFormatting sqref="A14:A17 A23">
    <cfRule type="expression" dxfId="163" priority="7">
      <formula>COUNTA(CitationInformation)&gt;0</formula>
    </cfRule>
  </conditionalFormatting>
  <conditionalFormatting sqref="B23:B32">
    <cfRule type="expression" dxfId="162" priority="3">
      <formula>AND(COUNTIF(PeopleNames,$B23)=0,$B23&lt;&gt;"")</formula>
    </cfRule>
  </conditionalFormatting>
  <conditionalFormatting sqref="B8:B10">
    <cfRule type="expression" dxfId="161" priority="2">
      <formula>AND(COUNTA($B$7:$B$11)&gt;0,$B8="")</formula>
    </cfRule>
  </conditionalFormatting>
  <conditionalFormatting sqref="B8">
    <cfRule type="expression" dxfId="160"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4905375</xdr:colOff>
                    <xdr:row>2</xdr:row>
                    <xdr:rowOff>66675</xdr:rowOff>
                  </from>
                  <to>
                    <xdr:col>3</xdr:col>
                    <xdr:colOff>228600</xdr:colOff>
                    <xdr:row>4</xdr:row>
                    <xdr:rowOff>66675</xdr:rowOff>
                  </to>
                </anchor>
              </controlPr>
            </control>
          </mc:Choice>
        </mc:AlternateContent>
      </controls>
    </mc:Choice>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61"/>
  <sheetViews>
    <sheetView workbookViewId="0">
      <selection activeCell="A12" sqref="A12:D12"/>
    </sheetView>
  </sheetViews>
  <sheetFormatPr defaultColWidth="8.85546875" defaultRowHeight="15"/>
  <cols>
    <col min="1" max="1" width="35.28515625" style="5" customWidth="1"/>
    <col min="2" max="2" width="21.85546875" style="5" customWidth="1"/>
    <col min="3" max="3" width="17.42578125" style="5" customWidth="1"/>
    <col min="4" max="4" width="14.28515625" style="5" customWidth="1"/>
    <col min="5" max="5" width="22.42578125" style="5" bestFit="1" customWidth="1"/>
    <col min="6" max="6" width="22.42578125" style="5" customWidth="1"/>
    <col min="7" max="7" width="18.42578125" style="5" customWidth="1"/>
    <col min="8" max="8" width="13.42578125" style="5" customWidth="1"/>
    <col min="9" max="9" width="15.42578125" style="37" bestFit="1" customWidth="1"/>
    <col min="10" max="10" width="3.7109375" style="5" customWidth="1"/>
    <col min="11" max="11" width="12.7109375" style="5" bestFit="1" customWidth="1"/>
    <col min="12" max="12" width="12.140625" style="37" bestFit="1" customWidth="1"/>
    <col min="13" max="13" width="12.140625" style="38" bestFit="1" customWidth="1"/>
    <col min="14" max="16384" width="8.85546875" style="5"/>
  </cols>
  <sheetData>
    <row r="1" spans="1:13" s="23" customFormat="1">
      <c r="A1" s="23" t="s">
        <v>266</v>
      </c>
      <c r="I1" s="136"/>
      <c r="L1" s="136"/>
      <c r="M1" s="137"/>
    </row>
    <row r="2" spans="1:13" s="23" customFormat="1">
      <c r="A2" s="23" t="s">
        <v>170</v>
      </c>
      <c r="H2" s="136"/>
      <c r="I2" s="136"/>
    </row>
    <row r="3" spans="1:13" s="23" customFormat="1">
      <c r="A3" s="23" t="s">
        <v>163</v>
      </c>
      <c r="H3" s="136"/>
      <c r="I3" s="136"/>
    </row>
    <row r="4" spans="1:13" s="23" customFormat="1">
      <c r="A4" s="23" t="s">
        <v>168</v>
      </c>
      <c r="I4" s="136"/>
      <c r="L4" s="136"/>
      <c r="M4" s="137"/>
    </row>
    <row r="5" spans="1:13" s="23" customFormat="1">
      <c r="A5" s="23" t="s">
        <v>61</v>
      </c>
      <c r="I5" s="136"/>
      <c r="L5" s="136"/>
      <c r="M5" s="137"/>
    </row>
    <row r="6" spans="1:13" s="23" customFormat="1" ht="15.75" thickBot="1">
      <c r="I6" s="136"/>
      <c r="L6" s="136"/>
      <c r="M6" s="137"/>
    </row>
    <row r="7" spans="1:13" s="23" customFormat="1" ht="15.75" thickBot="1">
      <c r="A7" s="175" t="s">
        <v>21</v>
      </c>
      <c r="B7" s="176"/>
      <c r="I7" s="136"/>
      <c r="L7" s="136"/>
      <c r="M7" s="137"/>
    </row>
    <row r="8" spans="1:13" s="23" customFormat="1" ht="16.5" thickTop="1" thickBot="1">
      <c r="A8" s="46" t="s">
        <v>18</v>
      </c>
      <c r="B8" s="138"/>
      <c r="D8" s="23" t="s">
        <v>60</v>
      </c>
      <c r="H8" s="24" t="s">
        <v>92</v>
      </c>
      <c r="I8" s="45">
        <f>COUNTA(SamplingFeatures[Feature Code])</f>
        <v>0</v>
      </c>
      <c r="K8" s="24" t="s">
        <v>91</v>
      </c>
      <c r="L8" s="45">
        <f ca="1">MAX(SamplingFeatures[SiteID])</f>
        <v>0</v>
      </c>
      <c r="M8" s="137"/>
    </row>
    <row r="9" spans="1:13" s="23" customFormat="1" ht="15.75" thickBot="1">
      <c r="A9" s="47" t="s">
        <v>20</v>
      </c>
      <c r="B9" s="139"/>
      <c r="D9" s="23" t="s">
        <v>152</v>
      </c>
      <c r="H9" s="126"/>
      <c r="I9" s="162"/>
      <c r="L9" s="136"/>
      <c r="M9" s="137"/>
    </row>
    <row r="10" spans="1:13" s="23" customFormat="1" ht="15.75" thickBot="1">
      <c r="I10" s="136"/>
      <c r="J10" s="177" t="s">
        <v>169</v>
      </c>
      <c r="K10" s="177"/>
      <c r="L10" s="177"/>
      <c r="M10" s="177"/>
    </row>
    <row r="11" spans="1:13" s="23" customFormat="1" ht="15.75" thickBot="1">
      <c r="A11" s="141" t="s">
        <v>13</v>
      </c>
      <c r="B11" s="123" t="s">
        <v>14</v>
      </c>
      <c r="C11" s="123" t="s">
        <v>19</v>
      </c>
      <c r="D11" s="123" t="s">
        <v>54</v>
      </c>
      <c r="E11" s="142" t="s">
        <v>52</v>
      </c>
      <c r="F11" s="143" t="s">
        <v>53</v>
      </c>
      <c r="G11" s="144" t="s">
        <v>55</v>
      </c>
      <c r="H11" s="144" t="s">
        <v>17</v>
      </c>
      <c r="I11" s="145" t="s">
        <v>85</v>
      </c>
      <c r="J11" s="148" t="s">
        <v>72</v>
      </c>
      <c r="K11" s="149" t="s">
        <v>50</v>
      </c>
      <c r="L11" s="150" t="s">
        <v>15</v>
      </c>
      <c r="M11" s="151" t="s">
        <v>16</v>
      </c>
    </row>
    <row r="12" spans="1:13" ht="15.75" thickTop="1">
      <c r="A12" s="152"/>
      <c r="B12" s="7"/>
      <c r="C12" s="7"/>
      <c r="D12" s="7"/>
      <c r="E12" s="8"/>
      <c r="F12" s="41"/>
      <c r="G12" s="9"/>
      <c r="H12" s="9"/>
      <c r="I12" s="9"/>
      <c r="J12" s="112" t="str">
        <f ca="1">IF(SamplingFeatures[[#This Row],[Sampling Feature Type]]="Site",MAX(INDIRECT(CONCATENATE("R",ROW(SamplingFeatures[#Headers]),"C",COLUMN(),":R",ROW()-1,"C",COLUMN()),FALSE))+1,"")</f>
        <v/>
      </c>
      <c r="K12" s="147"/>
      <c r="L12" s="146"/>
      <c r="M12" s="146"/>
    </row>
    <row r="13" spans="1:13">
      <c r="A13" s="152"/>
      <c r="B13" s="7"/>
      <c r="C13" s="7"/>
      <c r="D13" s="7"/>
      <c r="E13" s="8"/>
      <c r="F13" s="41"/>
      <c r="G13" s="9"/>
      <c r="H13" s="9"/>
      <c r="I13" s="9"/>
      <c r="J13" s="113" t="str">
        <f ca="1">IF(SamplingFeatures[[#This Row],[Sampling Feature Type]]="Site",MAX(INDIRECT(CONCATENATE("R",ROW(SamplingFeatures[#Headers]),"C",COLUMN(),":R",ROW()-1,"C",COLUMN()),FALSE))+1,"")</f>
        <v/>
      </c>
      <c r="K13" s="147"/>
      <c r="L13" s="146"/>
      <c r="M13" s="146"/>
    </row>
    <row r="14" spans="1:13">
      <c r="A14" s="152"/>
      <c r="B14" s="7"/>
      <c r="C14" s="7"/>
      <c r="D14" s="7"/>
      <c r="E14" s="8"/>
      <c r="F14" s="41"/>
      <c r="G14" s="9"/>
      <c r="H14" s="9"/>
      <c r="I14" s="9"/>
      <c r="J14" s="113" t="str">
        <f ca="1">IF(SamplingFeatures[[#This Row],[Sampling Feature Type]]="Site",MAX(INDIRECT(CONCATENATE("R",ROW(SamplingFeatures[#Headers]),"C",COLUMN(),":R",ROW()-1,"C",COLUMN()),FALSE))+1,"")</f>
        <v/>
      </c>
      <c r="K14" s="147"/>
      <c r="L14" s="146"/>
      <c r="M14" s="146"/>
    </row>
    <row r="15" spans="1:13">
      <c r="A15" s="152"/>
      <c r="B15" s="7"/>
      <c r="C15" s="7"/>
      <c r="D15" s="7"/>
      <c r="E15" s="8"/>
      <c r="F15" s="41"/>
      <c r="G15" s="9"/>
      <c r="H15" s="9"/>
      <c r="I15" s="9"/>
      <c r="J15" s="113" t="str">
        <f ca="1">IF(SamplingFeatures[[#This Row],[Sampling Feature Type]]="Site",MAX(INDIRECT(CONCATENATE("R",ROW(SamplingFeatures[#Headers]),"C",COLUMN(),":R",ROW()-1,"C",COLUMN()),FALSE))+1,"")</f>
        <v/>
      </c>
      <c r="K15" s="147"/>
      <c r="L15" s="146"/>
      <c r="M15" s="146"/>
    </row>
    <row r="16" spans="1:13">
      <c r="A16" s="152"/>
      <c r="B16" s="7"/>
      <c r="C16" s="7"/>
      <c r="D16" s="7"/>
      <c r="E16" s="8"/>
      <c r="F16" s="41"/>
      <c r="G16" s="9"/>
      <c r="H16" s="9"/>
      <c r="I16" s="9"/>
      <c r="J16" s="113" t="str">
        <f ca="1">IF(SamplingFeatures[[#This Row],[Sampling Feature Type]]="Site",MAX(INDIRECT(CONCATENATE("R",ROW(SamplingFeatures[#Headers]),"C",COLUMN(),":R",ROW()-1,"C",COLUMN()),FALSE))+1,"")</f>
        <v/>
      </c>
      <c r="K16" s="147"/>
      <c r="L16" s="146"/>
      <c r="M16" s="146"/>
    </row>
    <row r="17" spans="1:13">
      <c r="A17" s="161"/>
      <c r="B17" s="7"/>
      <c r="C17" s="7"/>
      <c r="D17" s="7"/>
      <c r="E17" s="8"/>
      <c r="F17" s="41"/>
      <c r="G17" s="9"/>
      <c r="H17" s="9"/>
      <c r="I17" s="9"/>
      <c r="J17" s="113" t="str">
        <f ca="1">IF(SamplingFeatures[[#This Row],[Sampling Feature Type]]="Site",MAX(INDIRECT(CONCATENATE("R",ROW(SamplingFeatures[#Headers]),"C",COLUMN(),":R",ROW()-1,"C",COLUMN()),FALSE))+1,"")</f>
        <v/>
      </c>
      <c r="K17" s="147"/>
      <c r="L17" s="146"/>
      <c r="M17" s="146"/>
    </row>
    <row r="18" spans="1:13" ht="15" customHeight="1">
      <c r="A18" s="152"/>
      <c r="B18" s="7"/>
      <c r="C18" s="7"/>
      <c r="D18" s="7"/>
      <c r="E18" s="8"/>
      <c r="F18" s="41"/>
      <c r="G18" s="9"/>
      <c r="H18" s="9"/>
      <c r="I18" s="9"/>
      <c r="J18" s="113" t="str">
        <f ca="1">IF(SamplingFeatures[[#This Row],[Sampling Feature Type]]="Site",MAX(INDIRECT(CONCATENATE("R",ROW(SamplingFeatures[#Headers]),"C",COLUMN(),":R",ROW()-1,"C",COLUMN()),FALSE))+1,"")</f>
        <v/>
      </c>
      <c r="K18" s="147"/>
      <c r="L18" s="146"/>
      <c r="M18" s="146"/>
    </row>
    <row r="19" spans="1:13">
      <c r="A19" s="152"/>
      <c r="B19" s="7"/>
      <c r="C19" s="7"/>
      <c r="D19" s="7"/>
      <c r="E19" s="8"/>
      <c r="F19" s="41"/>
      <c r="G19" s="9"/>
      <c r="H19" s="9"/>
      <c r="I19" s="9"/>
      <c r="J19" s="113" t="str">
        <f ca="1">IF(SamplingFeatures[[#This Row],[Sampling Feature Type]]="Site",MAX(INDIRECT(CONCATENATE("R",ROW(SamplingFeatures[#Headers]),"C",COLUMN(),":R",ROW()-1,"C",COLUMN()),FALSE))+1,"")</f>
        <v/>
      </c>
      <c r="K19" s="147"/>
      <c r="L19" s="146"/>
      <c r="M19" s="146"/>
    </row>
    <row r="20" spans="1:13">
      <c r="A20" s="152"/>
      <c r="B20" s="7"/>
      <c r="C20" s="7"/>
      <c r="D20" s="7"/>
      <c r="E20" s="8"/>
      <c r="F20" s="41"/>
      <c r="G20" s="9"/>
      <c r="H20" s="9"/>
      <c r="I20" s="9"/>
      <c r="J20" s="113" t="str">
        <f ca="1">IF(SamplingFeatures[[#This Row],[Sampling Feature Type]]="Site",MAX(INDIRECT(CONCATENATE("R",ROW(SamplingFeatures[#Headers]),"C",COLUMN(),":R",ROW()-1,"C",COLUMN()),FALSE))+1,"")</f>
        <v/>
      </c>
      <c r="K20" s="147"/>
      <c r="L20" s="146"/>
      <c r="M20" s="146"/>
    </row>
    <row r="21" spans="1:13">
      <c r="A21" s="152"/>
      <c r="B21" s="7"/>
      <c r="C21" s="7"/>
      <c r="D21" s="7"/>
      <c r="E21" s="8"/>
      <c r="F21" s="41"/>
      <c r="G21" s="9"/>
      <c r="H21" s="9"/>
      <c r="I21" s="9"/>
      <c r="J21" s="113" t="str">
        <f ca="1">IF(SamplingFeatures[[#This Row],[Sampling Feature Type]]="Site",MAX(INDIRECT(CONCATENATE("R",ROW(SamplingFeatures[#Headers]),"C",COLUMN(),":R",ROW()-1,"C",COLUMN()),FALSE))+1,"")</f>
        <v/>
      </c>
      <c r="K21" s="147"/>
      <c r="L21" s="146"/>
      <c r="M21" s="146"/>
    </row>
    <row r="22" spans="1:13">
      <c r="A22" s="152"/>
      <c r="B22" s="7"/>
      <c r="C22" s="7"/>
      <c r="D22" s="7"/>
      <c r="E22" s="8"/>
      <c r="F22" s="41"/>
      <c r="G22" s="9"/>
      <c r="H22" s="9"/>
      <c r="I22" s="9"/>
      <c r="J22" s="113" t="str">
        <f ca="1">IF(SamplingFeatures[[#This Row],[Sampling Feature Type]]="Site",MAX(INDIRECT(CONCATENATE("R",ROW(SamplingFeatures[#Headers]),"C",COLUMN(),":R",ROW()-1,"C",COLUMN()),FALSE))+1,"")</f>
        <v/>
      </c>
      <c r="K22" s="147"/>
      <c r="L22" s="146"/>
      <c r="M22" s="146"/>
    </row>
    <row r="23" spans="1:13">
      <c r="A23" s="152"/>
      <c r="B23" s="7"/>
      <c r="C23" s="7"/>
      <c r="D23" s="7"/>
      <c r="E23" s="8"/>
      <c r="F23" s="41"/>
      <c r="G23" s="9"/>
      <c r="H23" s="9"/>
      <c r="I23" s="9"/>
      <c r="J23" s="113" t="str">
        <f ca="1">IF(SamplingFeatures[[#This Row],[Sampling Feature Type]]="Site",MAX(INDIRECT(CONCATENATE("R",ROW(SamplingFeatures[#Headers]),"C",COLUMN(),":R",ROW()-1,"C",COLUMN()),FALSE))+1,"")</f>
        <v/>
      </c>
      <c r="K23" s="147"/>
      <c r="L23" s="146"/>
      <c r="M23" s="146"/>
    </row>
    <row r="24" spans="1:13">
      <c r="A24" s="152"/>
      <c r="B24" s="7"/>
      <c r="C24" s="7"/>
      <c r="D24" s="7"/>
      <c r="E24" s="8"/>
      <c r="F24" s="41"/>
      <c r="G24" s="9"/>
      <c r="H24" s="9"/>
      <c r="I24" s="9"/>
      <c r="J24" s="113" t="str">
        <f ca="1">IF(SamplingFeatures[[#This Row],[Sampling Feature Type]]="Site",MAX(INDIRECT(CONCATENATE("R",ROW(SamplingFeatures[#Headers]),"C",COLUMN(),":R",ROW()-1,"C",COLUMN()),FALSE))+1,"")</f>
        <v/>
      </c>
      <c r="K24" s="147"/>
      <c r="L24" s="146"/>
      <c r="M24" s="146"/>
    </row>
    <row r="25" spans="1:13">
      <c r="A25" s="152"/>
      <c r="B25" s="7"/>
      <c r="C25" s="7"/>
      <c r="D25" s="7"/>
      <c r="E25" s="8"/>
      <c r="F25" s="41"/>
      <c r="G25" s="9"/>
      <c r="H25" s="9"/>
      <c r="I25" s="9"/>
      <c r="J25" s="113" t="str">
        <f ca="1">IF(SamplingFeatures[[#This Row],[Sampling Feature Type]]="Site",MAX(INDIRECT(CONCATENATE("R",ROW(SamplingFeatures[#Headers]),"C",COLUMN(),":R",ROW()-1,"C",COLUMN()),FALSE))+1,"")</f>
        <v/>
      </c>
      <c r="K25" s="147"/>
      <c r="L25" s="146"/>
      <c r="M25" s="146"/>
    </row>
    <row r="26" spans="1:13">
      <c r="A26" s="152"/>
      <c r="B26" s="7"/>
      <c r="C26" s="7"/>
      <c r="D26" s="7"/>
      <c r="E26" s="8"/>
      <c r="F26" s="41"/>
      <c r="G26" s="9"/>
      <c r="H26" s="9"/>
      <c r="I26" s="9"/>
      <c r="J26" s="113" t="str">
        <f ca="1">IF(SamplingFeatures[[#This Row],[Sampling Feature Type]]="Site",MAX(INDIRECT(CONCATENATE("R",ROW(SamplingFeatures[#Headers]),"C",COLUMN(),":R",ROW()-1,"C",COLUMN()),FALSE))+1,"")</f>
        <v/>
      </c>
      <c r="K26" s="147"/>
      <c r="L26" s="146"/>
      <c r="M26" s="146"/>
    </row>
    <row r="27" spans="1:13">
      <c r="A27" s="152"/>
      <c r="B27" s="7"/>
      <c r="C27" s="7"/>
      <c r="D27" s="7"/>
      <c r="E27" s="8"/>
      <c r="F27" s="41"/>
      <c r="G27" s="9"/>
      <c r="H27" s="9"/>
      <c r="I27" s="9"/>
      <c r="J27" s="113" t="str">
        <f ca="1">IF(SamplingFeatures[[#This Row],[Sampling Feature Type]]="Site",MAX(INDIRECT(CONCATENATE("R",ROW(SamplingFeatures[#Headers]),"C",COLUMN(),":R",ROW()-1,"C",COLUMN()),FALSE))+1,"")</f>
        <v/>
      </c>
      <c r="K27" s="147"/>
      <c r="L27" s="146"/>
      <c r="M27" s="146"/>
    </row>
    <row r="28" spans="1:13">
      <c r="A28" s="152"/>
      <c r="B28" s="7"/>
      <c r="C28" s="7"/>
      <c r="D28" s="7"/>
      <c r="E28" s="8"/>
      <c r="F28" s="41"/>
      <c r="G28" s="9"/>
      <c r="H28" s="9"/>
      <c r="I28" s="9"/>
      <c r="J28" s="113" t="str">
        <f ca="1">IF(SamplingFeatures[[#This Row],[Sampling Feature Type]]="Site",MAX(INDIRECT(CONCATENATE("R",ROW(SamplingFeatures[#Headers]),"C",COLUMN(),":R",ROW()-1,"C",COLUMN()),FALSE))+1,"")</f>
        <v/>
      </c>
      <c r="K28" s="147"/>
      <c r="L28" s="146"/>
      <c r="M28" s="146"/>
    </row>
    <row r="29" spans="1:13">
      <c r="A29" s="152"/>
      <c r="B29" s="7"/>
      <c r="C29" s="7"/>
      <c r="D29" s="7"/>
      <c r="E29" s="8"/>
      <c r="F29" s="41"/>
      <c r="G29" s="9"/>
      <c r="H29" s="9"/>
      <c r="I29" s="9"/>
      <c r="J29" s="113" t="str">
        <f ca="1">IF(SamplingFeatures[[#This Row],[Sampling Feature Type]]="Site",MAX(INDIRECT(CONCATENATE("R",ROW(SamplingFeatures[#Headers]),"C",COLUMN(),":R",ROW()-1,"C",COLUMN()),FALSE))+1,"")</f>
        <v/>
      </c>
      <c r="K29" s="147"/>
      <c r="L29" s="146"/>
      <c r="M29" s="146"/>
    </row>
    <row r="30" spans="1:13">
      <c r="A30" s="152"/>
      <c r="B30" s="7"/>
      <c r="C30" s="7"/>
      <c r="D30" s="7"/>
      <c r="E30" s="8"/>
      <c r="F30" s="41"/>
      <c r="G30" s="9"/>
      <c r="H30" s="9"/>
      <c r="I30" s="9"/>
      <c r="J30" s="113" t="str">
        <f ca="1">IF(SamplingFeatures[[#This Row],[Sampling Feature Type]]="Site",MAX(INDIRECT(CONCATENATE("R",ROW(SamplingFeatures[#Headers]),"C",COLUMN(),":R",ROW()-1,"C",COLUMN()),FALSE))+1,"")</f>
        <v/>
      </c>
      <c r="K30" s="147"/>
      <c r="L30" s="146"/>
      <c r="M30" s="146"/>
    </row>
    <row r="31" spans="1:13">
      <c r="A31" s="152"/>
      <c r="B31" s="7"/>
      <c r="C31" s="7"/>
      <c r="D31" s="7"/>
      <c r="E31" s="8"/>
      <c r="F31" s="41"/>
      <c r="G31" s="9"/>
      <c r="H31" s="9"/>
      <c r="I31" s="9"/>
      <c r="J31" s="113" t="str">
        <f ca="1">IF(SamplingFeatures[[#This Row],[Sampling Feature Type]]="Site",MAX(INDIRECT(CONCATENATE("R",ROW(SamplingFeatures[#Headers]),"C",COLUMN(),":R",ROW()-1,"C",COLUMN()),FALSE))+1,"")</f>
        <v/>
      </c>
      <c r="K31" s="147"/>
      <c r="L31" s="146"/>
      <c r="M31" s="146"/>
    </row>
    <row r="32" spans="1:13">
      <c r="A32" s="152"/>
      <c r="B32" s="7"/>
      <c r="C32" s="7"/>
      <c r="D32" s="7"/>
      <c r="E32" s="8"/>
      <c r="F32" s="41"/>
      <c r="G32" s="9"/>
      <c r="H32" s="9"/>
      <c r="I32" s="9"/>
      <c r="J32" s="113" t="str">
        <f ca="1">IF(SamplingFeatures[[#This Row],[Sampling Feature Type]]="Site",MAX(INDIRECT(CONCATENATE("R",ROW(SamplingFeatures[#Headers]),"C",COLUMN(),":R",ROW()-1,"C",COLUMN()),FALSE))+1,"")</f>
        <v/>
      </c>
      <c r="K32" s="147"/>
      <c r="L32" s="146"/>
      <c r="M32" s="146"/>
    </row>
    <row r="33" spans="1:13">
      <c r="A33" s="152"/>
      <c r="B33" s="7"/>
      <c r="C33" s="7"/>
      <c r="D33" s="7"/>
      <c r="E33" s="8"/>
      <c r="F33" s="41"/>
      <c r="G33" s="9"/>
      <c r="H33" s="9"/>
      <c r="I33" s="9"/>
      <c r="J33" s="113" t="str">
        <f ca="1">IF(SamplingFeatures[[#This Row],[Sampling Feature Type]]="Site",MAX(INDIRECT(CONCATENATE("R",ROW(SamplingFeatures[#Headers]),"C",COLUMN(),":R",ROW()-1,"C",COLUMN()),FALSE))+1,"")</f>
        <v/>
      </c>
      <c r="K33" s="147"/>
      <c r="L33" s="146"/>
      <c r="M33" s="146"/>
    </row>
    <row r="34" spans="1:13">
      <c r="A34" s="152"/>
      <c r="B34" s="7"/>
      <c r="C34" s="7"/>
      <c r="D34" s="7"/>
      <c r="E34" s="8"/>
      <c r="F34" s="41"/>
      <c r="G34" s="9"/>
      <c r="H34" s="9"/>
      <c r="I34" s="9"/>
      <c r="J34" s="113" t="str">
        <f ca="1">IF(SamplingFeatures[[#This Row],[Sampling Feature Type]]="Site",MAX(INDIRECT(CONCATENATE("R",ROW(SamplingFeatures[#Headers]),"C",COLUMN(),":R",ROW()-1,"C",COLUMN()),FALSE))+1,"")</f>
        <v/>
      </c>
      <c r="K34" s="147"/>
      <c r="L34" s="146"/>
      <c r="M34" s="146"/>
    </row>
    <row r="35" spans="1:13">
      <c r="A35" s="152"/>
      <c r="B35" s="7"/>
      <c r="C35" s="7"/>
      <c r="D35" s="7"/>
      <c r="E35" s="8"/>
      <c r="F35" s="41"/>
      <c r="G35" s="9"/>
      <c r="H35" s="9"/>
      <c r="I35" s="9"/>
      <c r="J35" s="113" t="str">
        <f ca="1">IF(SamplingFeatures[[#This Row],[Sampling Feature Type]]="Site",MAX(INDIRECT(CONCATENATE("R",ROW(SamplingFeatures[#Headers]),"C",COLUMN(),":R",ROW()-1,"C",COLUMN()),FALSE))+1,"")</f>
        <v/>
      </c>
      <c r="K35" s="147"/>
      <c r="L35" s="146"/>
      <c r="M35" s="146"/>
    </row>
    <row r="36" spans="1:13">
      <c r="A36" s="152"/>
      <c r="B36" s="7"/>
      <c r="C36" s="7"/>
      <c r="D36" s="7"/>
      <c r="E36" s="8"/>
      <c r="F36" s="41"/>
      <c r="G36" s="9"/>
      <c r="H36" s="9"/>
      <c r="I36" s="9"/>
      <c r="J36" s="113" t="str">
        <f ca="1">IF(SamplingFeatures[[#This Row],[Sampling Feature Type]]="Site",MAX(INDIRECT(CONCATENATE("R",ROW(SamplingFeatures[#Headers]),"C",COLUMN(),":R",ROW()-1,"C",COLUMN()),FALSE))+1,"")</f>
        <v/>
      </c>
      <c r="K36" s="147"/>
      <c r="L36" s="146"/>
      <c r="M36" s="146"/>
    </row>
    <row r="37" spans="1:13">
      <c r="A37" s="152"/>
      <c r="B37" s="7"/>
      <c r="C37" s="7"/>
      <c r="D37" s="7"/>
      <c r="E37" s="8"/>
      <c r="F37" s="41"/>
      <c r="G37" s="9"/>
      <c r="H37" s="9"/>
      <c r="I37" s="9"/>
      <c r="J37" s="113" t="str">
        <f ca="1">IF(SamplingFeatures[[#This Row],[Sampling Feature Type]]="Site",MAX(INDIRECT(CONCATENATE("R",ROW(SamplingFeatures[#Headers]),"C",COLUMN(),":R",ROW()-1,"C",COLUMN()),FALSE))+1,"")</f>
        <v/>
      </c>
      <c r="K37" s="147"/>
      <c r="L37" s="146"/>
      <c r="M37" s="146"/>
    </row>
    <row r="38" spans="1:13">
      <c r="A38" s="152"/>
      <c r="B38" s="7"/>
      <c r="C38" s="7"/>
      <c r="D38" s="7"/>
      <c r="E38" s="8"/>
      <c r="F38" s="41"/>
      <c r="G38" s="9"/>
      <c r="H38" s="9"/>
      <c r="I38" s="9"/>
      <c r="J38" s="113" t="str">
        <f ca="1">IF(SamplingFeatures[[#This Row],[Sampling Feature Type]]="Site",MAX(INDIRECT(CONCATENATE("R",ROW(SamplingFeatures[#Headers]),"C",COLUMN(),":R",ROW()-1,"C",COLUMN()),FALSE))+1,"")</f>
        <v/>
      </c>
      <c r="K38" s="147"/>
      <c r="L38" s="146"/>
      <c r="M38" s="146"/>
    </row>
    <row r="39" spans="1:13">
      <c r="A39" s="152"/>
      <c r="B39" s="7"/>
      <c r="C39" s="7"/>
      <c r="D39" s="7"/>
      <c r="E39" s="8"/>
      <c r="F39" s="41"/>
      <c r="G39" s="9"/>
      <c r="H39" s="9"/>
      <c r="I39" s="9"/>
      <c r="J39" s="113" t="str">
        <f ca="1">IF(SamplingFeatures[[#This Row],[Sampling Feature Type]]="Site",MAX(INDIRECT(CONCATENATE("R",ROW(SamplingFeatures[#Headers]),"C",COLUMN(),":R",ROW()-1,"C",COLUMN()),FALSE))+1,"")</f>
        <v/>
      </c>
      <c r="K39" s="147"/>
      <c r="L39" s="146"/>
      <c r="M39" s="146"/>
    </row>
    <row r="40" spans="1:13">
      <c r="A40" s="152"/>
      <c r="B40" s="7"/>
      <c r="C40" s="7"/>
      <c r="D40" s="7"/>
      <c r="E40" s="8"/>
      <c r="F40" s="41"/>
      <c r="G40" s="9"/>
      <c r="H40" s="9"/>
      <c r="I40" s="9"/>
      <c r="J40" s="113" t="str">
        <f ca="1">IF(SamplingFeatures[[#This Row],[Sampling Feature Type]]="Site",MAX(INDIRECT(CONCATENATE("R",ROW(SamplingFeatures[#Headers]),"C",COLUMN(),":R",ROW()-1,"C",COLUMN()),FALSE))+1,"")</f>
        <v/>
      </c>
      <c r="K40" s="147"/>
      <c r="L40" s="146"/>
      <c r="M40" s="146"/>
    </row>
    <row r="41" spans="1:13">
      <c r="A41" s="152"/>
      <c r="B41" s="7"/>
      <c r="C41" s="7"/>
      <c r="D41" s="7"/>
      <c r="E41" s="8"/>
      <c r="F41" s="41"/>
      <c r="G41" s="9"/>
      <c r="H41" s="9"/>
      <c r="I41" s="9"/>
      <c r="J41" s="113" t="str">
        <f ca="1">IF(SamplingFeatures[[#This Row],[Sampling Feature Type]]="Site",MAX(INDIRECT(CONCATENATE("R",ROW(SamplingFeatures[#Headers]),"C",COLUMN(),":R",ROW()-1,"C",COLUMN()),FALSE))+1,"")</f>
        <v/>
      </c>
      <c r="K41" s="147"/>
      <c r="L41" s="146"/>
      <c r="M41" s="146"/>
    </row>
    <row r="42" spans="1:13">
      <c r="A42" s="152"/>
      <c r="B42" s="7"/>
      <c r="C42" s="7"/>
      <c r="D42" s="7"/>
      <c r="E42" s="8"/>
      <c r="F42" s="41"/>
      <c r="G42" s="9"/>
      <c r="H42" s="9"/>
      <c r="I42" s="9"/>
      <c r="J42" s="113" t="str">
        <f ca="1">IF(SamplingFeatures[[#This Row],[Sampling Feature Type]]="Site",MAX(INDIRECT(CONCATENATE("R",ROW(SamplingFeatures[#Headers]),"C",COLUMN(),":R",ROW()-1,"C",COLUMN()),FALSE))+1,"")</f>
        <v/>
      </c>
      <c r="K42" s="147"/>
      <c r="L42" s="146"/>
      <c r="M42" s="146"/>
    </row>
    <row r="43" spans="1:13">
      <c r="A43" s="152"/>
      <c r="B43" s="7"/>
      <c r="C43" s="7"/>
      <c r="D43" s="7"/>
      <c r="E43" s="8"/>
      <c r="F43" s="41"/>
      <c r="G43" s="9"/>
      <c r="H43" s="9"/>
      <c r="I43" s="9"/>
      <c r="J43" s="113" t="str">
        <f ca="1">IF(SamplingFeatures[[#This Row],[Sampling Feature Type]]="Site",MAX(INDIRECT(CONCATENATE("R",ROW(SamplingFeatures[#Headers]),"C",COLUMN(),":R",ROW()-1,"C",COLUMN()),FALSE))+1,"")</f>
        <v/>
      </c>
      <c r="K43" s="147"/>
      <c r="L43" s="146"/>
      <c r="M43" s="146"/>
    </row>
    <row r="44" spans="1:13">
      <c r="A44" s="152"/>
      <c r="B44" s="7"/>
      <c r="C44" s="7"/>
      <c r="D44" s="7"/>
      <c r="E44" s="8"/>
      <c r="F44" s="41"/>
      <c r="G44" s="9"/>
      <c r="H44" s="9"/>
      <c r="I44" s="9"/>
      <c r="J44" s="113" t="str">
        <f ca="1">IF(SamplingFeatures[[#This Row],[Sampling Feature Type]]="Site",MAX(INDIRECT(CONCATENATE("R",ROW(SamplingFeatures[#Headers]),"C",COLUMN(),":R",ROW()-1,"C",COLUMN()),FALSE))+1,"")</f>
        <v/>
      </c>
      <c r="K44" s="147"/>
      <c r="L44" s="146"/>
      <c r="M44" s="146"/>
    </row>
    <row r="45" spans="1:13">
      <c r="A45" s="152"/>
      <c r="B45" s="7"/>
      <c r="C45" s="7"/>
      <c r="D45" s="7"/>
      <c r="E45" s="8"/>
      <c r="F45" s="41"/>
      <c r="G45" s="9"/>
      <c r="H45" s="9"/>
      <c r="I45" s="9"/>
      <c r="J45" s="113" t="str">
        <f ca="1">IF(SamplingFeatures[[#This Row],[Sampling Feature Type]]="Site",MAX(INDIRECT(CONCATENATE("R",ROW(SamplingFeatures[#Headers]),"C",COLUMN(),":R",ROW()-1,"C",COLUMN()),FALSE))+1,"")</f>
        <v/>
      </c>
      <c r="K45" s="147"/>
      <c r="L45" s="146"/>
      <c r="M45" s="146"/>
    </row>
    <row r="46" spans="1:13">
      <c r="A46" s="152"/>
      <c r="B46" s="7"/>
      <c r="C46" s="7"/>
      <c r="D46" s="7"/>
      <c r="E46" s="8"/>
      <c r="F46" s="41"/>
      <c r="G46" s="9"/>
      <c r="H46" s="9"/>
      <c r="I46" s="9"/>
      <c r="J46" s="113" t="str">
        <f ca="1">IF(SamplingFeatures[[#This Row],[Sampling Feature Type]]="Site",MAX(INDIRECT(CONCATENATE("R",ROW(SamplingFeatures[#Headers]),"C",COLUMN(),":R",ROW()-1,"C",COLUMN()),FALSE))+1,"")</f>
        <v/>
      </c>
      <c r="K46" s="147"/>
      <c r="L46" s="146"/>
      <c r="M46" s="146"/>
    </row>
    <row r="47" spans="1:13">
      <c r="A47" s="152"/>
      <c r="B47" s="7"/>
      <c r="C47" s="7"/>
      <c r="D47" s="7"/>
      <c r="E47" s="8"/>
      <c r="F47" s="41"/>
      <c r="G47" s="9"/>
      <c r="H47" s="9"/>
      <c r="I47" s="9"/>
      <c r="J47" s="113" t="str">
        <f ca="1">IF(SamplingFeatures[[#This Row],[Sampling Feature Type]]="Site",MAX(INDIRECT(CONCATENATE("R",ROW(SamplingFeatures[#Headers]),"C",COLUMN(),":R",ROW()-1,"C",COLUMN()),FALSE))+1,"")</f>
        <v/>
      </c>
      <c r="K47" s="147"/>
      <c r="L47" s="146"/>
      <c r="M47" s="146"/>
    </row>
    <row r="48" spans="1:13">
      <c r="A48" s="152"/>
      <c r="B48" s="7"/>
      <c r="C48" s="7"/>
      <c r="D48" s="7"/>
      <c r="E48" s="8"/>
      <c r="F48" s="41"/>
      <c r="G48" s="9"/>
      <c r="H48" s="9"/>
      <c r="I48" s="9"/>
      <c r="J48" s="113" t="str">
        <f ca="1">IF(SamplingFeatures[[#This Row],[Sampling Feature Type]]="Site",MAX(INDIRECT(CONCATENATE("R",ROW(SamplingFeatures[#Headers]),"C",COLUMN(),":R",ROW()-1,"C",COLUMN()),FALSE))+1,"")</f>
        <v/>
      </c>
      <c r="K48" s="147"/>
      <c r="L48" s="146"/>
      <c r="M48" s="146"/>
    </row>
    <row r="49" spans="1:13">
      <c r="A49" s="152"/>
      <c r="B49" s="7"/>
      <c r="C49" s="7"/>
      <c r="D49" s="7"/>
      <c r="E49" s="8"/>
      <c r="F49" s="41"/>
      <c r="G49" s="9"/>
      <c r="H49" s="9"/>
      <c r="I49" s="9"/>
      <c r="J49" s="113" t="str">
        <f ca="1">IF(SamplingFeatures[[#This Row],[Sampling Feature Type]]="Site",MAX(INDIRECT(CONCATENATE("R",ROW(SamplingFeatures[#Headers]),"C",COLUMN(),":R",ROW()-1,"C",COLUMN()),FALSE))+1,"")</f>
        <v/>
      </c>
      <c r="K49" s="147"/>
      <c r="L49" s="146"/>
      <c r="M49" s="146"/>
    </row>
    <row r="50" spans="1:13">
      <c r="A50" s="152"/>
      <c r="B50" s="7"/>
      <c r="C50" s="7"/>
      <c r="D50" s="7"/>
      <c r="E50" s="8"/>
      <c r="F50" s="41"/>
      <c r="G50" s="9"/>
      <c r="H50" s="9"/>
      <c r="I50" s="9"/>
      <c r="J50" s="113" t="str">
        <f ca="1">IF(SamplingFeatures[[#This Row],[Sampling Feature Type]]="Site",MAX(INDIRECT(CONCATENATE("R",ROW(SamplingFeatures[#Headers]),"C",COLUMN(),":R",ROW()-1,"C",COLUMN()),FALSE))+1,"")</f>
        <v/>
      </c>
      <c r="K50" s="147"/>
      <c r="L50" s="146"/>
      <c r="M50" s="146"/>
    </row>
    <row r="51" spans="1:13">
      <c r="A51" s="152"/>
      <c r="B51" s="7"/>
      <c r="C51" s="7"/>
      <c r="D51" s="7"/>
      <c r="E51" s="8"/>
      <c r="F51" s="41"/>
      <c r="G51" s="9"/>
      <c r="H51" s="9"/>
      <c r="I51" s="9"/>
      <c r="J51" s="113" t="str">
        <f ca="1">IF(SamplingFeatures[[#This Row],[Sampling Feature Type]]="Site",MAX(INDIRECT(CONCATENATE("R",ROW(SamplingFeatures[#Headers]),"C",COLUMN(),":R",ROW()-1,"C",COLUMN()),FALSE))+1,"")</f>
        <v/>
      </c>
      <c r="K51" s="147"/>
      <c r="L51" s="146"/>
      <c r="M51" s="146"/>
    </row>
    <row r="52" spans="1:13">
      <c r="A52" s="152"/>
      <c r="B52" s="7"/>
      <c r="C52" s="7"/>
      <c r="D52" s="7"/>
      <c r="E52" s="8"/>
      <c r="F52" s="41"/>
      <c r="G52" s="9"/>
      <c r="H52" s="9"/>
      <c r="I52" s="9"/>
      <c r="J52" s="113" t="str">
        <f ca="1">IF(SamplingFeatures[[#This Row],[Sampling Feature Type]]="Site",MAX(INDIRECT(CONCATENATE("R",ROW(SamplingFeatures[#Headers]),"C",COLUMN(),":R",ROW()-1,"C",COLUMN()),FALSE))+1,"")</f>
        <v/>
      </c>
      <c r="K52" s="147"/>
      <c r="L52" s="146"/>
      <c r="M52" s="146"/>
    </row>
    <row r="53" spans="1:13">
      <c r="A53" s="152"/>
      <c r="B53" s="7"/>
      <c r="C53" s="7"/>
      <c r="D53" s="7"/>
      <c r="E53" s="8"/>
      <c r="F53" s="41"/>
      <c r="G53" s="9"/>
      <c r="H53" s="9"/>
      <c r="I53" s="9"/>
      <c r="J53" s="113" t="str">
        <f ca="1">IF(SamplingFeatures[[#This Row],[Sampling Feature Type]]="Site",MAX(INDIRECT(CONCATENATE("R",ROW(SamplingFeatures[#Headers]),"C",COLUMN(),":R",ROW()-1,"C",COLUMN()),FALSE))+1,"")</f>
        <v/>
      </c>
      <c r="K53" s="147"/>
      <c r="L53" s="146"/>
      <c r="M53" s="146"/>
    </row>
    <row r="54" spans="1:13">
      <c r="A54" s="152"/>
      <c r="B54" s="7"/>
      <c r="C54" s="7"/>
      <c r="D54" s="7"/>
      <c r="E54" s="8"/>
      <c r="F54" s="41"/>
      <c r="G54" s="9"/>
      <c r="H54" s="9"/>
      <c r="I54" s="9"/>
      <c r="J54" s="113" t="str">
        <f ca="1">IF(SamplingFeatures[[#This Row],[Sampling Feature Type]]="Site",MAX(INDIRECT(CONCATENATE("R",ROW(SamplingFeatures[#Headers]),"C",COLUMN(),":R",ROW()-1,"C",COLUMN()),FALSE))+1,"")</f>
        <v/>
      </c>
      <c r="K54" s="147"/>
      <c r="L54" s="146"/>
      <c r="M54" s="146"/>
    </row>
    <row r="55" spans="1:13">
      <c r="A55" s="152"/>
      <c r="B55" s="7"/>
      <c r="C55" s="7"/>
      <c r="D55" s="7"/>
      <c r="E55" s="8"/>
      <c r="F55" s="41"/>
      <c r="G55" s="9"/>
      <c r="H55" s="9"/>
      <c r="I55" s="9"/>
      <c r="J55" s="113" t="str">
        <f ca="1">IF(SamplingFeatures[[#This Row],[Sampling Feature Type]]="Site",MAX(INDIRECT(CONCATENATE("R",ROW(SamplingFeatures[#Headers]),"C",COLUMN(),":R",ROW()-1,"C",COLUMN()),FALSE))+1,"")</f>
        <v/>
      </c>
      <c r="K55" s="147"/>
      <c r="L55" s="146"/>
      <c r="M55" s="146"/>
    </row>
    <row r="56" spans="1:13">
      <c r="A56" s="152"/>
      <c r="B56" s="7"/>
      <c r="C56" s="7"/>
      <c r="D56" s="7"/>
      <c r="E56" s="8"/>
      <c r="F56" s="41"/>
      <c r="G56" s="9"/>
      <c r="H56" s="9"/>
      <c r="I56" s="9"/>
      <c r="J56" s="113" t="str">
        <f ca="1">IF(SamplingFeatures[[#This Row],[Sampling Feature Type]]="Site",MAX(INDIRECT(CONCATENATE("R",ROW(SamplingFeatures[#Headers]),"C",COLUMN(),":R",ROW()-1,"C",COLUMN()),FALSE))+1,"")</f>
        <v/>
      </c>
      <c r="K56" s="147"/>
      <c r="L56" s="146"/>
      <c r="M56" s="146"/>
    </row>
    <row r="57" spans="1:13">
      <c r="A57" s="152"/>
      <c r="B57" s="7"/>
      <c r="C57" s="7"/>
      <c r="D57" s="7"/>
      <c r="E57" s="8"/>
      <c r="F57" s="41"/>
      <c r="G57" s="9"/>
      <c r="H57" s="9"/>
      <c r="I57" s="9"/>
      <c r="J57" s="113" t="str">
        <f ca="1">IF(SamplingFeatures[[#This Row],[Sampling Feature Type]]="Site",MAX(INDIRECT(CONCATENATE("R",ROW(SamplingFeatures[#Headers]),"C",COLUMN(),":R",ROW()-1,"C",COLUMN()),FALSE))+1,"")</f>
        <v/>
      </c>
      <c r="K57" s="147"/>
      <c r="L57" s="146"/>
      <c r="M57" s="146"/>
    </row>
    <row r="58" spans="1:13">
      <c r="A58" s="152"/>
      <c r="B58" s="7"/>
      <c r="C58" s="7"/>
      <c r="D58" s="7"/>
      <c r="E58" s="8"/>
      <c r="F58" s="41"/>
      <c r="G58" s="9"/>
      <c r="H58" s="9"/>
      <c r="I58" s="9"/>
      <c r="J58" s="113" t="str">
        <f ca="1">IF(SamplingFeatures[[#This Row],[Sampling Feature Type]]="Site",MAX(INDIRECT(CONCATENATE("R",ROW(SamplingFeatures[#Headers]),"C",COLUMN(),":R",ROW()-1,"C",COLUMN()),FALSE))+1,"")</f>
        <v/>
      </c>
      <c r="K58" s="147"/>
      <c r="L58" s="146"/>
      <c r="M58" s="146"/>
    </row>
    <row r="59" spans="1:13">
      <c r="A59" s="152"/>
      <c r="B59" s="7"/>
      <c r="C59" s="7"/>
      <c r="D59" s="7"/>
      <c r="E59" s="8"/>
      <c r="F59" s="41"/>
      <c r="G59" s="9"/>
      <c r="H59" s="9"/>
      <c r="I59" s="9"/>
      <c r="J59" s="113" t="str">
        <f ca="1">IF(SamplingFeatures[[#This Row],[Sampling Feature Type]]="Site",MAX(INDIRECT(CONCATENATE("R",ROW(SamplingFeatures[#Headers]),"C",COLUMN(),":R",ROW()-1,"C",COLUMN()),FALSE))+1,"")</f>
        <v/>
      </c>
      <c r="K59" s="147"/>
      <c r="L59" s="146"/>
      <c r="M59" s="146"/>
    </row>
    <row r="60" spans="1:13">
      <c r="A60" s="152"/>
      <c r="B60" s="7"/>
      <c r="C60" s="7"/>
      <c r="D60" s="7"/>
      <c r="E60" s="8"/>
      <c r="F60" s="41"/>
      <c r="G60" s="9"/>
      <c r="H60" s="9"/>
      <c r="I60" s="9"/>
      <c r="J60" s="113" t="str">
        <f ca="1">IF(SamplingFeatures[[#This Row],[Sampling Feature Type]]="Site",MAX(INDIRECT(CONCATENATE("R",ROW(SamplingFeatures[#Headers]),"C",COLUMN(),":R",ROW()-1,"C",COLUMN()),FALSE))+1,"")</f>
        <v/>
      </c>
      <c r="K60" s="147"/>
      <c r="L60" s="146"/>
      <c r="M60" s="146"/>
    </row>
    <row r="61" spans="1:13" ht="15.75" thickBot="1">
      <c r="A61" s="153"/>
      <c r="B61" s="95"/>
      <c r="C61" s="95"/>
      <c r="D61" s="95"/>
      <c r="E61" s="96"/>
      <c r="F61" s="154"/>
      <c r="G61" s="155"/>
      <c r="H61" s="155"/>
      <c r="I61" s="155"/>
      <c r="J61" s="114" t="str">
        <f ca="1">IF(SamplingFeatures[[#This Row],[Sampling Feature Type]]="Site",MAX(INDIRECT(CONCATENATE("R",ROW(SamplingFeatures[#Headers]),"C",COLUMN(),":R",ROW()-1,"C",COLUMN()),FALSE))+1,"")</f>
        <v/>
      </c>
      <c r="K61" s="156"/>
      <c r="L61" s="157"/>
      <c r="M61" s="157"/>
    </row>
  </sheetData>
  <sheetProtection formatColumns="0" insertRows="0" insertHyperlinks="0" deleteRows="0"/>
  <mergeCells count="2">
    <mergeCell ref="A7:B7"/>
    <mergeCell ref="J10:M10"/>
  </mergeCells>
  <conditionalFormatting sqref="B13:B61">
    <cfRule type="expression" dxfId="153" priority="27">
      <formula>AND(COUNTIF(SamplingFeatureTypeCV,$B13)=0,$B13&lt;&gt;"")</formula>
    </cfRule>
  </conditionalFormatting>
  <conditionalFormatting sqref="C13:C61">
    <cfRule type="expression" dxfId="152" priority="26">
      <formula>AND(COUNTIF(SamplingFeatureGeotypeCV,$C13)=0,$C13&lt;&gt;"")</formula>
    </cfRule>
  </conditionalFormatting>
  <conditionalFormatting sqref="B13:D61">
    <cfRule type="expression" dxfId="151" priority="25">
      <formula>AND(COUNTA($A13:$I13)&gt;0,B13="")</formula>
    </cfRule>
  </conditionalFormatting>
  <conditionalFormatting sqref="A13:I61">
    <cfRule type="expression" dxfId="150" priority="24">
      <formula>AND(COUNTA($A12:$I12)=0,A13&lt;&gt;"")</formula>
    </cfRule>
  </conditionalFormatting>
  <conditionalFormatting sqref="B8">
    <cfRule type="expression" dxfId="149" priority="23">
      <formula>AND(COUNTIF(ElevationDatumCV,$B$8)=0,$B$8&lt;&gt;"")</formula>
    </cfRule>
  </conditionalFormatting>
  <conditionalFormatting sqref="B9">
    <cfRule type="expression" dxfId="148" priority="22">
      <formula>AND(COUNTIF(LatLonDatumNames,$B$9)=0,$B$9&lt;&gt;"")</formula>
    </cfRule>
  </conditionalFormatting>
  <conditionalFormatting sqref="K12:K61">
    <cfRule type="expression" dxfId="147" priority="20">
      <formula>AND(COUNTIF(SiteTypeCV,$K12)=0,$K12&lt;&gt;"")</formula>
    </cfRule>
  </conditionalFormatting>
  <conditionalFormatting sqref="K12:M61">
    <cfRule type="expression" dxfId="146" priority="17">
      <formula>AND($B12&lt;&gt;"Site",K12&lt;&gt;"")</formula>
    </cfRule>
    <cfRule type="expression" dxfId="145" priority="19">
      <formula>AND($B12="Site",K12="")</formula>
    </cfRule>
  </conditionalFormatting>
  <conditionalFormatting sqref="H13:H61">
    <cfRule type="expression" dxfId="144" priority="18">
      <formula>ISTEXT($H13)</formula>
    </cfRule>
  </conditionalFormatting>
  <conditionalFormatting sqref="L12:M61">
    <cfRule type="expression" dxfId="143" priority="28">
      <formula>ISTEXT(L12)</formula>
    </cfRule>
  </conditionalFormatting>
  <conditionalFormatting sqref="D13:D61">
    <cfRule type="duplicateValues" dxfId="142" priority="11"/>
  </conditionalFormatting>
  <conditionalFormatting sqref="I13:I61">
    <cfRule type="duplicateValues" dxfId="141" priority="10"/>
  </conditionalFormatting>
  <conditionalFormatting sqref="A13:A61">
    <cfRule type="duplicateValues" dxfId="140" priority="9"/>
  </conditionalFormatting>
  <conditionalFormatting sqref="B12">
    <cfRule type="expression" dxfId="139" priority="8">
      <formula>AND(COUNTIF(SamplingFeatureTypeCV,$B12)=0,$B12&lt;&gt;"")</formula>
    </cfRule>
  </conditionalFormatting>
  <conditionalFormatting sqref="C12">
    <cfRule type="expression" dxfId="138" priority="7">
      <formula>AND(COUNTIF(SamplingFeatureGeotypeCV,$C12)=0,$C12&lt;&gt;"")</formula>
    </cfRule>
  </conditionalFormatting>
  <conditionalFormatting sqref="B12:D12">
    <cfRule type="expression" dxfId="137" priority="6">
      <formula>AND(COUNTA($A12:$I12)&gt;0,B12="")</formula>
    </cfRule>
  </conditionalFormatting>
  <conditionalFormatting sqref="A12:I12">
    <cfRule type="expression" dxfId="136" priority="5">
      <formula>AND(COUNTA($A11:$I11)=0,A12&lt;&gt;"")</formula>
    </cfRule>
  </conditionalFormatting>
  <conditionalFormatting sqref="H12">
    <cfRule type="expression" dxfId="135" priority="4">
      <formula>ISTEXT($H12)</formula>
    </cfRule>
  </conditionalFormatting>
  <conditionalFormatting sqref="D12">
    <cfRule type="duplicateValues" dxfId="134" priority="3"/>
  </conditionalFormatting>
  <conditionalFormatting sqref="I12">
    <cfRule type="duplicateValues" dxfId="133" priority="2"/>
  </conditionalFormatting>
  <conditionalFormatting sqref="A12">
    <cfRule type="duplicateValues" dxfId="132" priority="1"/>
  </conditionalFormatting>
  <dataValidations count="6">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K12:K61">
      <formula1>IF(B12="Site",SiteTypeCV,"")</formula1>
    </dataValidation>
    <dataValidation allowBlank="1" showInputMessage="1" showErrorMessage="1" errorTitle="Invalid Value" error="This column only applies to sampling features that are either sites or specimens." sqref="J12:J61"/>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904875</xdr:colOff>
                    <xdr:row>4</xdr:row>
                    <xdr:rowOff>152400</xdr:rowOff>
                  </from>
                  <to>
                    <xdr:col>5</xdr:col>
                    <xdr:colOff>142875</xdr:colOff>
                    <xdr:row>6</xdr:row>
                    <xdr:rowOff>142875</xdr:rowOff>
                  </to>
                </anchor>
              </controlPr>
            </control>
          </mc:Choice>
        </mc:AlternateContent>
      </controls>
    </mc:Choice>
  </mc:AlternateContent>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30"/>
  <sheetViews>
    <sheetView workbookViewId="0"/>
  </sheetViews>
  <sheetFormatPr defaultColWidth="8.85546875" defaultRowHeight="15"/>
  <cols>
    <col min="1" max="1" width="22.42578125" style="5" customWidth="1"/>
    <col min="2" max="2" width="16.140625" style="5" bestFit="1" customWidth="1"/>
    <col min="3" max="3" width="27.28515625" style="5" customWidth="1"/>
    <col min="4" max="4" width="42.85546875" style="5" customWidth="1"/>
    <col min="5" max="5" width="25.85546875" style="5" bestFit="1" customWidth="1"/>
    <col min="6" max="6" width="25.42578125" style="5" bestFit="1" customWidth="1"/>
    <col min="7" max="16384" width="8.85546875" style="5"/>
  </cols>
  <sheetData>
    <row r="1" spans="1:9">
      <c r="A1" s="5" t="s">
        <v>172</v>
      </c>
    </row>
    <row r="2" spans="1:9">
      <c r="A2" s="5" t="s">
        <v>164</v>
      </c>
    </row>
    <row r="3" spans="1:9">
      <c r="A3" s="23" t="s">
        <v>163</v>
      </c>
    </row>
    <row r="4" spans="1:9">
      <c r="A4" s="23" t="s">
        <v>171</v>
      </c>
    </row>
    <row r="5" spans="1:9" ht="15.75" thickBot="1">
      <c r="A5" s="5" t="s">
        <v>153</v>
      </c>
    </row>
    <row r="6" spans="1:9" ht="15.75" thickBot="1">
      <c r="A6" s="23" t="s">
        <v>62</v>
      </c>
      <c r="E6" s="24" t="s">
        <v>96</v>
      </c>
      <c r="F6" s="25">
        <f>COUNTA(MethodCodes)</f>
        <v>0</v>
      </c>
    </row>
    <row r="7" spans="1:9" ht="15.75" thickBot="1"/>
    <row r="8" spans="1:9">
      <c r="A8" s="178" t="s">
        <v>59</v>
      </c>
      <c r="B8" s="179"/>
      <c r="C8" s="179"/>
      <c r="D8" s="179"/>
      <c r="E8" s="179"/>
      <c r="F8" s="180"/>
    </row>
    <row r="9" spans="1:9" ht="15.75" thickBot="1">
      <c r="A9" s="50" t="s">
        <v>57</v>
      </c>
      <c r="B9" s="48" t="s">
        <v>35</v>
      </c>
      <c r="C9" s="48" t="s">
        <v>34</v>
      </c>
      <c r="D9" s="52" t="s">
        <v>36</v>
      </c>
      <c r="E9" s="52" t="s">
        <v>58</v>
      </c>
      <c r="F9" s="49" t="s">
        <v>12</v>
      </c>
    </row>
    <row r="10" spans="1:9" ht="15.75" thickTop="1">
      <c r="A10" s="57"/>
      <c r="B10" s="54"/>
      <c r="C10" s="58"/>
      <c r="D10" s="59"/>
      <c r="E10" s="60"/>
      <c r="F10" s="61"/>
      <c r="I10" s="23"/>
    </row>
    <row r="11" spans="1:9">
      <c r="A11" s="57"/>
      <c r="B11" s="54"/>
      <c r="C11" s="58"/>
      <c r="D11" s="59"/>
      <c r="E11" s="60"/>
      <c r="F11" s="61"/>
    </row>
    <row r="12" spans="1:9">
      <c r="A12" s="57"/>
      <c r="B12" s="54"/>
      <c r="C12" s="58"/>
      <c r="D12" s="59"/>
      <c r="E12" s="60"/>
      <c r="F12" s="61"/>
    </row>
    <row r="13" spans="1:9">
      <c r="A13" s="57"/>
      <c r="B13" s="54"/>
      <c r="C13" s="58"/>
      <c r="D13" s="59"/>
      <c r="E13" s="60"/>
      <c r="F13" s="61"/>
    </row>
    <row r="14" spans="1:9">
      <c r="A14" s="57"/>
      <c r="B14" s="54"/>
      <c r="C14" s="58"/>
      <c r="D14" s="59"/>
      <c r="E14" s="60"/>
      <c r="F14" s="61"/>
    </row>
    <row r="15" spans="1:9">
      <c r="A15" s="57"/>
      <c r="B15" s="54"/>
      <c r="C15" s="58"/>
      <c r="D15" s="59"/>
      <c r="E15" s="55"/>
      <c r="F15" s="61"/>
    </row>
    <row r="16" spans="1:9">
      <c r="A16" s="57"/>
      <c r="B16" s="54"/>
      <c r="C16" s="58"/>
      <c r="D16" s="59"/>
      <c r="E16" s="55"/>
      <c r="F16" s="61"/>
    </row>
    <row r="17" spans="1:6">
      <c r="A17" s="57"/>
      <c r="B17" s="54"/>
      <c r="C17" s="58"/>
      <c r="D17" s="59"/>
      <c r="E17" s="55"/>
      <c r="F17" s="61"/>
    </row>
    <row r="18" spans="1:6">
      <c r="A18" s="57"/>
      <c r="B18" s="54"/>
      <c r="C18" s="58"/>
      <c r="D18" s="59"/>
      <c r="E18" s="55"/>
      <c r="F18" s="61"/>
    </row>
    <row r="19" spans="1:6">
      <c r="A19" s="57"/>
      <c r="B19" s="54"/>
      <c r="C19" s="58"/>
      <c r="D19" s="59"/>
      <c r="E19" s="55"/>
      <c r="F19" s="61"/>
    </row>
    <row r="20" spans="1:6">
      <c r="A20" s="57"/>
      <c r="B20" s="54"/>
      <c r="C20" s="58"/>
      <c r="D20" s="59"/>
      <c r="E20" s="55"/>
      <c r="F20" s="61"/>
    </row>
    <row r="21" spans="1:6">
      <c r="A21" s="57"/>
      <c r="B21" s="54"/>
      <c r="C21" s="58"/>
      <c r="D21" s="59"/>
      <c r="E21" s="55"/>
      <c r="F21" s="61"/>
    </row>
    <row r="22" spans="1:6">
      <c r="A22" s="57"/>
      <c r="B22" s="54"/>
      <c r="C22" s="58"/>
      <c r="D22" s="59"/>
      <c r="E22" s="55"/>
      <c r="F22" s="61"/>
    </row>
    <row r="23" spans="1:6">
      <c r="A23" s="57"/>
      <c r="B23" s="54"/>
      <c r="C23" s="58"/>
      <c r="D23" s="59"/>
      <c r="E23" s="55"/>
      <c r="F23" s="61"/>
    </row>
    <row r="24" spans="1:6">
      <c r="A24" s="57"/>
      <c r="B24" s="54"/>
      <c r="C24" s="58"/>
      <c r="D24" s="59"/>
      <c r="E24" s="55"/>
      <c r="F24" s="61"/>
    </row>
    <row r="25" spans="1:6">
      <c r="A25" s="57"/>
      <c r="B25" s="54"/>
      <c r="C25" s="58"/>
      <c r="D25" s="59"/>
      <c r="E25" s="55"/>
      <c r="F25" s="61"/>
    </row>
    <row r="26" spans="1:6">
      <c r="A26" s="57"/>
      <c r="B26" s="54"/>
      <c r="C26" s="58"/>
      <c r="D26" s="59"/>
      <c r="E26" s="55"/>
      <c r="F26" s="61"/>
    </row>
    <row r="27" spans="1:6">
      <c r="A27" s="57"/>
      <c r="B27" s="54"/>
      <c r="C27" s="58"/>
      <c r="D27" s="59"/>
      <c r="E27" s="55"/>
      <c r="F27" s="61"/>
    </row>
    <row r="28" spans="1:6">
      <c r="A28" s="57"/>
      <c r="B28" s="54"/>
      <c r="C28" s="58"/>
      <c r="D28" s="59"/>
      <c r="E28" s="55"/>
      <c r="F28" s="61"/>
    </row>
    <row r="29" spans="1:6">
      <c r="A29" s="57"/>
      <c r="B29" s="54"/>
      <c r="C29" s="58"/>
      <c r="D29" s="59"/>
      <c r="E29" s="55"/>
      <c r="F29" s="61"/>
    </row>
    <row r="30" spans="1:6">
      <c r="A30" s="57"/>
      <c r="B30" s="54"/>
      <c r="C30" s="58"/>
      <c r="D30" s="59"/>
      <c r="E30" s="55"/>
      <c r="F30" s="61"/>
    </row>
  </sheetData>
  <sheetProtection formatColumns="0" insertRows="0" insertHyperlinks="0" deleteRows="0"/>
  <mergeCells count="1">
    <mergeCell ref="A8:F8"/>
  </mergeCells>
  <conditionalFormatting sqref="A10:A30">
    <cfRule type="expression" dxfId="114" priority="4">
      <formula>AND(COUNTIF(ApplicableMethodTypes,A10)=0,A10&lt;&gt;"")</formula>
    </cfRule>
  </conditionalFormatting>
  <conditionalFormatting sqref="A10:C30">
    <cfRule type="expression" dxfId="113" priority="3">
      <formula>AND(COUNTA($A10:$F10)&gt;0,A10="")</formula>
    </cfRule>
  </conditionalFormatting>
  <conditionalFormatting sqref="A11:F30">
    <cfRule type="expression" dxfId="112" priority="2">
      <formula>AND(COUNTA($A10:$F10)=0,A11&lt;&gt;"")</formula>
    </cfRule>
  </conditionalFormatting>
  <conditionalFormatting sqref="B10:B30">
    <cfRule type="duplicateValues" dxfId="111"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F27"/>
  <sheetViews>
    <sheetView workbookViewId="0">
      <selection activeCell="A16" sqref="A16"/>
    </sheetView>
  </sheetViews>
  <sheetFormatPr defaultColWidth="8.85546875" defaultRowHeight="15"/>
  <cols>
    <col min="1" max="1" width="16.42578125" style="5" customWidth="1"/>
    <col min="2" max="2" width="15.42578125" style="5" customWidth="1"/>
    <col min="3" max="3" width="16.28515625" style="5" customWidth="1"/>
    <col min="4" max="4" width="20.28515625" style="5" customWidth="1"/>
    <col min="5" max="5" width="12.7109375" style="5" customWidth="1"/>
    <col min="6" max="6" width="15.7109375" style="5" customWidth="1"/>
    <col min="7" max="16384" width="8.85546875" style="5"/>
  </cols>
  <sheetData>
    <row r="1" spans="1:6">
      <c r="A1" s="23" t="s">
        <v>174</v>
      </c>
    </row>
    <row r="2" spans="1:6">
      <c r="A2" s="5" t="s">
        <v>164</v>
      </c>
    </row>
    <row r="3" spans="1:6">
      <c r="A3" s="23" t="s">
        <v>163</v>
      </c>
    </row>
    <row r="4" spans="1:6" ht="15.75" thickBot="1">
      <c r="A4" s="23" t="s">
        <v>173</v>
      </c>
    </row>
    <row r="5" spans="1:6" ht="15.75" thickBot="1">
      <c r="A5" s="23" t="s">
        <v>66</v>
      </c>
      <c r="E5" s="24" t="s">
        <v>97</v>
      </c>
      <c r="F5" s="25">
        <f>COUNTA(VariableCodes)</f>
        <v>0</v>
      </c>
    </row>
    <row r="6" spans="1:6" ht="15.75" thickBot="1"/>
    <row r="7" spans="1:6">
      <c r="A7" s="181" t="s">
        <v>71</v>
      </c>
      <c r="B7" s="182"/>
      <c r="C7" s="182"/>
      <c r="D7" s="182"/>
      <c r="E7" s="182"/>
      <c r="F7" s="183"/>
    </row>
    <row r="8" spans="1:6" ht="15.75" thickBot="1">
      <c r="A8" s="50" t="s">
        <v>67</v>
      </c>
      <c r="B8" s="48" t="s">
        <v>32</v>
      </c>
      <c r="C8" s="48" t="s">
        <v>31</v>
      </c>
      <c r="D8" s="52" t="s">
        <v>68</v>
      </c>
      <c r="E8" s="52" t="s">
        <v>69</v>
      </c>
      <c r="F8" s="51" t="s">
        <v>70</v>
      </c>
    </row>
    <row r="9" spans="1:6" ht="15.75" thickTop="1">
      <c r="A9" s="57"/>
      <c r="B9" s="54"/>
      <c r="C9" s="54"/>
      <c r="D9" s="55"/>
      <c r="E9" s="55"/>
      <c r="F9" s="62"/>
    </row>
    <row r="10" spans="1:6">
      <c r="A10" s="57"/>
      <c r="B10" s="54"/>
      <c r="C10" s="54"/>
      <c r="D10" s="55"/>
      <c r="E10" s="55"/>
      <c r="F10" s="62"/>
    </row>
    <row r="11" spans="1:6">
      <c r="A11" s="57"/>
      <c r="B11" s="54"/>
      <c r="C11" s="54"/>
      <c r="D11" s="55"/>
      <c r="E11" s="55"/>
      <c r="F11" s="62"/>
    </row>
    <row r="12" spans="1:6">
      <c r="A12" s="57"/>
      <c r="B12" s="54"/>
      <c r="C12" s="54"/>
      <c r="D12" s="55"/>
      <c r="E12" s="55"/>
      <c r="F12" s="62"/>
    </row>
    <row r="13" spans="1:6">
      <c r="A13" s="57"/>
      <c r="B13" s="54"/>
      <c r="C13" s="54"/>
      <c r="D13" s="55"/>
      <c r="E13" s="55"/>
      <c r="F13" s="62"/>
    </row>
    <row r="14" spans="1:6">
      <c r="A14" s="57"/>
      <c r="B14" s="54"/>
      <c r="C14" s="54"/>
      <c r="D14" s="55"/>
      <c r="E14" s="55"/>
      <c r="F14" s="62"/>
    </row>
    <row r="15" spans="1:6">
      <c r="A15" s="57"/>
      <c r="B15" s="54"/>
      <c r="C15" s="54"/>
      <c r="D15" s="55"/>
      <c r="E15" s="55"/>
      <c r="F15" s="62"/>
    </row>
    <row r="16" spans="1:6">
      <c r="A16" s="57"/>
      <c r="B16" s="54"/>
      <c r="C16" s="54"/>
      <c r="D16" s="55"/>
      <c r="E16" s="55"/>
      <c r="F16" s="62"/>
    </row>
    <row r="17" spans="1:6">
      <c r="A17" s="57"/>
      <c r="B17" s="54"/>
      <c r="C17" s="54"/>
      <c r="D17" s="55"/>
      <c r="E17" s="55"/>
      <c r="F17" s="62"/>
    </row>
    <row r="18" spans="1:6">
      <c r="A18" s="57"/>
      <c r="B18" s="54"/>
      <c r="C18" s="54"/>
      <c r="D18" s="55"/>
      <c r="E18" s="55"/>
      <c r="F18" s="62"/>
    </row>
    <row r="19" spans="1:6">
      <c r="A19" s="57"/>
      <c r="B19" s="54"/>
      <c r="C19" s="54"/>
      <c r="D19" s="55"/>
      <c r="E19" s="55"/>
      <c r="F19" s="62"/>
    </row>
    <row r="20" spans="1:6">
      <c r="A20" s="57"/>
      <c r="B20" s="54"/>
      <c r="C20" s="54"/>
      <c r="D20" s="55"/>
      <c r="E20" s="55"/>
      <c r="F20" s="62"/>
    </row>
    <row r="21" spans="1:6">
      <c r="A21" s="57"/>
      <c r="B21" s="54"/>
      <c r="C21" s="54"/>
      <c r="D21" s="55"/>
      <c r="E21" s="55"/>
      <c r="F21" s="62"/>
    </row>
    <row r="22" spans="1:6">
      <c r="A22" s="57"/>
      <c r="B22" s="54"/>
      <c r="C22" s="54"/>
      <c r="D22" s="55"/>
      <c r="E22" s="55"/>
      <c r="F22" s="62"/>
    </row>
    <row r="23" spans="1:6">
      <c r="A23" s="57"/>
      <c r="B23" s="54"/>
      <c r="C23" s="54"/>
      <c r="D23" s="55"/>
      <c r="E23" s="55"/>
      <c r="F23" s="62"/>
    </row>
    <row r="24" spans="1:6">
      <c r="A24" s="57"/>
      <c r="B24" s="54"/>
      <c r="C24" s="54"/>
      <c r="D24" s="55"/>
      <c r="E24" s="55"/>
      <c r="F24" s="62"/>
    </row>
    <row r="25" spans="1:6">
      <c r="A25" s="57"/>
      <c r="B25" s="54"/>
      <c r="C25" s="54"/>
      <c r="D25" s="55"/>
      <c r="E25" s="55"/>
      <c r="F25" s="62"/>
    </row>
    <row r="26" spans="1:6">
      <c r="A26" s="57"/>
      <c r="B26" s="54"/>
      <c r="C26" s="54"/>
      <c r="D26" s="55"/>
      <c r="E26" s="55"/>
      <c r="F26" s="62"/>
    </row>
    <row r="27" spans="1:6">
      <c r="A27" s="57"/>
      <c r="B27" s="54"/>
      <c r="C27" s="54"/>
      <c r="D27" s="55"/>
      <c r="E27" s="55"/>
      <c r="F27" s="62"/>
    </row>
  </sheetData>
  <sheetProtection formatColumns="0" insertRows="0" insertHyperlinks="0" deleteRows="0"/>
  <mergeCells count="1">
    <mergeCell ref="A7:F7"/>
  </mergeCells>
  <conditionalFormatting sqref="A12:A27">
    <cfRule type="expression" dxfId="100" priority="12">
      <formula>AND(COUNTIF(VariableTypeCV,$A12)=0,$A12&lt;&gt;"")</formula>
    </cfRule>
  </conditionalFormatting>
  <conditionalFormatting sqref="C12:C27">
    <cfRule type="expression" dxfId="99" priority="11">
      <formula>AND(COUNTIF(VariableNameCV,$C12)=0,$C12&lt;&gt;"")</formula>
    </cfRule>
  </conditionalFormatting>
  <conditionalFormatting sqref="A12:C27 F12:F27">
    <cfRule type="expression" dxfId="98" priority="10">
      <formula>AND(COUNTA($A12:$F12)&gt;0,A12="")</formula>
    </cfRule>
  </conditionalFormatting>
  <conditionalFormatting sqref="A12:F27">
    <cfRule type="expression" dxfId="97" priority="9">
      <formula>AND(COUNTA($A11:$F11)=0,A12&lt;&gt;"")</formula>
    </cfRule>
  </conditionalFormatting>
  <conditionalFormatting sqref="B12:B27">
    <cfRule type="duplicateValues" dxfId="96" priority="8"/>
  </conditionalFormatting>
  <conditionalFormatting sqref="E12:E27">
    <cfRule type="expression" dxfId="95" priority="7">
      <formula>AND(COUNTIF(SpeciationCV,$E12)=0,$E12&lt;&gt;"")</formula>
    </cfRule>
  </conditionalFormatting>
  <conditionalFormatting sqref="A9:A11">
    <cfRule type="expression" dxfId="94" priority="6">
      <formula>AND(COUNTIF(VariableTypeCV,$A9)=0,$A9&lt;&gt;"")</formula>
    </cfRule>
  </conditionalFormatting>
  <conditionalFormatting sqref="C9:C11">
    <cfRule type="expression" dxfId="93" priority="5">
      <formula>AND(COUNTIF(VariableNameCV,$C9)=0,$C9&lt;&gt;"")</formula>
    </cfRule>
  </conditionalFormatting>
  <conditionalFormatting sqref="A9:C11 F9:F11">
    <cfRule type="expression" dxfId="92" priority="4">
      <formula>AND(COUNTA($A9:$F9)&gt;0,A9="")</formula>
    </cfRule>
  </conditionalFormatting>
  <conditionalFormatting sqref="A9:F11">
    <cfRule type="expression" dxfId="91" priority="3">
      <formula>AND(COUNTA($A8:$F8)=0,A9&lt;&gt;"")</formula>
    </cfRule>
  </conditionalFormatting>
  <conditionalFormatting sqref="B9:B11">
    <cfRule type="duplicateValues" dxfId="90" priority="2"/>
  </conditionalFormatting>
  <conditionalFormatting sqref="E9:E11">
    <cfRule type="expression" dxfId="89"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27"/>
  <sheetViews>
    <sheetView workbookViewId="0"/>
  </sheetViews>
  <sheetFormatPr defaultColWidth="8.85546875" defaultRowHeight="15"/>
  <cols>
    <col min="1" max="1" width="23.42578125" style="5" customWidth="1"/>
    <col min="2" max="2" width="29.7109375" style="5" customWidth="1"/>
    <col min="3" max="3" width="64" style="63" customWidth="1"/>
    <col min="4" max="4" width="8" style="5" bestFit="1" customWidth="1"/>
    <col min="5" max="16384" width="8.85546875" style="5"/>
  </cols>
  <sheetData>
    <row r="1" spans="1:5">
      <c r="A1" s="23" t="s">
        <v>176</v>
      </c>
    </row>
    <row r="2" spans="1:5">
      <c r="A2" s="5" t="s">
        <v>164</v>
      </c>
    </row>
    <row r="3" spans="1:5">
      <c r="A3" s="23" t="s">
        <v>163</v>
      </c>
    </row>
    <row r="4" spans="1:5" ht="15.75" thickBot="1">
      <c r="A4" s="23" t="s">
        <v>175</v>
      </c>
    </row>
    <row r="5" spans="1:5" ht="15.75" thickBot="1">
      <c r="A5" s="23" t="s">
        <v>79</v>
      </c>
      <c r="D5" s="24" t="s">
        <v>98</v>
      </c>
      <c r="E5" s="25">
        <f>COUNTA(ProcessingLevelCodes)</f>
        <v>0</v>
      </c>
    </row>
    <row r="6" spans="1:5">
      <c r="A6" s="23" t="s">
        <v>267</v>
      </c>
      <c r="D6" s="126"/>
      <c r="E6" s="126"/>
    </row>
    <row r="7" spans="1:5" ht="15.75" thickBot="1"/>
    <row r="8" spans="1:5">
      <c r="A8" s="184" t="s">
        <v>82</v>
      </c>
      <c r="B8" s="185"/>
      <c r="C8" s="186"/>
    </row>
    <row r="9" spans="1:5" ht="15.75" thickBot="1">
      <c r="A9" s="50" t="s">
        <v>80</v>
      </c>
      <c r="B9" s="48" t="s">
        <v>81</v>
      </c>
      <c r="C9" s="68" t="s">
        <v>83</v>
      </c>
    </row>
    <row r="10" spans="1:5" ht="15.75" thickTop="1">
      <c r="A10" s="64"/>
      <c r="B10" s="65"/>
      <c r="C10" s="66"/>
    </row>
    <row r="11" spans="1:5">
      <c r="A11" s="57"/>
      <c r="B11" s="55"/>
      <c r="C11" s="67"/>
    </row>
    <row r="12" spans="1:5">
      <c r="A12" s="57"/>
      <c r="B12" s="55"/>
      <c r="C12" s="67"/>
    </row>
    <row r="13" spans="1:5">
      <c r="A13" s="57"/>
      <c r="B13" s="55"/>
      <c r="C13" s="67"/>
    </row>
    <row r="14" spans="1:5">
      <c r="A14" s="57"/>
      <c r="B14" s="55"/>
      <c r="C14" s="67"/>
    </row>
    <row r="15" spans="1:5">
      <c r="A15" s="57"/>
      <c r="B15" s="55"/>
      <c r="C15" s="67"/>
    </row>
    <row r="16" spans="1:5">
      <c r="A16" s="57"/>
      <c r="B16" s="55"/>
      <c r="C16" s="67"/>
    </row>
    <row r="17" spans="1:3">
      <c r="A17" s="57"/>
      <c r="B17" s="55"/>
      <c r="C17" s="67"/>
    </row>
    <row r="18" spans="1:3">
      <c r="A18" s="57"/>
      <c r="B18" s="55"/>
      <c r="C18" s="67"/>
    </row>
    <row r="19" spans="1:3">
      <c r="A19" s="57"/>
      <c r="B19" s="55"/>
      <c r="C19" s="67"/>
    </row>
    <row r="20" spans="1:3">
      <c r="A20" s="57"/>
      <c r="B20" s="55"/>
      <c r="C20" s="67"/>
    </row>
    <row r="21" spans="1:3">
      <c r="A21" s="57"/>
      <c r="B21" s="55"/>
      <c r="C21" s="67"/>
    </row>
    <row r="22" spans="1:3">
      <c r="A22" s="57"/>
      <c r="B22" s="55"/>
      <c r="C22" s="67"/>
    </row>
    <row r="23" spans="1:3">
      <c r="A23" s="57"/>
      <c r="B23" s="55"/>
      <c r="C23" s="67"/>
    </row>
    <row r="24" spans="1:3">
      <c r="A24" s="57"/>
      <c r="B24" s="55"/>
      <c r="C24" s="67"/>
    </row>
    <row r="25" spans="1:3">
      <c r="A25" s="57"/>
      <c r="B25" s="55"/>
      <c r="C25" s="67"/>
    </row>
    <row r="26" spans="1:3">
      <c r="A26" s="57"/>
      <c r="B26" s="55"/>
      <c r="C26" s="67"/>
    </row>
    <row r="27" spans="1:3">
      <c r="A27" s="57"/>
      <c r="B27" s="55"/>
      <c r="C27" s="67"/>
    </row>
  </sheetData>
  <sheetProtection formatColumns="0" insertRows="0" insertHyperlinks="0" deleteRows="0"/>
  <mergeCells count="1">
    <mergeCell ref="A8:C8"/>
  </mergeCells>
  <conditionalFormatting sqref="A10:A27">
    <cfRule type="duplicateValues" dxfId="78" priority="2"/>
    <cfRule type="expression" dxfId="77" priority="3">
      <formula>AND(COUNTA($A10:$C10)&gt;0,$A10="")</formula>
    </cfRule>
  </conditionalFormatting>
  <conditionalFormatting sqref="A11:C27">
    <cfRule type="expression" dxfId="76" priority="1">
      <formula>AND(COUNTA($A10:$C10)=0,A11&lt;&gt;"")</formula>
    </cfRule>
  </conditionalFormatting>
  <pageMargins left="0.7" right="0.7" top="0.75" bottom="0.75" header="0.3" footer="0.3"/>
  <pageSetup orientation="portrait" verticalDpi="0"/>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50"/>
  <sheetViews>
    <sheetView workbookViewId="0">
      <selection activeCell="A17" sqref="A17"/>
    </sheetView>
  </sheetViews>
  <sheetFormatPr defaultColWidth="8.85546875" defaultRowHeight="15"/>
  <cols>
    <col min="1" max="1" width="13" customWidth="1"/>
    <col min="2" max="2" width="20.28515625" style="4" customWidth="1"/>
    <col min="3" max="3" width="13.42578125" style="4" customWidth="1"/>
    <col min="4" max="4" width="11.85546875" customWidth="1"/>
  </cols>
  <sheetData>
    <row r="1" spans="1:4" s="4" customFormat="1">
      <c r="A1" s="23" t="s">
        <v>176</v>
      </c>
    </row>
    <row r="2" spans="1:4" s="4" customFormat="1">
      <c r="A2" s="5" t="s">
        <v>164</v>
      </c>
    </row>
    <row r="3" spans="1:4" s="4" customFormat="1">
      <c r="A3" s="23" t="s">
        <v>163</v>
      </c>
    </row>
    <row r="4" spans="1:4" s="4" customFormat="1">
      <c r="A4" s="23" t="s">
        <v>268</v>
      </c>
    </row>
    <row r="5" spans="1:4" s="4" customFormat="1">
      <c r="A5" s="23" t="s">
        <v>269</v>
      </c>
    </row>
    <row r="6" spans="1:4" s="4" customFormat="1">
      <c r="A6" s="23" t="s">
        <v>270</v>
      </c>
    </row>
    <row r="7" spans="1:4" s="4" customFormat="1" ht="15.75" thickBot="1"/>
    <row r="8" spans="1:4" s="4" customFormat="1" ht="15.75" thickBot="1">
      <c r="C8" s="24" t="s">
        <v>259</v>
      </c>
      <c r="D8" s="25">
        <f>COUNTA(UnitNames)</f>
        <v>0</v>
      </c>
    </row>
    <row r="9" spans="1:4" ht="15.75" thickBot="1">
      <c r="A9" s="4"/>
    </row>
    <row r="10" spans="1:4">
      <c r="A10" s="178" t="s">
        <v>253</v>
      </c>
      <c r="B10" s="179"/>
      <c r="C10" s="179"/>
      <c r="D10" s="179"/>
    </row>
    <row r="11" spans="1:4">
      <c r="A11" s="159" t="s">
        <v>257</v>
      </c>
      <c r="B11" s="159" t="s">
        <v>256</v>
      </c>
      <c r="C11" s="159" t="s">
        <v>254</v>
      </c>
      <c r="D11" s="160" t="s">
        <v>255</v>
      </c>
    </row>
    <row r="12" spans="1:4">
      <c r="A12" s="7"/>
      <c r="B12" s="7"/>
      <c r="C12" s="7"/>
      <c r="D12" s="9"/>
    </row>
    <row r="13" spans="1:4" s="4" customFormat="1">
      <c r="A13" s="7"/>
      <c r="B13" s="7"/>
      <c r="C13" s="7"/>
      <c r="D13" s="9"/>
    </row>
    <row r="14" spans="1:4" s="4" customFormat="1">
      <c r="A14" s="7"/>
      <c r="B14" s="7"/>
      <c r="C14" s="7"/>
      <c r="D14" s="9"/>
    </row>
    <row r="15" spans="1:4" s="4" customFormat="1">
      <c r="A15" s="7"/>
      <c r="B15" s="7"/>
      <c r="C15" s="7"/>
      <c r="D15" s="9"/>
    </row>
    <row r="16" spans="1:4" s="4" customFormat="1">
      <c r="A16" s="7"/>
      <c r="B16" s="7"/>
      <c r="C16" s="7"/>
      <c r="D16" s="9"/>
    </row>
    <row r="17" spans="1:4" s="4" customFormat="1">
      <c r="A17" s="7"/>
      <c r="B17" s="7"/>
      <c r="C17" s="7"/>
      <c r="D17" s="9"/>
    </row>
    <row r="18" spans="1:4" s="4" customFormat="1">
      <c r="A18" s="7"/>
      <c r="B18" s="7"/>
      <c r="C18" s="7"/>
      <c r="D18" s="9"/>
    </row>
    <row r="19" spans="1:4" s="4" customFormat="1">
      <c r="A19" s="7"/>
      <c r="B19" s="7"/>
      <c r="C19" s="7"/>
      <c r="D19" s="9"/>
    </row>
    <row r="20" spans="1:4" s="4" customFormat="1">
      <c r="A20" s="7"/>
      <c r="B20" s="7"/>
      <c r="C20" s="7"/>
      <c r="D20" s="9"/>
    </row>
    <row r="21" spans="1:4" s="4" customFormat="1">
      <c r="A21" s="7"/>
      <c r="B21" s="7"/>
      <c r="C21" s="7"/>
      <c r="D21" s="9"/>
    </row>
    <row r="22" spans="1:4" s="4" customFormat="1">
      <c r="A22" s="7"/>
      <c r="B22" s="7"/>
      <c r="C22" s="7"/>
      <c r="D22" s="9"/>
    </row>
    <row r="23" spans="1:4" s="4" customFormat="1">
      <c r="A23" s="7"/>
      <c r="B23" s="7"/>
      <c r="C23" s="7"/>
      <c r="D23" s="9"/>
    </row>
    <row r="24" spans="1:4" s="4" customFormat="1">
      <c r="A24" s="7"/>
      <c r="B24" s="7"/>
      <c r="C24" s="7"/>
      <c r="D24" s="9"/>
    </row>
    <row r="25" spans="1:4" s="4" customFormat="1">
      <c r="A25" s="7"/>
      <c r="B25" s="7"/>
      <c r="C25" s="7"/>
      <c r="D25" s="9"/>
    </row>
    <row r="26" spans="1:4" s="4" customFormat="1">
      <c r="A26" s="7"/>
      <c r="B26" s="7"/>
      <c r="C26" s="7"/>
      <c r="D26" s="9"/>
    </row>
    <row r="27" spans="1:4" s="4" customFormat="1">
      <c r="A27" s="7"/>
      <c r="B27" s="7"/>
      <c r="C27" s="7"/>
      <c r="D27" s="9"/>
    </row>
    <row r="28" spans="1:4" s="4" customFormat="1">
      <c r="A28" s="7"/>
      <c r="B28" s="7"/>
      <c r="C28" s="7"/>
      <c r="D28" s="9"/>
    </row>
    <row r="29" spans="1:4" s="4" customFormat="1">
      <c r="A29" s="7"/>
      <c r="B29" s="7"/>
      <c r="C29" s="7"/>
      <c r="D29" s="9"/>
    </row>
    <row r="30" spans="1:4" s="4" customFormat="1">
      <c r="A30" s="7"/>
      <c r="B30" s="7"/>
      <c r="C30" s="7"/>
      <c r="D30" s="9"/>
    </row>
    <row r="31" spans="1:4" s="4" customFormat="1">
      <c r="A31" s="7"/>
      <c r="B31" s="7"/>
      <c r="C31" s="7"/>
      <c r="D31" s="9"/>
    </row>
    <row r="32" spans="1:4" s="4" customFormat="1">
      <c r="A32" s="7"/>
      <c r="B32" s="7"/>
      <c r="C32" s="7"/>
      <c r="D32" s="9"/>
    </row>
    <row r="33" spans="1:4" s="4" customFormat="1">
      <c r="A33" s="7"/>
      <c r="B33" s="7"/>
      <c r="C33" s="7"/>
      <c r="D33" s="9"/>
    </row>
    <row r="34" spans="1:4" s="4" customFormat="1">
      <c r="A34" s="7"/>
      <c r="B34" s="7"/>
      <c r="C34" s="7"/>
      <c r="D34" s="9"/>
    </row>
    <row r="35" spans="1:4" s="4" customFormat="1">
      <c r="A35" s="7"/>
      <c r="B35" s="7"/>
      <c r="C35" s="7"/>
      <c r="D35" s="9"/>
    </row>
    <row r="36" spans="1:4" s="4" customFormat="1">
      <c r="A36" s="7"/>
      <c r="B36" s="7"/>
      <c r="C36" s="7"/>
      <c r="D36" s="9"/>
    </row>
    <row r="37" spans="1:4" s="4" customFormat="1">
      <c r="A37" s="7"/>
      <c r="B37" s="7"/>
      <c r="C37" s="7"/>
      <c r="D37" s="9"/>
    </row>
    <row r="38" spans="1:4" s="4" customFormat="1">
      <c r="A38" s="7"/>
      <c r="B38" s="7"/>
      <c r="C38" s="7"/>
      <c r="D38" s="9"/>
    </row>
    <row r="39" spans="1:4" s="4" customFormat="1">
      <c r="A39" s="7"/>
      <c r="B39" s="7"/>
      <c r="C39" s="7"/>
      <c r="D39" s="9"/>
    </row>
    <row r="40" spans="1:4" s="4" customFormat="1">
      <c r="A40" s="7"/>
      <c r="B40" s="7"/>
      <c r="C40" s="7"/>
      <c r="D40" s="9"/>
    </row>
    <row r="41" spans="1:4" s="4" customFormat="1">
      <c r="A41" s="7"/>
      <c r="B41" s="7"/>
      <c r="C41" s="7"/>
      <c r="D41" s="9"/>
    </row>
    <row r="42" spans="1:4" s="4" customFormat="1">
      <c r="A42" s="7"/>
      <c r="B42" s="7"/>
      <c r="C42" s="7"/>
      <c r="D42" s="9"/>
    </row>
    <row r="43" spans="1:4" s="4" customFormat="1">
      <c r="A43" s="7"/>
      <c r="B43" s="7"/>
      <c r="C43" s="7"/>
      <c r="D43" s="9"/>
    </row>
    <row r="44" spans="1:4" s="4" customFormat="1">
      <c r="A44" s="7"/>
      <c r="B44" s="7"/>
      <c r="C44" s="7"/>
      <c r="D44" s="9"/>
    </row>
    <row r="45" spans="1:4" s="4" customFormat="1">
      <c r="A45" s="7"/>
      <c r="B45" s="7"/>
      <c r="C45" s="7"/>
      <c r="D45" s="9"/>
    </row>
    <row r="46" spans="1:4" s="4" customFormat="1">
      <c r="A46" s="7"/>
      <c r="B46" s="7"/>
      <c r="C46" s="7"/>
      <c r="D46" s="9"/>
    </row>
    <row r="47" spans="1:4" s="4" customFormat="1">
      <c r="A47" s="7"/>
      <c r="B47" s="7"/>
      <c r="C47" s="7"/>
      <c r="D47" s="9"/>
    </row>
    <row r="48" spans="1:4" s="4" customFormat="1">
      <c r="A48" s="7"/>
      <c r="B48" s="7"/>
      <c r="C48" s="7"/>
      <c r="D48" s="9"/>
    </row>
    <row r="49" spans="1:4" s="4" customFormat="1">
      <c r="A49" s="7"/>
      <c r="B49" s="7"/>
      <c r="C49" s="7"/>
      <c r="D49" s="9"/>
    </row>
    <row r="50" spans="1:4" s="4" customFormat="1">
      <c r="A50" s="11"/>
      <c r="B50" s="11"/>
      <c r="C50" s="11"/>
      <c r="D50" s="12"/>
    </row>
  </sheetData>
  <mergeCells count="1">
    <mergeCell ref="A10:D10"/>
  </mergeCells>
  <conditionalFormatting sqref="A12:C50">
    <cfRule type="expression" dxfId="68" priority="27">
      <formula>AND(COUNTA($A12:$D12)&gt;0,$A12="")</formula>
    </cfRule>
  </conditionalFormatting>
  <conditionalFormatting sqref="C12:C50">
    <cfRule type="duplicateValues" dxfId="67" priority="1"/>
    <cfRule type="duplicateValues" dxfId="66" priority="2"/>
  </conditionalFormatting>
  <conditionalFormatting sqref="A12:A50">
    <cfRule type="expression" dxfId="65" priority="28">
      <formula>AND(COUNTIF(UnitsTypeCV,$A12)=0,$A12&lt;&gt;"")</formula>
    </cfRule>
  </conditionalFormatting>
  <dataValidations count="1">
    <dataValidation type="list" allowBlank="1" showInputMessage="1" showErrorMessage="1" sqref="A12:A50">
      <formula1>UnitsTypeCV</formula1>
    </dataValidation>
  </dataValidations>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workbookViewId="0">
      <selection activeCell="B11" sqref="B11"/>
    </sheetView>
  </sheetViews>
  <sheetFormatPr defaultColWidth="8.85546875" defaultRowHeight="15"/>
  <cols>
    <col min="1" max="1" width="7" style="5" customWidth="1"/>
    <col min="2" max="2" width="14.42578125" style="5" customWidth="1"/>
    <col min="3" max="3" width="14" style="5" bestFit="1" customWidth="1"/>
    <col min="4" max="4" width="24.140625" style="5" bestFit="1" customWidth="1"/>
    <col min="5" max="5" width="16.28515625" style="5" bestFit="1" customWidth="1"/>
    <col min="6" max="7" width="19.85546875" style="5" bestFit="1" customWidth="1"/>
    <col min="8" max="8" width="15.85546875" style="5" bestFit="1" customWidth="1"/>
    <col min="9" max="9" width="18" style="5" bestFit="1" customWidth="1"/>
    <col min="10" max="10" width="19.140625" style="5" bestFit="1" customWidth="1"/>
    <col min="11" max="11" width="26.42578125" style="5" bestFit="1" customWidth="1"/>
    <col min="12" max="12" width="23.42578125" style="5" bestFit="1" customWidth="1"/>
    <col min="13" max="13" width="21.7109375" style="5" bestFit="1" customWidth="1"/>
    <col min="14" max="14" width="14.42578125" style="5" bestFit="1" customWidth="1"/>
    <col min="15" max="15" width="14.7109375" style="5" bestFit="1" customWidth="1"/>
    <col min="16" max="16" width="12.42578125" style="5" bestFit="1" customWidth="1"/>
    <col min="17" max="16384" width="8.85546875" style="5"/>
  </cols>
  <sheetData>
    <row r="1" spans="1:16" s="23" customFormat="1">
      <c r="A1" s="23" t="s">
        <v>177</v>
      </c>
    </row>
    <row r="2" spans="1:16" s="23" customFormat="1">
      <c r="A2" s="23" t="s">
        <v>164</v>
      </c>
    </row>
    <row r="3" spans="1:16" s="23" customFormat="1">
      <c r="A3" s="23" t="s">
        <v>163</v>
      </c>
    </row>
    <row r="4" spans="1:16" s="23" customFormat="1">
      <c r="A4" s="23" t="s">
        <v>179</v>
      </c>
      <c r="D4" s="135"/>
    </row>
    <row r="5" spans="1:16" s="23" customFormat="1" ht="15.75" thickBot="1">
      <c r="A5" s="23" t="s">
        <v>178</v>
      </c>
    </row>
    <row r="6" spans="1:16" s="23" customFormat="1" ht="15.75" thickBot="1">
      <c r="A6" s="23" t="s">
        <v>89</v>
      </c>
      <c r="D6" s="135"/>
      <c r="M6" s="70" t="s">
        <v>90</v>
      </c>
      <c r="N6" s="25">
        <f ca="1">MAX(DataColumns[Col '#])-2</f>
        <v>-2</v>
      </c>
    </row>
    <row r="7" spans="1:16" s="23" customFormat="1">
      <c r="A7" s="23" t="s">
        <v>180</v>
      </c>
      <c r="D7" s="135"/>
    </row>
    <row r="8" spans="1:16" s="23" customFormat="1" ht="15.75" thickBot="1">
      <c r="O8" s="140"/>
    </row>
    <row r="9" spans="1:16" s="23" customFormat="1">
      <c r="A9" s="187" t="s">
        <v>30</v>
      </c>
      <c r="B9" s="188"/>
      <c r="C9" s="188"/>
      <c r="D9" s="188"/>
      <c r="E9" s="188"/>
      <c r="F9" s="188"/>
      <c r="G9" s="188"/>
      <c r="H9" s="188"/>
      <c r="I9" s="188"/>
      <c r="J9" s="188"/>
      <c r="K9" s="188"/>
      <c r="L9" s="188"/>
      <c r="M9" s="188"/>
      <c r="N9" s="188"/>
      <c r="O9" s="188"/>
      <c r="P9" s="189"/>
    </row>
    <row r="10" spans="1:16" s="23" customFormat="1" ht="15.75" thickBot="1">
      <c r="A10" s="69" t="s">
        <v>78</v>
      </c>
      <c r="B10" s="50" t="s">
        <v>84</v>
      </c>
      <c r="C10" s="52" t="s">
        <v>73</v>
      </c>
      <c r="D10" s="48" t="s">
        <v>76</v>
      </c>
      <c r="E10" s="48" t="s">
        <v>35</v>
      </c>
      <c r="F10" s="48" t="s">
        <v>154</v>
      </c>
      <c r="G10" s="48" t="s">
        <v>25</v>
      </c>
      <c r="H10" s="48" t="s">
        <v>32</v>
      </c>
      <c r="I10" s="48" t="s">
        <v>33</v>
      </c>
      <c r="J10" s="48" t="s">
        <v>26</v>
      </c>
      <c r="K10" s="48" t="s">
        <v>74</v>
      </c>
      <c r="L10" s="48" t="s">
        <v>29</v>
      </c>
      <c r="M10" s="48" t="s">
        <v>77</v>
      </c>
      <c r="N10" s="48" t="s">
        <v>75</v>
      </c>
      <c r="O10" s="48" t="s">
        <v>27</v>
      </c>
      <c r="P10" s="117" t="s">
        <v>28</v>
      </c>
    </row>
    <row r="11" spans="1:16" ht="15.75" thickTop="1">
      <c r="A11" s="42" t="str">
        <f ca="1">IF(COUNTA(DataColumns[[#This Row],[Column Label]:[Quality Code]])&gt;0,IF(MAX(INDIRECT(CONCATENATE("R",ROW(DataColumns[#Headers]),"C",COLUMN(),":R",ROW()-1,"C",COLUMN()),FALSE))=0,3,MAX(INDIRECT(CONCATENATE("R",ROW(DataColumns[#Headers]),"C",COLUMN(),":R",ROW()-1,"C",COLUMN()),FALSE))+1),"")</f>
        <v/>
      </c>
      <c r="B11" s="13"/>
      <c r="C11" s="15"/>
      <c r="D11" s="14"/>
      <c r="E11" s="14"/>
      <c r="F11" s="14"/>
      <c r="G11" s="14"/>
      <c r="H11" s="14"/>
      <c r="I11" s="7"/>
      <c r="J11" s="14"/>
      <c r="K11" s="14"/>
      <c r="L11" s="14"/>
      <c r="M11" s="14"/>
      <c r="N11" s="14"/>
      <c r="O11" s="14"/>
      <c r="P11" s="27"/>
    </row>
    <row r="12" spans="1:16">
      <c r="A12" s="43" t="str">
        <f ca="1">IF(COUNTA(DataColumns[[#This Row],[Column Label]:[Quality Code]])&gt;0,IF(MAX(INDIRECT(CONCATENATE("R",ROW(DataColumns[#Headers]),"C",COLUMN(),":R",ROW()-1,"C",COLUMN()),FALSE))=0,3,MAX(INDIRECT(CONCATENATE("R",ROW(DataColumns[#Headers]),"C",COLUMN(),":R",ROW()-1,"C",COLUMN()),FALSE))+1),"")</f>
        <v/>
      </c>
      <c r="B12" s="6"/>
      <c r="C12" s="18"/>
      <c r="D12" s="7"/>
      <c r="E12" s="7"/>
      <c r="F12" s="7"/>
      <c r="G12" s="7"/>
      <c r="H12" s="7"/>
      <c r="I12" s="7"/>
      <c r="J12" s="7"/>
      <c r="K12" s="7"/>
      <c r="L12" s="7"/>
      <c r="M12" s="14"/>
      <c r="N12" s="7"/>
      <c r="O12" s="7"/>
      <c r="P12" s="28"/>
    </row>
    <row r="13" spans="1:16">
      <c r="A13" s="43" t="str">
        <f ca="1">IF(COUNTA(DataColumns[[#This Row],[Column Label]:[Quality Code]])&gt;0,IF(MAX(INDIRECT(CONCATENATE("R",ROW(DataColumns[#Headers]),"C",COLUMN(),":R",ROW()-1,"C",COLUMN()),FALSE))=0,3,MAX(INDIRECT(CONCATENATE("R",ROW(DataColumns[#Headers]),"C",COLUMN(),":R",ROW()-1,"C",COLUMN()),FALSE))+1),"")</f>
        <v/>
      </c>
      <c r="B13" s="6"/>
      <c r="C13" s="18"/>
      <c r="D13" s="7"/>
      <c r="E13" s="7"/>
      <c r="F13" s="7"/>
      <c r="G13" s="7"/>
      <c r="H13" s="7"/>
      <c r="I13" s="7"/>
      <c r="J13" s="7"/>
      <c r="K13" s="7"/>
      <c r="L13" s="7"/>
      <c r="M13" s="14"/>
      <c r="N13" s="7"/>
      <c r="O13" s="7"/>
      <c r="P13" s="28"/>
    </row>
    <row r="14" spans="1:16">
      <c r="A14" s="43"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14"/>
      <c r="N14" s="7"/>
      <c r="O14" s="7"/>
      <c r="P14" s="28"/>
    </row>
    <row r="15" spans="1:16">
      <c r="A15" s="43"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14"/>
      <c r="N15" s="7"/>
      <c r="O15" s="7"/>
      <c r="P15" s="28"/>
    </row>
    <row r="16" spans="1:16">
      <c r="A16" s="43"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14"/>
      <c r="N16" s="7"/>
      <c r="O16" s="7"/>
      <c r="P16" s="28"/>
    </row>
    <row r="17" spans="1:16">
      <c r="A17" s="43"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14"/>
      <c r="N17" s="7"/>
      <c r="O17" s="7"/>
      <c r="P17" s="28"/>
    </row>
    <row r="18" spans="1:16">
      <c r="A18" s="43"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14"/>
      <c r="N18" s="7"/>
      <c r="O18" s="7"/>
      <c r="P18" s="28"/>
    </row>
    <row r="19" spans="1:16">
      <c r="A19" s="43"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14"/>
      <c r="N19" s="7"/>
      <c r="O19" s="7"/>
      <c r="P19" s="28"/>
    </row>
    <row r="20" spans="1:16">
      <c r="A20" s="43"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14"/>
      <c r="N20" s="7"/>
      <c r="O20" s="7"/>
      <c r="P20" s="28"/>
    </row>
    <row r="21" spans="1:16">
      <c r="A21" s="43"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14"/>
      <c r="N21" s="7"/>
      <c r="O21" s="7"/>
      <c r="P21" s="28"/>
    </row>
    <row r="22" spans="1:16">
      <c r="A22" s="43"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14"/>
      <c r="N22" s="7"/>
      <c r="O22" s="7"/>
      <c r="P22" s="28"/>
    </row>
    <row r="23" spans="1:16">
      <c r="A23" s="43"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14"/>
      <c r="N23" s="7"/>
      <c r="O23" s="7"/>
      <c r="P23" s="28"/>
    </row>
    <row r="24" spans="1:16">
      <c r="A24" s="43"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14"/>
      <c r="N24" s="7"/>
      <c r="O24" s="7"/>
      <c r="P24" s="28"/>
    </row>
    <row r="25" spans="1:16">
      <c r="A25" s="43"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14"/>
      <c r="N25" s="7"/>
      <c r="O25" s="7"/>
      <c r="P25" s="28"/>
    </row>
    <row r="26" spans="1:16">
      <c r="A26" s="43"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14"/>
      <c r="N26" s="7"/>
      <c r="O26" s="7"/>
      <c r="P26" s="28"/>
    </row>
    <row r="27" spans="1:16">
      <c r="A27" s="43"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14"/>
      <c r="N27" s="7"/>
      <c r="O27" s="7"/>
      <c r="P27" s="28"/>
    </row>
    <row r="28" spans="1:16">
      <c r="A28" s="43"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14"/>
      <c r="N28" s="7"/>
      <c r="O28" s="7"/>
      <c r="P28" s="28"/>
    </row>
    <row r="29" spans="1:16">
      <c r="A29" s="43"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14"/>
      <c r="N29" s="7"/>
      <c r="O29" s="7"/>
      <c r="P29" s="28"/>
    </row>
    <row r="30" spans="1:16">
      <c r="A30" s="43"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14"/>
      <c r="N30" s="7"/>
      <c r="O30" s="7"/>
      <c r="P30" s="28"/>
    </row>
    <row r="31" spans="1:16">
      <c r="A31" s="43"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14"/>
      <c r="N31" s="7"/>
      <c r="O31" s="7"/>
      <c r="P31" s="28"/>
    </row>
    <row r="32" spans="1:16">
      <c r="A32" s="43"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14"/>
      <c r="N32" s="7"/>
      <c r="O32" s="7"/>
      <c r="P32" s="28"/>
    </row>
    <row r="33" spans="1:16">
      <c r="A33" s="43"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14"/>
      <c r="N33" s="7"/>
      <c r="O33" s="7"/>
      <c r="P33" s="28"/>
    </row>
    <row r="34" spans="1:16">
      <c r="A34" s="43"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14"/>
      <c r="N34" s="7"/>
      <c r="O34" s="7"/>
      <c r="P34" s="28"/>
    </row>
    <row r="35" spans="1:16">
      <c r="A35" s="43"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14"/>
      <c r="N35" s="7"/>
      <c r="O35" s="7"/>
      <c r="P35" s="28"/>
    </row>
    <row r="36" spans="1:16">
      <c r="A36" s="43" t="str">
        <f ca="1">IF(COUNTA(DataColumns[[#This Row],[Column Label]:[Quality Code]])&gt;0,IF(MAX(INDIRECT(CONCATENATE("R",ROW(DataColumns[#Headers]),"C",COLUMN(),":R",ROW()-1,"C",COLUMN()),FALSE))=0,3,MAX(INDIRECT(CONCATENATE("R",ROW(DataColumns[#Headers]),"C",COLUMN(),":R",ROW()-1,"C",COLUMN()),FALSE))+1),"")</f>
        <v/>
      </c>
      <c r="B36" s="6"/>
      <c r="C36" s="18"/>
      <c r="D36" s="7"/>
      <c r="E36" s="7"/>
      <c r="F36" s="7"/>
      <c r="G36" s="7"/>
      <c r="H36" s="7"/>
      <c r="I36" s="7"/>
      <c r="J36" s="7"/>
      <c r="K36" s="7"/>
      <c r="L36" s="7"/>
      <c r="M36" s="14"/>
      <c r="N36" s="7"/>
      <c r="O36" s="7"/>
      <c r="P36" s="28"/>
    </row>
    <row r="37" spans="1:16">
      <c r="A37" s="43"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14"/>
      <c r="N37" s="7"/>
      <c r="O37" s="7"/>
      <c r="P37" s="28"/>
    </row>
    <row r="38" spans="1:16">
      <c r="A38" s="43"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14"/>
      <c r="N38" s="7"/>
      <c r="O38" s="7"/>
      <c r="P38" s="28"/>
    </row>
    <row r="39" spans="1:16">
      <c r="A39" s="43"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14"/>
      <c r="N39" s="7"/>
      <c r="O39" s="7"/>
      <c r="P39" s="28"/>
    </row>
    <row r="40" spans="1:16">
      <c r="A40" s="43"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14"/>
      <c r="N40" s="7"/>
      <c r="O40" s="7"/>
      <c r="P40" s="28"/>
    </row>
    <row r="41" spans="1:16">
      <c r="A41" s="43"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14"/>
      <c r="N41" s="7"/>
      <c r="O41" s="7"/>
      <c r="P41" s="28"/>
    </row>
    <row r="42" spans="1:16">
      <c r="A42" s="43"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14"/>
      <c r="N42" s="7"/>
      <c r="O42" s="7"/>
      <c r="P42" s="28"/>
    </row>
    <row r="43" spans="1:16">
      <c r="A43" s="43" t="str">
        <f ca="1">IF(COUNTA(DataColumns[[#This Row],[Column Label]:[Quality Code]])&gt;0,IF(MAX(INDIRECT(CONCATENATE("R",ROW(DataColumns[#Headers]),"C",COLUMN(),":R",ROW()-1,"C",COLUMN()),FALSE))=0,3,MAX(INDIRECT(CONCATENATE("R",ROW(DataColumns[#Headers]),"C",COLUMN(),":R",ROW()-1,"C",COLUMN()),FALSE))+1),"")</f>
        <v/>
      </c>
      <c r="B43" s="6"/>
      <c r="C43" s="18"/>
      <c r="D43" s="7"/>
      <c r="E43" s="7"/>
      <c r="F43" s="7"/>
      <c r="G43" s="7"/>
      <c r="H43" s="7"/>
      <c r="I43" s="7"/>
      <c r="J43" s="7"/>
      <c r="K43" s="7"/>
      <c r="L43" s="7"/>
      <c r="M43" s="14"/>
      <c r="N43" s="7"/>
      <c r="O43" s="7"/>
      <c r="P43" s="28"/>
    </row>
    <row r="44" spans="1:16">
      <c r="A44" s="43"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14"/>
      <c r="N44" s="7"/>
      <c r="O44" s="7"/>
      <c r="P44" s="28"/>
    </row>
    <row r="45" spans="1:16">
      <c r="A45" s="43"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14"/>
      <c r="N45" s="7"/>
      <c r="O45" s="7"/>
      <c r="P45" s="28"/>
    </row>
    <row r="46" spans="1:16">
      <c r="A46" s="43"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14"/>
      <c r="N46" s="7"/>
      <c r="O46" s="7"/>
      <c r="P46" s="28"/>
    </row>
    <row r="47" spans="1:16">
      <c r="A47" s="43"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14"/>
      <c r="N47" s="7"/>
      <c r="O47" s="7"/>
      <c r="P47" s="28"/>
    </row>
    <row r="48" spans="1:16">
      <c r="A48" s="43"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14"/>
      <c r="N48" s="7"/>
      <c r="O48" s="7"/>
      <c r="P48" s="28"/>
    </row>
    <row r="49" spans="1:16">
      <c r="A49" s="43"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14"/>
      <c r="N49" s="7"/>
      <c r="O49" s="7"/>
      <c r="P49" s="28"/>
    </row>
    <row r="50" spans="1:16">
      <c r="A50" s="43"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14"/>
      <c r="N50" s="7"/>
      <c r="O50" s="7"/>
      <c r="P50" s="28"/>
    </row>
    <row r="51" spans="1:16">
      <c r="A51" s="43"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14"/>
      <c r="N51" s="7"/>
      <c r="O51" s="7"/>
      <c r="P51" s="28"/>
    </row>
    <row r="52" spans="1:16">
      <c r="A52" s="43"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14"/>
      <c r="N52" s="7"/>
      <c r="O52" s="7"/>
      <c r="P52" s="28"/>
    </row>
    <row r="53" spans="1:16">
      <c r="A53" s="43"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14"/>
      <c r="N53" s="7"/>
      <c r="O53" s="7"/>
      <c r="P53" s="28"/>
    </row>
    <row r="54" spans="1:16">
      <c r="A54" s="43"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14"/>
      <c r="N54" s="7"/>
      <c r="O54" s="7"/>
      <c r="P54" s="28"/>
    </row>
    <row r="55" spans="1:16">
      <c r="A55" s="43"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14"/>
      <c r="N55" s="7"/>
      <c r="O55" s="7"/>
      <c r="P55" s="28"/>
    </row>
    <row r="56" spans="1:16">
      <c r="A56" s="43"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14"/>
      <c r="N56" s="7"/>
      <c r="O56" s="7"/>
      <c r="P56" s="28"/>
    </row>
    <row r="57" spans="1:16">
      <c r="A57" s="43"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14"/>
      <c r="N57" s="7"/>
      <c r="O57" s="7"/>
      <c r="P57" s="28"/>
    </row>
    <row r="58" spans="1:16">
      <c r="A58" s="43"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14"/>
      <c r="N58" s="7"/>
      <c r="O58" s="7"/>
      <c r="P58" s="28"/>
    </row>
    <row r="59" spans="1:16">
      <c r="A59" s="43"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14"/>
      <c r="N59" s="7"/>
      <c r="O59" s="7"/>
      <c r="P59" s="28"/>
    </row>
    <row r="60" spans="1:16">
      <c r="A60" s="43"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14"/>
      <c r="N60" s="7"/>
      <c r="O60" s="7"/>
      <c r="P60" s="28"/>
    </row>
    <row r="61" spans="1:16">
      <c r="A61" s="43"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14"/>
      <c r="N61" s="7"/>
      <c r="O61" s="7"/>
      <c r="P61" s="28"/>
    </row>
    <row r="62" spans="1:16">
      <c r="A62" s="43"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14"/>
      <c r="N62" s="7"/>
      <c r="O62" s="7"/>
      <c r="P62" s="28"/>
    </row>
    <row r="63" spans="1:16">
      <c r="A63" s="43"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14"/>
      <c r="N63" s="7"/>
      <c r="O63" s="7"/>
      <c r="P63" s="28"/>
    </row>
    <row r="64" spans="1:16">
      <c r="A64" s="43"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14"/>
      <c r="N64" s="7"/>
      <c r="O64" s="7"/>
      <c r="P64" s="28"/>
    </row>
    <row r="65" spans="1:16">
      <c r="A65" s="43"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14"/>
      <c r="N65" s="7"/>
      <c r="O65" s="7"/>
      <c r="P65" s="28"/>
    </row>
    <row r="66" spans="1:16">
      <c r="A66" s="43"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14"/>
      <c r="N66" s="7"/>
      <c r="O66" s="7"/>
      <c r="P66" s="28"/>
    </row>
    <row r="67" spans="1:16">
      <c r="A67" s="43"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14"/>
      <c r="N67" s="7"/>
      <c r="O67" s="7"/>
      <c r="P67" s="28"/>
    </row>
    <row r="68" spans="1:16">
      <c r="A68" s="43"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14"/>
      <c r="N68" s="7"/>
      <c r="O68" s="7"/>
      <c r="P68" s="28"/>
    </row>
    <row r="69" spans="1:16">
      <c r="A69" s="43"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14"/>
      <c r="N69" s="7"/>
      <c r="O69" s="7"/>
      <c r="P69" s="28"/>
    </row>
    <row r="70" spans="1:16">
      <c r="A70" s="43"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14"/>
      <c r="N70" s="7"/>
      <c r="O70" s="7"/>
      <c r="P70" s="28"/>
    </row>
    <row r="71" spans="1:16">
      <c r="A71" s="43"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14"/>
      <c r="N71" s="7"/>
      <c r="O71" s="7"/>
      <c r="P71" s="28"/>
    </row>
    <row r="72" spans="1:16">
      <c r="A72" s="43"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14"/>
      <c r="N72" s="7"/>
      <c r="O72" s="7"/>
      <c r="P72" s="28"/>
    </row>
    <row r="73" spans="1:16">
      <c r="A73" s="43"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14"/>
      <c r="N73" s="7"/>
      <c r="O73" s="7"/>
      <c r="P73" s="28"/>
    </row>
    <row r="74" spans="1:16">
      <c r="A74" s="43"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14"/>
      <c r="N74" s="7"/>
      <c r="O74" s="7"/>
      <c r="P74" s="28"/>
    </row>
    <row r="75" spans="1:16">
      <c r="A75" s="43"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14"/>
      <c r="N75" s="7"/>
      <c r="O75" s="7"/>
      <c r="P75" s="28"/>
    </row>
    <row r="76" spans="1:16">
      <c r="A76" s="43"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14"/>
      <c r="N76" s="7"/>
      <c r="O76" s="7"/>
      <c r="P76" s="28"/>
    </row>
    <row r="77" spans="1:16">
      <c r="A77" s="43"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14"/>
      <c r="N77" s="7"/>
      <c r="O77" s="7"/>
      <c r="P77" s="28"/>
    </row>
    <row r="78" spans="1:16">
      <c r="A78" s="43"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14"/>
      <c r="N78" s="7"/>
      <c r="O78" s="7"/>
      <c r="P78" s="28"/>
    </row>
    <row r="79" spans="1:16">
      <c r="A79" s="43"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14"/>
      <c r="N79" s="7"/>
      <c r="O79" s="7"/>
      <c r="P79" s="28"/>
    </row>
    <row r="80" spans="1:16">
      <c r="A80" s="43"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14"/>
      <c r="N80" s="7"/>
      <c r="O80" s="7"/>
      <c r="P80" s="28"/>
    </row>
    <row r="81" spans="1:16">
      <c r="A81" s="43"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14"/>
      <c r="N81" s="7"/>
      <c r="O81" s="7"/>
      <c r="P81" s="28"/>
    </row>
    <row r="82" spans="1:16">
      <c r="A82" s="43"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14"/>
      <c r="N82" s="7"/>
      <c r="O82" s="7"/>
      <c r="P82" s="28"/>
    </row>
    <row r="83" spans="1:16">
      <c r="A83" s="43"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14"/>
      <c r="N83" s="7"/>
      <c r="O83" s="7"/>
      <c r="P83" s="28"/>
    </row>
    <row r="84" spans="1:16">
      <c r="A84" s="43"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14"/>
      <c r="N84" s="7"/>
      <c r="O84" s="7"/>
      <c r="P84" s="28"/>
    </row>
    <row r="85" spans="1:16">
      <c r="A85" s="43"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14"/>
      <c r="N85" s="7"/>
      <c r="O85" s="7"/>
      <c r="P85" s="28"/>
    </row>
    <row r="86" spans="1:16">
      <c r="A86" s="43"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14"/>
      <c r="N86" s="7"/>
      <c r="O86" s="7"/>
      <c r="P86" s="28"/>
    </row>
    <row r="87" spans="1:16">
      <c r="A87" s="43"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14"/>
      <c r="N87" s="7"/>
      <c r="O87" s="7"/>
      <c r="P87" s="28"/>
    </row>
    <row r="88" spans="1:16">
      <c r="A88" s="43"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14"/>
      <c r="N88" s="7"/>
      <c r="O88" s="7"/>
      <c r="P88" s="28"/>
    </row>
    <row r="89" spans="1:16">
      <c r="A89" s="43"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14"/>
      <c r="N89" s="7"/>
      <c r="O89" s="7"/>
      <c r="P89" s="28"/>
    </row>
    <row r="90" spans="1:16">
      <c r="A90" s="43"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14"/>
      <c r="N90" s="7"/>
      <c r="O90" s="7"/>
      <c r="P90" s="28"/>
    </row>
    <row r="91" spans="1:16">
      <c r="A91" s="43"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14"/>
      <c r="N91" s="7"/>
      <c r="O91" s="7"/>
      <c r="P91" s="28"/>
    </row>
    <row r="92" spans="1:16">
      <c r="A92" s="43"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14"/>
      <c r="N92" s="7"/>
      <c r="O92" s="7"/>
      <c r="P92" s="28"/>
    </row>
    <row r="93" spans="1:16">
      <c r="A93" s="43"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14"/>
      <c r="N93" s="7"/>
      <c r="O93" s="7"/>
      <c r="P93" s="28"/>
    </row>
    <row r="94" spans="1:16">
      <c r="A94" s="43"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14"/>
      <c r="N94" s="7"/>
      <c r="O94" s="7"/>
      <c r="P94" s="28"/>
    </row>
    <row r="95" spans="1:16">
      <c r="A95" s="43"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14"/>
      <c r="N95" s="7"/>
      <c r="O95" s="7"/>
      <c r="P95" s="28"/>
    </row>
    <row r="96" spans="1:16">
      <c r="A96" s="43"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14"/>
      <c r="N96" s="7"/>
      <c r="O96" s="7"/>
      <c r="P96" s="28"/>
    </row>
    <row r="97" spans="1:16" ht="15.75" thickBot="1">
      <c r="A97" s="44" t="str">
        <f ca="1">IF(COUNTA(DataColumns[[#This Row],[Column Label]:[Quality Code]])&gt;0,IF(MAX(INDIRECT(CONCATENATE("R",ROW(DataColumns[#Headers]),"C",COLUMN(),":R",ROW()-1,"C",COLUMN()),FALSE))=0,3,MAX(INDIRECT(CONCATENATE("R",ROW(DataColumns[#Headers]),"C",COLUMN(),":R",ROW()-1,"C",COLUMN()),FALSE))+1),"")</f>
        <v/>
      </c>
      <c r="B97" s="118"/>
      <c r="C97" s="119"/>
      <c r="D97" s="95"/>
      <c r="E97" s="95"/>
      <c r="F97" s="95"/>
      <c r="G97" s="95"/>
      <c r="H97" s="95"/>
      <c r="I97" s="7"/>
      <c r="J97" s="95"/>
      <c r="K97" s="95"/>
      <c r="L97" s="95"/>
      <c r="M97" s="14"/>
      <c r="N97" s="95"/>
      <c r="O97" s="95"/>
      <c r="P97" s="30"/>
    </row>
  </sheetData>
  <sheetProtection formatColumns="0" insertRows="0" insertHyperlinks="0" deleteRows="0"/>
  <mergeCells count="1">
    <mergeCell ref="A9:P9"/>
  </mergeCells>
  <conditionalFormatting sqref="D11:D97">
    <cfRule type="expression" dxfId="58" priority="15">
      <formula>AND(COUNTIF(FeatureCodes,$D11)=0,$D11&lt;&gt;"")</formula>
    </cfRule>
  </conditionalFormatting>
  <conditionalFormatting sqref="B11:B97">
    <cfRule type="duplicateValues" dxfId="57" priority="14"/>
  </conditionalFormatting>
  <conditionalFormatting sqref="E11:E97">
    <cfRule type="expression" dxfId="56" priority="13">
      <formula>AND(COUNTIF(MethodCodes,$E11)=0,$E11&lt;&gt;"")</formula>
    </cfRule>
  </conditionalFormatting>
  <conditionalFormatting sqref="F11:F97">
    <cfRule type="expression" dxfId="55" priority="12">
      <formula>AND(COUNTIF(PeopleNames,$F11)=0,$F11&lt;&gt;"")</formula>
    </cfRule>
  </conditionalFormatting>
  <conditionalFormatting sqref="G11:G97">
    <cfRule type="expression" dxfId="54" priority="11">
      <formula>AND(COUNTIF(ApplicableResultTypes,$G11)=0,$G11&lt;&gt;"")</formula>
    </cfRule>
  </conditionalFormatting>
  <conditionalFormatting sqref="H11:H97">
    <cfRule type="expression" dxfId="53" priority="10">
      <formula>AND(COUNTIF(VariableCodes,$H11)=0,$H11&lt;&gt;"")</formula>
    </cfRule>
  </conditionalFormatting>
  <conditionalFormatting sqref="J11:J97">
    <cfRule type="expression" dxfId="52" priority="9">
      <formula>AND(COUNTIF(ProcessingLevelCodes,$J11)=0,$J11&lt;&gt;"")</formula>
    </cfRule>
  </conditionalFormatting>
  <conditionalFormatting sqref="K11:K97">
    <cfRule type="expression" dxfId="51" priority="8">
      <formula>AND(COUNTIF(SampledMediumCV,$K11)=0,$K11&lt;&gt;"")</formula>
    </cfRule>
  </conditionalFormatting>
  <conditionalFormatting sqref="L11:L97">
    <cfRule type="expression" dxfId="50" priority="7">
      <formula>ISTEXT($L11)</formula>
    </cfRule>
  </conditionalFormatting>
  <conditionalFormatting sqref="N11:N97">
    <cfRule type="expression" dxfId="49" priority="6">
      <formula>AND(COUNTIF(AggregationStatisticCV,$N11)=0,$N11&lt;&gt;"")</formula>
    </cfRule>
  </conditionalFormatting>
  <conditionalFormatting sqref="O11:O97">
    <cfRule type="expression" dxfId="48" priority="5">
      <formula>AND(COUNTIF(CensorCodeCV,$O11)=0,$O11&lt;&gt;"")</formula>
    </cfRule>
  </conditionalFormatting>
  <conditionalFormatting sqref="P11:P97">
    <cfRule type="expression" dxfId="47" priority="4">
      <formula>AND(COUNTIF(QualityCodeCV,$P11)=0,$P11&lt;&gt;"")</formula>
    </cfRule>
  </conditionalFormatting>
  <conditionalFormatting sqref="B11:B97 D11:P97">
    <cfRule type="expression" dxfId="46" priority="3">
      <formula>AND(COUNTA($B11:$P11)&gt;0,B11="")</formula>
    </cfRule>
  </conditionalFormatting>
  <conditionalFormatting sqref="I11:I13 B12:P97">
    <cfRule type="expression" dxfId="45" priority="2">
      <formula>AND(COUNTA($B10:$P10)=0,B11&lt;&gt;"")</formula>
    </cfRule>
  </conditionalFormatting>
  <conditionalFormatting sqref="C11:C97">
    <cfRule type="duplicateValues" dxfId="44" priority="1"/>
  </conditionalFormatting>
  <dataValidations count="11">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 type="list" allowBlank="1" showInputMessage="1" showErrorMessage="1" sqref="I11:I97 M11:M9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51" r:id="rId3" name="Button 11">
              <controlPr defaultSize="0" print="0" autoFill="0" autoPict="0" macro="[0]!CreateGUIDs.CreateGUIDs">
                <anchor moveWithCells="1" sizeWithCells="1">
                  <from>
                    <xdr:col>5</xdr:col>
                    <xdr:colOff>1209675</xdr:colOff>
                    <xdr:row>0</xdr:row>
                    <xdr:rowOff>161925</xdr:rowOff>
                  </from>
                  <to>
                    <xdr:col>7</xdr:col>
                    <xdr:colOff>257175</xdr:colOff>
                    <xdr:row>2</xdr:row>
                    <xdr:rowOff>161925</xdr:rowOff>
                  </to>
                </anchor>
              </controlPr>
            </control>
          </mc:Choice>
        </mc:AlternateContent>
      </controls>
    </mc:Choice>
  </mc:AlternateContent>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C3360"/>
  <sheetViews>
    <sheetView workbookViewId="0"/>
  </sheetViews>
  <sheetFormatPr defaultColWidth="8.85546875" defaultRowHeight="15"/>
  <cols>
    <col min="1" max="1" width="14.85546875" style="3" bestFit="1" customWidth="1"/>
    <col min="2" max="2" width="12.7109375" style="3" customWidth="1"/>
    <col min="3" max="3" width="7.140625" style="3" bestFit="1" customWidth="1"/>
    <col min="4" max="5" width="9" style="3" bestFit="1" customWidth="1"/>
    <col min="6" max="16384" width="8.85546875" style="3"/>
  </cols>
  <sheetData>
    <row r="2" spans="1:3">
      <c r="A2" s="71"/>
      <c r="B2" s="72"/>
      <c r="C2" s="72"/>
    </row>
    <row r="3" spans="1:3">
      <c r="A3" s="71"/>
      <c r="B3" s="72"/>
      <c r="C3" s="72"/>
    </row>
    <row r="4" spans="1:3">
      <c r="A4" s="71"/>
      <c r="B4" s="72"/>
      <c r="C4" s="72"/>
    </row>
    <row r="5" spans="1:3">
      <c r="A5" s="71"/>
      <c r="B5" s="72"/>
      <c r="C5" s="72"/>
    </row>
    <row r="6" spans="1:3">
      <c r="A6" s="71"/>
      <c r="B6" s="72"/>
      <c r="C6" s="72"/>
    </row>
    <row r="7" spans="1:3">
      <c r="A7" s="71"/>
      <c r="B7" s="72"/>
      <c r="C7" s="72"/>
    </row>
    <row r="8" spans="1:3">
      <c r="A8" s="71"/>
      <c r="B8" s="72"/>
      <c r="C8" s="72"/>
    </row>
    <row r="9" spans="1:3">
      <c r="A9" s="71"/>
      <c r="B9" s="72"/>
      <c r="C9" s="72"/>
    </row>
    <row r="10" spans="1:3">
      <c r="A10" s="71"/>
      <c r="B10" s="72"/>
      <c r="C10" s="72"/>
    </row>
    <row r="11" spans="1:3">
      <c r="A11" s="71"/>
      <c r="B11" s="72"/>
      <c r="C11" s="72"/>
    </row>
    <row r="12" spans="1:3">
      <c r="A12" s="71"/>
      <c r="B12" s="72"/>
      <c r="C12" s="72"/>
    </row>
    <row r="13" spans="1:3">
      <c r="A13" s="71"/>
      <c r="B13" s="72"/>
      <c r="C13" s="72"/>
    </row>
    <row r="14" spans="1:3">
      <c r="A14" s="71"/>
      <c r="B14" s="72"/>
      <c r="C14" s="72"/>
    </row>
    <row r="15" spans="1:3">
      <c r="A15" s="71"/>
      <c r="B15" s="72"/>
      <c r="C15" s="72"/>
    </row>
    <row r="16" spans="1:3">
      <c r="A16" s="71"/>
      <c r="B16" s="72"/>
      <c r="C16" s="72"/>
    </row>
    <row r="17" spans="1:3">
      <c r="A17" s="71"/>
      <c r="B17" s="72"/>
      <c r="C17" s="72"/>
    </row>
    <row r="18" spans="1:3">
      <c r="A18" s="71"/>
      <c r="B18" s="72"/>
      <c r="C18" s="72"/>
    </row>
    <row r="19" spans="1:3">
      <c r="A19" s="71"/>
      <c r="B19" s="72"/>
      <c r="C19" s="72"/>
    </row>
    <row r="20" spans="1:3">
      <c r="A20" s="71"/>
      <c r="B20" s="72"/>
      <c r="C20" s="72"/>
    </row>
    <row r="21" spans="1:3">
      <c r="A21" s="71"/>
      <c r="B21" s="72"/>
      <c r="C21" s="72"/>
    </row>
    <row r="22" spans="1:3">
      <c r="A22" s="71"/>
      <c r="B22" s="72"/>
      <c r="C22" s="72"/>
    </row>
    <row r="23" spans="1:3">
      <c r="A23" s="71"/>
      <c r="B23" s="72"/>
      <c r="C23" s="72"/>
    </row>
    <row r="24" spans="1:3">
      <c r="A24" s="71"/>
      <c r="B24" s="72"/>
      <c r="C24" s="72"/>
    </row>
    <row r="25" spans="1:3">
      <c r="A25" s="71"/>
      <c r="B25" s="72"/>
      <c r="C25" s="72"/>
    </row>
    <row r="26" spans="1:3">
      <c r="A26" s="71"/>
      <c r="B26" s="72"/>
      <c r="C26" s="72"/>
    </row>
    <row r="27" spans="1:3">
      <c r="A27" s="71"/>
      <c r="B27" s="72"/>
      <c r="C27" s="72"/>
    </row>
    <row r="28" spans="1:3">
      <c r="A28" s="71"/>
      <c r="B28" s="72"/>
      <c r="C28" s="72"/>
    </row>
    <row r="29" spans="1:3">
      <c r="A29" s="71"/>
      <c r="B29" s="72"/>
      <c r="C29" s="72"/>
    </row>
    <row r="30" spans="1:3">
      <c r="A30" s="71"/>
      <c r="B30" s="72"/>
      <c r="C30" s="72"/>
    </row>
    <row r="31" spans="1:3">
      <c r="A31" s="71"/>
      <c r="B31" s="72"/>
      <c r="C31" s="72"/>
    </row>
    <row r="32" spans="1:3">
      <c r="A32" s="71"/>
      <c r="B32" s="72"/>
      <c r="C32" s="72"/>
    </row>
    <row r="33" spans="1:3">
      <c r="A33" s="71"/>
      <c r="B33" s="72"/>
      <c r="C33" s="72"/>
    </row>
    <row r="34" spans="1:3">
      <c r="A34" s="71"/>
      <c r="B34" s="72"/>
      <c r="C34" s="72"/>
    </row>
    <row r="35" spans="1:3">
      <c r="A35" s="71"/>
      <c r="B35" s="72"/>
      <c r="C35" s="72"/>
    </row>
    <row r="36" spans="1:3">
      <c r="A36" s="71"/>
      <c r="B36" s="72"/>
      <c r="C36" s="72"/>
    </row>
    <row r="37" spans="1:3">
      <c r="A37" s="71"/>
      <c r="B37" s="72"/>
      <c r="C37" s="72"/>
    </row>
    <row r="38" spans="1:3">
      <c r="A38" s="71"/>
      <c r="B38" s="72"/>
      <c r="C38" s="72"/>
    </row>
    <row r="39" spans="1:3">
      <c r="A39" s="71"/>
      <c r="B39" s="72"/>
      <c r="C39" s="72"/>
    </row>
    <row r="40" spans="1:3">
      <c r="A40" s="71"/>
      <c r="B40" s="72"/>
      <c r="C40" s="72"/>
    </row>
    <row r="41" spans="1:3">
      <c r="A41" s="71"/>
      <c r="B41" s="72"/>
      <c r="C41" s="72"/>
    </row>
    <row r="42" spans="1:3">
      <c r="A42" s="71"/>
      <c r="B42" s="72"/>
      <c r="C42" s="72"/>
    </row>
    <row r="43" spans="1:3">
      <c r="A43" s="71"/>
      <c r="B43" s="72"/>
      <c r="C43" s="72"/>
    </row>
    <row r="44" spans="1:3">
      <c r="A44" s="71"/>
      <c r="B44" s="72"/>
      <c r="C44" s="72"/>
    </row>
    <row r="45" spans="1:3">
      <c r="A45" s="71"/>
      <c r="B45" s="72"/>
      <c r="C45" s="72"/>
    </row>
    <row r="46" spans="1:3">
      <c r="A46" s="71"/>
      <c r="B46" s="72"/>
      <c r="C46" s="72"/>
    </row>
    <row r="47" spans="1:3">
      <c r="A47" s="71"/>
      <c r="B47" s="72"/>
      <c r="C47" s="72"/>
    </row>
    <row r="48" spans="1:3">
      <c r="A48" s="71"/>
      <c r="B48" s="72"/>
      <c r="C48" s="72"/>
    </row>
    <row r="49" spans="1:3">
      <c r="A49" s="71"/>
      <c r="B49" s="72"/>
      <c r="C49" s="72"/>
    </row>
    <row r="50" spans="1:3">
      <c r="A50" s="71"/>
      <c r="B50" s="72"/>
      <c r="C50" s="72"/>
    </row>
    <row r="51" spans="1:3">
      <c r="A51" s="71"/>
      <c r="B51" s="72"/>
      <c r="C51" s="72"/>
    </row>
    <row r="52" spans="1:3">
      <c r="A52" s="71"/>
      <c r="B52" s="72"/>
      <c r="C52" s="72"/>
    </row>
    <row r="53" spans="1:3">
      <c r="A53" s="71"/>
      <c r="B53" s="72"/>
      <c r="C53" s="72"/>
    </row>
    <row r="54" spans="1:3">
      <c r="A54" s="71"/>
      <c r="B54" s="72"/>
      <c r="C54" s="72"/>
    </row>
    <row r="55" spans="1:3">
      <c r="A55" s="71"/>
      <c r="B55" s="72"/>
      <c r="C55" s="72"/>
    </row>
    <row r="56" spans="1:3">
      <c r="A56" s="71"/>
      <c r="B56" s="72"/>
      <c r="C56" s="72"/>
    </row>
    <row r="57" spans="1:3">
      <c r="A57" s="71"/>
      <c r="B57" s="72"/>
      <c r="C57" s="72"/>
    </row>
    <row r="58" spans="1:3">
      <c r="A58" s="71"/>
      <c r="B58" s="72"/>
      <c r="C58" s="72"/>
    </row>
    <row r="59" spans="1:3">
      <c r="A59" s="71"/>
      <c r="B59" s="72"/>
      <c r="C59" s="72"/>
    </row>
    <row r="60" spans="1:3">
      <c r="A60" s="71"/>
      <c r="B60" s="72"/>
      <c r="C60" s="72"/>
    </row>
    <row r="61" spans="1:3">
      <c r="A61" s="71"/>
      <c r="B61" s="72"/>
      <c r="C61" s="72"/>
    </row>
    <row r="62" spans="1:3">
      <c r="A62" s="71"/>
      <c r="B62" s="72"/>
      <c r="C62" s="72"/>
    </row>
    <row r="63" spans="1:3">
      <c r="A63" s="71"/>
      <c r="B63" s="72"/>
      <c r="C63" s="72"/>
    </row>
    <row r="64" spans="1:3">
      <c r="A64" s="71"/>
      <c r="B64" s="72"/>
      <c r="C64" s="72"/>
    </row>
    <row r="65" spans="1:3">
      <c r="A65" s="71"/>
      <c r="B65" s="72"/>
      <c r="C65" s="72"/>
    </row>
    <row r="66" spans="1:3">
      <c r="A66" s="71"/>
      <c r="B66" s="72"/>
      <c r="C66" s="72"/>
    </row>
    <row r="67" spans="1:3">
      <c r="A67" s="71"/>
      <c r="B67" s="72"/>
      <c r="C67" s="72"/>
    </row>
    <row r="68" spans="1:3">
      <c r="A68" s="71"/>
      <c r="B68" s="72"/>
      <c r="C68" s="72"/>
    </row>
    <row r="69" spans="1:3">
      <c r="A69" s="71"/>
      <c r="B69" s="72"/>
      <c r="C69" s="72"/>
    </row>
    <row r="70" spans="1:3">
      <c r="A70" s="71"/>
      <c r="B70" s="72"/>
      <c r="C70" s="72"/>
    </row>
    <row r="71" spans="1:3">
      <c r="A71" s="71"/>
      <c r="B71" s="72"/>
      <c r="C71" s="72"/>
    </row>
    <row r="72" spans="1:3">
      <c r="A72" s="71"/>
      <c r="B72" s="72"/>
      <c r="C72" s="72"/>
    </row>
    <row r="73" spans="1:3">
      <c r="A73" s="71"/>
      <c r="B73" s="72"/>
      <c r="C73" s="72"/>
    </row>
    <row r="74" spans="1:3">
      <c r="A74" s="71"/>
      <c r="B74" s="72"/>
      <c r="C74" s="72"/>
    </row>
    <row r="75" spans="1:3">
      <c r="A75" s="71"/>
      <c r="B75" s="72"/>
      <c r="C75" s="72"/>
    </row>
    <row r="76" spans="1:3">
      <c r="A76" s="71"/>
      <c r="B76" s="72"/>
      <c r="C76" s="72"/>
    </row>
    <row r="77" spans="1:3">
      <c r="A77" s="71"/>
      <c r="B77" s="72"/>
      <c r="C77" s="72"/>
    </row>
    <row r="78" spans="1:3">
      <c r="A78" s="71"/>
      <c r="B78" s="72"/>
      <c r="C78" s="72"/>
    </row>
    <row r="79" spans="1:3">
      <c r="A79" s="71"/>
      <c r="B79" s="72"/>
      <c r="C79" s="72"/>
    </row>
    <row r="80" spans="1:3">
      <c r="A80" s="71"/>
      <c r="B80" s="72"/>
      <c r="C80" s="72"/>
    </row>
    <row r="81" spans="1:3">
      <c r="A81" s="71"/>
      <c r="B81" s="72"/>
      <c r="C81" s="72"/>
    </row>
    <row r="82" spans="1:3">
      <c r="A82" s="71"/>
      <c r="B82" s="72"/>
      <c r="C82" s="72"/>
    </row>
    <row r="83" spans="1:3">
      <c r="A83" s="71"/>
      <c r="B83" s="72"/>
      <c r="C83" s="72"/>
    </row>
    <row r="84" spans="1:3">
      <c r="A84" s="71"/>
      <c r="B84" s="72"/>
      <c r="C84" s="72"/>
    </row>
    <row r="85" spans="1:3">
      <c r="A85" s="71"/>
      <c r="B85" s="72"/>
      <c r="C85" s="72"/>
    </row>
    <row r="86" spans="1:3">
      <c r="A86" s="71"/>
      <c r="B86" s="72"/>
      <c r="C86" s="72"/>
    </row>
    <row r="87" spans="1:3">
      <c r="A87" s="71"/>
      <c r="B87" s="72"/>
      <c r="C87" s="72"/>
    </row>
    <row r="88" spans="1:3">
      <c r="A88" s="71"/>
      <c r="B88" s="72"/>
      <c r="C88" s="72"/>
    </row>
    <row r="89" spans="1:3">
      <c r="A89" s="71"/>
      <c r="B89" s="72"/>
      <c r="C89" s="72"/>
    </row>
    <row r="90" spans="1:3">
      <c r="A90" s="71"/>
      <c r="B90" s="72"/>
      <c r="C90" s="72"/>
    </row>
    <row r="91" spans="1:3">
      <c r="A91" s="71"/>
      <c r="B91" s="72"/>
      <c r="C91" s="72"/>
    </row>
    <row r="92" spans="1:3">
      <c r="A92" s="71"/>
      <c r="B92" s="72"/>
      <c r="C92" s="72"/>
    </row>
    <row r="93" spans="1:3">
      <c r="A93" s="71"/>
      <c r="B93" s="72"/>
      <c r="C93" s="72"/>
    </row>
    <row r="94" spans="1:3">
      <c r="A94" s="71"/>
      <c r="B94" s="72"/>
      <c r="C94" s="72"/>
    </row>
    <row r="95" spans="1:3">
      <c r="A95" s="71"/>
      <c r="B95" s="72"/>
      <c r="C95" s="72"/>
    </row>
    <row r="96" spans="1:3">
      <c r="A96" s="71"/>
      <c r="B96" s="72"/>
      <c r="C96" s="72"/>
    </row>
    <row r="97" spans="1:3">
      <c r="A97" s="71"/>
      <c r="B97" s="72"/>
      <c r="C97" s="72"/>
    </row>
    <row r="98" spans="1:3">
      <c r="A98" s="71"/>
      <c r="B98" s="72"/>
      <c r="C98" s="72"/>
    </row>
    <row r="99" spans="1:3">
      <c r="A99" s="71"/>
      <c r="B99" s="72"/>
      <c r="C99" s="72"/>
    </row>
    <row r="100" spans="1:3">
      <c r="A100" s="71"/>
      <c r="B100" s="72"/>
      <c r="C100" s="72"/>
    </row>
    <row r="101" spans="1:3">
      <c r="A101" s="71"/>
      <c r="B101" s="72"/>
      <c r="C101" s="72"/>
    </row>
    <row r="102" spans="1:3">
      <c r="A102" s="71"/>
      <c r="B102" s="72"/>
      <c r="C102" s="72"/>
    </row>
    <row r="103" spans="1:3">
      <c r="A103" s="71"/>
      <c r="B103" s="72"/>
      <c r="C103" s="72"/>
    </row>
    <row r="104" spans="1:3">
      <c r="A104" s="71"/>
      <c r="B104" s="72"/>
      <c r="C104" s="72"/>
    </row>
    <row r="105" spans="1:3">
      <c r="A105" s="71"/>
      <c r="B105" s="72"/>
      <c r="C105" s="72"/>
    </row>
    <row r="106" spans="1:3">
      <c r="A106" s="71"/>
      <c r="B106" s="72"/>
      <c r="C106" s="72"/>
    </row>
    <row r="107" spans="1:3">
      <c r="A107" s="71"/>
      <c r="B107" s="72"/>
      <c r="C107" s="72"/>
    </row>
    <row r="108" spans="1:3">
      <c r="A108" s="71"/>
      <c r="B108" s="72"/>
      <c r="C108" s="72"/>
    </row>
    <row r="109" spans="1:3">
      <c r="A109" s="71"/>
      <c r="B109" s="72"/>
      <c r="C109" s="72"/>
    </row>
    <row r="110" spans="1:3">
      <c r="A110" s="71"/>
      <c r="B110" s="72"/>
      <c r="C110" s="72"/>
    </row>
    <row r="111" spans="1:3">
      <c r="A111" s="71"/>
      <c r="B111" s="72"/>
      <c r="C111" s="72"/>
    </row>
    <row r="112" spans="1:3">
      <c r="A112" s="71"/>
      <c r="B112" s="72"/>
      <c r="C112" s="72"/>
    </row>
    <row r="113" spans="1:3">
      <c r="A113" s="71"/>
      <c r="B113" s="72"/>
      <c r="C113" s="72"/>
    </row>
    <row r="114" spans="1:3">
      <c r="A114" s="71"/>
      <c r="B114" s="72"/>
      <c r="C114" s="72"/>
    </row>
    <row r="115" spans="1:3">
      <c r="A115" s="71"/>
      <c r="B115" s="72"/>
      <c r="C115" s="72"/>
    </row>
    <row r="116" spans="1:3">
      <c r="A116" s="71"/>
      <c r="B116" s="72"/>
      <c r="C116" s="72"/>
    </row>
    <row r="117" spans="1:3">
      <c r="A117" s="71"/>
      <c r="B117" s="72"/>
      <c r="C117" s="72"/>
    </row>
    <row r="118" spans="1:3">
      <c r="A118" s="71"/>
      <c r="B118" s="72"/>
      <c r="C118" s="72"/>
    </row>
    <row r="119" spans="1:3">
      <c r="A119" s="71"/>
      <c r="B119" s="72"/>
      <c r="C119" s="72"/>
    </row>
    <row r="120" spans="1:3">
      <c r="A120" s="71"/>
      <c r="B120" s="72"/>
      <c r="C120" s="72"/>
    </row>
    <row r="121" spans="1:3">
      <c r="A121" s="71"/>
      <c r="B121" s="72"/>
      <c r="C121" s="72"/>
    </row>
    <row r="122" spans="1:3">
      <c r="A122" s="71"/>
      <c r="B122" s="72"/>
      <c r="C122" s="72"/>
    </row>
    <row r="123" spans="1:3">
      <c r="A123" s="71"/>
      <c r="B123" s="72"/>
      <c r="C123" s="72"/>
    </row>
    <row r="124" spans="1:3">
      <c r="A124" s="71"/>
      <c r="B124" s="72"/>
      <c r="C124" s="72"/>
    </row>
    <row r="125" spans="1:3">
      <c r="A125" s="71"/>
      <c r="B125" s="72"/>
      <c r="C125" s="72"/>
    </row>
    <row r="126" spans="1:3">
      <c r="A126" s="71"/>
      <c r="B126" s="72"/>
      <c r="C126" s="72"/>
    </row>
    <row r="127" spans="1:3">
      <c r="A127" s="71"/>
      <c r="B127" s="72"/>
      <c r="C127" s="72"/>
    </row>
    <row r="128" spans="1:3">
      <c r="A128" s="71"/>
      <c r="B128" s="72"/>
      <c r="C128" s="72"/>
    </row>
    <row r="129" spans="1:3">
      <c r="A129" s="71"/>
      <c r="B129" s="72"/>
      <c r="C129" s="72"/>
    </row>
    <row r="130" spans="1:3">
      <c r="A130" s="71"/>
      <c r="B130" s="72"/>
      <c r="C130" s="72"/>
    </row>
    <row r="131" spans="1:3">
      <c r="A131" s="71"/>
      <c r="B131" s="72"/>
      <c r="C131" s="72"/>
    </row>
    <row r="132" spans="1:3">
      <c r="A132" s="71"/>
      <c r="B132" s="72"/>
      <c r="C132" s="72"/>
    </row>
    <row r="133" spans="1:3">
      <c r="A133" s="71"/>
      <c r="B133" s="72"/>
      <c r="C133" s="72"/>
    </row>
    <row r="134" spans="1:3">
      <c r="A134" s="71"/>
      <c r="B134" s="72"/>
      <c r="C134" s="72"/>
    </row>
    <row r="135" spans="1:3">
      <c r="A135" s="71"/>
      <c r="B135" s="72"/>
      <c r="C135" s="72"/>
    </row>
    <row r="136" spans="1:3">
      <c r="A136" s="71"/>
      <c r="B136" s="72"/>
      <c r="C136" s="72"/>
    </row>
    <row r="137" spans="1:3">
      <c r="A137" s="71"/>
      <c r="B137" s="72"/>
      <c r="C137" s="72"/>
    </row>
    <row r="138" spans="1:3">
      <c r="A138" s="71"/>
      <c r="B138" s="72"/>
      <c r="C138" s="72"/>
    </row>
    <row r="139" spans="1:3">
      <c r="A139" s="71"/>
      <c r="B139" s="72"/>
      <c r="C139" s="72"/>
    </row>
    <row r="140" spans="1:3">
      <c r="A140" s="71"/>
      <c r="B140" s="72"/>
      <c r="C140" s="72"/>
    </row>
    <row r="141" spans="1:3">
      <c r="A141" s="71"/>
      <c r="B141" s="72"/>
      <c r="C141" s="72"/>
    </row>
    <row r="142" spans="1:3">
      <c r="A142" s="71"/>
      <c r="B142" s="72"/>
      <c r="C142" s="72"/>
    </row>
    <row r="143" spans="1:3">
      <c r="A143" s="71"/>
      <c r="B143" s="72"/>
      <c r="C143" s="72"/>
    </row>
    <row r="144" spans="1:3">
      <c r="A144" s="71"/>
      <c r="B144" s="72"/>
      <c r="C144" s="72"/>
    </row>
    <row r="145" spans="1:3">
      <c r="A145" s="71"/>
      <c r="B145" s="72"/>
      <c r="C145" s="72"/>
    </row>
    <row r="146" spans="1:3">
      <c r="A146" s="71"/>
      <c r="B146" s="72"/>
      <c r="C146" s="72"/>
    </row>
    <row r="147" spans="1:3">
      <c r="A147" s="71"/>
      <c r="B147" s="72"/>
      <c r="C147" s="72"/>
    </row>
    <row r="148" spans="1:3">
      <c r="A148" s="71"/>
      <c r="B148" s="72"/>
      <c r="C148" s="72"/>
    </row>
    <row r="149" spans="1:3">
      <c r="A149" s="71"/>
      <c r="B149" s="72"/>
      <c r="C149" s="72"/>
    </row>
    <row r="150" spans="1:3">
      <c r="A150" s="71"/>
      <c r="B150" s="72"/>
      <c r="C150" s="72"/>
    </row>
    <row r="151" spans="1:3">
      <c r="A151" s="71"/>
      <c r="B151" s="72"/>
      <c r="C151" s="72"/>
    </row>
    <row r="152" spans="1:3">
      <c r="A152" s="71"/>
      <c r="B152" s="72"/>
      <c r="C152" s="72"/>
    </row>
    <row r="153" spans="1:3">
      <c r="A153" s="71"/>
      <c r="B153" s="72"/>
      <c r="C153" s="72"/>
    </row>
    <row r="154" spans="1:3">
      <c r="A154" s="71"/>
      <c r="B154" s="72"/>
      <c r="C154" s="72"/>
    </row>
    <row r="155" spans="1:3">
      <c r="A155" s="71"/>
      <c r="B155" s="72"/>
      <c r="C155" s="72"/>
    </row>
    <row r="156" spans="1:3">
      <c r="A156" s="71"/>
      <c r="B156" s="72"/>
      <c r="C156" s="72"/>
    </row>
    <row r="157" spans="1:3">
      <c r="A157" s="71"/>
      <c r="B157" s="72"/>
      <c r="C157" s="72"/>
    </row>
    <row r="158" spans="1:3">
      <c r="A158" s="71"/>
      <c r="B158" s="72"/>
      <c r="C158" s="72"/>
    </row>
    <row r="159" spans="1:3">
      <c r="A159" s="71"/>
      <c r="B159" s="72"/>
      <c r="C159" s="72"/>
    </row>
    <row r="160" spans="1:3">
      <c r="A160" s="71"/>
      <c r="B160" s="72"/>
      <c r="C160" s="72"/>
    </row>
    <row r="161" spans="1:3">
      <c r="A161" s="71"/>
      <c r="B161" s="72"/>
      <c r="C161" s="72"/>
    </row>
    <row r="162" spans="1:3">
      <c r="A162" s="71"/>
      <c r="B162" s="72"/>
      <c r="C162" s="72"/>
    </row>
    <row r="163" spans="1:3">
      <c r="A163" s="71"/>
      <c r="B163" s="72"/>
      <c r="C163" s="72"/>
    </row>
    <row r="164" spans="1:3">
      <c r="A164" s="71"/>
      <c r="B164" s="72"/>
      <c r="C164" s="72"/>
    </row>
    <row r="165" spans="1:3">
      <c r="A165" s="71"/>
      <c r="B165" s="72"/>
      <c r="C165" s="72"/>
    </row>
    <row r="166" spans="1:3">
      <c r="A166" s="71"/>
      <c r="B166" s="72"/>
      <c r="C166" s="72"/>
    </row>
    <row r="167" spans="1:3">
      <c r="A167" s="71"/>
      <c r="B167" s="72"/>
      <c r="C167" s="72"/>
    </row>
    <row r="168" spans="1:3">
      <c r="A168" s="71"/>
      <c r="B168" s="72"/>
      <c r="C168" s="72"/>
    </row>
    <row r="169" spans="1:3">
      <c r="A169" s="71"/>
      <c r="B169" s="72"/>
      <c r="C169" s="72"/>
    </row>
    <row r="170" spans="1:3">
      <c r="A170" s="71"/>
      <c r="B170" s="72"/>
      <c r="C170" s="72"/>
    </row>
    <row r="171" spans="1:3">
      <c r="A171" s="71"/>
      <c r="B171" s="72"/>
      <c r="C171" s="72"/>
    </row>
    <row r="172" spans="1:3">
      <c r="A172" s="71"/>
      <c r="B172" s="72"/>
      <c r="C172" s="72"/>
    </row>
    <row r="173" spans="1:3">
      <c r="A173" s="71"/>
      <c r="B173" s="72"/>
      <c r="C173" s="72"/>
    </row>
    <row r="174" spans="1:3">
      <c r="A174" s="71"/>
      <c r="B174" s="72"/>
      <c r="C174" s="72"/>
    </row>
    <row r="175" spans="1:3">
      <c r="A175" s="71"/>
      <c r="B175" s="72"/>
      <c r="C175" s="72"/>
    </row>
    <row r="176" spans="1:3">
      <c r="A176" s="71"/>
      <c r="B176" s="72"/>
      <c r="C176" s="72"/>
    </row>
    <row r="177" spans="1:3">
      <c r="A177" s="71"/>
      <c r="B177" s="72"/>
      <c r="C177" s="72"/>
    </row>
    <row r="178" spans="1:3">
      <c r="A178" s="71"/>
      <c r="B178" s="72"/>
      <c r="C178" s="72"/>
    </row>
    <row r="179" spans="1:3">
      <c r="A179" s="71"/>
      <c r="B179" s="72"/>
      <c r="C179" s="72"/>
    </row>
    <row r="180" spans="1:3">
      <c r="A180" s="71"/>
      <c r="B180" s="72"/>
      <c r="C180" s="72"/>
    </row>
    <row r="181" spans="1:3">
      <c r="A181" s="71"/>
      <c r="B181" s="72"/>
      <c r="C181" s="72"/>
    </row>
    <row r="182" spans="1:3">
      <c r="A182" s="71"/>
      <c r="B182" s="72"/>
      <c r="C182" s="72"/>
    </row>
    <row r="183" spans="1:3">
      <c r="A183" s="71"/>
      <c r="B183" s="72"/>
      <c r="C183" s="72"/>
    </row>
    <row r="184" spans="1:3">
      <c r="A184" s="71"/>
      <c r="B184" s="72"/>
      <c r="C184" s="72"/>
    </row>
    <row r="185" spans="1:3">
      <c r="A185" s="71"/>
      <c r="B185" s="72"/>
      <c r="C185" s="72"/>
    </row>
    <row r="186" spans="1:3">
      <c r="A186" s="71"/>
      <c r="B186" s="72"/>
      <c r="C186" s="72"/>
    </row>
    <row r="187" spans="1:3">
      <c r="A187" s="71"/>
      <c r="B187" s="72"/>
      <c r="C187" s="72"/>
    </row>
    <row r="188" spans="1:3">
      <c r="A188" s="71"/>
      <c r="B188" s="72"/>
      <c r="C188" s="72"/>
    </row>
    <row r="189" spans="1:3">
      <c r="A189" s="71"/>
      <c r="B189" s="72"/>
      <c r="C189" s="72"/>
    </row>
    <row r="190" spans="1:3">
      <c r="A190" s="71"/>
      <c r="B190" s="72"/>
      <c r="C190" s="72"/>
    </row>
    <row r="191" spans="1:3">
      <c r="A191" s="71"/>
      <c r="B191" s="72"/>
      <c r="C191" s="72"/>
    </row>
    <row r="192" spans="1:3">
      <c r="A192" s="71"/>
      <c r="B192" s="72"/>
      <c r="C192" s="72"/>
    </row>
    <row r="193" spans="1:3">
      <c r="A193" s="71"/>
      <c r="B193" s="72"/>
      <c r="C193" s="72"/>
    </row>
    <row r="194" spans="1:3">
      <c r="A194" s="71"/>
      <c r="B194" s="72"/>
      <c r="C194" s="72"/>
    </row>
    <row r="195" spans="1:3">
      <c r="A195" s="71"/>
      <c r="B195" s="72"/>
      <c r="C195" s="72"/>
    </row>
    <row r="196" spans="1:3">
      <c r="A196" s="71"/>
      <c r="B196" s="72"/>
      <c r="C196" s="72"/>
    </row>
    <row r="197" spans="1:3">
      <c r="A197" s="71"/>
      <c r="B197" s="72"/>
      <c r="C197" s="72"/>
    </row>
    <row r="198" spans="1:3">
      <c r="A198" s="71"/>
      <c r="B198" s="72"/>
      <c r="C198" s="72"/>
    </row>
    <row r="199" spans="1:3">
      <c r="A199" s="71"/>
      <c r="B199" s="72"/>
      <c r="C199" s="72"/>
    </row>
    <row r="200" spans="1:3">
      <c r="A200" s="71"/>
      <c r="B200" s="72"/>
      <c r="C200" s="72"/>
    </row>
    <row r="201" spans="1:3">
      <c r="A201" s="71"/>
      <c r="B201" s="72"/>
      <c r="C201" s="72"/>
    </row>
    <row r="202" spans="1:3">
      <c r="A202" s="71"/>
      <c r="B202" s="72"/>
      <c r="C202" s="72"/>
    </row>
    <row r="203" spans="1:3">
      <c r="A203" s="71"/>
      <c r="B203" s="72"/>
      <c r="C203" s="72"/>
    </row>
    <row r="204" spans="1:3">
      <c r="A204" s="71"/>
      <c r="B204" s="72"/>
      <c r="C204" s="72"/>
    </row>
    <row r="205" spans="1:3">
      <c r="A205" s="71"/>
      <c r="B205" s="72"/>
      <c r="C205" s="72"/>
    </row>
    <row r="206" spans="1:3">
      <c r="A206" s="71"/>
      <c r="B206" s="72"/>
      <c r="C206" s="72"/>
    </row>
    <row r="207" spans="1:3">
      <c r="A207" s="71"/>
      <c r="B207" s="72"/>
      <c r="C207" s="72"/>
    </row>
    <row r="208" spans="1:3">
      <c r="A208" s="71"/>
      <c r="B208" s="72"/>
      <c r="C208" s="72"/>
    </row>
    <row r="209" spans="1:3">
      <c r="A209" s="71"/>
      <c r="B209" s="72"/>
      <c r="C209" s="72"/>
    </row>
    <row r="210" spans="1:3">
      <c r="A210" s="71"/>
      <c r="B210" s="72"/>
      <c r="C210" s="72"/>
    </row>
    <row r="211" spans="1:3">
      <c r="A211" s="71"/>
      <c r="B211" s="72"/>
      <c r="C211" s="72"/>
    </row>
    <row r="212" spans="1:3">
      <c r="A212" s="71"/>
      <c r="B212" s="72"/>
      <c r="C212" s="72"/>
    </row>
    <row r="213" spans="1:3">
      <c r="A213" s="71"/>
      <c r="B213" s="72"/>
      <c r="C213" s="72"/>
    </row>
    <row r="214" spans="1:3">
      <c r="A214" s="71"/>
      <c r="B214" s="72"/>
      <c r="C214" s="72"/>
    </row>
    <row r="215" spans="1:3">
      <c r="A215" s="71"/>
      <c r="B215" s="72"/>
      <c r="C215" s="72"/>
    </row>
    <row r="216" spans="1:3">
      <c r="A216" s="71"/>
      <c r="B216" s="72"/>
      <c r="C216" s="72"/>
    </row>
    <row r="217" spans="1:3">
      <c r="A217" s="71"/>
      <c r="B217" s="72"/>
      <c r="C217" s="72"/>
    </row>
    <row r="218" spans="1:3">
      <c r="A218" s="71"/>
      <c r="B218" s="72"/>
      <c r="C218" s="72"/>
    </row>
    <row r="219" spans="1:3">
      <c r="A219" s="71"/>
      <c r="B219" s="72"/>
      <c r="C219" s="72"/>
    </row>
    <row r="220" spans="1:3">
      <c r="A220" s="71"/>
      <c r="B220" s="72"/>
      <c r="C220" s="72"/>
    </row>
    <row r="221" spans="1:3">
      <c r="A221" s="71"/>
      <c r="B221" s="72"/>
      <c r="C221" s="72"/>
    </row>
    <row r="222" spans="1:3">
      <c r="A222" s="71"/>
      <c r="B222" s="72"/>
      <c r="C222" s="72"/>
    </row>
    <row r="223" spans="1:3">
      <c r="A223" s="71"/>
      <c r="B223" s="72"/>
      <c r="C223" s="72"/>
    </row>
    <row r="224" spans="1:3">
      <c r="A224" s="71"/>
      <c r="B224" s="72"/>
      <c r="C224" s="72"/>
    </row>
    <row r="225" spans="1:3">
      <c r="A225" s="71"/>
      <c r="B225" s="72"/>
      <c r="C225" s="72"/>
    </row>
    <row r="226" spans="1:3">
      <c r="A226" s="71"/>
      <c r="B226" s="72"/>
      <c r="C226" s="72"/>
    </row>
    <row r="227" spans="1:3">
      <c r="A227" s="71"/>
      <c r="B227" s="72"/>
      <c r="C227" s="72"/>
    </row>
    <row r="228" spans="1:3">
      <c r="A228" s="71"/>
      <c r="B228" s="72"/>
      <c r="C228" s="72"/>
    </row>
    <row r="229" spans="1:3">
      <c r="A229" s="71"/>
      <c r="B229" s="72"/>
      <c r="C229" s="72"/>
    </row>
    <row r="230" spans="1:3">
      <c r="A230" s="71"/>
      <c r="B230" s="72"/>
      <c r="C230" s="72"/>
    </row>
    <row r="231" spans="1:3">
      <c r="A231" s="71"/>
      <c r="B231" s="72"/>
      <c r="C231" s="72"/>
    </row>
    <row r="232" spans="1:3">
      <c r="A232" s="71"/>
      <c r="B232" s="72"/>
      <c r="C232" s="72"/>
    </row>
    <row r="233" spans="1:3">
      <c r="A233" s="71"/>
      <c r="B233" s="72"/>
      <c r="C233" s="72"/>
    </row>
    <row r="234" spans="1:3">
      <c r="A234" s="71"/>
      <c r="B234" s="72"/>
      <c r="C234" s="72"/>
    </row>
    <row r="235" spans="1:3">
      <c r="A235" s="71"/>
      <c r="B235" s="72"/>
      <c r="C235" s="72"/>
    </row>
    <row r="236" spans="1:3">
      <c r="A236" s="71"/>
      <c r="B236" s="72"/>
      <c r="C236" s="72"/>
    </row>
    <row r="237" spans="1:3">
      <c r="A237" s="71"/>
      <c r="B237" s="72"/>
      <c r="C237" s="72"/>
    </row>
    <row r="238" spans="1:3">
      <c r="A238" s="71"/>
      <c r="B238" s="72"/>
      <c r="C238" s="72"/>
    </row>
    <row r="239" spans="1:3">
      <c r="A239" s="71"/>
      <c r="B239" s="72"/>
      <c r="C239" s="72"/>
    </row>
    <row r="240" spans="1:3">
      <c r="A240" s="71"/>
      <c r="B240" s="72"/>
      <c r="C240" s="72"/>
    </row>
    <row r="241" spans="1:3">
      <c r="A241" s="71"/>
      <c r="B241" s="72"/>
      <c r="C241" s="72"/>
    </row>
    <row r="242" spans="1:3">
      <c r="A242" s="71"/>
      <c r="B242" s="72"/>
      <c r="C242" s="72"/>
    </row>
    <row r="243" spans="1:3">
      <c r="A243" s="71"/>
      <c r="B243" s="72"/>
      <c r="C243" s="72"/>
    </row>
    <row r="244" spans="1:3">
      <c r="A244" s="71"/>
      <c r="B244" s="72"/>
      <c r="C244" s="72"/>
    </row>
    <row r="245" spans="1:3">
      <c r="A245" s="71"/>
      <c r="B245" s="72"/>
      <c r="C245" s="72"/>
    </row>
    <row r="246" spans="1:3">
      <c r="A246" s="71"/>
      <c r="B246" s="72"/>
      <c r="C246" s="72"/>
    </row>
    <row r="247" spans="1:3">
      <c r="A247" s="71"/>
      <c r="B247" s="72"/>
      <c r="C247" s="72"/>
    </row>
    <row r="248" spans="1:3">
      <c r="A248" s="71"/>
      <c r="B248" s="72"/>
      <c r="C248" s="72"/>
    </row>
    <row r="249" spans="1:3">
      <c r="A249" s="71"/>
      <c r="B249" s="72"/>
      <c r="C249" s="72"/>
    </row>
    <row r="250" spans="1:3">
      <c r="A250" s="71"/>
      <c r="B250" s="72"/>
      <c r="C250" s="72"/>
    </row>
    <row r="251" spans="1:3">
      <c r="A251" s="71"/>
      <c r="B251" s="72"/>
      <c r="C251" s="72"/>
    </row>
    <row r="252" spans="1:3">
      <c r="A252" s="71"/>
      <c r="B252" s="72"/>
      <c r="C252" s="72"/>
    </row>
    <row r="253" spans="1:3">
      <c r="A253" s="71"/>
      <c r="B253" s="72"/>
      <c r="C253" s="72"/>
    </row>
    <row r="254" spans="1:3">
      <c r="A254" s="71"/>
      <c r="B254" s="72"/>
      <c r="C254" s="72"/>
    </row>
    <row r="255" spans="1:3">
      <c r="A255" s="71"/>
      <c r="B255" s="72"/>
      <c r="C255" s="72"/>
    </row>
    <row r="256" spans="1:3">
      <c r="A256" s="71"/>
      <c r="B256" s="72"/>
      <c r="C256" s="72"/>
    </row>
    <row r="257" spans="1:3">
      <c r="A257" s="71"/>
      <c r="B257" s="72"/>
      <c r="C257" s="72"/>
    </row>
    <row r="258" spans="1:3">
      <c r="A258" s="71"/>
      <c r="B258" s="72"/>
      <c r="C258" s="72"/>
    </row>
    <row r="259" spans="1:3">
      <c r="A259" s="71"/>
      <c r="B259" s="72"/>
      <c r="C259" s="72"/>
    </row>
    <row r="260" spans="1:3">
      <c r="A260" s="71"/>
      <c r="B260" s="72"/>
      <c r="C260" s="72"/>
    </row>
    <row r="261" spans="1:3">
      <c r="A261" s="71"/>
      <c r="B261" s="72"/>
      <c r="C261" s="72"/>
    </row>
    <row r="262" spans="1:3">
      <c r="A262" s="71"/>
      <c r="B262" s="72"/>
      <c r="C262" s="72"/>
    </row>
    <row r="263" spans="1:3">
      <c r="A263" s="71"/>
      <c r="B263" s="72"/>
      <c r="C263" s="72"/>
    </row>
    <row r="264" spans="1:3">
      <c r="A264" s="71"/>
      <c r="B264" s="72"/>
      <c r="C264" s="72"/>
    </row>
    <row r="265" spans="1:3">
      <c r="A265" s="71"/>
      <c r="B265" s="72"/>
      <c r="C265" s="72"/>
    </row>
    <row r="266" spans="1:3">
      <c r="A266" s="71"/>
      <c r="B266" s="72"/>
      <c r="C266" s="72"/>
    </row>
    <row r="267" spans="1:3">
      <c r="A267" s="71"/>
      <c r="B267" s="72"/>
      <c r="C267" s="72"/>
    </row>
    <row r="268" spans="1:3">
      <c r="A268" s="71"/>
      <c r="B268" s="72"/>
      <c r="C268" s="72"/>
    </row>
    <row r="269" spans="1:3">
      <c r="A269" s="71"/>
      <c r="B269" s="72"/>
      <c r="C269" s="72"/>
    </row>
    <row r="270" spans="1:3">
      <c r="A270" s="71"/>
      <c r="B270" s="72"/>
      <c r="C270" s="72"/>
    </row>
    <row r="271" spans="1:3">
      <c r="A271" s="71"/>
      <c r="B271" s="72"/>
      <c r="C271" s="72"/>
    </row>
    <row r="272" spans="1:3">
      <c r="A272" s="71"/>
      <c r="B272" s="72"/>
      <c r="C272" s="72"/>
    </row>
    <row r="273" spans="1:3">
      <c r="A273" s="71"/>
      <c r="B273" s="72"/>
      <c r="C273" s="72"/>
    </row>
    <row r="274" spans="1:3">
      <c r="A274" s="71"/>
      <c r="B274" s="72"/>
      <c r="C274" s="72"/>
    </row>
    <row r="275" spans="1:3">
      <c r="A275" s="71"/>
      <c r="B275" s="72"/>
      <c r="C275" s="72"/>
    </row>
    <row r="276" spans="1:3">
      <c r="A276" s="71"/>
      <c r="B276" s="72"/>
      <c r="C276" s="72"/>
    </row>
    <row r="277" spans="1:3">
      <c r="A277" s="71"/>
      <c r="B277" s="72"/>
      <c r="C277" s="72"/>
    </row>
    <row r="278" spans="1:3">
      <c r="A278" s="71"/>
      <c r="B278" s="72"/>
      <c r="C278" s="72"/>
    </row>
    <row r="279" spans="1:3">
      <c r="A279" s="71"/>
      <c r="B279" s="72"/>
      <c r="C279" s="72"/>
    </row>
    <row r="280" spans="1:3">
      <c r="A280" s="71"/>
      <c r="B280" s="72"/>
      <c r="C280" s="72"/>
    </row>
    <row r="281" spans="1:3">
      <c r="A281" s="71"/>
      <c r="B281" s="72"/>
      <c r="C281" s="72"/>
    </row>
    <row r="282" spans="1:3">
      <c r="A282" s="71"/>
      <c r="B282" s="72"/>
      <c r="C282" s="72"/>
    </row>
    <row r="283" spans="1:3">
      <c r="A283" s="71"/>
      <c r="B283" s="72"/>
      <c r="C283" s="72"/>
    </row>
    <row r="284" spans="1:3">
      <c r="A284" s="71"/>
      <c r="B284" s="72"/>
      <c r="C284" s="72"/>
    </row>
    <row r="285" spans="1:3">
      <c r="A285" s="71"/>
      <c r="B285" s="72"/>
      <c r="C285" s="72"/>
    </row>
    <row r="286" spans="1:3">
      <c r="A286" s="71"/>
      <c r="B286" s="72"/>
      <c r="C286" s="72"/>
    </row>
    <row r="287" spans="1:3">
      <c r="A287" s="71"/>
      <c r="B287" s="72"/>
      <c r="C287" s="72"/>
    </row>
    <row r="288" spans="1:3">
      <c r="A288" s="71"/>
      <c r="B288" s="72"/>
      <c r="C288" s="72"/>
    </row>
    <row r="289" spans="1:3">
      <c r="A289" s="71"/>
      <c r="B289" s="72"/>
      <c r="C289" s="72"/>
    </row>
    <row r="290" spans="1:3">
      <c r="A290" s="71"/>
      <c r="B290" s="72"/>
      <c r="C290" s="72"/>
    </row>
    <row r="291" spans="1:3">
      <c r="A291" s="71"/>
      <c r="B291" s="72"/>
      <c r="C291" s="72"/>
    </row>
    <row r="292" spans="1:3">
      <c r="A292" s="71"/>
      <c r="B292" s="72"/>
      <c r="C292" s="72"/>
    </row>
    <row r="293" spans="1:3">
      <c r="A293" s="71"/>
      <c r="B293" s="72"/>
      <c r="C293" s="72"/>
    </row>
    <row r="294" spans="1:3">
      <c r="A294" s="71"/>
      <c r="B294" s="72"/>
      <c r="C294" s="72"/>
    </row>
    <row r="295" spans="1:3">
      <c r="A295" s="71"/>
      <c r="B295" s="72"/>
      <c r="C295" s="72"/>
    </row>
    <row r="296" spans="1:3">
      <c r="A296" s="71"/>
      <c r="B296" s="72"/>
      <c r="C296" s="72"/>
    </row>
    <row r="297" spans="1:3">
      <c r="A297" s="71"/>
      <c r="B297" s="72"/>
      <c r="C297" s="72"/>
    </row>
    <row r="298" spans="1:3">
      <c r="A298" s="71"/>
      <c r="B298" s="72"/>
      <c r="C298" s="72"/>
    </row>
    <row r="299" spans="1:3">
      <c r="A299" s="71"/>
      <c r="B299" s="72"/>
      <c r="C299" s="72"/>
    </row>
    <row r="300" spans="1:3">
      <c r="A300" s="71"/>
      <c r="B300" s="72"/>
      <c r="C300" s="72"/>
    </row>
    <row r="301" spans="1:3">
      <c r="A301" s="71"/>
      <c r="B301" s="72"/>
      <c r="C301" s="72"/>
    </row>
    <row r="302" spans="1:3">
      <c r="A302" s="71"/>
      <c r="B302" s="72"/>
      <c r="C302" s="72"/>
    </row>
    <row r="303" spans="1:3">
      <c r="A303" s="71"/>
      <c r="B303" s="72"/>
      <c r="C303" s="72"/>
    </row>
    <row r="304" spans="1:3">
      <c r="A304" s="71"/>
      <c r="B304" s="72"/>
      <c r="C304" s="72"/>
    </row>
    <row r="305" spans="1:3">
      <c r="A305" s="71"/>
      <c r="B305" s="72"/>
      <c r="C305" s="72"/>
    </row>
    <row r="306" spans="1:3">
      <c r="A306" s="71"/>
      <c r="B306" s="72"/>
      <c r="C306" s="72"/>
    </row>
    <row r="307" spans="1:3">
      <c r="A307" s="71"/>
      <c r="B307" s="72"/>
      <c r="C307" s="72"/>
    </row>
    <row r="308" spans="1:3">
      <c r="A308" s="71"/>
      <c r="B308" s="72"/>
      <c r="C308" s="72"/>
    </row>
    <row r="309" spans="1:3">
      <c r="A309" s="71"/>
      <c r="B309" s="72"/>
      <c r="C309" s="72"/>
    </row>
    <row r="310" spans="1:3">
      <c r="A310" s="71"/>
      <c r="B310" s="72"/>
      <c r="C310" s="72"/>
    </row>
    <row r="311" spans="1:3">
      <c r="A311" s="71"/>
      <c r="B311" s="72"/>
      <c r="C311" s="72"/>
    </row>
    <row r="312" spans="1:3">
      <c r="A312" s="71"/>
      <c r="B312" s="72"/>
      <c r="C312" s="72"/>
    </row>
    <row r="313" spans="1:3">
      <c r="A313" s="71"/>
      <c r="B313" s="72"/>
      <c r="C313" s="72"/>
    </row>
    <row r="314" spans="1:3">
      <c r="A314" s="71"/>
      <c r="B314" s="72"/>
      <c r="C314" s="72"/>
    </row>
    <row r="315" spans="1:3">
      <c r="A315" s="71"/>
      <c r="B315" s="72"/>
      <c r="C315" s="72"/>
    </row>
    <row r="316" spans="1:3">
      <c r="A316" s="71"/>
      <c r="B316" s="72"/>
      <c r="C316" s="72"/>
    </row>
    <row r="317" spans="1:3">
      <c r="A317" s="71"/>
      <c r="B317" s="72"/>
      <c r="C317" s="72"/>
    </row>
    <row r="318" spans="1:3">
      <c r="A318" s="71"/>
      <c r="B318" s="72"/>
      <c r="C318" s="72"/>
    </row>
    <row r="319" spans="1:3">
      <c r="A319" s="71"/>
      <c r="B319" s="72"/>
      <c r="C319" s="72"/>
    </row>
    <row r="320" spans="1:3">
      <c r="A320" s="71"/>
      <c r="B320" s="72"/>
      <c r="C320" s="72"/>
    </row>
    <row r="321" spans="1:3">
      <c r="A321" s="71"/>
      <c r="B321" s="72"/>
      <c r="C321" s="72"/>
    </row>
    <row r="322" spans="1:3">
      <c r="A322" s="71"/>
      <c r="B322" s="72"/>
      <c r="C322" s="72"/>
    </row>
    <row r="323" spans="1:3">
      <c r="A323" s="71"/>
      <c r="B323" s="72"/>
      <c r="C323" s="72"/>
    </row>
    <row r="324" spans="1:3">
      <c r="A324" s="71"/>
      <c r="B324" s="72"/>
      <c r="C324" s="72"/>
    </row>
    <row r="325" spans="1:3">
      <c r="A325" s="71"/>
      <c r="B325" s="72"/>
      <c r="C325" s="72"/>
    </row>
    <row r="326" spans="1:3">
      <c r="A326" s="71"/>
      <c r="B326" s="72"/>
      <c r="C326" s="72"/>
    </row>
    <row r="327" spans="1:3">
      <c r="A327" s="71"/>
      <c r="B327" s="72"/>
      <c r="C327" s="72"/>
    </row>
    <row r="328" spans="1:3">
      <c r="A328" s="71"/>
      <c r="B328" s="72"/>
      <c r="C328" s="72"/>
    </row>
    <row r="329" spans="1:3">
      <c r="A329" s="71"/>
      <c r="B329" s="72"/>
      <c r="C329" s="72"/>
    </row>
    <row r="330" spans="1:3">
      <c r="A330" s="71"/>
      <c r="B330" s="72"/>
      <c r="C330" s="72"/>
    </row>
    <row r="331" spans="1:3">
      <c r="A331" s="71"/>
      <c r="B331" s="72"/>
      <c r="C331" s="72"/>
    </row>
    <row r="332" spans="1:3">
      <c r="A332" s="71"/>
      <c r="B332" s="72"/>
      <c r="C332" s="72"/>
    </row>
    <row r="333" spans="1:3">
      <c r="A333" s="71"/>
      <c r="B333" s="72"/>
      <c r="C333" s="72"/>
    </row>
    <row r="334" spans="1:3">
      <c r="A334" s="71"/>
      <c r="B334" s="72"/>
      <c r="C334" s="72"/>
    </row>
    <row r="335" spans="1:3">
      <c r="A335" s="71"/>
      <c r="B335" s="72"/>
      <c r="C335" s="72"/>
    </row>
    <row r="336" spans="1:3">
      <c r="A336" s="71"/>
      <c r="B336" s="72"/>
      <c r="C336" s="72"/>
    </row>
    <row r="337" spans="1:3">
      <c r="A337" s="71"/>
      <c r="B337" s="72"/>
      <c r="C337" s="72"/>
    </row>
    <row r="338" spans="1:3">
      <c r="A338" s="71"/>
      <c r="B338" s="72"/>
      <c r="C338" s="72"/>
    </row>
    <row r="339" spans="1:3">
      <c r="A339" s="71"/>
      <c r="B339" s="72"/>
      <c r="C339" s="72"/>
    </row>
    <row r="340" spans="1:3">
      <c r="A340" s="71"/>
      <c r="B340" s="72"/>
      <c r="C340" s="72"/>
    </row>
    <row r="341" spans="1:3">
      <c r="A341" s="71"/>
      <c r="B341" s="72"/>
      <c r="C341" s="72"/>
    </row>
    <row r="342" spans="1:3">
      <c r="A342" s="71"/>
      <c r="B342" s="72"/>
      <c r="C342" s="72"/>
    </row>
    <row r="343" spans="1:3">
      <c r="A343" s="71"/>
      <c r="B343" s="72"/>
      <c r="C343" s="72"/>
    </row>
    <row r="344" spans="1:3">
      <c r="A344" s="71"/>
      <c r="B344" s="72"/>
      <c r="C344" s="72"/>
    </row>
    <row r="345" spans="1:3">
      <c r="A345" s="71"/>
      <c r="B345" s="72"/>
      <c r="C345" s="72"/>
    </row>
    <row r="346" spans="1:3">
      <c r="A346" s="71"/>
      <c r="B346" s="72"/>
      <c r="C346" s="72"/>
    </row>
    <row r="347" spans="1:3">
      <c r="A347" s="71"/>
      <c r="B347" s="72"/>
      <c r="C347" s="72"/>
    </row>
    <row r="348" spans="1:3">
      <c r="A348" s="71"/>
      <c r="B348" s="72"/>
      <c r="C348" s="72"/>
    </row>
    <row r="349" spans="1:3">
      <c r="A349" s="71"/>
      <c r="B349" s="72"/>
      <c r="C349" s="72"/>
    </row>
    <row r="350" spans="1:3">
      <c r="A350" s="71"/>
      <c r="B350" s="72"/>
      <c r="C350" s="72"/>
    </row>
    <row r="351" spans="1:3">
      <c r="A351" s="71"/>
      <c r="B351" s="72"/>
      <c r="C351" s="72"/>
    </row>
    <row r="352" spans="1:3">
      <c r="A352" s="71"/>
      <c r="B352" s="72"/>
      <c r="C352" s="72"/>
    </row>
    <row r="353" spans="1:3">
      <c r="A353" s="71"/>
      <c r="B353" s="72"/>
      <c r="C353" s="72"/>
    </row>
    <row r="354" spans="1:3">
      <c r="A354" s="71"/>
      <c r="B354" s="72"/>
      <c r="C354" s="72"/>
    </row>
    <row r="355" spans="1:3">
      <c r="A355" s="71"/>
      <c r="B355" s="72"/>
      <c r="C355" s="72"/>
    </row>
    <row r="356" spans="1:3">
      <c r="A356" s="71"/>
      <c r="B356" s="72"/>
      <c r="C356" s="72"/>
    </row>
    <row r="357" spans="1:3">
      <c r="A357" s="71"/>
      <c r="B357" s="72"/>
      <c r="C357" s="72"/>
    </row>
    <row r="358" spans="1:3">
      <c r="A358" s="71"/>
      <c r="B358" s="72"/>
      <c r="C358" s="72"/>
    </row>
    <row r="359" spans="1:3">
      <c r="A359" s="71"/>
      <c r="B359" s="72"/>
      <c r="C359" s="72"/>
    </row>
    <row r="360" spans="1:3">
      <c r="A360" s="71"/>
      <c r="B360" s="72"/>
      <c r="C360" s="72"/>
    </row>
    <row r="361" spans="1:3">
      <c r="A361" s="71"/>
      <c r="B361" s="72"/>
      <c r="C361" s="72"/>
    </row>
    <row r="362" spans="1:3">
      <c r="A362" s="71"/>
      <c r="B362" s="72"/>
      <c r="C362" s="72"/>
    </row>
    <row r="363" spans="1:3">
      <c r="A363" s="71"/>
      <c r="B363" s="72"/>
      <c r="C363" s="72"/>
    </row>
    <row r="364" spans="1:3">
      <c r="A364" s="71"/>
      <c r="B364" s="72"/>
      <c r="C364" s="72"/>
    </row>
    <row r="365" spans="1:3">
      <c r="A365" s="71"/>
      <c r="B365" s="72"/>
      <c r="C365" s="72"/>
    </row>
    <row r="366" spans="1:3">
      <c r="A366" s="71"/>
      <c r="B366" s="72"/>
      <c r="C366" s="72"/>
    </row>
    <row r="367" spans="1:3">
      <c r="A367" s="71"/>
      <c r="B367" s="72"/>
      <c r="C367" s="72"/>
    </row>
    <row r="368" spans="1:3">
      <c r="A368" s="71"/>
      <c r="B368" s="72"/>
      <c r="C368" s="72"/>
    </row>
    <row r="369" spans="1:3">
      <c r="A369" s="71"/>
      <c r="B369" s="72"/>
      <c r="C369" s="72"/>
    </row>
    <row r="370" spans="1:3">
      <c r="A370" s="71"/>
      <c r="B370" s="72"/>
      <c r="C370" s="72"/>
    </row>
    <row r="371" spans="1:3">
      <c r="A371" s="71"/>
      <c r="B371" s="72"/>
      <c r="C371" s="72"/>
    </row>
    <row r="372" spans="1:3">
      <c r="A372" s="71"/>
      <c r="B372" s="72"/>
      <c r="C372" s="72"/>
    </row>
    <row r="373" spans="1:3">
      <c r="A373" s="71"/>
      <c r="B373" s="72"/>
      <c r="C373" s="72"/>
    </row>
    <row r="374" spans="1:3">
      <c r="A374" s="71"/>
      <c r="B374" s="72"/>
      <c r="C374" s="72"/>
    </row>
    <row r="375" spans="1:3">
      <c r="A375" s="71"/>
      <c r="B375" s="72"/>
      <c r="C375" s="72"/>
    </row>
    <row r="376" spans="1:3">
      <c r="A376" s="71"/>
      <c r="B376" s="72"/>
      <c r="C376" s="72"/>
    </row>
    <row r="377" spans="1:3">
      <c r="A377" s="71"/>
      <c r="B377" s="72"/>
      <c r="C377" s="72"/>
    </row>
    <row r="378" spans="1:3">
      <c r="A378" s="71"/>
      <c r="B378" s="72"/>
      <c r="C378" s="72"/>
    </row>
    <row r="379" spans="1:3">
      <c r="A379" s="71"/>
      <c r="B379" s="72"/>
      <c r="C379" s="72"/>
    </row>
    <row r="380" spans="1:3">
      <c r="A380" s="71"/>
      <c r="B380" s="72"/>
      <c r="C380" s="72"/>
    </row>
    <row r="381" spans="1:3">
      <c r="A381" s="71"/>
      <c r="B381" s="72"/>
      <c r="C381" s="72"/>
    </row>
    <row r="382" spans="1:3">
      <c r="A382" s="71"/>
      <c r="B382" s="72"/>
      <c r="C382" s="72"/>
    </row>
    <row r="383" spans="1:3">
      <c r="A383" s="71"/>
      <c r="B383" s="72"/>
      <c r="C383" s="72"/>
    </row>
    <row r="384" spans="1:3">
      <c r="A384" s="71"/>
      <c r="B384" s="72"/>
      <c r="C384" s="72"/>
    </row>
    <row r="385" spans="1:3">
      <c r="A385" s="71"/>
      <c r="B385" s="72"/>
      <c r="C385" s="72"/>
    </row>
    <row r="386" spans="1:3">
      <c r="A386" s="71"/>
      <c r="B386" s="72"/>
      <c r="C386" s="72"/>
    </row>
    <row r="387" spans="1:3">
      <c r="A387" s="71"/>
      <c r="B387" s="72"/>
      <c r="C387" s="72"/>
    </row>
    <row r="388" spans="1:3">
      <c r="A388" s="71"/>
      <c r="B388" s="72"/>
      <c r="C388" s="72"/>
    </row>
    <row r="389" spans="1:3">
      <c r="A389" s="71"/>
      <c r="B389" s="72"/>
      <c r="C389" s="72"/>
    </row>
    <row r="390" spans="1:3">
      <c r="A390" s="71"/>
      <c r="B390" s="72"/>
      <c r="C390" s="72"/>
    </row>
    <row r="391" spans="1:3">
      <c r="A391" s="71"/>
      <c r="B391" s="72"/>
      <c r="C391" s="72"/>
    </row>
    <row r="392" spans="1:3">
      <c r="A392" s="71"/>
      <c r="B392" s="72"/>
      <c r="C392" s="72"/>
    </row>
    <row r="393" spans="1:3">
      <c r="A393" s="71"/>
      <c r="B393" s="72"/>
      <c r="C393" s="72"/>
    </row>
    <row r="394" spans="1:3">
      <c r="A394" s="71"/>
      <c r="B394" s="72"/>
      <c r="C394" s="72"/>
    </row>
    <row r="395" spans="1:3">
      <c r="A395" s="71"/>
      <c r="B395" s="72"/>
      <c r="C395" s="72"/>
    </row>
    <row r="396" spans="1:3">
      <c r="A396" s="71"/>
      <c r="B396" s="72"/>
      <c r="C396" s="72"/>
    </row>
    <row r="397" spans="1:3">
      <c r="A397" s="71"/>
      <c r="B397" s="72"/>
      <c r="C397" s="72"/>
    </row>
    <row r="398" spans="1:3">
      <c r="A398" s="71"/>
      <c r="B398" s="72"/>
      <c r="C398" s="72"/>
    </row>
    <row r="399" spans="1:3">
      <c r="A399" s="71"/>
      <c r="B399" s="72"/>
      <c r="C399" s="72"/>
    </row>
    <row r="400" spans="1:3">
      <c r="A400" s="71"/>
      <c r="B400" s="72"/>
      <c r="C400" s="72"/>
    </row>
    <row r="401" spans="1:3">
      <c r="A401" s="71"/>
      <c r="B401" s="72"/>
      <c r="C401" s="72"/>
    </row>
    <row r="402" spans="1:3">
      <c r="A402" s="71"/>
      <c r="B402" s="72"/>
      <c r="C402" s="72"/>
    </row>
    <row r="403" spans="1:3">
      <c r="A403" s="71"/>
      <c r="B403" s="72"/>
      <c r="C403" s="72"/>
    </row>
    <row r="404" spans="1:3">
      <c r="A404" s="71"/>
      <c r="B404" s="72"/>
      <c r="C404" s="72"/>
    </row>
    <row r="405" spans="1:3">
      <c r="A405" s="71"/>
      <c r="B405" s="72"/>
      <c r="C405" s="72"/>
    </row>
    <row r="406" spans="1:3">
      <c r="A406" s="71"/>
      <c r="B406" s="72"/>
      <c r="C406" s="72"/>
    </row>
    <row r="407" spans="1:3">
      <c r="A407" s="71"/>
      <c r="B407" s="72"/>
      <c r="C407" s="72"/>
    </row>
    <row r="408" spans="1:3">
      <c r="A408" s="71"/>
      <c r="B408" s="72"/>
      <c r="C408" s="72"/>
    </row>
    <row r="409" spans="1:3">
      <c r="A409" s="71"/>
      <c r="B409" s="72"/>
      <c r="C409" s="72"/>
    </row>
    <row r="410" spans="1:3">
      <c r="A410" s="71"/>
      <c r="B410" s="72"/>
      <c r="C410" s="72"/>
    </row>
    <row r="411" spans="1:3">
      <c r="A411" s="71"/>
      <c r="B411" s="72"/>
      <c r="C411" s="72"/>
    </row>
    <row r="412" spans="1:3">
      <c r="A412" s="71"/>
      <c r="B412" s="72"/>
      <c r="C412" s="72"/>
    </row>
    <row r="413" spans="1:3">
      <c r="A413" s="71"/>
      <c r="B413" s="72"/>
      <c r="C413" s="72"/>
    </row>
    <row r="414" spans="1:3">
      <c r="A414" s="71"/>
      <c r="B414" s="72"/>
      <c r="C414" s="72"/>
    </row>
    <row r="415" spans="1:3">
      <c r="A415" s="71"/>
      <c r="B415" s="72"/>
      <c r="C415" s="72"/>
    </row>
    <row r="416" spans="1:3">
      <c r="A416" s="71"/>
      <c r="B416" s="72"/>
      <c r="C416" s="72"/>
    </row>
    <row r="417" spans="1:3">
      <c r="A417" s="71"/>
      <c r="B417" s="72"/>
      <c r="C417" s="72"/>
    </row>
    <row r="418" spans="1:3">
      <c r="A418" s="71"/>
      <c r="B418" s="72"/>
      <c r="C418" s="72"/>
    </row>
    <row r="419" spans="1:3">
      <c r="A419" s="71"/>
      <c r="B419" s="72"/>
      <c r="C419" s="72"/>
    </row>
    <row r="420" spans="1:3">
      <c r="A420" s="71"/>
      <c r="B420" s="72"/>
      <c r="C420" s="72"/>
    </row>
    <row r="421" spans="1:3">
      <c r="A421" s="71"/>
      <c r="B421" s="72"/>
      <c r="C421" s="72"/>
    </row>
    <row r="422" spans="1:3">
      <c r="A422" s="71"/>
      <c r="B422" s="72"/>
      <c r="C422" s="72"/>
    </row>
    <row r="423" spans="1:3">
      <c r="A423" s="71"/>
      <c r="B423" s="72"/>
      <c r="C423" s="72"/>
    </row>
    <row r="424" spans="1:3">
      <c r="A424" s="71"/>
      <c r="B424" s="72"/>
      <c r="C424" s="72"/>
    </row>
    <row r="425" spans="1:3">
      <c r="A425" s="71"/>
      <c r="B425" s="72"/>
      <c r="C425" s="72"/>
    </row>
    <row r="426" spans="1:3">
      <c r="A426" s="71"/>
      <c r="B426" s="72"/>
      <c r="C426" s="72"/>
    </row>
    <row r="427" spans="1:3">
      <c r="A427" s="71"/>
      <c r="B427" s="72"/>
      <c r="C427" s="72"/>
    </row>
    <row r="428" spans="1:3">
      <c r="A428" s="71"/>
      <c r="B428" s="72"/>
      <c r="C428" s="72"/>
    </row>
    <row r="429" spans="1:3">
      <c r="A429" s="71"/>
      <c r="B429" s="72"/>
      <c r="C429" s="72"/>
    </row>
    <row r="430" spans="1:3">
      <c r="A430" s="71"/>
      <c r="B430" s="72"/>
      <c r="C430" s="72"/>
    </row>
    <row r="431" spans="1:3">
      <c r="A431" s="71"/>
      <c r="B431" s="72"/>
      <c r="C431" s="72"/>
    </row>
    <row r="432" spans="1:3">
      <c r="A432" s="71"/>
      <c r="B432" s="72"/>
      <c r="C432" s="72"/>
    </row>
    <row r="433" spans="1:3">
      <c r="A433" s="71"/>
      <c r="B433" s="72"/>
      <c r="C433" s="72"/>
    </row>
    <row r="434" spans="1:3">
      <c r="A434" s="71"/>
      <c r="B434" s="72"/>
      <c r="C434" s="72"/>
    </row>
    <row r="435" spans="1:3">
      <c r="A435" s="71"/>
      <c r="B435" s="72"/>
      <c r="C435" s="72"/>
    </row>
    <row r="436" spans="1:3">
      <c r="A436" s="71"/>
      <c r="B436" s="72"/>
      <c r="C436" s="72"/>
    </row>
    <row r="437" spans="1:3">
      <c r="A437" s="71"/>
      <c r="B437" s="72"/>
      <c r="C437" s="72"/>
    </row>
    <row r="438" spans="1:3">
      <c r="A438" s="71"/>
      <c r="B438" s="72"/>
      <c r="C438" s="72"/>
    </row>
    <row r="439" spans="1:3">
      <c r="A439" s="71"/>
      <c r="B439" s="72"/>
      <c r="C439" s="72"/>
    </row>
    <row r="440" spans="1:3">
      <c r="A440" s="71"/>
      <c r="B440" s="72"/>
      <c r="C440" s="72"/>
    </row>
    <row r="441" spans="1:3">
      <c r="A441" s="71"/>
      <c r="B441" s="72"/>
      <c r="C441" s="72"/>
    </row>
    <row r="442" spans="1:3">
      <c r="A442" s="71"/>
      <c r="B442" s="72"/>
      <c r="C442" s="72"/>
    </row>
    <row r="443" spans="1:3">
      <c r="A443" s="71"/>
      <c r="B443" s="72"/>
      <c r="C443" s="72"/>
    </row>
    <row r="444" spans="1:3">
      <c r="A444" s="71"/>
      <c r="B444" s="72"/>
      <c r="C444" s="72"/>
    </row>
    <row r="445" spans="1:3">
      <c r="A445" s="71"/>
      <c r="B445" s="72"/>
      <c r="C445" s="72"/>
    </row>
    <row r="446" spans="1:3">
      <c r="A446" s="71"/>
      <c r="B446" s="72"/>
      <c r="C446" s="72"/>
    </row>
    <row r="447" spans="1:3">
      <c r="A447" s="71"/>
      <c r="B447" s="72"/>
      <c r="C447" s="72"/>
    </row>
    <row r="448" spans="1:3">
      <c r="A448" s="71"/>
      <c r="B448" s="72"/>
      <c r="C448" s="72"/>
    </row>
    <row r="449" spans="1:3">
      <c r="A449" s="71"/>
      <c r="B449" s="72"/>
      <c r="C449" s="72"/>
    </row>
    <row r="450" spans="1:3">
      <c r="A450" s="71"/>
      <c r="B450" s="72"/>
      <c r="C450" s="72"/>
    </row>
    <row r="451" spans="1:3">
      <c r="A451" s="71"/>
      <c r="B451" s="72"/>
      <c r="C451" s="72"/>
    </row>
    <row r="452" spans="1:3">
      <c r="A452" s="71"/>
      <c r="B452" s="72"/>
      <c r="C452" s="72"/>
    </row>
    <row r="453" spans="1:3">
      <c r="A453" s="71"/>
      <c r="B453" s="72"/>
      <c r="C453" s="72"/>
    </row>
    <row r="454" spans="1:3">
      <c r="A454" s="71"/>
      <c r="B454" s="72"/>
      <c r="C454" s="72"/>
    </row>
    <row r="455" spans="1:3">
      <c r="A455" s="71"/>
      <c r="B455" s="72"/>
      <c r="C455" s="72"/>
    </row>
    <row r="456" spans="1:3">
      <c r="A456" s="71"/>
      <c r="B456" s="72"/>
      <c r="C456" s="72"/>
    </row>
    <row r="457" spans="1:3">
      <c r="A457" s="71"/>
      <c r="B457" s="72"/>
      <c r="C457" s="72"/>
    </row>
    <row r="458" spans="1:3">
      <c r="A458" s="71"/>
      <c r="B458" s="72"/>
      <c r="C458" s="72"/>
    </row>
    <row r="459" spans="1:3">
      <c r="A459" s="71"/>
      <c r="B459" s="72"/>
      <c r="C459" s="72"/>
    </row>
    <row r="460" spans="1:3">
      <c r="A460" s="71"/>
      <c r="B460" s="72"/>
      <c r="C460" s="72"/>
    </row>
    <row r="461" spans="1:3">
      <c r="A461" s="71"/>
      <c r="B461" s="72"/>
      <c r="C461" s="72"/>
    </row>
    <row r="462" spans="1:3">
      <c r="A462" s="71"/>
      <c r="B462" s="72"/>
      <c r="C462" s="72"/>
    </row>
    <row r="463" spans="1:3">
      <c r="A463" s="71"/>
      <c r="B463" s="72"/>
      <c r="C463" s="72"/>
    </row>
    <row r="464" spans="1:3">
      <c r="A464" s="71"/>
      <c r="B464" s="72"/>
      <c r="C464" s="72"/>
    </row>
    <row r="465" spans="1:3">
      <c r="A465" s="71"/>
      <c r="B465" s="72"/>
      <c r="C465" s="72"/>
    </row>
    <row r="466" spans="1:3">
      <c r="A466" s="71"/>
      <c r="B466" s="72"/>
      <c r="C466" s="72"/>
    </row>
    <row r="467" spans="1:3">
      <c r="A467" s="71"/>
      <c r="B467" s="72"/>
      <c r="C467" s="72"/>
    </row>
    <row r="468" spans="1:3">
      <c r="A468" s="71"/>
      <c r="B468" s="72"/>
      <c r="C468" s="72"/>
    </row>
    <row r="469" spans="1:3">
      <c r="A469" s="71"/>
      <c r="B469" s="72"/>
      <c r="C469" s="72"/>
    </row>
    <row r="470" spans="1:3">
      <c r="A470" s="71"/>
      <c r="B470" s="72"/>
      <c r="C470" s="72"/>
    </row>
    <row r="471" spans="1:3">
      <c r="A471" s="71"/>
      <c r="B471" s="72"/>
      <c r="C471" s="72"/>
    </row>
    <row r="472" spans="1:3">
      <c r="A472" s="71"/>
      <c r="B472" s="72"/>
      <c r="C472" s="72"/>
    </row>
    <row r="473" spans="1:3">
      <c r="A473" s="71"/>
      <c r="B473" s="72"/>
      <c r="C473" s="72"/>
    </row>
    <row r="474" spans="1:3">
      <c r="A474" s="71"/>
      <c r="B474" s="72"/>
      <c r="C474" s="72"/>
    </row>
    <row r="475" spans="1:3">
      <c r="A475" s="71"/>
      <c r="B475" s="72"/>
      <c r="C475" s="72"/>
    </row>
    <row r="476" spans="1:3">
      <c r="A476" s="71"/>
      <c r="B476" s="72"/>
      <c r="C476" s="72"/>
    </row>
    <row r="477" spans="1:3">
      <c r="A477" s="71"/>
      <c r="B477" s="72"/>
      <c r="C477" s="72"/>
    </row>
    <row r="478" spans="1:3">
      <c r="A478" s="71"/>
      <c r="B478" s="72"/>
      <c r="C478" s="72"/>
    </row>
    <row r="479" spans="1:3">
      <c r="A479" s="71"/>
      <c r="B479" s="72"/>
      <c r="C479" s="72"/>
    </row>
    <row r="480" spans="1:3">
      <c r="A480" s="71"/>
      <c r="B480" s="72"/>
      <c r="C480" s="72"/>
    </row>
    <row r="481" spans="1:3">
      <c r="A481" s="71"/>
      <c r="B481" s="72"/>
      <c r="C481" s="72"/>
    </row>
    <row r="482" spans="1:3">
      <c r="A482" s="71"/>
      <c r="B482" s="72"/>
      <c r="C482" s="72"/>
    </row>
    <row r="483" spans="1:3">
      <c r="A483" s="71"/>
      <c r="B483" s="72"/>
      <c r="C483" s="72"/>
    </row>
    <row r="484" spans="1:3">
      <c r="A484" s="71"/>
      <c r="B484" s="72"/>
      <c r="C484" s="72"/>
    </row>
    <row r="485" spans="1:3">
      <c r="A485" s="71"/>
      <c r="B485" s="72"/>
      <c r="C485" s="72"/>
    </row>
    <row r="486" spans="1:3">
      <c r="A486" s="71"/>
      <c r="B486" s="72"/>
      <c r="C486" s="72"/>
    </row>
    <row r="487" spans="1:3">
      <c r="A487" s="71"/>
      <c r="B487" s="72"/>
      <c r="C487" s="72"/>
    </row>
    <row r="488" spans="1:3">
      <c r="A488" s="71"/>
      <c r="B488" s="72"/>
      <c r="C488" s="72"/>
    </row>
    <row r="489" spans="1:3">
      <c r="A489" s="71"/>
      <c r="B489" s="72"/>
      <c r="C489" s="72"/>
    </row>
    <row r="490" spans="1:3">
      <c r="A490" s="71"/>
      <c r="B490" s="72"/>
      <c r="C490" s="72"/>
    </row>
    <row r="491" spans="1:3">
      <c r="A491" s="71"/>
      <c r="B491" s="72"/>
      <c r="C491" s="72"/>
    </row>
    <row r="492" spans="1:3">
      <c r="A492" s="71"/>
      <c r="B492" s="72"/>
      <c r="C492" s="72"/>
    </row>
    <row r="493" spans="1:3">
      <c r="A493" s="71"/>
      <c r="B493" s="72"/>
      <c r="C493" s="72"/>
    </row>
    <row r="494" spans="1:3">
      <c r="A494" s="71"/>
      <c r="B494" s="72"/>
      <c r="C494" s="72"/>
    </row>
    <row r="495" spans="1:3">
      <c r="A495" s="71"/>
      <c r="B495" s="72"/>
      <c r="C495" s="72"/>
    </row>
    <row r="496" spans="1:3">
      <c r="A496" s="71"/>
      <c r="B496" s="72"/>
      <c r="C496" s="72"/>
    </row>
    <row r="497" spans="1:3">
      <c r="A497" s="71"/>
      <c r="B497" s="72"/>
      <c r="C497" s="72"/>
    </row>
    <row r="498" spans="1:3">
      <c r="A498" s="71"/>
      <c r="B498" s="72"/>
      <c r="C498" s="72"/>
    </row>
    <row r="499" spans="1:3">
      <c r="A499" s="71"/>
      <c r="B499" s="72"/>
      <c r="C499" s="72"/>
    </row>
    <row r="500" spans="1:3">
      <c r="A500" s="71"/>
      <c r="B500" s="72"/>
      <c r="C500" s="72"/>
    </row>
    <row r="501" spans="1:3">
      <c r="A501" s="71"/>
      <c r="B501" s="72"/>
      <c r="C501" s="72"/>
    </row>
    <row r="502" spans="1:3">
      <c r="A502" s="71"/>
      <c r="B502" s="72"/>
      <c r="C502" s="72"/>
    </row>
    <row r="503" spans="1:3">
      <c r="A503" s="71"/>
      <c r="B503" s="72"/>
      <c r="C503" s="72"/>
    </row>
    <row r="504" spans="1:3">
      <c r="A504" s="71"/>
      <c r="B504" s="72"/>
      <c r="C504" s="72"/>
    </row>
    <row r="505" spans="1:3">
      <c r="A505" s="71"/>
      <c r="B505" s="72"/>
      <c r="C505" s="72"/>
    </row>
    <row r="506" spans="1:3">
      <c r="A506" s="71"/>
      <c r="B506" s="72"/>
      <c r="C506" s="72"/>
    </row>
    <row r="507" spans="1:3">
      <c r="A507" s="71"/>
      <c r="B507" s="72"/>
      <c r="C507" s="72"/>
    </row>
    <row r="508" spans="1:3">
      <c r="A508" s="71"/>
      <c r="B508" s="72"/>
      <c r="C508" s="72"/>
    </row>
    <row r="509" spans="1:3">
      <c r="A509" s="71"/>
      <c r="B509" s="72"/>
      <c r="C509" s="72"/>
    </row>
    <row r="510" spans="1:3">
      <c r="A510" s="71"/>
      <c r="B510" s="72"/>
      <c r="C510" s="72"/>
    </row>
    <row r="511" spans="1:3">
      <c r="A511" s="71"/>
      <c r="B511" s="72"/>
      <c r="C511" s="72"/>
    </row>
    <row r="512" spans="1:3">
      <c r="A512" s="71"/>
      <c r="B512" s="72"/>
      <c r="C512" s="72"/>
    </row>
    <row r="513" spans="1:3">
      <c r="A513" s="71"/>
      <c r="B513" s="72"/>
      <c r="C513" s="72"/>
    </row>
    <row r="514" spans="1:3">
      <c r="A514" s="71"/>
      <c r="B514" s="72"/>
      <c r="C514" s="72"/>
    </row>
    <row r="515" spans="1:3">
      <c r="A515" s="71"/>
      <c r="B515" s="72"/>
      <c r="C515" s="72"/>
    </row>
    <row r="516" spans="1:3">
      <c r="A516" s="71"/>
      <c r="B516" s="72"/>
      <c r="C516" s="72"/>
    </row>
    <row r="517" spans="1:3">
      <c r="A517" s="71"/>
      <c r="B517" s="72"/>
      <c r="C517" s="72"/>
    </row>
    <row r="518" spans="1:3">
      <c r="A518" s="71"/>
      <c r="B518" s="72"/>
      <c r="C518" s="72"/>
    </row>
    <row r="519" spans="1:3">
      <c r="A519" s="71"/>
      <c r="B519" s="72"/>
      <c r="C519" s="72"/>
    </row>
    <row r="520" spans="1:3">
      <c r="A520" s="71"/>
      <c r="B520" s="72"/>
      <c r="C520" s="72"/>
    </row>
    <row r="521" spans="1:3">
      <c r="A521" s="71"/>
      <c r="B521" s="72"/>
      <c r="C521" s="72"/>
    </row>
    <row r="522" spans="1:3">
      <c r="A522" s="71"/>
      <c r="B522" s="72"/>
      <c r="C522" s="72"/>
    </row>
    <row r="523" spans="1:3">
      <c r="A523" s="71"/>
      <c r="B523" s="72"/>
      <c r="C523" s="72"/>
    </row>
    <row r="524" spans="1:3">
      <c r="A524" s="71"/>
      <c r="B524" s="72"/>
      <c r="C524" s="72"/>
    </row>
    <row r="525" spans="1:3">
      <c r="A525" s="71"/>
      <c r="B525" s="72"/>
      <c r="C525" s="72"/>
    </row>
    <row r="526" spans="1:3">
      <c r="A526" s="71"/>
      <c r="B526" s="72"/>
      <c r="C526" s="72"/>
    </row>
    <row r="527" spans="1:3">
      <c r="A527" s="71"/>
      <c r="B527" s="72"/>
      <c r="C527" s="72"/>
    </row>
    <row r="528" spans="1:3">
      <c r="A528" s="71"/>
      <c r="B528" s="72"/>
      <c r="C528" s="72"/>
    </row>
    <row r="529" spans="1:3">
      <c r="A529" s="71"/>
      <c r="B529" s="72"/>
      <c r="C529" s="72"/>
    </row>
    <row r="530" spans="1:3">
      <c r="A530" s="71"/>
      <c r="B530" s="72"/>
      <c r="C530" s="72"/>
    </row>
    <row r="531" spans="1:3">
      <c r="A531" s="71"/>
      <c r="B531" s="72"/>
      <c r="C531" s="72"/>
    </row>
    <row r="532" spans="1:3">
      <c r="A532" s="71"/>
      <c r="B532" s="72"/>
      <c r="C532" s="72"/>
    </row>
    <row r="533" spans="1:3">
      <c r="A533" s="71"/>
      <c r="B533" s="72"/>
      <c r="C533" s="72"/>
    </row>
    <row r="534" spans="1:3">
      <c r="A534" s="71"/>
      <c r="B534" s="72"/>
      <c r="C534" s="72"/>
    </row>
    <row r="535" spans="1:3">
      <c r="A535" s="71"/>
      <c r="B535" s="72"/>
      <c r="C535" s="72"/>
    </row>
    <row r="536" spans="1:3">
      <c r="A536" s="71"/>
      <c r="B536" s="72"/>
      <c r="C536" s="72"/>
    </row>
    <row r="537" spans="1:3">
      <c r="A537" s="71"/>
      <c r="B537" s="72"/>
      <c r="C537" s="72"/>
    </row>
    <row r="538" spans="1:3">
      <c r="A538" s="71"/>
      <c r="B538" s="72"/>
      <c r="C538" s="72"/>
    </row>
    <row r="539" spans="1:3">
      <c r="A539" s="71"/>
      <c r="B539" s="72"/>
      <c r="C539" s="72"/>
    </row>
    <row r="540" spans="1:3">
      <c r="A540" s="71"/>
      <c r="B540" s="72"/>
      <c r="C540" s="72"/>
    </row>
    <row r="541" spans="1:3">
      <c r="A541" s="71"/>
      <c r="B541" s="72"/>
      <c r="C541" s="72"/>
    </row>
    <row r="542" spans="1:3">
      <c r="A542" s="71"/>
      <c r="B542" s="72"/>
      <c r="C542" s="72"/>
    </row>
    <row r="543" spans="1:3">
      <c r="A543" s="71"/>
      <c r="B543" s="72"/>
      <c r="C543" s="72"/>
    </row>
    <row r="544" spans="1:3">
      <c r="A544" s="71"/>
      <c r="B544" s="72"/>
      <c r="C544" s="72"/>
    </row>
    <row r="545" spans="1:3">
      <c r="A545" s="71"/>
      <c r="B545" s="72"/>
      <c r="C545" s="72"/>
    </row>
    <row r="546" spans="1:3">
      <c r="A546" s="71"/>
      <c r="B546" s="72"/>
      <c r="C546" s="72"/>
    </row>
    <row r="547" spans="1:3">
      <c r="A547" s="71"/>
      <c r="B547" s="72"/>
      <c r="C547" s="72"/>
    </row>
    <row r="548" spans="1:3">
      <c r="A548" s="71"/>
      <c r="B548" s="72"/>
      <c r="C548" s="72"/>
    </row>
    <row r="549" spans="1:3">
      <c r="A549" s="71"/>
      <c r="B549" s="72"/>
      <c r="C549" s="72"/>
    </row>
    <row r="550" spans="1:3">
      <c r="A550" s="71"/>
      <c r="B550" s="72"/>
      <c r="C550" s="72"/>
    </row>
    <row r="551" spans="1:3">
      <c r="A551" s="71"/>
      <c r="B551" s="72"/>
      <c r="C551" s="72"/>
    </row>
    <row r="552" spans="1:3">
      <c r="A552" s="71"/>
      <c r="B552" s="72"/>
      <c r="C552" s="72"/>
    </row>
    <row r="553" spans="1:3">
      <c r="A553" s="71"/>
      <c r="B553" s="72"/>
      <c r="C553" s="72"/>
    </row>
    <row r="554" spans="1:3">
      <c r="A554" s="71"/>
      <c r="B554" s="72"/>
      <c r="C554" s="72"/>
    </row>
    <row r="555" spans="1:3">
      <c r="A555" s="71"/>
      <c r="B555" s="72"/>
      <c r="C555" s="72"/>
    </row>
    <row r="556" spans="1:3">
      <c r="A556" s="71"/>
      <c r="B556" s="72"/>
      <c r="C556" s="72"/>
    </row>
    <row r="557" spans="1:3">
      <c r="A557" s="71"/>
      <c r="B557" s="72"/>
      <c r="C557" s="72"/>
    </row>
    <row r="558" spans="1:3">
      <c r="A558" s="71"/>
      <c r="B558" s="72"/>
      <c r="C558" s="72"/>
    </row>
    <row r="559" spans="1:3">
      <c r="A559" s="71"/>
      <c r="B559" s="72"/>
      <c r="C559" s="72"/>
    </row>
    <row r="560" spans="1:3">
      <c r="A560" s="71"/>
      <c r="B560" s="72"/>
      <c r="C560" s="72"/>
    </row>
    <row r="561" spans="1:3">
      <c r="A561" s="71"/>
      <c r="B561" s="72"/>
      <c r="C561" s="72"/>
    </row>
    <row r="562" spans="1:3">
      <c r="A562" s="71"/>
      <c r="B562" s="72"/>
      <c r="C562" s="72"/>
    </row>
    <row r="563" spans="1:3">
      <c r="A563" s="71"/>
      <c r="B563" s="72"/>
      <c r="C563" s="72"/>
    </row>
    <row r="564" spans="1:3">
      <c r="A564" s="71"/>
      <c r="B564" s="72"/>
      <c r="C564" s="72"/>
    </row>
    <row r="565" spans="1:3">
      <c r="A565" s="71"/>
      <c r="B565" s="72"/>
      <c r="C565" s="72"/>
    </row>
    <row r="566" spans="1:3">
      <c r="A566" s="71"/>
      <c r="B566" s="72"/>
      <c r="C566" s="72"/>
    </row>
    <row r="567" spans="1:3">
      <c r="A567" s="71"/>
      <c r="B567" s="72"/>
      <c r="C567" s="72"/>
    </row>
    <row r="568" spans="1:3">
      <c r="A568" s="71"/>
      <c r="B568" s="72"/>
      <c r="C568" s="72"/>
    </row>
    <row r="569" spans="1:3">
      <c r="A569" s="71"/>
      <c r="B569" s="72"/>
      <c r="C569" s="72"/>
    </row>
    <row r="570" spans="1:3">
      <c r="A570" s="71"/>
      <c r="B570" s="72"/>
      <c r="C570" s="72"/>
    </row>
    <row r="571" spans="1:3">
      <c r="A571" s="71"/>
      <c r="B571" s="72"/>
      <c r="C571" s="72"/>
    </row>
    <row r="572" spans="1:3">
      <c r="A572" s="71"/>
      <c r="B572" s="72"/>
      <c r="C572" s="72"/>
    </row>
    <row r="573" spans="1:3">
      <c r="A573" s="71"/>
      <c r="B573" s="72"/>
      <c r="C573" s="72"/>
    </row>
    <row r="574" spans="1:3">
      <c r="A574" s="71"/>
      <c r="B574" s="72"/>
      <c r="C574" s="72"/>
    </row>
    <row r="575" spans="1:3">
      <c r="A575" s="71"/>
      <c r="B575" s="72"/>
      <c r="C575" s="72"/>
    </row>
    <row r="576" spans="1:3">
      <c r="A576" s="71"/>
      <c r="B576" s="72"/>
      <c r="C576" s="72"/>
    </row>
    <row r="577" spans="1:3">
      <c r="A577" s="71"/>
      <c r="B577" s="72"/>
      <c r="C577" s="72"/>
    </row>
    <row r="578" spans="1:3">
      <c r="A578" s="71"/>
      <c r="B578" s="72"/>
      <c r="C578" s="72"/>
    </row>
    <row r="579" spans="1:3">
      <c r="A579" s="71"/>
      <c r="B579" s="72"/>
      <c r="C579" s="72"/>
    </row>
    <row r="580" spans="1:3">
      <c r="A580" s="71"/>
      <c r="B580" s="72"/>
      <c r="C580" s="72"/>
    </row>
    <row r="581" spans="1:3">
      <c r="A581" s="71"/>
      <c r="B581" s="72"/>
      <c r="C581" s="72"/>
    </row>
    <row r="582" spans="1:3">
      <c r="A582" s="71"/>
      <c r="B582" s="72"/>
      <c r="C582" s="72"/>
    </row>
    <row r="583" spans="1:3">
      <c r="A583" s="71"/>
      <c r="B583" s="72"/>
      <c r="C583" s="72"/>
    </row>
    <row r="584" spans="1:3">
      <c r="A584" s="71"/>
      <c r="B584" s="72"/>
      <c r="C584" s="72"/>
    </row>
    <row r="585" spans="1:3">
      <c r="A585" s="71"/>
      <c r="B585" s="72"/>
      <c r="C585" s="72"/>
    </row>
    <row r="586" spans="1:3">
      <c r="A586" s="71"/>
      <c r="B586" s="72"/>
      <c r="C586" s="72"/>
    </row>
    <row r="587" spans="1:3">
      <c r="A587" s="71"/>
      <c r="B587" s="72"/>
      <c r="C587" s="72"/>
    </row>
    <row r="588" spans="1:3">
      <c r="A588" s="71"/>
      <c r="B588" s="72"/>
      <c r="C588" s="72"/>
    </row>
    <row r="589" spans="1:3">
      <c r="A589" s="71"/>
      <c r="B589" s="72"/>
      <c r="C589" s="72"/>
    </row>
    <row r="590" spans="1:3">
      <c r="A590" s="71"/>
      <c r="B590" s="72"/>
      <c r="C590" s="72"/>
    </row>
    <row r="591" spans="1:3">
      <c r="A591" s="71"/>
      <c r="B591" s="72"/>
      <c r="C591" s="72"/>
    </row>
    <row r="592" spans="1:3">
      <c r="A592" s="71"/>
      <c r="B592" s="72"/>
      <c r="C592" s="72"/>
    </row>
    <row r="593" spans="1:3">
      <c r="A593" s="71"/>
      <c r="B593" s="72"/>
      <c r="C593" s="72"/>
    </row>
    <row r="594" spans="1:3">
      <c r="A594" s="71"/>
      <c r="B594" s="72"/>
      <c r="C594" s="72"/>
    </row>
    <row r="595" spans="1:3">
      <c r="A595" s="71"/>
      <c r="B595" s="72"/>
      <c r="C595" s="72"/>
    </row>
    <row r="596" spans="1:3">
      <c r="A596" s="71"/>
      <c r="B596" s="72"/>
      <c r="C596" s="72"/>
    </row>
    <row r="597" spans="1:3">
      <c r="A597" s="71"/>
      <c r="B597" s="72"/>
      <c r="C597" s="72"/>
    </row>
    <row r="598" spans="1:3">
      <c r="A598" s="71"/>
      <c r="B598" s="72"/>
      <c r="C598" s="72"/>
    </row>
    <row r="599" spans="1:3">
      <c r="A599" s="71"/>
      <c r="B599" s="72"/>
      <c r="C599" s="72"/>
    </row>
    <row r="600" spans="1:3">
      <c r="A600" s="71"/>
      <c r="B600" s="72"/>
      <c r="C600" s="72"/>
    </row>
    <row r="601" spans="1:3">
      <c r="A601" s="71"/>
      <c r="B601" s="72"/>
      <c r="C601" s="72"/>
    </row>
    <row r="602" spans="1:3">
      <c r="A602" s="71"/>
      <c r="B602" s="72"/>
      <c r="C602" s="72"/>
    </row>
    <row r="603" spans="1:3">
      <c r="A603" s="71"/>
      <c r="B603" s="72"/>
      <c r="C603" s="72"/>
    </row>
    <row r="604" spans="1:3">
      <c r="A604" s="71"/>
      <c r="B604" s="72"/>
      <c r="C604" s="72"/>
    </row>
    <row r="605" spans="1:3">
      <c r="A605" s="71"/>
      <c r="B605" s="72"/>
      <c r="C605" s="72"/>
    </row>
    <row r="606" spans="1:3">
      <c r="A606" s="71"/>
      <c r="B606" s="72"/>
      <c r="C606" s="72"/>
    </row>
    <row r="607" spans="1:3">
      <c r="A607" s="71"/>
      <c r="B607" s="72"/>
      <c r="C607" s="72"/>
    </row>
    <row r="608" spans="1:3">
      <c r="A608" s="71"/>
      <c r="B608" s="72"/>
      <c r="C608" s="72"/>
    </row>
    <row r="609" spans="1:3">
      <c r="A609" s="71"/>
      <c r="B609" s="72"/>
      <c r="C609" s="72"/>
    </row>
    <row r="610" spans="1:3">
      <c r="A610" s="71"/>
      <c r="B610" s="72"/>
      <c r="C610" s="72"/>
    </row>
    <row r="611" spans="1:3">
      <c r="A611" s="71"/>
      <c r="B611" s="72"/>
      <c r="C611" s="72"/>
    </row>
    <row r="612" spans="1:3">
      <c r="A612" s="71"/>
      <c r="B612" s="72"/>
      <c r="C612" s="72"/>
    </row>
    <row r="613" spans="1:3">
      <c r="A613" s="71"/>
      <c r="B613" s="72"/>
      <c r="C613" s="72"/>
    </row>
    <row r="614" spans="1:3">
      <c r="A614" s="71"/>
      <c r="B614" s="72"/>
      <c r="C614" s="72"/>
    </row>
    <row r="615" spans="1:3">
      <c r="A615" s="71"/>
      <c r="B615" s="72"/>
      <c r="C615" s="72"/>
    </row>
    <row r="616" spans="1:3">
      <c r="A616" s="71"/>
      <c r="B616" s="72"/>
      <c r="C616" s="72"/>
    </row>
    <row r="617" spans="1:3">
      <c r="A617" s="71"/>
      <c r="B617" s="72"/>
      <c r="C617" s="72"/>
    </row>
    <row r="618" spans="1:3">
      <c r="A618" s="71"/>
      <c r="B618" s="72"/>
      <c r="C618" s="72"/>
    </row>
    <row r="619" spans="1:3">
      <c r="A619" s="71"/>
      <c r="B619" s="72"/>
      <c r="C619" s="72"/>
    </row>
    <row r="620" spans="1:3">
      <c r="A620" s="71"/>
      <c r="B620" s="72"/>
      <c r="C620" s="72"/>
    </row>
    <row r="621" spans="1:3">
      <c r="A621" s="71"/>
      <c r="B621" s="72"/>
      <c r="C621" s="72"/>
    </row>
    <row r="622" spans="1:3">
      <c r="A622" s="71"/>
      <c r="B622" s="72"/>
      <c r="C622" s="72"/>
    </row>
    <row r="623" spans="1:3">
      <c r="A623" s="71"/>
      <c r="B623" s="72"/>
      <c r="C623" s="72"/>
    </row>
    <row r="624" spans="1:3">
      <c r="A624" s="71"/>
      <c r="B624" s="72"/>
      <c r="C624" s="72"/>
    </row>
    <row r="625" spans="1:3">
      <c r="A625" s="71"/>
      <c r="B625" s="72"/>
      <c r="C625" s="72"/>
    </row>
    <row r="626" spans="1:3">
      <c r="A626" s="71"/>
      <c r="B626" s="72"/>
      <c r="C626" s="72"/>
    </row>
    <row r="627" spans="1:3">
      <c r="A627" s="71"/>
      <c r="B627" s="72"/>
      <c r="C627" s="72"/>
    </row>
    <row r="628" spans="1:3">
      <c r="A628" s="71"/>
      <c r="B628" s="72"/>
      <c r="C628" s="72"/>
    </row>
    <row r="629" spans="1:3">
      <c r="A629" s="71"/>
      <c r="B629" s="72"/>
      <c r="C629" s="72"/>
    </row>
    <row r="630" spans="1:3">
      <c r="A630" s="71"/>
      <c r="B630" s="72"/>
      <c r="C630" s="72"/>
    </row>
    <row r="631" spans="1:3">
      <c r="A631" s="71"/>
      <c r="B631" s="72"/>
      <c r="C631" s="72"/>
    </row>
    <row r="632" spans="1:3">
      <c r="A632" s="71"/>
      <c r="B632" s="72"/>
      <c r="C632" s="72"/>
    </row>
    <row r="633" spans="1:3">
      <c r="A633" s="71"/>
      <c r="B633" s="72"/>
      <c r="C633" s="72"/>
    </row>
    <row r="634" spans="1:3">
      <c r="A634" s="71"/>
      <c r="B634" s="72"/>
      <c r="C634" s="72"/>
    </row>
    <row r="635" spans="1:3">
      <c r="A635" s="71"/>
      <c r="B635" s="72"/>
      <c r="C635" s="72"/>
    </row>
    <row r="636" spans="1:3">
      <c r="A636" s="71"/>
      <c r="B636" s="72"/>
      <c r="C636" s="72"/>
    </row>
    <row r="637" spans="1:3">
      <c r="A637" s="71"/>
      <c r="B637" s="72"/>
      <c r="C637" s="72"/>
    </row>
    <row r="638" spans="1:3">
      <c r="A638" s="71"/>
      <c r="B638" s="72"/>
      <c r="C638" s="72"/>
    </row>
    <row r="639" spans="1:3">
      <c r="A639" s="71"/>
      <c r="B639" s="72"/>
      <c r="C639" s="72"/>
    </row>
    <row r="640" spans="1:3">
      <c r="A640" s="71"/>
      <c r="B640" s="72"/>
      <c r="C640" s="72"/>
    </row>
    <row r="641" spans="1:3">
      <c r="A641" s="71"/>
      <c r="B641" s="72"/>
      <c r="C641" s="72"/>
    </row>
    <row r="642" spans="1:3">
      <c r="A642" s="71"/>
      <c r="B642" s="72"/>
      <c r="C642" s="72"/>
    </row>
    <row r="643" spans="1:3">
      <c r="A643" s="71"/>
      <c r="B643" s="72"/>
      <c r="C643" s="72"/>
    </row>
    <row r="644" spans="1:3">
      <c r="A644" s="71"/>
      <c r="B644" s="72"/>
      <c r="C644" s="72"/>
    </row>
    <row r="645" spans="1:3">
      <c r="A645" s="71"/>
      <c r="B645" s="72"/>
      <c r="C645" s="72"/>
    </row>
    <row r="646" spans="1:3">
      <c r="A646" s="71"/>
      <c r="B646" s="72"/>
      <c r="C646" s="72"/>
    </row>
    <row r="647" spans="1:3">
      <c r="A647" s="71"/>
      <c r="B647" s="72"/>
      <c r="C647" s="72"/>
    </row>
    <row r="648" spans="1:3">
      <c r="A648" s="71"/>
      <c r="B648" s="72"/>
      <c r="C648" s="72"/>
    </row>
    <row r="649" spans="1:3">
      <c r="A649" s="71"/>
      <c r="B649" s="72"/>
      <c r="C649" s="72"/>
    </row>
    <row r="650" spans="1:3">
      <c r="A650" s="71"/>
      <c r="B650" s="72"/>
      <c r="C650" s="72"/>
    </row>
    <row r="651" spans="1:3">
      <c r="A651" s="71"/>
      <c r="B651" s="72"/>
      <c r="C651" s="72"/>
    </row>
    <row r="652" spans="1:3">
      <c r="A652" s="71"/>
      <c r="B652" s="72"/>
      <c r="C652" s="72"/>
    </row>
    <row r="653" spans="1:3">
      <c r="A653" s="71"/>
      <c r="B653" s="72"/>
      <c r="C653" s="72"/>
    </row>
    <row r="654" spans="1:3">
      <c r="A654" s="71"/>
      <c r="B654" s="72"/>
      <c r="C654" s="72"/>
    </row>
    <row r="655" spans="1:3">
      <c r="A655" s="71"/>
      <c r="B655" s="72"/>
      <c r="C655" s="72"/>
    </row>
    <row r="656" spans="1:3">
      <c r="A656" s="71"/>
      <c r="B656" s="72"/>
      <c r="C656" s="72"/>
    </row>
    <row r="657" spans="1:3">
      <c r="A657" s="71"/>
      <c r="B657" s="72"/>
      <c r="C657" s="72"/>
    </row>
    <row r="658" spans="1:3">
      <c r="A658" s="71"/>
      <c r="B658" s="72"/>
      <c r="C658" s="72"/>
    </row>
    <row r="659" spans="1:3">
      <c r="A659" s="71"/>
      <c r="B659" s="72"/>
      <c r="C659" s="72"/>
    </row>
    <row r="660" spans="1:3">
      <c r="A660" s="71"/>
      <c r="B660" s="72"/>
      <c r="C660" s="72"/>
    </row>
    <row r="661" spans="1:3">
      <c r="A661" s="71"/>
      <c r="B661" s="72"/>
      <c r="C661" s="72"/>
    </row>
    <row r="662" spans="1:3">
      <c r="A662" s="71"/>
      <c r="B662" s="72"/>
      <c r="C662" s="72"/>
    </row>
    <row r="663" spans="1:3">
      <c r="A663" s="71"/>
      <c r="B663" s="72"/>
      <c r="C663" s="72"/>
    </row>
    <row r="664" spans="1:3">
      <c r="A664" s="71"/>
      <c r="B664" s="72"/>
      <c r="C664" s="72"/>
    </row>
    <row r="665" spans="1:3">
      <c r="A665" s="71"/>
      <c r="B665" s="72"/>
      <c r="C665" s="72"/>
    </row>
    <row r="666" spans="1:3">
      <c r="A666" s="71"/>
      <c r="B666" s="72"/>
      <c r="C666" s="72"/>
    </row>
    <row r="667" spans="1:3">
      <c r="A667" s="71"/>
      <c r="B667" s="72"/>
      <c r="C667" s="72"/>
    </row>
    <row r="668" spans="1:3">
      <c r="A668" s="71"/>
      <c r="B668" s="72"/>
      <c r="C668" s="72"/>
    </row>
    <row r="669" spans="1:3">
      <c r="A669" s="71"/>
      <c r="B669" s="72"/>
      <c r="C669" s="72"/>
    </row>
    <row r="670" spans="1:3">
      <c r="A670" s="71"/>
      <c r="B670" s="72"/>
      <c r="C670" s="72"/>
    </row>
    <row r="671" spans="1:3">
      <c r="A671" s="71"/>
      <c r="B671" s="72"/>
      <c r="C671" s="72"/>
    </row>
    <row r="672" spans="1:3">
      <c r="A672" s="71"/>
      <c r="B672" s="72"/>
      <c r="C672" s="72"/>
    </row>
    <row r="673" spans="1:3">
      <c r="A673" s="71"/>
      <c r="B673" s="72"/>
      <c r="C673" s="72"/>
    </row>
    <row r="674" spans="1:3">
      <c r="A674" s="71"/>
      <c r="B674" s="72"/>
      <c r="C674" s="72"/>
    </row>
    <row r="675" spans="1:3">
      <c r="A675" s="71"/>
      <c r="B675" s="72"/>
      <c r="C675" s="72"/>
    </row>
    <row r="676" spans="1:3">
      <c r="A676" s="71"/>
      <c r="B676" s="72"/>
      <c r="C676" s="72"/>
    </row>
    <row r="677" spans="1:3">
      <c r="A677" s="71"/>
      <c r="B677" s="72"/>
      <c r="C677" s="72"/>
    </row>
    <row r="678" spans="1:3">
      <c r="A678" s="71"/>
      <c r="B678" s="72"/>
      <c r="C678" s="72"/>
    </row>
    <row r="679" spans="1:3">
      <c r="A679" s="71"/>
      <c r="B679" s="72"/>
      <c r="C679" s="72"/>
    </row>
    <row r="680" spans="1:3">
      <c r="A680" s="71"/>
      <c r="B680" s="72"/>
      <c r="C680" s="72"/>
    </row>
    <row r="681" spans="1:3">
      <c r="A681" s="71"/>
      <c r="B681" s="72"/>
      <c r="C681" s="72"/>
    </row>
    <row r="682" spans="1:3">
      <c r="A682" s="71"/>
      <c r="B682" s="72"/>
      <c r="C682" s="72"/>
    </row>
    <row r="683" spans="1:3">
      <c r="A683" s="71"/>
      <c r="B683" s="72"/>
      <c r="C683" s="72"/>
    </row>
    <row r="684" spans="1:3">
      <c r="A684" s="71"/>
      <c r="B684" s="72"/>
      <c r="C684" s="72"/>
    </row>
    <row r="685" spans="1:3">
      <c r="A685" s="71"/>
      <c r="B685" s="72"/>
      <c r="C685" s="72"/>
    </row>
    <row r="686" spans="1:3">
      <c r="A686" s="71"/>
      <c r="B686" s="72"/>
      <c r="C686" s="72"/>
    </row>
    <row r="687" spans="1:3">
      <c r="A687" s="71"/>
      <c r="B687" s="72"/>
      <c r="C687" s="72"/>
    </row>
    <row r="688" spans="1:3">
      <c r="A688" s="71"/>
      <c r="B688" s="72"/>
      <c r="C688" s="72"/>
    </row>
    <row r="689" spans="1:3">
      <c r="A689" s="71"/>
      <c r="B689" s="72"/>
      <c r="C689" s="72"/>
    </row>
    <row r="690" spans="1:3">
      <c r="A690" s="71"/>
      <c r="B690" s="72"/>
      <c r="C690" s="72"/>
    </row>
    <row r="691" spans="1:3">
      <c r="A691" s="71"/>
      <c r="B691" s="72"/>
      <c r="C691" s="72"/>
    </row>
    <row r="692" spans="1:3">
      <c r="A692" s="71"/>
      <c r="B692" s="72"/>
      <c r="C692" s="72"/>
    </row>
    <row r="693" spans="1:3">
      <c r="A693" s="71"/>
      <c r="B693" s="72"/>
      <c r="C693" s="72"/>
    </row>
    <row r="694" spans="1:3">
      <c r="A694" s="71"/>
      <c r="B694" s="72"/>
      <c r="C694" s="72"/>
    </row>
    <row r="695" spans="1:3">
      <c r="A695" s="71"/>
      <c r="B695" s="72"/>
      <c r="C695" s="72"/>
    </row>
    <row r="696" spans="1:3">
      <c r="A696" s="71"/>
      <c r="B696" s="72"/>
      <c r="C696" s="72"/>
    </row>
    <row r="697" spans="1:3">
      <c r="A697" s="71"/>
      <c r="B697" s="72"/>
      <c r="C697" s="72"/>
    </row>
    <row r="698" spans="1:3">
      <c r="A698" s="71"/>
      <c r="B698" s="72"/>
      <c r="C698" s="72"/>
    </row>
    <row r="699" spans="1:3">
      <c r="A699" s="71"/>
      <c r="B699" s="72"/>
      <c r="C699" s="72"/>
    </row>
    <row r="700" spans="1:3">
      <c r="A700" s="71"/>
      <c r="B700" s="72"/>
      <c r="C700" s="72"/>
    </row>
    <row r="701" spans="1:3">
      <c r="A701" s="71"/>
      <c r="B701" s="72"/>
      <c r="C701" s="72"/>
    </row>
    <row r="702" spans="1:3">
      <c r="A702" s="71"/>
      <c r="B702" s="72"/>
      <c r="C702" s="72"/>
    </row>
    <row r="703" spans="1:3">
      <c r="A703" s="71"/>
      <c r="B703" s="72"/>
      <c r="C703" s="72"/>
    </row>
    <row r="704" spans="1:3">
      <c r="A704" s="71"/>
      <c r="B704" s="72"/>
      <c r="C704" s="72"/>
    </row>
    <row r="705" spans="1:3">
      <c r="A705" s="71"/>
      <c r="B705" s="72"/>
      <c r="C705" s="72"/>
    </row>
    <row r="706" spans="1:3">
      <c r="A706" s="71"/>
      <c r="B706" s="72"/>
      <c r="C706" s="72"/>
    </row>
    <row r="707" spans="1:3">
      <c r="A707" s="71"/>
      <c r="B707" s="72"/>
      <c r="C707" s="72"/>
    </row>
    <row r="708" spans="1:3">
      <c r="A708" s="71"/>
      <c r="B708" s="72"/>
      <c r="C708" s="72"/>
    </row>
    <row r="709" spans="1:3">
      <c r="A709" s="71"/>
      <c r="B709" s="72"/>
      <c r="C709" s="72"/>
    </row>
    <row r="710" spans="1:3">
      <c r="A710" s="71"/>
      <c r="B710" s="72"/>
      <c r="C710" s="72"/>
    </row>
    <row r="711" spans="1:3">
      <c r="A711" s="71"/>
      <c r="B711" s="72"/>
      <c r="C711" s="72"/>
    </row>
    <row r="712" spans="1:3">
      <c r="A712" s="71"/>
      <c r="B712" s="72"/>
      <c r="C712" s="72"/>
    </row>
    <row r="713" spans="1:3">
      <c r="A713" s="71"/>
      <c r="B713" s="72"/>
      <c r="C713" s="72"/>
    </row>
    <row r="714" spans="1:3">
      <c r="A714" s="71"/>
      <c r="B714" s="72"/>
      <c r="C714" s="72"/>
    </row>
    <row r="715" spans="1:3">
      <c r="A715" s="71"/>
      <c r="B715" s="72"/>
      <c r="C715" s="72"/>
    </row>
    <row r="716" spans="1:3">
      <c r="A716" s="71"/>
      <c r="B716" s="72"/>
      <c r="C716" s="72"/>
    </row>
    <row r="717" spans="1:3">
      <c r="A717" s="71"/>
      <c r="B717" s="72"/>
      <c r="C717" s="72"/>
    </row>
    <row r="718" spans="1:3">
      <c r="A718" s="71"/>
      <c r="B718" s="72"/>
      <c r="C718" s="72"/>
    </row>
    <row r="719" spans="1:3">
      <c r="A719" s="71"/>
      <c r="B719" s="72"/>
      <c r="C719" s="72"/>
    </row>
    <row r="720" spans="1:3">
      <c r="A720" s="71"/>
      <c r="B720" s="72"/>
      <c r="C720" s="72"/>
    </row>
    <row r="721" spans="1:3">
      <c r="A721" s="71"/>
      <c r="B721" s="72"/>
      <c r="C721" s="72"/>
    </row>
    <row r="722" spans="1:3">
      <c r="A722" s="71"/>
      <c r="B722" s="72"/>
      <c r="C722" s="72"/>
    </row>
    <row r="723" spans="1:3">
      <c r="A723" s="71"/>
      <c r="B723" s="72"/>
      <c r="C723" s="72"/>
    </row>
    <row r="724" spans="1:3">
      <c r="A724" s="71"/>
      <c r="B724" s="72"/>
      <c r="C724" s="72"/>
    </row>
    <row r="725" spans="1:3">
      <c r="A725" s="71"/>
      <c r="B725" s="72"/>
      <c r="C725" s="72"/>
    </row>
    <row r="726" spans="1:3">
      <c r="A726" s="71"/>
      <c r="B726" s="72"/>
      <c r="C726" s="72"/>
    </row>
    <row r="727" spans="1:3">
      <c r="A727" s="71"/>
      <c r="B727" s="72"/>
      <c r="C727" s="72"/>
    </row>
    <row r="728" spans="1:3">
      <c r="A728" s="71"/>
      <c r="B728" s="72"/>
      <c r="C728" s="72"/>
    </row>
    <row r="729" spans="1:3">
      <c r="A729" s="71"/>
      <c r="B729" s="72"/>
      <c r="C729" s="72"/>
    </row>
    <row r="730" spans="1:3">
      <c r="A730" s="71"/>
      <c r="B730" s="72"/>
      <c r="C730" s="72"/>
    </row>
    <row r="731" spans="1:3">
      <c r="A731" s="71"/>
      <c r="B731" s="72"/>
      <c r="C731" s="72"/>
    </row>
    <row r="732" spans="1:3">
      <c r="A732" s="71"/>
      <c r="B732" s="72"/>
      <c r="C732" s="72"/>
    </row>
    <row r="733" spans="1:3">
      <c r="A733" s="71"/>
      <c r="B733" s="72"/>
      <c r="C733" s="72"/>
    </row>
    <row r="734" spans="1:3">
      <c r="A734" s="71"/>
      <c r="B734" s="72"/>
      <c r="C734" s="72"/>
    </row>
    <row r="735" spans="1:3">
      <c r="A735" s="71"/>
      <c r="B735" s="72"/>
      <c r="C735" s="72"/>
    </row>
    <row r="736" spans="1:3">
      <c r="A736" s="71"/>
      <c r="B736" s="72"/>
      <c r="C736" s="72"/>
    </row>
    <row r="737" spans="1:3">
      <c r="A737" s="71"/>
      <c r="B737" s="72"/>
      <c r="C737" s="72"/>
    </row>
    <row r="738" spans="1:3">
      <c r="A738" s="71"/>
      <c r="B738" s="72"/>
      <c r="C738" s="72"/>
    </row>
    <row r="739" spans="1:3">
      <c r="A739" s="71"/>
      <c r="B739" s="72"/>
      <c r="C739" s="72"/>
    </row>
    <row r="740" spans="1:3">
      <c r="A740" s="71"/>
      <c r="B740" s="72"/>
      <c r="C740" s="72"/>
    </row>
    <row r="741" spans="1:3">
      <c r="A741" s="71"/>
      <c r="B741" s="72"/>
      <c r="C741" s="72"/>
    </row>
    <row r="742" spans="1:3">
      <c r="A742" s="71"/>
      <c r="B742" s="72"/>
      <c r="C742" s="72"/>
    </row>
    <row r="743" spans="1:3">
      <c r="A743" s="71"/>
      <c r="B743" s="72"/>
      <c r="C743" s="72"/>
    </row>
    <row r="744" spans="1:3">
      <c r="A744" s="71"/>
      <c r="B744" s="72"/>
      <c r="C744" s="72"/>
    </row>
    <row r="745" spans="1:3">
      <c r="A745" s="71"/>
      <c r="B745" s="72"/>
      <c r="C745" s="72"/>
    </row>
    <row r="746" spans="1:3">
      <c r="A746" s="71"/>
      <c r="B746" s="72"/>
      <c r="C746" s="72"/>
    </row>
    <row r="747" spans="1:3">
      <c r="A747" s="71"/>
      <c r="B747" s="72"/>
      <c r="C747" s="72"/>
    </row>
    <row r="748" spans="1:3">
      <c r="A748" s="71"/>
      <c r="B748" s="72"/>
      <c r="C748" s="72"/>
    </row>
    <row r="749" spans="1:3">
      <c r="A749" s="71"/>
      <c r="B749" s="72"/>
      <c r="C749" s="72"/>
    </row>
    <row r="750" spans="1:3">
      <c r="A750" s="71"/>
      <c r="B750" s="72"/>
      <c r="C750" s="72"/>
    </row>
    <row r="751" spans="1:3">
      <c r="A751" s="71"/>
      <c r="B751" s="72"/>
      <c r="C751" s="72"/>
    </row>
    <row r="752" spans="1:3">
      <c r="A752" s="71"/>
      <c r="B752" s="72"/>
      <c r="C752" s="72"/>
    </row>
    <row r="753" spans="1:3">
      <c r="A753" s="71"/>
      <c r="B753" s="72"/>
      <c r="C753" s="72"/>
    </row>
    <row r="754" spans="1:3">
      <c r="A754" s="71"/>
      <c r="B754" s="72"/>
      <c r="C754" s="72"/>
    </row>
    <row r="755" spans="1:3">
      <c r="A755" s="71"/>
      <c r="B755" s="72"/>
      <c r="C755" s="72"/>
    </row>
    <row r="756" spans="1:3">
      <c r="A756" s="71"/>
      <c r="B756" s="72"/>
      <c r="C756" s="72"/>
    </row>
    <row r="757" spans="1:3">
      <c r="A757" s="71"/>
      <c r="B757" s="72"/>
      <c r="C757" s="72"/>
    </row>
    <row r="758" spans="1:3">
      <c r="A758" s="71"/>
      <c r="B758" s="72"/>
      <c r="C758" s="72"/>
    </row>
    <row r="759" spans="1:3">
      <c r="A759" s="71"/>
      <c r="B759" s="72"/>
      <c r="C759" s="72"/>
    </row>
    <row r="760" spans="1:3">
      <c r="A760" s="71"/>
      <c r="B760" s="72"/>
      <c r="C760" s="72"/>
    </row>
    <row r="761" spans="1:3">
      <c r="A761" s="71"/>
      <c r="B761" s="72"/>
      <c r="C761" s="72"/>
    </row>
    <row r="762" spans="1:3">
      <c r="A762" s="71"/>
      <c r="B762" s="72"/>
      <c r="C762" s="72"/>
    </row>
    <row r="763" spans="1:3">
      <c r="A763" s="71"/>
      <c r="B763" s="72"/>
      <c r="C763" s="72"/>
    </row>
    <row r="764" spans="1:3">
      <c r="A764" s="71"/>
      <c r="B764" s="72"/>
      <c r="C764" s="72"/>
    </row>
    <row r="765" spans="1:3">
      <c r="A765" s="71"/>
      <c r="B765" s="72"/>
      <c r="C765" s="72"/>
    </row>
    <row r="766" spans="1:3">
      <c r="A766" s="71"/>
      <c r="B766" s="72"/>
      <c r="C766" s="72"/>
    </row>
    <row r="767" spans="1:3">
      <c r="A767" s="71"/>
      <c r="B767" s="72"/>
      <c r="C767" s="72"/>
    </row>
    <row r="768" spans="1:3">
      <c r="A768" s="71"/>
      <c r="B768" s="72"/>
      <c r="C768" s="72"/>
    </row>
    <row r="769" spans="1:3">
      <c r="A769" s="71"/>
      <c r="B769" s="72"/>
      <c r="C769" s="72"/>
    </row>
    <row r="770" spans="1:3">
      <c r="A770" s="71"/>
      <c r="B770" s="72"/>
      <c r="C770" s="72"/>
    </row>
    <row r="771" spans="1:3">
      <c r="A771" s="71"/>
      <c r="B771" s="72"/>
      <c r="C771" s="72"/>
    </row>
    <row r="772" spans="1:3">
      <c r="A772" s="71"/>
      <c r="B772" s="72"/>
      <c r="C772" s="72"/>
    </row>
    <row r="773" spans="1:3">
      <c r="A773" s="71"/>
      <c r="B773" s="72"/>
      <c r="C773" s="72"/>
    </row>
    <row r="774" spans="1:3">
      <c r="A774" s="71"/>
      <c r="B774" s="72"/>
      <c r="C774" s="72"/>
    </row>
    <row r="775" spans="1:3">
      <c r="A775" s="71"/>
      <c r="B775" s="72"/>
      <c r="C775" s="72"/>
    </row>
    <row r="776" spans="1:3">
      <c r="A776" s="71"/>
      <c r="B776" s="72"/>
      <c r="C776" s="72"/>
    </row>
    <row r="777" spans="1:3">
      <c r="A777" s="71"/>
      <c r="B777" s="72"/>
      <c r="C777" s="72"/>
    </row>
    <row r="778" spans="1:3">
      <c r="A778" s="71"/>
      <c r="B778" s="72"/>
      <c r="C778" s="72"/>
    </row>
    <row r="779" spans="1:3">
      <c r="A779" s="71"/>
      <c r="B779" s="72"/>
      <c r="C779" s="72"/>
    </row>
    <row r="780" spans="1:3">
      <c r="A780" s="71"/>
      <c r="B780" s="72"/>
      <c r="C780" s="72"/>
    </row>
    <row r="781" spans="1:3">
      <c r="A781" s="71"/>
      <c r="B781" s="72"/>
      <c r="C781" s="72"/>
    </row>
    <row r="782" spans="1:3">
      <c r="A782" s="71"/>
      <c r="B782" s="72"/>
      <c r="C782" s="72"/>
    </row>
    <row r="783" spans="1:3">
      <c r="A783" s="71"/>
      <c r="B783" s="72"/>
      <c r="C783" s="72"/>
    </row>
    <row r="784" spans="1:3">
      <c r="A784" s="71"/>
      <c r="B784" s="72"/>
      <c r="C784" s="72"/>
    </row>
    <row r="785" spans="1:3">
      <c r="A785" s="71"/>
      <c r="B785" s="72"/>
      <c r="C785" s="72"/>
    </row>
    <row r="786" spans="1:3">
      <c r="A786" s="71"/>
      <c r="B786" s="72"/>
      <c r="C786" s="72"/>
    </row>
    <row r="787" spans="1:3">
      <c r="A787" s="71"/>
      <c r="B787" s="72"/>
      <c r="C787" s="72"/>
    </row>
    <row r="788" spans="1:3">
      <c r="A788" s="71"/>
      <c r="B788" s="72"/>
      <c r="C788" s="72"/>
    </row>
    <row r="789" spans="1:3">
      <c r="A789" s="71"/>
      <c r="B789" s="72"/>
      <c r="C789" s="72"/>
    </row>
    <row r="790" spans="1:3">
      <c r="A790" s="71"/>
      <c r="B790" s="72"/>
      <c r="C790" s="72"/>
    </row>
    <row r="791" spans="1:3">
      <c r="A791" s="71"/>
      <c r="B791" s="72"/>
      <c r="C791" s="72"/>
    </row>
    <row r="792" spans="1:3">
      <c r="A792" s="71"/>
      <c r="B792" s="72"/>
      <c r="C792" s="72"/>
    </row>
    <row r="793" spans="1:3">
      <c r="A793" s="71"/>
      <c r="B793" s="72"/>
      <c r="C793" s="72"/>
    </row>
    <row r="794" spans="1:3">
      <c r="A794" s="71"/>
      <c r="B794" s="72"/>
      <c r="C794" s="72"/>
    </row>
    <row r="795" spans="1:3">
      <c r="A795" s="71"/>
      <c r="B795" s="72"/>
      <c r="C795" s="72"/>
    </row>
    <row r="796" spans="1:3">
      <c r="A796" s="71"/>
      <c r="B796" s="72"/>
      <c r="C796" s="72"/>
    </row>
    <row r="797" spans="1:3">
      <c r="A797" s="71"/>
      <c r="B797" s="72"/>
      <c r="C797" s="72"/>
    </row>
    <row r="798" spans="1:3">
      <c r="A798" s="71"/>
      <c r="B798" s="72"/>
      <c r="C798" s="72"/>
    </row>
    <row r="799" spans="1:3">
      <c r="A799" s="71"/>
      <c r="B799" s="72"/>
      <c r="C799" s="72"/>
    </row>
    <row r="800" spans="1:3">
      <c r="A800" s="71"/>
      <c r="B800" s="72"/>
      <c r="C800" s="72"/>
    </row>
    <row r="801" spans="1:3">
      <c r="A801" s="71"/>
      <c r="B801" s="72"/>
      <c r="C801" s="72"/>
    </row>
    <row r="802" spans="1:3">
      <c r="A802" s="71"/>
      <c r="B802" s="72"/>
      <c r="C802" s="72"/>
    </row>
    <row r="803" spans="1:3">
      <c r="A803" s="71"/>
      <c r="B803" s="72"/>
      <c r="C803" s="72"/>
    </row>
    <row r="804" spans="1:3">
      <c r="A804" s="71"/>
      <c r="B804" s="72"/>
      <c r="C804" s="72"/>
    </row>
    <row r="805" spans="1:3">
      <c r="A805" s="71"/>
      <c r="B805" s="72"/>
      <c r="C805" s="72"/>
    </row>
    <row r="806" spans="1:3">
      <c r="A806" s="71"/>
      <c r="B806" s="72"/>
      <c r="C806" s="72"/>
    </row>
    <row r="807" spans="1:3">
      <c r="A807" s="71"/>
      <c r="B807" s="72"/>
      <c r="C807" s="72"/>
    </row>
    <row r="808" spans="1:3">
      <c r="A808" s="71"/>
      <c r="B808" s="72"/>
      <c r="C808" s="72"/>
    </row>
    <row r="809" spans="1:3">
      <c r="A809" s="71"/>
      <c r="B809" s="72"/>
      <c r="C809" s="72"/>
    </row>
    <row r="810" spans="1:3">
      <c r="A810" s="71"/>
      <c r="B810" s="72"/>
      <c r="C810" s="72"/>
    </row>
    <row r="811" spans="1:3">
      <c r="A811" s="71"/>
      <c r="B811" s="72"/>
      <c r="C811" s="72"/>
    </row>
    <row r="812" spans="1:3">
      <c r="A812" s="71"/>
      <c r="B812" s="72"/>
      <c r="C812" s="72"/>
    </row>
    <row r="813" spans="1:3">
      <c r="A813" s="71"/>
      <c r="B813" s="72"/>
      <c r="C813" s="72"/>
    </row>
    <row r="814" spans="1:3">
      <c r="A814" s="71"/>
      <c r="B814" s="72"/>
      <c r="C814" s="72"/>
    </row>
    <row r="815" spans="1:3">
      <c r="A815" s="71"/>
      <c r="B815" s="72"/>
      <c r="C815" s="72"/>
    </row>
    <row r="816" spans="1:3">
      <c r="A816" s="71"/>
      <c r="B816" s="72"/>
      <c r="C816" s="72"/>
    </row>
    <row r="817" spans="1:3">
      <c r="A817" s="71"/>
      <c r="B817" s="72"/>
      <c r="C817" s="72"/>
    </row>
    <row r="818" spans="1:3">
      <c r="A818" s="71"/>
      <c r="B818" s="72"/>
      <c r="C818" s="72"/>
    </row>
    <row r="819" spans="1:3">
      <c r="A819" s="71"/>
      <c r="B819" s="72"/>
      <c r="C819" s="72"/>
    </row>
    <row r="820" spans="1:3">
      <c r="A820" s="71"/>
      <c r="B820" s="72"/>
      <c r="C820" s="72"/>
    </row>
    <row r="821" spans="1:3">
      <c r="A821" s="71"/>
      <c r="B821" s="72"/>
      <c r="C821" s="72"/>
    </row>
    <row r="822" spans="1:3">
      <c r="A822" s="71"/>
      <c r="B822" s="72"/>
      <c r="C822" s="72"/>
    </row>
    <row r="823" spans="1:3">
      <c r="A823" s="71"/>
      <c r="B823" s="72"/>
      <c r="C823" s="72"/>
    </row>
    <row r="824" spans="1:3">
      <c r="A824" s="71"/>
      <c r="B824" s="72"/>
      <c r="C824" s="72"/>
    </row>
    <row r="825" spans="1:3">
      <c r="A825" s="71"/>
      <c r="B825" s="72"/>
      <c r="C825" s="72"/>
    </row>
    <row r="826" spans="1:3">
      <c r="A826" s="71"/>
      <c r="B826" s="72"/>
      <c r="C826" s="72"/>
    </row>
    <row r="827" spans="1:3">
      <c r="A827" s="71"/>
      <c r="B827" s="72"/>
      <c r="C827" s="72"/>
    </row>
    <row r="828" spans="1:3">
      <c r="A828" s="71"/>
      <c r="B828" s="72"/>
      <c r="C828" s="72"/>
    </row>
    <row r="829" spans="1:3">
      <c r="A829" s="71"/>
      <c r="B829" s="72"/>
      <c r="C829" s="72"/>
    </row>
    <row r="830" spans="1:3">
      <c r="A830" s="71"/>
      <c r="B830" s="72"/>
      <c r="C830" s="72"/>
    </row>
    <row r="831" spans="1:3">
      <c r="A831" s="71"/>
      <c r="B831" s="72"/>
      <c r="C831" s="72"/>
    </row>
    <row r="832" spans="1:3">
      <c r="A832" s="71"/>
      <c r="B832" s="72"/>
      <c r="C832" s="72"/>
    </row>
    <row r="833" spans="1:3">
      <c r="A833" s="71"/>
      <c r="B833" s="72"/>
      <c r="C833" s="72"/>
    </row>
    <row r="834" spans="1:3">
      <c r="A834" s="71"/>
      <c r="B834" s="72"/>
      <c r="C834" s="72"/>
    </row>
    <row r="835" spans="1:3">
      <c r="A835" s="71"/>
      <c r="B835" s="72"/>
      <c r="C835" s="72"/>
    </row>
    <row r="836" spans="1:3">
      <c r="A836" s="71"/>
      <c r="B836" s="72"/>
      <c r="C836" s="72"/>
    </row>
    <row r="837" spans="1:3">
      <c r="A837" s="71"/>
      <c r="B837" s="72"/>
      <c r="C837" s="72"/>
    </row>
    <row r="838" spans="1:3">
      <c r="A838" s="71"/>
      <c r="B838" s="72"/>
      <c r="C838" s="72"/>
    </row>
    <row r="839" spans="1:3">
      <c r="A839" s="71"/>
      <c r="B839" s="72"/>
      <c r="C839" s="72"/>
    </row>
    <row r="840" spans="1:3">
      <c r="A840" s="71"/>
      <c r="B840" s="72"/>
      <c r="C840" s="72"/>
    </row>
    <row r="841" spans="1:3">
      <c r="A841" s="71"/>
      <c r="B841" s="72"/>
      <c r="C841" s="72"/>
    </row>
    <row r="842" spans="1:3">
      <c r="A842" s="71"/>
      <c r="B842" s="72"/>
      <c r="C842" s="72"/>
    </row>
    <row r="843" spans="1:3">
      <c r="A843" s="71"/>
      <c r="B843" s="72"/>
      <c r="C843" s="72"/>
    </row>
    <row r="844" spans="1:3">
      <c r="A844" s="71"/>
      <c r="B844" s="72"/>
      <c r="C844" s="72"/>
    </row>
    <row r="845" spans="1:3">
      <c r="A845" s="71"/>
      <c r="B845" s="72"/>
      <c r="C845" s="72"/>
    </row>
    <row r="846" spans="1:3">
      <c r="A846" s="71"/>
      <c r="B846" s="72"/>
      <c r="C846" s="72"/>
    </row>
    <row r="847" spans="1:3">
      <c r="A847" s="71"/>
      <c r="B847" s="72"/>
      <c r="C847" s="72"/>
    </row>
    <row r="848" spans="1:3">
      <c r="A848" s="71"/>
      <c r="B848" s="72"/>
      <c r="C848" s="72"/>
    </row>
    <row r="849" spans="1:3">
      <c r="A849" s="71"/>
      <c r="B849" s="72"/>
      <c r="C849" s="72"/>
    </row>
    <row r="850" spans="1:3">
      <c r="A850" s="71"/>
      <c r="B850" s="72"/>
      <c r="C850" s="72"/>
    </row>
    <row r="851" spans="1:3">
      <c r="A851" s="71"/>
      <c r="B851" s="72"/>
      <c r="C851" s="72"/>
    </row>
    <row r="852" spans="1:3">
      <c r="A852" s="71"/>
      <c r="B852" s="72"/>
      <c r="C852" s="72"/>
    </row>
    <row r="853" spans="1:3">
      <c r="A853" s="71"/>
      <c r="B853" s="72"/>
      <c r="C853" s="72"/>
    </row>
    <row r="854" spans="1:3">
      <c r="A854" s="71"/>
      <c r="B854" s="72"/>
      <c r="C854" s="72"/>
    </row>
    <row r="855" spans="1:3">
      <c r="A855" s="71"/>
      <c r="B855" s="72"/>
      <c r="C855" s="72"/>
    </row>
    <row r="856" spans="1:3">
      <c r="A856" s="71"/>
      <c r="B856" s="72"/>
      <c r="C856" s="72"/>
    </row>
    <row r="857" spans="1:3">
      <c r="A857" s="71"/>
      <c r="B857" s="72"/>
      <c r="C857" s="72"/>
    </row>
    <row r="858" spans="1:3">
      <c r="A858" s="71"/>
      <c r="B858" s="72"/>
      <c r="C858" s="72"/>
    </row>
    <row r="859" spans="1:3">
      <c r="A859" s="71"/>
      <c r="B859" s="72"/>
      <c r="C859" s="72"/>
    </row>
    <row r="860" spans="1:3">
      <c r="A860" s="71"/>
      <c r="B860" s="72"/>
      <c r="C860" s="72"/>
    </row>
    <row r="861" spans="1:3">
      <c r="A861" s="71"/>
      <c r="B861" s="72"/>
      <c r="C861" s="72"/>
    </row>
    <row r="862" spans="1:3">
      <c r="A862" s="71"/>
      <c r="B862" s="72"/>
      <c r="C862" s="72"/>
    </row>
    <row r="863" spans="1:3">
      <c r="A863" s="71"/>
      <c r="B863" s="72"/>
      <c r="C863" s="72"/>
    </row>
    <row r="864" spans="1:3">
      <c r="A864" s="71"/>
      <c r="B864" s="72"/>
      <c r="C864" s="72"/>
    </row>
    <row r="865" spans="1:3">
      <c r="A865" s="71"/>
      <c r="B865" s="72"/>
      <c r="C865" s="72"/>
    </row>
    <row r="866" spans="1:3">
      <c r="A866" s="71"/>
      <c r="B866" s="72"/>
      <c r="C866" s="72"/>
    </row>
    <row r="867" spans="1:3">
      <c r="A867" s="71"/>
      <c r="B867" s="72"/>
      <c r="C867" s="72"/>
    </row>
    <row r="868" spans="1:3">
      <c r="A868" s="71"/>
      <c r="B868" s="72"/>
      <c r="C868" s="72"/>
    </row>
    <row r="869" spans="1:3">
      <c r="A869" s="71"/>
      <c r="B869" s="72"/>
      <c r="C869" s="72"/>
    </row>
    <row r="870" spans="1:3">
      <c r="A870" s="71"/>
      <c r="B870" s="72"/>
      <c r="C870" s="72"/>
    </row>
    <row r="871" spans="1:3">
      <c r="A871" s="71"/>
      <c r="B871" s="72"/>
      <c r="C871" s="72"/>
    </row>
    <row r="872" spans="1:3">
      <c r="A872" s="71"/>
      <c r="B872" s="72"/>
      <c r="C872" s="72"/>
    </row>
    <row r="873" spans="1:3">
      <c r="A873" s="71"/>
      <c r="B873" s="72"/>
      <c r="C873" s="72"/>
    </row>
    <row r="874" spans="1:3">
      <c r="A874" s="71"/>
      <c r="B874" s="72"/>
      <c r="C874" s="72"/>
    </row>
    <row r="875" spans="1:3">
      <c r="A875" s="71"/>
      <c r="B875" s="72"/>
      <c r="C875" s="72"/>
    </row>
    <row r="876" spans="1:3">
      <c r="A876" s="71"/>
      <c r="B876" s="72"/>
      <c r="C876" s="72"/>
    </row>
    <row r="877" spans="1:3">
      <c r="A877" s="71"/>
      <c r="B877" s="72"/>
      <c r="C877" s="72"/>
    </row>
    <row r="878" spans="1:3">
      <c r="A878" s="71"/>
      <c r="B878" s="72"/>
      <c r="C878" s="72"/>
    </row>
    <row r="879" spans="1:3">
      <c r="A879" s="71"/>
      <c r="B879" s="72"/>
      <c r="C879" s="72"/>
    </row>
    <row r="880" spans="1:3">
      <c r="A880" s="71"/>
      <c r="B880" s="72"/>
      <c r="C880" s="72"/>
    </row>
    <row r="881" spans="1:3">
      <c r="A881" s="71"/>
      <c r="B881" s="72"/>
      <c r="C881" s="72"/>
    </row>
    <row r="882" spans="1:3">
      <c r="A882" s="71"/>
      <c r="B882" s="72"/>
      <c r="C882" s="72"/>
    </row>
    <row r="883" spans="1:3">
      <c r="A883" s="71"/>
      <c r="B883" s="72"/>
      <c r="C883" s="72"/>
    </row>
    <row r="884" spans="1:3">
      <c r="A884" s="71"/>
      <c r="B884" s="72"/>
      <c r="C884" s="72"/>
    </row>
    <row r="885" spans="1:3">
      <c r="A885" s="71"/>
      <c r="B885" s="72"/>
      <c r="C885" s="72"/>
    </row>
    <row r="886" spans="1:3">
      <c r="A886" s="71"/>
      <c r="B886" s="72"/>
      <c r="C886" s="72"/>
    </row>
    <row r="887" spans="1:3">
      <c r="A887" s="71"/>
      <c r="B887" s="72"/>
      <c r="C887" s="72"/>
    </row>
    <row r="888" spans="1:3">
      <c r="A888" s="71"/>
      <c r="B888" s="72"/>
      <c r="C888" s="72"/>
    </row>
    <row r="889" spans="1:3">
      <c r="A889" s="71"/>
      <c r="B889" s="72"/>
      <c r="C889" s="72"/>
    </row>
    <row r="890" spans="1:3">
      <c r="A890" s="71"/>
      <c r="B890" s="72"/>
      <c r="C890" s="72"/>
    </row>
    <row r="891" spans="1:3">
      <c r="A891" s="71"/>
      <c r="B891" s="72"/>
      <c r="C891" s="72"/>
    </row>
    <row r="892" spans="1:3">
      <c r="A892" s="71"/>
      <c r="B892" s="72"/>
      <c r="C892" s="72"/>
    </row>
    <row r="893" spans="1:3">
      <c r="A893" s="71"/>
      <c r="B893" s="72"/>
      <c r="C893" s="72"/>
    </row>
    <row r="894" spans="1:3">
      <c r="A894" s="71"/>
      <c r="B894" s="72"/>
      <c r="C894" s="72"/>
    </row>
    <row r="895" spans="1:3">
      <c r="A895" s="71"/>
      <c r="B895" s="72"/>
      <c r="C895" s="72"/>
    </row>
    <row r="896" spans="1:3">
      <c r="A896" s="71"/>
      <c r="B896" s="72"/>
      <c r="C896" s="72"/>
    </row>
    <row r="897" spans="1:3">
      <c r="A897" s="71"/>
      <c r="B897" s="72"/>
      <c r="C897" s="72"/>
    </row>
    <row r="898" spans="1:3">
      <c r="A898" s="71"/>
      <c r="B898" s="72"/>
      <c r="C898" s="72"/>
    </row>
    <row r="899" spans="1:3">
      <c r="A899" s="71"/>
      <c r="B899" s="72"/>
      <c r="C899" s="72"/>
    </row>
    <row r="900" spans="1:3">
      <c r="A900" s="71"/>
      <c r="B900" s="72"/>
      <c r="C900" s="72"/>
    </row>
    <row r="901" spans="1:3">
      <c r="A901" s="71"/>
      <c r="B901" s="72"/>
      <c r="C901" s="72"/>
    </row>
    <row r="902" spans="1:3">
      <c r="A902" s="71"/>
      <c r="B902" s="72"/>
      <c r="C902" s="72"/>
    </row>
    <row r="903" spans="1:3">
      <c r="A903" s="71"/>
      <c r="B903" s="72"/>
      <c r="C903" s="72"/>
    </row>
    <row r="904" spans="1:3">
      <c r="A904" s="71"/>
      <c r="B904" s="72"/>
      <c r="C904" s="72"/>
    </row>
    <row r="905" spans="1:3">
      <c r="A905" s="71"/>
      <c r="B905" s="72"/>
      <c r="C905" s="72"/>
    </row>
    <row r="906" spans="1:3">
      <c r="A906" s="71"/>
      <c r="B906" s="72"/>
      <c r="C906" s="72"/>
    </row>
    <row r="907" spans="1:3">
      <c r="A907" s="71"/>
      <c r="B907" s="72"/>
      <c r="C907" s="72"/>
    </row>
    <row r="908" spans="1:3">
      <c r="A908" s="71"/>
      <c r="B908" s="72"/>
      <c r="C908" s="72"/>
    </row>
    <row r="909" spans="1:3">
      <c r="A909" s="71"/>
      <c r="B909" s="72"/>
      <c r="C909" s="72"/>
    </row>
    <row r="910" spans="1:3">
      <c r="A910" s="71"/>
      <c r="B910" s="72"/>
      <c r="C910" s="72"/>
    </row>
    <row r="911" spans="1:3">
      <c r="A911" s="71"/>
      <c r="B911" s="72"/>
      <c r="C911" s="72"/>
    </row>
    <row r="912" spans="1:3">
      <c r="A912" s="71"/>
      <c r="B912" s="72"/>
      <c r="C912" s="72"/>
    </row>
    <row r="913" spans="1:3">
      <c r="A913" s="71"/>
      <c r="B913" s="72"/>
      <c r="C913" s="72"/>
    </row>
    <row r="914" spans="1:3">
      <c r="A914" s="71"/>
      <c r="B914" s="72"/>
      <c r="C914" s="72"/>
    </row>
    <row r="915" spans="1:3">
      <c r="A915" s="71"/>
      <c r="B915" s="72"/>
      <c r="C915" s="72"/>
    </row>
    <row r="916" spans="1:3">
      <c r="A916" s="71"/>
      <c r="B916" s="72"/>
      <c r="C916" s="72"/>
    </row>
    <row r="917" spans="1:3">
      <c r="A917" s="71"/>
      <c r="B917" s="72"/>
      <c r="C917" s="72"/>
    </row>
    <row r="918" spans="1:3">
      <c r="A918" s="71"/>
      <c r="B918" s="72"/>
      <c r="C918" s="72"/>
    </row>
    <row r="919" spans="1:3">
      <c r="A919" s="71"/>
      <c r="B919" s="72"/>
      <c r="C919" s="72"/>
    </row>
    <row r="920" spans="1:3">
      <c r="A920" s="71"/>
      <c r="B920" s="72"/>
      <c r="C920" s="72"/>
    </row>
    <row r="921" spans="1:3">
      <c r="A921" s="71"/>
      <c r="B921" s="72"/>
      <c r="C921" s="72"/>
    </row>
    <row r="922" spans="1:3">
      <c r="A922" s="71"/>
      <c r="B922" s="72"/>
      <c r="C922" s="72"/>
    </row>
    <row r="923" spans="1:3">
      <c r="A923" s="71"/>
      <c r="B923" s="72"/>
      <c r="C923" s="72"/>
    </row>
    <row r="924" spans="1:3">
      <c r="A924" s="71"/>
      <c r="B924" s="72"/>
      <c r="C924" s="72"/>
    </row>
    <row r="925" spans="1:3">
      <c r="A925" s="71"/>
      <c r="B925" s="72"/>
      <c r="C925" s="72"/>
    </row>
    <row r="926" spans="1:3">
      <c r="A926" s="71"/>
      <c r="B926" s="72"/>
      <c r="C926" s="72"/>
    </row>
    <row r="927" spans="1:3">
      <c r="A927" s="71"/>
      <c r="B927" s="72"/>
      <c r="C927" s="72"/>
    </row>
    <row r="928" spans="1:3">
      <c r="A928" s="71"/>
      <c r="B928" s="72"/>
      <c r="C928" s="72"/>
    </row>
    <row r="929" spans="1:3">
      <c r="A929" s="71"/>
      <c r="B929" s="72"/>
      <c r="C929" s="72"/>
    </row>
    <row r="930" spans="1:3">
      <c r="A930" s="71"/>
      <c r="B930" s="72"/>
      <c r="C930" s="72"/>
    </row>
    <row r="931" spans="1:3">
      <c r="A931" s="71"/>
      <c r="B931" s="72"/>
      <c r="C931" s="72"/>
    </row>
    <row r="932" spans="1:3">
      <c r="A932" s="71"/>
      <c r="B932" s="72"/>
      <c r="C932" s="72"/>
    </row>
    <row r="933" spans="1:3">
      <c r="A933" s="71"/>
      <c r="B933" s="72"/>
      <c r="C933" s="72"/>
    </row>
    <row r="934" spans="1:3">
      <c r="A934" s="71"/>
      <c r="B934" s="72"/>
      <c r="C934" s="72"/>
    </row>
    <row r="935" spans="1:3">
      <c r="A935" s="71"/>
      <c r="B935" s="72"/>
      <c r="C935" s="72"/>
    </row>
    <row r="936" spans="1:3">
      <c r="A936" s="71"/>
      <c r="B936" s="72"/>
      <c r="C936" s="72"/>
    </row>
    <row r="937" spans="1:3">
      <c r="A937" s="71"/>
      <c r="B937" s="72"/>
      <c r="C937" s="72"/>
    </row>
    <row r="938" spans="1:3">
      <c r="A938" s="71"/>
      <c r="B938" s="72"/>
      <c r="C938" s="72"/>
    </row>
    <row r="939" spans="1:3">
      <c r="A939" s="71"/>
      <c r="B939" s="72"/>
      <c r="C939" s="72"/>
    </row>
    <row r="940" spans="1:3">
      <c r="A940" s="71"/>
      <c r="B940" s="72"/>
      <c r="C940" s="72"/>
    </row>
    <row r="941" spans="1:3">
      <c r="A941" s="71"/>
      <c r="B941" s="72"/>
      <c r="C941" s="72"/>
    </row>
    <row r="942" spans="1:3">
      <c r="A942" s="71"/>
      <c r="B942" s="72"/>
      <c r="C942" s="72"/>
    </row>
    <row r="943" spans="1:3">
      <c r="A943" s="71"/>
      <c r="B943" s="72"/>
      <c r="C943" s="72"/>
    </row>
    <row r="944" spans="1:3">
      <c r="A944" s="71"/>
      <c r="B944" s="72"/>
      <c r="C944" s="72"/>
    </row>
    <row r="945" spans="1:3">
      <c r="A945" s="71"/>
      <c r="B945" s="72"/>
      <c r="C945" s="72"/>
    </row>
    <row r="946" spans="1:3">
      <c r="A946" s="71"/>
      <c r="B946" s="72"/>
      <c r="C946" s="72"/>
    </row>
    <row r="947" spans="1:3">
      <c r="A947" s="71"/>
      <c r="B947" s="72"/>
      <c r="C947" s="72"/>
    </row>
    <row r="948" spans="1:3">
      <c r="A948" s="71"/>
      <c r="B948" s="72"/>
      <c r="C948" s="72"/>
    </row>
    <row r="949" spans="1:3">
      <c r="A949" s="71"/>
      <c r="B949" s="72"/>
      <c r="C949" s="72"/>
    </row>
    <row r="950" spans="1:3">
      <c r="A950" s="71"/>
      <c r="B950" s="72"/>
      <c r="C950" s="72"/>
    </row>
    <row r="951" spans="1:3">
      <c r="A951" s="71"/>
      <c r="B951" s="72"/>
      <c r="C951" s="72"/>
    </row>
    <row r="952" spans="1:3">
      <c r="A952" s="71"/>
      <c r="B952" s="72"/>
      <c r="C952" s="72"/>
    </row>
    <row r="953" spans="1:3">
      <c r="A953" s="71"/>
      <c r="B953" s="72"/>
      <c r="C953" s="72"/>
    </row>
    <row r="954" spans="1:3">
      <c r="A954" s="71"/>
      <c r="B954" s="72"/>
      <c r="C954" s="72"/>
    </row>
    <row r="955" spans="1:3">
      <c r="A955" s="71"/>
      <c r="B955" s="72"/>
      <c r="C955" s="72"/>
    </row>
    <row r="956" spans="1:3">
      <c r="A956" s="71"/>
      <c r="B956" s="72"/>
      <c r="C956" s="72"/>
    </row>
    <row r="957" spans="1:3">
      <c r="A957" s="71"/>
      <c r="B957" s="72"/>
      <c r="C957" s="72"/>
    </row>
    <row r="958" spans="1:3">
      <c r="A958" s="71"/>
      <c r="B958" s="72"/>
      <c r="C958" s="72"/>
    </row>
    <row r="959" spans="1:3">
      <c r="A959" s="71"/>
      <c r="B959" s="72"/>
      <c r="C959" s="72"/>
    </row>
    <row r="960" spans="1:3">
      <c r="A960" s="71"/>
      <c r="B960" s="72"/>
      <c r="C960" s="72"/>
    </row>
    <row r="961" spans="1:3">
      <c r="A961" s="71"/>
      <c r="B961" s="72"/>
      <c r="C961" s="72"/>
    </row>
    <row r="962" spans="1:3">
      <c r="A962" s="71"/>
      <c r="B962" s="72"/>
      <c r="C962" s="72"/>
    </row>
    <row r="963" spans="1:3">
      <c r="A963" s="71"/>
      <c r="B963" s="72"/>
      <c r="C963" s="72"/>
    </row>
    <row r="964" spans="1:3">
      <c r="A964" s="71"/>
      <c r="B964" s="72"/>
      <c r="C964" s="72"/>
    </row>
    <row r="965" spans="1:3">
      <c r="A965" s="71"/>
      <c r="B965" s="72"/>
      <c r="C965" s="72"/>
    </row>
    <row r="966" spans="1:3">
      <c r="A966" s="71"/>
      <c r="B966" s="72"/>
      <c r="C966" s="72"/>
    </row>
    <row r="967" spans="1:3">
      <c r="A967" s="71"/>
      <c r="B967" s="72"/>
      <c r="C967" s="72"/>
    </row>
    <row r="968" spans="1:3">
      <c r="A968" s="71"/>
      <c r="B968" s="72"/>
      <c r="C968" s="72"/>
    </row>
    <row r="969" spans="1:3">
      <c r="A969" s="71"/>
      <c r="B969" s="72"/>
      <c r="C969" s="72"/>
    </row>
    <row r="970" spans="1:3">
      <c r="A970" s="71"/>
      <c r="B970" s="72"/>
      <c r="C970" s="72"/>
    </row>
    <row r="971" spans="1:3">
      <c r="A971" s="71"/>
      <c r="B971" s="72"/>
      <c r="C971" s="72"/>
    </row>
    <row r="972" spans="1:3">
      <c r="A972" s="71"/>
      <c r="B972" s="72"/>
      <c r="C972" s="72"/>
    </row>
    <row r="973" spans="1:3">
      <c r="A973" s="71"/>
      <c r="B973" s="72"/>
      <c r="C973" s="72"/>
    </row>
    <row r="974" spans="1:3">
      <c r="A974" s="71"/>
      <c r="B974" s="72"/>
      <c r="C974" s="72"/>
    </row>
    <row r="975" spans="1:3">
      <c r="A975" s="71"/>
      <c r="B975" s="72"/>
      <c r="C975" s="72"/>
    </row>
    <row r="976" spans="1:3">
      <c r="A976" s="71"/>
      <c r="B976" s="72"/>
      <c r="C976" s="72"/>
    </row>
    <row r="977" spans="1:3">
      <c r="A977" s="71"/>
      <c r="B977" s="72"/>
      <c r="C977" s="72"/>
    </row>
    <row r="978" spans="1:3">
      <c r="A978" s="71"/>
      <c r="B978" s="72"/>
      <c r="C978" s="72"/>
    </row>
    <row r="979" spans="1:3">
      <c r="A979" s="71"/>
      <c r="B979" s="72"/>
      <c r="C979" s="72"/>
    </row>
    <row r="980" spans="1:3">
      <c r="A980" s="71"/>
      <c r="B980" s="72"/>
      <c r="C980" s="72"/>
    </row>
    <row r="981" spans="1:3">
      <c r="A981" s="71"/>
      <c r="B981" s="72"/>
      <c r="C981" s="72"/>
    </row>
    <row r="982" spans="1:3">
      <c r="A982" s="71"/>
      <c r="B982" s="72"/>
      <c r="C982" s="72"/>
    </row>
    <row r="983" spans="1:3">
      <c r="A983" s="71"/>
      <c r="B983" s="72"/>
      <c r="C983" s="72"/>
    </row>
    <row r="984" spans="1:3">
      <c r="A984" s="71"/>
      <c r="B984" s="72"/>
      <c r="C984" s="72"/>
    </row>
    <row r="985" spans="1:3">
      <c r="A985" s="71"/>
      <c r="B985" s="72"/>
      <c r="C985" s="72"/>
    </row>
    <row r="986" spans="1:3">
      <c r="A986" s="71"/>
      <c r="B986" s="72"/>
      <c r="C986" s="72"/>
    </row>
    <row r="987" spans="1:3">
      <c r="A987" s="71"/>
      <c r="B987" s="72"/>
      <c r="C987" s="72"/>
    </row>
    <row r="988" spans="1:3">
      <c r="A988" s="71"/>
      <c r="B988" s="72"/>
      <c r="C988" s="72"/>
    </row>
    <row r="989" spans="1:3">
      <c r="A989" s="71"/>
      <c r="B989" s="72"/>
      <c r="C989" s="72"/>
    </row>
    <row r="990" spans="1:3">
      <c r="A990" s="71"/>
      <c r="B990" s="72"/>
      <c r="C990" s="72"/>
    </row>
    <row r="991" spans="1:3">
      <c r="A991" s="71"/>
      <c r="B991" s="72"/>
      <c r="C991" s="72"/>
    </row>
    <row r="992" spans="1:3">
      <c r="A992" s="71"/>
      <c r="B992" s="72"/>
      <c r="C992" s="72"/>
    </row>
    <row r="993" spans="1:3">
      <c r="A993" s="71"/>
      <c r="B993" s="72"/>
      <c r="C993" s="72"/>
    </row>
    <row r="994" spans="1:3">
      <c r="A994" s="71"/>
      <c r="B994" s="72"/>
      <c r="C994" s="72"/>
    </row>
    <row r="995" spans="1:3">
      <c r="A995" s="71"/>
      <c r="B995" s="72"/>
      <c r="C995" s="72"/>
    </row>
    <row r="996" spans="1:3">
      <c r="A996" s="71"/>
      <c r="B996" s="72"/>
      <c r="C996" s="72"/>
    </row>
    <row r="997" spans="1:3">
      <c r="A997" s="71"/>
      <c r="B997" s="72"/>
      <c r="C997" s="72"/>
    </row>
    <row r="998" spans="1:3">
      <c r="A998" s="71"/>
      <c r="B998" s="72"/>
      <c r="C998" s="72"/>
    </row>
    <row r="999" spans="1:3">
      <c r="A999" s="71"/>
      <c r="B999" s="72"/>
      <c r="C999" s="72"/>
    </row>
    <row r="1000" spans="1:3">
      <c r="A1000" s="71"/>
      <c r="B1000" s="72"/>
      <c r="C1000" s="72"/>
    </row>
    <row r="1001" spans="1:3">
      <c r="A1001" s="71"/>
      <c r="B1001" s="72"/>
      <c r="C1001" s="72"/>
    </row>
    <row r="1002" spans="1:3">
      <c r="A1002" s="71"/>
      <c r="B1002" s="72"/>
      <c r="C1002" s="72"/>
    </row>
    <row r="1003" spans="1:3">
      <c r="A1003" s="71"/>
      <c r="B1003" s="72"/>
      <c r="C1003" s="72"/>
    </row>
    <row r="1004" spans="1:3">
      <c r="A1004" s="71"/>
      <c r="B1004" s="72"/>
      <c r="C1004" s="72"/>
    </row>
    <row r="1005" spans="1:3">
      <c r="A1005" s="71"/>
      <c r="B1005" s="72"/>
      <c r="C1005" s="72"/>
    </row>
    <row r="1006" spans="1:3">
      <c r="A1006" s="71"/>
      <c r="B1006" s="72"/>
      <c r="C1006" s="72"/>
    </row>
    <row r="1007" spans="1:3">
      <c r="A1007" s="71"/>
      <c r="B1007" s="72"/>
      <c r="C1007" s="72"/>
    </row>
    <row r="1008" spans="1:3">
      <c r="A1008" s="71"/>
      <c r="B1008" s="72"/>
      <c r="C1008" s="72"/>
    </row>
    <row r="1009" spans="1:3">
      <c r="A1009" s="71"/>
      <c r="B1009" s="72"/>
      <c r="C1009" s="72"/>
    </row>
    <row r="1010" spans="1:3">
      <c r="A1010" s="71"/>
      <c r="B1010" s="72"/>
      <c r="C1010" s="72"/>
    </row>
    <row r="1011" spans="1:3">
      <c r="A1011" s="71"/>
      <c r="B1011" s="72"/>
      <c r="C1011" s="72"/>
    </row>
    <row r="1012" spans="1:3">
      <c r="A1012" s="71"/>
      <c r="B1012" s="72"/>
      <c r="C1012" s="72"/>
    </row>
    <row r="1013" spans="1:3">
      <c r="A1013" s="71"/>
      <c r="B1013" s="72"/>
      <c r="C1013" s="72"/>
    </row>
    <row r="1014" spans="1:3">
      <c r="A1014" s="71"/>
      <c r="B1014" s="72"/>
      <c r="C1014" s="72"/>
    </row>
    <row r="1015" spans="1:3">
      <c r="A1015" s="71"/>
      <c r="B1015" s="72"/>
      <c r="C1015" s="72"/>
    </row>
    <row r="1016" spans="1:3">
      <c r="A1016" s="71"/>
      <c r="B1016" s="72"/>
      <c r="C1016" s="72"/>
    </row>
    <row r="1017" spans="1:3">
      <c r="A1017" s="71"/>
      <c r="B1017" s="72"/>
      <c r="C1017" s="72"/>
    </row>
    <row r="1018" spans="1:3">
      <c r="A1018" s="71"/>
      <c r="B1018" s="72"/>
      <c r="C1018" s="72"/>
    </row>
    <row r="1019" spans="1:3">
      <c r="A1019" s="71"/>
      <c r="B1019" s="72"/>
      <c r="C1019" s="72"/>
    </row>
    <row r="1020" spans="1:3">
      <c r="A1020" s="71"/>
      <c r="B1020" s="72"/>
      <c r="C1020" s="72"/>
    </row>
    <row r="1021" spans="1:3">
      <c r="A1021" s="71"/>
      <c r="B1021" s="72"/>
      <c r="C1021" s="72"/>
    </row>
    <row r="1022" spans="1:3">
      <c r="A1022" s="71"/>
      <c r="B1022" s="72"/>
      <c r="C1022" s="72"/>
    </row>
    <row r="1023" spans="1:3">
      <c r="A1023" s="71"/>
      <c r="B1023" s="72"/>
      <c r="C1023" s="72"/>
    </row>
    <row r="1024" spans="1:3">
      <c r="A1024" s="71"/>
      <c r="B1024" s="72"/>
      <c r="C1024" s="72"/>
    </row>
    <row r="1025" spans="1:3">
      <c r="A1025" s="71"/>
      <c r="B1025" s="72"/>
      <c r="C1025" s="72"/>
    </row>
    <row r="1026" spans="1:3">
      <c r="A1026" s="71"/>
      <c r="B1026" s="72"/>
      <c r="C1026" s="72"/>
    </row>
    <row r="1027" spans="1:3">
      <c r="A1027" s="71"/>
      <c r="B1027" s="72"/>
      <c r="C1027" s="72"/>
    </row>
    <row r="1028" spans="1:3">
      <c r="A1028" s="71"/>
      <c r="B1028" s="72"/>
      <c r="C1028" s="72"/>
    </row>
    <row r="1029" spans="1:3">
      <c r="A1029" s="71"/>
      <c r="B1029" s="72"/>
      <c r="C1029" s="72"/>
    </row>
    <row r="1030" spans="1:3">
      <c r="A1030" s="71"/>
      <c r="B1030" s="72"/>
      <c r="C1030" s="72"/>
    </row>
    <row r="1031" spans="1:3">
      <c r="A1031" s="71"/>
      <c r="B1031" s="72"/>
      <c r="C1031" s="72"/>
    </row>
    <row r="1032" spans="1:3">
      <c r="A1032" s="71"/>
      <c r="B1032" s="72"/>
      <c r="C1032" s="72"/>
    </row>
    <row r="1033" spans="1:3">
      <c r="A1033" s="71"/>
      <c r="B1033" s="72"/>
      <c r="C1033" s="72"/>
    </row>
    <row r="1034" spans="1:3">
      <c r="A1034" s="71"/>
      <c r="B1034" s="72"/>
      <c r="C1034" s="72"/>
    </row>
    <row r="1035" spans="1:3">
      <c r="A1035" s="71"/>
      <c r="B1035" s="72"/>
      <c r="C1035" s="72"/>
    </row>
    <row r="1036" spans="1:3">
      <c r="A1036" s="71"/>
      <c r="B1036" s="72"/>
      <c r="C1036" s="72"/>
    </row>
    <row r="1037" spans="1:3">
      <c r="A1037" s="71"/>
      <c r="B1037" s="72"/>
      <c r="C1037" s="72"/>
    </row>
    <row r="1038" spans="1:3">
      <c r="A1038" s="71"/>
      <c r="B1038" s="72"/>
      <c r="C1038" s="72"/>
    </row>
    <row r="1039" spans="1:3">
      <c r="A1039" s="71"/>
      <c r="B1039" s="72"/>
      <c r="C1039" s="72"/>
    </row>
    <row r="1040" spans="1:3">
      <c r="A1040" s="71"/>
      <c r="B1040" s="72"/>
      <c r="C1040" s="72"/>
    </row>
    <row r="1041" spans="1:3">
      <c r="A1041" s="71"/>
      <c r="B1041" s="72"/>
      <c r="C1041" s="72"/>
    </row>
    <row r="1042" spans="1:3">
      <c r="A1042" s="71"/>
      <c r="B1042" s="72"/>
      <c r="C1042" s="72"/>
    </row>
    <row r="1043" spans="1:3">
      <c r="A1043" s="71"/>
      <c r="B1043" s="72"/>
      <c r="C1043" s="72"/>
    </row>
    <row r="1044" spans="1:3">
      <c r="A1044" s="71"/>
      <c r="B1044" s="72"/>
      <c r="C1044" s="72"/>
    </row>
    <row r="1045" spans="1:3">
      <c r="A1045" s="71"/>
      <c r="B1045" s="72"/>
      <c r="C1045" s="72"/>
    </row>
    <row r="1046" spans="1:3">
      <c r="A1046" s="71"/>
      <c r="B1046" s="72"/>
      <c r="C1046" s="72"/>
    </row>
    <row r="1047" spans="1:3">
      <c r="A1047" s="71"/>
      <c r="B1047" s="72"/>
      <c r="C1047" s="72"/>
    </row>
    <row r="1048" spans="1:3">
      <c r="A1048" s="71"/>
      <c r="B1048" s="72"/>
      <c r="C1048" s="72"/>
    </row>
    <row r="1049" spans="1:3">
      <c r="A1049" s="71"/>
      <c r="B1049" s="72"/>
      <c r="C1049" s="72"/>
    </row>
    <row r="1050" spans="1:3">
      <c r="A1050" s="71"/>
      <c r="B1050" s="72"/>
      <c r="C1050" s="72"/>
    </row>
    <row r="1051" spans="1:3">
      <c r="A1051" s="71"/>
      <c r="B1051" s="72"/>
      <c r="C1051" s="72"/>
    </row>
    <row r="1052" spans="1:3">
      <c r="A1052" s="71"/>
      <c r="B1052" s="72"/>
      <c r="C1052" s="72"/>
    </row>
    <row r="1053" spans="1:3">
      <c r="A1053" s="71"/>
      <c r="B1053" s="72"/>
      <c r="C1053" s="72"/>
    </row>
    <row r="1054" spans="1:3">
      <c r="A1054" s="71"/>
      <c r="B1054" s="72"/>
      <c r="C1054" s="72"/>
    </row>
    <row r="1055" spans="1:3">
      <c r="A1055" s="71"/>
      <c r="B1055" s="72"/>
      <c r="C1055" s="72"/>
    </row>
    <row r="1056" spans="1:3">
      <c r="A1056" s="71"/>
      <c r="B1056" s="72"/>
      <c r="C1056" s="72"/>
    </row>
    <row r="1057" spans="1:3">
      <c r="A1057" s="71"/>
      <c r="B1057" s="72"/>
      <c r="C1057" s="72"/>
    </row>
    <row r="1058" spans="1:3">
      <c r="A1058" s="71"/>
      <c r="B1058" s="72"/>
      <c r="C1058" s="72"/>
    </row>
    <row r="1059" spans="1:3">
      <c r="A1059" s="71"/>
      <c r="B1059" s="72"/>
      <c r="C1059" s="72"/>
    </row>
    <row r="1060" spans="1:3">
      <c r="A1060" s="71"/>
      <c r="B1060" s="72"/>
      <c r="C1060" s="72"/>
    </row>
    <row r="1061" spans="1:3">
      <c r="A1061" s="71"/>
      <c r="B1061" s="72"/>
      <c r="C1061" s="72"/>
    </row>
    <row r="1062" spans="1:3">
      <c r="A1062" s="71"/>
      <c r="B1062" s="72"/>
      <c r="C1062" s="72"/>
    </row>
    <row r="1063" spans="1:3">
      <c r="A1063" s="71"/>
      <c r="B1063" s="72"/>
      <c r="C1063" s="72"/>
    </row>
    <row r="1064" spans="1:3">
      <c r="A1064" s="71"/>
      <c r="B1064" s="72"/>
      <c r="C1064" s="72"/>
    </row>
    <row r="1065" spans="1:3">
      <c r="A1065" s="71"/>
      <c r="B1065" s="72"/>
      <c r="C1065" s="72"/>
    </row>
    <row r="1066" spans="1:3">
      <c r="A1066" s="71"/>
      <c r="B1066" s="72"/>
      <c r="C1066" s="72"/>
    </row>
    <row r="1067" spans="1:3">
      <c r="A1067" s="71"/>
      <c r="B1067" s="72"/>
      <c r="C1067" s="72"/>
    </row>
    <row r="1068" spans="1:3">
      <c r="A1068" s="71"/>
      <c r="B1068" s="72"/>
      <c r="C1068" s="72"/>
    </row>
    <row r="1069" spans="1:3">
      <c r="A1069" s="71"/>
      <c r="B1069" s="72"/>
      <c r="C1069" s="72"/>
    </row>
    <row r="1070" spans="1:3">
      <c r="A1070" s="71"/>
      <c r="B1070" s="72"/>
      <c r="C1070" s="72"/>
    </row>
    <row r="1071" spans="1:3">
      <c r="A1071" s="71"/>
      <c r="B1071" s="72"/>
      <c r="C1071" s="72"/>
    </row>
    <row r="1072" spans="1:3">
      <c r="A1072" s="71"/>
      <c r="B1072" s="72"/>
      <c r="C1072" s="72"/>
    </row>
    <row r="1073" spans="1:3">
      <c r="A1073" s="71"/>
      <c r="B1073" s="72"/>
      <c r="C1073" s="72"/>
    </row>
    <row r="1074" spans="1:3">
      <c r="A1074" s="71"/>
      <c r="B1074" s="72"/>
      <c r="C1074" s="72"/>
    </row>
    <row r="1075" spans="1:3">
      <c r="A1075" s="71"/>
      <c r="B1075" s="72"/>
      <c r="C1075" s="72"/>
    </row>
    <row r="1076" spans="1:3">
      <c r="A1076" s="71"/>
      <c r="B1076" s="72"/>
      <c r="C1076" s="72"/>
    </row>
    <row r="1077" spans="1:3">
      <c r="A1077" s="71"/>
      <c r="B1077" s="72"/>
      <c r="C1077" s="72"/>
    </row>
    <row r="1078" spans="1:3">
      <c r="A1078" s="71"/>
      <c r="B1078" s="72"/>
      <c r="C1078" s="72"/>
    </row>
    <row r="1079" spans="1:3">
      <c r="A1079" s="71"/>
      <c r="B1079" s="72"/>
      <c r="C1079" s="72"/>
    </row>
    <row r="1080" spans="1:3">
      <c r="A1080" s="71"/>
      <c r="B1080" s="72"/>
      <c r="C1080" s="72"/>
    </row>
    <row r="1081" spans="1:3">
      <c r="A1081" s="71"/>
      <c r="B1081" s="72"/>
      <c r="C1081" s="72"/>
    </row>
    <row r="1082" spans="1:3">
      <c r="A1082" s="71"/>
      <c r="B1082" s="72"/>
      <c r="C1082" s="72"/>
    </row>
    <row r="1083" spans="1:3">
      <c r="A1083" s="71"/>
      <c r="B1083" s="72"/>
      <c r="C1083" s="72"/>
    </row>
    <row r="1084" spans="1:3">
      <c r="A1084" s="71"/>
      <c r="B1084" s="72"/>
      <c r="C1084" s="72"/>
    </row>
    <row r="1085" spans="1:3">
      <c r="A1085" s="71"/>
      <c r="B1085" s="72"/>
      <c r="C1085" s="72"/>
    </row>
    <row r="1086" spans="1:3">
      <c r="A1086" s="71"/>
      <c r="B1086" s="72"/>
      <c r="C1086" s="72"/>
    </row>
    <row r="1087" spans="1:3">
      <c r="A1087" s="71"/>
      <c r="B1087" s="72"/>
      <c r="C1087" s="72"/>
    </row>
    <row r="1088" spans="1:3">
      <c r="A1088" s="71"/>
      <c r="B1088" s="72"/>
      <c r="C1088" s="72"/>
    </row>
    <row r="1089" spans="1:3">
      <c r="A1089" s="71"/>
      <c r="B1089" s="72"/>
      <c r="C1089" s="72"/>
    </row>
    <row r="1090" spans="1:3">
      <c r="A1090" s="71"/>
      <c r="B1090" s="72"/>
      <c r="C1090" s="72"/>
    </row>
    <row r="1091" spans="1:3">
      <c r="A1091" s="71"/>
      <c r="B1091" s="72"/>
      <c r="C1091" s="72"/>
    </row>
    <row r="1092" spans="1:3">
      <c r="A1092" s="71"/>
      <c r="B1092" s="72"/>
      <c r="C1092" s="72"/>
    </row>
    <row r="1093" spans="1:3">
      <c r="A1093" s="71"/>
      <c r="B1093" s="72"/>
      <c r="C1093" s="72"/>
    </row>
    <row r="1094" spans="1:3">
      <c r="A1094" s="71"/>
      <c r="B1094" s="72"/>
      <c r="C1094" s="72"/>
    </row>
    <row r="1095" spans="1:3">
      <c r="A1095" s="71"/>
      <c r="B1095" s="72"/>
      <c r="C1095" s="72"/>
    </row>
    <row r="1096" spans="1:3">
      <c r="A1096" s="71"/>
      <c r="B1096" s="72"/>
      <c r="C1096" s="72"/>
    </row>
    <row r="1097" spans="1:3">
      <c r="A1097" s="71"/>
      <c r="B1097" s="72"/>
      <c r="C1097" s="72"/>
    </row>
    <row r="1098" spans="1:3">
      <c r="A1098" s="71"/>
      <c r="B1098" s="72"/>
      <c r="C1098" s="72"/>
    </row>
    <row r="1099" spans="1:3">
      <c r="A1099" s="71"/>
      <c r="B1099" s="72"/>
      <c r="C1099" s="72"/>
    </row>
    <row r="1100" spans="1:3">
      <c r="A1100" s="71"/>
      <c r="B1100" s="72"/>
      <c r="C1100" s="72"/>
    </row>
    <row r="1101" spans="1:3">
      <c r="A1101" s="71"/>
      <c r="B1101" s="72"/>
      <c r="C1101" s="72"/>
    </row>
    <row r="1102" spans="1:3">
      <c r="A1102" s="71"/>
      <c r="B1102" s="72"/>
      <c r="C1102" s="72"/>
    </row>
    <row r="1103" spans="1:3">
      <c r="A1103" s="71"/>
      <c r="B1103" s="72"/>
      <c r="C1103" s="72"/>
    </row>
    <row r="1104" spans="1:3">
      <c r="A1104" s="71"/>
      <c r="B1104" s="72"/>
      <c r="C1104" s="72"/>
    </row>
    <row r="1105" spans="1:3">
      <c r="A1105" s="71"/>
      <c r="B1105" s="72"/>
      <c r="C1105" s="72"/>
    </row>
    <row r="1106" spans="1:3">
      <c r="A1106" s="71"/>
      <c r="B1106" s="72"/>
      <c r="C1106" s="72"/>
    </row>
    <row r="1107" spans="1:3">
      <c r="A1107" s="71"/>
      <c r="B1107" s="72"/>
      <c r="C1107" s="72"/>
    </row>
    <row r="1108" spans="1:3">
      <c r="A1108" s="71"/>
      <c r="B1108" s="72"/>
      <c r="C1108" s="72"/>
    </row>
    <row r="1109" spans="1:3">
      <c r="A1109" s="71"/>
      <c r="B1109" s="72"/>
      <c r="C1109" s="72"/>
    </row>
    <row r="1110" spans="1:3">
      <c r="A1110" s="71"/>
      <c r="B1110" s="72"/>
      <c r="C1110" s="72"/>
    </row>
    <row r="1111" spans="1:3">
      <c r="A1111" s="71"/>
      <c r="B1111" s="72"/>
      <c r="C1111" s="72"/>
    </row>
    <row r="1112" spans="1:3">
      <c r="A1112" s="71"/>
      <c r="B1112" s="72"/>
      <c r="C1112" s="72"/>
    </row>
    <row r="1113" spans="1:3">
      <c r="A1113" s="71"/>
      <c r="B1113" s="72"/>
      <c r="C1113" s="72"/>
    </row>
    <row r="1114" spans="1:3">
      <c r="A1114" s="71"/>
      <c r="B1114" s="72"/>
      <c r="C1114" s="72"/>
    </row>
    <row r="1115" spans="1:3">
      <c r="A1115" s="71"/>
      <c r="B1115" s="72"/>
      <c r="C1115" s="72"/>
    </row>
    <row r="1116" spans="1:3">
      <c r="A1116" s="71"/>
      <c r="B1116" s="72"/>
      <c r="C1116" s="72"/>
    </row>
    <row r="1117" spans="1:3">
      <c r="A1117" s="71"/>
      <c r="B1117" s="72"/>
      <c r="C1117" s="72"/>
    </row>
    <row r="1118" spans="1:3">
      <c r="A1118" s="71"/>
      <c r="B1118" s="72"/>
      <c r="C1118" s="72"/>
    </row>
    <row r="1119" spans="1:3">
      <c r="A1119" s="71"/>
      <c r="B1119" s="72"/>
      <c r="C1119" s="72"/>
    </row>
    <row r="1120" spans="1:3">
      <c r="A1120" s="71"/>
      <c r="B1120" s="72"/>
      <c r="C1120" s="72"/>
    </row>
    <row r="1121" spans="1:3">
      <c r="A1121" s="71"/>
      <c r="B1121" s="72"/>
      <c r="C1121" s="72"/>
    </row>
    <row r="1122" spans="1:3">
      <c r="A1122" s="71"/>
      <c r="B1122" s="72"/>
      <c r="C1122" s="72"/>
    </row>
    <row r="1123" spans="1:3">
      <c r="A1123" s="71"/>
      <c r="B1123" s="72"/>
      <c r="C1123" s="72"/>
    </row>
    <row r="1124" spans="1:3">
      <c r="A1124" s="71"/>
      <c r="B1124" s="72"/>
      <c r="C1124" s="72"/>
    </row>
    <row r="1125" spans="1:3">
      <c r="A1125" s="71"/>
      <c r="B1125" s="72"/>
      <c r="C1125" s="72"/>
    </row>
    <row r="1126" spans="1:3">
      <c r="A1126" s="71"/>
      <c r="B1126" s="72"/>
      <c r="C1126" s="72"/>
    </row>
    <row r="1127" spans="1:3">
      <c r="A1127" s="71"/>
      <c r="B1127" s="72"/>
      <c r="C1127" s="72"/>
    </row>
    <row r="1128" spans="1:3">
      <c r="A1128" s="71"/>
      <c r="B1128" s="72"/>
      <c r="C1128" s="72"/>
    </row>
    <row r="1129" spans="1:3">
      <c r="A1129" s="71"/>
      <c r="B1129" s="72"/>
      <c r="C1129" s="72"/>
    </row>
    <row r="1130" spans="1:3">
      <c r="A1130" s="71"/>
      <c r="B1130" s="72"/>
      <c r="C1130" s="72"/>
    </row>
    <row r="1131" spans="1:3">
      <c r="A1131" s="71"/>
      <c r="B1131" s="72"/>
      <c r="C1131" s="72"/>
    </row>
    <row r="1132" spans="1:3">
      <c r="A1132" s="71"/>
      <c r="B1132" s="72"/>
      <c r="C1132" s="72"/>
    </row>
    <row r="1133" spans="1:3">
      <c r="A1133" s="71"/>
      <c r="B1133" s="72"/>
      <c r="C1133" s="72"/>
    </row>
    <row r="1134" spans="1:3">
      <c r="A1134" s="71"/>
      <c r="B1134" s="72"/>
      <c r="C1134" s="72"/>
    </row>
    <row r="1135" spans="1:3">
      <c r="A1135" s="71"/>
      <c r="B1135" s="72"/>
      <c r="C1135" s="72"/>
    </row>
    <row r="1136" spans="1:3">
      <c r="A1136" s="71"/>
      <c r="B1136" s="72"/>
      <c r="C1136" s="72"/>
    </row>
    <row r="1137" spans="1:3">
      <c r="A1137" s="71"/>
      <c r="B1137" s="72"/>
      <c r="C1137" s="72"/>
    </row>
    <row r="1138" spans="1:3">
      <c r="A1138" s="71"/>
      <c r="B1138" s="72"/>
      <c r="C1138" s="72"/>
    </row>
    <row r="1139" spans="1:3">
      <c r="A1139" s="71"/>
      <c r="B1139" s="72"/>
      <c r="C1139" s="72"/>
    </row>
    <row r="1140" spans="1:3">
      <c r="A1140" s="71"/>
      <c r="B1140" s="72"/>
      <c r="C1140" s="72"/>
    </row>
    <row r="1141" spans="1:3">
      <c r="A1141" s="71"/>
      <c r="B1141" s="72"/>
      <c r="C1141" s="72"/>
    </row>
    <row r="1142" spans="1:3">
      <c r="A1142" s="71"/>
      <c r="B1142" s="72"/>
      <c r="C1142" s="72"/>
    </row>
    <row r="1143" spans="1:3">
      <c r="A1143" s="71"/>
      <c r="B1143" s="72"/>
      <c r="C1143" s="72"/>
    </row>
    <row r="1144" spans="1:3">
      <c r="A1144" s="71"/>
      <c r="B1144" s="72"/>
      <c r="C1144" s="72"/>
    </row>
    <row r="1145" spans="1:3">
      <c r="A1145" s="71"/>
      <c r="B1145" s="72"/>
      <c r="C1145" s="72"/>
    </row>
    <row r="1146" spans="1:3">
      <c r="A1146" s="71"/>
      <c r="B1146" s="72"/>
      <c r="C1146" s="72"/>
    </row>
    <row r="1147" spans="1:3">
      <c r="A1147" s="71"/>
      <c r="B1147" s="72"/>
      <c r="C1147" s="72"/>
    </row>
    <row r="1148" spans="1:3">
      <c r="A1148" s="71"/>
      <c r="B1148" s="72"/>
      <c r="C1148" s="72"/>
    </row>
    <row r="1149" spans="1:3">
      <c r="A1149" s="71"/>
      <c r="B1149" s="72"/>
      <c r="C1149" s="72"/>
    </row>
    <row r="1150" spans="1:3">
      <c r="A1150" s="71"/>
      <c r="B1150" s="72"/>
      <c r="C1150" s="72"/>
    </row>
    <row r="1151" spans="1:3">
      <c r="A1151" s="71"/>
      <c r="B1151" s="72"/>
      <c r="C1151" s="72"/>
    </row>
    <row r="1152" spans="1:3">
      <c r="A1152" s="71"/>
      <c r="B1152" s="72"/>
      <c r="C1152" s="72"/>
    </row>
    <row r="1153" spans="1:3">
      <c r="A1153" s="71"/>
      <c r="B1153" s="72"/>
      <c r="C1153" s="72"/>
    </row>
    <row r="1154" spans="1:3">
      <c r="A1154" s="71"/>
      <c r="B1154" s="72"/>
      <c r="C1154" s="72"/>
    </row>
    <row r="1155" spans="1:3">
      <c r="A1155" s="71"/>
      <c r="B1155" s="72"/>
      <c r="C1155" s="72"/>
    </row>
    <row r="1156" spans="1:3">
      <c r="A1156" s="71"/>
      <c r="B1156" s="72"/>
      <c r="C1156" s="72"/>
    </row>
    <row r="1157" spans="1:3">
      <c r="A1157" s="71"/>
      <c r="B1157" s="72"/>
      <c r="C1157" s="72"/>
    </row>
    <row r="1158" spans="1:3">
      <c r="A1158" s="71"/>
      <c r="B1158" s="72"/>
      <c r="C1158" s="72"/>
    </row>
    <row r="1159" spans="1:3">
      <c r="A1159" s="71"/>
      <c r="B1159" s="72"/>
      <c r="C1159" s="72"/>
    </row>
    <row r="1160" spans="1:3">
      <c r="A1160" s="71"/>
      <c r="B1160" s="72"/>
      <c r="C1160" s="72"/>
    </row>
    <row r="1161" spans="1:3">
      <c r="A1161" s="71"/>
      <c r="B1161" s="72"/>
      <c r="C1161" s="72"/>
    </row>
    <row r="1162" spans="1:3">
      <c r="A1162" s="71"/>
      <c r="B1162" s="72"/>
      <c r="C1162" s="72"/>
    </row>
    <row r="1163" spans="1:3">
      <c r="A1163" s="71"/>
      <c r="B1163" s="72"/>
      <c r="C1163" s="72"/>
    </row>
    <row r="1164" spans="1:3">
      <c r="A1164" s="71"/>
      <c r="B1164" s="72"/>
      <c r="C1164" s="72"/>
    </row>
    <row r="1165" spans="1:3">
      <c r="A1165" s="71"/>
      <c r="B1165" s="72"/>
      <c r="C1165" s="72"/>
    </row>
    <row r="1166" spans="1:3">
      <c r="A1166" s="71"/>
      <c r="B1166" s="72"/>
      <c r="C1166" s="72"/>
    </row>
    <row r="1167" spans="1:3">
      <c r="A1167" s="71"/>
      <c r="B1167" s="72"/>
      <c r="C1167" s="72"/>
    </row>
    <row r="1168" spans="1:3">
      <c r="A1168" s="71"/>
      <c r="B1168" s="72"/>
      <c r="C1168" s="72"/>
    </row>
    <row r="1169" spans="1:3">
      <c r="A1169" s="71"/>
      <c r="B1169" s="72"/>
      <c r="C1169" s="72"/>
    </row>
    <row r="1170" spans="1:3">
      <c r="A1170" s="71"/>
      <c r="B1170" s="72"/>
      <c r="C1170" s="72"/>
    </row>
    <row r="1171" spans="1:3">
      <c r="A1171" s="71"/>
      <c r="B1171" s="72"/>
      <c r="C1171" s="72"/>
    </row>
    <row r="1172" spans="1:3">
      <c r="A1172" s="71"/>
      <c r="B1172" s="72"/>
      <c r="C1172" s="72"/>
    </row>
    <row r="1173" spans="1:3">
      <c r="A1173" s="71"/>
      <c r="B1173" s="72"/>
      <c r="C1173" s="72"/>
    </row>
    <row r="1174" spans="1:3">
      <c r="A1174" s="71"/>
      <c r="B1174" s="72"/>
      <c r="C1174" s="72"/>
    </row>
    <row r="1175" spans="1:3">
      <c r="A1175" s="71"/>
      <c r="B1175" s="72"/>
      <c r="C1175" s="72"/>
    </row>
    <row r="1176" spans="1:3">
      <c r="A1176" s="71"/>
      <c r="B1176" s="72"/>
      <c r="C1176" s="72"/>
    </row>
    <row r="1177" spans="1:3">
      <c r="A1177" s="71"/>
      <c r="B1177" s="72"/>
      <c r="C1177" s="72"/>
    </row>
    <row r="1178" spans="1:3">
      <c r="A1178" s="71"/>
      <c r="B1178" s="72"/>
      <c r="C1178" s="72"/>
    </row>
    <row r="1179" spans="1:3">
      <c r="A1179" s="71"/>
      <c r="B1179" s="72"/>
      <c r="C1179" s="72"/>
    </row>
    <row r="1180" spans="1:3">
      <c r="A1180" s="71"/>
      <c r="B1180" s="72"/>
      <c r="C1180" s="72"/>
    </row>
    <row r="1181" spans="1:3">
      <c r="A1181" s="71"/>
      <c r="B1181" s="72"/>
      <c r="C1181" s="72"/>
    </row>
    <row r="1182" spans="1:3">
      <c r="A1182" s="71"/>
      <c r="B1182" s="72"/>
      <c r="C1182" s="72"/>
    </row>
    <row r="1183" spans="1:3">
      <c r="A1183" s="71"/>
      <c r="B1183" s="72"/>
      <c r="C1183" s="72"/>
    </row>
    <row r="1184" spans="1:3">
      <c r="A1184" s="71"/>
      <c r="B1184" s="72"/>
      <c r="C1184" s="72"/>
    </row>
    <row r="1185" spans="1:3">
      <c r="A1185" s="71"/>
      <c r="B1185" s="72"/>
      <c r="C1185" s="72"/>
    </row>
    <row r="1186" spans="1:3">
      <c r="A1186" s="71"/>
      <c r="B1186" s="72"/>
      <c r="C1186" s="72"/>
    </row>
    <row r="1187" spans="1:3">
      <c r="A1187" s="71"/>
      <c r="B1187" s="72"/>
      <c r="C1187" s="72"/>
    </row>
    <row r="1188" spans="1:3">
      <c r="A1188" s="71"/>
      <c r="B1188" s="72"/>
      <c r="C1188" s="72"/>
    </row>
    <row r="1189" spans="1:3">
      <c r="A1189" s="71"/>
      <c r="B1189" s="72"/>
      <c r="C1189" s="72"/>
    </row>
    <row r="1190" spans="1:3">
      <c r="A1190" s="71"/>
      <c r="B1190" s="72"/>
      <c r="C1190" s="72"/>
    </row>
    <row r="1191" spans="1:3">
      <c r="A1191" s="71"/>
      <c r="B1191" s="72"/>
      <c r="C1191" s="72"/>
    </row>
    <row r="1192" spans="1:3">
      <c r="A1192" s="71"/>
      <c r="B1192" s="72"/>
      <c r="C1192" s="72"/>
    </row>
    <row r="1193" spans="1:3">
      <c r="A1193" s="71"/>
      <c r="B1193" s="72"/>
      <c r="C1193" s="72"/>
    </row>
    <row r="1194" spans="1:3">
      <c r="A1194" s="71"/>
      <c r="B1194" s="72"/>
      <c r="C1194" s="72"/>
    </row>
    <row r="1195" spans="1:3">
      <c r="A1195" s="71"/>
      <c r="B1195" s="72"/>
      <c r="C1195" s="72"/>
    </row>
    <row r="1196" spans="1:3">
      <c r="A1196" s="71"/>
      <c r="B1196" s="72"/>
      <c r="C1196" s="72"/>
    </row>
    <row r="1197" spans="1:3">
      <c r="A1197" s="71"/>
      <c r="B1197" s="72"/>
      <c r="C1197" s="72"/>
    </row>
    <row r="1198" spans="1:3">
      <c r="A1198" s="71"/>
      <c r="B1198" s="72"/>
      <c r="C1198" s="72"/>
    </row>
    <row r="1199" spans="1:3">
      <c r="A1199" s="71"/>
      <c r="B1199" s="72"/>
      <c r="C1199" s="72"/>
    </row>
    <row r="1200" spans="1:3">
      <c r="A1200" s="71"/>
      <c r="B1200" s="72"/>
      <c r="C1200" s="72"/>
    </row>
    <row r="1201" spans="1:3">
      <c r="A1201" s="71"/>
      <c r="B1201" s="72"/>
      <c r="C1201" s="72"/>
    </row>
    <row r="1202" spans="1:3">
      <c r="A1202" s="71"/>
      <c r="B1202" s="72"/>
      <c r="C1202" s="72"/>
    </row>
    <row r="1203" spans="1:3">
      <c r="A1203" s="71"/>
      <c r="B1203" s="72"/>
      <c r="C1203" s="72"/>
    </row>
    <row r="1204" spans="1:3">
      <c r="A1204" s="71"/>
      <c r="B1204" s="72"/>
      <c r="C1204" s="72"/>
    </row>
    <row r="1205" spans="1:3">
      <c r="A1205" s="71"/>
      <c r="B1205" s="72"/>
      <c r="C1205" s="72"/>
    </row>
    <row r="1206" spans="1:3">
      <c r="A1206" s="71"/>
      <c r="B1206" s="72"/>
      <c r="C1206" s="72"/>
    </row>
    <row r="1207" spans="1:3">
      <c r="A1207" s="71"/>
      <c r="B1207" s="72"/>
      <c r="C1207" s="72"/>
    </row>
    <row r="1208" spans="1:3">
      <c r="A1208" s="71"/>
      <c r="B1208" s="72"/>
      <c r="C1208" s="72"/>
    </row>
    <row r="1209" spans="1:3">
      <c r="A1209" s="71"/>
      <c r="B1209" s="72"/>
      <c r="C1209" s="72"/>
    </row>
    <row r="1210" spans="1:3">
      <c r="A1210" s="71"/>
      <c r="B1210" s="72"/>
      <c r="C1210" s="72"/>
    </row>
    <row r="1211" spans="1:3">
      <c r="A1211" s="71"/>
      <c r="B1211" s="72"/>
      <c r="C1211" s="72"/>
    </row>
    <row r="1212" spans="1:3">
      <c r="A1212" s="71"/>
      <c r="B1212" s="72"/>
      <c r="C1212" s="72"/>
    </row>
    <row r="1213" spans="1:3">
      <c r="A1213" s="71"/>
      <c r="B1213" s="72"/>
      <c r="C1213" s="72"/>
    </row>
    <row r="1214" spans="1:3">
      <c r="A1214" s="71"/>
      <c r="B1214" s="72"/>
      <c r="C1214" s="72"/>
    </row>
    <row r="1215" spans="1:3">
      <c r="A1215" s="71"/>
      <c r="B1215" s="72"/>
      <c r="C1215" s="72"/>
    </row>
    <row r="1216" spans="1:3">
      <c r="A1216" s="71"/>
      <c r="B1216" s="72"/>
      <c r="C1216" s="72"/>
    </row>
    <row r="1217" spans="1:3">
      <c r="A1217" s="71"/>
      <c r="B1217" s="72"/>
      <c r="C1217" s="72"/>
    </row>
    <row r="1218" spans="1:3">
      <c r="A1218" s="71"/>
      <c r="B1218" s="72"/>
      <c r="C1218" s="72"/>
    </row>
    <row r="1219" spans="1:3">
      <c r="A1219" s="71"/>
      <c r="B1219" s="72"/>
      <c r="C1219" s="72"/>
    </row>
    <row r="1220" spans="1:3">
      <c r="A1220" s="71"/>
      <c r="B1220" s="72"/>
      <c r="C1220" s="72"/>
    </row>
    <row r="1221" spans="1:3">
      <c r="A1221" s="71"/>
      <c r="B1221" s="72"/>
      <c r="C1221" s="72"/>
    </row>
    <row r="1222" spans="1:3">
      <c r="A1222" s="71"/>
      <c r="B1222" s="72"/>
      <c r="C1222" s="72"/>
    </row>
    <row r="1223" spans="1:3">
      <c r="A1223" s="71"/>
      <c r="B1223" s="72"/>
      <c r="C1223" s="72"/>
    </row>
    <row r="1224" spans="1:3">
      <c r="A1224" s="71"/>
      <c r="B1224" s="72"/>
      <c r="C1224" s="72"/>
    </row>
    <row r="1225" spans="1:3">
      <c r="A1225" s="71"/>
      <c r="B1225" s="72"/>
      <c r="C1225" s="72"/>
    </row>
    <row r="1226" spans="1:3">
      <c r="A1226" s="71"/>
      <c r="B1226" s="72"/>
      <c r="C1226" s="72"/>
    </row>
    <row r="1227" spans="1:3">
      <c r="A1227" s="71"/>
      <c r="B1227" s="72"/>
      <c r="C1227" s="72"/>
    </row>
    <row r="1228" spans="1:3">
      <c r="A1228" s="71"/>
      <c r="B1228" s="72"/>
      <c r="C1228" s="72"/>
    </row>
    <row r="1229" spans="1:3">
      <c r="A1229" s="71"/>
      <c r="B1229" s="72"/>
      <c r="C1229" s="72"/>
    </row>
    <row r="1230" spans="1:3">
      <c r="A1230" s="71"/>
      <c r="B1230" s="72"/>
      <c r="C1230" s="72"/>
    </row>
    <row r="1231" spans="1:3">
      <c r="A1231" s="71"/>
      <c r="B1231" s="72"/>
      <c r="C1231" s="72"/>
    </row>
    <row r="1232" spans="1:3">
      <c r="A1232" s="71"/>
      <c r="B1232" s="72"/>
      <c r="C1232" s="72"/>
    </row>
    <row r="1233" spans="1:3">
      <c r="A1233" s="71"/>
      <c r="B1233" s="72"/>
      <c r="C1233" s="72"/>
    </row>
    <row r="1234" spans="1:3">
      <c r="A1234" s="71"/>
      <c r="B1234" s="72"/>
      <c r="C1234" s="72"/>
    </row>
    <row r="1235" spans="1:3">
      <c r="A1235" s="71"/>
      <c r="B1235" s="72"/>
      <c r="C1235" s="72"/>
    </row>
    <row r="1236" spans="1:3">
      <c r="A1236" s="71"/>
      <c r="B1236" s="72"/>
      <c r="C1236" s="72"/>
    </row>
    <row r="1237" spans="1:3">
      <c r="A1237" s="71"/>
      <c r="B1237" s="72"/>
      <c r="C1237" s="72"/>
    </row>
    <row r="1238" spans="1:3">
      <c r="A1238" s="71"/>
      <c r="B1238" s="72"/>
      <c r="C1238" s="72"/>
    </row>
    <row r="1239" spans="1:3">
      <c r="A1239" s="71"/>
      <c r="B1239" s="72"/>
      <c r="C1239" s="72"/>
    </row>
    <row r="1240" spans="1:3">
      <c r="A1240" s="71"/>
      <c r="B1240" s="72"/>
      <c r="C1240" s="72"/>
    </row>
    <row r="1241" spans="1:3">
      <c r="A1241" s="71"/>
      <c r="B1241" s="72"/>
      <c r="C1241" s="72"/>
    </row>
    <row r="1242" spans="1:3">
      <c r="A1242" s="71"/>
      <c r="B1242" s="72"/>
      <c r="C1242" s="72"/>
    </row>
    <row r="1243" spans="1:3">
      <c r="A1243" s="71"/>
      <c r="B1243" s="72"/>
      <c r="C1243" s="72"/>
    </row>
    <row r="1244" spans="1:3">
      <c r="A1244" s="71"/>
      <c r="B1244" s="72"/>
      <c r="C1244" s="72"/>
    </row>
    <row r="1245" spans="1:3">
      <c r="A1245" s="71"/>
      <c r="B1245" s="72"/>
      <c r="C1245" s="72"/>
    </row>
    <row r="1246" spans="1:3">
      <c r="A1246" s="71"/>
      <c r="B1246" s="72"/>
      <c r="C1246" s="72"/>
    </row>
    <row r="1247" spans="1:3">
      <c r="A1247" s="71"/>
      <c r="B1247" s="72"/>
      <c r="C1247" s="72"/>
    </row>
    <row r="1248" spans="1:3">
      <c r="A1248" s="71"/>
      <c r="B1248" s="72"/>
      <c r="C1248" s="72"/>
    </row>
    <row r="1249" spans="1:3">
      <c r="A1249" s="71"/>
      <c r="B1249" s="72"/>
      <c r="C1249" s="72"/>
    </row>
    <row r="1250" spans="1:3">
      <c r="A1250" s="71"/>
      <c r="B1250" s="72"/>
      <c r="C1250" s="72"/>
    </row>
    <row r="1251" spans="1:3">
      <c r="A1251" s="71"/>
      <c r="B1251" s="72"/>
      <c r="C1251" s="72"/>
    </row>
    <row r="1252" spans="1:3">
      <c r="A1252" s="71"/>
      <c r="B1252" s="72"/>
      <c r="C1252" s="72"/>
    </row>
    <row r="1253" spans="1:3">
      <c r="A1253" s="71"/>
      <c r="B1253" s="72"/>
      <c r="C1253" s="72"/>
    </row>
    <row r="1254" spans="1:3">
      <c r="A1254" s="71"/>
      <c r="B1254" s="72"/>
      <c r="C1254" s="72"/>
    </row>
    <row r="1255" spans="1:3">
      <c r="A1255" s="71"/>
      <c r="B1255" s="72"/>
      <c r="C1255" s="72"/>
    </row>
    <row r="1256" spans="1:3">
      <c r="A1256" s="71"/>
      <c r="B1256" s="72"/>
      <c r="C1256" s="72"/>
    </row>
    <row r="1257" spans="1:3">
      <c r="A1257" s="71"/>
      <c r="B1257" s="72"/>
      <c r="C1257" s="72"/>
    </row>
    <row r="1258" spans="1:3">
      <c r="A1258" s="71"/>
      <c r="B1258" s="72"/>
      <c r="C1258" s="72"/>
    </row>
    <row r="1259" spans="1:3">
      <c r="A1259" s="71"/>
      <c r="B1259" s="72"/>
      <c r="C1259" s="72"/>
    </row>
    <row r="1260" spans="1:3">
      <c r="A1260" s="71"/>
      <c r="B1260" s="72"/>
      <c r="C1260" s="72"/>
    </row>
    <row r="1261" spans="1:3">
      <c r="A1261" s="71"/>
      <c r="B1261" s="72"/>
      <c r="C1261" s="72"/>
    </row>
    <row r="1262" spans="1:3">
      <c r="A1262" s="71"/>
      <c r="B1262" s="72"/>
      <c r="C1262" s="72"/>
    </row>
    <row r="1263" spans="1:3">
      <c r="A1263" s="71"/>
      <c r="B1263" s="72"/>
      <c r="C1263" s="72"/>
    </row>
    <row r="1264" spans="1:3">
      <c r="A1264" s="71"/>
      <c r="B1264" s="72"/>
      <c r="C1264" s="72"/>
    </row>
    <row r="1265" spans="1:3">
      <c r="A1265" s="71"/>
      <c r="B1265" s="72"/>
      <c r="C1265" s="72"/>
    </row>
    <row r="1266" spans="1:3">
      <c r="A1266" s="71"/>
      <c r="B1266" s="72"/>
      <c r="C1266" s="72"/>
    </row>
    <row r="1267" spans="1:3">
      <c r="A1267" s="71"/>
      <c r="B1267" s="72"/>
      <c r="C1267" s="72"/>
    </row>
    <row r="1268" spans="1:3">
      <c r="A1268" s="71"/>
      <c r="B1268" s="72"/>
      <c r="C1268" s="72"/>
    </row>
    <row r="1269" spans="1:3">
      <c r="A1269" s="71"/>
      <c r="B1269" s="72"/>
      <c r="C1269" s="72"/>
    </row>
    <row r="1270" spans="1:3">
      <c r="A1270" s="71"/>
      <c r="B1270" s="72"/>
      <c r="C1270" s="72"/>
    </row>
    <row r="1271" spans="1:3">
      <c r="A1271" s="71"/>
      <c r="B1271" s="72"/>
      <c r="C1271" s="72"/>
    </row>
    <row r="1272" spans="1:3">
      <c r="A1272" s="71"/>
      <c r="B1272" s="72"/>
      <c r="C1272" s="72"/>
    </row>
    <row r="1273" spans="1:3">
      <c r="A1273" s="71"/>
      <c r="B1273" s="72"/>
      <c r="C1273" s="72"/>
    </row>
    <row r="1274" spans="1:3">
      <c r="A1274" s="71"/>
      <c r="B1274" s="72"/>
      <c r="C1274" s="72"/>
    </row>
    <row r="1275" spans="1:3">
      <c r="A1275" s="71"/>
      <c r="B1275" s="72"/>
      <c r="C1275" s="72"/>
    </row>
    <row r="1276" spans="1:3">
      <c r="A1276" s="71"/>
      <c r="B1276" s="72"/>
      <c r="C1276" s="72"/>
    </row>
    <row r="1277" spans="1:3">
      <c r="A1277" s="71"/>
      <c r="B1277" s="72"/>
      <c r="C1277" s="72"/>
    </row>
    <row r="1278" spans="1:3">
      <c r="A1278" s="71"/>
      <c r="B1278" s="72"/>
      <c r="C1278" s="72"/>
    </row>
    <row r="1279" spans="1:3">
      <c r="A1279" s="71"/>
      <c r="B1279" s="72"/>
      <c r="C1279" s="72"/>
    </row>
    <row r="1280" spans="1:3">
      <c r="A1280" s="71"/>
      <c r="B1280" s="72"/>
      <c r="C1280" s="72"/>
    </row>
    <row r="1281" spans="1:3">
      <c r="A1281" s="71"/>
      <c r="B1281" s="72"/>
      <c r="C1281" s="72"/>
    </row>
    <row r="1282" spans="1:3">
      <c r="A1282" s="71"/>
      <c r="B1282" s="72"/>
      <c r="C1282" s="72"/>
    </row>
    <row r="1283" spans="1:3">
      <c r="A1283" s="71"/>
      <c r="B1283" s="72"/>
      <c r="C1283" s="72"/>
    </row>
    <row r="1284" spans="1:3">
      <c r="A1284" s="71"/>
      <c r="B1284" s="72"/>
      <c r="C1284" s="72"/>
    </row>
    <row r="1285" spans="1:3">
      <c r="A1285" s="71"/>
      <c r="B1285" s="72"/>
      <c r="C1285" s="72"/>
    </row>
    <row r="1286" spans="1:3">
      <c r="A1286" s="71"/>
      <c r="B1286" s="72"/>
      <c r="C1286" s="72"/>
    </row>
    <row r="1287" spans="1:3">
      <c r="A1287" s="71"/>
      <c r="B1287" s="72"/>
      <c r="C1287" s="72"/>
    </row>
    <row r="1288" spans="1:3">
      <c r="A1288" s="71"/>
      <c r="B1288" s="72"/>
      <c r="C1288" s="72"/>
    </row>
    <row r="1289" spans="1:3">
      <c r="A1289" s="71"/>
      <c r="B1289" s="72"/>
      <c r="C1289" s="72"/>
    </row>
    <row r="1290" spans="1:3">
      <c r="A1290" s="71"/>
      <c r="B1290" s="72"/>
      <c r="C1290" s="72"/>
    </row>
    <row r="1291" spans="1:3">
      <c r="A1291" s="71"/>
      <c r="B1291" s="72"/>
      <c r="C1291" s="72"/>
    </row>
    <row r="1292" spans="1:3">
      <c r="A1292" s="71"/>
      <c r="B1292" s="72"/>
      <c r="C1292" s="72"/>
    </row>
    <row r="1293" spans="1:3">
      <c r="A1293" s="71"/>
      <c r="B1293" s="72"/>
      <c r="C1293" s="72"/>
    </row>
    <row r="1294" spans="1:3">
      <c r="A1294" s="71"/>
      <c r="B1294" s="72"/>
      <c r="C1294" s="72"/>
    </row>
    <row r="1295" spans="1:3">
      <c r="A1295" s="71"/>
      <c r="B1295" s="72"/>
      <c r="C1295" s="72"/>
    </row>
    <row r="1296" spans="1:3">
      <c r="A1296" s="71"/>
      <c r="B1296" s="72"/>
      <c r="C1296" s="72"/>
    </row>
    <row r="1297" spans="1:3">
      <c r="A1297" s="71"/>
      <c r="B1297" s="72"/>
      <c r="C1297" s="72"/>
    </row>
    <row r="1298" spans="1:3">
      <c r="A1298" s="71"/>
      <c r="B1298" s="72"/>
      <c r="C1298" s="72"/>
    </row>
    <row r="1299" spans="1:3">
      <c r="A1299" s="71"/>
      <c r="B1299" s="72"/>
      <c r="C1299" s="72"/>
    </row>
    <row r="1300" spans="1:3">
      <c r="A1300" s="71"/>
      <c r="B1300" s="72"/>
      <c r="C1300" s="72"/>
    </row>
    <row r="1301" spans="1:3">
      <c r="A1301" s="71"/>
      <c r="B1301" s="72"/>
      <c r="C1301" s="72"/>
    </row>
    <row r="1302" spans="1:3">
      <c r="A1302" s="71"/>
      <c r="B1302" s="72"/>
      <c r="C1302" s="72"/>
    </row>
    <row r="1303" spans="1:3">
      <c r="A1303" s="71"/>
      <c r="B1303" s="72"/>
      <c r="C1303" s="72"/>
    </row>
    <row r="1304" spans="1:3">
      <c r="A1304" s="71"/>
      <c r="B1304" s="72"/>
      <c r="C1304" s="72"/>
    </row>
    <row r="1305" spans="1:3">
      <c r="A1305" s="71"/>
      <c r="B1305" s="72"/>
      <c r="C1305" s="72"/>
    </row>
    <row r="1306" spans="1:3">
      <c r="A1306" s="71"/>
      <c r="B1306" s="72"/>
      <c r="C1306" s="72"/>
    </row>
    <row r="1307" spans="1:3">
      <c r="A1307" s="71"/>
      <c r="B1307" s="72"/>
      <c r="C1307" s="72"/>
    </row>
    <row r="1308" spans="1:3">
      <c r="A1308" s="71"/>
      <c r="B1308" s="72"/>
      <c r="C1308" s="72"/>
    </row>
    <row r="1309" spans="1:3">
      <c r="A1309" s="71"/>
      <c r="B1309" s="72"/>
      <c r="C1309" s="72"/>
    </row>
    <row r="1310" spans="1:3">
      <c r="A1310" s="71"/>
      <c r="B1310" s="72"/>
      <c r="C1310" s="72"/>
    </row>
    <row r="1311" spans="1:3">
      <c r="A1311" s="71"/>
      <c r="B1311" s="72"/>
      <c r="C1311" s="72"/>
    </row>
    <row r="1312" spans="1:3">
      <c r="A1312" s="71"/>
      <c r="B1312" s="72"/>
      <c r="C1312" s="72"/>
    </row>
    <row r="1313" spans="1:3">
      <c r="A1313" s="71"/>
      <c r="B1313" s="72"/>
      <c r="C1313" s="72"/>
    </row>
    <row r="1314" spans="1:3">
      <c r="A1314" s="71"/>
      <c r="B1314" s="72"/>
      <c r="C1314" s="72"/>
    </row>
    <row r="1315" spans="1:3">
      <c r="A1315" s="71"/>
      <c r="B1315" s="72"/>
      <c r="C1315" s="72"/>
    </row>
    <row r="1316" spans="1:3">
      <c r="A1316" s="71"/>
      <c r="B1316" s="72"/>
      <c r="C1316" s="72"/>
    </row>
    <row r="1317" spans="1:3">
      <c r="A1317" s="71"/>
      <c r="B1317" s="72"/>
      <c r="C1317" s="72"/>
    </row>
    <row r="1318" spans="1:3">
      <c r="A1318" s="71"/>
      <c r="B1318" s="72"/>
      <c r="C1318" s="72"/>
    </row>
    <row r="1319" spans="1:3">
      <c r="A1319" s="71"/>
      <c r="B1319" s="72"/>
      <c r="C1319" s="72"/>
    </row>
    <row r="1320" spans="1:3">
      <c r="A1320" s="71"/>
      <c r="B1320" s="72"/>
      <c r="C1320" s="72"/>
    </row>
    <row r="1321" spans="1:3">
      <c r="A1321" s="71"/>
      <c r="B1321" s="72"/>
      <c r="C1321" s="72"/>
    </row>
    <row r="1322" spans="1:3">
      <c r="A1322" s="71"/>
      <c r="B1322" s="72"/>
      <c r="C1322" s="72"/>
    </row>
    <row r="1323" spans="1:3">
      <c r="A1323" s="71"/>
      <c r="B1323" s="72"/>
      <c r="C1323" s="72"/>
    </row>
    <row r="1324" spans="1:3">
      <c r="A1324" s="71"/>
      <c r="B1324" s="72"/>
      <c r="C1324" s="72"/>
    </row>
    <row r="1325" spans="1:3">
      <c r="A1325" s="71"/>
      <c r="B1325" s="72"/>
      <c r="C1325" s="72"/>
    </row>
    <row r="1326" spans="1:3">
      <c r="A1326" s="71"/>
      <c r="B1326" s="72"/>
      <c r="C1326" s="72"/>
    </row>
    <row r="1327" spans="1:3">
      <c r="A1327" s="71"/>
      <c r="B1327" s="72"/>
      <c r="C1327" s="72"/>
    </row>
    <row r="1328" spans="1:3">
      <c r="A1328" s="71"/>
      <c r="B1328" s="72"/>
      <c r="C1328" s="72"/>
    </row>
    <row r="1329" spans="1:3">
      <c r="A1329" s="71"/>
      <c r="B1329" s="72"/>
      <c r="C1329" s="72"/>
    </row>
    <row r="1330" spans="1:3">
      <c r="A1330" s="71"/>
      <c r="B1330" s="72"/>
      <c r="C1330" s="72"/>
    </row>
    <row r="1331" spans="1:3">
      <c r="A1331" s="71"/>
      <c r="B1331" s="72"/>
      <c r="C1331" s="72"/>
    </row>
    <row r="1332" spans="1:3">
      <c r="A1332" s="71"/>
      <c r="B1332" s="72"/>
      <c r="C1332" s="72"/>
    </row>
    <row r="1333" spans="1:3">
      <c r="A1333" s="71"/>
      <c r="B1333" s="72"/>
      <c r="C1333" s="72"/>
    </row>
    <row r="1334" spans="1:3">
      <c r="A1334" s="71"/>
      <c r="B1334" s="72"/>
      <c r="C1334" s="72"/>
    </row>
    <row r="1335" spans="1:3">
      <c r="A1335" s="71"/>
      <c r="B1335" s="72"/>
      <c r="C1335" s="72"/>
    </row>
    <row r="1336" spans="1:3">
      <c r="A1336" s="71"/>
      <c r="B1336" s="72"/>
      <c r="C1336" s="72"/>
    </row>
    <row r="1337" spans="1:3">
      <c r="A1337" s="71"/>
      <c r="B1337" s="72"/>
      <c r="C1337" s="72"/>
    </row>
    <row r="1338" spans="1:3">
      <c r="A1338" s="71"/>
      <c r="B1338" s="72"/>
      <c r="C1338" s="72"/>
    </row>
    <row r="1339" spans="1:3">
      <c r="A1339" s="71"/>
      <c r="B1339" s="72"/>
      <c r="C1339" s="72"/>
    </row>
    <row r="1340" spans="1:3">
      <c r="A1340" s="71"/>
      <c r="B1340" s="72"/>
      <c r="C1340" s="72"/>
    </row>
    <row r="1341" spans="1:3">
      <c r="A1341" s="71"/>
      <c r="B1341" s="72"/>
      <c r="C1341" s="72"/>
    </row>
    <row r="1342" spans="1:3">
      <c r="A1342" s="71"/>
      <c r="B1342" s="72"/>
      <c r="C1342" s="72"/>
    </row>
    <row r="1343" spans="1:3">
      <c r="A1343" s="71"/>
      <c r="B1343" s="72"/>
      <c r="C1343" s="72"/>
    </row>
    <row r="1344" spans="1:3">
      <c r="A1344" s="71"/>
      <c r="B1344" s="72"/>
      <c r="C1344" s="72"/>
    </row>
    <row r="1345" spans="1:3">
      <c r="A1345" s="71"/>
      <c r="B1345" s="72"/>
      <c r="C1345" s="72"/>
    </row>
    <row r="1346" spans="1:3">
      <c r="A1346" s="71"/>
      <c r="B1346" s="72"/>
      <c r="C1346" s="72"/>
    </row>
    <row r="1347" spans="1:3">
      <c r="A1347" s="71"/>
      <c r="B1347" s="72"/>
      <c r="C1347" s="72"/>
    </row>
    <row r="1348" spans="1:3">
      <c r="A1348" s="71"/>
      <c r="B1348" s="72"/>
      <c r="C1348" s="72"/>
    </row>
    <row r="1349" spans="1:3">
      <c r="A1349" s="71"/>
      <c r="B1349" s="72"/>
      <c r="C1349" s="72"/>
    </row>
    <row r="1350" spans="1:3">
      <c r="A1350" s="71"/>
      <c r="B1350" s="72"/>
      <c r="C1350" s="72"/>
    </row>
    <row r="1351" spans="1:3">
      <c r="A1351" s="71"/>
      <c r="B1351" s="72"/>
      <c r="C1351" s="72"/>
    </row>
    <row r="1352" spans="1:3">
      <c r="A1352" s="71"/>
      <c r="B1352" s="72"/>
      <c r="C1352" s="72"/>
    </row>
    <row r="1353" spans="1:3">
      <c r="A1353" s="71"/>
      <c r="B1353" s="72"/>
      <c r="C1353" s="72"/>
    </row>
    <row r="1354" spans="1:3">
      <c r="A1354" s="71"/>
      <c r="B1354" s="72"/>
      <c r="C1354" s="72"/>
    </row>
    <row r="1355" spans="1:3">
      <c r="A1355" s="71"/>
      <c r="B1355" s="72"/>
      <c r="C1355" s="72"/>
    </row>
    <row r="1356" spans="1:3">
      <c r="A1356" s="71"/>
      <c r="B1356" s="72"/>
      <c r="C1356" s="72"/>
    </row>
    <row r="1357" spans="1:3">
      <c r="A1357" s="71"/>
      <c r="B1357" s="72"/>
      <c r="C1357" s="72"/>
    </row>
    <row r="1358" spans="1:3">
      <c r="A1358" s="71"/>
      <c r="B1358" s="72"/>
      <c r="C1358" s="72"/>
    </row>
    <row r="1359" spans="1:3">
      <c r="A1359" s="71"/>
      <c r="B1359" s="72"/>
      <c r="C1359" s="72"/>
    </row>
    <row r="1360" spans="1:3">
      <c r="A1360" s="71"/>
      <c r="B1360" s="72"/>
      <c r="C1360" s="72"/>
    </row>
    <row r="1361" spans="1:3">
      <c r="A1361" s="71"/>
      <c r="B1361" s="72"/>
      <c r="C1361" s="72"/>
    </row>
    <row r="1362" spans="1:3">
      <c r="A1362" s="71"/>
      <c r="B1362" s="72"/>
      <c r="C1362" s="72"/>
    </row>
    <row r="1363" spans="1:3">
      <c r="A1363" s="71"/>
      <c r="B1363" s="72"/>
      <c r="C1363" s="72"/>
    </row>
    <row r="1364" spans="1:3">
      <c r="A1364" s="71"/>
      <c r="B1364" s="72"/>
      <c r="C1364" s="72"/>
    </row>
    <row r="1365" spans="1:3">
      <c r="A1365" s="71"/>
      <c r="B1365" s="72"/>
      <c r="C1365" s="72"/>
    </row>
    <row r="1366" spans="1:3">
      <c r="A1366" s="71"/>
      <c r="B1366" s="72"/>
      <c r="C1366" s="72"/>
    </row>
    <row r="1367" spans="1:3">
      <c r="A1367" s="71"/>
      <c r="B1367" s="72"/>
      <c r="C1367" s="72"/>
    </row>
    <row r="1368" spans="1:3">
      <c r="A1368" s="71"/>
      <c r="B1368" s="72"/>
      <c r="C1368" s="72"/>
    </row>
    <row r="1369" spans="1:3">
      <c r="A1369" s="71"/>
      <c r="B1369" s="72"/>
      <c r="C1369" s="72"/>
    </row>
    <row r="1370" spans="1:3">
      <c r="A1370" s="71"/>
      <c r="B1370" s="72"/>
      <c r="C1370" s="72"/>
    </row>
    <row r="1371" spans="1:3">
      <c r="A1371" s="71"/>
      <c r="B1371" s="72"/>
      <c r="C1371" s="72"/>
    </row>
    <row r="1372" spans="1:3">
      <c r="A1372" s="71"/>
      <c r="B1372" s="72"/>
      <c r="C1372" s="72"/>
    </row>
    <row r="1373" spans="1:3">
      <c r="A1373" s="71"/>
      <c r="B1373" s="72"/>
      <c r="C1373" s="72"/>
    </row>
    <row r="1374" spans="1:3">
      <c r="A1374" s="71"/>
      <c r="B1374" s="72"/>
      <c r="C1374" s="72"/>
    </row>
    <row r="1375" spans="1:3">
      <c r="A1375" s="71"/>
      <c r="B1375" s="72"/>
      <c r="C1375" s="72"/>
    </row>
    <row r="1376" spans="1:3">
      <c r="A1376" s="71"/>
      <c r="B1376" s="72"/>
      <c r="C1376" s="72"/>
    </row>
    <row r="1377" spans="1:3">
      <c r="A1377" s="71"/>
      <c r="B1377" s="72"/>
      <c r="C1377" s="72"/>
    </row>
    <row r="1378" spans="1:3">
      <c r="A1378" s="71"/>
      <c r="B1378" s="72"/>
      <c r="C1378" s="72"/>
    </row>
    <row r="1379" spans="1:3">
      <c r="A1379" s="71"/>
      <c r="B1379" s="72"/>
      <c r="C1379" s="72"/>
    </row>
    <row r="1380" spans="1:3">
      <c r="A1380" s="71"/>
      <c r="B1380" s="72"/>
      <c r="C1380" s="72"/>
    </row>
    <row r="1381" spans="1:3">
      <c r="A1381" s="71"/>
      <c r="B1381" s="72"/>
      <c r="C1381" s="72"/>
    </row>
    <row r="1382" spans="1:3">
      <c r="A1382" s="71"/>
      <c r="B1382" s="72"/>
      <c r="C1382" s="72"/>
    </row>
    <row r="1383" spans="1:3">
      <c r="A1383" s="71"/>
      <c r="B1383" s="72"/>
      <c r="C1383" s="72"/>
    </row>
    <row r="1384" spans="1:3">
      <c r="A1384" s="71"/>
      <c r="B1384" s="72"/>
      <c r="C1384" s="72"/>
    </row>
    <row r="1385" spans="1:3">
      <c r="A1385" s="71"/>
      <c r="B1385" s="72"/>
      <c r="C1385" s="72"/>
    </row>
    <row r="1386" spans="1:3">
      <c r="A1386" s="71"/>
      <c r="B1386" s="72"/>
      <c r="C1386" s="72"/>
    </row>
    <row r="1387" spans="1:3">
      <c r="A1387" s="71"/>
      <c r="B1387" s="72"/>
      <c r="C1387" s="72"/>
    </row>
    <row r="1388" spans="1:3">
      <c r="A1388" s="71"/>
      <c r="B1388" s="72"/>
      <c r="C1388" s="72"/>
    </row>
    <row r="1389" spans="1:3">
      <c r="A1389" s="71"/>
      <c r="B1389" s="72"/>
      <c r="C1389" s="72"/>
    </row>
    <row r="1390" spans="1:3">
      <c r="A1390" s="71"/>
      <c r="B1390" s="72"/>
      <c r="C1390" s="72"/>
    </row>
    <row r="1391" spans="1:3">
      <c r="A1391" s="71"/>
      <c r="B1391" s="72"/>
      <c r="C1391" s="72"/>
    </row>
    <row r="1392" spans="1:3">
      <c r="A1392" s="71"/>
      <c r="B1392" s="72"/>
      <c r="C1392" s="72"/>
    </row>
    <row r="1393" spans="1:3">
      <c r="A1393" s="71"/>
      <c r="B1393" s="72"/>
      <c r="C1393" s="72"/>
    </row>
    <row r="1394" spans="1:3">
      <c r="A1394" s="71"/>
      <c r="B1394" s="72"/>
      <c r="C1394" s="72"/>
    </row>
    <row r="1395" spans="1:3">
      <c r="A1395" s="71"/>
      <c r="B1395" s="72"/>
      <c r="C1395" s="72"/>
    </row>
    <row r="1396" spans="1:3">
      <c r="A1396" s="71"/>
      <c r="B1396" s="72"/>
      <c r="C1396" s="72"/>
    </row>
    <row r="1397" spans="1:3">
      <c r="A1397" s="71"/>
      <c r="B1397" s="72"/>
      <c r="C1397" s="72"/>
    </row>
    <row r="1398" spans="1:3">
      <c r="A1398" s="71"/>
      <c r="B1398" s="72"/>
      <c r="C1398" s="72"/>
    </row>
    <row r="1399" spans="1:3">
      <c r="A1399" s="71"/>
      <c r="B1399" s="72"/>
      <c r="C1399" s="72"/>
    </row>
    <row r="1400" spans="1:3">
      <c r="A1400" s="71"/>
      <c r="B1400" s="72"/>
      <c r="C1400" s="72"/>
    </row>
    <row r="1401" spans="1:3">
      <c r="A1401" s="71"/>
      <c r="B1401" s="72"/>
      <c r="C1401" s="72"/>
    </row>
    <row r="1402" spans="1:3">
      <c r="A1402" s="71"/>
      <c r="B1402" s="72"/>
      <c r="C1402" s="72"/>
    </row>
    <row r="1403" spans="1:3">
      <c r="A1403" s="71"/>
      <c r="B1403" s="72"/>
      <c r="C1403" s="72"/>
    </row>
    <row r="1404" spans="1:3">
      <c r="A1404" s="71"/>
      <c r="B1404" s="72"/>
      <c r="C1404" s="72"/>
    </row>
    <row r="1405" spans="1:3">
      <c r="A1405" s="71"/>
      <c r="B1405" s="72"/>
      <c r="C1405" s="72"/>
    </row>
    <row r="1406" spans="1:3">
      <c r="A1406" s="71"/>
      <c r="B1406" s="72"/>
      <c r="C1406" s="72"/>
    </row>
    <row r="1407" spans="1:3">
      <c r="A1407" s="71"/>
      <c r="B1407" s="72"/>
      <c r="C1407" s="72"/>
    </row>
    <row r="1408" spans="1:3">
      <c r="A1408" s="71"/>
      <c r="B1408" s="72"/>
      <c r="C1408" s="72"/>
    </row>
    <row r="1409" spans="1:3">
      <c r="A1409" s="71"/>
      <c r="B1409" s="72"/>
      <c r="C1409" s="72"/>
    </row>
    <row r="1410" spans="1:3">
      <c r="A1410" s="71"/>
      <c r="B1410" s="72"/>
      <c r="C1410" s="72"/>
    </row>
    <row r="1411" spans="1:3">
      <c r="A1411" s="71"/>
      <c r="B1411" s="72"/>
      <c r="C1411" s="72"/>
    </row>
    <row r="1412" spans="1:3">
      <c r="A1412" s="71"/>
      <c r="B1412" s="72"/>
      <c r="C1412" s="72"/>
    </row>
    <row r="1413" spans="1:3">
      <c r="A1413" s="71"/>
      <c r="B1413" s="72"/>
      <c r="C1413" s="72"/>
    </row>
    <row r="1414" spans="1:3">
      <c r="A1414" s="71"/>
      <c r="B1414" s="72"/>
      <c r="C1414" s="72"/>
    </row>
    <row r="1415" spans="1:3">
      <c r="A1415" s="71"/>
      <c r="B1415" s="72"/>
      <c r="C1415" s="72"/>
    </row>
    <row r="1416" spans="1:3">
      <c r="A1416" s="71"/>
      <c r="B1416" s="72"/>
      <c r="C1416" s="72"/>
    </row>
    <row r="1417" spans="1:3">
      <c r="A1417" s="71"/>
      <c r="B1417" s="72"/>
      <c r="C1417" s="72"/>
    </row>
    <row r="1418" spans="1:3">
      <c r="A1418" s="71"/>
      <c r="B1418" s="72"/>
      <c r="C1418" s="72"/>
    </row>
    <row r="1419" spans="1:3">
      <c r="A1419" s="71"/>
      <c r="B1419" s="72"/>
      <c r="C1419" s="72"/>
    </row>
    <row r="1420" spans="1:3">
      <c r="A1420" s="71"/>
      <c r="B1420" s="72"/>
      <c r="C1420" s="72"/>
    </row>
    <row r="1421" spans="1:3">
      <c r="A1421" s="71"/>
      <c r="B1421" s="72"/>
      <c r="C1421" s="72"/>
    </row>
    <row r="1422" spans="1:3">
      <c r="A1422" s="71"/>
      <c r="B1422" s="72"/>
      <c r="C1422" s="72"/>
    </row>
    <row r="1423" spans="1:3">
      <c r="A1423" s="71"/>
      <c r="B1423" s="72"/>
      <c r="C1423" s="72"/>
    </row>
    <row r="1424" spans="1:3">
      <c r="A1424" s="71"/>
      <c r="B1424" s="72"/>
      <c r="C1424" s="72"/>
    </row>
    <row r="1425" spans="1:3">
      <c r="A1425" s="71"/>
      <c r="B1425" s="72"/>
      <c r="C1425" s="72"/>
    </row>
    <row r="1426" spans="1:3">
      <c r="A1426" s="71"/>
      <c r="B1426" s="72"/>
      <c r="C1426" s="72"/>
    </row>
    <row r="1427" spans="1:3">
      <c r="A1427" s="71"/>
      <c r="B1427" s="72"/>
      <c r="C1427" s="72"/>
    </row>
    <row r="1428" spans="1:3">
      <c r="A1428" s="71"/>
      <c r="B1428" s="72"/>
      <c r="C1428" s="72"/>
    </row>
    <row r="1429" spans="1:3">
      <c r="A1429" s="71"/>
      <c r="B1429" s="72"/>
      <c r="C1429" s="72"/>
    </row>
    <row r="1430" spans="1:3">
      <c r="A1430" s="71"/>
      <c r="B1430" s="72"/>
      <c r="C1430" s="72"/>
    </row>
    <row r="1431" spans="1:3">
      <c r="A1431" s="71"/>
      <c r="B1431" s="72"/>
      <c r="C1431" s="72"/>
    </row>
    <row r="1432" spans="1:3">
      <c r="A1432" s="71"/>
      <c r="B1432" s="72"/>
      <c r="C1432" s="72"/>
    </row>
    <row r="1433" spans="1:3">
      <c r="A1433" s="71"/>
      <c r="B1433" s="72"/>
      <c r="C1433" s="72"/>
    </row>
    <row r="1434" spans="1:3">
      <c r="A1434" s="71"/>
      <c r="B1434" s="72"/>
      <c r="C1434" s="72"/>
    </row>
    <row r="1435" spans="1:3">
      <c r="A1435" s="71"/>
      <c r="B1435" s="72"/>
      <c r="C1435" s="72"/>
    </row>
    <row r="1436" spans="1:3">
      <c r="A1436" s="71"/>
      <c r="B1436" s="72"/>
      <c r="C1436" s="72"/>
    </row>
    <row r="1437" spans="1:3">
      <c r="A1437" s="71"/>
      <c r="B1437" s="72"/>
      <c r="C1437" s="72"/>
    </row>
    <row r="1438" spans="1:3">
      <c r="A1438" s="71"/>
      <c r="B1438" s="72"/>
      <c r="C1438" s="72"/>
    </row>
    <row r="1439" spans="1:3">
      <c r="A1439" s="71"/>
      <c r="B1439" s="72"/>
      <c r="C1439" s="72"/>
    </row>
    <row r="1440" spans="1:3">
      <c r="A1440" s="71"/>
      <c r="B1440" s="72"/>
      <c r="C1440" s="72"/>
    </row>
    <row r="1441" spans="1:3">
      <c r="A1441" s="71"/>
      <c r="B1441" s="72"/>
      <c r="C1441" s="72"/>
    </row>
    <row r="1442" spans="1:3">
      <c r="A1442" s="71"/>
      <c r="B1442" s="72"/>
      <c r="C1442" s="72"/>
    </row>
    <row r="1443" spans="1:3">
      <c r="A1443" s="71"/>
      <c r="B1443" s="72"/>
      <c r="C1443" s="72"/>
    </row>
    <row r="1444" spans="1:3">
      <c r="A1444" s="71"/>
      <c r="B1444" s="72"/>
      <c r="C1444" s="72"/>
    </row>
    <row r="1445" spans="1:3">
      <c r="A1445" s="71"/>
      <c r="B1445" s="72"/>
      <c r="C1445" s="72"/>
    </row>
    <row r="1446" spans="1:3">
      <c r="A1446" s="71"/>
      <c r="B1446" s="72"/>
      <c r="C1446" s="72"/>
    </row>
    <row r="1447" spans="1:3">
      <c r="A1447" s="71"/>
      <c r="B1447" s="72"/>
      <c r="C1447" s="72"/>
    </row>
    <row r="1448" spans="1:3">
      <c r="A1448" s="71"/>
      <c r="B1448" s="72"/>
      <c r="C1448" s="72"/>
    </row>
    <row r="1449" spans="1:3">
      <c r="A1449" s="71"/>
      <c r="B1449" s="72"/>
      <c r="C1449" s="72"/>
    </row>
    <row r="1450" spans="1:3">
      <c r="A1450" s="71"/>
      <c r="B1450" s="72"/>
      <c r="C1450" s="72"/>
    </row>
    <row r="1451" spans="1:3">
      <c r="A1451" s="71"/>
      <c r="B1451" s="72"/>
      <c r="C1451" s="72"/>
    </row>
    <row r="1452" spans="1:3">
      <c r="A1452" s="71"/>
      <c r="B1452" s="72"/>
      <c r="C1452" s="72"/>
    </row>
    <row r="1453" spans="1:3">
      <c r="A1453" s="71"/>
      <c r="B1453" s="72"/>
      <c r="C1453" s="72"/>
    </row>
    <row r="1454" spans="1:3">
      <c r="A1454" s="71"/>
      <c r="B1454" s="72"/>
      <c r="C1454" s="72"/>
    </row>
    <row r="1455" spans="1:3">
      <c r="A1455" s="71"/>
      <c r="B1455" s="72"/>
      <c r="C1455" s="72"/>
    </row>
    <row r="1456" spans="1:3">
      <c r="A1456" s="71"/>
      <c r="B1456" s="72"/>
      <c r="C1456" s="72"/>
    </row>
    <row r="1457" spans="1:3">
      <c r="A1457" s="71"/>
      <c r="B1457" s="72"/>
      <c r="C1457" s="72"/>
    </row>
    <row r="1458" spans="1:3">
      <c r="A1458" s="71"/>
      <c r="B1458" s="72"/>
      <c r="C1458" s="72"/>
    </row>
    <row r="1459" spans="1:3">
      <c r="A1459" s="71"/>
      <c r="B1459" s="72"/>
      <c r="C1459" s="72"/>
    </row>
    <row r="1460" spans="1:3">
      <c r="A1460" s="71"/>
      <c r="B1460" s="72"/>
      <c r="C1460" s="72"/>
    </row>
    <row r="1461" spans="1:3">
      <c r="A1461" s="71"/>
      <c r="B1461" s="72"/>
      <c r="C1461" s="72"/>
    </row>
    <row r="1462" spans="1:3">
      <c r="A1462" s="71"/>
      <c r="B1462" s="72"/>
      <c r="C1462" s="72"/>
    </row>
    <row r="1463" spans="1:3">
      <c r="A1463" s="71"/>
      <c r="B1463" s="72"/>
      <c r="C1463" s="72"/>
    </row>
    <row r="1464" spans="1:3">
      <c r="A1464" s="71"/>
      <c r="B1464" s="72"/>
      <c r="C1464" s="72"/>
    </row>
    <row r="1465" spans="1:3">
      <c r="A1465" s="71"/>
      <c r="B1465" s="72"/>
      <c r="C1465" s="72"/>
    </row>
    <row r="1466" spans="1:3">
      <c r="A1466" s="71"/>
      <c r="B1466" s="72"/>
      <c r="C1466" s="72"/>
    </row>
    <row r="1467" spans="1:3">
      <c r="A1467" s="71"/>
      <c r="B1467" s="72"/>
      <c r="C1467" s="72"/>
    </row>
    <row r="1468" spans="1:3">
      <c r="A1468" s="71"/>
      <c r="B1468" s="72"/>
      <c r="C1468" s="72"/>
    </row>
    <row r="1469" spans="1:3">
      <c r="A1469" s="71"/>
      <c r="B1469" s="72"/>
      <c r="C1469" s="72"/>
    </row>
    <row r="1470" spans="1:3">
      <c r="A1470" s="71"/>
      <c r="B1470" s="72"/>
      <c r="C1470" s="72"/>
    </row>
    <row r="1471" spans="1:3">
      <c r="A1471" s="71"/>
      <c r="B1471" s="72"/>
      <c r="C1471" s="72"/>
    </row>
    <row r="1472" spans="1:3">
      <c r="A1472" s="71"/>
      <c r="B1472" s="72"/>
      <c r="C1472" s="72"/>
    </row>
    <row r="1473" spans="1:3">
      <c r="A1473" s="71"/>
      <c r="B1473" s="72"/>
      <c r="C1473" s="72"/>
    </row>
    <row r="1474" spans="1:3">
      <c r="A1474" s="71"/>
      <c r="B1474" s="72"/>
      <c r="C1474" s="72"/>
    </row>
    <row r="1475" spans="1:3">
      <c r="A1475" s="71"/>
      <c r="B1475" s="72"/>
      <c r="C1475" s="72"/>
    </row>
    <row r="1476" spans="1:3">
      <c r="A1476" s="71"/>
      <c r="B1476" s="72"/>
      <c r="C1476" s="72"/>
    </row>
    <row r="1477" spans="1:3">
      <c r="A1477" s="71"/>
      <c r="B1477" s="72"/>
      <c r="C1477" s="72"/>
    </row>
    <row r="1478" spans="1:3">
      <c r="A1478" s="71"/>
      <c r="B1478" s="72"/>
      <c r="C1478" s="72"/>
    </row>
    <row r="1479" spans="1:3">
      <c r="A1479" s="71"/>
      <c r="B1479" s="72"/>
      <c r="C1479" s="72"/>
    </row>
    <row r="1480" spans="1:3">
      <c r="A1480" s="71"/>
      <c r="B1480" s="72"/>
      <c r="C1480" s="72"/>
    </row>
    <row r="1481" spans="1:3">
      <c r="A1481" s="71"/>
      <c r="B1481" s="72"/>
      <c r="C1481" s="72"/>
    </row>
    <row r="1482" spans="1:3">
      <c r="A1482" s="71"/>
      <c r="B1482" s="72"/>
      <c r="C1482" s="72"/>
    </row>
    <row r="1483" spans="1:3">
      <c r="A1483" s="71"/>
      <c r="B1483" s="72"/>
      <c r="C1483" s="72"/>
    </row>
    <row r="1484" spans="1:3">
      <c r="A1484" s="71"/>
      <c r="B1484" s="72"/>
      <c r="C1484" s="72"/>
    </row>
    <row r="1485" spans="1:3">
      <c r="A1485" s="71"/>
      <c r="B1485" s="72"/>
      <c r="C1485" s="72"/>
    </row>
    <row r="1486" spans="1:3">
      <c r="A1486" s="71"/>
      <c r="B1486" s="72"/>
      <c r="C1486" s="72"/>
    </row>
    <row r="1487" spans="1:3">
      <c r="A1487" s="71"/>
      <c r="B1487" s="72"/>
      <c r="C1487" s="72"/>
    </row>
    <row r="1488" spans="1:3">
      <c r="A1488" s="71"/>
      <c r="B1488" s="72"/>
      <c r="C1488" s="72"/>
    </row>
    <row r="1489" spans="1:3">
      <c r="A1489" s="71"/>
      <c r="B1489" s="72"/>
      <c r="C1489" s="72"/>
    </row>
    <row r="1490" spans="1:3">
      <c r="A1490" s="71"/>
      <c r="B1490" s="72"/>
      <c r="C1490" s="72"/>
    </row>
    <row r="1491" spans="1:3">
      <c r="A1491" s="71"/>
      <c r="B1491" s="72"/>
      <c r="C1491" s="72"/>
    </row>
    <row r="1492" spans="1:3">
      <c r="A1492" s="71"/>
      <c r="B1492" s="72"/>
      <c r="C1492" s="72"/>
    </row>
    <row r="1493" spans="1:3">
      <c r="A1493" s="71"/>
      <c r="B1493" s="72"/>
      <c r="C1493" s="72"/>
    </row>
    <row r="1494" spans="1:3">
      <c r="A1494" s="71"/>
      <c r="B1494" s="72"/>
      <c r="C1494" s="72"/>
    </row>
    <row r="1495" spans="1:3">
      <c r="A1495" s="71"/>
      <c r="B1495" s="72"/>
      <c r="C1495" s="72"/>
    </row>
    <row r="1496" spans="1:3">
      <c r="A1496" s="71"/>
      <c r="B1496" s="72"/>
      <c r="C1496" s="72"/>
    </row>
    <row r="1497" spans="1:3">
      <c r="A1497" s="71"/>
      <c r="B1497" s="72"/>
      <c r="C1497" s="72"/>
    </row>
    <row r="1498" spans="1:3">
      <c r="A1498" s="71"/>
      <c r="B1498" s="72"/>
      <c r="C1498" s="72"/>
    </row>
    <row r="1499" spans="1:3">
      <c r="A1499" s="71"/>
      <c r="B1499" s="72"/>
      <c r="C1499" s="72"/>
    </row>
    <row r="1500" spans="1:3">
      <c r="A1500" s="71"/>
      <c r="B1500" s="72"/>
      <c r="C1500" s="72"/>
    </row>
    <row r="1501" spans="1:3">
      <c r="A1501" s="71"/>
      <c r="B1501" s="72"/>
      <c r="C1501" s="72"/>
    </row>
    <row r="1502" spans="1:3">
      <c r="A1502" s="71"/>
      <c r="B1502" s="72"/>
      <c r="C1502" s="72"/>
    </row>
    <row r="1503" spans="1:3">
      <c r="A1503" s="71"/>
      <c r="B1503" s="72"/>
      <c r="C1503" s="72"/>
    </row>
    <row r="1504" spans="1:3">
      <c r="A1504" s="71"/>
      <c r="B1504" s="72"/>
      <c r="C1504" s="72"/>
    </row>
    <row r="1505" spans="1:3">
      <c r="A1505" s="71"/>
      <c r="B1505" s="72"/>
      <c r="C1505" s="72"/>
    </row>
    <row r="1506" spans="1:3">
      <c r="A1506" s="71"/>
      <c r="B1506" s="72"/>
      <c r="C1506" s="72"/>
    </row>
    <row r="1507" spans="1:3">
      <c r="A1507" s="71"/>
      <c r="B1507" s="72"/>
      <c r="C1507" s="72"/>
    </row>
    <row r="1508" spans="1:3">
      <c r="A1508" s="71"/>
      <c r="B1508" s="72"/>
      <c r="C1508" s="72"/>
    </row>
    <row r="1509" spans="1:3">
      <c r="A1509" s="71"/>
      <c r="B1509" s="72"/>
      <c r="C1509" s="72"/>
    </row>
    <row r="1510" spans="1:3">
      <c r="A1510" s="71"/>
      <c r="B1510" s="72"/>
      <c r="C1510" s="72"/>
    </row>
    <row r="1511" spans="1:3">
      <c r="A1511" s="71"/>
      <c r="B1511" s="72"/>
      <c r="C1511" s="72"/>
    </row>
    <row r="1512" spans="1:3">
      <c r="A1512" s="71"/>
      <c r="B1512" s="72"/>
      <c r="C1512" s="72"/>
    </row>
    <row r="1513" spans="1:3">
      <c r="A1513" s="71"/>
      <c r="B1513" s="72"/>
      <c r="C1513" s="72"/>
    </row>
    <row r="1514" spans="1:3">
      <c r="A1514" s="71"/>
      <c r="B1514" s="72"/>
      <c r="C1514" s="72"/>
    </row>
    <row r="1515" spans="1:3">
      <c r="A1515" s="71"/>
      <c r="B1515" s="72"/>
      <c r="C1515" s="72"/>
    </row>
    <row r="1516" spans="1:3">
      <c r="A1516" s="71"/>
      <c r="B1516" s="72"/>
      <c r="C1516" s="72"/>
    </row>
    <row r="1517" spans="1:3">
      <c r="A1517" s="71"/>
      <c r="B1517" s="72"/>
      <c r="C1517" s="72"/>
    </row>
    <row r="1518" spans="1:3">
      <c r="A1518" s="71"/>
      <c r="B1518" s="72"/>
      <c r="C1518" s="72"/>
    </row>
    <row r="1519" spans="1:3">
      <c r="A1519" s="71"/>
      <c r="B1519" s="72"/>
      <c r="C1519" s="72"/>
    </row>
    <row r="1520" spans="1:3">
      <c r="A1520" s="71"/>
      <c r="B1520" s="72"/>
      <c r="C1520" s="72"/>
    </row>
    <row r="1521" spans="1:3">
      <c r="A1521" s="71"/>
      <c r="B1521" s="72"/>
      <c r="C1521" s="72"/>
    </row>
    <row r="1522" spans="1:3">
      <c r="A1522" s="71"/>
      <c r="B1522" s="72"/>
      <c r="C1522" s="72"/>
    </row>
    <row r="1523" spans="1:3">
      <c r="A1523" s="71"/>
      <c r="B1523" s="72"/>
      <c r="C1523" s="72"/>
    </row>
    <row r="1524" spans="1:3">
      <c r="A1524" s="71"/>
      <c r="B1524" s="72"/>
      <c r="C1524" s="72"/>
    </row>
    <row r="1525" spans="1:3">
      <c r="A1525" s="71"/>
      <c r="B1525" s="72"/>
      <c r="C1525" s="72"/>
    </row>
    <row r="1526" spans="1:3">
      <c r="A1526" s="71"/>
      <c r="B1526" s="72"/>
      <c r="C1526" s="72"/>
    </row>
    <row r="1527" spans="1:3">
      <c r="A1527" s="71"/>
      <c r="B1527" s="72"/>
      <c r="C1527" s="72"/>
    </row>
    <row r="1528" spans="1:3">
      <c r="A1528" s="71"/>
      <c r="B1528" s="72"/>
      <c r="C1528" s="72"/>
    </row>
    <row r="1529" spans="1:3">
      <c r="A1529" s="71"/>
      <c r="B1529" s="72"/>
      <c r="C1529" s="72"/>
    </row>
    <row r="1530" spans="1:3">
      <c r="A1530" s="71"/>
      <c r="B1530" s="72"/>
      <c r="C1530" s="72"/>
    </row>
    <row r="1531" spans="1:3">
      <c r="A1531" s="71"/>
      <c r="B1531" s="72"/>
      <c r="C1531" s="72"/>
    </row>
    <row r="1532" spans="1:3">
      <c r="A1532" s="71"/>
      <c r="B1532" s="72"/>
      <c r="C1532" s="72"/>
    </row>
    <row r="1533" spans="1:3">
      <c r="A1533" s="71"/>
      <c r="B1533" s="72"/>
      <c r="C1533" s="72"/>
    </row>
    <row r="1534" spans="1:3">
      <c r="A1534" s="71"/>
      <c r="B1534" s="72"/>
      <c r="C1534" s="72"/>
    </row>
    <row r="1535" spans="1:3">
      <c r="A1535" s="71"/>
      <c r="B1535" s="72"/>
      <c r="C1535" s="72"/>
    </row>
    <row r="1536" spans="1:3">
      <c r="A1536" s="71"/>
      <c r="B1536" s="72"/>
      <c r="C1536" s="72"/>
    </row>
    <row r="1537" spans="1:3">
      <c r="A1537" s="71"/>
      <c r="B1537" s="72"/>
      <c r="C1537" s="72"/>
    </row>
    <row r="1538" spans="1:3">
      <c r="A1538" s="71"/>
      <c r="B1538" s="72"/>
      <c r="C1538" s="72"/>
    </row>
    <row r="1539" spans="1:3">
      <c r="A1539" s="71"/>
      <c r="B1539" s="72"/>
      <c r="C1539" s="72"/>
    </row>
    <row r="1540" spans="1:3">
      <c r="A1540" s="71"/>
      <c r="B1540" s="72"/>
      <c r="C1540" s="72"/>
    </row>
    <row r="1541" spans="1:3">
      <c r="A1541" s="71"/>
      <c r="B1541" s="72"/>
      <c r="C1541" s="72"/>
    </row>
    <row r="1542" spans="1:3">
      <c r="A1542" s="71"/>
      <c r="B1542" s="72"/>
      <c r="C1542" s="72"/>
    </row>
    <row r="1543" spans="1:3">
      <c r="A1543" s="71"/>
      <c r="B1543" s="72"/>
      <c r="C1543" s="72"/>
    </row>
    <row r="1544" spans="1:3">
      <c r="A1544" s="71"/>
      <c r="B1544" s="72"/>
      <c r="C1544" s="72"/>
    </row>
    <row r="1545" spans="1:3">
      <c r="A1545" s="71"/>
      <c r="B1545" s="72"/>
      <c r="C1545" s="72"/>
    </row>
    <row r="1546" spans="1:3">
      <c r="A1546" s="71"/>
      <c r="B1546" s="72"/>
      <c r="C1546" s="72"/>
    </row>
    <row r="1547" spans="1:3">
      <c r="A1547" s="71"/>
      <c r="B1547" s="72"/>
      <c r="C1547" s="72"/>
    </row>
    <row r="1548" spans="1:3">
      <c r="A1548" s="71"/>
      <c r="B1548" s="72"/>
      <c r="C1548" s="72"/>
    </row>
    <row r="1549" spans="1:3">
      <c r="A1549" s="71"/>
      <c r="B1549" s="72"/>
      <c r="C1549" s="72"/>
    </row>
    <row r="1550" spans="1:3">
      <c r="A1550" s="71"/>
      <c r="B1550" s="72"/>
      <c r="C1550" s="72"/>
    </row>
    <row r="1551" spans="1:3">
      <c r="A1551" s="71"/>
      <c r="B1551" s="72"/>
      <c r="C1551" s="72"/>
    </row>
    <row r="1552" spans="1:3">
      <c r="A1552" s="71"/>
      <c r="B1552" s="72"/>
      <c r="C1552" s="72"/>
    </row>
    <row r="1553" spans="1:3">
      <c r="A1553" s="71"/>
      <c r="B1553" s="72"/>
      <c r="C1553" s="72"/>
    </row>
    <row r="1554" spans="1:3">
      <c r="A1554" s="71"/>
      <c r="B1554" s="72"/>
      <c r="C1554" s="72"/>
    </row>
    <row r="1555" spans="1:3">
      <c r="A1555" s="71"/>
      <c r="B1555" s="72"/>
      <c r="C1555" s="72"/>
    </row>
    <row r="1556" spans="1:3">
      <c r="A1556" s="71"/>
      <c r="B1556" s="72"/>
      <c r="C1556" s="72"/>
    </row>
    <row r="1557" spans="1:3">
      <c r="A1557" s="71"/>
      <c r="B1557" s="72"/>
      <c r="C1557" s="72"/>
    </row>
    <row r="1558" spans="1:3">
      <c r="A1558" s="71"/>
      <c r="B1558" s="72"/>
      <c r="C1558" s="72"/>
    </row>
    <row r="1559" spans="1:3">
      <c r="A1559" s="71"/>
      <c r="B1559" s="72"/>
      <c r="C1559" s="72"/>
    </row>
    <row r="1560" spans="1:3">
      <c r="A1560" s="71"/>
      <c r="B1560" s="72"/>
      <c r="C1560" s="72"/>
    </row>
    <row r="1561" spans="1:3">
      <c r="A1561" s="71"/>
      <c r="B1561" s="72"/>
      <c r="C1561" s="72"/>
    </row>
    <row r="1562" spans="1:3">
      <c r="A1562" s="71"/>
      <c r="B1562" s="72"/>
      <c r="C1562" s="72"/>
    </row>
    <row r="1563" spans="1:3">
      <c r="A1563" s="71"/>
      <c r="B1563" s="72"/>
      <c r="C1563" s="72"/>
    </row>
    <row r="1564" spans="1:3">
      <c r="A1564" s="71"/>
      <c r="B1564" s="72"/>
      <c r="C1564" s="72"/>
    </row>
    <row r="1565" spans="1:3">
      <c r="A1565" s="71"/>
      <c r="B1565" s="72"/>
      <c r="C1565" s="72"/>
    </row>
    <row r="1566" spans="1:3">
      <c r="A1566" s="71"/>
      <c r="B1566" s="72"/>
      <c r="C1566" s="72"/>
    </row>
    <row r="1567" spans="1:3">
      <c r="A1567" s="71"/>
      <c r="B1567" s="72"/>
      <c r="C1567" s="72"/>
    </row>
    <row r="1568" spans="1:3">
      <c r="A1568" s="71"/>
      <c r="B1568" s="72"/>
      <c r="C1568" s="72"/>
    </row>
    <row r="1569" spans="1:3">
      <c r="A1569" s="71"/>
      <c r="B1569" s="72"/>
      <c r="C1569" s="72"/>
    </row>
    <row r="1570" spans="1:3">
      <c r="A1570" s="71"/>
      <c r="B1570" s="72"/>
      <c r="C1570" s="72"/>
    </row>
    <row r="1571" spans="1:3">
      <c r="A1571" s="71"/>
      <c r="B1571" s="72"/>
      <c r="C1571" s="72"/>
    </row>
    <row r="1572" spans="1:3">
      <c r="A1572" s="71"/>
      <c r="B1572" s="72"/>
      <c r="C1572" s="72"/>
    </row>
    <row r="1573" spans="1:3">
      <c r="A1573" s="71"/>
      <c r="B1573" s="72"/>
      <c r="C1573" s="72"/>
    </row>
    <row r="1574" spans="1:3">
      <c r="A1574" s="71"/>
      <c r="B1574" s="72"/>
      <c r="C1574" s="72"/>
    </row>
    <row r="1575" spans="1:3">
      <c r="A1575" s="71"/>
      <c r="B1575" s="72"/>
      <c r="C1575" s="72"/>
    </row>
    <row r="1576" spans="1:3">
      <c r="A1576" s="71"/>
      <c r="B1576" s="72"/>
      <c r="C1576" s="72"/>
    </row>
    <row r="1577" spans="1:3">
      <c r="A1577" s="71"/>
      <c r="B1577" s="72"/>
      <c r="C1577" s="72"/>
    </row>
    <row r="1578" spans="1:3">
      <c r="A1578" s="71"/>
      <c r="B1578" s="72"/>
      <c r="C1578" s="72"/>
    </row>
    <row r="1579" spans="1:3">
      <c r="A1579" s="71"/>
      <c r="B1579" s="72"/>
      <c r="C1579" s="72"/>
    </row>
    <row r="1580" spans="1:3">
      <c r="A1580" s="71"/>
      <c r="B1580" s="72"/>
      <c r="C1580" s="72"/>
    </row>
    <row r="1581" spans="1:3">
      <c r="A1581" s="71"/>
      <c r="B1581" s="72"/>
      <c r="C1581" s="72"/>
    </row>
    <row r="1582" spans="1:3">
      <c r="A1582" s="71"/>
      <c r="B1582" s="72"/>
      <c r="C1582" s="72"/>
    </row>
    <row r="1583" spans="1:3">
      <c r="A1583" s="71"/>
      <c r="B1583" s="72"/>
      <c r="C1583" s="72"/>
    </row>
    <row r="1584" spans="1:3">
      <c r="A1584" s="71"/>
      <c r="B1584" s="72"/>
      <c r="C1584" s="72"/>
    </row>
    <row r="1585" spans="1:3">
      <c r="A1585" s="71"/>
      <c r="B1585" s="72"/>
      <c r="C1585" s="72"/>
    </row>
    <row r="1586" spans="1:3">
      <c r="A1586" s="71"/>
      <c r="B1586" s="72"/>
      <c r="C1586" s="72"/>
    </row>
    <row r="1587" spans="1:3">
      <c r="A1587" s="71"/>
      <c r="B1587" s="72"/>
      <c r="C1587" s="72"/>
    </row>
    <row r="1588" spans="1:3">
      <c r="A1588" s="71"/>
      <c r="B1588" s="72"/>
      <c r="C1588" s="72"/>
    </row>
    <row r="1589" spans="1:3">
      <c r="A1589" s="71"/>
      <c r="B1589" s="72"/>
      <c r="C1589" s="72"/>
    </row>
    <row r="1590" spans="1:3">
      <c r="A1590" s="71"/>
      <c r="B1590" s="72"/>
      <c r="C1590" s="72"/>
    </row>
    <row r="1591" spans="1:3">
      <c r="A1591" s="71"/>
      <c r="B1591" s="72"/>
      <c r="C1591" s="72"/>
    </row>
    <row r="1592" spans="1:3">
      <c r="A1592" s="71"/>
      <c r="B1592" s="72"/>
      <c r="C1592" s="72"/>
    </row>
    <row r="1593" spans="1:3">
      <c r="A1593" s="71"/>
      <c r="B1593" s="72"/>
      <c r="C1593" s="72"/>
    </row>
    <row r="1594" spans="1:3">
      <c r="A1594" s="71"/>
      <c r="B1594" s="72"/>
      <c r="C1594" s="72"/>
    </row>
    <row r="1595" spans="1:3">
      <c r="A1595" s="71"/>
      <c r="B1595" s="72"/>
      <c r="C1595" s="72"/>
    </row>
    <row r="1596" spans="1:3">
      <c r="A1596" s="71"/>
      <c r="B1596" s="72"/>
      <c r="C1596" s="72"/>
    </row>
    <row r="1597" spans="1:3">
      <c r="A1597" s="71"/>
      <c r="B1597" s="72"/>
      <c r="C1597" s="72"/>
    </row>
    <row r="1598" spans="1:3">
      <c r="A1598" s="71"/>
      <c r="B1598" s="72"/>
      <c r="C1598" s="72"/>
    </row>
    <row r="1599" spans="1:3">
      <c r="A1599" s="71"/>
      <c r="B1599" s="72"/>
      <c r="C1599" s="72"/>
    </row>
    <row r="1600" spans="1:3">
      <c r="A1600" s="71"/>
      <c r="B1600" s="72"/>
      <c r="C1600" s="72"/>
    </row>
    <row r="1601" spans="1:3">
      <c r="A1601" s="71"/>
      <c r="B1601" s="72"/>
      <c r="C1601" s="72"/>
    </row>
    <row r="1602" spans="1:3">
      <c r="A1602" s="71"/>
      <c r="B1602" s="72"/>
      <c r="C1602" s="72"/>
    </row>
    <row r="1603" spans="1:3">
      <c r="A1603" s="71"/>
      <c r="B1603" s="72"/>
      <c r="C1603" s="72"/>
    </row>
    <row r="1604" spans="1:3">
      <c r="A1604" s="71"/>
      <c r="B1604" s="72"/>
      <c r="C1604" s="72"/>
    </row>
    <row r="1605" spans="1:3">
      <c r="A1605" s="71"/>
      <c r="B1605" s="72"/>
      <c r="C1605" s="72"/>
    </row>
    <row r="1606" spans="1:3">
      <c r="A1606" s="71"/>
      <c r="B1606" s="72"/>
      <c r="C1606" s="72"/>
    </row>
    <row r="1607" spans="1:3">
      <c r="A1607" s="71"/>
      <c r="B1607" s="72"/>
      <c r="C1607" s="72"/>
    </row>
    <row r="1608" spans="1:3">
      <c r="A1608" s="71"/>
      <c r="B1608" s="72"/>
      <c r="C1608" s="72"/>
    </row>
    <row r="1609" spans="1:3">
      <c r="A1609" s="71"/>
      <c r="B1609" s="72"/>
      <c r="C1609" s="72"/>
    </row>
    <row r="1610" spans="1:3">
      <c r="A1610" s="71"/>
      <c r="B1610" s="72"/>
      <c r="C1610" s="72"/>
    </row>
    <row r="1611" spans="1:3">
      <c r="A1611" s="71"/>
      <c r="B1611" s="72"/>
      <c r="C1611" s="72"/>
    </row>
    <row r="1612" spans="1:3">
      <c r="A1612" s="71"/>
      <c r="B1612" s="72"/>
      <c r="C1612" s="72"/>
    </row>
    <row r="1613" spans="1:3">
      <c r="A1613" s="71"/>
      <c r="B1613" s="72"/>
      <c r="C1613" s="72"/>
    </row>
    <row r="1614" spans="1:3">
      <c r="A1614" s="71"/>
      <c r="B1614" s="72"/>
      <c r="C1614" s="72"/>
    </row>
    <row r="1615" spans="1:3">
      <c r="A1615" s="71"/>
      <c r="B1615" s="72"/>
      <c r="C1615" s="72"/>
    </row>
    <row r="1616" spans="1:3">
      <c r="A1616" s="71"/>
      <c r="B1616" s="72"/>
      <c r="C1616" s="72"/>
    </row>
    <row r="1617" spans="1:3">
      <c r="A1617" s="71"/>
      <c r="B1617" s="72"/>
      <c r="C1617" s="72"/>
    </row>
    <row r="1618" spans="1:3">
      <c r="A1618" s="71"/>
      <c r="B1618" s="72"/>
      <c r="C1618" s="72"/>
    </row>
    <row r="1619" spans="1:3">
      <c r="A1619" s="71"/>
      <c r="B1619" s="72"/>
      <c r="C1619" s="72"/>
    </row>
    <row r="1620" spans="1:3">
      <c r="A1620" s="71"/>
      <c r="B1620" s="72"/>
      <c r="C1620" s="72"/>
    </row>
    <row r="1621" spans="1:3">
      <c r="A1621" s="71"/>
      <c r="B1621" s="72"/>
      <c r="C1621" s="72"/>
    </row>
    <row r="1622" spans="1:3">
      <c r="A1622" s="71"/>
      <c r="B1622" s="72"/>
      <c r="C1622" s="72"/>
    </row>
    <row r="1623" spans="1:3">
      <c r="A1623" s="71"/>
      <c r="B1623" s="72"/>
      <c r="C1623" s="72"/>
    </row>
    <row r="1624" spans="1:3">
      <c r="A1624" s="71"/>
      <c r="B1624" s="72"/>
      <c r="C1624" s="72"/>
    </row>
    <row r="1625" spans="1:3">
      <c r="A1625" s="71"/>
      <c r="B1625" s="72"/>
      <c r="C1625" s="72"/>
    </row>
    <row r="1626" spans="1:3">
      <c r="A1626" s="71"/>
      <c r="B1626" s="72"/>
      <c r="C1626" s="72"/>
    </row>
    <row r="1627" spans="1:3">
      <c r="A1627" s="71"/>
      <c r="B1627" s="72"/>
      <c r="C1627" s="72"/>
    </row>
    <row r="1628" spans="1:3">
      <c r="A1628" s="71"/>
      <c r="B1628" s="72"/>
      <c r="C1628" s="72"/>
    </row>
    <row r="1629" spans="1:3">
      <c r="A1629" s="71"/>
      <c r="B1629" s="72"/>
      <c r="C1629" s="72"/>
    </row>
    <row r="1630" spans="1:3">
      <c r="A1630" s="71"/>
      <c r="B1630" s="72"/>
      <c r="C1630" s="72"/>
    </row>
    <row r="1631" spans="1:3">
      <c r="A1631" s="71"/>
      <c r="B1631" s="72"/>
      <c r="C1631" s="72"/>
    </row>
    <row r="1632" spans="1:3">
      <c r="A1632" s="71"/>
      <c r="B1632" s="72"/>
      <c r="C1632" s="72"/>
    </row>
    <row r="1633" spans="1:3">
      <c r="A1633" s="71"/>
      <c r="B1633" s="72"/>
      <c r="C1633" s="72"/>
    </row>
    <row r="1634" spans="1:3">
      <c r="A1634" s="71"/>
      <c r="B1634" s="72"/>
      <c r="C1634" s="72"/>
    </row>
    <row r="1635" spans="1:3">
      <c r="A1635" s="71"/>
      <c r="B1635" s="72"/>
      <c r="C1635" s="72"/>
    </row>
    <row r="1636" spans="1:3">
      <c r="A1636" s="71"/>
      <c r="B1636" s="72"/>
      <c r="C1636" s="72"/>
    </row>
    <row r="1637" spans="1:3">
      <c r="A1637" s="71"/>
      <c r="B1637" s="72"/>
      <c r="C1637" s="72"/>
    </row>
    <row r="1638" spans="1:3">
      <c r="A1638" s="71"/>
      <c r="B1638" s="72"/>
      <c r="C1638" s="72"/>
    </row>
    <row r="1639" spans="1:3">
      <c r="A1639" s="71"/>
      <c r="B1639" s="72"/>
      <c r="C1639" s="72"/>
    </row>
    <row r="1640" spans="1:3">
      <c r="A1640" s="71"/>
      <c r="B1640" s="72"/>
      <c r="C1640" s="72"/>
    </row>
    <row r="1641" spans="1:3">
      <c r="A1641" s="71"/>
      <c r="B1641" s="72"/>
      <c r="C1641" s="72"/>
    </row>
    <row r="1642" spans="1:3">
      <c r="A1642" s="71"/>
      <c r="B1642" s="72"/>
      <c r="C1642" s="72"/>
    </row>
    <row r="1643" spans="1:3">
      <c r="A1643" s="71"/>
      <c r="B1643" s="72"/>
      <c r="C1643" s="72"/>
    </row>
    <row r="1644" spans="1:3">
      <c r="A1644" s="71"/>
      <c r="B1644" s="72"/>
      <c r="C1644" s="72"/>
    </row>
    <row r="1645" spans="1:3">
      <c r="A1645" s="71"/>
      <c r="B1645" s="72"/>
      <c r="C1645" s="72"/>
    </row>
    <row r="1646" spans="1:3">
      <c r="A1646" s="71"/>
      <c r="B1646" s="72"/>
      <c r="C1646" s="72"/>
    </row>
    <row r="1647" spans="1:3">
      <c r="A1647" s="71"/>
      <c r="B1647" s="72"/>
      <c r="C1647" s="72"/>
    </row>
    <row r="1648" spans="1:3">
      <c r="A1648" s="71"/>
      <c r="B1648" s="72"/>
      <c r="C1648" s="72"/>
    </row>
    <row r="1649" spans="1:3">
      <c r="A1649" s="71"/>
      <c r="B1649" s="72"/>
      <c r="C1649" s="72"/>
    </row>
    <row r="1650" spans="1:3">
      <c r="A1650" s="71"/>
      <c r="B1650" s="72"/>
      <c r="C1650" s="72"/>
    </row>
    <row r="1651" spans="1:3">
      <c r="A1651" s="71"/>
      <c r="B1651" s="72"/>
      <c r="C1651" s="72"/>
    </row>
    <row r="1652" spans="1:3">
      <c r="A1652" s="71"/>
      <c r="B1652" s="72"/>
      <c r="C1652" s="72"/>
    </row>
    <row r="1653" spans="1:3">
      <c r="A1653" s="71"/>
      <c r="B1653" s="72"/>
      <c r="C1653" s="72"/>
    </row>
    <row r="1654" spans="1:3">
      <c r="A1654" s="71"/>
      <c r="B1654" s="72"/>
      <c r="C1654" s="72"/>
    </row>
    <row r="1655" spans="1:3">
      <c r="A1655" s="71"/>
      <c r="B1655" s="72"/>
      <c r="C1655" s="72"/>
    </row>
    <row r="1656" spans="1:3">
      <c r="A1656" s="71"/>
      <c r="B1656" s="72"/>
      <c r="C1656" s="72"/>
    </row>
    <row r="1657" spans="1:3">
      <c r="A1657" s="71"/>
      <c r="B1657" s="72"/>
      <c r="C1657" s="72"/>
    </row>
    <row r="1658" spans="1:3">
      <c r="A1658" s="71"/>
      <c r="B1658" s="72"/>
      <c r="C1658" s="72"/>
    </row>
    <row r="1659" spans="1:3">
      <c r="A1659" s="71"/>
      <c r="B1659" s="72"/>
      <c r="C1659" s="72"/>
    </row>
    <row r="1660" spans="1:3">
      <c r="A1660" s="71"/>
      <c r="B1660" s="72"/>
      <c r="C1660" s="72"/>
    </row>
    <row r="1661" spans="1:3">
      <c r="A1661" s="71"/>
      <c r="B1661" s="72"/>
      <c r="C1661" s="72"/>
    </row>
    <row r="1662" spans="1:3">
      <c r="A1662" s="71"/>
      <c r="B1662" s="72"/>
      <c r="C1662" s="72"/>
    </row>
    <row r="1663" spans="1:3">
      <c r="A1663" s="71"/>
      <c r="B1663" s="72"/>
      <c r="C1663" s="72"/>
    </row>
    <row r="1664" spans="1:3">
      <c r="A1664" s="71"/>
      <c r="B1664" s="72"/>
      <c r="C1664" s="72"/>
    </row>
    <row r="1665" spans="1:3">
      <c r="A1665" s="71"/>
      <c r="B1665" s="72"/>
      <c r="C1665" s="72"/>
    </row>
    <row r="1666" spans="1:3">
      <c r="A1666" s="71"/>
      <c r="B1666" s="72"/>
      <c r="C1666" s="72"/>
    </row>
    <row r="1667" spans="1:3">
      <c r="A1667" s="71"/>
      <c r="B1667" s="72"/>
      <c r="C1667" s="72"/>
    </row>
    <row r="1668" spans="1:3">
      <c r="A1668" s="71"/>
      <c r="B1668" s="72"/>
      <c r="C1668" s="72"/>
    </row>
    <row r="1669" spans="1:3">
      <c r="A1669" s="71"/>
      <c r="B1669" s="72"/>
      <c r="C1669" s="72"/>
    </row>
    <row r="1670" spans="1:3">
      <c r="A1670" s="71"/>
      <c r="B1670" s="72"/>
      <c r="C1670" s="72"/>
    </row>
    <row r="1671" spans="1:3">
      <c r="A1671" s="71"/>
      <c r="B1671" s="72"/>
      <c r="C1671" s="72"/>
    </row>
    <row r="1672" spans="1:3">
      <c r="A1672" s="71"/>
      <c r="B1672" s="72"/>
      <c r="C1672" s="72"/>
    </row>
    <row r="1673" spans="1:3">
      <c r="A1673" s="71"/>
      <c r="B1673" s="72"/>
      <c r="C1673" s="72"/>
    </row>
    <row r="1674" spans="1:3">
      <c r="A1674" s="71"/>
      <c r="B1674" s="72"/>
      <c r="C1674" s="72"/>
    </row>
    <row r="1675" spans="1:3">
      <c r="A1675" s="71"/>
      <c r="B1675" s="72"/>
      <c r="C1675" s="72"/>
    </row>
    <row r="1676" spans="1:3">
      <c r="A1676" s="71"/>
      <c r="B1676" s="72"/>
      <c r="C1676" s="72"/>
    </row>
    <row r="1677" spans="1:3">
      <c r="A1677" s="71"/>
      <c r="B1677" s="72"/>
      <c r="C1677" s="72"/>
    </row>
    <row r="1678" spans="1:3">
      <c r="A1678" s="71"/>
      <c r="B1678" s="72"/>
      <c r="C1678" s="72"/>
    </row>
    <row r="1679" spans="1:3">
      <c r="A1679" s="71"/>
      <c r="B1679" s="72"/>
      <c r="C1679" s="72"/>
    </row>
    <row r="1680" spans="1:3">
      <c r="A1680" s="71"/>
      <c r="B1680" s="72"/>
      <c r="C1680" s="72"/>
    </row>
    <row r="1681" spans="1:3">
      <c r="A1681" s="71"/>
      <c r="B1681" s="72"/>
      <c r="C1681" s="72"/>
    </row>
    <row r="1682" spans="1:3">
      <c r="A1682" s="71"/>
      <c r="B1682" s="72"/>
      <c r="C1682" s="72"/>
    </row>
    <row r="1683" spans="1:3">
      <c r="A1683" s="71"/>
      <c r="B1683" s="72"/>
      <c r="C1683" s="72"/>
    </row>
    <row r="1684" spans="1:3">
      <c r="A1684" s="71"/>
      <c r="B1684" s="72"/>
      <c r="C1684" s="72"/>
    </row>
    <row r="1685" spans="1:3">
      <c r="A1685" s="71"/>
      <c r="B1685" s="72"/>
      <c r="C1685" s="72"/>
    </row>
    <row r="1686" spans="1:3">
      <c r="A1686" s="71"/>
      <c r="B1686" s="72"/>
      <c r="C1686" s="72"/>
    </row>
    <row r="1687" spans="1:3">
      <c r="A1687" s="71"/>
      <c r="B1687" s="72"/>
      <c r="C1687" s="72"/>
    </row>
    <row r="1688" spans="1:3">
      <c r="A1688" s="71"/>
      <c r="B1688" s="72"/>
      <c r="C1688" s="72"/>
    </row>
    <row r="1689" spans="1:3">
      <c r="A1689" s="71"/>
      <c r="B1689" s="72"/>
      <c r="C1689" s="72"/>
    </row>
    <row r="1690" spans="1:3">
      <c r="A1690" s="71"/>
      <c r="B1690" s="72"/>
      <c r="C1690" s="72"/>
    </row>
    <row r="1691" spans="1:3">
      <c r="A1691" s="71"/>
      <c r="B1691" s="72"/>
      <c r="C1691" s="72"/>
    </row>
    <row r="1692" spans="1:3">
      <c r="A1692" s="71"/>
      <c r="B1692" s="72"/>
      <c r="C1692" s="72"/>
    </row>
    <row r="1693" spans="1:3">
      <c r="A1693" s="71"/>
      <c r="B1693" s="72"/>
      <c r="C1693" s="72"/>
    </row>
    <row r="1694" spans="1:3">
      <c r="A1694" s="71"/>
      <c r="B1694" s="72"/>
      <c r="C1694" s="72"/>
    </row>
    <row r="1695" spans="1:3">
      <c r="A1695" s="71"/>
      <c r="B1695" s="72"/>
      <c r="C1695" s="72"/>
    </row>
    <row r="1696" spans="1:3">
      <c r="A1696" s="71"/>
      <c r="B1696" s="72"/>
      <c r="C1696" s="72"/>
    </row>
    <row r="1697" spans="1:3">
      <c r="A1697" s="71"/>
      <c r="B1697" s="72"/>
      <c r="C1697" s="72"/>
    </row>
    <row r="1698" spans="1:3">
      <c r="A1698" s="71"/>
      <c r="B1698" s="72"/>
      <c r="C1698" s="72"/>
    </row>
    <row r="1699" spans="1:3">
      <c r="A1699" s="71"/>
      <c r="B1699" s="72"/>
      <c r="C1699" s="72"/>
    </row>
    <row r="1700" spans="1:3">
      <c r="A1700" s="71"/>
      <c r="B1700" s="72"/>
      <c r="C1700" s="72"/>
    </row>
    <row r="1701" spans="1:3">
      <c r="A1701" s="71"/>
      <c r="B1701" s="72"/>
      <c r="C1701" s="72"/>
    </row>
    <row r="1702" spans="1:3">
      <c r="A1702" s="71"/>
      <c r="B1702" s="72"/>
      <c r="C1702" s="72"/>
    </row>
    <row r="1703" spans="1:3">
      <c r="A1703" s="71"/>
      <c r="B1703" s="72"/>
      <c r="C1703" s="72"/>
    </row>
    <row r="1704" spans="1:3">
      <c r="A1704" s="71"/>
      <c r="B1704" s="72"/>
      <c r="C1704" s="72"/>
    </row>
    <row r="1705" spans="1:3">
      <c r="A1705" s="71"/>
      <c r="B1705" s="72"/>
      <c r="C1705" s="72"/>
    </row>
    <row r="1706" spans="1:3">
      <c r="A1706" s="71"/>
      <c r="B1706" s="72"/>
      <c r="C1706" s="72"/>
    </row>
    <row r="1707" spans="1:3">
      <c r="A1707" s="71"/>
      <c r="B1707" s="72"/>
      <c r="C1707" s="72"/>
    </row>
    <row r="1708" spans="1:3">
      <c r="A1708" s="71"/>
      <c r="B1708" s="72"/>
      <c r="C1708" s="72"/>
    </row>
    <row r="1709" spans="1:3">
      <c r="A1709" s="71"/>
      <c r="B1709" s="72"/>
      <c r="C1709" s="72"/>
    </row>
    <row r="1710" spans="1:3">
      <c r="A1710" s="71"/>
      <c r="B1710" s="72"/>
      <c r="C1710" s="72"/>
    </row>
    <row r="1711" spans="1:3">
      <c r="A1711" s="71"/>
      <c r="B1711" s="72"/>
      <c r="C1711" s="72"/>
    </row>
    <row r="1712" spans="1:3">
      <c r="A1712" s="71"/>
      <c r="B1712" s="72"/>
      <c r="C1712" s="72"/>
    </row>
    <row r="1713" spans="1:3">
      <c r="A1713" s="71"/>
      <c r="B1713" s="72"/>
      <c r="C1713" s="72"/>
    </row>
    <row r="1714" spans="1:3">
      <c r="A1714" s="71"/>
      <c r="B1714" s="72"/>
      <c r="C1714" s="72"/>
    </row>
    <row r="1715" spans="1:3">
      <c r="A1715" s="71"/>
      <c r="B1715" s="72"/>
      <c r="C1715" s="72"/>
    </row>
    <row r="1716" spans="1:3">
      <c r="A1716" s="71"/>
      <c r="B1716" s="72"/>
      <c r="C1716" s="72"/>
    </row>
    <row r="1717" spans="1:3">
      <c r="A1717" s="71"/>
      <c r="B1717" s="72"/>
      <c r="C1717" s="72"/>
    </row>
    <row r="1718" spans="1:3">
      <c r="A1718" s="71"/>
      <c r="B1718" s="72"/>
      <c r="C1718" s="72"/>
    </row>
    <row r="1719" spans="1:3">
      <c r="A1719" s="71"/>
      <c r="B1719" s="72"/>
      <c r="C1719" s="72"/>
    </row>
    <row r="1720" spans="1:3">
      <c r="A1720" s="71"/>
      <c r="B1720" s="72"/>
      <c r="C1720" s="72"/>
    </row>
    <row r="1721" spans="1:3">
      <c r="A1721" s="71"/>
      <c r="B1721" s="72"/>
      <c r="C1721" s="72"/>
    </row>
    <row r="1722" spans="1:3">
      <c r="A1722" s="71"/>
      <c r="B1722" s="72"/>
      <c r="C1722" s="72"/>
    </row>
    <row r="1723" spans="1:3">
      <c r="A1723" s="71"/>
      <c r="B1723" s="72"/>
      <c r="C1723" s="72"/>
    </row>
    <row r="1724" spans="1:3">
      <c r="A1724" s="71"/>
      <c r="B1724" s="72"/>
      <c r="C1724" s="72"/>
    </row>
    <row r="1725" spans="1:3">
      <c r="A1725" s="71"/>
      <c r="B1725" s="72"/>
      <c r="C1725" s="72"/>
    </row>
    <row r="1726" spans="1:3">
      <c r="A1726" s="71"/>
      <c r="B1726" s="72"/>
      <c r="C1726" s="72"/>
    </row>
    <row r="1727" spans="1:3">
      <c r="A1727" s="71"/>
      <c r="B1727" s="72"/>
      <c r="C1727" s="72"/>
    </row>
    <row r="1728" spans="1:3">
      <c r="A1728" s="71"/>
      <c r="B1728" s="72"/>
      <c r="C1728" s="72"/>
    </row>
    <row r="1729" spans="1:3">
      <c r="A1729" s="71"/>
      <c r="B1729" s="72"/>
      <c r="C1729" s="72"/>
    </row>
    <row r="1730" spans="1:3">
      <c r="A1730" s="71"/>
      <c r="B1730" s="72"/>
      <c r="C1730" s="72"/>
    </row>
    <row r="1731" spans="1:3">
      <c r="A1731" s="71"/>
      <c r="B1731" s="72"/>
      <c r="C1731" s="72"/>
    </row>
    <row r="1732" spans="1:3">
      <c r="A1732" s="71"/>
      <c r="B1732" s="72"/>
      <c r="C1732" s="72"/>
    </row>
    <row r="1733" spans="1:3">
      <c r="A1733" s="71"/>
      <c r="B1733" s="72"/>
      <c r="C1733" s="72"/>
    </row>
    <row r="1734" spans="1:3">
      <c r="A1734" s="71"/>
      <c r="B1734" s="72"/>
      <c r="C1734" s="72"/>
    </row>
    <row r="1735" spans="1:3">
      <c r="A1735" s="71"/>
      <c r="B1735" s="72"/>
      <c r="C1735" s="72"/>
    </row>
    <row r="1736" spans="1:3">
      <c r="A1736" s="71"/>
      <c r="B1736" s="72"/>
      <c r="C1736" s="72"/>
    </row>
    <row r="1737" spans="1:3">
      <c r="A1737" s="71"/>
      <c r="B1737" s="72"/>
      <c r="C1737" s="72"/>
    </row>
    <row r="1738" spans="1:3">
      <c r="A1738" s="71"/>
      <c r="B1738" s="72"/>
      <c r="C1738" s="72"/>
    </row>
    <row r="1739" spans="1:3">
      <c r="A1739" s="71"/>
      <c r="B1739" s="72"/>
      <c r="C1739" s="72"/>
    </row>
    <row r="1740" spans="1:3">
      <c r="A1740" s="71"/>
      <c r="B1740" s="72"/>
      <c r="C1740" s="72"/>
    </row>
    <row r="1741" spans="1:3">
      <c r="A1741" s="71"/>
      <c r="B1741" s="72"/>
      <c r="C1741" s="72"/>
    </row>
    <row r="1742" spans="1:3">
      <c r="A1742" s="71"/>
      <c r="B1742" s="72"/>
      <c r="C1742" s="72"/>
    </row>
    <row r="1743" spans="1:3">
      <c r="A1743" s="71"/>
      <c r="B1743" s="72"/>
      <c r="C1743" s="72"/>
    </row>
    <row r="1744" spans="1:3">
      <c r="A1744" s="71"/>
      <c r="B1744" s="72"/>
      <c r="C1744" s="72"/>
    </row>
    <row r="1745" spans="1:3">
      <c r="A1745" s="71"/>
      <c r="B1745" s="72"/>
      <c r="C1745" s="72"/>
    </row>
    <row r="1746" spans="1:3">
      <c r="A1746" s="71"/>
      <c r="B1746" s="72"/>
      <c r="C1746" s="72"/>
    </row>
    <row r="1747" spans="1:3">
      <c r="A1747" s="71"/>
      <c r="B1747" s="72"/>
      <c r="C1747" s="72"/>
    </row>
    <row r="1748" spans="1:3">
      <c r="A1748" s="71"/>
      <c r="B1748" s="72"/>
      <c r="C1748" s="72"/>
    </row>
    <row r="1749" spans="1:3">
      <c r="A1749" s="71"/>
      <c r="B1749" s="72"/>
      <c r="C1749" s="72"/>
    </row>
    <row r="1750" spans="1:3">
      <c r="A1750" s="71"/>
      <c r="B1750" s="72"/>
      <c r="C1750" s="72"/>
    </row>
    <row r="1751" spans="1:3">
      <c r="A1751" s="71"/>
      <c r="B1751" s="72"/>
      <c r="C1751" s="72"/>
    </row>
    <row r="1752" spans="1:3">
      <c r="A1752" s="71"/>
      <c r="B1752" s="72"/>
      <c r="C1752" s="72"/>
    </row>
    <row r="1753" spans="1:3">
      <c r="A1753" s="71"/>
      <c r="B1753" s="72"/>
      <c r="C1753" s="72"/>
    </row>
    <row r="1754" spans="1:3">
      <c r="A1754" s="71"/>
      <c r="B1754" s="72"/>
      <c r="C1754" s="72"/>
    </row>
    <row r="1755" spans="1:3">
      <c r="A1755" s="71"/>
      <c r="B1755" s="72"/>
      <c r="C1755" s="72"/>
    </row>
    <row r="1756" spans="1:3">
      <c r="A1756" s="71"/>
      <c r="B1756" s="72"/>
      <c r="C1756" s="72"/>
    </row>
    <row r="1757" spans="1:3">
      <c r="A1757" s="71"/>
      <c r="B1757" s="72"/>
      <c r="C1757" s="72"/>
    </row>
    <row r="1758" spans="1:3">
      <c r="A1758" s="71"/>
      <c r="B1758" s="72"/>
      <c r="C1758" s="72"/>
    </row>
    <row r="1759" spans="1:3">
      <c r="A1759" s="71"/>
      <c r="B1759" s="72"/>
      <c r="C1759" s="72"/>
    </row>
    <row r="1760" spans="1:3">
      <c r="A1760" s="71"/>
      <c r="B1760" s="72"/>
      <c r="C1760" s="72"/>
    </row>
    <row r="1761" spans="1:3">
      <c r="A1761" s="71"/>
      <c r="B1761" s="72"/>
      <c r="C1761" s="72"/>
    </row>
    <row r="1762" spans="1:3">
      <c r="A1762" s="71"/>
      <c r="B1762" s="72"/>
      <c r="C1762" s="72"/>
    </row>
    <row r="1763" spans="1:3">
      <c r="A1763" s="71"/>
      <c r="B1763" s="72"/>
      <c r="C1763" s="72"/>
    </row>
    <row r="1764" spans="1:3">
      <c r="A1764" s="71"/>
      <c r="B1764" s="72"/>
      <c r="C1764" s="72"/>
    </row>
    <row r="1765" spans="1:3">
      <c r="A1765" s="71"/>
      <c r="B1765" s="72"/>
      <c r="C1765" s="72"/>
    </row>
    <row r="1766" spans="1:3">
      <c r="A1766" s="71"/>
      <c r="B1766" s="72"/>
      <c r="C1766" s="72"/>
    </row>
    <row r="1767" spans="1:3">
      <c r="A1767" s="71"/>
      <c r="B1767" s="72"/>
      <c r="C1767" s="72"/>
    </row>
    <row r="1768" spans="1:3">
      <c r="A1768" s="71"/>
      <c r="B1768" s="72"/>
      <c r="C1768" s="72"/>
    </row>
    <row r="1769" spans="1:3">
      <c r="A1769" s="71"/>
      <c r="B1769" s="72"/>
      <c r="C1769" s="72"/>
    </row>
    <row r="1770" spans="1:3">
      <c r="A1770" s="71"/>
      <c r="B1770" s="72"/>
      <c r="C1770" s="72"/>
    </row>
    <row r="1771" spans="1:3">
      <c r="A1771" s="71"/>
      <c r="B1771" s="72"/>
      <c r="C1771" s="72"/>
    </row>
    <row r="1772" spans="1:3">
      <c r="A1772" s="71"/>
      <c r="B1772" s="72"/>
      <c r="C1772" s="72"/>
    </row>
    <row r="1773" spans="1:3">
      <c r="A1773" s="71"/>
      <c r="B1773" s="72"/>
      <c r="C1773" s="72"/>
    </row>
    <row r="1774" spans="1:3">
      <c r="A1774" s="71"/>
      <c r="B1774" s="72"/>
      <c r="C1774" s="72"/>
    </row>
    <row r="1775" spans="1:3">
      <c r="A1775" s="71"/>
      <c r="B1775" s="72"/>
      <c r="C1775" s="72"/>
    </row>
    <row r="1776" spans="1:3">
      <c r="A1776" s="71"/>
      <c r="B1776" s="72"/>
      <c r="C1776" s="72"/>
    </row>
    <row r="1777" spans="1:3">
      <c r="A1777" s="71"/>
      <c r="B1777" s="72"/>
      <c r="C1777" s="72"/>
    </row>
    <row r="1778" spans="1:3">
      <c r="A1778" s="71"/>
      <c r="B1778" s="72"/>
      <c r="C1778" s="72"/>
    </row>
    <row r="1779" spans="1:3">
      <c r="A1779" s="71"/>
      <c r="B1779" s="72"/>
      <c r="C1779" s="72"/>
    </row>
    <row r="1780" spans="1:3">
      <c r="A1780" s="71"/>
      <c r="B1780" s="72"/>
      <c r="C1780" s="72"/>
    </row>
    <row r="1781" spans="1:3">
      <c r="A1781" s="71"/>
      <c r="B1781" s="72"/>
      <c r="C1781" s="72"/>
    </row>
    <row r="1782" spans="1:3">
      <c r="A1782" s="71"/>
      <c r="B1782" s="72"/>
      <c r="C1782" s="72"/>
    </row>
    <row r="1783" spans="1:3">
      <c r="A1783" s="71"/>
      <c r="B1783" s="72"/>
      <c r="C1783" s="72"/>
    </row>
    <row r="1784" spans="1:3">
      <c r="A1784" s="71"/>
      <c r="B1784" s="72"/>
      <c r="C1784" s="72"/>
    </row>
    <row r="1785" spans="1:3">
      <c r="A1785" s="71"/>
      <c r="B1785" s="72"/>
      <c r="C1785" s="72"/>
    </row>
    <row r="1786" spans="1:3">
      <c r="A1786" s="71"/>
      <c r="B1786" s="72"/>
      <c r="C1786" s="72"/>
    </row>
    <row r="1787" spans="1:3">
      <c r="A1787" s="71"/>
      <c r="B1787" s="72"/>
      <c r="C1787" s="72"/>
    </row>
    <row r="1788" spans="1:3">
      <c r="A1788" s="71"/>
      <c r="B1788" s="72"/>
      <c r="C1788" s="72"/>
    </row>
    <row r="1789" spans="1:3">
      <c r="A1789" s="71"/>
      <c r="B1789" s="72"/>
      <c r="C1789" s="72"/>
    </row>
    <row r="1790" spans="1:3">
      <c r="A1790" s="71"/>
      <c r="B1790" s="72"/>
      <c r="C1790" s="72"/>
    </row>
    <row r="1791" spans="1:3">
      <c r="A1791" s="71"/>
      <c r="B1791" s="72"/>
      <c r="C1791" s="72"/>
    </row>
    <row r="1792" spans="1:3">
      <c r="A1792" s="71"/>
      <c r="B1792" s="72"/>
      <c r="C1792" s="72"/>
    </row>
    <row r="1793" spans="1:3">
      <c r="A1793" s="71"/>
      <c r="B1793" s="72"/>
      <c r="C1793" s="72"/>
    </row>
    <row r="1794" spans="1:3">
      <c r="A1794" s="71"/>
      <c r="B1794" s="72"/>
      <c r="C1794" s="72"/>
    </row>
    <row r="1795" spans="1:3">
      <c r="A1795" s="71"/>
      <c r="B1795" s="72"/>
      <c r="C1795" s="72"/>
    </row>
    <row r="1796" spans="1:3">
      <c r="A1796" s="71"/>
      <c r="B1796" s="72"/>
      <c r="C1796" s="72"/>
    </row>
    <row r="1797" spans="1:3">
      <c r="A1797" s="71"/>
      <c r="B1797" s="72"/>
      <c r="C1797" s="72"/>
    </row>
    <row r="1798" spans="1:3">
      <c r="A1798" s="71"/>
      <c r="B1798" s="72"/>
      <c r="C1798" s="72"/>
    </row>
    <row r="1799" spans="1:3">
      <c r="A1799" s="71"/>
      <c r="B1799" s="72"/>
      <c r="C1799" s="72"/>
    </row>
    <row r="1800" spans="1:3">
      <c r="A1800" s="71"/>
      <c r="B1800" s="72"/>
      <c r="C1800" s="72"/>
    </row>
    <row r="1801" spans="1:3">
      <c r="A1801" s="71"/>
      <c r="B1801" s="72"/>
      <c r="C1801" s="72"/>
    </row>
    <row r="1802" spans="1:3">
      <c r="A1802" s="71"/>
      <c r="B1802" s="72"/>
      <c r="C1802" s="72"/>
    </row>
    <row r="1803" spans="1:3">
      <c r="A1803" s="71"/>
      <c r="B1803" s="72"/>
      <c r="C1803" s="72"/>
    </row>
    <row r="1804" spans="1:3">
      <c r="A1804" s="71"/>
      <c r="B1804" s="72"/>
      <c r="C1804" s="72"/>
    </row>
    <row r="1805" spans="1:3">
      <c r="A1805" s="71"/>
      <c r="B1805" s="72"/>
      <c r="C1805" s="72"/>
    </row>
    <row r="1806" spans="1:3">
      <c r="A1806" s="71"/>
      <c r="B1806" s="72"/>
      <c r="C1806" s="72"/>
    </row>
    <row r="1807" spans="1:3">
      <c r="A1807" s="71"/>
      <c r="B1807" s="72"/>
      <c r="C1807" s="72"/>
    </row>
    <row r="1808" spans="1:3">
      <c r="A1808" s="71"/>
      <c r="B1808" s="72"/>
      <c r="C1808" s="72"/>
    </row>
    <row r="1809" spans="1:3">
      <c r="A1809" s="71"/>
      <c r="B1809" s="72"/>
      <c r="C1809" s="72"/>
    </row>
    <row r="1810" spans="1:3">
      <c r="A1810" s="71"/>
      <c r="B1810" s="72"/>
      <c r="C1810" s="72"/>
    </row>
    <row r="1811" spans="1:3">
      <c r="A1811" s="71"/>
      <c r="B1811" s="72"/>
      <c r="C1811" s="72"/>
    </row>
    <row r="1812" spans="1:3">
      <c r="A1812" s="71"/>
      <c r="B1812" s="72"/>
      <c r="C1812" s="72"/>
    </row>
    <row r="1813" spans="1:3">
      <c r="A1813" s="71"/>
      <c r="B1813" s="72"/>
      <c r="C1813" s="72"/>
    </row>
    <row r="1814" spans="1:3">
      <c r="A1814" s="71"/>
      <c r="B1814" s="72"/>
      <c r="C1814" s="72"/>
    </row>
    <row r="1815" spans="1:3">
      <c r="A1815" s="71"/>
      <c r="B1815" s="72"/>
      <c r="C1815" s="72"/>
    </row>
    <row r="1816" spans="1:3">
      <c r="A1816" s="71"/>
      <c r="B1816" s="72"/>
      <c r="C1816" s="72"/>
    </row>
    <row r="1817" spans="1:3">
      <c r="A1817" s="71"/>
      <c r="B1817" s="72"/>
      <c r="C1817" s="72"/>
    </row>
    <row r="1818" spans="1:3">
      <c r="A1818" s="71"/>
      <c r="B1818" s="72"/>
      <c r="C1818" s="72"/>
    </row>
    <row r="1819" spans="1:3">
      <c r="A1819" s="71"/>
      <c r="B1819" s="72"/>
      <c r="C1819" s="72"/>
    </row>
    <row r="1820" spans="1:3">
      <c r="A1820" s="71"/>
      <c r="B1820" s="72"/>
      <c r="C1820" s="72"/>
    </row>
    <row r="1821" spans="1:3">
      <c r="A1821" s="71"/>
      <c r="B1821" s="72"/>
      <c r="C1821" s="72"/>
    </row>
    <row r="1822" spans="1:3">
      <c r="A1822" s="71"/>
      <c r="B1822" s="72"/>
      <c r="C1822" s="72"/>
    </row>
    <row r="1823" spans="1:3">
      <c r="A1823" s="71"/>
      <c r="B1823" s="72"/>
      <c r="C1823" s="72"/>
    </row>
    <row r="1824" spans="1:3">
      <c r="A1824" s="71"/>
      <c r="B1824" s="72"/>
      <c r="C1824" s="72"/>
    </row>
    <row r="1825" spans="1:3">
      <c r="A1825" s="71"/>
      <c r="B1825" s="72"/>
      <c r="C1825" s="72"/>
    </row>
    <row r="1826" spans="1:3">
      <c r="A1826" s="71"/>
      <c r="B1826" s="72"/>
      <c r="C1826" s="72"/>
    </row>
    <row r="1827" spans="1:3">
      <c r="A1827" s="71"/>
      <c r="B1827" s="72"/>
      <c r="C1827" s="72"/>
    </row>
    <row r="1828" spans="1:3">
      <c r="A1828" s="71"/>
      <c r="B1828" s="72"/>
      <c r="C1828" s="72"/>
    </row>
    <row r="1829" spans="1:3">
      <c r="A1829" s="71"/>
      <c r="B1829" s="72"/>
      <c r="C1829" s="72"/>
    </row>
    <row r="1830" spans="1:3">
      <c r="A1830" s="71"/>
      <c r="B1830" s="72"/>
      <c r="C1830" s="72"/>
    </row>
    <row r="1831" spans="1:3">
      <c r="A1831" s="71"/>
      <c r="B1831" s="72"/>
      <c r="C1831" s="72"/>
    </row>
    <row r="1832" spans="1:3">
      <c r="A1832" s="71"/>
      <c r="B1832" s="72"/>
      <c r="C1832" s="72"/>
    </row>
    <row r="1833" spans="1:3">
      <c r="A1833" s="71"/>
      <c r="B1833" s="72"/>
      <c r="C1833" s="72"/>
    </row>
    <row r="1834" spans="1:3">
      <c r="A1834" s="71"/>
      <c r="B1834" s="72"/>
      <c r="C1834" s="72"/>
    </row>
    <row r="1835" spans="1:3">
      <c r="A1835" s="71"/>
      <c r="B1835" s="72"/>
      <c r="C1835" s="72"/>
    </row>
    <row r="1836" spans="1:3">
      <c r="A1836" s="71"/>
      <c r="B1836" s="72"/>
      <c r="C1836" s="72"/>
    </row>
    <row r="1837" spans="1:3">
      <c r="A1837" s="71"/>
      <c r="B1837" s="72"/>
      <c r="C1837" s="72"/>
    </row>
    <row r="1838" spans="1:3">
      <c r="A1838" s="71"/>
      <c r="B1838" s="72"/>
      <c r="C1838" s="72"/>
    </row>
    <row r="1839" spans="1:3">
      <c r="A1839" s="71"/>
      <c r="B1839" s="72"/>
      <c r="C1839" s="72"/>
    </row>
    <row r="1840" spans="1:3">
      <c r="A1840" s="71"/>
      <c r="B1840" s="72"/>
      <c r="C1840" s="72"/>
    </row>
    <row r="1841" spans="1:3">
      <c r="A1841" s="71"/>
      <c r="B1841" s="72"/>
      <c r="C1841" s="72"/>
    </row>
    <row r="1842" spans="1:3">
      <c r="A1842" s="71"/>
      <c r="B1842" s="72"/>
      <c r="C1842" s="72"/>
    </row>
    <row r="1843" spans="1:3">
      <c r="A1843" s="71"/>
      <c r="B1843" s="72"/>
      <c r="C1843" s="72"/>
    </row>
    <row r="1844" spans="1:3">
      <c r="A1844" s="71"/>
      <c r="B1844" s="72"/>
      <c r="C1844" s="72"/>
    </row>
    <row r="1845" spans="1:3">
      <c r="A1845" s="71"/>
      <c r="B1845" s="72"/>
      <c r="C1845" s="72"/>
    </row>
    <row r="1846" spans="1:3">
      <c r="A1846" s="71"/>
      <c r="B1846" s="72"/>
      <c r="C1846" s="72"/>
    </row>
    <row r="1847" spans="1:3">
      <c r="A1847" s="71"/>
      <c r="B1847" s="72"/>
      <c r="C1847" s="72"/>
    </row>
    <row r="1848" spans="1:3">
      <c r="A1848" s="71"/>
      <c r="B1848" s="72"/>
      <c r="C1848" s="72"/>
    </row>
    <row r="1849" spans="1:3">
      <c r="A1849" s="71"/>
      <c r="B1849" s="72"/>
      <c r="C1849" s="72"/>
    </row>
    <row r="1850" spans="1:3">
      <c r="A1850" s="71"/>
      <c r="B1850" s="72"/>
      <c r="C1850" s="72"/>
    </row>
    <row r="1851" spans="1:3">
      <c r="A1851" s="71"/>
      <c r="B1851" s="72"/>
      <c r="C1851" s="72"/>
    </row>
    <row r="1852" spans="1:3">
      <c r="A1852" s="71"/>
      <c r="B1852" s="72"/>
      <c r="C1852" s="72"/>
    </row>
    <row r="1853" spans="1:3">
      <c r="A1853" s="71"/>
      <c r="B1853" s="72"/>
      <c r="C1853" s="72"/>
    </row>
    <row r="1854" spans="1:3">
      <c r="A1854" s="71"/>
      <c r="B1854" s="72"/>
      <c r="C1854" s="72"/>
    </row>
    <row r="1855" spans="1:3">
      <c r="A1855" s="71"/>
      <c r="B1855" s="72"/>
      <c r="C1855" s="72"/>
    </row>
    <row r="1856" spans="1:3">
      <c r="A1856" s="71"/>
      <c r="B1856" s="72"/>
      <c r="C1856" s="72"/>
    </row>
    <row r="1857" spans="1:3">
      <c r="A1857" s="71"/>
      <c r="B1857" s="72"/>
      <c r="C1857" s="72"/>
    </row>
    <row r="1858" spans="1:3">
      <c r="A1858" s="71"/>
      <c r="B1858" s="72"/>
      <c r="C1858" s="72"/>
    </row>
    <row r="1859" spans="1:3">
      <c r="A1859" s="71"/>
      <c r="B1859" s="72"/>
      <c r="C1859" s="72"/>
    </row>
    <row r="1860" spans="1:3">
      <c r="A1860" s="71"/>
      <c r="B1860" s="72"/>
      <c r="C1860" s="72"/>
    </row>
    <row r="1861" spans="1:3">
      <c r="A1861" s="71"/>
      <c r="B1861" s="72"/>
      <c r="C1861" s="72"/>
    </row>
    <row r="1862" spans="1:3">
      <c r="A1862" s="71"/>
      <c r="B1862" s="72"/>
      <c r="C1862" s="72"/>
    </row>
    <row r="1863" spans="1:3">
      <c r="A1863" s="71"/>
      <c r="B1863" s="72"/>
      <c r="C1863" s="72"/>
    </row>
    <row r="1864" spans="1:3">
      <c r="A1864" s="71"/>
      <c r="B1864" s="72"/>
      <c r="C1864" s="72"/>
    </row>
    <row r="1865" spans="1:3">
      <c r="A1865" s="71"/>
      <c r="B1865" s="72"/>
      <c r="C1865" s="72"/>
    </row>
    <row r="1866" spans="1:3">
      <c r="A1866" s="71"/>
      <c r="B1866" s="72"/>
      <c r="C1866" s="72"/>
    </row>
    <row r="1867" spans="1:3">
      <c r="A1867" s="71"/>
      <c r="B1867" s="72"/>
      <c r="C1867" s="72"/>
    </row>
    <row r="1868" spans="1:3">
      <c r="A1868" s="71"/>
      <c r="B1868" s="72"/>
      <c r="C1868" s="72"/>
    </row>
    <row r="1869" spans="1:3">
      <c r="A1869" s="71"/>
      <c r="B1869" s="72"/>
      <c r="C1869" s="72"/>
    </row>
    <row r="1870" spans="1:3">
      <c r="A1870" s="71"/>
      <c r="B1870" s="72"/>
      <c r="C1870" s="72"/>
    </row>
    <row r="1871" spans="1:3">
      <c r="A1871" s="71"/>
      <c r="B1871" s="72"/>
      <c r="C1871" s="72"/>
    </row>
    <row r="1872" spans="1:3">
      <c r="A1872" s="71"/>
      <c r="B1872" s="72"/>
      <c r="C1872" s="72"/>
    </row>
    <row r="1873" spans="1:3">
      <c r="A1873" s="71"/>
      <c r="B1873" s="72"/>
      <c r="C1873" s="72"/>
    </row>
    <row r="1874" spans="1:3">
      <c r="A1874" s="71"/>
      <c r="B1874" s="72"/>
      <c r="C1874" s="72"/>
    </row>
    <row r="1875" spans="1:3">
      <c r="A1875" s="71"/>
      <c r="B1875" s="72"/>
      <c r="C1875" s="72"/>
    </row>
    <row r="1876" spans="1:3">
      <c r="A1876" s="71"/>
      <c r="B1876" s="72"/>
      <c r="C1876" s="72"/>
    </row>
    <row r="1877" spans="1:3">
      <c r="A1877" s="71"/>
      <c r="B1877" s="72"/>
      <c r="C1877" s="72"/>
    </row>
    <row r="1878" spans="1:3">
      <c r="A1878" s="71"/>
      <c r="B1878" s="72"/>
      <c r="C1878" s="72"/>
    </row>
    <row r="1879" spans="1:3">
      <c r="A1879" s="71"/>
      <c r="B1879" s="72"/>
      <c r="C1879" s="72"/>
    </row>
    <row r="1880" spans="1:3">
      <c r="A1880" s="71"/>
      <c r="B1880" s="72"/>
      <c r="C1880" s="72"/>
    </row>
    <row r="1881" spans="1:3">
      <c r="A1881" s="71"/>
      <c r="B1881" s="72"/>
      <c r="C1881" s="72"/>
    </row>
    <row r="1882" spans="1:3">
      <c r="A1882" s="71"/>
      <c r="B1882" s="72"/>
      <c r="C1882" s="72"/>
    </row>
    <row r="1883" spans="1:3">
      <c r="A1883" s="71"/>
      <c r="B1883" s="72"/>
      <c r="C1883" s="72"/>
    </row>
    <row r="1884" spans="1:3">
      <c r="A1884" s="71"/>
      <c r="B1884" s="72"/>
      <c r="C1884" s="72"/>
    </row>
    <row r="1885" spans="1:3">
      <c r="A1885" s="71"/>
      <c r="B1885" s="72"/>
      <c r="C1885" s="72"/>
    </row>
    <row r="1886" spans="1:3">
      <c r="A1886" s="71"/>
      <c r="B1886" s="72"/>
      <c r="C1886" s="72"/>
    </row>
    <row r="1887" spans="1:3">
      <c r="A1887" s="71"/>
      <c r="B1887" s="72"/>
      <c r="C1887" s="72"/>
    </row>
    <row r="1888" spans="1:3">
      <c r="A1888" s="71"/>
      <c r="B1888" s="72"/>
      <c r="C1888" s="72"/>
    </row>
    <row r="1889" spans="1:3">
      <c r="A1889" s="71"/>
      <c r="B1889" s="72"/>
      <c r="C1889" s="72"/>
    </row>
    <row r="1890" spans="1:3">
      <c r="A1890" s="71"/>
      <c r="B1890" s="72"/>
      <c r="C1890" s="72"/>
    </row>
    <row r="1891" spans="1:3">
      <c r="A1891" s="71"/>
      <c r="B1891" s="72"/>
      <c r="C1891" s="72"/>
    </row>
    <row r="1892" spans="1:3">
      <c r="A1892" s="71"/>
      <c r="B1892" s="72"/>
      <c r="C1892" s="72"/>
    </row>
    <row r="1893" spans="1:3">
      <c r="A1893" s="71"/>
      <c r="B1893" s="72"/>
      <c r="C1893" s="72"/>
    </row>
    <row r="1894" spans="1:3">
      <c r="A1894" s="71"/>
      <c r="B1894" s="72"/>
      <c r="C1894" s="72"/>
    </row>
    <row r="1895" spans="1:3">
      <c r="A1895" s="71"/>
      <c r="B1895" s="72"/>
      <c r="C1895" s="72"/>
    </row>
    <row r="1896" spans="1:3">
      <c r="A1896" s="71"/>
      <c r="B1896" s="72"/>
      <c r="C1896" s="72"/>
    </row>
    <row r="1897" spans="1:3">
      <c r="A1897" s="71"/>
      <c r="B1897" s="72"/>
      <c r="C1897" s="72"/>
    </row>
    <row r="1898" spans="1:3">
      <c r="A1898" s="71"/>
      <c r="B1898" s="72"/>
      <c r="C1898" s="72"/>
    </row>
    <row r="1899" spans="1:3">
      <c r="A1899" s="71"/>
      <c r="B1899" s="72"/>
      <c r="C1899" s="72"/>
    </row>
    <row r="1900" spans="1:3">
      <c r="A1900" s="71"/>
      <c r="B1900" s="72"/>
      <c r="C1900" s="72"/>
    </row>
    <row r="1901" spans="1:3">
      <c r="A1901" s="71"/>
      <c r="B1901" s="72"/>
      <c r="C1901" s="72"/>
    </row>
    <row r="1902" spans="1:3">
      <c r="A1902" s="71"/>
      <c r="B1902" s="72"/>
      <c r="C1902" s="72"/>
    </row>
    <row r="1903" spans="1:3">
      <c r="A1903" s="71"/>
      <c r="B1903" s="72"/>
      <c r="C1903" s="72"/>
    </row>
    <row r="1904" spans="1:3">
      <c r="A1904" s="71"/>
      <c r="B1904" s="72"/>
      <c r="C1904" s="72"/>
    </row>
    <row r="1905" spans="1:3">
      <c r="A1905" s="71"/>
      <c r="B1905" s="72"/>
      <c r="C1905" s="72"/>
    </row>
    <row r="1906" spans="1:3">
      <c r="A1906" s="71"/>
      <c r="B1906" s="72"/>
      <c r="C1906" s="72"/>
    </row>
    <row r="1907" spans="1:3">
      <c r="A1907" s="71"/>
      <c r="B1907" s="72"/>
      <c r="C1907" s="72"/>
    </row>
    <row r="1908" spans="1:3">
      <c r="A1908" s="71"/>
      <c r="B1908" s="72"/>
      <c r="C1908" s="72"/>
    </row>
    <row r="1909" spans="1:3">
      <c r="A1909" s="71"/>
      <c r="B1909" s="72"/>
      <c r="C1909" s="72"/>
    </row>
    <row r="1910" spans="1:3">
      <c r="A1910" s="71"/>
      <c r="B1910" s="72"/>
      <c r="C1910" s="72"/>
    </row>
    <row r="1911" spans="1:3">
      <c r="A1911" s="71"/>
      <c r="B1911" s="72"/>
      <c r="C1911" s="72"/>
    </row>
    <row r="1912" spans="1:3">
      <c r="A1912" s="71"/>
      <c r="B1912" s="72"/>
      <c r="C1912" s="72"/>
    </row>
    <row r="1913" spans="1:3">
      <c r="A1913" s="71"/>
      <c r="B1913" s="72"/>
      <c r="C1913" s="72"/>
    </row>
    <row r="1914" spans="1:3">
      <c r="A1914" s="71"/>
      <c r="B1914" s="72"/>
      <c r="C1914" s="72"/>
    </row>
    <row r="1915" spans="1:3">
      <c r="A1915" s="71"/>
      <c r="B1915" s="72"/>
      <c r="C1915" s="72"/>
    </row>
    <row r="1916" spans="1:3">
      <c r="A1916" s="71"/>
      <c r="B1916" s="72"/>
      <c r="C1916" s="72"/>
    </row>
    <row r="1917" spans="1:3">
      <c r="A1917" s="71"/>
      <c r="B1917" s="72"/>
      <c r="C1917" s="72"/>
    </row>
    <row r="1918" spans="1:3">
      <c r="A1918" s="71"/>
      <c r="B1918" s="72"/>
      <c r="C1918" s="72"/>
    </row>
    <row r="1919" spans="1:3">
      <c r="A1919" s="71"/>
      <c r="B1919" s="72"/>
      <c r="C1919" s="72"/>
    </row>
    <row r="1920" spans="1:3">
      <c r="A1920" s="71"/>
      <c r="B1920" s="72"/>
      <c r="C1920" s="72"/>
    </row>
    <row r="1921" spans="1:3">
      <c r="A1921" s="71"/>
      <c r="B1921" s="72"/>
      <c r="C1921" s="72"/>
    </row>
    <row r="1922" spans="1:3">
      <c r="A1922" s="71"/>
      <c r="B1922" s="72"/>
      <c r="C1922" s="72"/>
    </row>
    <row r="1923" spans="1:3">
      <c r="A1923" s="71"/>
      <c r="B1923" s="72"/>
      <c r="C1923" s="72"/>
    </row>
    <row r="1924" spans="1:3">
      <c r="A1924" s="71"/>
      <c r="B1924" s="72"/>
      <c r="C1924" s="72"/>
    </row>
    <row r="1925" spans="1:3">
      <c r="A1925" s="71"/>
      <c r="B1925" s="72"/>
      <c r="C1925" s="72"/>
    </row>
    <row r="1926" spans="1:3">
      <c r="A1926" s="71"/>
      <c r="B1926" s="72"/>
      <c r="C1926" s="72"/>
    </row>
    <row r="1927" spans="1:3">
      <c r="A1927" s="71"/>
      <c r="B1927" s="72"/>
      <c r="C1927" s="72"/>
    </row>
    <row r="1928" spans="1:3">
      <c r="A1928" s="71"/>
      <c r="B1928" s="72"/>
      <c r="C1928" s="72"/>
    </row>
    <row r="1929" spans="1:3">
      <c r="A1929" s="71"/>
      <c r="B1929" s="72"/>
      <c r="C1929" s="72"/>
    </row>
    <row r="1930" spans="1:3">
      <c r="A1930" s="71"/>
      <c r="B1930" s="72"/>
      <c r="C1930" s="72"/>
    </row>
    <row r="1931" spans="1:3">
      <c r="A1931" s="71"/>
      <c r="B1931" s="72"/>
      <c r="C1931" s="72"/>
    </row>
    <row r="1932" spans="1:3">
      <c r="A1932" s="71"/>
      <c r="B1932" s="72"/>
      <c r="C1932" s="72"/>
    </row>
    <row r="1933" spans="1:3">
      <c r="A1933" s="71"/>
      <c r="B1933" s="72"/>
      <c r="C1933" s="72"/>
    </row>
    <row r="1934" spans="1:3">
      <c r="A1934" s="71"/>
      <c r="B1934" s="72"/>
      <c r="C1934" s="72"/>
    </row>
    <row r="1935" spans="1:3">
      <c r="A1935" s="71"/>
      <c r="B1935" s="72"/>
      <c r="C1935" s="72"/>
    </row>
    <row r="1936" spans="1:3">
      <c r="A1936" s="71"/>
      <c r="B1936" s="72"/>
      <c r="C1936" s="72"/>
    </row>
    <row r="1937" spans="1:3">
      <c r="A1937" s="71"/>
      <c r="B1937" s="72"/>
      <c r="C1937" s="72"/>
    </row>
    <row r="1938" spans="1:3">
      <c r="A1938" s="71"/>
      <c r="B1938" s="72"/>
      <c r="C1938" s="72"/>
    </row>
    <row r="1939" spans="1:3">
      <c r="A1939" s="71"/>
      <c r="B1939" s="72"/>
      <c r="C1939" s="72"/>
    </row>
    <row r="1940" spans="1:3">
      <c r="A1940" s="71"/>
      <c r="B1940" s="72"/>
      <c r="C1940" s="72"/>
    </row>
    <row r="1941" spans="1:3">
      <c r="A1941" s="71"/>
      <c r="B1941" s="72"/>
      <c r="C1941" s="72"/>
    </row>
    <row r="1942" spans="1:3">
      <c r="A1942" s="71"/>
      <c r="B1942" s="72"/>
      <c r="C1942" s="72"/>
    </row>
    <row r="1943" spans="1:3">
      <c r="A1943" s="71"/>
      <c r="B1943" s="72"/>
      <c r="C1943" s="72"/>
    </row>
    <row r="1944" spans="1:3">
      <c r="A1944" s="71"/>
      <c r="B1944" s="72"/>
      <c r="C1944" s="72"/>
    </row>
    <row r="1945" spans="1:3">
      <c r="A1945" s="71"/>
      <c r="B1945" s="72"/>
      <c r="C1945" s="72"/>
    </row>
    <row r="1946" spans="1:3">
      <c r="A1946" s="71"/>
      <c r="B1946" s="72"/>
      <c r="C1946" s="72"/>
    </row>
    <row r="1947" spans="1:3">
      <c r="A1947" s="71"/>
      <c r="B1947" s="72"/>
      <c r="C1947" s="72"/>
    </row>
    <row r="1948" spans="1:3">
      <c r="A1948" s="71"/>
      <c r="B1948" s="72"/>
      <c r="C1948" s="72"/>
    </row>
    <row r="1949" spans="1:3">
      <c r="A1949" s="71"/>
      <c r="B1949" s="72"/>
      <c r="C1949" s="72"/>
    </row>
    <row r="1950" spans="1:3">
      <c r="A1950" s="71"/>
      <c r="B1950" s="72"/>
      <c r="C1950" s="72"/>
    </row>
    <row r="1951" spans="1:3">
      <c r="A1951" s="71"/>
      <c r="B1951" s="72"/>
      <c r="C1951" s="72"/>
    </row>
    <row r="1952" spans="1:3">
      <c r="A1952" s="71"/>
      <c r="B1952" s="72"/>
      <c r="C1952" s="72"/>
    </row>
    <row r="1953" spans="1:3">
      <c r="A1953" s="71"/>
      <c r="B1953" s="72"/>
      <c r="C1953" s="72"/>
    </row>
    <row r="1954" spans="1:3">
      <c r="A1954" s="71"/>
      <c r="B1954" s="72"/>
      <c r="C1954" s="72"/>
    </row>
    <row r="1955" spans="1:3">
      <c r="A1955" s="71"/>
      <c r="B1955" s="72"/>
      <c r="C1955" s="72"/>
    </row>
    <row r="1956" spans="1:3">
      <c r="A1956" s="71"/>
      <c r="B1956" s="72"/>
      <c r="C1956" s="72"/>
    </row>
    <row r="1957" spans="1:3">
      <c r="A1957" s="71"/>
      <c r="B1957" s="72"/>
      <c r="C1957" s="72"/>
    </row>
    <row r="1958" spans="1:3">
      <c r="A1958" s="71"/>
      <c r="B1958" s="72"/>
      <c r="C1958" s="72"/>
    </row>
    <row r="1959" spans="1:3">
      <c r="A1959" s="71"/>
      <c r="B1959" s="72"/>
      <c r="C1959" s="72"/>
    </row>
    <row r="1960" spans="1:3">
      <c r="A1960" s="71"/>
      <c r="B1960" s="72"/>
      <c r="C1960" s="72"/>
    </row>
    <row r="1961" spans="1:3">
      <c r="A1961" s="71"/>
      <c r="B1961" s="72"/>
      <c r="C1961" s="72"/>
    </row>
    <row r="1962" spans="1:3">
      <c r="A1962" s="71"/>
      <c r="B1962" s="72"/>
      <c r="C1962" s="72"/>
    </row>
    <row r="1963" spans="1:3">
      <c r="A1963" s="71"/>
      <c r="B1963" s="72"/>
      <c r="C1963" s="72"/>
    </row>
    <row r="1964" spans="1:3">
      <c r="A1964" s="71"/>
      <c r="B1964" s="72"/>
      <c r="C1964" s="72"/>
    </row>
    <row r="1965" spans="1:3">
      <c r="A1965" s="71"/>
      <c r="B1965" s="72"/>
      <c r="C1965" s="72"/>
    </row>
    <row r="1966" spans="1:3">
      <c r="A1966" s="71"/>
      <c r="B1966" s="72"/>
      <c r="C1966" s="72"/>
    </row>
    <row r="1967" spans="1:3">
      <c r="A1967" s="71"/>
      <c r="B1967" s="72"/>
      <c r="C1967" s="72"/>
    </row>
    <row r="1968" spans="1:3">
      <c r="A1968" s="71"/>
      <c r="B1968" s="72"/>
      <c r="C1968" s="72"/>
    </row>
    <row r="1969" spans="1:3">
      <c r="A1969" s="71"/>
      <c r="B1969" s="72"/>
      <c r="C1969" s="72"/>
    </row>
    <row r="1970" spans="1:3">
      <c r="A1970" s="71"/>
      <c r="B1970" s="72"/>
      <c r="C1970" s="72"/>
    </row>
    <row r="1971" spans="1:3">
      <c r="A1971" s="71"/>
      <c r="B1971" s="72"/>
      <c r="C1971" s="72"/>
    </row>
    <row r="1972" spans="1:3">
      <c r="A1972" s="71"/>
      <c r="B1972" s="72"/>
      <c r="C1972" s="72"/>
    </row>
    <row r="1973" spans="1:3">
      <c r="A1973" s="71"/>
      <c r="B1973" s="72"/>
      <c r="C1973" s="72"/>
    </row>
    <row r="1974" spans="1:3">
      <c r="A1974" s="71"/>
      <c r="B1974" s="72"/>
      <c r="C1974" s="72"/>
    </row>
    <row r="1975" spans="1:3">
      <c r="A1975" s="71"/>
      <c r="B1975" s="72"/>
      <c r="C1975" s="72"/>
    </row>
    <row r="1976" spans="1:3">
      <c r="A1976" s="71"/>
      <c r="B1976" s="72"/>
      <c r="C1976" s="72"/>
    </row>
    <row r="1977" spans="1:3">
      <c r="A1977" s="71"/>
      <c r="B1977" s="72"/>
      <c r="C1977" s="72"/>
    </row>
    <row r="1978" spans="1:3">
      <c r="A1978" s="71"/>
      <c r="B1978" s="72"/>
      <c r="C1978" s="72"/>
    </row>
    <row r="1979" spans="1:3">
      <c r="A1979" s="71"/>
      <c r="B1979" s="72"/>
      <c r="C1979" s="72"/>
    </row>
    <row r="1980" spans="1:3">
      <c r="A1980" s="71"/>
      <c r="B1980" s="72"/>
      <c r="C1980" s="72"/>
    </row>
    <row r="1981" spans="1:3">
      <c r="A1981" s="71"/>
      <c r="B1981" s="72"/>
      <c r="C1981" s="72"/>
    </row>
    <row r="1982" spans="1:3">
      <c r="A1982" s="71"/>
      <c r="B1982" s="72"/>
      <c r="C1982" s="72"/>
    </row>
    <row r="1983" spans="1:3">
      <c r="A1983" s="71"/>
      <c r="B1983" s="72"/>
      <c r="C1983" s="72"/>
    </row>
    <row r="1984" spans="1:3">
      <c r="A1984" s="71"/>
      <c r="B1984" s="72"/>
      <c r="C1984" s="72"/>
    </row>
    <row r="1985" spans="1:3">
      <c r="A1985" s="71"/>
      <c r="B1985" s="72"/>
      <c r="C1985" s="72"/>
    </row>
    <row r="1986" spans="1:3">
      <c r="A1986" s="71"/>
      <c r="B1986" s="72"/>
      <c r="C1986" s="72"/>
    </row>
    <row r="1987" spans="1:3">
      <c r="A1987" s="71"/>
      <c r="B1987" s="72"/>
      <c r="C1987" s="72"/>
    </row>
    <row r="1988" spans="1:3">
      <c r="A1988" s="71"/>
      <c r="B1988" s="72"/>
      <c r="C1988" s="72"/>
    </row>
    <row r="1989" spans="1:3">
      <c r="A1989" s="71"/>
      <c r="B1989" s="72"/>
      <c r="C1989" s="72"/>
    </row>
    <row r="1990" spans="1:3">
      <c r="A1990" s="71"/>
      <c r="B1990" s="72"/>
      <c r="C1990" s="72"/>
    </row>
    <row r="1991" spans="1:3">
      <c r="A1991" s="71"/>
      <c r="B1991" s="72"/>
      <c r="C1991" s="72"/>
    </row>
    <row r="1992" spans="1:3">
      <c r="A1992" s="71"/>
      <c r="B1992" s="72"/>
      <c r="C1992" s="72"/>
    </row>
    <row r="1993" spans="1:3">
      <c r="A1993" s="71"/>
      <c r="B1993" s="72"/>
      <c r="C1993" s="72"/>
    </row>
    <row r="1994" spans="1:3">
      <c r="A1994" s="71"/>
      <c r="B1994" s="72"/>
      <c r="C1994" s="72"/>
    </row>
    <row r="1995" spans="1:3">
      <c r="A1995" s="71"/>
      <c r="B1995" s="72"/>
      <c r="C1995" s="72"/>
    </row>
    <row r="1996" spans="1:3">
      <c r="A1996" s="71"/>
      <c r="B1996" s="72"/>
      <c r="C1996" s="72"/>
    </row>
    <row r="1997" spans="1:3">
      <c r="A1997" s="71"/>
      <c r="B1997" s="72"/>
      <c r="C1997" s="72"/>
    </row>
    <row r="1998" spans="1:3">
      <c r="A1998" s="71"/>
      <c r="B1998" s="72"/>
      <c r="C1998" s="72"/>
    </row>
    <row r="1999" spans="1:3">
      <c r="A1999" s="71"/>
      <c r="B1999" s="72"/>
      <c r="C1999" s="72"/>
    </row>
    <row r="2000" spans="1:3">
      <c r="A2000" s="71"/>
      <c r="B2000" s="72"/>
      <c r="C2000" s="72"/>
    </row>
    <row r="2001" spans="1:3">
      <c r="A2001" s="71"/>
      <c r="B2001" s="72"/>
      <c r="C2001" s="72"/>
    </row>
    <row r="2002" spans="1:3">
      <c r="A2002" s="71"/>
      <c r="B2002" s="72"/>
      <c r="C2002" s="72"/>
    </row>
    <row r="2003" spans="1:3">
      <c r="A2003" s="71"/>
      <c r="B2003" s="72"/>
      <c r="C2003" s="72"/>
    </row>
    <row r="2004" spans="1:3">
      <c r="A2004" s="71"/>
      <c r="B2004" s="72"/>
      <c r="C2004" s="72"/>
    </row>
    <row r="2005" spans="1:3">
      <c r="A2005" s="71"/>
      <c r="B2005" s="72"/>
      <c r="C2005" s="72"/>
    </row>
    <row r="2006" spans="1:3">
      <c r="A2006" s="71"/>
      <c r="B2006" s="72"/>
      <c r="C2006" s="72"/>
    </row>
    <row r="2007" spans="1:3">
      <c r="A2007" s="71"/>
      <c r="B2007" s="72"/>
      <c r="C2007" s="72"/>
    </row>
    <row r="2008" spans="1:3">
      <c r="A2008" s="71"/>
      <c r="B2008" s="72"/>
      <c r="C2008" s="72"/>
    </row>
    <row r="2009" spans="1:3">
      <c r="A2009" s="71"/>
      <c r="B2009" s="72"/>
      <c r="C2009" s="72"/>
    </row>
    <row r="2010" spans="1:3">
      <c r="A2010" s="71"/>
      <c r="B2010" s="72"/>
      <c r="C2010" s="72"/>
    </row>
    <row r="2011" spans="1:3">
      <c r="A2011" s="71"/>
      <c r="B2011" s="72"/>
      <c r="C2011" s="72"/>
    </row>
    <row r="2012" spans="1:3">
      <c r="A2012" s="71"/>
      <c r="B2012" s="72"/>
      <c r="C2012" s="72"/>
    </row>
    <row r="2013" spans="1:3">
      <c r="A2013" s="71"/>
      <c r="B2013" s="72"/>
      <c r="C2013" s="72"/>
    </row>
    <row r="2014" spans="1:3">
      <c r="A2014" s="71"/>
      <c r="B2014" s="72"/>
      <c r="C2014" s="72"/>
    </row>
    <row r="2015" spans="1:3">
      <c r="A2015" s="71"/>
      <c r="B2015" s="72"/>
      <c r="C2015" s="72"/>
    </row>
    <row r="2016" spans="1:3">
      <c r="A2016" s="71"/>
      <c r="B2016" s="72"/>
      <c r="C2016" s="72"/>
    </row>
    <row r="2017" spans="1:3">
      <c r="A2017" s="71"/>
      <c r="B2017" s="72"/>
      <c r="C2017" s="72"/>
    </row>
    <row r="2018" spans="1:3">
      <c r="A2018" s="71"/>
      <c r="B2018" s="72"/>
      <c r="C2018" s="72"/>
    </row>
    <row r="2019" spans="1:3">
      <c r="A2019" s="71"/>
      <c r="B2019" s="72"/>
      <c r="C2019" s="72"/>
    </row>
    <row r="2020" spans="1:3">
      <c r="A2020" s="71"/>
      <c r="B2020" s="72"/>
      <c r="C2020" s="72"/>
    </row>
    <row r="2021" spans="1:3">
      <c r="A2021" s="71"/>
      <c r="B2021" s="72"/>
      <c r="C2021" s="72"/>
    </row>
    <row r="2022" spans="1:3">
      <c r="A2022" s="71"/>
      <c r="B2022" s="72"/>
      <c r="C2022" s="72"/>
    </row>
    <row r="2023" spans="1:3">
      <c r="A2023" s="71"/>
      <c r="B2023" s="72"/>
      <c r="C2023" s="72"/>
    </row>
    <row r="2024" spans="1:3">
      <c r="A2024" s="71"/>
      <c r="B2024" s="72"/>
      <c r="C2024" s="72"/>
    </row>
    <row r="2025" spans="1:3">
      <c r="A2025" s="71"/>
      <c r="B2025" s="72"/>
      <c r="C2025" s="72"/>
    </row>
    <row r="2026" spans="1:3">
      <c r="A2026" s="71"/>
      <c r="B2026" s="72"/>
      <c r="C2026" s="72"/>
    </row>
    <row r="2027" spans="1:3">
      <c r="A2027" s="71"/>
      <c r="B2027" s="72"/>
      <c r="C2027" s="72"/>
    </row>
    <row r="2028" spans="1:3">
      <c r="A2028" s="71"/>
      <c r="B2028" s="72"/>
      <c r="C2028" s="72"/>
    </row>
    <row r="2029" spans="1:3">
      <c r="A2029" s="71"/>
      <c r="B2029" s="72"/>
      <c r="C2029" s="72"/>
    </row>
    <row r="2030" spans="1:3">
      <c r="A2030" s="71"/>
      <c r="B2030" s="72"/>
      <c r="C2030" s="72"/>
    </row>
    <row r="2031" spans="1:3">
      <c r="A2031" s="71"/>
      <c r="B2031" s="72"/>
      <c r="C2031" s="72"/>
    </row>
    <row r="2032" spans="1:3">
      <c r="A2032" s="71"/>
      <c r="B2032" s="72"/>
      <c r="C2032" s="72"/>
    </row>
    <row r="2033" spans="1:3">
      <c r="A2033" s="71"/>
      <c r="B2033" s="72"/>
      <c r="C2033" s="72"/>
    </row>
    <row r="2034" spans="1:3">
      <c r="A2034" s="71"/>
      <c r="B2034" s="72"/>
      <c r="C2034" s="72"/>
    </row>
    <row r="2035" spans="1:3">
      <c r="A2035" s="71"/>
      <c r="B2035" s="72"/>
      <c r="C2035" s="72"/>
    </row>
    <row r="2036" spans="1:3">
      <c r="A2036" s="71"/>
      <c r="B2036" s="72"/>
      <c r="C2036" s="72"/>
    </row>
    <row r="2037" spans="1:3">
      <c r="A2037" s="71"/>
      <c r="B2037" s="72"/>
      <c r="C2037" s="72"/>
    </row>
    <row r="2038" spans="1:3">
      <c r="A2038" s="71"/>
      <c r="B2038" s="72"/>
      <c r="C2038" s="72"/>
    </row>
    <row r="2039" spans="1:3">
      <c r="A2039" s="71"/>
      <c r="B2039" s="72"/>
      <c r="C2039" s="72"/>
    </row>
    <row r="2040" spans="1:3">
      <c r="A2040" s="71"/>
      <c r="B2040" s="72"/>
      <c r="C2040" s="72"/>
    </row>
    <row r="2041" spans="1:3">
      <c r="A2041" s="71"/>
      <c r="B2041" s="72"/>
      <c r="C2041" s="72"/>
    </row>
    <row r="2042" spans="1:3">
      <c r="A2042" s="71"/>
      <c r="B2042" s="72"/>
      <c r="C2042" s="72"/>
    </row>
    <row r="2043" spans="1:3">
      <c r="A2043" s="71"/>
      <c r="B2043" s="72"/>
      <c r="C2043" s="72"/>
    </row>
    <row r="2044" spans="1:3">
      <c r="A2044" s="71"/>
      <c r="B2044" s="72"/>
      <c r="C2044" s="72"/>
    </row>
    <row r="2045" spans="1:3">
      <c r="A2045" s="71"/>
      <c r="B2045" s="72"/>
      <c r="C2045" s="72"/>
    </row>
    <row r="2046" spans="1:3">
      <c r="A2046" s="71"/>
      <c r="B2046" s="72"/>
      <c r="C2046" s="72"/>
    </row>
    <row r="2047" spans="1:3">
      <c r="A2047" s="71"/>
      <c r="B2047" s="72"/>
      <c r="C2047" s="72"/>
    </row>
    <row r="2048" spans="1:3">
      <c r="A2048" s="71"/>
      <c r="B2048" s="72"/>
      <c r="C2048" s="72"/>
    </row>
    <row r="2049" spans="1:3">
      <c r="A2049" s="71"/>
      <c r="B2049" s="72"/>
      <c r="C2049" s="72"/>
    </row>
    <row r="2050" spans="1:3">
      <c r="A2050" s="71"/>
      <c r="B2050" s="72"/>
      <c r="C2050" s="72"/>
    </row>
    <row r="2051" spans="1:3">
      <c r="A2051" s="71"/>
      <c r="B2051" s="72"/>
      <c r="C2051" s="72"/>
    </row>
    <row r="2052" spans="1:3">
      <c r="A2052" s="71"/>
      <c r="B2052" s="72"/>
      <c r="C2052" s="72"/>
    </row>
    <row r="2053" spans="1:3">
      <c r="A2053" s="71"/>
      <c r="B2053" s="72"/>
      <c r="C2053" s="72"/>
    </row>
    <row r="2054" spans="1:3">
      <c r="A2054" s="71"/>
      <c r="B2054" s="72"/>
      <c r="C2054" s="72"/>
    </row>
    <row r="2055" spans="1:3">
      <c r="A2055" s="71"/>
      <c r="B2055" s="72"/>
      <c r="C2055" s="72"/>
    </row>
    <row r="2056" spans="1:3">
      <c r="A2056" s="71"/>
      <c r="B2056" s="72"/>
      <c r="C2056" s="72"/>
    </row>
    <row r="2057" spans="1:3">
      <c r="A2057" s="71"/>
      <c r="B2057" s="72"/>
      <c r="C2057" s="72"/>
    </row>
    <row r="2058" spans="1:3">
      <c r="A2058" s="71"/>
      <c r="B2058" s="72"/>
      <c r="C2058" s="72"/>
    </row>
    <row r="2059" spans="1:3">
      <c r="A2059" s="71"/>
      <c r="B2059" s="72"/>
      <c r="C2059" s="72"/>
    </row>
    <row r="2060" spans="1:3">
      <c r="A2060" s="71"/>
      <c r="B2060" s="72"/>
      <c r="C2060" s="72"/>
    </row>
    <row r="2061" spans="1:3">
      <c r="A2061" s="71"/>
      <c r="B2061" s="72"/>
      <c r="C2061" s="72"/>
    </row>
    <row r="2062" spans="1:3">
      <c r="A2062" s="71"/>
      <c r="B2062" s="72"/>
      <c r="C2062" s="72"/>
    </row>
    <row r="2063" spans="1:3">
      <c r="A2063" s="71"/>
      <c r="B2063" s="72"/>
      <c r="C2063" s="72"/>
    </row>
    <row r="2064" spans="1:3">
      <c r="A2064" s="71"/>
      <c r="B2064" s="72"/>
      <c r="C2064" s="72"/>
    </row>
    <row r="2065" spans="1:3">
      <c r="A2065" s="71"/>
      <c r="B2065" s="72"/>
      <c r="C2065" s="72"/>
    </row>
    <row r="2066" spans="1:3">
      <c r="A2066" s="71"/>
      <c r="B2066" s="72"/>
      <c r="C2066" s="72"/>
    </row>
    <row r="2067" spans="1:3">
      <c r="A2067" s="71"/>
      <c r="B2067" s="72"/>
      <c r="C2067" s="72"/>
    </row>
    <row r="2068" spans="1:3">
      <c r="A2068" s="71"/>
      <c r="B2068" s="72"/>
      <c r="C2068" s="72"/>
    </row>
    <row r="2069" spans="1:3">
      <c r="A2069" s="71"/>
      <c r="B2069" s="72"/>
      <c r="C2069" s="72"/>
    </row>
    <row r="2070" spans="1:3">
      <c r="A2070" s="71"/>
      <c r="B2070" s="72"/>
      <c r="C2070" s="72"/>
    </row>
    <row r="2071" spans="1:3">
      <c r="A2071" s="71"/>
      <c r="B2071" s="72"/>
      <c r="C2071" s="72"/>
    </row>
    <row r="2072" spans="1:3">
      <c r="A2072" s="71"/>
      <c r="B2072" s="72"/>
      <c r="C2072" s="72"/>
    </row>
    <row r="2073" spans="1:3">
      <c r="A2073" s="71"/>
      <c r="B2073" s="72"/>
      <c r="C2073" s="72"/>
    </row>
    <row r="2074" spans="1:3">
      <c r="A2074" s="71"/>
      <c r="B2074" s="72"/>
      <c r="C2074" s="72"/>
    </row>
    <row r="2075" spans="1:3">
      <c r="A2075" s="71"/>
      <c r="B2075" s="72"/>
      <c r="C2075" s="72"/>
    </row>
    <row r="2076" spans="1:3">
      <c r="A2076" s="71"/>
      <c r="B2076" s="72"/>
      <c r="C2076" s="72"/>
    </row>
    <row r="2077" spans="1:3">
      <c r="A2077" s="71"/>
      <c r="B2077" s="72"/>
      <c r="C2077" s="72"/>
    </row>
    <row r="2078" spans="1:3">
      <c r="A2078" s="71"/>
      <c r="B2078" s="72"/>
      <c r="C2078" s="72"/>
    </row>
    <row r="2079" spans="1:3">
      <c r="A2079" s="71"/>
      <c r="B2079" s="72"/>
      <c r="C2079" s="72"/>
    </row>
    <row r="2080" spans="1:3">
      <c r="A2080" s="71"/>
      <c r="B2080" s="72"/>
      <c r="C2080" s="72"/>
    </row>
    <row r="2081" spans="1:3">
      <c r="A2081" s="71"/>
      <c r="B2081" s="72"/>
      <c r="C2081" s="72"/>
    </row>
    <row r="2082" spans="1:3">
      <c r="A2082" s="71"/>
      <c r="B2082" s="72"/>
      <c r="C2082" s="72"/>
    </row>
    <row r="2083" spans="1:3">
      <c r="A2083" s="71"/>
      <c r="B2083" s="72"/>
      <c r="C2083" s="72"/>
    </row>
    <row r="2084" spans="1:3">
      <c r="A2084" s="71"/>
      <c r="B2084" s="72"/>
      <c r="C2084" s="72"/>
    </row>
    <row r="2085" spans="1:3">
      <c r="A2085" s="71"/>
      <c r="B2085" s="72"/>
      <c r="C2085" s="72"/>
    </row>
    <row r="2086" spans="1:3">
      <c r="A2086" s="71"/>
      <c r="B2086" s="72"/>
      <c r="C2086" s="72"/>
    </row>
    <row r="2087" spans="1:3">
      <c r="A2087" s="71"/>
      <c r="B2087" s="72"/>
      <c r="C2087" s="72"/>
    </row>
    <row r="2088" spans="1:3">
      <c r="A2088" s="71"/>
      <c r="B2088" s="72"/>
      <c r="C2088" s="72"/>
    </row>
    <row r="2089" spans="1:3">
      <c r="A2089" s="71"/>
      <c r="B2089" s="72"/>
      <c r="C2089" s="72"/>
    </row>
    <row r="2090" spans="1:3">
      <c r="A2090" s="71"/>
      <c r="B2090" s="72"/>
      <c r="C2090" s="72"/>
    </row>
    <row r="2091" spans="1:3">
      <c r="A2091" s="71"/>
      <c r="B2091" s="72"/>
      <c r="C2091" s="72"/>
    </row>
    <row r="2092" spans="1:3">
      <c r="A2092" s="71"/>
      <c r="B2092" s="72"/>
      <c r="C2092" s="72"/>
    </row>
    <row r="2093" spans="1:3">
      <c r="A2093" s="71"/>
      <c r="B2093" s="72"/>
      <c r="C2093" s="72"/>
    </row>
    <row r="2094" spans="1:3">
      <c r="A2094" s="71"/>
      <c r="B2094" s="72"/>
      <c r="C2094" s="72"/>
    </row>
    <row r="2095" spans="1:3">
      <c r="A2095" s="71"/>
      <c r="B2095" s="72"/>
      <c r="C2095" s="72"/>
    </row>
    <row r="2096" spans="1:3">
      <c r="A2096" s="71"/>
      <c r="B2096" s="72"/>
      <c r="C2096" s="72"/>
    </row>
    <row r="2097" spans="1:3">
      <c r="A2097" s="71"/>
      <c r="B2097" s="72"/>
      <c r="C2097" s="72"/>
    </row>
    <row r="2098" spans="1:3">
      <c r="A2098" s="71"/>
      <c r="B2098" s="72"/>
      <c r="C2098" s="72"/>
    </row>
    <row r="2099" spans="1:3">
      <c r="A2099" s="71"/>
      <c r="B2099" s="72"/>
      <c r="C2099" s="72"/>
    </row>
    <row r="2100" spans="1:3">
      <c r="A2100" s="71"/>
      <c r="B2100" s="72"/>
      <c r="C2100" s="72"/>
    </row>
    <row r="2101" spans="1:3">
      <c r="A2101" s="71"/>
      <c r="B2101" s="72"/>
      <c r="C2101" s="72"/>
    </row>
    <row r="2102" spans="1:3">
      <c r="A2102" s="71"/>
      <c r="B2102" s="72"/>
      <c r="C2102" s="72"/>
    </row>
    <row r="2103" spans="1:3">
      <c r="A2103" s="71"/>
      <c r="B2103" s="72"/>
      <c r="C2103" s="72"/>
    </row>
    <row r="2104" spans="1:3">
      <c r="A2104" s="71"/>
      <c r="B2104" s="72"/>
      <c r="C2104" s="72"/>
    </row>
    <row r="2105" spans="1:3">
      <c r="A2105" s="71"/>
      <c r="B2105" s="72"/>
      <c r="C2105" s="72"/>
    </row>
    <row r="2106" spans="1:3">
      <c r="A2106" s="71"/>
      <c r="B2106" s="72"/>
      <c r="C2106" s="72"/>
    </row>
    <row r="2107" spans="1:3">
      <c r="A2107" s="71"/>
      <c r="B2107" s="72"/>
      <c r="C2107" s="72"/>
    </row>
    <row r="2108" spans="1:3">
      <c r="A2108" s="71"/>
      <c r="B2108" s="72"/>
      <c r="C2108" s="72"/>
    </row>
    <row r="2109" spans="1:3">
      <c r="A2109" s="71"/>
      <c r="B2109" s="72"/>
      <c r="C2109" s="72"/>
    </row>
    <row r="2110" spans="1:3">
      <c r="A2110" s="71"/>
      <c r="B2110" s="72"/>
      <c r="C2110" s="72"/>
    </row>
    <row r="2111" spans="1:3">
      <c r="A2111" s="71"/>
      <c r="B2111" s="72"/>
      <c r="C2111" s="72"/>
    </row>
    <row r="2112" spans="1:3">
      <c r="A2112" s="71"/>
      <c r="B2112" s="72"/>
      <c r="C2112" s="72"/>
    </row>
    <row r="2113" spans="1:3">
      <c r="A2113" s="71"/>
      <c r="B2113" s="72"/>
      <c r="C2113" s="72"/>
    </row>
    <row r="2114" spans="1:3">
      <c r="A2114" s="71"/>
      <c r="B2114" s="72"/>
      <c r="C2114" s="72"/>
    </row>
    <row r="2115" spans="1:3">
      <c r="A2115" s="71"/>
      <c r="B2115" s="72"/>
      <c r="C2115" s="72"/>
    </row>
    <row r="2116" spans="1:3">
      <c r="A2116" s="71"/>
      <c r="B2116" s="72"/>
      <c r="C2116" s="72"/>
    </row>
    <row r="2117" spans="1:3">
      <c r="A2117" s="71"/>
      <c r="B2117" s="72"/>
      <c r="C2117" s="72"/>
    </row>
    <row r="2118" spans="1:3">
      <c r="A2118" s="71"/>
      <c r="B2118" s="72"/>
      <c r="C2118" s="72"/>
    </row>
    <row r="2119" spans="1:3">
      <c r="A2119" s="71"/>
      <c r="B2119" s="72"/>
      <c r="C2119" s="72"/>
    </row>
    <row r="2120" spans="1:3">
      <c r="A2120" s="71"/>
      <c r="B2120" s="72"/>
      <c r="C2120" s="72"/>
    </row>
    <row r="2121" spans="1:3">
      <c r="A2121" s="71"/>
      <c r="B2121" s="72"/>
      <c r="C2121" s="72"/>
    </row>
    <row r="2122" spans="1:3">
      <c r="A2122" s="71"/>
      <c r="B2122" s="72"/>
      <c r="C2122" s="72"/>
    </row>
    <row r="2123" spans="1:3">
      <c r="A2123" s="71"/>
      <c r="B2123" s="72"/>
      <c r="C2123" s="72"/>
    </row>
    <row r="2124" spans="1:3">
      <c r="A2124" s="71"/>
      <c r="B2124" s="72"/>
      <c r="C2124" s="72"/>
    </row>
    <row r="2125" spans="1:3">
      <c r="A2125" s="71"/>
      <c r="B2125" s="72"/>
      <c r="C2125" s="72"/>
    </row>
    <row r="2126" spans="1:3">
      <c r="A2126" s="71"/>
      <c r="B2126" s="72"/>
      <c r="C2126" s="72"/>
    </row>
    <row r="2127" spans="1:3">
      <c r="A2127" s="71"/>
      <c r="B2127" s="72"/>
      <c r="C2127" s="72"/>
    </row>
    <row r="2128" spans="1:3">
      <c r="A2128" s="71"/>
      <c r="B2128" s="72"/>
      <c r="C2128" s="72"/>
    </row>
    <row r="2129" spans="1:3">
      <c r="A2129" s="71"/>
      <c r="B2129" s="72"/>
      <c r="C2129" s="72"/>
    </row>
    <row r="2130" spans="1:3">
      <c r="A2130" s="71"/>
      <c r="B2130" s="72"/>
      <c r="C2130" s="72"/>
    </row>
    <row r="2131" spans="1:3">
      <c r="A2131" s="71"/>
      <c r="B2131" s="72"/>
      <c r="C2131" s="72"/>
    </row>
    <row r="2132" spans="1:3">
      <c r="A2132" s="71"/>
      <c r="B2132" s="72"/>
      <c r="C2132" s="72"/>
    </row>
    <row r="2133" spans="1:3">
      <c r="A2133" s="71"/>
      <c r="B2133" s="72"/>
      <c r="C2133" s="72"/>
    </row>
    <row r="2134" spans="1:3">
      <c r="A2134" s="71"/>
      <c r="B2134" s="72"/>
      <c r="C2134" s="72"/>
    </row>
    <row r="2135" spans="1:3">
      <c r="A2135" s="71"/>
      <c r="B2135" s="72"/>
      <c r="C2135" s="72"/>
    </row>
    <row r="2136" spans="1:3">
      <c r="A2136" s="71"/>
      <c r="B2136" s="72"/>
      <c r="C2136" s="72"/>
    </row>
    <row r="2137" spans="1:3">
      <c r="A2137" s="71"/>
      <c r="B2137" s="72"/>
      <c r="C2137" s="72"/>
    </row>
    <row r="2138" spans="1:3">
      <c r="A2138" s="71"/>
      <c r="B2138" s="72"/>
      <c r="C2138" s="72"/>
    </row>
    <row r="2139" spans="1:3">
      <c r="A2139" s="71"/>
      <c r="B2139" s="72"/>
      <c r="C2139" s="72"/>
    </row>
    <row r="2140" spans="1:3">
      <c r="A2140" s="71"/>
      <c r="B2140" s="72"/>
      <c r="C2140" s="72"/>
    </row>
    <row r="2141" spans="1:3">
      <c r="A2141" s="71"/>
      <c r="B2141" s="72"/>
      <c r="C2141" s="72"/>
    </row>
    <row r="2142" spans="1:3">
      <c r="A2142" s="71"/>
      <c r="B2142" s="72"/>
      <c r="C2142" s="72"/>
    </row>
    <row r="2143" spans="1:3">
      <c r="A2143" s="71"/>
      <c r="B2143" s="72"/>
      <c r="C2143" s="72"/>
    </row>
    <row r="2144" spans="1:3">
      <c r="A2144" s="71"/>
      <c r="B2144" s="72"/>
      <c r="C2144" s="72"/>
    </row>
    <row r="2145" spans="1:3">
      <c r="A2145" s="71"/>
      <c r="B2145" s="72"/>
      <c r="C2145" s="72"/>
    </row>
    <row r="2146" spans="1:3">
      <c r="A2146" s="71"/>
      <c r="B2146" s="72"/>
      <c r="C2146" s="72"/>
    </row>
    <row r="2147" spans="1:3">
      <c r="A2147" s="71"/>
      <c r="B2147" s="72"/>
      <c r="C2147" s="72"/>
    </row>
    <row r="2148" spans="1:3">
      <c r="A2148" s="71"/>
      <c r="B2148" s="72"/>
      <c r="C2148" s="72"/>
    </row>
    <row r="2149" spans="1:3">
      <c r="A2149" s="71"/>
      <c r="B2149" s="72"/>
      <c r="C2149" s="72"/>
    </row>
    <row r="2150" spans="1:3">
      <c r="A2150" s="71"/>
      <c r="B2150" s="72"/>
      <c r="C2150" s="72"/>
    </row>
    <row r="2151" spans="1:3">
      <c r="A2151" s="71"/>
      <c r="B2151" s="72"/>
      <c r="C2151" s="72"/>
    </row>
    <row r="2152" spans="1:3">
      <c r="A2152" s="71"/>
      <c r="B2152" s="72"/>
      <c r="C2152" s="72"/>
    </row>
    <row r="2153" spans="1:3">
      <c r="A2153" s="71"/>
      <c r="B2153" s="72"/>
      <c r="C2153" s="72"/>
    </row>
    <row r="2154" spans="1:3">
      <c r="A2154" s="71"/>
      <c r="B2154" s="72"/>
      <c r="C2154" s="72"/>
    </row>
    <row r="2155" spans="1:3">
      <c r="A2155" s="71"/>
      <c r="B2155" s="72"/>
      <c r="C2155" s="72"/>
    </row>
    <row r="2156" spans="1:3">
      <c r="A2156" s="71"/>
      <c r="B2156" s="72"/>
      <c r="C2156" s="72"/>
    </row>
    <row r="2157" spans="1:3">
      <c r="A2157" s="71"/>
      <c r="B2157" s="72"/>
      <c r="C2157" s="72"/>
    </row>
    <row r="2158" spans="1:3">
      <c r="A2158" s="71"/>
      <c r="B2158" s="72"/>
      <c r="C2158" s="72"/>
    </row>
    <row r="2159" spans="1:3">
      <c r="A2159" s="71"/>
      <c r="B2159" s="72"/>
      <c r="C2159" s="72"/>
    </row>
    <row r="2160" spans="1:3">
      <c r="A2160" s="71"/>
      <c r="B2160" s="72"/>
      <c r="C2160" s="72"/>
    </row>
    <row r="2161" spans="1:3">
      <c r="A2161" s="71"/>
      <c r="B2161" s="72"/>
      <c r="C2161" s="72"/>
    </row>
    <row r="2162" spans="1:3">
      <c r="A2162" s="71"/>
      <c r="B2162" s="72"/>
      <c r="C2162" s="72"/>
    </row>
    <row r="2163" spans="1:3">
      <c r="A2163" s="71"/>
      <c r="B2163" s="72"/>
      <c r="C2163" s="72"/>
    </row>
    <row r="2164" spans="1:3">
      <c r="A2164" s="71"/>
      <c r="B2164" s="72"/>
      <c r="C2164" s="72"/>
    </row>
    <row r="2165" spans="1:3">
      <c r="A2165" s="71"/>
      <c r="B2165" s="72"/>
      <c r="C2165" s="72"/>
    </row>
    <row r="2166" spans="1:3">
      <c r="A2166" s="71"/>
      <c r="B2166" s="72"/>
      <c r="C2166" s="72"/>
    </row>
    <row r="2167" spans="1:3">
      <c r="A2167" s="71"/>
      <c r="B2167" s="72"/>
      <c r="C2167" s="72"/>
    </row>
    <row r="2168" spans="1:3">
      <c r="A2168" s="71"/>
      <c r="B2168" s="72"/>
      <c r="C2168" s="72"/>
    </row>
    <row r="2169" spans="1:3">
      <c r="A2169" s="71"/>
      <c r="B2169" s="72"/>
      <c r="C2169" s="72"/>
    </row>
    <row r="2170" spans="1:3">
      <c r="A2170" s="71"/>
      <c r="B2170" s="72"/>
      <c r="C2170" s="72"/>
    </row>
    <row r="2171" spans="1:3">
      <c r="A2171" s="71"/>
      <c r="B2171" s="72"/>
      <c r="C2171" s="72"/>
    </row>
    <row r="2172" spans="1:3">
      <c r="A2172" s="71"/>
      <c r="B2172" s="72"/>
      <c r="C2172" s="72"/>
    </row>
    <row r="2173" spans="1:3">
      <c r="A2173" s="71"/>
      <c r="B2173" s="72"/>
      <c r="C2173" s="72"/>
    </row>
    <row r="2174" spans="1:3">
      <c r="A2174" s="71"/>
      <c r="B2174" s="72"/>
      <c r="C2174" s="72"/>
    </row>
    <row r="2175" spans="1:3">
      <c r="A2175" s="71"/>
      <c r="B2175" s="72"/>
      <c r="C2175" s="72"/>
    </row>
    <row r="2176" spans="1:3">
      <c r="A2176" s="71"/>
      <c r="B2176" s="72"/>
      <c r="C2176" s="72"/>
    </row>
    <row r="2177" spans="1:3">
      <c r="A2177" s="71"/>
      <c r="B2177" s="72"/>
      <c r="C2177" s="72"/>
    </row>
    <row r="2178" spans="1:3">
      <c r="A2178" s="71"/>
      <c r="B2178" s="72"/>
      <c r="C2178" s="72"/>
    </row>
    <row r="2179" spans="1:3">
      <c r="A2179" s="71"/>
      <c r="B2179" s="72"/>
      <c r="C2179" s="72"/>
    </row>
    <row r="2180" spans="1:3">
      <c r="A2180" s="71"/>
      <c r="B2180" s="72"/>
      <c r="C2180" s="72"/>
    </row>
    <row r="2181" spans="1:3">
      <c r="A2181" s="71"/>
      <c r="B2181" s="72"/>
      <c r="C2181" s="72"/>
    </row>
    <row r="2182" spans="1:3">
      <c r="A2182" s="71"/>
      <c r="B2182" s="72"/>
      <c r="C2182" s="72"/>
    </row>
    <row r="2183" spans="1:3">
      <c r="A2183" s="71"/>
      <c r="B2183" s="72"/>
      <c r="C2183" s="72"/>
    </row>
    <row r="2184" spans="1:3">
      <c r="A2184" s="71"/>
      <c r="B2184" s="72"/>
      <c r="C2184" s="72"/>
    </row>
    <row r="2185" spans="1:3">
      <c r="A2185" s="71"/>
      <c r="B2185" s="72"/>
      <c r="C2185" s="72"/>
    </row>
    <row r="2186" spans="1:3">
      <c r="A2186" s="71"/>
      <c r="B2186" s="72"/>
      <c r="C2186" s="72"/>
    </row>
    <row r="2187" spans="1:3">
      <c r="A2187" s="71"/>
      <c r="B2187" s="72"/>
      <c r="C2187" s="72"/>
    </row>
    <row r="2188" spans="1:3">
      <c r="A2188" s="71"/>
      <c r="B2188" s="72"/>
      <c r="C2188" s="72"/>
    </row>
    <row r="2189" spans="1:3">
      <c r="A2189" s="71"/>
      <c r="B2189" s="72"/>
      <c r="C2189" s="72"/>
    </row>
    <row r="2190" spans="1:3">
      <c r="A2190" s="71"/>
      <c r="B2190" s="72"/>
      <c r="C2190" s="72"/>
    </row>
    <row r="2191" spans="1:3">
      <c r="A2191" s="71"/>
      <c r="B2191" s="72"/>
      <c r="C2191" s="72"/>
    </row>
    <row r="2192" spans="1:3">
      <c r="A2192" s="71"/>
      <c r="B2192" s="72"/>
      <c r="C2192" s="72"/>
    </row>
    <row r="2193" spans="1:3">
      <c r="A2193" s="71"/>
      <c r="B2193" s="72"/>
      <c r="C2193" s="72"/>
    </row>
    <row r="2194" spans="1:3">
      <c r="A2194" s="71"/>
      <c r="B2194" s="72"/>
      <c r="C2194" s="72"/>
    </row>
    <row r="2195" spans="1:3">
      <c r="A2195" s="71"/>
      <c r="B2195" s="72"/>
      <c r="C2195" s="72"/>
    </row>
    <row r="2196" spans="1:3">
      <c r="A2196" s="71"/>
      <c r="B2196" s="72"/>
      <c r="C2196" s="72"/>
    </row>
    <row r="2197" spans="1:3">
      <c r="A2197" s="71"/>
      <c r="B2197" s="72"/>
      <c r="C2197" s="72"/>
    </row>
    <row r="2198" spans="1:3">
      <c r="A2198" s="71"/>
      <c r="B2198" s="72"/>
      <c r="C2198" s="72"/>
    </row>
    <row r="2199" spans="1:3">
      <c r="A2199" s="71"/>
      <c r="B2199" s="72"/>
      <c r="C2199" s="72"/>
    </row>
    <row r="2200" spans="1:3">
      <c r="A2200" s="71"/>
      <c r="B2200" s="72"/>
      <c r="C2200" s="72"/>
    </row>
    <row r="2201" spans="1:3">
      <c r="A2201" s="71"/>
      <c r="B2201" s="72"/>
      <c r="C2201" s="72"/>
    </row>
    <row r="2202" spans="1:3">
      <c r="A2202" s="71"/>
      <c r="B2202" s="72"/>
      <c r="C2202" s="72"/>
    </row>
    <row r="2203" spans="1:3">
      <c r="A2203" s="71"/>
      <c r="B2203" s="72"/>
      <c r="C2203" s="72"/>
    </row>
    <row r="2204" spans="1:3">
      <c r="A2204" s="71"/>
      <c r="B2204" s="72"/>
      <c r="C2204" s="72"/>
    </row>
    <row r="2205" spans="1:3">
      <c r="A2205" s="71"/>
      <c r="B2205" s="72"/>
      <c r="C2205" s="72"/>
    </row>
    <row r="2206" spans="1:3">
      <c r="A2206" s="71"/>
      <c r="B2206" s="72"/>
      <c r="C2206" s="72"/>
    </row>
    <row r="2207" spans="1:3">
      <c r="A2207" s="71"/>
      <c r="B2207" s="72"/>
      <c r="C2207" s="72"/>
    </row>
    <row r="2208" spans="1:3">
      <c r="A2208" s="71"/>
      <c r="B2208" s="72"/>
      <c r="C2208" s="72"/>
    </row>
    <row r="2209" spans="1:3">
      <c r="A2209" s="71"/>
      <c r="B2209" s="72"/>
      <c r="C2209" s="72"/>
    </row>
    <row r="2210" spans="1:3">
      <c r="A2210" s="71"/>
      <c r="B2210" s="72"/>
      <c r="C2210" s="72"/>
    </row>
    <row r="2211" spans="1:3">
      <c r="A2211" s="71"/>
      <c r="B2211" s="72"/>
      <c r="C2211" s="72"/>
    </row>
    <row r="2212" spans="1:3">
      <c r="A2212" s="71"/>
      <c r="B2212" s="72"/>
      <c r="C2212" s="72"/>
    </row>
    <row r="2213" spans="1:3">
      <c r="A2213" s="71"/>
      <c r="B2213" s="72"/>
      <c r="C2213" s="72"/>
    </row>
    <row r="2214" spans="1:3">
      <c r="A2214" s="71"/>
      <c r="B2214" s="72"/>
      <c r="C2214" s="72"/>
    </row>
    <row r="2215" spans="1:3">
      <c r="A2215" s="71"/>
      <c r="B2215" s="72"/>
      <c r="C2215" s="72"/>
    </row>
    <row r="2216" spans="1:3">
      <c r="A2216" s="71"/>
      <c r="B2216" s="72"/>
      <c r="C2216" s="72"/>
    </row>
    <row r="2217" spans="1:3">
      <c r="A2217" s="71"/>
      <c r="B2217" s="72"/>
      <c r="C2217" s="72"/>
    </row>
    <row r="2218" spans="1:3">
      <c r="A2218" s="71"/>
      <c r="B2218" s="72"/>
      <c r="C2218" s="72"/>
    </row>
    <row r="2219" spans="1:3">
      <c r="A2219" s="71"/>
      <c r="B2219" s="72"/>
      <c r="C2219" s="72"/>
    </row>
    <row r="2220" spans="1:3">
      <c r="A2220" s="71"/>
      <c r="B2220" s="72"/>
      <c r="C2220" s="72"/>
    </row>
    <row r="2221" spans="1:3">
      <c r="A2221" s="71"/>
      <c r="B2221" s="72"/>
      <c r="C2221" s="72"/>
    </row>
    <row r="2222" spans="1:3">
      <c r="A2222" s="71"/>
      <c r="B2222" s="72"/>
      <c r="C2222" s="72"/>
    </row>
    <row r="2223" spans="1:3">
      <c r="A2223" s="71"/>
      <c r="B2223" s="72"/>
      <c r="C2223" s="72"/>
    </row>
    <row r="2224" spans="1:3">
      <c r="A2224" s="71"/>
      <c r="B2224" s="72"/>
      <c r="C2224" s="72"/>
    </row>
    <row r="2225" spans="1:3">
      <c r="A2225" s="71"/>
      <c r="B2225" s="72"/>
      <c r="C2225" s="72"/>
    </row>
    <row r="2226" spans="1:3">
      <c r="A2226" s="71"/>
      <c r="B2226" s="72"/>
      <c r="C2226" s="72"/>
    </row>
    <row r="2227" spans="1:3">
      <c r="A2227" s="71"/>
      <c r="B2227" s="72"/>
      <c r="C2227" s="72"/>
    </row>
    <row r="2228" spans="1:3">
      <c r="A2228" s="71"/>
      <c r="B2228" s="72"/>
      <c r="C2228" s="72"/>
    </row>
    <row r="2229" spans="1:3">
      <c r="A2229" s="71"/>
      <c r="B2229" s="72"/>
      <c r="C2229" s="72"/>
    </row>
    <row r="2230" spans="1:3">
      <c r="A2230" s="71"/>
      <c r="B2230" s="72"/>
      <c r="C2230" s="72"/>
    </row>
    <row r="2231" spans="1:3">
      <c r="A2231" s="71"/>
      <c r="B2231" s="72"/>
      <c r="C2231" s="72"/>
    </row>
    <row r="2232" spans="1:3">
      <c r="A2232" s="71"/>
      <c r="B2232" s="72"/>
      <c r="C2232" s="72"/>
    </row>
    <row r="2233" spans="1:3">
      <c r="A2233" s="71"/>
      <c r="B2233" s="72"/>
      <c r="C2233" s="72"/>
    </row>
    <row r="2234" spans="1:3">
      <c r="A2234" s="71"/>
      <c r="B2234" s="72"/>
      <c r="C2234" s="72"/>
    </row>
    <row r="2235" spans="1:3">
      <c r="A2235" s="71"/>
      <c r="B2235" s="72"/>
      <c r="C2235" s="72"/>
    </row>
    <row r="2236" spans="1:3">
      <c r="A2236" s="71"/>
      <c r="B2236" s="72"/>
      <c r="C2236" s="72"/>
    </row>
    <row r="2237" spans="1:3">
      <c r="A2237" s="71"/>
      <c r="B2237" s="72"/>
      <c r="C2237" s="72"/>
    </row>
    <row r="2238" spans="1:3">
      <c r="A2238" s="71"/>
      <c r="B2238" s="72"/>
      <c r="C2238" s="72"/>
    </row>
    <row r="2239" spans="1:3">
      <c r="A2239" s="71"/>
      <c r="B2239" s="72"/>
      <c r="C2239" s="72"/>
    </row>
    <row r="2240" spans="1:3">
      <c r="A2240" s="71"/>
      <c r="B2240" s="72"/>
      <c r="C2240" s="72"/>
    </row>
    <row r="2241" spans="1:3">
      <c r="A2241" s="71"/>
      <c r="B2241" s="72"/>
      <c r="C2241" s="72"/>
    </row>
    <row r="2242" spans="1:3">
      <c r="A2242" s="71"/>
      <c r="B2242" s="72"/>
      <c r="C2242" s="72"/>
    </row>
    <row r="2243" spans="1:3">
      <c r="A2243" s="71"/>
      <c r="B2243" s="72"/>
      <c r="C2243" s="72"/>
    </row>
    <row r="2244" spans="1:3">
      <c r="A2244" s="71"/>
      <c r="B2244" s="72"/>
      <c r="C2244" s="72"/>
    </row>
    <row r="2245" spans="1:3">
      <c r="A2245" s="71"/>
      <c r="B2245" s="72"/>
      <c r="C2245" s="72"/>
    </row>
    <row r="2246" spans="1:3">
      <c r="A2246" s="71"/>
      <c r="B2246" s="72"/>
      <c r="C2246" s="72"/>
    </row>
    <row r="2247" spans="1:3">
      <c r="A2247" s="71"/>
      <c r="B2247" s="72"/>
      <c r="C2247" s="72"/>
    </row>
    <row r="2248" spans="1:3">
      <c r="A2248" s="71"/>
      <c r="B2248" s="72"/>
      <c r="C2248" s="72"/>
    </row>
    <row r="2249" spans="1:3">
      <c r="A2249" s="71"/>
      <c r="B2249" s="72"/>
      <c r="C2249" s="72"/>
    </row>
    <row r="2250" spans="1:3">
      <c r="A2250" s="71"/>
      <c r="B2250" s="72"/>
      <c r="C2250" s="72"/>
    </row>
    <row r="2251" spans="1:3">
      <c r="A2251" s="71"/>
      <c r="B2251" s="72"/>
      <c r="C2251" s="72"/>
    </row>
    <row r="2252" spans="1:3">
      <c r="A2252" s="71"/>
      <c r="B2252" s="72"/>
      <c r="C2252" s="72"/>
    </row>
    <row r="2253" spans="1:3">
      <c r="A2253" s="71"/>
      <c r="B2253" s="72"/>
      <c r="C2253" s="72"/>
    </row>
    <row r="2254" spans="1:3">
      <c r="A2254" s="71"/>
      <c r="B2254" s="72"/>
      <c r="C2254" s="72"/>
    </row>
    <row r="2255" spans="1:3">
      <c r="A2255" s="71"/>
      <c r="B2255" s="72"/>
      <c r="C2255" s="72"/>
    </row>
    <row r="2256" spans="1:3">
      <c r="A2256" s="71"/>
      <c r="B2256" s="72"/>
      <c r="C2256" s="72"/>
    </row>
    <row r="2257" spans="1:3">
      <c r="A2257" s="71"/>
      <c r="B2257" s="72"/>
      <c r="C2257" s="72"/>
    </row>
    <row r="2258" spans="1:3">
      <c r="A2258" s="71"/>
      <c r="B2258" s="72"/>
      <c r="C2258" s="72"/>
    </row>
    <row r="2259" spans="1:3">
      <c r="A2259" s="71"/>
      <c r="B2259" s="72"/>
      <c r="C2259" s="72"/>
    </row>
    <row r="2260" spans="1:3">
      <c r="A2260" s="71"/>
      <c r="B2260" s="72"/>
      <c r="C2260" s="72"/>
    </row>
    <row r="2261" spans="1:3">
      <c r="A2261" s="71"/>
      <c r="B2261" s="72"/>
      <c r="C2261" s="72"/>
    </row>
    <row r="2262" spans="1:3">
      <c r="A2262" s="71"/>
      <c r="B2262" s="72"/>
      <c r="C2262" s="72"/>
    </row>
    <row r="2263" spans="1:3">
      <c r="A2263" s="71"/>
      <c r="B2263" s="72"/>
      <c r="C2263" s="72"/>
    </row>
    <row r="2264" spans="1:3">
      <c r="A2264" s="71"/>
      <c r="B2264" s="72"/>
      <c r="C2264" s="72"/>
    </row>
    <row r="2265" spans="1:3">
      <c r="A2265" s="71"/>
      <c r="B2265" s="72"/>
      <c r="C2265" s="72"/>
    </row>
    <row r="2266" spans="1:3">
      <c r="A2266" s="71"/>
      <c r="B2266" s="72"/>
      <c r="C2266" s="72"/>
    </row>
    <row r="2267" spans="1:3">
      <c r="A2267" s="71"/>
      <c r="B2267" s="72"/>
      <c r="C2267" s="72"/>
    </row>
    <row r="2268" spans="1:3">
      <c r="A2268" s="71"/>
      <c r="B2268" s="72"/>
      <c r="C2268" s="72"/>
    </row>
    <row r="2269" spans="1:3">
      <c r="A2269" s="71"/>
      <c r="B2269" s="72"/>
      <c r="C2269" s="72"/>
    </row>
    <row r="2270" spans="1:3">
      <c r="A2270" s="71"/>
      <c r="B2270" s="72"/>
      <c r="C2270" s="72"/>
    </row>
    <row r="2271" spans="1:3">
      <c r="A2271" s="71"/>
      <c r="B2271" s="72"/>
      <c r="C2271" s="72"/>
    </row>
    <row r="2272" spans="1:3">
      <c r="A2272" s="71"/>
      <c r="B2272" s="72"/>
      <c r="C2272" s="72"/>
    </row>
    <row r="2273" spans="1:3">
      <c r="A2273" s="71"/>
      <c r="B2273" s="72"/>
      <c r="C2273" s="72"/>
    </row>
    <row r="2274" spans="1:3">
      <c r="A2274" s="71"/>
      <c r="B2274" s="72"/>
      <c r="C2274" s="72"/>
    </row>
    <row r="2275" spans="1:3">
      <c r="A2275" s="71"/>
      <c r="B2275" s="72"/>
      <c r="C2275" s="72"/>
    </row>
    <row r="2276" spans="1:3">
      <c r="A2276" s="71"/>
      <c r="B2276" s="72"/>
      <c r="C2276" s="72"/>
    </row>
    <row r="2277" spans="1:3">
      <c r="A2277" s="71"/>
      <c r="B2277" s="72"/>
      <c r="C2277" s="72"/>
    </row>
    <row r="2278" spans="1:3">
      <c r="A2278" s="71"/>
      <c r="B2278" s="72"/>
      <c r="C2278" s="72"/>
    </row>
    <row r="2279" spans="1:3">
      <c r="A2279" s="71"/>
      <c r="B2279" s="72"/>
      <c r="C2279" s="72"/>
    </row>
    <row r="2280" spans="1:3">
      <c r="A2280" s="71"/>
      <c r="B2280" s="72"/>
      <c r="C2280" s="72"/>
    </row>
    <row r="2281" spans="1:3">
      <c r="A2281" s="71"/>
      <c r="B2281" s="72"/>
      <c r="C2281" s="72"/>
    </row>
    <row r="2282" spans="1:3">
      <c r="A2282" s="71"/>
      <c r="B2282" s="72"/>
      <c r="C2282" s="72"/>
    </row>
    <row r="2283" spans="1:3">
      <c r="A2283" s="71"/>
      <c r="B2283" s="72"/>
      <c r="C2283" s="72"/>
    </row>
    <row r="2284" spans="1:3">
      <c r="A2284" s="71"/>
      <c r="B2284" s="72"/>
      <c r="C2284" s="72"/>
    </row>
    <row r="2285" spans="1:3">
      <c r="A2285" s="71"/>
      <c r="B2285" s="72"/>
      <c r="C2285" s="72"/>
    </row>
    <row r="2286" spans="1:3">
      <c r="A2286" s="71"/>
      <c r="B2286" s="72"/>
      <c r="C2286" s="72"/>
    </row>
    <row r="2287" spans="1:3">
      <c r="A2287" s="71"/>
      <c r="B2287" s="72"/>
      <c r="C2287" s="72"/>
    </row>
    <row r="2288" spans="1:3">
      <c r="A2288" s="71"/>
      <c r="B2288" s="72"/>
      <c r="C2288" s="72"/>
    </row>
    <row r="2289" spans="1:3">
      <c r="A2289" s="71"/>
      <c r="B2289" s="72"/>
      <c r="C2289" s="72"/>
    </row>
    <row r="2290" spans="1:3">
      <c r="A2290" s="71"/>
      <c r="B2290" s="72"/>
      <c r="C2290" s="72"/>
    </row>
    <row r="2291" spans="1:3">
      <c r="A2291" s="71"/>
      <c r="B2291" s="72"/>
      <c r="C2291" s="72"/>
    </row>
    <row r="2292" spans="1:3">
      <c r="A2292" s="71"/>
      <c r="B2292" s="72"/>
      <c r="C2292" s="72"/>
    </row>
    <row r="2293" spans="1:3">
      <c r="A2293" s="71"/>
      <c r="B2293" s="72"/>
      <c r="C2293" s="72"/>
    </row>
    <row r="2294" spans="1:3">
      <c r="A2294" s="71"/>
      <c r="B2294" s="72"/>
      <c r="C2294" s="72"/>
    </row>
    <row r="2295" spans="1:3">
      <c r="A2295" s="71"/>
      <c r="B2295" s="72"/>
      <c r="C2295" s="72"/>
    </row>
    <row r="2296" spans="1:3">
      <c r="A2296" s="71"/>
      <c r="B2296" s="72"/>
      <c r="C2296" s="72"/>
    </row>
    <row r="2297" spans="1:3">
      <c r="A2297" s="71"/>
      <c r="B2297" s="72"/>
      <c r="C2297" s="72"/>
    </row>
    <row r="2298" spans="1:3">
      <c r="A2298" s="71"/>
      <c r="B2298" s="72"/>
      <c r="C2298" s="72"/>
    </row>
    <row r="2299" spans="1:3">
      <c r="A2299" s="71"/>
      <c r="B2299" s="72"/>
      <c r="C2299" s="72"/>
    </row>
    <row r="2300" spans="1:3">
      <c r="A2300" s="71"/>
      <c r="B2300" s="72"/>
      <c r="C2300" s="72"/>
    </row>
    <row r="2301" spans="1:3">
      <c r="A2301" s="71"/>
      <c r="B2301" s="72"/>
      <c r="C2301" s="72"/>
    </row>
    <row r="2302" spans="1:3">
      <c r="A2302" s="71"/>
      <c r="B2302" s="72"/>
      <c r="C2302" s="72"/>
    </row>
    <row r="2303" spans="1:3">
      <c r="A2303" s="71"/>
      <c r="B2303" s="72"/>
      <c r="C2303" s="72"/>
    </row>
    <row r="2304" spans="1:3">
      <c r="A2304" s="71"/>
      <c r="B2304" s="72"/>
      <c r="C2304" s="72"/>
    </row>
    <row r="2305" spans="1:3">
      <c r="A2305" s="71"/>
      <c r="B2305" s="72"/>
      <c r="C2305" s="72"/>
    </row>
    <row r="2306" spans="1:3">
      <c r="A2306" s="71"/>
      <c r="B2306" s="72"/>
      <c r="C2306" s="72"/>
    </row>
    <row r="2307" spans="1:3">
      <c r="A2307" s="71"/>
      <c r="B2307" s="72"/>
      <c r="C2307" s="72"/>
    </row>
    <row r="2308" spans="1:3">
      <c r="A2308" s="71"/>
      <c r="B2308" s="72"/>
      <c r="C2308" s="72"/>
    </row>
    <row r="2309" spans="1:3">
      <c r="A2309" s="71"/>
      <c r="B2309" s="72"/>
      <c r="C2309" s="72"/>
    </row>
    <row r="2310" spans="1:3">
      <c r="A2310" s="71"/>
      <c r="B2310" s="72"/>
      <c r="C2310" s="72"/>
    </row>
    <row r="2311" spans="1:3">
      <c r="A2311" s="71"/>
      <c r="B2311" s="72"/>
      <c r="C2311" s="72"/>
    </row>
    <row r="2312" spans="1:3">
      <c r="A2312" s="71"/>
      <c r="B2312" s="72"/>
      <c r="C2312" s="72"/>
    </row>
    <row r="2313" spans="1:3">
      <c r="A2313" s="71"/>
      <c r="B2313" s="72"/>
      <c r="C2313" s="72"/>
    </row>
    <row r="2314" spans="1:3">
      <c r="A2314" s="71"/>
      <c r="B2314" s="72"/>
      <c r="C2314" s="72"/>
    </row>
    <row r="2315" spans="1:3">
      <c r="A2315" s="71"/>
      <c r="B2315" s="72"/>
      <c r="C2315" s="72"/>
    </row>
    <row r="2316" spans="1:3">
      <c r="A2316" s="71"/>
      <c r="B2316" s="72"/>
      <c r="C2316" s="72"/>
    </row>
    <row r="2317" spans="1:3">
      <c r="A2317" s="71"/>
      <c r="B2317" s="72"/>
      <c r="C2317" s="72"/>
    </row>
    <row r="2318" spans="1:3">
      <c r="A2318" s="71"/>
      <c r="B2318" s="72"/>
      <c r="C2318" s="72"/>
    </row>
    <row r="2319" spans="1:3">
      <c r="A2319" s="71"/>
      <c r="B2319" s="72"/>
      <c r="C2319" s="72"/>
    </row>
    <row r="2320" spans="1:3">
      <c r="A2320" s="71"/>
      <c r="B2320" s="72"/>
      <c r="C2320" s="72"/>
    </row>
    <row r="2321" spans="1:3">
      <c r="A2321" s="71"/>
      <c r="B2321" s="72"/>
      <c r="C2321" s="72"/>
    </row>
    <row r="2322" spans="1:3">
      <c r="A2322" s="71"/>
      <c r="B2322" s="72"/>
      <c r="C2322" s="72"/>
    </row>
    <row r="2323" spans="1:3">
      <c r="A2323" s="71"/>
      <c r="B2323" s="72"/>
      <c r="C2323" s="72"/>
    </row>
    <row r="2324" spans="1:3">
      <c r="A2324" s="71"/>
      <c r="B2324" s="72"/>
      <c r="C2324" s="72"/>
    </row>
    <row r="2325" spans="1:3">
      <c r="A2325" s="71"/>
      <c r="B2325" s="72"/>
      <c r="C2325" s="72"/>
    </row>
    <row r="2326" spans="1:3">
      <c r="A2326" s="71"/>
      <c r="B2326" s="72"/>
      <c r="C2326" s="72"/>
    </row>
    <row r="2327" spans="1:3">
      <c r="A2327" s="71"/>
      <c r="B2327" s="72"/>
      <c r="C2327" s="72"/>
    </row>
    <row r="2328" spans="1:3">
      <c r="A2328" s="71"/>
      <c r="B2328" s="72"/>
      <c r="C2328" s="72"/>
    </row>
    <row r="2329" spans="1:3">
      <c r="A2329" s="71"/>
      <c r="B2329" s="72"/>
      <c r="C2329" s="72"/>
    </row>
    <row r="2330" spans="1:3">
      <c r="A2330" s="71"/>
      <c r="B2330" s="72"/>
      <c r="C2330" s="72"/>
    </row>
    <row r="2331" spans="1:3">
      <c r="A2331" s="71"/>
      <c r="B2331" s="72"/>
      <c r="C2331" s="72"/>
    </row>
    <row r="2332" spans="1:3">
      <c r="A2332" s="71"/>
      <c r="B2332" s="72"/>
      <c r="C2332" s="72"/>
    </row>
    <row r="2333" spans="1:3">
      <c r="A2333" s="71"/>
      <c r="B2333" s="72"/>
      <c r="C2333" s="72"/>
    </row>
    <row r="2334" spans="1:3">
      <c r="A2334" s="71"/>
      <c r="B2334" s="72"/>
      <c r="C2334" s="72"/>
    </row>
    <row r="2335" spans="1:3">
      <c r="A2335" s="71"/>
      <c r="B2335" s="72"/>
      <c r="C2335" s="72"/>
    </row>
    <row r="2336" spans="1:3">
      <c r="A2336" s="71"/>
      <c r="B2336" s="72"/>
      <c r="C2336" s="72"/>
    </row>
    <row r="2337" spans="1:3">
      <c r="A2337" s="71"/>
      <c r="B2337" s="72"/>
      <c r="C2337" s="72"/>
    </row>
    <row r="2338" spans="1:3">
      <c r="A2338" s="71"/>
      <c r="B2338" s="72"/>
      <c r="C2338" s="72"/>
    </row>
    <row r="2339" spans="1:3">
      <c r="A2339" s="71"/>
      <c r="B2339" s="72"/>
      <c r="C2339" s="72"/>
    </row>
    <row r="2340" spans="1:3">
      <c r="A2340" s="71"/>
      <c r="B2340" s="72"/>
      <c r="C2340" s="72"/>
    </row>
    <row r="2341" spans="1:3">
      <c r="A2341" s="71"/>
      <c r="B2341" s="72"/>
      <c r="C2341" s="72"/>
    </row>
    <row r="2342" spans="1:3">
      <c r="A2342" s="71"/>
      <c r="B2342" s="72"/>
      <c r="C2342" s="72"/>
    </row>
    <row r="2343" spans="1:3">
      <c r="A2343" s="71"/>
      <c r="B2343" s="72"/>
      <c r="C2343" s="72"/>
    </row>
    <row r="2344" spans="1:3">
      <c r="A2344" s="71"/>
      <c r="B2344" s="72"/>
      <c r="C2344" s="72"/>
    </row>
    <row r="2345" spans="1:3">
      <c r="A2345" s="71"/>
      <c r="B2345" s="72"/>
      <c r="C2345" s="72"/>
    </row>
    <row r="2346" spans="1:3">
      <c r="A2346" s="71"/>
      <c r="B2346" s="72"/>
      <c r="C2346" s="72"/>
    </row>
    <row r="2347" spans="1:3">
      <c r="A2347" s="71"/>
      <c r="B2347" s="72"/>
      <c r="C2347" s="72"/>
    </row>
    <row r="2348" spans="1:3">
      <c r="A2348" s="71"/>
      <c r="B2348" s="72"/>
      <c r="C2348" s="72"/>
    </row>
    <row r="2349" spans="1:3">
      <c r="A2349" s="71"/>
      <c r="B2349" s="72"/>
      <c r="C2349" s="72"/>
    </row>
    <row r="2350" spans="1:3">
      <c r="A2350" s="71"/>
      <c r="B2350" s="72"/>
      <c r="C2350" s="72"/>
    </row>
    <row r="2351" spans="1:3">
      <c r="A2351" s="71"/>
      <c r="B2351" s="72"/>
      <c r="C2351" s="72"/>
    </row>
    <row r="2352" spans="1:3">
      <c r="A2352" s="71"/>
      <c r="B2352" s="72"/>
      <c r="C2352" s="72"/>
    </row>
    <row r="2353" spans="1:3">
      <c r="A2353" s="71"/>
      <c r="B2353" s="72"/>
      <c r="C2353" s="72"/>
    </row>
    <row r="2354" spans="1:3">
      <c r="A2354" s="71"/>
      <c r="B2354" s="72"/>
      <c r="C2354" s="72"/>
    </row>
    <row r="2355" spans="1:3">
      <c r="A2355" s="71"/>
      <c r="B2355" s="72"/>
      <c r="C2355" s="72"/>
    </row>
    <row r="2356" spans="1:3">
      <c r="A2356" s="71"/>
      <c r="B2356" s="72"/>
      <c r="C2356" s="72"/>
    </row>
    <row r="2357" spans="1:3">
      <c r="A2357" s="71"/>
      <c r="B2357" s="72"/>
      <c r="C2357" s="72"/>
    </row>
    <row r="2358" spans="1:3">
      <c r="A2358" s="71"/>
      <c r="B2358" s="72"/>
      <c r="C2358" s="72"/>
    </row>
    <row r="2359" spans="1:3">
      <c r="A2359" s="71"/>
      <c r="B2359" s="72"/>
      <c r="C2359" s="72"/>
    </row>
    <row r="2360" spans="1:3">
      <c r="A2360" s="71"/>
      <c r="B2360" s="72"/>
      <c r="C2360" s="72"/>
    </row>
    <row r="2361" spans="1:3">
      <c r="A2361" s="71"/>
      <c r="B2361" s="72"/>
      <c r="C2361" s="72"/>
    </row>
    <row r="2362" spans="1:3">
      <c r="A2362" s="71"/>
      <c r="B2362" s="72"/>
      <c r="C2362" s="72"/>
    </row>
    <row r="2363" spans="1:3">
      <c r="A2363" s="71"/>
      <c r="B2363" s="72"/>
      <c r="C2363" s="72"/>
    </row>
    <row r="2364" spans="1:3">
      <c r="A2364" s="71"/>
      <c r="B2364" s="72"/>
      <c r="C2364" s="72"/>
    </row>
    <row r="2365" spans="1:3">
      <c r="A2365" s="71"/>
      <c r="B2365" s="72"/>
      <c r="C2365" s="72"/>
    </row>
    <row r="2366" spans="1:3">
      <c r="A2366" s="71"/>
      <c r="B2366" s="72"/>
      <c r="C2366" s="72"/>
    </row>
    <row r="2367" spans="1:3">
      <c r="A2367" s="71"/>
      <c r="B2367" s="72"/>
      <c r="C2367" s="72"/>
    </row>
    <row r="2368" spans="1:3">
      <c r="A2368" s="71"/>
      <c r="B2368" s="72"/>
      <c r="C2368" s="72"/>
    </row>
    <row r="2369" spans="1:3">
      <c r="A2369" s="71"/>
      <c r="B2369" s="72"/>
      <c r="C2369" s="72"/>
    </row>
    <row r="2370" spans="1:3">
      <c r="A2370" s="71"/>
      <c r="B2370" s="72"/>
      <c r="C2370" s="72"/>
    </row>
    <row r="2371" spans="1:3">
      <c r="A2371" s="71"/>
      <c r="B2371" s="72"/>
      <c r="C2371" s="72"/>
    </row>
    <row r="2372" spans="1:3">
      <c r="A2372" s="71"/>
      <c r="B2372" s="72"/>
      <c r="C2372" s="72"/>
    </row>
    <row r="2373" spans="1:3">
      <c r="A2373" s="71"/>
      <c r="B2373" s="72"/>
      <c r="C2373" s="72"/>
    </row>
    <row r="2374" spans="1:3">
      <c r="A2374" s="71"/>
      <c r="B2374" s="72"/>
      <c r="C2374" s="72"/>
    </row>
    <row r="2375" spans="1:3">
      <c r="A2375" s="71"/>
      <c r="B2375" s="72"/>
      <c r="C2375" s="72"/>
    </row>
    <row r="2376" spans="1:3">
      <c r="A2376" s="71"/>
      <c r="B2376" s="72"/>
      <c r="C2376" s="72"/>
    </row>
    <row r="2377" spans="1:3">
      <c r="A2377" s="71"/>
      <c r="B2377" s="72"/>
      <c r="C2377" s="72"/>
    </row>
    <row r="2378" spans="1:3">
      <c r="A2378" s="71"/>
      <c r="B2378" s="72"/>
      <c r="C2378" s="72"/>
    </row>
    <row r="2379" spans="1:3">
      <c r="A2379" s="71"/>
      <c r="B2379" s="72"/>
      <c r="C2379" s="72"/>
    </row>
    <row r="2380" spans="1:3">
      <c r="A2380" s="71"/>
      <c r="B2380" s="72"/>
      <c r="C2380" s="72"/>
    </row>
    <row r="2381" spans="1:3">
      <c r="A2381" s="71"/>
      <c r="B2381" s="72"/>
      <c r="C2381" s="72"/>
    </row>
    <row r="2382" spans="1:3">
      <c r="A2382" s="71"/>
      <c r="B2382" s="72"/>
      <c r="C2382" s="72"/>
    </row>
    <row r="2383" spans="1:3">
      <c r="A2383" s="71"/>
      <c r="B2383" s="72"/>
      <c r="C2383" s="72"/>
    </row>
    <row r="2384" spans="1:3">
      <c r="A2384" s="71"/>
      <c r="B2384" s="72"/>
      <c r="C2384" s="72"/>
    </row>
    <row r="2385" spans="1:3">
      <c r="A2385" s="71"/>
      <c r="B2385" s="72"/>
      <c r="C2385" s="72"/>
    </row>
    <row r="2386" spans="1:3">
      <c r="A2386" s="71"/>
      <c r="B2386" s="72"/>
      <c r="C2386" s="72"/>
    </row>
    <row r="2387" spans="1:3">
      <c r="A2387" s="71"/>
      <c r="B2387" s="72"/>
      <c r="C2387" s="72"/>
    </row>
    <row r="2388" spans="1:3">
      <c r="A2388" s="71"/>
      <c r="B2388" s="72"/>
      <c r="C2388" s="72"/>
    </row>
    <row r="2389" spans="1:3">
      <c r="A2389" s="71"/>
      <c r="B2389" s="72"/>
      <c r="C2389" s="72"/>
    </row>
    <row r="2390" spans="1:3">
      <c r="A2390" s="71"/>
      <c r="B2390" s="72"/>
      <c r="C2390" s="72"/>
    </row>
    <row r="2391" spans="1:3">
      <c r="A2391" s="71"/>
      <c r="B2391" s="72"/>
      <c r="C2391" s="72"/>
    </row>
    <row r="2392" spans="1:3">
      <c r="A2392" s="71"/>
      <c r="B2392" s="72"/>
      <c r="C2392" s="72"/>
    </row>
    <row r="2393" spans="1:3">
      <c r="A2393" s="71"/>
      <c r="B2393" s="72"/>
      <c r="C2393" s="72"/>
    </row>
    <row r="2394" spans="1:3">
      <c r="A2394" s="71"/>
      <c r="B2394" s="72"/>
      <c r="C2394" s="72"/>
    </row>
    <row r="2395" spans="1:3">
      <c r="A2395" s="71"/>
      <c r="B2395" s="72"/>
      <c r="C2395" s="72"/>
    </row>
    <row r="2396" spans="1:3">
      <c r="A2396" s="71"/>
      <c r="B2396" s="72"/>
      <c r="C2396" s="72"/>
    </row>
    <row r="2397" spans="1:3">
      <c r="A2397" s="71"/>
      <c r="B2397" s="72"/>
      <c r="C2397" s="72"/>
    </row>
    <row r="2398" spans="1:3">
      <c r="A2398" s="71"/>
      <c r="B2398" s="72"/>
      <c r="C2398" s="72"/>
    </row>
    <row r="2399" spans="1:3">
      <c r="A2399" s="71"/>
      <c r="B2399" s="72"/>
      <c r="C2399" s="72"/>
    </row>
    <row r="2400" spans="1:3">
      <c r="A2400" s="71"/>
      <c r="B2400" s="72"/>
      <c r="C2400" s="72"/>
    </row>
    <row r="2401" spans="1:3">
      <c r="A2401" s="71"/>
      <c r="B2401" s="72"/>
      <c r="C2401" s="72"/>
    </row>
    <row r="2402" spans="1:3">
      <c r="A2402" s="71"/>
      <c r="B2402" s="72"/>
      <c r="C2402" s="72"/>
    </row>
    <row r="2403" spans="1:3">
      <c r="A2403" s="71"/>
      <c r="B2403" s="72"/>
      <c r="C2403" s="72"/>
    </row>
    <row r="2404" spans="1:3">
      <c r="A2404" s="71"/>
      <c r="B2404" s="72"/>
      <c r="C2404" s="72"/>
    </row>
    <row r="2405" spans="1:3">
      <c r="A2405" s="71"/>
      <c r="B2405" s="72"/>
      <c r="C2405" s="72"/>
    </row>
    <row r="2406" spans="1:3">
      <c r="A2406" s="71"/>
      <c r="B2406" s="72"/>
      <c r="C2406" s="72"/>
    </row>
    <row r="2407" spans="1:3">
      <c r="A2407" s="71"/>
      <c r="B2407" s="72"/>
      <c r="C2407" s="72"/>
    </row>
    <row r="2408" spans="1:3">
      <c r="A2408" s="71"/>
      <c r="B2408" s="72"/>
      <c r="C2408" s="72"/>
    </row>
    <row r="2409" spans="1:3">
      <c r="A2409" s="71"/>
      <c r="B2409" s="72"/>
      <c r="C2409" s="72"/>
    </row>
    <row r="2410" spans="1:3">
      <c r="A2410" s="71"/>
      <c r="B2410" s="72"/>
      <c r="C2410" s="72"/>
    </row>
    <row r="2411" spans="1:3">
      <c r="A2411" s="71"/>
      <c r="B2411" s="72"/>
      <c r="C2411" s="72"/>
    </row>
    <row r="2412" spans="1:3">
      <c r="A2412" s="71"/>
      <c r="B2412" s="72"/>
      <c r="C2412" s="72"/>
    </row>
    <row r="2413" spans="1:3">
      <c r="A2413" s="71"/>
      <c r="B2413" s="72"/>
      <c r="C2413" s="72"/>
    </row>
    <row r="2414" spans="1:3">
      <c r="A2414" s="71"/>
      <c r="B2414" s="72"/>
      <c r="C2414" s="72"/>
    </row>
    <row r="2415" spans="1:3">
      <c r="A2415" s="71"/>
      <c r="B2415" s="72"/>
      <c r="C2415" s="72"/>
    </row>
    <row r="2416" spans="1:3">
      <c r="A2416" s="71"/>
      <c r="B2416" s="72"/>
      <c r="C2416" s="72"/>
    </row>
    <row r="2417" spans="1:3">
      <c r="A2417" s="71"/>
      <c r="B2417" s="72"/>
      <c r="C2417" s="72"/>
    </row>
    <row r="2418" spans="1:3">
      <c r="A2418" s="71"/>
      <c r="B2418" s="72"/>
      <c r="C2418" s="72"/>
    </row>
    <row r="2419" spans="1:3">
      <c r="A2419" s="71"/>
      <c r="B2419" s="72"/>
      <c r="C2419" s="72"/>
    </row>
    <row r="2420" spans="1:3">
      <c r="A2420" s="71"/>
      <c r="B2420" s="72"/>
      <c r="C2420" s="72"/>
    </row>
    <row r="2421" spans="1:3">
      <c r="A2421" s="71"/>
      <c r="B2421" s="72"/>
      <c r="C2421" s="72"/>
    </row>
    <row r="2422" spans="1:3">
      <c r="A2422" s="71"/>
      <c r="B2422" s="72"/>
      <c r="C2422" s="72"/>
    </row>
    <row r="2423" spans="1:3">
      <c r="A2423" s="71"/>
      <c r="B2423" s="72"/>
      <c r="C2423" s="72"/>
    </row>
    <row r="2424" spans="1:3">
      <c r="A2424" s="71"/>
      <c r="B2424" s="72"/>
      <c r="C2424" s="72"/>
    </row>
    <row r="2425" spans="1:3">
      <c r="A2425" s="71"/>
      <c r="B2425" s="72"/>
      <c r="C2425" s="72"/>
    </row>
    <row r="2426" spans="1:3">
      <c r="A2426" s="71"/>
      <c r="B2426" s="72"/>
      <c r="C2426" s="72"/>
    </row>
    <row r="2427" spans="1:3">
      <c r="A2427" s="71"/>
      <c r="B2427" s="72"/>
      <c r="C2427" s="72"/>
    </row>
    <row r="2428" spans="1:3">
      <c r="A2428" s="71"/>
      <c r="B2428" s="72"/>
      <c r="C2428" s="72"/>
    </row>
    <row r="2429" spans="1:3">
      <c r="A2429" s="71"/>
      <c r="B2429" s="72"/>
      <c r="C2429" s="72"/>
    </row>
    <row r="2430" spans="1:3">
      <c r="A2430" s="71"/>
      <c r="B2430" s="72"/>
      <c r="C2430" s="72"/>
    </row>
    <row r="2431" spans="1:3">
      <c r="A2431" s="71"/>
      <c r="B2431" s="72"/>
      <c r="C2431" s="72"/>
    </row>
    <row r="2432" spans="1:3">
      <c r="A2432" s="71"/>
      <c r="B2432" s="72"/>
      <c r="C2432" s="72"/>
    </row>
    <row r="2433" spans="1:3">
      <c r="A2433" s="71"/>
      <c r="B2433" s="72"/>
      <c r="C2433" s="72"/>
    </row>
    <row r="2434" spans="1:3">
      <c r="A2434" s="71"/>
      <c r="B2434" s="72"/>
      <c r="C2434" s="72"/>
    </row>
    <row r="2435" spans="1:3">
      <c r="A2435" s="71"/>
      <c r="B2435" s="72"/>
      <c r="C2435" s="72"/>
    </row>
    <row r="2436" spans="1:3">
      <c r="A2436" s="71"/>
      <c r="B2436" s="72"/>
      <c r="C2436" s="72"/>
    </row>
    <row r="2437" spans="1:3">
      <c r="A2437" s="71"/>
      <c r="B2437" s="72"/>
      <c r="C2437" s="72"/>
    </row>
    <row r="2438" spans="1:3">
      <c r="A2438" s="71"/>
      <c r="B2438" s="72"/>
      <c r="C2438" s="72"/>
    </row>
    <row r="2439" spans="1:3">
      <c r="A2439" s="71"/>
      <c r="B2439" s="72"/>
      <c r="C2439" s="72"/>
    </row>
    <row r="2440" spans="1:3">
      <c r="A2440" s="71"/>
      <c r="B2440" s="72"/>
      <c r="C2440" s="72"/>
    </row>
    <row r="2441" spans="1:3">
      <c r="A2441" s="71"/>
      <c r="B2441" s="72"/>
      <c r="C2441" s="72"/>
    </row>
    <row r="2442" spans="1:3">
      <c r="A2442" s="71"/>
      <c r="B2442" s="72"/>
      <c r="C2442" s="72"/>
    </row>
    <row r="2443" spans="1:3">
      <c r="A2443" s="71"/>
      <c r="B2443" s="72"/>
      <c r="C2443" s="72"/>
    </row>
    <row r="2444" spans="1:3">
      <c r="A2444" s="71"/>
      <c r="B2444" s="72"/>
      <c r="C2444" s="72"/>
    </row>
    <row r="2445" spans="1:3">
      <c r="A2445" s="71"/>
      <c r="B2445" s="72"/>
      <c r="C2445" s="72"/>
    </row>
    <row r="2446" spans="1:3">
      <c r="A2446" s="71"/>
      <c r="B2446" s="72"/>
      <c r="C2446" s="72"/>
    </row>
    <row r="2447" spans="1:3">
      <c r="A2447" s="71"/>
      <c r="B2447" s="72"/>
      <c r="C2447" s="72"/>
    </row>
    <row r="2448" spans="1:3">
      <c r="A2448" s="71"/>
      <c r="B2448" s="72"/>
      <c r="C2448" s="72"/>
    </row>
    <row r="2449" spans="1:3">
      <c r="A2449" s="71"/>
      <c r="B2449" s="72"/>
      <c r="C2449" s="72"/>
    </row>
    <row r="2450" spans="1:3">
      <c r="A2450" s="71"/>
      <c r="B2450" s="72"/>
      <c r="C2450" s="72"/>
    </row>
    <row r="2451" spans="1:3">
      <c r="A2451" s="71"/>
      <c r="B2451" s="72"/>
      <c r="C2451" s="72"/>
    </row>
    <row r="2452" spans="1:3">
      <c r="A2452" s="71"/>
      <c r="B2452" s="72"/>
      <c r="C2452" s="72"/>
    </row>
    <row r="2453" spans="1:3">
      <c r="A2453" s="71"/>
      <c r="B2453" s="72"/>
      <c r="C2453" s="72"/>
    </row>
    <row r="2454" spans="1:3">
      <c r="A2454" s="71"/>
      <c r="B2454" s="72"/>
      <c r="C2454" s="72"/>
    </row>
    <row r="2455" spans="1:3">
      <c r="A2455" s="71"/>
      <c r="B2455" s="72"/>
      <c r="C2455" s="72"/>
    </row>
    <row r="2456" spans="1:3">
      <c r="A2456" s="71"/>
      <c r="B2456" s="72"/>
      <c r="C2456" s="72"/>
    </row>
    <row r="2457" spans="1:3">
      <c r="A2457" s="71"/>
      <c r="B2457" s="72"/>
      <c r="C2457" s="72"/>
    </row>
    <row r="2458" spans="1:3">
      <c r="A2458" s="71"/>
      <c r="B2458" s="72"/>
      <c r="C2458" s="72"/>
    </row>
    <row r="2459" spans="1:3">
      <c r="A2459" s="71"/>
      <c r="B2459" s="72"/>
      <c r="C2459" s="72"/>
    </row>
    <row r="2460" spans="1:3">
      <c r="A2460" s="71"/>
      <c r="B2460" s="72"/>
      <c r="C2460" s="72"/>
    </row>
    <row r="2461" spans="1:3">
      <c r="A2461" s="71"/>
      <c r="B2461" s="72"/>
      <c r="C2461" s="72"/>
    </row>
    <row r="2462" spans="1:3">
      <c r="A2462" s="71"/>
      <c r="B2462" s="72"/>
      <c r="C2462" s="72"/>
    </row>
    <row r="2463" spans="1:3">
      <c r="A2463" s="71"/>
      <c r="B2463" s="72"/>
      <c r="C2463" s="72"/>
    </row>
    <row r="2464" spans="1:3">
      <c r="A2464" s="71"/>
      <c r="B2464" s="72"/>
      <c r="C2464" s="72"/>
    </row>
    <row r="2465" spans="1:3">
      <c r="A2465" s="71"/>
      <c r="B2465" s="72"/>
      <c r="C2465" s="72"/>
    </row>
    <row r="2466" spans="1:3">
      <c r="A2466" s="71"/>
      <c r="B2466" s="72"/>
      <c r="C2466" s="72"/>
    </row>
    <row r="2467" spans="1:3">
      <c r="A2467" s="71"/>
      <c r="B2467" s="72"/>
      <c r="C2467" s="72"/>
    </row>
    <row r="2468" spans="1:3">
      <c r="A2468" s="71"/>
      <c r="B2468" s="72"/>
      <c r="C2468" s="72"/>
    </row>
    <row r="2469" spans="1:3">
      <c r="A2469" s="71"/>
      <c r="B2469" s="72"/>
      <c r="C2469" s="72"/>
    </row>
    <row r="2470" spans="1:3">
      <c r="A2470" s="71"/>
      <c r="B2470" s="72"/>
      <c r="C2470" s="72"/>
    </row>
    <row r="2471" spans="1:3">
      <c r="A2471" s="71"/>
      <c r="B2471" s="72"/>
      <c r="C2471" s="72"/>
    </row>
    <row r="2472" spans="1:3">
      <c r="A2472" s="71"/>
      <c r="B2472" s="72"/>
      <c r="C2472" s="72"/>
    </row>
    <row r="2473" spans="1:3">
      <c r="A2473" s="71"/>
      <c r="B2473" s="72"/>
      <c r="C2473" s="72"/>
    </row>
    <row r="2474" spans="1:3">
      <c r="A2474" s="71"/>
      <c r="B2474" s="72"/>
      <c r="C2474" s="72"/>
    </row>
    <row r="2475" spans="1:3">
      <c r="A2475" s="71"/>
      <c r="B2475" s="72"/>
      <c r="C2475" s="72"/>
    </row>
    <row r="2476" spans="1:3">
      <c r="A2476" s="71"/>
      <c r="B2476" s="72"/>
      <c r="C2476" s="72"/>
    </row>
    <row r="2477" spans="1:3">
      <c r="A2477" s="71"/>
      <c r="B2477" s="72"/>
      <c r="C2477" s="72"/>
    </row>
    <row r="2478" spans="1:3">
      <c r="A2478" s="71"/>
      <c r="B2478" s="72"/>
      <c r="C2478" s="72"/>
    </row>
    <row r="2479" spans="1:3">
      <c r="A2479" s="71"/>
      <c r="B2479" s="72"/>
      <c r="C2479" s="72"/>
    </row>
    <row r="2480" spans="1:3">
      <c r="A2480" s="71"/>
      <c r="B2480" s="72"/>
      <c r="C2480" s="72"/>
    </row>
    <row r="2481" spans="1:3">
      <c r="A2481" s="71"/>
      <c r="B2481" s="72"/>
      <c r="C2481" s="72"/>
    </row>
    <row r="2482" spans="1:3">
      <c r="A2482" s="71"/>
      <c r="B2482" s="72"/>
      <c r="C2482" s="72"/>
    </row>
    <row r="2483" spans="1:3">
      <c r="A2483" s="71"/>
      <c r="B2483" s="72"/>
      <c r="C2483" s="72"/>
    </row>
    <row r="2484" spans="1:3">
      <c r="A2484" s="71"/>
      <c r="B2484" s="72"/>
      <c r="C2484" s="72"/>
    </row>
    <row r="2485" spans="1:3">
      <c r="A2485" s="71"/>
      <c r="B2485" s="72"/>
      <c r="C2485" s="72"/>
    </row>
    <row r="2486" spans="1:3">
      <c r="A2486" s="71"/>
      <c r="B2486" s="72"/>
      <c r="C2486" s="72"/>
    </row>
    <row r="2487" spans="1:3">
      <c r="A2487" s="71"/>
      <c r="B2487" s="72"/>
      <c r="C2487" s="72"/>
    </row>
    <row r="2488" spans="1:3">
      <c r="A2488" s="71"/>
      <c r="B2488" s="72"/>
      <c r="C2488" s="72"/>
    </row>
    <row r="2489" spans="1:3">
      <c r="A2489" s="71"/>
      <c r="B2489" s="72"/>
      <c r="C2489" s="72"/>
    </row>
    <row r="2490" spans="1:3">
      <c r="A2490" s="71"/>
      <c r="B2490" s="72"/>
      <c r="C2490" s="72"/>
    </row>
    <row r="2491" spans="1:3">
      <c r="A2491" s="71"/>
      <c r="B2491" s="72"/>
      <c r="C2491" s="72"/>
    </row>
    <row r="2492" spans="1:3">
      <c r="A2492" s="71"/>
      <c r="B2492" s="72"/>
      <c r="C2492" s="72"/>
    </row>
    <row r="2493" spans="1:3">
      <c r="A2493" s="71"/>
      <c r="B2493" s="72"/>
      <c r="C2493" s="72"/>
    </row>
    <row r="2494" spans="1:3">
      <c r="A2494" s="71"/>
      <c r="B2494" s="72"/>
      <c r="C2494" s="72"/>
    </row>
    <row r="2495" spans="1:3">
      <c r="A2495" s="71"/>
      <c r="B2495" s="72"/>
      <c r="C2495" s="72"/>
    </row>
    <row r="2496" spans="1:3">
      <c r="A2496" s="71"/>
      <c r="B2496" s="72"/>
      <c r="C2496" s="72"/>
    </row>
    <row r="2497" spans="1:3">
      <c r="A2497" s="71"/>
      <c r="B2497" s="72"/>
      <c r="C2497" s="72"/>
    </row>
    <row r="2498" spans="1:3">
      <c r="A2498" s="71"/>
      <c r="B2498" s="72"/>
      <c r="C2498" s="72"/>
    </row>
    <row r="2499" spans="1:3">
      <c r="A2499" s="71"/>
      <c r="B2499" s="72"/>
      <c r="C2499" s="72"/>
    </row>
    <row r="2500" spans="1:3">
      <c r="A2500" s="71"/>
      <c r="B2500" s="72"/>
      <c r="C2500" s="72"/>
    </row>
    <row r="2501" spans="1:3">
      <c r="A2501" s="71"/>
      <c r="B2501" s="72"/>
      <c r="C2501" s="72"/>
    </row>
    <row r="2502" spans="1:3">
      <c r="A2502" s="71"/>
      <c r="B2502" s="72"/>
      <c r="C2502" s="72"/>
    </row>
    <row r="2503" spans="1:3">
      <c r="A2503" s="71"/>
      <c r="B2503" s="72"/>
      <c r="C2503" s="72"/>
    </row>
    <row r="2504" spans="1:3">
      <c r="A2504" s="71"/>
      <c r="B2504" s="72"/>
      <c r="C2504" s="72"/>
    </row>
    <row r="2505" spans="1:3">
      <c r="A2505" s="71"/>
      <c r="B2505" s="72"/>
      <c r="C2505" s="72"/>
    </row>
    <row r="2506" spans="1:3">
      <c r="A2506" s="71"/>
      <c r="B2506" s="72"/>
      <c r="C2506" s="72"/>
    </row>
    <row r="2507" spans="1:3">
      <c r="A2507" s="71"/>
      <c r="B2507" s="72"/>
      <c r="C2507" s="72"/>
    </row>
    <row r="2508" spans="1:3">
      <c r="A2508" s="71"/>
      <c r="B2508" s="72"/>
      <c r="C2508" s="72"/>
    </row>
    <row r="2509" spans="1:3">
      <c r="A2509" s="71"/>
      <c r="B2509" s="72"/>
      <c r="C2509" s="72"/>
    </row>
    <row r="2510" spans="1:3">
      <c r="A2510" s="71"/>
      <c r="B2510" s="72"/>
      <c r="C2510" s="72"/>
    </row>
    <row r="2511" spans="1:3">
      <c r="A2511" s="71"/>
      <c r="B2511" s="72"/>
      <c r="C2511" s="72"/>
    </row>
    <row r="2512" spans="1:3">
      <c r="A2512" s="71"/>
      <c r="B2512" s="72"/>
      <c r="C2512" s="72"/>
    </row>
    <row r="2513" spans="1:3">
      <c r="A2513" s="71"/>
      <c r="B2513" s="72"/>
      <c r="C2513" s="72"/>
    </row>
    <row r="2514" spans="1:3">
      <c r="A2514" s="71"/>
      <c r="B2514" s="72"/>
      <c r="C2514" s="72"/>
    </row>
    <row r="2515" spans="1:3">
      <c r="A2515" s="71"/>
      <c r="B2515" s="72"/>
      <c r="C2515" s="72"/>
    </row>
    <row r="2516" spans="1:3">
      <c r="A2516" s="71"/>
      <c r="B2516" s="72"/>
      <c r="C2516" s="72"/>
    </row>
    <row r="2517" spans="1:3">
      <c r="A2517" s="71"/>
      <c r="B2517" s="72"/>
      <c r="C2517" s="72"/>
    </row>
    <row r="2518" spans="1:3">
      <c r="A2518" s="71"/>
      <c r="B2518" s="72"/>
      <c r="C2518" s="72"/>
    </row>
    <row r="2519" spans="1:3">
      <c r="A2519" s="71"/>
      <c r="B2519" s="72"/>
      <c r="C2519" s="72"/>
    </row>
    <row r="2520" spans="1:3">
      <c r="A2520" s="71"/>
      <c r="B2520" s="72"/>
      <c r="C2520" s="72"/>
    </row>
    <row r="2521" spans="1:3">
      <c r="A2521" s="71"/>
      <c r="B2521" s="72"/>
      <c r="C2521" s="72"/>
    </row>
    <row r="2522" spans="1:3">
      <c r="A2522" s="71"/>
      <c r="B2522" s="72"/>
      <c r="C2522" s="72"/>
    </row>
    <row r="2523" spans="1:3">
      <c r="A2523" s="71"/>
      <c r="B2523" s="72"/>
      <c r="C2523" s="72"/>
    </row>
    <row r="2524" spans="1:3">
      <c r="A2524" s="71"/>
      <c r="B2524" s="72"/>
      <c r="C2524" s="72"/>
    </row>
    <row r="2525" spans="1:3">
      <c r="A2525" s="71"/>
      <c r="B2525" s="72"/>
      <c r="C2525" s="72"/>
    </row>
    <row r="2526" spans="1:3">
      <c r="A2526" s="71"/>
      <c r="B2526" s="72"/>
      <c r="C2526" s="72"/>
    </row>
    <row r="2527" spans="1:3">
      <c r="A2527" s="71"/>
      <c r="B2527" s="72"/>
      <c r="C2527" s="72"/>
    </row>
    <row r="2528" spans="1:3">
      <c r="A2528" s="71"/>
      <c r="B2528" s="72"/>
      <c r="C2528" s="72"/>
    </row>
    <row r="2529" spans="1:3">
      <c r="A2529" s="71"/>
      <c r="B2529" s="72"/>
      <c r="C2529" s="72"/>
    </row>
    <row r="2530" spans="1:3">
      <c r="A2530" s="71"/>
      <c r="B2530" s="72"/>
      <c r="C2530" s="72"/>
    </row>
    <row r="2531" spans="1:3">
      <c r="A2531" s="71"/>
      <c r="B2531" s="72"/>
      <c r="C2531" s="72"/>
    </row>
    <row r="2532" spans="1:3">
      <c r="A2532" s="71"/>
      <c r="B2532" s="72"/>
      <c r="C2532" s="72"/>
    </row>
    <row r="2533" spans="1:3">
      <c r="A2533" s="71"/>
      <c r="B2533" s="72"/>
      <c r="C2533" s="72"/>
    </row>
    <row r="2534" spans="1:3">
      <c r="A2534" s="71"/>
      <c r="B2534" s="72"/>
      <c r="C2534" s="72"/>
    </row>
    <row r="2535" spans="1:3">
      <c r="A2535" s="71"/>
      <c r="B2535" s="72"/>
      <c r="C2535" s="72"/>
    </row>
    <row r="2536" spans="1:3">
      <c r="A2536" s="71"/>
      <c r="B2536" s="72"/>
      <c r="C2536" s="72"/>
    </row>
    <row r="2537" spans="1:3">
      <c r="A2537" s="71"/>
      <c r="B2537" s="72"/>
      <c r="C2537" s="72"/>
    </row>
    <row r="2538" spans="1:3">
      <c r="A2538" s="71"/>
      <c r="B2538" s="72"/>
      <c r="C2538" s="72"/>
    </row>
    <row r="2539" spans="1:3">
      <c r="A2539" s="71"/>
      <c r="B2539" s="72"/>
      <c r="C2539" s="72"/>
    </row>
    <row r="2540" spans="1:3">
      <c r="A2540" s="71"/>
      <c r="B2540" s="72"/>
      <c r="C2540" s="72"/>
    </row>
    <row r="2541" spans="1:3">
      <c r="A2541" s="71"/>
      <c r="B2541" s="72"/>
      <c r="C2541" s="72"/>
    </row>
    <row r="2542" spans="1:3">
      <c r="A2542" s="71"/>
      <c r="B2542" s="72"/>
      <c r="C2542" s="72"/>
    </row>
    <row r="2543" spans="1:3">
      <c r="A2543" s="71"/>
      <c r="B2543" s="72"/>
      <c r="C2543" s="72"/>
    </row>
    <row r="2544" spans="1:3">
      <c r="A2544" s="71"/>
      <c r="B2544" s="72"/>
      <c r="C2544" s="72"/>
    </row>
    <row r="2545" spans="1:3">
      <c r="A2545" s="71"/>
      <c r="B2545" s="72"/>
      <c r="C2545" s="72"/>
    </row>
    <row r="2546" spans="1:3">
      <c r="A2546" s="71"/>
      <c r="B2546" s="72"/>
      <c r="C2546" s="72"/>
    </row>
    <row r="2547" spans="1:3">
      <c r="A2547" s="71"/>
      <c r="B2547" s="72"/>
      <c r="C2547" s="72"/>
    </row>
    <row r="2548" spans="1:3">
      <c r="A2548" s="71"/>
      <c r="B2548" s="72"/>
      <c r="C2548" s="72"/>
    </row>
    <row r="2549" spans="1:3">
      <c r="A2549" s="71"/>
      <c r="B2549" s="72"/>
      <c r="C2549" s="72"/>
    </row>
    <row r="2550" spans="1:3">
      <c r="A2550" s="71"/>
      <c r="B2550" s="72"/>
      <c r="C2550" s="72"/>
    </row>
    <row r="2551" spans="1:3">
      <c r="A2551" s="71"/>
      <c r="B2551" s="72"/>
      <c r="C2551" s="72"/>
    </row>
    <row r="2552" spans="1:3">
      <c r="A2552" s="71"/>
      <c r="B2552" s="72"/>
      <c r="C2552" s="72"/>
    </row>
    <row r="2553" spans="1:3">
      <c r="A2553" s="71"/>
      <c r="B2553" s="72"/>
      <c r="C2553" s="72"/>
    </row>
    <row r="2554" spans="1:3">
      <c r="A2554" s="71"/>
      <c r="B2554" s="72"/>
      <c r="C2554" s="72"/>
    </row>
    <row r="2555" spans="1:3">
      <c r="A2555" s="71"/>
      <c r="B2555" s="72"/>
      <c r="C2555" s="72"/>
    </row>
    <row r="2556" spans="1:3">
      <c r="A2556" s="71"/>
      <c r="B2556" s="72"/>
      <c r="C2556" s="72"/>
    </row>
    <row r="2557" spans="1:3">
      <c r="A2557" s="71"/>
      <c r="B2557" s="72"/>
      <c r="C2557" s="72"/>
    </row>
    <row r="2558" spans="1:3">
      <c r="A2558" s="71"/>
      <c r="B2558" s="72"/>
      <c r="C2558" s="72"/>
    </row>
    <row r="2559" spans="1:3">
      <c r="A2559" s="71"/>
      <c r="B2559" s="72"/>
      <c r="C2559" s="72"/>
    </row>
    <row r="2560" spans="1:3">
      <c r="A2560" s="71"/>
      <c r="B2560" s="72"/>
      <c r="C2560" s="72"/>
    </row>
    <row r="2561" spans="1:3">
      <c r="A2561" s="71"/>
      <c r="B2561" s="72"/>
      <c r="C2561" s="72"/>
    </row>
    <row r="2562" spans="1:3">
      <c r="A2562" s="71"/>
      <c r="B2562" s="72"/>
      <c r="C2562" s="72"/>
    </row>
    <row r="2563" spans="1:3">
      <c r="A2563" s="71"/>
      <c r="B2563" s="72"/>
      <c r="C2563" s="72"/>
    </row>
    <row r="2564" spans="1:3">
      <c r="A2564" s="71"/>
      <c r="B2564" s="72"/>
      <c r="C2564" s="72"/>
    </row>
    <row r="2565" spans="1:3">
      <c r="A2565" s="71"/>
      <c r="B2565" s="72"/>
      <c r="C2565" s="72"/>
    </row>
    <row r="2566" spans="1:3">
      <c r="A2566" s="71"/>
      <c r="B2566" s="72"/>
      <c r="C2566" s="72"/>
    </row>
    <row r="2567" spans="1:3">
      <c r="A2567" s="71"/>
      <c r="B2567" s="72"/>
      <c r="C2567" s="72"/>
    </row>
    <row r="2568" spans="1:3">
      <c r="A2568" s="71"/>
      <c r="B2568" s="72"/>
      <c r="C2568" s="72"/>
    </row>
    <row r="2569" spans="1:3">
      <c r="A2569" s="71"/>
      <c r="B2569" s="72"/>
      <c r="C2569" s="72"/>
    </row>
    <row r="2570" spans="1:3">
      <c r="A2570" s="71"/>
      <c r="B2570" s="72"/>
      <c r="C2570" s="72"/>
    </row>
    <row r="2571" spans="1:3">
      <c r="A2571" s="71"/>
      <c r="B2571" s="72"/>
      <c r="C2571" s="72"/>
    </row>
    <row r="2572" spans="1:3">
      <c r="A2572" s="71"/>
      <c r="B2572" s="72"/>
      <c r="C2572" s="72"/>
    </row>
    <row r="2573" spans="1:3">
      <c r="A2573" s="71"/>
      <c r="B2573" s="72"/>
      <c r="C2573" s="72"/>
    </row>
    <row r="2574" spans="1:3">
      <c r="A2574" s="71"/>
      <c r="B2574" s="72"/>
      <c r="C2574" s="72"/>
    </row>
    <row r="2575" spans="1:3">
      <c r="A2575" s="71"/>
      <c r="B2575" s="72"/>
      <c r="C2575" s="72"/>
    </row>
    <row r="2576" spans="1:3">
      <c r="A2576" s="71"/>
      <c r="B2576" s="72"/>
      <c r="C2576" s="72"/>
    </row>
    <row r="2577" spans="1:3">
      <c r="A2577" s="71"/>
      <c r="B2577" s="72"/>
      <c r="C2577" s="72"/>
    </row>
    <row r="2578" spans="1:3">
      <c r="A2578" s="71"/>
      <c r="B2578" s="72"/>
      <c r="C2578" s="72"/>
    </row>
    <row r="2579" spans="1:3">
      <c r="A2579" s="71"/>
      <c r="B2579" s="72"/>
      <c r="C2579" s="72"/>
    </row>
    <row r="2580" spans="1:3">
      <c r="A2580" s="71"/>
      <c r="B2580" s="72"/>
      <c r="C2580" s="72"/>
    </row>
    <row r="2581" spans="1:3">
      <c r="A2581" s="71"/>
      <c r="B2581" s="72"/>
      <c r="C2581" s="72"/>
    </row>
    <row r="2582" spans="1:3">
      <c r="A2582" s="71"/>
      <c r="B2582" s="72"/>
      <c r="C2582" s="72"/>
    </row>
    <row r="2583" spans="1:3">
      <c r="A2583" s="71"/>
      <c r="B2583" s="72"/>
      <c r="C2583" s="72"/>
    </row>
    <row r="2584" spans="1:3">
      <c r="A2584" s="71"/>
      <c r="B2584" s="72"/>
      <c r="C2584" s="72"/>
    </row>
    <row r="2585" spans="1:3">
      <c r="A2585" s="71"/>
      <c r="B2585" s="72"/>
      <c r="C2585" s="72"/>
    </row>
    <row r="2586" spans="1:3">
      <c r="A2586" s="71"/>
      <c r="B2586" s="72"/>
      <c r="C2586" s="72"/>
    </row>
    <row r="2587" spans="1:3">
      <c r="A2587" s="71"/>
      <c r="B2587" s="72"/>
      <c r="C2587" s="72"/>
    </row>
    <row r="2588" spans="1:3">
      <c r="A2588" s="71"/>
      <c r="B2588" s="72"/>
      <c r="C2588" s="72"/>
    </row>
    <row r="2589" spans="1:3">
      <c r="A2589" s="71"/>
      <c r="B2589" s="72"/>
      <c r="C2589" s="72"/>
    </row>
    <row r="2590" spans="1:3">
      <c r="A2590" s="71"/>
      <c r="B2590" s="72"/>
      <c r="C2590" s="72"/>
    </row>
    <row r="2591" spans="1:3">
      <c r="A2591" s="71"/>
      <c r="B2591" s="72"/>
      <c r="C2591" s="72"/>
    </row>
    <row r="2592" spans="1:3">
      <c r="A2592" s="71"/>
      <c r="B2592" s="72"/>
      <c r="C2592" s="72"/>
    </row>
    <row r="2593" spans="1:3">
      <c r="A2593" s="71"/>
      <c r="B2593" s="72"/>
      <c r="C2593" s="72"/>
    </row>
    <row r="2594" spans="1:3">
      <c r="A2594" s="71"/>
      <c r="B2594" s="72"/>
      <c r="C2594" s="72"/>
    </row>
    <row r="2595" spans="1:3">
      <c r="A2595" s="71"/>
      <c r="B2595" s="72"/>
      <c r="C2595" s="72"/>
    </row>
    <row r="2596" spans="1:3">
      <c r="A2596" s="71"/>
      <c r="B2596" s="72"/>
      <c r="C2596" s="72"/>
    </row>
    <row r="2597" spans="1:3">
      <c r="A2597" s="71"/>
      <c r="B2597" s="72"/>
      <c r="C2597" s="72"/>
    </row>
    <row r="2598" spans="1:3">
      <c r="A2598" s="71"/>
      <c r="B2598" s="72"/>
      <c r="C2598" s="72"/>
    </row>
    <row r="2599" spans="1:3">
      <c r="A2599" s="71"/>
      <c r="B2599" s="72"/>
      <c r="C2599" s="72"/>
    </row>
    <row r="2600" spans="1:3">
      <c r="A2600" s="71"/>
      <c r="B2600" s="72"/>
      <c r="C2600" s="72"/>
    </row>
    <row r="2601" spans="1:3">
      <c r="A2601" s="71"/>
      <c r="B2601" s="72"/>
      <c r="C2601" s="72"/>
    </row>
    <row r="2602" spans="1:3">
      <c r="A2602" s="71"/>
      <c r="B2602" s="72"/>
      <c r="C2602" s="72"/>
    </row>
    <row r="2603" spans="1:3">
      <c r="A2603" s="71"/>
      <c r="B2603" s="72"/>
      <c r="C2603" s="72"/>
    </row>
    <row r="2604" spans="1:3">
      <c r="A2604" s="71"/>
      <c r="B2604" s="72"/>
      <c r="C2604" s="72"/>
    </row>
    <row r="2605" spans="1:3">
      <c r="A2605" s="71"/>
      <c r="B2605" s="72"/>
      <c r="C2605" s="72"/>
    </row>
    <row r="2606" spans="1:3">
      <c r="A2606" s="71"/>
      <c r="B2606" s="72"/>
      <c r="C2606" s="72"/>
    </row>
    <row r="2607" spans="1:3">
      <c r="A2607" s="71"/>
      <c r="B2607" s="72"/>
      <c r="C2607" s="72"/>
    </row>
    <row r="2608" spans="1:3">
      <c r="A2608" s="71"/>
      <c r="B2608" s="72"/>
      <c r="C2608" s="72"/>
    </row>
    <row r="2609" spans="1:3">
      <c r="A2609" s="71"/>
      <c r="B2609" s="72"/>
      <c r="C2609" s="72"/>
    </row>
    <row r="2610" spans="1:3">
      <c r="A2610" s="71"/>
      <c r="B2610" s="72"/>
      <c r="C2610" s="72"/>
    </row>
    <row r="2611" spans="1:3">
      <c r="A2611" s="71"/>
      <c r="B2611" s="72"/>
      <c r="C2611" s="72"/>
    </row>
    <row r="2612" spans="1:3">
      <c r="A2612" s="71"/>
      <c r="B2612" s="72"/>
      <c r="C2612" s="72"/>
    </row>
    <row r="2613" spans="1:3">
      <c r="A2613" s="71"/>
      <c r="B2613" s="72"/>
      <c r="C2613" s="72"/>
    </row>
    <row r="2614" spans="1:3">
      <c r="A2614" s="71"/>
      <c r="B2614" s="72"/>
      <c r="C2614" s="72"/>
    </row>
    <row r="2615" spans="1:3">
      <c r="A2615" s="71"/>
      <c r="B2615" s="72"/>
      <c r="C2615" s="72"/>
    </row>
    <row r="2616" spans="1:3">
      <c r="A2616" s="71"/>
      <c r="B2616" s="72"/>
      <c r="C2616" s="72"/>
    </row>
    <row r="2617" spans="1:3">
      <c r="A2617" s="71"/>
      <c r="B2617" s="72"/>
      <c r="C2617" s="72"/>
    </row>
    <row r="2618" spans="1:3">
      <c r="A2618" s="71"/>
      <c r="B2618" s="72"/>
      <c r="C2618" s="72"/>
    </row>
    <row r="2619" spans="1:3">
      <c r="A2619" s="71"/>
      <c r="B2619" s="72"/>
      <c r="C2619" s="72"/>
    </row>
    <row r="2620" spans="1:3">
      <c r="A2620" s="71"/>
      <c r="B2620" s="72"/>
      <c r="C2620" s="72"/>
    </row>
    <row r="2621" spans="1:3">
      <c r="A2621" s="71"/>
      <c r="B2621" s="72"/>
      <c r="C2621" s="72"/>
    </row>
    <row r="2622" spans="1:3">
      <c r="A2622" s="71"/>
      <c r="B2622" s="72"/>
      <c r="C2622" s="72"/>
    </row>
    <row r="2623" spans="1:3">
      <c r="A2623" s="71"/>
      <c r="B2623" s="72"/>
      <c r="C2623" s="72"/>
    </row>
    <row r="2624" spans="1:3">
      <c r="A2624" s="71"/>
      <c r="B2624" s="72"/>
      <c r="C2624" s="72"/>
    </row>
    <row r="2625" spans="1:3">
      <c r="A2625" s="71"/>
      <c r="B2625" s="72"/>
      <c r="C2625" s="72"/>
    </row>
    <row r="2626" spans="1:3">
      <c r="A2626" s="71"/>
      <c r="B2626" s="72"/>
      <c r="C2626" s="72"/>
    </row>
    <row r="2627" spans="1:3">
      <c r="A2627" s="71"/>
      <c r="B2627" s="72"/>
      <c r="C2627" s="72"/>
    </row>
    <row r="2628" spans="1:3">
      <c r="A2628" s="71"/>
      <c r="B2628" s="72"/>
      <c r="C2628" s="72"/>
    </row>
    <row r="2629" spans="1:3">
      <c r="A2629" s="71"/>
      <c r="B2629" s="72"/>
      <c r="C2629" s="72"/>
    </row>
    <row r="2630" spans="1:3">
      <c r="A2630" s="71"/>
      <c r="B2630" s="72"/>
      <c r="C2630" s="72"/>
    </row>
    <row r="2631" spans="1:3">
      <c r="A2631" s="71"/>
      <c r="B2631" s="72"/>
      <c r="C2631" s="72"/>
    </row>
    <row r="2632" spans="1:3">
      <c r="A2632" s="71"/>
      <c r="B2632" s="72"/>
      <c r="C2632" s="72"/>
    </row>
    <row r="2633" spans="1:3">
      <c r="A2633" s="71"/>
      <c r="B2633" s="72"/>
      <c r="C2633" s="72"/>
    </row>
    <row r="2634" spans="1:3">
      <c r="A2634" s="71"/>
      <c r="B2634" s="72"/>
      <c r="C2634" s="72"/>
    </row>
    <row r="2635" spans="1:3">
      <c r="A2635" s="71"/>
      <c r="B2635" s="72"/>
      <c r="C2635" s="72"/>
    </row>
    <row r="2636" spans="1:3">
      <c r="A2636" s="71"/>
      <c r="B2636" s="72"/>
      <c r="C2636" s="72"/>
    </row>
    <row r="2637" spans="1:3">
      <c r="A2637" s="71"/>
      <c r="B2637" s="72"/>
      <c r="C2637" s="72"/>
    </row>
    <row r="2638" spans="1:3">
      <c r="A2638" s="71"/>
      <c r="B2638" s="72"/>
      <c r="C2638" s="72"/>
    </row>
    <row r="2639" spans="1:3">
      <c r="A2639" s="71"/>
      <c r="B2639" s="72"/>
      <c r="C2639" s="72"/>
    </row>
    <row r="2640" spans="1:3">
      <c r="A2640" s="71"/>
      <c r="B2640" s="72"/>
      <c r="C2640" s="72"/>
    </row>
    <row r="2641" spans="1:3">
      <c r="A2641" s="71"/>
      <c r="B2641" s="72"/>
      <c r="C2641" s="72"/>
    </row>
    <row r="2642" spans="1:3">
      <c r="A2642" s="71"/>
      <c r="B2642" s="72"/>
      <c r="C2642" s="72"/>
    </row>
    <row r="2643" spans="1:3">
      <c r="A2643" s="71"/>
      <c r="B2643" s="72"/>
      <c r="C2643" s="72"/>
    </row>
    <row r="2644" spans="1:3">
      <c r="A2644" s="71"/>
      <c r="B2644" s="72"/>
      <c r="C2644" s="72"/>
    </row>
    <row r="2645" spans="1:3">
      <c r="A2645" s="71"/>
      <c r="B2645" s="72"/>
      <c r="C2645" s="72"/>
    </row>
    <row r="2646" spans="1:3">
      <c r="A2646" s="71"/>
      <c r="B2646" s="72"/>
      <c r="C2646" s="72"/>
    </row>
    <row r="2647" spans="1:3">
      <c r="A2647" s="71"/>
      <c r="B2647" s="72"/>
      <c r="C2647" s="72"/>
    </row>
    <row r="2648" spans="1:3">
      <c r="A2648" s="71"/>
      <c r="B2648" s="72"/>
      <c r="C2648" s="72"/>
    </row>
    <row r="2649" spans="1:3">
      <c r="A2649" s="71"/>
      <c r="B2649" s="72"/>
      <c r="C2649" s="72"/>
    </row>
    <row r="2650" spans="1:3">
      <c r="A2650" s="71"/>
      <c r="B2650" s="72"/>
      <c r="C2650" s="72"/>
    </row>
    <row r="2651" spans="1:3">
      <c r="A2651" s="71"/>
      <c r="B2651" s="72"/>
      <c r="C2651" s="72"/>
    </row>
    <row r="2652" spans="1:3">
      <c r="A2652" s="71"/>
      <c r="B2652" s="72"/>
      <c r="C2652" s="72"/>
    </row>
    <row r="2653" spans="1:3">
      <c r="A2653" s="71"/>
      <c r="B2653" s="72"/>
      <c r="C2653" s="72"/>
    </row>
    <row r="2654" spans="1:3">
      <c r="A2654" s="71"/>
      <c r="B2654" s="72"/>
      <c r="C2654" s="72"/>
    </row>
    <row r="2655" spans="1:3">
      <c r="A2655" s="71"/>
      <c r="B2655" s="72"/>
      <c r="C2655" s="72"/>
    </row>
    <row r="2656" spans="1:3">
      <c r="A2656" s="71"/>
      <c r="B2656" s="72"/>
      <c r="C2656" s="72"/>
    </row>
    <row r="2657" spans="1:3">
      <c r="A2657" s="71"/>
      <c r="B2657" s="72"/>
      <c r="C2657" s="72"/>
    </row>
    <row r="2658" spans="1:3">
      <c r="A2658" s="71"/>
      <c r="B2658" s="72"/>
      <c r="C2658" s="72"/>
    </row>
    <row r="2659" spans="1:3">
      <c r="A2659" s="71"/>
      <c r="B2659" s="72"/>
      <c r="C2659" s="72"/>
    </row>
    <row r="2660" spans="1:3">
      <c r="A2660" s="71"/>
      <c r="B2660" s="72"/>
      <c r="C2660" s="72"/>
    </row>
    <row r="2661" spans="1:3">
      <c r="A2661" s="71"/>
      <c r="B2661" s="72"/>
      <c r="C2661" s="72"/>
    </row>
    <row r="2662" spans="1:3">
      <c r="A2662" s="71"/>
      <c r="B2662" s="72"/>
      <c r="C2662" s="72"/>
    </row>
    <row r="2663" spans="1:3">
      <c r="A2663" s="71"/>
      <c r="B2663" s="72"/>
      <c r="C2663" s="72"/>
    </row>
    <row r="2664" spans="1:3">
      <c r="A2664" s="71"/>
      <c r="B2664" s="72"/>
      <c r="C2664" s="72"/>
    </row>
    <row r="2665" spans="1:3">
      <c r="A2665" s="71"/>
      <c r="B2665" s="72"/>
      <c r="C2665" s="72"/>
    </row>
    <row r="2666" spans="1:3">
      <c r="A2666" s="71"/>
      <c r="B2666" s="72"/>
      <c r="C2666" s="72"/>
    </row>
    <row r="2667" spans="1:3">
      <c r="A2667" s="71"/>
      <c r="B2667" s="72"/>
      <c r="C2667" s="72"/>
    </row>
    <row r="2668" spans="1:3">
      <c r="A2668" s="71"/>
      <c r="B2668" s="72"/>
      <c r="C2668" s="72"/>
    </row>
    <row r="2669" spans="1:3">
      <c r="A2669" s="71"/>
      <c r="B2669" s="72"/>
      <c r="C2669" s="72"/>
    </row>
    <row r="2670" spans="1:3">
      <c r="A2670" s="71"/>
      <c r="B2670" s="72"/>
      <c r="C2670" s="72"/>
    </row>
    <row r="2671" spans="1:3">
      <c r="A2671" s="71"/>
      <c r="B2671" s="72"/>
      <c r="C2671" s="72"/>
    </row>
    <row r="2672" spans="1:3">
      <c r="A2672" s="71"/>
      <c r="B2672" s="72"/>
      <c r="C2672" s="72"/>
    </row>
    <row r="2673" spans="1:3">
      <c r="A2673" s="71"/>
      <c r="B2673" s="72"/>
      <c r="C2673" s="72"/>
    </row>
    <row r="2674" spans="1:3">
      <c r="A2674" s="71"/>
      <c r="B2674" s="72"/>
      <c r="C2674" s="72"/>
    </row>
    <row r="2675" spans="1:3">
      <c r="A2675" s="71"/>
      <c r="B2675" s="72"/>
      <c r="C2675" s="72"/>
    </row>
    <row r="2676" spans="1:3">
      <c r="A2676" s="71"/>
      <c r="B2676" s="72"/>
      <c r="C2676" s="72"/>
    </row>
    <row r="2677" spans="1:3">
      <c r="A2677" s="71"/>
      <c r="B2677" s="72"/>
      <c r="C2677" s="72"/>
    </row>
    <row r="2678" spans="1:3">
      <c r="A2678" s="71"/>
      <c r="B2678" s="72"/>
      <c r="C2678" s="72"/>
    </row>
    <row r="2679" spans="1:3">
      <c r="A2679" s="71"/>
      <c r="B2679" s="72"/>
      <c r="C2679" s="72"/>
    </row>
    <row r="2680" spans="1:3">
      <c r="A2680" s="71"/>
      <c r="B2680" s="72"/>
      <c r="C2680" s="72"/>
    </row>
    <row r="2681" spans="1:3">
      <c r="A2681" s="71"/>
      <c r="B2681" s="72"/>
      <c r="C2681" s="72"/>
    </row>
    <row r="2682" spans="1:3">
      <c r="A2682" s="71"/>
      <c r="B2682" s="72"/>
      <c r="C2682" s="72"/>
    </row>
    <row r="2683" spans="1:3">
      <c r="A2683" s="71"/>
      <c r="B2683" s="72"/>
      <c r="C2683" s="72"/>
    </row>
    <row r="2684" spans="1:3">
      <c r="A2684" s="71"/>
      <c r="B2684" s="72"/>
      <c r="C2684" s="72"/>
    </row>
    <row r="2685" spans="1:3">
      <c r="A2685" s="71"/>
      <c r="B2685" s="72"/>
      <c r="C2685" s="72"/>
    </row>
    <row r="2686" spans="1:3">
      <c r="A2686" s="71"/>
      <c r="B2686" s="72"/>
      <c r="C2686" s="72"/>
    </row>
    <row r="2687" spans="1:3">
      <c r="A2687" s="71"/>
      <c r="B2687" s="72"/>
      <c r="C2687" s="72"/>
    </row>
    <row r="2688" spans="1:3">
      <c r="A2688" s="71"/>
      <c r="B2688" s="72"/>
      <c r="C2688" s="72"/>
    </row>
    <row r="2689" spans="1:3">
      <c r="A2689" s="71"/>
      <c r="B2689" s="72"/>
      <c r="C2689" s="72"/>
    </row>
    <row r="2690" spans="1:3">
      <c r="A2690" s="71"/>
      <c r="B2690" s="72"/>
      <c r="C2690" s="72"/>
    </row>
    <row r="2691" spans="1:3">
      <c r="A2691" s="71"/>
      <c r="B2691" s="72"/>
      <c r="C2691" s="72"/>
    </row>
    <row r="2692" spans="1:3">
      <c r="A2692" s="71"/>
      <c r="B2692" s="72"/>
      <c r="C2692" s="72"/>
    </row>
    <row r="2693" spans="1:3">
      <c r="A2693" s="71"/>
      <c r="B2693" s="72"/>
      <c r="C2693" s="72"/>
    </row>
    <row r="2694" spans="1:3">
      <c r="A2694" s="71"/>
      <c r="B2694" s="72"/>
      <c r="C2694" s="72"/>
    </row>
    <row r="2695" spans="1:3">
      <c r="A2695" s="71"/>
      <c r="B2695" s="72"/>
      <c r="C2695" s="72"/>
    </row>
    <row r="2696" spans="1:3">
      <c r="A2696" s="71"/>
      <c r="B2696" s="72"/>
      <c r="C2696" s="72"/>
    </row>
    <row r="2697" spans="1:3">
      <c r="A2697" s="71"/>
      <c r="B2697" s="72"/>
      <c r="C2697" s="72"/>
    </row>
    <row r="2698" spans="1:3">
      <c r="A2698" s="71"/>
      <c r="B2698" s="72"/>
      <c r="C2698" s="72"/>
    </row>
    <row r="2699" spans="1:3">
      <c r="A2699" s="71"/>
      <c r="B2699" s="72"/>
      <c r="C2699" s="72"/>
    </row>
    <row r="2700" spans="1:3">
      <c r="A2700" s="71"/>
      <c r="B2700" s="72"/>
      <c r="C2700" s="72"/>
    </row>
    <row r="2701" spans="1:3">
      <c r="A2701" s="71"/>
      <c r="B2701" s="72"/>
      <c r="C2701" s="72"/>
    </row>
    <row r="2702" spans="1:3">
      <c r="A2702" s="71"/>
      <c r="B2702" s="72"/>
      <c r="C2702" s="72"/>
    </row>
    <row r="2703" spans="1:3">
      <c r="A2703" s="71"/>
      <c r="B2703" s="72"/>
      <c r="C2703" s="72"/>
    </row>
    <row r="2704" spans="1:3">
      <c r="A2704" s="71"/>
      <c r="B2704" s="72"/>
      <c r="C2704" s="72"/>
    </row>
    <row r="2705" spans="1:3">
      <c r="A2705" s="71"/>
      <c r="B2705" s="72"/>
      <c r="C2705" s="72"/>
    </row>
    <row r="2706" spans="1:3">
      <c r="A2706" s="71"/>
      <c r="B2706" s="72"/>
      <c r="C2706" s="72"/>
    </row>
    <row r="2707" spans="1:3">
      <c r="A2707" s="71"/>
      <c r="B2707" s="72"/>
      <c r="C2707" s="72"/>
    </row>
    <row r="2708" spans="1:3">
      <c r="A2708" s="71"/>
      <c r="B2708" s="72"/>
      <c r="C2708" s="72"/>
    </row>
    <row r="2709" spans="1:3">
      <c r="A2709" s="71"/>
      <c r="B2709" s="72"/>
      <c r="C2709" s="72"/>
    </row>
    <row r="2710" spans="1:3">
      <c r="A2710" s="71"/>
      <c r="B2710" s="72"/>
      <c r="C2710" s="72"/>
    </row>
    <row r="2711" spans="1:3">
      <c r="A2711" s="71"/>
      <c r="B2711" s="72"/>
      <c r="C2711" s="72"/>
    </row>
    <row r="2712" spans="1:3">
      <c r="A2712" s="71"/>
      <c r="B2712" s="72"/>
      <c r="C2712" s="72"/>
    </row>
    <row r="2713" spans="1:3">
      <c r="A2713" s="71"/>
      <c r="B2713" s="72"/>
      <c r="C2713" s="72"/>
    </row>
    <row r="2714" spans="1:3">
      <c r="A2714" s="71"/>
      <c r="B2714" s="72"/>
      <c r="C2714" s="72"/>
    </row>
    <row r="2715" spans="1:3">
      <c r="A2715" s="71"/>
      <c r="B2715" s="72"/>
      <c r="C2715" s="72"/>
    </row>
    <row r="2716" spans="1:3">
      <c r="A2716" s="71"/>
      <c r="B2716" s="72"/>
      <c r="C2716" s="72"/>
    </row>
    <row r="2717" spans="1:3">
      <c r="A2717" s="71"/>
      <c r="B2717" s="72"/>
      <c r="C2717" s="72"/>
    </row>
    <row r="2718" spans="1:3">
      <c r="A2718" s="71"/>
      <c r="B2718" s="72"/>
      <c r="C2718" s="72"/>
    </row>
    <row r="2719" spans="1:3">
      <c r="A2719" s="71"/>
      <c r="B2719" s="72"/>
      <c r="C2719" s="72"/>
    </row>
    <row r="2720" spans="1:3">
      <c r="A2720" s="71"/>
      <c r="B2720" s="72"/>
      <c r="C2720" s="72"/>
    </row>
    <row r="2721" spans="1:3">
      <c r="A2721" s="71"/>
      <c r="B2721" s="72"/>
      <c r="C2721" s="72"/>
    </row>
    <row r="2722" spans="1:3">
      <c r="A2722" s="71"/>
      <c r="B2722" s="72"/>
      <c r="C2722" s="72"/>
    </row>
    <row r="2723" spans="1:3">
      <c r="A2723" s="71"/>
      <c r="B2723" s="72"/>
      <c r="C2723" s="72"/>
    </row>
    <row r="2724" spans="1:3">
      <c r="A2724" s="71"/>
      <c r="B2724" s="72"/>
      <c r="C2724" s="72"/>
    </row>
    <row r="2725" spans="1:3">
      <c r="A2725" s="71"/>
      <c r="B2725" s="72"/>
      <c r="C2725" s="72"/>
    </row>
    <row r="2726" spans="1:3">
      <c r="A2726" s="71"/>
      <c r="B2726" s="72"/>
      <c r="C2726" s="72"/>
    </row>
    <row r="2727" spans="1:3">
      <c r="A2727" s="71"/>
      <c r="B2727" s="72"/>
      <c r="C2727" s="72"/>
    </row>
    <row r="2728" spans="1:3">
      <c r="A2728" s="71"/>
      <c r="B2728" s="72"/>
      <c r="C2728" s="72"/>
    </row>
    <row r="2729" spans="1:3">
      <c r="A2729" s="71"/>
      <c r="B2729" s="72"/>
      <c r="C2729" s="72"/>
    </row>
    <row r="2730" spans="1:3">
      <c r="A2730" s="71"/>
      <c r="B2730" s="72"/>
      <c r="C2730" s="72"/>
    </row>
    <row r="2731" spans="1:3">
      <c r="A2731" s="71"/>
      <c r="B2731" s="72"/>
      <c r="C2731" s="72"/>
    </row>
    <row r="2732" spans="1:3">
      <c r="A2732" s="71"/>
      <c r="B2732" s="72"/>
      <c r="C2732" s="72"/>
    </row>
    <row r="2733" spans="1:3">
      <c r="A2733" s="71"/>
      <c r="B2733" s="72"/>
      <c r="C2733" s="72"/>
    </row>
    <row r="2734" spans="1:3">
      <c r="A2734" s="71"/>
      <c r="B2734" s="72"/>
      <c r="C2734" s="72"/>
    </row>
    <row r="2735" spans="1:3">
      <c r="A2735" s="71"/>
      <c r="B2735" s="72"/>
      <c r="C2735" s="72"/>
    </row>
    <row r="2736" spans="1:3">
      <c r="A2736" s="71"/>
      <c r="B2736" s="72"/>
      <c r="C2736" s="72"/>
    </row>
    <row r="2737" spans="1:3">
      <c r="A2737" s="71"/>
      <c r="B2737" s="72"/>
      <c r="C2737" s="72"/>
    </row>
    <row r="2738" spans="1:3">
      <c r="A2738" s="71"/>
      <c r="B2738" s="72"/>
      <c r="C2738" s="72"/>
    </row>
    <row r="2739" spans="1:3">
      <c r="A2739" s="71"/>
      <c r="B2739" s="72"/>
      <c r="C2739" s="72"/>
    </row>
    <row r="2740" spans="1:3">
      <c r="A2740" s="71"/>
      <c r="B2740" s="72"/>
      <c r="C2740" s="72"/>
    </row>
    <row r="2741" spans="1:3">
      <c r="A2741" s="71"/>
      <c r="B2741" s="72"/>
      <c r="C2741" s="72"/>
    </row>
    <row r="2742" spans="1:3">
      <c r="A2742" s="71"/>
      <c r="B2742" s="72"/>
      <c r="C2742" s="72"/>
    </row>
    <row r="2743" spans="1:3">
      <c r="A2743" s="71"/>
      <c r="B2743" s="72"/>
      <c r="C2743" s="72"/>
    </row>
    <row r="2744" spans="1:3">
      <c r="A2744" s="71"/>
      <c r="B2744" s="72"/>
      <c r="C2744" s="72"/>
    </row>
    <row r="2745" spans="1:3">
      <c r="A2745" s="71"/>
      <c r="B2745" s="72"/>
      <c r="C2745" s="72"/>
    </row>
    <row r="2746" spans="1:3">
      <c r="A2746" s="71"/>
      <c r="B2746" s="72"/>
      <c r="C2746" s="72"/>
    </row>
    <row r="2747" spans="1:3">
      <c r="A2747" s="71"/>
      <c r="B2747" s="72"/>
      <c r="C2747" s="72"/>
    </row>
    <row r="2748" spans="1:3">
      <c r="A2748" s="71"/>
      <c r="B2748" s="72"/>
      <c r="C2748" s="72"/>
    </row>
    <row r="2749" spans="1:3">
      <c r="A2749" s="71"/>
      <c r="B2749" s="72"/>
      <c r="C2749" s="72"/>
    </row>
    <row r="2750" spans="1:3">
      <c r="A2750" s="71"/>
      <c r="B2750" s="72"/>
      <c r="C2750" s="72"/>
    </row>
    <row r="2751" spans="1:3">
      <c r="A2751" s="71"/>
      <c r="B2751" s="72"/>
      <c r="C2751" s="72"/>
    </row>
    <row r="2752" spans="1:3">
      <c r="A2752" s="71"/>
      <c r="B2752" s="72"/>
      <c r="C2752" s="72"/>
    </row>
    <row r="2753" spans="1:3">
      <c r="A2753" s="71"/>
      <c r="B2753" s="72"/>
      <c r="C2753" s="72"/>
    </row>
    <row r="2754" spans="1:3">
      <c r="A2754" s="71"/>
      <c r="B2754" s="72"/>
      <c r="C2754" s="72"/>
    </row>
    <row r="2755" spans="1:3">
      <c r="A2755" s="71"/>
      <c r="B2755" s="72"/>
      <c r="C2755" s="72"/>
    </row>
    <row r="2756" spans="1:3">
      <c r="A2756" s="71"/>
      <c r="B2756" s="72"/>
      <c r="C2756" s="72"/>
    </row>
    <row r="2757" spans="1:3">
      <c r="A2757" s="71"/>
      <c r="B2757" s="72"/>
      <c r="C2757" s="72"/>
    </row>
    <row r="2758" spans="1:3">
      <c r="A2758" s="71"/>
      <c r="B2758" s="72"/>
      <c r="C2758" s="72"/>
    </row>
    <row r="2759" spans="1:3">
      <c r="A2759" s="71"/>
      <c r="B2759" s="72"/>
      <c r="C2759" s="72"/>
    </row>
    <row r="2760" spans="1:3">
      <c r="A2760" s="71"/>
      <c r="B2760" s="72"/>
      <c r="C2760" s="72"/>
    </row>
    <row r="2761" spans="1:3">
      <c r="A2761" s="71"/>
      <c r="B2761" s="72"/>
      <c r="C2761" s="72"/>
    </row>
    <row r="2762" spans="1:3">
      <c r="A2762" s="71"/>
      <c r="B2762" s="72"/>
      <c r="C2762" s="72"/>
    </row>
    <row r="2763" spans="1:3">
      <c r="A2763" s="71"/>
      <c r="B2763" s="72"/>
      <c r="C2763" s="72"/>
    </row>
    <row r="2764" spans="1:3">
      <c r="A2764" s="71"/>
      <c r="B2764" s="72"/>
      <c r="C2764" s="72"/>
    </row>
    <row r="2765" spans="1:3">
      <c r="A2765" s="71"/>
      <c r="B2765" s="72"/>
      <c r="C2765" s="72"/>
    </row>
    <row r="2766" spans="1:3">
      <c r="A2766" s="71"/>
      <c r="B2766" s="72"/>
      <c r="C2766" s="72"/>
    </row>
    <row r="2767" spans="1:3">
      <c r="A2767" s="71"/>
      <c r="B2767" s="72"/>
      <c r="C2767" s="72"/>
    </row>
    <row r="2768" spans="1:3">
      <c r="A2768" s="71"/>
      <c r="B2768" s="72"/>
      <c r="C2768" s="72"/>
    </row>
    <row r="2769" spans="1:3">
      <c r="A2769" s="71"/>
      <c r="B2769" s="72"/>
      <c r="C2769" s="72"/>
    </row>
    <row r="2770" spans="1:3">
      <c r="A2770" s="71"/>
      <c r="B2770" s="72"/>
      <c r="C2770" s="72"/>
    </row>
    <row r="2771" spans="1:3">
      <c r="A2771" s="71"/>
      <c r="B2771" s="72"/>
      <c r="C2771" s="72"/>
    </row>
    <row r="2772" spans="1:3">
      <c r="A2772" s="71"/>
      <c r="B2772" s="72"/>
      <c r="C2772" s="72"/>
    </row>
    <row r="2773" spans="1:3">
      <c r="A2773" s="71"/>
      <c r="B2773" s="72"/>
      <c r="C2773" s="72"/>
    </row>
    <row r="2774" spans="1:3">
      <c r="A2774" s="71"/>
      <c r="B2774" s="72"/>
      <c r="C2774" s="72"/>
    </row>
    <row r="2775" spans="1:3">
      <c r="A2775" s="71"/>
      <c r="B2775" s="72"/>
      <c r="C2775" s="72"/>
    </row>
    <row r="2776" spans="1:3">
      <c r="A2776" s="71"/>
      <c r="B2776" s="72"/>
      <c r="C2776" s="72"/>
    </row>
    <row r="2777" spans="1:3">
      <c r="A2777" s="71"/>
      <c r="B2777" s="72"/>
      <c r="C2777" s="72"/>
    </row>
    <row r="2778" spans="1:3">
      <c r="A2778" s="71"/>
      <c r="B2778" s="72"/>
      <c r="C2778" s="72"/>
    </row>
    <row r="2779" spans="1:3">
      <c r="A2779" s="71"/>
      <c r="B2779" s="72"/>
      <c r="C2779" s="72"/>
    </row>
    <row r="2780" spans="1:3">
      <c r="A2780" s="71"/>
      <c r="B2780" s="72"/>
      <c r="C2780" s="72"/>
    </row>
    <row r="2781" spans="1:3">
      <c r="A2781" s="71"/>
      <c r="B2781" s="72"/>
      <c r="C2781" s="72"/>
    </row>
    <row r="2782" spans="1:3">
      <c r="A2782" s="71"/>
      <c r="B2782" s="72"/>
      <c r="C2782" s="72"/>
    </row>
    <row r="2783" spans="1:3">
      <c r="A2783" s="71"/>
      <c r="B2783" s="72"/>
      <c r="C2783" s="72"/>
    </row>
    <row r="2784" spans="1:3">
      <c r="A2784" s="71"/>
      <c r="B2784" s="72"/>
      <c r="C2784" s="72"/>
    </row>
    <row r="2785" spans="1:3">
      <c r="A2785" s="71"/>
      <c r="B2785" s="72"/>
      <c r="C2785" s="72"/>
    </row>
    <row r="2786" spans="1:3">
      <c r="A2786" s="71"/>
      <c r="B2786" s="72"/>
      <c r="C2786" s="72"/>
    </row>
    <row r="2787" spans="1:3">
      <c r="A2787" s="71"/>
      <c r="B2787" s="72"/>
      <c r="C2787" s="72"/>
    </row>
    <row r="2788" spans="1:3">
      <c r="A2788" s="71"/>
      <c r="B2788" s="72"/>
      <c r="C2788" s="72"/>
    </row>
    <row r="2789" spans="1:3">
      <c r="A2789" s="71"/>
      <c r="B2789" s="72"/>
      <c r="C2789" s="72"/>
    </row>
    <row r="2790" spans="1:3">
      <c r="A2790" s="71"/>
      <c r="B2790" s="72"/>
      <c r="C2790" s="72"/>
    </row>
    <row r="2791" spans="1:3">
      <c r="A2791" s="71"/>
      <c r="B2791" s="72"/>
      <c r="C2791" s="72"/>
    </row>
    <row r="2792" spans="1:3">
      <c r="A2792" s="71"/>
      <c r="B2792" s="72"/>
      <c r="C2792" s="72"/>
    </row>
    <row r="2793" spans="1:3">
      <c r="A2793" s="71"/>
      <c r="B2793" s="72"/>
      <c r="C2793" s="72"/>
    </row>
    <row r="2794" spans="1:3">
      <c r="A2794" s="71"/>
      <c r="B2794" s="72"/>
      <c r="C2794" s="72"/>
    </row>
    <row r="2795" spans="1:3">
      <c r="A2795" s="71"/>
      <c r="B2795" s="72"/>
      <c r="C2795" s="72"/>
    </row>
    <row r="2796" spans="1:3">
      <c r="A2796" s="71"/>
      <c r="B2796" s="72"/>
      <c r="C2796" s="72"/>
    </row>
    <row r="2797" spans="1:3">
      <c r="A2797" s="71"/>
      <c r="B2797" s="72"/>
      <c r="C2797" s="72"/>
    </row>
    <row r="2798" spans="1:3">
      <c r="A2798" s="71"/>
      <c r="B2798" s="72"/>
      <c r="C2798" s="72"/>
    </row>
    <row r="2799" spans="1:3">
      <c r="A2799" s="71"/>
      <c r="B2799" s="72"/>
      <c r="C2799" s="72"/>
    </row>
    <row r="2800" spans="1:3">
      <c r="A2800" s="71"/>
      <c r="B2800" s="72"/>
      <c r="C2800" s="72"/>
    </row>
    <row r="2801" spans="1:3">
      <c r="A2801" s="71"/>
      <c r="B2801" s="72"/>
      <c r="C2801" s="72"/>
    </row>
    <row r="2802" spans="1:3">
      <c r="A2802" s="71"/>
      <c r="B2802" s="72"/>
      <c r="C2802" s="72"/>
    </row>
    <row r="2803" spans="1:3">
      <c r="A2803" s="71"/>
      <c r="B2803" s="72"/>
      <c r="C2803" s="72"/>
    </row>
    <row r="2804" spans="1:3">
      <c r="A2804" s="71"/>
      <c r="B2804" s="72"/>
      <c r="C2804" s="72"/>
    </row>
    <row r="2805" spans="1:3">
      <c r="A2805" s="71"/>
      <c r="B2805" s="72"/>
      <c r="C2805" s="72"/>
    </row>
    <row r="2806" spans="1:3">
      <c r="A2806" s="71"/>
      <c r="B2806" s="72"/>
      <c r="C2806" s="72"/>
    </row>
    <row r="2807" spans="1:3">
      <c r="A2807" s="71"/>
      <c r="B2807" s="72"/>
      <c r="C2807" s="72"/>
    </row>
    <row r="2808" spans="1:3">
      <c r="A2808" s="71"/>
      <c r="B2808" s="72"/>
      <c r="C2808" s="72"/>
    </row>
    <row r="2809" spans="1:3">
      <c r="A2809" s="71"/>
      <c r="B2809" s="72"/>
      <c r="C2809" s="72"/>
    </row>
    <row r="2810" spans="1:3">
      <c r="A2810" s="71"/>
      <c r="B2810" s="72"/>
      <c r="C2810" s="72"/>
    </row>
    <row r="2811" spans="1:3">
      <c r="A2811" s="71"/>
      <c r="B2811" s="72"/>
      <c r="C2811" s="72"/>
    </row>
    <row r="2812" spans="1:3">
      <c r="A2812" s="71"/>
      <c r="B2812" s="72"/>
      <c r="C2812" s="72"/>
    </row>
    <row r="2813" spans="1:3">
      <c r="A2813" s="71"/>
      <c r="B2813" s="72"/>
      <c r="C2813" s="72"/>
    </row>
    <row r="2814" spans="1:3">
      <c r="A2814" s="71"/>
      <c r="B2814" s="72"/>
      <c r="C2814" s="72"/>
    </row>
    <row r="2815" spans="1:3">
      <c r="A2815" s="71"/>
      <c r="B2815" s="72"/>
      <c r="C2815" s="72"/>
    </row>
    <row r="2816" spans="1:3">
      <c r="A2816" s="71"/>
      <c r="B2816" s="72"/>
      <c r="C2816" s="72"/>
    </row>
    <row r="2817" spans="1:3">
      <c r="A2817" s="71"/>
      <c r="B2817" s="72"/>
      <c r="C2817" s="72"/>
    </row>
    <row r="2818" spans="1:3">
      <c r="A2818" s="71"/>
      <c r="B2818" s="72"/>
      <c r="C2818" s="72"/>
    </row>
    <row r="2819" spans="1:3">
      <c r="A2819" s="71"/>
      <c r="B2819" s="72"/>
      <c r="C2819" s="72"/>
    </row>
    <row r="2820" spans="1:3">
      <c r="A2820" s="71"/>
      <c r="B2820" s="72"/>
      <c r="C2820" s="72"/>
    </row>
    <row r="2821" spans="1:3">
      <c r="A2821" s="71"/>
      <c r="B2821" s="72"/>
      <c r="C2821" s="72"/>
    </row>
    <row r="2822" spans="1:3">
      <c r="A2822" s="71"/>
      <c r="B2822" s="72"/>
      <c r="C2822" s="72"/>
    </row>
    <row r="2823" spans="1:3">
      <c r="A2823" s="71"/>
      <c r="B2823" s="72"/>
      <c r="C2823" s="72"/>
    </row>
    <row r="2824" spans="1:3">
      <c r="A2824" s="71"/>
      <c r="B2824" s="72"/>
      <c r="C2824" s="72"/>
    </row>
    <row r="2825" spans="1:3">
      <c r="A2825" s="71"/>
      <c r="B2825" s="72"/>
      <c r="C2825" s="72"/>
    </row>
    <row r="2826" spans="1:3">
      <c r="A2826" s="71"/>
      <c r="B2826" s="72"/>
      <c r="C2826" s="72"/>
    </row>
    <row r="2827" spans="1:3">
      <c r="A2827" s="71"/>
      <c r="B2827" s="72"/>
      <c r="C2827" s="72"/>
    </row>
    <row r="2828" spans="1:3">
      <c r="A2828" s="71"/>
      <c r="B2828" s="72"/>
      <c r="C2828" s="72"/>
    </row>
    <row r="2829" spans="1:3">
      <c r="A2829" s="71"/>
      <c r="B2829" s="72"/>
      <c r="C2829" s="72"/>
    </row>
    <row r="2830" spans="1:3">
      <c r="A2830" s="71"/>
      <c r="B2830" s="72"/>
      <c r="C2830" s="72"/>
    </row>
    <row r="2831" spans="1:3">
      <c r="A2831" s="71"/>
      <c r="B2831" s="72"/>
      <c r="C2831" s="72"/>
    </row>
    <row r="2832" spans="1:3">
      <c r="A2832" s="71"/>
      <c r="B2832" s="72"/>
      <c r="C2832" s="72"/>
    </row>
    <row r="2833" spans="1:3">
      <c r="A2833" s="71"/>
      <c r="B2833" s="72"/>
      <c r="C2833" s="72"/>
    </row>
    <row r="2834" spans="1:3">
      <c r="A2834" s="71"/>
      <c r="B2834" s="72"/>
      <c r="C2834" s="72"/>
    </row>
    <row r="2835" spans="1:3">
      <c r="A2835" s="71"/>
      <c r="B2835" s="72"/>
      <c r="C2835" s="72"/>
    </row>
    <row r="2836" spans="1:3">
      <c r="A2836" s="71"/>
      <c r="B2836" s="72"/>
      <c r="C2836" s="72"/>
    </row>
    <row r="2837" spans="1:3">
      <c r="A2837" s="71"/>
      <c r="B2837" s="72"/>
      <c r="C2837" s="72"/>
    </row>
    <row r="2838" spans="1:3">
      <c r="A2838" s="71"/>
      <c r="B2838" s="72"/>
      <c r="C2838" s="72"/>
    </row>
    <row r="2839" spans="1:3">
      <c r="A2839" s="71"/>
      <c r="B2839" s="72"/>
      <c r="C2839" s="72"/>
    </row>
    <row r="2840" spans="1:3">
      <c r="A2840" s="71"/>
      <c r="B2840" s="72"/>
      <c r="C2840" s="72"/>
    </row>
    <row r="2841" spans="1:3">
      <c r="A2841" s="71"/>
      <c r="B2841" s="72"/>
      <c r="C2841" s="72"/>
    </row>
    <row r="2842" spans="1:3">
      <c r="A2842" s="71"/>
      <c r="B2842" s="72"/>
      <c r="C2842" s="72"/>
    </row>
    <row r="2843" spans="1:3">
      <c r="A2843" s="71"/>
      <c r="B2843" s="72"/>
      <c r="C2843" s="72"/>
    </row>
    <row r="2844" spans="1:3">
      <c r="A2844" s="71"/>
      <c r="B2844" s="72"/>
      <c r="C2844" s="72"/>
    </row>
    <row r="2845" spans="1:3">
      <c r="A2845" s="71"/>
      <c r="B2845" s="72"/>
      <c r="C2845" s="72"/>
    </row>
    <row r="2846" spans="1:3">
      <c r="A2846" s="71"/>
      <c r="B2846" s="72"/>
      <c r="C2846" s="72"/>
    </row>
    <row r="2847" spans="1:3">
      <c r="A2847" s="71"/>
      <c r="B2847" s="72"/>
      <c r="C2847" s="72"/>
    </row>
    <row r="2848" spans="1:3">
      <c r="A2848" s="71"/>
      <c r="B2848" s="72"/>
      <c r="C2848" s="72"/>
    </row>
    <row r="2849" spans="1:3">
      <c r="A2849" s="71"/>
      <c r="B2849" s="72"/>
      <c r="C2849" s="72"/>
    </row>
    <row r="2850" spans="1:3">
      <c r="A2850" s="71"/>
      <c r="B2850" s="72"/>
      <c r="C2850" s="72"/>
    </row>
    <row r="2851" spans="1:3">
      <c r="A2851" s="71"/>
      <c r="B2851" s="72"/>
      <c r="C2851" s="72"/>
    </row>
    <row r="2852" spans="1:3">
      <c r="A2852" s="71"/>
      <c r="B2852" s="72"/>
      <c r="C2852" s="72"/>
    </row>
    <row r="2853" spans="1:3">
      <c r="A2853" s="71"/>
      <c r="B2853" s="72"/>
      <c r="C2853" s="72"/>
    </row>
    <row r="2854" spans="1:3">
      <c r="A2854" s="71"/>
      <c r="B2854" s="72"/>
      <c r="C2854" s="72"/>
    </row>
    <row r="2855" spans="1:3">
      <c r="A2855" s="71"/>
      <c r="B2855" s="72"/>
      <c r="C2855" s="72"/>
    </row>
    <row r="2856" spans="1:3">
      <c r="A2856" s="71"/>
      <c r="B2856" s="72"/>
      <c r="C2856" s="72"/>
    </row>
    <row r="2857" spans="1:3">
      <c r="A2857" s="71"/>
      <c r="B2857" s="72"/>
      <c r="C2857" s="72"/>
    </row>
    <row r="2858" spans="1:3">
      <c r="A2858" s="71"/>
      <c r="B2858" s="72"/>
      <c r="C2858" s="72"/>
    </row>
    <row r="2859" spans="1:3">
      <c r="A2859" s="71"/>
      <c r="B2859" s="72"/>
      <c r="C2859" s="72"/>
    </row>
    <row r="2860" spans="1:3">
      <c r="A2860" s="71"/>
      <c r="B2860" s="72"/>
      <c r="C2860" s="72"/>
    </row>
    <row r="2861" spans="1:3">
      <c r="A2861" s="71"/>
      <c r="B2861" s="72"/>
      <c r="C2861" s="72"/>
    </row>
    <row r="2862" spans="1:3">
      <c r="A2862" s="71"/>
      <c r="B2862" s="72"/>
      <c r="C2862" s="72"/>
    </row>
    <row r="2863" spans="1:3">
      <c r="A2863" s="71"/>
      <c r="B2863" s="72"/>
      <c r="C2863" s="72"/>
    </row>
    <row r="2864" spans="1:3">
      <c r="A2864" s="71"/>
      <c r="B2864" s="72"/>
      <c r="C2864" s="72"/>
    </row>
    <row r="2865" spans="1:3">
      <c r="A2865" s="71"/>
      <c r="B2865" s="72"/>
      <c r="C2865" s="72"/>
    </row>
    <row r="2866" spans="1:3">
      <c r="A2866" s="71"/>
      <c r="B2866" s="72"/>
      <c r="C2866" s="72"/>
    </row>
    <row r="2867" spans="1:3">
      <c r="A2867" s="71"/>
      <c r="B2867" s="72"/>
      <c r="C2867" s="72"/>
    </row>
    <row r="2868" spans="1:3">
      <c r="A2868" s="71"/>
      <c r="B2868" s="72"/>
      <c r="C2868" s="72"/>
    </row>
    <row r="2869" spans="1:3">
      <c r="A2869" s="71"/>
      <c r="B2869" s="72"/>
      <c r="C2869" s="72"/>
    </row>
    <row r="2870" spans="1:3">
      <c r="A2870" s="71"/>
      <c r="B2870" s="72"/>
      <c r="C2870" s="72"/>
    </row>
    <row r="2871" spans="1:3">
      <c r="A2871" s="71"/>
      <c r="B2871" s="72"/>
      <c r="C2871" s="72"/>
    </row>
    <row r="2872" spans="1:3">
      <c r="A2872" s="71"/>
      <c r="B2872" s="72"/>
      <c r="C2872" s="72"/>
    </row>
    <row r="2873" spans="1:3">
      <c r="A2873" s="71"/>
      <c r="B2873" s="72"/>
      <c r="C2873" s="72"/>
    </row>
    <row r="2874" spans="1:3">
      <c r="A2874" s="71"/>
      <c r="B2874" s="72"/>
      <c r="C2874" s="72"/>
    </row>
    <row r="2875" spans="1:3">
      <c r="A2875" s="71"/>
      <c r="B2875" s="72"/>
      <c r="C2875" s="72"/>
    </row>
    <row r="2876" spans="1:3">
      <c r="A2876" s="71"/>
      <c r="B2876" s="72"/>
      <c r="C2876" s="72"/>
    </row>
    <row r="2877" spans="1:3">
      <c r="A2877" s="71"/>
      <c r="B2877" s="72"/>
      <c r="C2877" s="72"/>
    </row>
    <row r="2878" spans="1:3">
      <c r="A2878" s="71"/>
      <c r="B2878" s="72"/>
      <c r="C2878" s="72"/>
    </row>
    <row r="2879" spans="1:3">
      <c r="A2879" s="71"/>
      <c r="B2879" s="72"/>
      <c r="C2879" s="72"/>
    </row>
    <row r="2880" spans="1:3">
      <c r="A2880" s="71"/>
      <c r="B2880" s="72"/>
      <c r="C2880" s="72"/>
    </row>
    <row r="2881" spans="1:3">
      <c r="A2881" s="71"/>
      <c r="B2881" s="72"/>
      <c r="C2881" s="72"/>
    </row>
    <row r="2882" spans="1:3">
      <c r="A2882" s="71"/>
      <c r="B2882" s="72"/>
      <c r="C2882" s="72"/>
    </row>
    <row r="2883" spans="1:3">
      <c r="A2883" s="71"/>
      <c r="B2883" s="72"/>
      <c r="C2883" s="72"/>
    </row>
    <row r="2884" spans="1:3">
      <c r="A2884" s="71"/>
      <c r="B2884" s="72"/>
      <c r="C2884" s="72"/>
    </row>
    <row r="2885" spans="1:3">
      <c r="A2885" s="71"/>
      <c r="B2885" s="72"/>
      <c r="C2885" s="72"/>
    </row>
    <row r="2886" spans="1:3">
      <c r="A2886" s="71"/>
      <c r="B2886" s="72"/>
      <c r="C2886" s="72"/>
    </row>
    <row r="2887" spans="1:3">
      <c r="A2887" s="71"/>
      <c r="B2887" s="72"/>
      <c r="C2887" s="72"/>
    </row>
    <row r="2888" spans="1:3">
      <c r="A2888" s="71"/>
      <c r="B2888" s="72"/>
      <c r="C2888" s="72"/>
    </row>
    <row r="2889" spans="1:3">
      <c r="A2889" s="71"/>
      <c r="B2889" s="72"/>
      <c r="C2889" s="72"/>
    </row>
    <row r="2890" spans="1:3">
      <c r="A2890" s="71"/>
      <c r="B2890" s="72"/>
      <c r="C2890" s="72"/>
    </row>
    <row r="2891" spans="1:3">
      <c r="A2891" s="71"/>
      <c r="B2891" s="72"/>
      <c r="C2891" s="72"/>
    </row>
    <row r="2892" spans="1:3">
      <c r="A2892" s="71"/>
      <c r="B2892" s="72"/>
      <c r="C2892" s="72"/>
    </row>
    <row r="2893" spans="1:3">
      <c r="A2893" s="71"/>
      <c r="B2893" s="72"/>
      <c r="C2893" s="72"/>
    </row>
    <row r="2894" spans="1:3">
      <c r="A2894" s="71"/>
      <c r="B2894" s="72"/>
      <c r="C2894" s="72"/>
    </row>
    <row r="2895" spans="1:3">
      <c r="A2895" s="71"/>
      <c r="B2895" s="72"/>
      <c r="C2895" s="72"/>
    </row>
    <row r="2896" spans="1:3">
      <c r="A2896" s="71"/>
      <c r="B2896" s="72"/>
      <c r="C2896" s="72"/>
    </row>
    <row r="2897" spans="1:3">
      <c r="A2897" s="71"/>
      <c r="B2897" s="72"/>
      <c r="C2897" s="72"/>
    </row>
    <row r="2898" spans="1:3">
      <c r="A2898" s="71"/>
      <c r="B2898" s="72"/>
      <c r="C2898" s="72"/>
    </row>
    <row r="2899" spans="1:3">
      <c r="A2899" s="71"/>
      <c r="B2899" s="72"/>
      <c r="C2899" s="72"/>
    </row>
    <row r="2900" spans="1:3">
      <c r="A2900" s="71"/>
      <c r="B2900" s="72"/>
      <c r="C2900" s="72"/>
    </row>
    <row r="2901" spans="1:3">
      <c r="A2901" s="71"/>
      <c r="B2901" s="72"/>
      <c r="C2901" s="72"/>
    </row>
    <row r="2902" spans="1:3">
      <c r="A2902" s="71"/>
      <c r="B2902" s="72"/>
      <c r="C2902" s="72"/>
    </row>
    <row r="2903" spans="1:3">
      <c r="A2903" s="71"/>
      <c r="B2903" s="72"/>
      <c r="C2903" s="72"/>
    </row>
    <row r="2904" spans="1:3">
      <c r="A2904" s="71"/>
      <c r="B2904" s="72"/>
      <c r="C2904" s="72"/>
    </row>
    <row r="2905" spans="1:3">
      <c r="A2905" s="71"/>
      <c r="B2905" s="72"/>
      <c r="C2905" s="72"/>
    </row>
    <row r="2906" spans="1:3">
      <c r="A2906" s="71"/>
      <c r="B2906" s="72"/>
      <c r="C2906" s="72"/>
    </row>
    <row r="2907" spans="1:3">
      <c r="A2907" s="71"/>
      <c r="B2907" s="72"/>
      <c r="C2907" s="72"/>
    </row>
    <row r="2908" spans="1:3">
      <c r="A2908" s="71"/>
      <c r="B2908" s="72"/>
      <c r="C2908" s="72"/>
    </row>
    <row r="2909" spans="1:3">
      <c r="A2909" s="71"/>
      <c r="B2909" s="72"/>
      <c r="C2909" s="72"/>
    </row>
    <row r="2910" spans="1:3">
      <c r="A2910" s="71"/>
      <c r="B2910" s="72"/>
      <c r="C2910" s="72"/>
    </row>
    <row r="2911" spans="1:3">
      <c r="A2911" s="71"/>
      <c r="B2911" s="72"/>
      <c r="C2911" s="72"/>
    </row>
    <row r="2912" spans="1:3">
      <c r="A2912" s="71"/>
      <c r="B2912" s="72"/>
      <c r="C2912" s="72"/>
    </row>
    <row r="2913" spans="1:3">
      <c r="A2913" s="71"/>
      <c r="B2913" s="72"/>
      <c r="C2913" s="72"/>
    </row>
    <row r="2914" spans="1:3">
      <c r="A2914" s="71"/>
      <c r="B2914" s="72"/>
      <c r="C2914" s="72"/>
    </row>
    <row r="2915" spans="1:3">
      <c r="A2915" s="71"/>
      <c r="B2915" s="72"/>
      <c r="C2915" s="72"/>
    </row>
    <row r="2916" spans="1:3">
      <c r="A2916" s="71"/>
      <c r="B2916" s="72"/>
      <c r="C2916" s="72"/>
    </row>
    <row r="2917" spans="1:3">
      <c r="A2917" s="71"/>
      <c r="B2917" s="72"/>
      <c r="C2917" s="72"/>
    </row>
    <row r="2918" spans="1:3">
      <c r="A2918" s="71"/>
      <c r="B2918" s="72"/>
      <c r="C2918" s="72"/>
    </row>
    <row r="2919" spans="1:3">
      <c r="A2919" s="71"/>
      <c r="B2919" s="72"/>
      <c r="C2919" s="72"/>
    </row>
    <row r="2920" spans="1:3">
      <c r="A2920" s="71"/>
      <c r="B2920" s="72"/>
      <c r="C2920" s="72"/>
    </row>
    <row r="2921" spans="1:3">
      <c r="A2921" s="71"/>
      <c r="B2921" s="72"/>
      <c r="C2921" s="72"/>
    </row>
    <row r="2922" spans="1:3">
      <c r="A2922" s="71"/>
      <c r="B2922" s="72"/>
      <c r="C2922" s="72"/>
    </row>
    <row r="2923" spans="1:3">
      <c r="A2923" s="71"/>
      <c r="B2923" s="72"/>
      <c r="C2923" s="72"/>
    </row>
    <row r="2924" spans="1:3">
      <c r="A2924" s="71"/>
      <c r="B2924" s="72"/>
      <c r="C2924" s="72"/>
    </row>
    <row r="2925" spans="1:3">
      <c r="A2925" s="71"/>
      <c r="B2925" s="72"/>
      <c r="C2925" s="72"/>
    </row>
    <row r="2926" spans="1:3">
      <c r="A2926" s="71"/>
      <c r="B2926" s="72"/>
      <c r="C2926" s="72"/>
    </row>
    <row r="2927" spans="1:3">
      <c r="A2927" s="71"/>
      <c r="B2927" s="72"/>
      <c r="C2927" s="72"/>
    </row>
    <row r="2928" spans="1:3">
      <c r="A2928" s="71"/>
      <c r="B2928" s="72"/>
      <c r="C2928" s="72"/>
    </row>
    <row r="2929" spans="1:3">
      <c r="A2929" s="71"/>
      <c r="B2929" s="72"/>
      <c r="C2929" s="72"/>
    </row>
    <row r="2930" spans="1:3">
      <c r="A2930" s="71"/>
      <c r="B2930" s="72"/>
      <c r="C2930" s="72"/>
    </row>
    <row r="2931" spans="1:3">
      <c r="A2931" s="71"/>
      <c r="B2931" s="72"/>
      <c r="C2931" s="72"/>
    </row>
    <row r="2932" spans="1:3">
      <c r="A2932" s="71"/>
      <c r="B2932" s="72"/>
      <c r="C2932" s="72"/>
    </row>
    <row r="2933" spans="1:3">
      <c r="A2933" s="71"/>
      <c r="B2933" s="72"/>
      <c r="C2933" s="72"/>
    </row>
    <row r="2934" spans="1:3">
      <c r="A2934" s="71"/>
      <c r="B2934" s="72"/>
      <c r="C2934" s="72"/>
    </row>
    <row r="2935" spans="1:3">
      <c r="A2935" s="71"/>
      <c r="B2935" s="72"/>
      <c r="C2935" s="72"/>
    </row>
    <row r="2936" spans="1:3">
      <c r="A2936" s="71"/>
      <c r="B2936" s="72"/>
      <c r="C2936" s="72"/>
    </row>
    <row r="2937" spans="1:3">
      <c r="A2937" s="71"/>
      <c r="B2937" s="72"/>
      <c r="C2937" s="72"/>
    </row>
    <row r="2938" spans="1:3">
      <c r="A2938" s="71"/>
      <c r="B2938" s="72"/>
      <c r="C2938" s="72"/>
    </row>
    <row r="2939" spans="1:3">
      <c r="A2939" s="71"/>
      <c r="B2939" s="72"/>
      <c r="C2939" s="72"/>
    </row>
    <row r="2940" spans="1:3">
      <c r="A2940" s="71"/>
      <c r="B2940" s="72"/>
      <c r="C2940" s="72"/>
    </row>
    <row r="2941" spans="1:3">
      <c r="A2941" s="71"/>
      <c r="B2941" s="72"/>
      <c r="C2941" s="72"/>
    </row>
    <row r="2942" spans="1:3">
      <c r="A2942" s="71"/>
      <c r="B2942" s="72"/>
      <c r="C2942" s="72"/>
    </row>
    <row r="2943" spans="1:3">
      <c r="A2943" s="71"/>
      <c r="B2943" s="72"/>
      <c r="C2943" s="72"/>
    </row>
    <row r="2944" spans="1:3">
      <c r="A2944" s="71"/>
      <c r="B2944" s="72"/>
      <c r="C2944" s="72"/>
    </row>
    <row r="2945" spans="1:3">
      <c r="A2945" s="71"/>
      <c r="B2945" s="72"/>
      <c r="C2945" s="72"/>
    </row>
    <row r="2946" spans="1:3">
      <c r="A2946" s="71"/>
      <c r="B2946" s="72"/>
      <c r="C2946" s="72"/>
    </row>
    <row r="2947" spans="1:3">
      <c r="A2947" s="71"/>
      <c r="B2947" s="72"/>
      <c r="C2947" s="72"/>
    </row>
    <row r="2948" spans="1:3">
      <c r="A2948" s="71"/>
      <c r="B2948" s="72"/>
      <c r="C2948" s="72"/>
    </row>
    <row r="2949" spans="1:3">
      <c r="A2949" s="71"/>
      <c r="B2949" s="72"/>
      <c r="C2949" s="72"/>
    </row>
    <row r="2950" spans="1:3">
      <c r="A2950" s="71"/>
      <c r="B2950" s="72"/>
      <c r="C2950" s="72"/>
    </row>
    <row r="2951" spans="1:3">
      <c r="A2951" s="71"/>
      <c r="B2951" s="72"/>
      <c r="C2951" s="72"/>
    </row>
    <row r="2952" spans="1:3">
      <c r="A2952" s="71"/>
      <c r="B2952" s="72"/>
      <c r="C2952" s="72"/>
    </row>
    <row r="2953" spans="1:3">
      <c r="A2953" s="71"/>
      <c r="B2953" s="72"/>
      <c r="C2953" s="72"/>
    </row>
    <row r="2954" spans="1:3">
      <c r="A2954" s="71"/>
      <c r="B2954" s="72"/>
      <c r="C2954" s="72"/>
    </row>
    <row r="2955" spans="1:3">
      <c r="A2955" s="71"/>
      <c r="B2955" s="72"/>
      <c r="C2955" s="72"/>
    </row>
    <row r="2956" spans="1:3">
      <c r="A2956" s="71"/>
      <c r="B2956" s="72"/>
      <c r="C2956" s="72"/>
    </row>
    <row r="2957" spans="1:3">
      <c r="A2957" s="71"/>
      <c r="B2957" s="72"/>
      <c r="C2957" s="72"/>
    </row>
    <row r="2958" spans="1:3">
      <c r="A2958" s="71"/>
      <c r="B2958" s="72"/>
      <c r="C2958" s="72"/>
    </row>
    <row r="2959" spans="1:3">
      <c r="A2959" s="71"/>
      <c r="B2959" s="72"/>
      <c r="C2959" s="72"/>
    </row>
    <row r="2960" spans="1:3">
      <c r="A2960" s="71"/>
      <c r="B2960" s="72"/>
      <c r="C2960" s="72"/>
    </row>
    <row r="2961" spans="1:3">
      <c r="A2961" s="71"/>
      <c r="B2961" s="72"/>
      <c r="C2961" s="72"/>
    </row>
    <row r="2962" spans="1:3">
      <c r="A2962" s="71"/>
      <c r="B2962" s="72"/>
      <c r="C2962" s="72"/>
    </row>
    <row r="2963" spans="1:3">
      <c r="A2963" s="71"/>
      <c r="B2963" s="72"/>
      <c r="C2963" s="72"/>
    </row>
    <row r="2964" spans="1:3">
      <c r="A2964" s="71"/>
      <c r="B2964" s="72"/>
      <c r="C2964" s="72"/>
    </row>
    <row r="2965" spans="1:3">
      <c r="A2965" s="71"/>
      <c r="B2965" s="72"/>
      <c r="C2965" s="72"/>
    </row>
    <row r="2966" spans="1:3">
      <c r="A2966" s="71"/>
      <c r="B2966" s="72"/>
      <c r="C2966" s="72"/>
    </row>
    <row r="2967" spans="1:3">
      <c r="A2967" s="71"/>
      <c r="B2967" s="72"/>
      <c r="C2967" s="72"/>
    </row>
    <row r="2968" spans="1:3">
      <c r="A2968" s="71"/>
      <c r="B2968" s="72"/>
      <c r="C2968" s="72"/>
    </row>
    <row r="2969" spans="1:3">
      <c r="A2969" s="71"/>
      <c r="B2969" s="72"/>
      <c r="C2969" s="72"/>
    </row>
    <row r="2970" spans="1:3">
      <c r="A2970" s="71"/>
      <c r="B2970" s="72"/>
      <c r="C2970" s="72"/>
    </row>
    <row r="2971" spans="1:3">
      <c r="A2971" s="71"/>
      <c r="B2971" s="72"/>
      <c r="C2971" s="72"/>
    </row>
    <row r="2972" spans="1:3">
      <c r="A2972" s="71"/>
      <c r="B2972" s="72"/>
      <c r="C2972" s="72"/>
    </row>
    <row r="2973" spans="1:3">
      <c r="A2973" s="71"/>
      <c r="B2973" s="72"/>
      <c r="C2973" s="72"/>
    </row>
    <row r="2974" spans="1:3">
      <c r="A2974" s="71"/>
      <c r="B2974" s="72"/>
      <c r="C2974" s="72"/>
    </row>
    <row r="2975" spans="1:3">
      <c r="A2975" s="71"/>
      <c r="B2975" s="72"/>
      <c r="C2975" s="72"/>
    </row>
    <row r="2976" spans="1:3">
      <c r="A2976" s="71"/>
      <c r="B2976" s="72"/>
      <c r="C2976" s="72"/>
    </row>
    <row r="2977" spans="1:3">
      <c r="A2977" s="71"/>
      <c r="B2977" s="72"/>
      <c r="C2977" s="72"/>
    </row>
    <row r="2978" spans="1:3">
      <c r="A2978" s="71"/>
      <c r="B2978" s="72"/>
      <c r="C2978" s="72"/>
    </row>
    <row r="2979" spans="1:3">
      <c r="A2979" s="71"/>
      <c r="B2979" s="72"/>
      <c r="C2979" s="72"/>
    </row>
    <row r="2980" spans="1:3">
      <c r="A2980" s="71"/>
      <c r="B2980" s="72"/>
      <c r="C2980" s="72"/>
    </row>
    <row r="2981" spans="1:3">
      <c r="A2981" s="71"/>
      <c r="B2981" s="72"/>
      <c r="C2981" s="72"/>
    </row>
    <row r="2982" spans="1:3">
      <c r="A2982" s="71"/>
      <c r="B2982" s="72"/>
      <c r="C2982" s="72"/>
    </row>
    <row r="2983" spans="1:3">
      <c r="A2983" s="71"/>
      <c r="B2983" s="72"/>
      <c r="C2983" s="72"/>
    </row>
    <row r="2984" spans="1:3">
      <c r="A2984" s="71"/>
      <c r="B2984" s="72"/>
      <c r="C2984" s="72"/>
    </row>
    <row r="2985" spans="1:3">
      <c r="A2985" s="71"/>
      <c r="B2985" s="72"/>
      <c r="C2985" s="72"/>
    </row>
    <row r="2986" spans="1:3">
      <c r="A2986" s="71"/>
      <c r="B2986" s="72"/>
      <c r="C2986" s="72"/>
    </row>
    <row r="2987" spans="1:3">
      <c r="A2987" s="71"/>
      <c r="B2987" s="72"/>
      <c r="C2987" s="72"/>
    </row>
    <row r="2988" spans="1:3">
      <c r="A2988" s="71"/>
      <c r="B2988" s="72"/>
      <c r="C2988" s="72"/>
    </row>
    <row r="2989" spans="1:3">
      <c r="A2989" s="71"/>
      <c r="B2989" s="72"/>
      <c r="C2989" s="72"/>
    </row>
    <row r="2990" spans="1:3">
      <c r="A2990" s="71"/>
      <c r="B2990" s="72"/>
      <c r="C2990" s="72"/>
    </row>
    <row r="2991" spans="1:3">
      <c r="A2991" s="71"/>
      <c r="B2991" s="72"/>
      <c r="C2991" s="72"/>
    </row>
    <row r="2992" spans="1:3">
      <c r="A2992" s="71"/>
      <c r="B2992" s="72"/>
      <c r="C2992" s="72"/>
    </row>
    <row r="2993" spans="1:3">
      <c r="A2993" s="71"/>
      <c r="B2993" s="72"/>
      <c r="C2993" s="72"/>
    </row>
    <row r="2994" spans="1:3">
      <c r="A2994" s="71"/>
      <c r="B2994" s="72"/>
      <c r="C2994" s="72"/>
    </row>
    <row r="2995" spans="1:3">
      <c r="A2995" s="71"/>
      <c r="B2995" s="72"/>
      <c r="C2995" s="72"/>
    </row>
    <row r="2996" spans="1:3">
      <c r="A2996" s="71"/>
      <c r="B2996" s="72"/>
      <c r="C2996" s="72"/>
    </row>
    <row r="2997" spans="1:3">
      <c r="A2997" s="71"/>
      <c r="B2997" s="72"/>
      <c r="C2997" s="72"/>
    </row>
    <row r="2998" spans="1:3">
      <c r="A2998" s="71"/>
      <c r="B2998" s="72"/>
      <c r="C2998" s="72"/>
    </row>
    <row r="2999" spans="1:3">
      <c r="A2999" s="71"/>
      <c r="B2999" s="72"/>
      <c r="C2999" s="72"/>
    </row>
    <row r="3000" spans="1:3">
      <c r="A3000" s="71"/>
      <c r="B3000" s="72"/>
      <c r="C3000" s="72"/>
    </row>
    <row r="3001" spans="1:3">
      <c r="A3001" s="71"/>
      <c r="B3001" s="72"/>
      <c r="C3001" s="72"/>
    </row>
    <row r="3002" spans="1:3">
      <c r="A3002" s="71"/>
      <c r="B3002" s="72"/>
      <c r="C3002" s="72"/>
    </row>
    <row r="3003" spans="1:3">
      <c r="A3003" s="71"/>
      <c r="B3003" s="72"/>
      <c r="C3003" s="72"/>
    </row>
    <row r="3004" spans="1:3">
      <c r="A3004" s="71"/>
      <c r="B3004" s="72"/>
      <c r="C3004" s="72"/>
    </row>
    <row r="3005" spans="1:3">
      <c r="A3005" s="71"/>
      <c r="B3005" s="72"/>
      <c r="C3005" s="72"/>
    </row>
    <row r="3006" spans="1:3">
      <c r="A3006" s="71"/>
      <c r="B3006" s="72"/>
      <c r="C3006" s="72"/>
    </row>
    <row r="3007" spans="1:3">
      <c r="A3007" s="71"/>
      <c r="B3007" s="72"/>
      <c r="C3007" s="72"/>
    </row>
    <row r="3008" spans="1:3">
      <c r="A3008" s="71"/>
      <c r="B3008" s="72"/>
      <c r="C3008" s="72"/>
    </row>
    <row r="3009" spans="1:3">
      <c r="A3009" s="71"/>
      <c r="B3009" s="72"/>
      <c r="C3009" s="72"/>
    </row>
    <row r="3010" spans="1:3">
      <c r="A3010" s="71"/>
      <c r="B3010" s="72"/>
      <c r="C3010" s="72"/>
    </row>
    <row r="3011" spans="1:3">
      <c r="A3011" s="71"/>
      <c r="B3011" s="72"/>
      <c r="C3011" s="72"/>
    </row>
    <row r="3012" spans="1:3">
      <c r="A3012" s="71"/>
      <c r="B3012" s="72"/>
      <c r="C3012" s="72"/>
    </row>
    <row r="3013" spans="1:3">
      <c r="A3013" s="71"/>
      <c r="B3013" s="72"/>
      <c r="C3013" s="72"/>
    </row>
    <row r="3014" spans="1:3">
      <c r="A3014" s="71"/>
      <c r="B3014" s="72"/>
      <c r="C3014" s="72"/>
    </row>
    <row r="3015" spans="1:3">
      <c r="A3015" s="71"/>
      <c r="B3015" s="72"/>
      <c r="C3015" s="72"/>
    </row>
    <row r="3016" spans="1:3">
      <c r="A3016" s="71"/>
      <c r="B3016" s="72"/>
      <c r="C3016" s="72"/>
    </row>
    <row r="3017" spans="1:3">
      <c r="A3017" s="71"/>
      <c r="B3017" s="72"/>
      <c r="C3017" s="72"/>
    </row>
    <row r="3018" spans="1:3">
      <c r="A3018" s="71"/>
      <c r="B3018" s="72"/>
      <c r="C3018" s="72"/>
    </row>
    <row r="3019" spans="1:3">
      <c r="A3019" s="71"/>
      <c r="B3019" s="72"/>
      <c r="C3019" s="72"/>
    </row>
    <row r="3020" spans="1:3">
      <c r="A3020" s="71"/>
      <c r="B3020" s="72"/>
      <c r="C3020" s="72"/>
    </row>
    <row r="3021" spans="1:3">
      <c r="A3021" s="71"/>
      <c r="B3021" s="72"/>
      <c r="C3021" s="72"/>
    </row>
    <row r="3022" spans="1:3">
      <c r="A3022" s="71"/>
      <c r="B3022" s="72"/>
      <c r="C3022" s="72"/>
    </row>
    <row r="3023" spans="1:3">
      <c r="A3023" s="71"/>
      <c r="B3023" s="72"/>
      <c r="C3023" s="72"/>
    </row>
    <row r="3024" spans="1:3">
      <c r="A3024" s="71"/>
      <c r="B3024" s="72"/>
      <c r="C3024" s="72"/>
    </row>
    <row r="3025" spans="1:3">
      <c r="A3025" s="71"/>
      <c r="B3025" s="72"/>
      <c r="C3025" s="72"/>
    </row>
    <row r="3026" spans="1:3">
      <c r="A3026" s="71"/>
      <c r="B3026" s="72"/>
      <c r="C3026" s="72"/>
    </row>
    <row r="3027" spans="1:3">
      <c r="A3027" s="71"/>
      <c r="B3027" s="72"/>
      <c r="C3027" s="72"/>
    </row>
    <row r="3028" spans="1:3">
      <c r="A3028" s="71"/>
      <c r="B3028" s="72"/>
      <c r="C3028" s="72"/>
    </row>
    <row r="3029" spans="1:3">
      <c r="A3029" s="71"/>
      <c r="B3029" s="72"/>
      <c r="C3029" s="72"/>
    </row>
    <row r="3030" spans="1:3">
      <c r="A3030" s="71"/>
      <c r="B3030" s="72"/>
      <c r="C3030" s="72"/>
    </row>
    <row r="3031" spans="1:3">
      <c r="A3031" s="71"/>
      <c r="B3031" s="72"/>
      <c r="C3031" s="72"/>
    </row>
    <row r="3032" spans="1:3">
      <c r="A3032" s="71"/>
      <c r="B3032" s="72"/>
      <c r="C3032" s="72"/>
    </row>
    <row r="3033" spans="1:3">
      <c r="A3033" s="71"/>
      <c r="B3033" s="72"/>
      <c r="C3033" s="72"/>
    </row>
    <row r="3034" spans="1:3">
      <c r="A3034" s="71"/>
      <c r="B3034" s="72"/>
      <c r="C3034" s="72"/>
    </row>
    <row r="3035" spans="1:3">
      <c r="A3035" s="71"/>
      <c r="B3035" s="72"/>
      <c r="C3035" s="72"/>
    </row>
    <row r="3036" spans="1:3">
      <c r="A3036" s="71"/>
      <c r="B3036" s="72"/>
      <c r="C3036" s="72"/>
    </row>
    <row r="3037" spans="1:3">
      <c r="A3037" s="71"/>
      <c r="B3037" s="72"/>
      <c r="C3037" s="72"/>
    </row>
    <row r="3038" spans="1:3">
      <c r="A3038" s="71"/>
      <c r="B3038" s="72"/>
      <c r="C3038" s="72"/>
    </row>
    <row r="3039" spans="1:3">
      <c r="A3039" s="71"/>
      <c r="B3039" s="72"/>
      <c r="C3039" s="72"/>
    </row>
    <row r="3040" spans="1:3">
      <c r="A3040" s="71"/>
      <c r="B3040" s="72"/>
      <c r="C3040" s="72"/>
    </row>
    <row r="3041" spans="1:3">
      <c r="A3041" s="71"/>
      <c r="B3041" s="72"/>
      <c r="C3041" s="72"/>
    </row>
    <row r="3042" spans="1:3">
      <c r="A3042" s="71"/>
      <c r="B3042" s="72"/>
      <c r="C3042" s="72"/>
    </row>
    <row r="3043" spans="1:3">
      <c r="A3043" s="71"/>
      <c r="B3043" s="72"/>
      <c r="C3043" s="72"/>
    </row>
    <row r="3044" spans="1:3">
      <c r="A3044" s="71"/>
      <c r="B3044" s="72"/>
      <c r="C3044" s="72"/>
    </row>
    <row r="3045" spans="1:3">
      <c r="A3045" s="71"/>
      <c r="B3045" s="72"/>
      <c r="C3045" s="72"/>
    </row>
    <row r="3046" spans="1:3">
      <c r="A3046" s="71"/>
      <c r="B3046" s="72"/>
      <c r="C3046" s="72"/>
    </row>
    <row r="3047" spans="1:3">
      <c r="A3047" s="71"/>
      <c r="B3047" s="72"/>
      <c r="C3047" s="72"/>
    </row>
    <row r="3048" spans="1:3">
      <c r="A3048" s="71"/>
      <c r="B3048" s="72"/>
      <c r="C3048" s="72"/>
    </row>
    <row r="3049" spans="1:3">
      <c r="A3049" s="71"/>
      <c r="B3049" s="72"/>
      <c r="C3049" s="72"/>
    </row>
    <row r="3050" spans="1:3">
      <c r="A3050" s="71"/>
      <c r="B3050" s="72"/>
      <c r="C3050" s="72"/>
    </row>
    <row r="3051" spans="1:3">
      <c r="A3051" s="71"/>
      <c r="B3051" s="72"/>
      <c r="C3051" s="72"/>
    </row>
    <row r="3052" spans="1:3">
      <c r="A3052" s="71"/>
      <c r="B3052" s="72"/>
      <c r="C3052" s="72"/>
    </row>
    <row r="3053" spans="1:3">
      <c r="A3053" s="71"/>
      <c r="B3053" s="72"/>
      <c r="C3053" s="72"/>
    </row>
    <row r="3054" spans="1:3">
      <c r="A3054" s="71"/>
      <c r="B3054" s="72"/>
      <c r="C3054" s="72"/>
    </row>
    <row r="3055" spans="1:3">
      <c r="A3055" s="71"/>
      <c r="B3055" s="72"/>
      <c r="C3055" s="72"/>
    </row>
    <row r="3056" spans="1:3">
      <c r="A3056" s="71"/>
      <c r="B3056" s="72"/>
      <c r="C3056" s="72"/>
    </row>
    <row r="3057" spans="1:3">
      <c r="A3057" s="71"/>
      <c r="B3057" s="72"/>
      <c r="C3057" s="72"/>
    </row>
    <row r="3058" spans="1:3">
      <c r="A3058" s="71"/>
      <c r="B3058" s="72"/>
      <c r="C3058" s="72"/>
    </row>
    <row r="3059" spans="1:3">
      <c r="A3059" s="71"/>
      <c r="B3059" s="72"/>
      <c r="C3059" s="72"/>
    </row>
    <row r="3060" spans="1:3">
      <c r="A3060" s="71"/>
      <c r="B3060" s="72"/>
      <c r="C3060" s="72"/>
    </row>
    <row r="3061" spans="1:3">
      <c r="A3061" s="71"/>
      <c r="B3061" s="72"/>
      <c r="C3061" s="72"/>
    </row>
    <row r="3062" spans="1:3">
      <c r="A3062" s="71"/>
      <c r="B3062" s="72"/>
      <c r="C3062" s="72"/>
    </row>
    <row r="3063" spans="1:3">
      <c r="A3063" s="71"/>
      <c r="B3063" s="72"/>
      <c r="C3063" s="72"/>
    </row>
    <row r="3064" spans="1:3">
      <c r="A3064" s="71"/>
      <c r="B3064" s="72"/>
      <c r="C3064" s="72"/>
    </row>
    <row r="3065" spans="1:3">
      <c r="A3065" s="71"/>
      <c r="B3065" s="72"/>
      <c r="C3065" s="72"/>
    </row>
    <row r="3066" spans="1:3">
      <c r="A3066" s="71"/>
      <c r="B3066" s="72"/>
      <c r="C3066" s="72"/>
    </row>
    <row r="3067" spans="1:3">
      <c r="A3067" s="71"/>
      <c r="B3067" s="72"/>
      <c r="C3067" s="72"/>
    </row>
    <row r="3068" spans="1:3">
      <c r="A3068" s="71"/>
      <c r="B3068" s="72"/>
      <c r="C3068" s="72"/>
    </row>
    <row r="3069" spans="1:3">
      <c r="A3069" s="71"/>
      <c r="B3069" s="72"/>
      <c r="C3069" s="72"/>
    </row>
    <row r="3070" spans="1:3">
      <c r="A3070" s="71"/>
      <c r="B3070" s="72"/>
      <c r="C3070" s="72"/>
    </row>
    <row r="3071" spans="1:3">
      <c r="A3071" s="71"/>
      <c r="B3071" s="72"/>
      <c r="C3071" s="72"/>
    </row>
    <row r="3072" spans="1:3">
      <c r="A3072" s="71"/>
      <c r="B3072" s="72"/>
      <c r="C3072" s="72"/>
    </row>
    <row r="3073" spans="1:3">
      <c r="A3073" s="71"/>
      <c r="B3073" s="72"/>
      <c r="C3073" s="72"/>
    </row>
    <row r="3074" spans="1:3">
      <c r="A3074" s="71"/>
      <c r="B3074" s="72"/>
      <c r="C3074" s="72"/>
    </row>
    <row r="3075" spans="1:3">
      <c r="A3075" s="71"/>
      <c r="B3075" s="72"/>
      <c r="C3075" s="72"/>
    </row>
    <row r="3076" spans="1:3">
      <c r="A3076" s="71"/>
      <c r="B3076" s="72"/>
      <c r="C3076" s="72"/>
    </row>
    <row r="3077" spans="1:3">
      <c r="A3077" s="71"/>
      <c r="B3077" s="72"/>
      <c r="C3077" s="72"/>
    </row>
    <row r="3078" spans="1:3">
      <c r="A3078" s="71"/>
      <c r="B3078" s="72"/>
      <c r="C3078" s="72"/>
    </row>
    <row r="3079" spans="1:3">
      <c r="A3079" s="71"/>
      <c r="B3079" s="72"/>
      <c r="C3079" s="72"/>
    </row>
    <row r="3080" spans="1:3">
      <c r="A3080" s="71"/>
      <c r="B3080" s="72"/>
      <c r="C3080" s="72"/>
    </row>
    <row r="3081" spans="1:3">
      <c r="A3081" s="71"/>
      <c r="B3081" s="72"/>
      <c r="C3081" s="72"/>
    </row>
    <row r="3082" spans="1:3">
      <c r="A3082" s="71"/>
      <c r="B3082" s="72"/>
      <c r="C3082" s="72"/>
    </row>
    <row r="3083" spans="1:3">
      <c r="A3083" s="71"/>
      <c r="B3083" s="72"/>
      <c r="C3083" s="72"/>
    </row>
    <row r="3084" spans="1:3">
      <c r="A3084" s="71"/>
      <c r="B3084" s="72"/>
      <c r="C3084" s="72"/>
    </row>
    <row r="3085" spans="1:3">
      <c r="A3085" s="71"/>
      <c r="B3085" s="72"/>
      <c r="C3085" s="72"/>
    </row>
    <row r="3086" spans="1:3">
      <c r="A3086" s="71"/>
      <c r="B3086" s="72"/>
      <c r="C3086" s="72"/>
    </row>
    <row r="3087" spans="1:3">
      <c r="A3087" s="71"/>
      <c r="B3087" s="72"/>
      <c r="C3087" s="72"/>
    </row>
    <row r="3088" spans="1:3">
      <c r="A3088" s="71"/>
      <c r="B3088" s="72"/>
      <c r="C3088" s="72"/>
    </row>
    <row r="3089" spans="1:3">
      <c r="A3089" s="71"/>
      <c r="B3089" s="72"/>
      <c r="C3089" s="72"/>
    </row>
    <row r="3090" spans="1:3">
      <c r="A3090" s="71"/>
      <c r="B3090" s="72"/>
      <c r="C3090" s="72"/>
    </row>
    <row r="3091" spans="1:3">
      <c r="A3091" s="71"/>
      <c r="B3091" s="72"/>
      <c r="C3091" s="72"/>
    </row>
    <row r="3092" spans="1:3">
      <c r="A3092" s="71"/>
      <c r="B3092" s="72"/>
      <c r="C3092" s="72"/>
    </row>
    <row r="3093" spans="1:3">
      <c r="A3093" s="71"/>
      <c r="B3093" s="72"/>
      <c r="C3093" s="72"/>
    </row>
    <row r="3094" spans="1:3">
      <c r="A3094" s="71"/>
      <c r="B3094" s="72"/>
      <c r="C3094" s="72"/>
    </row>
    <row r="3095" spans="1:3">
      <c r="A3095" s="71"/>
      <c r="B3095" s="72"/>
      <c r="C3095" s="72"/>
    </row>
    <row r="3096" spans="1:3">
      <c r="A3096" s="71"/>
      <c r="B3096" s="72"/>
      <c r="C3096" s="72"/>
    </row>
    <row r="3097" spans="1:3">
      <c r="A3097" s="71"/>
      <c r="B3097" s="72"/>
      <c r="C3097" s="72"/>
    </row>
    <row r="3098" spans="1:3">
      <c r="A3098" s="71"/>
      <c r="B3098" s="72"/>
      <c r="C3098" s="72"/>
    </row>
    <row r="3099" spans="1:3">
      <c r="A3099" s="71"/>
      <c r="B3099" s="72"/>
      <c r="C3099" s="72"/>
    </row>
    <row r="3100" spans="1:3">
      <c r="A3100" s="71"/>
      <c r="B3100" s="72"/>
      <c r="C3100" s="72"/>
    </row>
    <row r="3101" spans="1:3">
      <c r="A3101" s="71"/>
      <c r="B3101" s="72"/>
      <c r="C3101" s="72"/>
    </row>
    <row r="3102" spans="1:3">
      <c r="A3102" s="71"/>
      <c r="B3102" s="72"/>
      <c r="C3102" s="72"/>
    </row>
    <row r="3103" spans="1:3">
      <c r="A3103" s="71"/>
      <c r="B3103" s="72"/>
      <c r="C3103" s="72"/>
    </row>
    <row r="3104" spans="1:3">
      <c r="A3104" s="71"/>
      <c r="B3104" s="72"/>
      <c r="C3104" s="72"/>
    </row>
    <row r="3105" spans="1:3">
      <c r="A3105" s="71"/>
      <c r="B3105" s="72"/>
      <c r="C3105" s="72"/>
    </row>
    <row r="3106" spans="1:3">
      <c r="A3106" s="71"/>
      <c r="B3106" s="72"/>
      <c r="C3106" s="72"/>
    </row>
    <row r="3107" spans="1:3">
      <c r="A3107" s="71"/>
      <c r="B3107" s="72"/>
      <c r="C3107" s="72"/>
    </row>
    <row r="3108" spans="1:3">
      <c r="A3108" s="71"/>
      <c r="B3108" s="72"/>
      <c r="C3108" s="72"/>
    </row>
    <row r="3109" spans="1:3">
      <c r="A3109" s="71"/>
      <c r="B3109" s="72"/>
      <c r="C3109" s="72"/>
    </row>
    <row r="3110" spans="1:3">
      <c r="A3110" s="71"/>
      <c r="B3110" s="72"/>
      <c r="C3110" s="72"/>
    </row>
    <row r="3111" spans="1:3">
      <c r="A3111" s="71"/>
      <c r="B3111" s="72"/>
      <c r="C3111" s="72"/>
    </row>
    <row r="3112" spans="1:3">
      <c r="A3112" s="71"/>
      <c r="B3112" s="72"/>
      <c r="C3112" s="72"/>
    </row>
    <row r="3113" spans="1:3">
      <c r="A3113" s="71"/>
      <c r="B3113" s="72"/>
      <c r="C3113" s="72"/>
    </row>
    <row r="3114" spans="1:3">
      <c r="A3114" s="71"/>
      <c r="B3114" s="72"/>
      <c r="C3114" s="72"/>
    </row>
    <row r="3115" spans="1:3">
      <c r="A3115" s="71"/>
      <c r="B3115" s="72"/>
      <c r="C3115" s="72"/>
    </row>
    <row r="3116" spans="1:3">
      <c r="A3116" s="71"/>
      <c r="B3116" s="72"/>
      <c r="C3116" s="72"/>
    </row>
    <row r="3117" spans="1:3">
      <c r="A3117" s="71"/>
      <c r="B3117" s="72"/>
      <c r="C3117" s="72"/>
    </row>
    <row r="3118" spans="1:3">
      <c r="A3118" s="71"/>
      <c r="B3118" s="72"/>
      <c r="C3118" s="72"/>
    </row>
    <row r="3119" spans="1:3">
      <c r="A3119" s="71"/>
      <c r="B3119" s="72"/>
      <c r="C3119" s="72"/>
    </row>
    <row r="3120" spans="1:3">
      <c r="A3120" s="71"/>
      <c r="B3120" s="72"/>
      <c r="C3120" s="72"/>
    </row>
    <row r="3121" spans="1:3">
      <c r="A3121" s="71"/>
      <c r="B3121" s="72"/>
      <c r="C3121" s="72"/>
    </row>
    <row r="3122" spans="1:3">
      <c r="A3122" s="71"/>
      <c r="B3122" s="72"/>
      <c r="C3122" s="72"/>
    </row>
    <row r="3123" spans="1:3">
      <c r="A3123" s="71"/>
      <c r="B3123" s="72"/>
      <c r="C3123" s="72"/>
    </row>
    <row r="3124" spans="1:3">
      <c r="A3124" s="71"/>
      <c r="B3124" s="72"/>
      <c r="C3124" s="72"/>
    </row>
    <row r="3125" spans="1:3">
      <c r="A3125" s="71"/>
      <c r="B3125" s="72"/>
      <c r="C3125" s="72"/>
    </row>
    <row r="3126" spans="1:3">
      <c r="A3126" s="71"/>
      <c r="B3126" s="72"/>
      <c r="C3126" s="72"/>
    </row>
    <row r="3127" spans="1:3">
      <c r="A3127" s="71"/>
      <c r="B3127" s="72"/>
      <c r="C3127" s="72"/>
    </row>
    <row r="3128" spans="1:3">
      <c r="A3128" s="71"/>
      <c r="B3128" s="72"/>
      <c r="C3128" s="72"/>
    </row>
    <row r="3129" spans="1:3">
      <c r="A3129" s="71"/>
      <c r="B3129" s="72"/>
      <c r="C3129" s="72"/>
    </row>
    <row r="3130" spans="1:3">
      <c r="A3130" s="71"/>
      <c r="B3130" s="72"/>
      <c r="C3130" s="72"/>
    </row>
    <row r="3131" spans="1:3">
      <c r="A3131" s="71"/>
      <c r="B3131" s="72"/>
      <c r="C3131" s="72"/>
    </row>
    <row r="3132" spans="1:3">
      <c r="A3132" s="71"/>
      <c r="B3132" s="72"/>
      <c r="C3132" s="72"/>
    </row>
    <row r="3133" spans="1:3">
      <c r="A3133" s="71"/>
      <c r="B3133" s="72"/>
      <c r="C3133" s="72"/>
    </row>
    <row r="3134" spans="1:3">
      <c r="A3134" s="71"/>
      <c r="B3134" s="72"/>
      <c r="C3134" s="72"/>
    </row>
    <row r="3135" spans="1:3">
      <c r="A3135" s="71"/>
      <c r="B3135" s="72"/>
      <c r="C3135" s="72"/>
    </row>
    <row r="3136" spans="1:3">
      <c r="A3136" s="71"/>
      <c r="B3136" s="72"/>
      <c r="C3136" s="72"/>
    </row>
    <row r="3137" spans="1:3">
      <c r="A3137" s="71"/>
      <c r="B3137" s="72"/>
      <c r="C3137" s="72"/>
    </row>
    <row r="3138" spans="1:3">
      <c r="A3138" s="71"/>
      <c r="B3138" s="72"/>
      <c r="C3138" s="72"/>
    </row>
    <row r="3139" spans="1:3">
      <c r="A3139" s="71"/>
      <c r="B3139" s="72"/>
      <c r="C3139" s="72"/>
    </row>
    <row r="3140" spans="1:3">
      <c r="A3140" s="71"/>
      <c r="B3140" s="72"/>
      <c r="C3140" s="72"/>
    </row>
    <row r="3141" spans="1:3">
      <c r="A3141" s="71"/>
      <c r="B3141" s="72"/>
      <c r="C3141" s="72"/>
    </row>
    <row r="3142" spans="1:3">
      <c r="A3142" s="71"/>
      <c r="B3142" s="72"/>
      <c r="C3142" s="72"/>
    </row>
    <row r="3143" spans="1:3">
      <c r="A3143" s="71"/>
      <c r="B3143" s="72"/>
      <c r="C3143" s="72"/>
    </row>
    <row r="3144" spans="1:3">
      <c r="A3144" s="71"/>
      <c r="B3144" s="72"/>
      <c r="C3144" s="72"/>
    </row>
    <row r="3145" spans="1:3">
      <c r="A3145" s="71"/>
      <c r="B3145" s="72"/>
      <c r="C3145" s="72"/>
    </row>
    <row r="3146" spans="1:3">
      <c r="A3146" s="71"/>
      <c r="B3146" s="72"/>
      <c r="C3146" s="72"/>
    </row>
    <row r="3147" spans="1:3">
      <c r="A3147" s="71"/>
      <c r="B3147" s="72"/>
      <c r="C3147" s="72"/>
    </row>
    <row r="3148" spans="1:3">
      <c r="A3148" s="71"/>
      <c r="B3148" s="72"/>
      <c r="C3148" s="72"/>
    </row>
    <row r="3149" spans="1:3">
      <c r="A3149" s="71"/>
      <c r="B3149" s="72"/>
      <c r="C3149" s="72"/>
    </row>
    <row r="3150" spans="1:3">
      <c r="A3150" s="71"/>
      <c r="B3150" s="72"/>
      <c r="C3150" s="72"/>
    </row>
    <row r="3151" spans="1:3">
      <c r="A3151" s="71"/>
      <c r="B3151" s="72"/>
      <c r="C3151" s="72"/>
    </row>
    <row r="3152" spans="1:3">
      <c r="A3152" s="71"/>
      <c r="B3152" s="72"/>
      <c r="C3152" s="72"/>
    </row>
    <row r="3153" spans="1:3">
      <c r="A3153" s="71"/>
      <c r="B3153" s="72"/>
      <c r="C3153" s="72"/>
    </row>
    <row r="3154" spans="1:3">
      <c r="A3154" s="71"/>
      <c r="B3154" s="72"/>
      <c r="C3154" s="72"/>
    </row>
    <row r="3155" spans="1:3">
      <c r="A3155" s="71"/>
      <c r="B3155" s="72"/>
      <c r="C3155" s="72"/>
    </row>
    <row r="3156" spans="1:3">
      <c r="A3156" s="71"/>
      <c r="B3156" s="72"/>
      <c r="C3156" s="72"/>
    </row>
    <row r="3157" spans="1:3">
      <c r="A3157" s="71"/>
      <c r="B3157" s="72"/>
      <c r="C3157" s="72"/>
    </row>
    <row r="3158" spans="1:3">
      <c r="A3158" s="71"/>
      <c r="B3158" s="72"/>
      <c r="C3158" s="72"/>
    </row>
    <row r="3159" spans="1:3">
      <c r="A3159" s="71"/>
      <c r="B3159" s="72"/>
      <c r="C3159" s="72"/>
    </row>
    <row r="3160" spans="1:3">
      <c r="A3160" s="71"/>
      <c r="B3160" s="72"/>
      <c r="C3160" s="72"/>
    </row>
    <row r="3161" spans="1:3">
      <c r="A3161" s="71"/>
      <c r="B3161" s="72"/>
      <c r="C3161" s="72"/>
    </row>
    <row r="3162" spans="1:3">
      <c r="A3162" s="71"/>
      <c r="B3162" s="72"/>
      <c r="C3162" s="72"/>
    </row>
    <row r="3163" spans="1:3">
      <c r="A3163" s="71"/>
      <c r="B3163" s="72"/>
      <c r="C3163" s="72"/>
    </row>
    <row r="3164" spans="1:3">
      <c r="A3164" s="71"/>
      <c r="B3164" s="72"/>
      <c r="C3164" s="72"/>
    </row>
    <row r="3165" spans="1:3">
      <c r="A3165" s="71"/>
      <c r="B3165" s="72"/>
      <c r="C3165" s="72"/>
    </row>
    <row r="3166" spans="1:3">
      <c r="A3166" s="71"/>
      <c r="B3166" s="72"/>
      <c r="C3166" s="72"/>
    </row>
    <row r="3167" spans="1:3">
      <c r="A3167" s="71"/>
      <c r="B3167" s="72"/>
      <c r="C3167" s="72"/>
    </row>
    <row r="3168" spans="1:3">
      <c r="A3168" s="71"/>
      <c r="B3168" s="72"/>
      <c r="C3168" s="72"/>
    </row>
    <row r="3169" spans="1:3">
      <c r="A3169" s="71"/>
      <c r="B3169" s="72"/>
      <c r="C3169" s="72"/>
    </row>
    <row r="3170" spans="1:3">
      <c r="A3170" s="71"/>
      <c r="B3170" s="72"/>
      <c r="C3170" s="72"/>
    </row>
    <row r="3171" spans="1:3">
      <c r="A3171" s="71"/>
      <c r="B3171" s="72"/>
      <c r="C3171" s="72"/>
    </row>
    <row r="3172" spans="1:3">
      <c r="A3172" s="71"/>
      <c r="B3172" s="72"/>
      <c r="C3172" s="72"/>
    </row>
    <row r="3173" spans="1:3">
      <c r="A3173" s="71"/>
      <c r="B3173" s="72"/>
      <c r="C3173" s="72"/>
    </row>
    <row r="3174" spans="1:3">
      <c r="A3174" s="71"/>
      <c r="B3174" s="72"/>
      <c r="C3174" s="72"/>
    </row>
    <row r="3175" spans="1:3">
      <c r="A3175" s="71"/>
      <c r="B3175" s="72"/>
      <c r="C3175" s="72"/>
    </row>
    <row r="3176" spans="1:3">
      <c r="A3176" s="71"/>
      <c r="B3176" s="72"/>
      <c r="C3176" s="72"/>
    </row>
    <row r="3177" spans="1:3">
      <c r="A3177" s="71"/>
      <c r="B3177" s="72"/>
      <c r="C3177" s="72"/>
    </row>
    <row r="3178" spans="1:3">
      <c r="A3178" s="71"/>
      <c r="B3178" s="72"/>
      <c r="C3178" s="72"/>
    </row>
    <row r="3179" spans="1:3">
      <c r="A3179" s="71"/>
      <c r="B3179" s="72"/>
      <c r="C3179" s="72"/>
    </row>
    <row r="3180" spans="1:3">
      <c r="A3180" s="71"/>
      <c r="B3180" s="72"/>
      <c r="C3180" s="72"/>
    </row>
    <row r="3181" spans="1:3">
      <c r="A3181" s="71"/>
      <c r="B3181" s="72"/>
      <c r="C3181" s="72"/>
    </row>
    <row r="3182" spans="1:3">
      <c r="A3182" s="71"/>
      <c r="B3182" s="72"/>
      <c r="C3182" s="72"/>
    </row>
    <row r="3183" spans="1:3">
      <c r="A3183" s="71"/>
      <c r="B3183" s="72"/>
      <c r="C3183" s="72"/>
    </row>
    <row r="3184" spans="1:3">
      <c r="A3184" s="71"/>
      <c r="B3184" s="72"/>
      <c r="C3184" s="72"/>
    </row>
    <row r="3185" spans="1:3">
      <c r="A3185" s="71"/>
      <c r="B3185" s="72"/>
      <c r="C3185" s="72"/>
    </row>
    <row r="3186" spans="1:3">
      <c r="A3186" s="71"/>
      <c r="B3186" s="72"/>
      <c r="C3186" s="72"/>
    </row>
    <row r="3187" spans="1:3">
      <c r="A3187" s="71"/>
      <c r="B3187" s="72"/>
      <c r="C3187" s="72"/>
    </row>
    <row r="3188" spans="1:3">
      <c r="A3188" s="71"/>
      <c r="B3188" s="72"/>
      <c r="C3188" s="72"/>
    </row>
    <row r="3189" spans="1:3">
      <c r="A3189" s="71"/>
      <c r="B3189" s="72"/>
      <c r="C3189" s="72"/>
    </row>
    <row r="3190" spans="1:3">
      <c r="A3190" s="71"/>
      <c r="B3190" s="72"/>
      <c r="C3190" s="72"/>
    </row>
    <row r="3191" spans="1:3">
      <c r="A3191" s="71"/>
      <c r="B3191" s="72"/>
      <c r="C3191" s="72"/>
    </row>
    <row r="3192" spans="1:3">
      <c r="A3192" s="71"/>
      <c r="B3192" s="72"/>
      <c r="C3192" s="72"/>
    </row>
    <row r="3193" spans="1:3">
      <c r="A3193" s="71"/>
      <c r="B3193" s="72"/>
      <c r="C3193" s="72"/>
    </row>
    <row r="3194" spans="1:3">
      <c r="A3194" s="71"/>
      <c r="B3194" s="72"/>
      <c r="C3194" s="72"/>
    </row>
    <row r="3195" spans="1:3">
      <c r="A3195" s="71"/>
      <c r="B3195" s="72"/>
      <c r="C3195" s="72"/>
    </row>
    <row r="3196" spans="1:3">
      <c r="A3196" s="71"/>
      <c r="B3196" s="72"/>
      <c r="C3196" s="72"/>
    </row>
    <row r="3197" spans="1:3">
      <c r="A3197" s="71"/>
      <c r="B3197" s="72"/>
      <c r="C3197" s="72"/>
    </row>
    <row r="3198" spans="1:3">
      <c r="A3198" s="71"/>
      <c r="B3198" s="72"/>
      <c r="C3198" s="72"/>
    </row>
    <row r="3199" spans="1:3">
      <c r="A3199" s="71"/>
      <c r="B3199" s="72"/>
      <c r="C3199" s="72"/>
    </row>
    <row r="3200" spans="1:3">
      <c r="A3200" s="71"/>
      <c r="B3200" s="72"/>
      <c r="C3200" s="72"/>
    </row>
    <row r="3201" spans="1:3">
      <c r="A3201" s="71"/>
      <c r="B3201" s="72"/>
      <c r="C3201" s="72"/>
    </row>
    <row r="3202" spans="1:3">
      <c r="A3202" s="71"/>
      <c r="B3202" s="72"/>
      <c r="C3202" s="72"/>
    </row>
    <row r="3203" spans="1:3">
      <c r="A3203" s="71"/>
      <c r="B3203" s="72"/>
      <c r="C3203" s="72"/>
    </row>
    <row r="3204" spans="1:3">
      <c r="A3204" s="71"/>
      <c r="B3204" s="72"/>
      <c r="C3204" s="72"/>
    </row>
    <row r="3205" spans="1:3">
      <c r="A3205" s="71"/>
      <c r="B3205" s="72"/>
      <c r="C3205" s="72"/>
    </row>
    <row r="3206" spans="1:3">
      <c r="A3206" s="71"/>
      <c r="B3206" s="72"/>
      <c r="C3206" s="72"/>
    </row>
    <row r="3207" spans="1:3">
      <c r="A3207" s="71"/>
      <c r="B3207" s="72"/>
      <c r="C3207" s="72"/>
    </row>
    <row r="3208" spans="1:3">
      <c r="A3208" s="71"/>
      <c r="B3208" s="72"/>
      <c r="C3208" s="72"/>
    </row>
    <row r="3209" spans="1:3">
      <c r="A3209" s="71"/>
      <c r="B3209" s="72"/>
      <c r="C3209" s="72"/>
    </row>
    <row r="3210" spans="1:3">
      <c r="A3210" s="71"/>
      <c r="B3210" s="72"/>
      <c r="C3210" s="72"/>
    </row>
    <row r="3211" spans="1:3">
      <c r="A3211" s="71"/>
      <c r="B3211" s="72"/>
      <c r="C3211" s="72"/>
    </row>
    <row r="3212" spans="1:3">
      <c r="A3212" s="71"/>
      <c r="B3212" s="72"/>
      <c r="C3212" s="72"/>
    </row>
    <row r="3213" spans="1:3">
      <c r="A3213" s="71"/>
      <c r="B3213" s="72"/>
      <c r="C3213" s="72"/>
    </row>
    <row r="3214" spans="1:3">
      <c r="A3214" s="71"/>
      <c r="B3214" s="72"/>
      <c r="C3214" s="72"/>
    </row>
    <row r="3215" spans="1:3">
      <c r="A3215" s="71"/>
      <c r="B3215" s="72"/>
      <c r="C3215" s="72"/>
    </row>
    <row r="3216" spans="1:3">
      <c r="A3216" s="71"/>
      <c r="B3216" s="72"/>
      <c r="C3216" s="72"/>
    </row>
    <row r="3217" spans="1:3">
      <c r="A3217" s="71"/>
      <c r="B3217" s="72"/>
      <c r="C3217" s="72"/>
    </row>
    <row r="3218" spans="1:3">
      <c r="A3218" s="71"/>
      <c r="B3218" s="72"/>
      <c r="C3218" s="72"/>
    </row>
    <row r="3219" spans="1:3">
      <c r="A3219" s="71"/>
      <c r="B3219" s="72"/>
      <c r="C3219" s="72"/>
    </row>
    <row r="3220" spans="1:3">
      <c r="A3220" s="71"/>
      <c r="B3220" s="72"/>
      <c r="C3220" s="72"/>
    </row>
    <row r="3221" spans="1:3">
      <c r="A3221" s="71"/>
      <c r="B3221" s="72"/>
      <c r="C3221" s="72"/>
    </row>
    <row r="3222" spans="1:3">
      <c r="A3222" s="71"/>
      <c r="B3222" s="72"/>
      <c r="C3222" s="72"/>
    </row>
    <row r="3223" spans="1:3">
      <c r="A3223" s="71"/>
      <c r="B3223" s="72"/>
      <c r="C3223" s="72"/>
    </row>
    <row r="3224" spans="1:3">
      <c r="A3224" s="71"/>
      <c r="B3224" s="72"/>
      <c r="C3224" s="72"/>
    </row>
    <row r="3225" spans="1:3">
      <c r="A3225" s="71"/>
      <c r="B3225" s="72"/>
      <c r="C3225" s="72"/>
    </row>
    <row r="3226" spans="1:3">
      <c r="A3226" s="71"/>
      <c r="B3226" s="72"/>
      <c r="C3226" s="72"/>
    </row>
    <row r="3227" spans="1:3">
      <c r="A3227" s="71"/>
      <c r="B3227" s="72"/>
      <c r="C3227" s="72"/>
    </row>
    <row r="3228" spans="1:3">
      <c r="A3228" s="71"/>
      <c r="B3228" s="72"/>
      <c r="C3228" s="72"/>
    </row>
    <row r="3229" spans="1:3">
      <c r="A3229" s="71"/>
      <c r="B3229" s="72"/>
      <c r="C3229" s="72"/>
    </row>
    <row r="3230" spans="1:3">
      <c r="A3230" s="71"/>
      <c r="B3230" s="72"/>
      <c r="C3230" s="72"/>
    </row>
    <row r="3231" spans="1:3">
      <c r="A3231" s="71"/>
      <c r="B3231" s="72"/>
      <c r="C3231" s="72"/>
    </row>
    <row r="3232" spans="1:3">
      <c r="A3232" s="71"/>
      <c r="B3232" s="72"/>
      <c r="C3232" s="72"/>
    </row>
    <row r="3233" spans="1:3">
      <c r="A3233" s="71"/>
      <c r="B3233" s="72"/>
      <c r="C3233" s="72"/>
    </row>
    <row r="3234" spans="1:3">
      <c r="A3234" s="71"/>
      <c r="B3234" s="72"/>
      <c r="C3234" s="72"/>
    </row>
    <row r="3235" spans="1:3">
      <c r="A3235" s="71"/>
      <c r="B3235" s="72"/>
      <c r="C3235" s="72"/>
    </row>
    <row r="3236" spans="1:3">
      <c r="A3236" s="71"/>
      <c r="B3236" s="72"/>
      <c r="C3236" s="72"/>
    </row>
    <row r="3237" spans="1:3">
      <c r="A3237" s="71"/>
      <c r="B3237" s="72"/>
      <c r="C3237" s="72"/>
    </row>
    <row r="3238" spans="1:3">
      <c r="A3238" s="71"/>
      <c r="B3238" s="72"/>
      <c r="C3238" s="72"/>
    </row>
    <row r="3239" spans="1:3">
      <c r="A3239" s="71"/>
      <c r="B3239" s="72"/>
      <c r="C3239" s="72"/>
    </row>
    <row r="3240" spans="1:3">
      <c r="A3240" s="71"/>
      <c r="B3240" s="72"/>
      <c r="C3240" s="72"/>
    </row>
    <row r="3241" spans="1:3">
      <c r="A3241" s="71"/>
      <c r="B3241" s="72"/>
      <c r="C3241" s="72"/>
    </row>
    <row r="3242" spans="1:3">
      <c r="A3242" s="71"/>
      <c r="B3242" s="72"/>
      <c r="C3242" s="72"/>
    </row>
    <row r="3243" spans="1:3">
      <c r="A3243" s="71"/>
      <c r="B3243" s="72"/>
      <c r="C3243" s="72"/>
    </row>
    <row r="3244" spans="1:3">
      <c r="A3244" s="71"/>
      <c r="B3244" s="72"/>
      <c r="C3244" s="72"/>
    </row>
    <row r="3245" spans="1:3">
      <c r="A3245" s="71"/>
      <c r="B3245" s="72"/>
      <c r="C3245" s="72"/>
    </row>
    <row r="3246" spans="1:3">
      <c r="A3246" s="71"/>
      <c r="B3246" s="72"/>
      <c r="C3246" s="72"/>
    </row>
    <row r="3247" spans="1:3">
      <c r="A3247" s="71"/>
      <c r="B3247" s="72"/>
      <c r="C3247" s="72"/>
    </row>
    <row r="3248" spans="1:3">
      <c r="A3248" s="71"/>
      <c r="B3248" s="72"/>
      <c r="C3248" s="72"/>
    </row>
    <row r="3249" spans="1:3">
      <c r="A3249" s="71"/>
      <c r="B3249" s="72"/>
      <c r="C3249" s="72"/>
    </row>
    <row r="3250" spans="1:3">
      <c r="A3250" s="71"/>
      <c r="B3250" s="72"/>
      <c r="C3250" s="72"/>
    </row>
    <row r="3251" spans="1:3">
      <c r="A3251" s="71"/>
      <c r="B3251" s="72"/>
      <c r="C3251" s="72"/>
    </row>
    <row r="3252" spans="1:3">
      <c r="A3252" s="71"/>
      <c r="B3252" s="72"/>
      <c r="C3252" s="72"/>
    </row>
    <row r="3253" spans="1:3">
      <c r="A3253" s="71"/>
      <c r="B3253" s="72"/>
      <c r="C3253" s="72"/>
    </row>
    <row r="3254" spans="1:3">
      <c r="A3254" s="71"/>
      <c r="B3254" s="72"/>
      <c r="C3254" s="72"/>
    </row>
    <row r="3255" spans="1:3">
      <c r="A3255" s="71"/>
      <c r="B3255" s="72"/>
      <c r="C3255" s="72"/>
    </row>
    <row r="3256" spans="1:3">
      <c r="A3256" s="71"/>
      <c r="B3256" s="72"/>
      <c r="C3256" s="72"/>
    </row>
    <row r="3257" spans="1:3">
      <c r="A3257" s="71"/>
      <c r="B3257" s="72"/>
      <c r="C3257" s="72"/>
    </row>
    <row r="3258" spans="1:3">
      <c r="A3258" s="71"/>
      <c r="B3258" s="72"/>
      <c r="C3258" s="72"/>
    </row>
    <row r="3259" spans="1:3">
      <c r="A3259" s="71"/>
      <c r="B3259" s="72"/>
      <c r="C3259" s="72"/>
    </row>
    <row r="3260" spans="1:3">
      <c r="A3260" s="71"/>
      <c r="B3260" s="72"/>
      <c r="C3260" s="72"/>
    </row>
    <row r="3261" spans="1:3">
      <c r="A3261" s="71"/>
      <c r="B3261" s="72"/>
      <c r="C3261" s="72"/>
    </row>
    <row r="3262" spans="1:3">
      <c r="A3262" s="71"/>
      <c r="B3262" s="72"/>
      <c r="C3262" s="72"/>
    </row>
    <row r="3263" spans="1:3">
      <c r="A3263" s="71"/>
      <c r="B3263" s="72"/>
      <c r="C3263" s="72"/>
    </row>
    <row r="3264" spans="1:3">
      <c r="A3264" s="71"/>
      <c r="B3264" s="72"/>
      <c r="C3264" s="72"/>
    </row>
    <row r="3265" spans="1:3">
      <c r="A3265" s="71"/>
      <c r="B3265" s="72"/>
      <c r="C3265" s="72"/>
    </row>
    <row r="3266" spans="1:3">
      <c r="A3266" s="71"/>
      <c r="B3266" s="72"/>
      <c r="C3266" s="72"/>
    </row>
    <row r="3267" spans="1:3">
      <c r="A3267" s="71"/>
      <c r="B3267" s="72"/>
      <c r="C3267" s="72"/>
    </row>
    <row r="3268" spans="1:3">
      <c r="A3268" s="71"/>
      <c r="B3268" s="72"/>
      <c r="C3268" s="72"/>
    </row>
    <row r="3269" spans="1:3">
      <c r="A3269" s="71"/>
      <c r="B3269" s="72"/>
      <c r="C3269" s="72"/>
    </row>
    <row r="3270" spans="1:3">
      <c r="A3270" s="71"/>
      <c r="B3270" s="72"/>
      <c r="C3270" s="72"/>
    </row>
    <row r="3271" spans="1:3">
      <c r="A3271" s="71"/>
      <c r="B3271" s="72"/>
      <c r="C3271" s="72"/>
    </row>
    <row r="3272" spans="1:3">
      <c r="A3272" s="71"/>
      <c r="B3272" s="72"/>
      <c r="C3272" s="72"/>
    </row>
    <row r="3273" spans="1:3">
      <c r="A3273" s="71"/>
      <c r="B3273" s="72"/>
      <c r="C3273" s="72"/>
    </row>
    <row r="3274" spans="1:3">
      <c r="A3274" s="71"/>
      <c r="B3274" s="72"/>
      <c r="C3274" s="72"/>
    </row>
    <row r="3275" spans="1:3">
      <c r="A3275" s="71"/>
      <c r="B3275" s="72"/>
      <c r="C3275" s="72"/>
    </row>
    <row r="3276" spans="1:3">
      <c r="A3276" s="71"/>
      <c r="B3276" s="72"/>
      <c r="C3276" s="72"/>
    </row>
    <row r="3277" spans="1:3">
      <c r="A3277" s="71"/>
      <c r="B3277" s="72"/>
      <c r="C3277" s="72"/>
    </row>
    <row r="3278" spans="1:3">
      <c r="A3278" s="71"/>
      <c r="B3278" s="72"/>
      <c r="C3278" s="72"/>
    </row>
    <row r="3279" spans="1:3">
      <c r="A3279" s="71"/>
      <c r="B3279" s="72"/>
      <c r="C3279" s="72"/>
    </row>
    <row r="3280" spans="1:3">
      <c r="A3280" s="71"/>
      <c r="B3280" s="72"/>
      <c r="C3280" s="72"/>
    </row>
    <row r="3281" spans="1:3">
      <c r="A3281" s="71"/>
      <c r="B3281" s="72"/>
      <c r="C3281" s="72"/>
    </row>
    <row r="3282" spans="1:3">
      <c r="A3282" s="71"/>
      <c r="B3282" s="72"/>
      <c r="C3282" s="72"/>
    </row>
    <row r="3283" spans="1:3">
      <c r="A3283" s="71"/>
      <c r="B3283" s="72"/>
      <c r="C3283" s="72"/>
    </row>
    <row r="3284" spans="1:3">
      <c r="A3284" s="71"/>
      <c r="B3284" s="72"/>
      <c r="C3284" s="72"/>
    </row>
    <row r="3285" spans="1:3">
      <c r="A3285" s="71"/>
      <c r="B3285" s="72"/>
      <c r="C3285" s="72"/>
    </row>
    <row r="3286" spans="1:3">
      <c r="A3286" s="71"/>
      <c r="B3286" s="72"/>
      <c r="C3286" s="72"/>
    </row>
    <row r="3287" spans="1:3">
      <c r="A3287" s="71"/>
      <c r="B3287" s="72"/>
      <c r="C3287" s="72"/>
    </row>
    <row r="3288" spans="1:3">
      <c r="A3288" s="71"/>
      <c r="B3288" s="72"/>
      <c r="C3288" s="72"/>
    </row>
    <row r="3289" spans="1:3">
      <c r="A3289" s="71"/>
      <c r="B3289" s="72"/>
      <c r="C3289" s="72"/>
    </row>
    <row r="3290" spans="1:3">
      <c r="A3290" s="71"/>
      <c r="B3290" s="72"/>
      <c r="C3290" s="72"/>
    </row>
    <row r="3291" spans="1:3">
      <c r="A3291" s="71"/>
      <c r="B3291" s="72"/>
      <c r="C3291" s="72"/>
    </row>
    <row r="3292" spans="1:3">
      <c r="A3292" s="71"/>
      <c r="B3292" s="72"/>
      <c r="C3292" s="72"/>
    </row>
    <row r="3293" spans="1:3">
      <c r="A3293" s="71"/>
      <c r="B3293" s="72"/>
      <c r="C3293" s="72"/>
    </row>
    <row r="3294" spans="1:3">
      <c r="A3294" s="71"/>
      <c r="B3294" s="72"/>
      <c r="C3294" s="72"/>
    </row>
    <row r="3295" spans="1:3">
      <c r="A3295" s="71"/>
      <c r="B3295" s="72"/>
      <c r="C3295" s="72"/>
    </row>
    <row r="3296" spans="1:3">
      <c r="A3296" s="71"/>
      <c r="B3296" s="72"/>
      <c r="C3296" s="72"/>
    </row>
    <row r="3297" spans="1:3">
      <c r="A3297" s="71"/>
      <c r="B3297" s="72"/>
      <c r="C3297" s="72"/>
    </row>
    <row r="3298" spans="1:3">
      <c r="A3298" s="71"/>
      <c r="B3298" s="72"/>
      <c r="C3298" s="72"/>
    </row>
    <row r="3299" spans="1:3">
      <c r="A3299" s="71"/>
      <c r="B3299" s="72"/>
      <c r="C3299" s="72"/>
    </row>
    <row r="3300" spans="1:3">
      <c r="A3300" s="71"/>
      <c r="B3300" s="72"/>
      <c r="C3300" s="72"/>
    </row>
    <row r="3301" spans="1:3">
      <c r="A3301" s="71"/>
      <c r="B3301" s="72"/>
      <c r="C3301" s="72"/>
    </row>
    <row r="3302" spans="1:3">
      <c r="A3302" s="71"/>
      <c r="B3302" s="72"/>
      <c r="C3302" s="72"/>
    </row>
    <row r="3303" spans="1:3">
      <c r="A3303" s="71"/>
      <c r="B3303" s="72"/>
      <c r="C3303" s="72"/>
    </row>
    <row r="3304" spans="1:3">
      <c r="A3304" s="71"/>
      <c r="B3304" s="72"/>
      <c r="C3304" s="72"/>
    </row>
    <row r="3305" spans="1:3">
      <c r="A3305" s="71"/>
      <c r="B3305" s="72"/>
      <c r="C3305" s="72"/>
    </row>
    <row r="3306" spans="1:3">
      <c r="A3306" s="71"/>
      <c r="B3306" s="72"/>
      <c r="C3306" s="72"/>
    </row>
    <row r="3307" spans="1:3">
      <c r="A3307" s="71"/>
      <c r="B3307" s="72"/>
      <c r="C3307" s="72"/>
    </row>
    <row r="3308" spans="1:3">
      <c r="A3308" s="71"/>
      <c r="B3308" s="72"/>
      <c r="C3308" s="72"/>
    </row>
    <row r="3309" spans="1:3">
      <c r="A3309" s="71"/>
      <c r="B3309" s="72"/>
      <c r="C3309" s="72"/>
    </row>
    <row r="3310" spans="1:3">
      <c r="A3310" s="71"/>
      <c r="B3310" s="72"/>
      <c r="C3310" s="72"/>
    </row>
    <row r="3311" spans="1:3">
      <c r="A3311" s="71"/>
      <c r="B3311" s="72"/>
      <c r="C3311" s="72"/>
    </row>
    <row r="3312" spans="1:3">
      <c r="A3312" s="71"/>
      <c r="B3312" s="72"/>
      <c r="C3312" s="72"/>
    </row>
    <row r="3313" spans="1:3">
      <c r="A3313" s="71"/>
      <c r="B3313" s="72"/>
      <c r="C3313" s="72"/>
    </row>
    <row r="3314" spans="1:3">
      <c r="A3314" s="71"/>
      <c r="B3314" s="72"/>
      <c r="C3314" s="72"/>
    </row>
    <row r="3315" spans="1:3">
      <c r="A3315" s="71"/>
      <c r="B3315" s="72"/>
      <c r="C3315" s="72"/>
    </row>
    <row r="3316" spans="1:3">
      <c r="A3316" s="71"/>
      <c r="B3316" s="72"/>
      <c r="C3316" s="72"/>
    </row>
    <row r="3317" spans="1:3">
      <c r="A3317" s="71"/>
      <c r="B3317" s="72"/>
      <c r="C3317" s="72"/>
    </row>
    <row r="3318" spans="1:3">
      <c r="A3318" s="71"/>
      <c r="B3318" s="72"/>
      <c r="C3318" s="72"/>
    </row>
    <row r="3319" spans="1:3">
      <c r="A3319" s="71"/>
      <c r="B3319" s="72"/>
      <c r="C3319" s="72"/>
    </row>
    <row r="3320" spans="1:3">
      <c r="A3320" s="71"/>
      <c r="B3320" s="72"/>
      <c r="C3320" s="72"/>
    </row>
    <row r="3321" spans="1:3">
      <c r="A3321" s="71"/>
      <c r="B3321" s="72"/>
      <c r="C3321" s="72"/>
    </row>
    <row r="3322" spans="1:3">
      <c r="A3322" s="71"/>
      <c r="B3322" s="72"/>
      <c r="C3322" s="72"/>
    </row>
    <row r="3323" spans="1:3">
      <c r="A3323" s="71"/>
      <c r="B3323" s="72"/>
      <c r="C3323" s="72"/>
    </row>
    <row r="3324" spans="1:3">
      <c r="A3324" s="71"/>
      <c r="B3324" s="72"/>
      <c r="C3324" s="72"/>
    </row>
    <row r="3325" spans="1:3">
      <c r="A3325" s="71"/>
      <c r="B3325" s="72"/>
      <c r="C3325" s="72"/>
    </row>
    <row r="3326" spans="1:3">
      <c r="A3326" s="71"/>
      <c r="B3326" s="72"/>
      <c r="C3326" s="72"/>
    </row>
    <row r="3327" spans="1:3">
      <c r="A3327" s="71"/>
      <c r="B3327" s="72"/>
      <c r="C3327" s="72"/>
    </row>
    <row r="3328" spans="1:3">
      <c r="A3328" s="71"/>
      <c r="B3328" s="72"/>
      <c r="C3328" s="72"/>
    </row>
    <row r="3329" spans="1:3">
      <c r="A3329" s="71"/>
      <c r="B3329" s="72"/>
      <c r="C3329" s="72"/>
    </row>
    <row r="3330" spans="1:3">
      <c r="A3330" s="71"/>
      <c r="B3330" s="72"/>
      <c r="C3330" s="72"/>
    </row>
    <row r="3331" spans="1:3">
      <c r="A3331" s="71"/>
      <c r="B3331" s="72"/>
      <c r="C3331" s="72"/>
    </row>
    <row r="3332" spans="1:3">
      <c r="A3332" s="71"/>
      <c r="B3332" s="72"/>
      <c r="C3332" s="72"/>
    </row>
    <row r="3333" spans="1:3">
      <c r="A3333" s="71"/>
      <c r="B3333" s="72"/>
      <c r="C3333" s="72"/>
    </row>
    <row r="3334" spans="1:3">
      <c r="A3334" s="71"/>
      <c r="B3334" s="72"/>
      <c r="C3334" s="72"/>
    </row>
    <row r="3335" spans="1:3">
      <c r="A3335" s="71"/>
      <c r="B3335" s="72"/>
      <c r="C3335" s="72"/>
    </row>
    <row r="3336" spans="1:3">
      <c r="A3336" s="71"/>
      <c r="B3336" s="72"/>
      <c r="C3336" s="72"/>
    </row>
    <row r="3337" spans="1:3">
      <c r="A3337" s="71"/>
      <c r="B3337" s="72"/>
      <c r="C3337" s="72"/>
    </row>
    <row r="3338" spans="1:3">
      <c r="A3338" s="71"/>
      <c r="B3338" s="72"/>
      <c r="C3338" s="72"/>
    </row>
    <row r="3339" spans="1:3">
      <c r="A3339" s="71"/>
      <c r="B3339" s="72"/>
      <c r="C3339" s="72"/>
    </row>
    <row r="3340" spans="1:3">
      <c r="A3340" s="71"/>
      <c r="B3340" s="72"/>
      <c r="C3340" s="72"/>
    </row>
    <row r="3341" spans="1:3">
      <c r="A3341" s="71"/>
      <c r="B3341" s="72"/>
      <c r="C3341" s="72"/>
    </row>
    <row r="3342" spans="1:3">
      <c r="A3342" s="71"/>
      <c r="B3342" s="72"/>
      <c r="C3342" s="72"/>
    </row>
    <row r="3343" spans="1:3">
      <c r="A3343" s="71"/>
      <c r="B3343" s="72"/>
      <c r="C3343" s="72"/>
    </row>
    <row r="3344" spans="1:3">
      <c r="A3344" s="71"/>
      <c r="B3344" s="72"/>
      <c r="C3344" s="72"/>
    </row>
    <row r="3345" spans="1:3">
      <c r="A3345" s="71"/>
      <c r="B3345" s="72"/>
      <c r="C3345" s="72"/>
    </row>
    <row r="3346" spans="1:3">
      <c r="A3346" s="71"/>
      <c r="B3346" s="72"/>
      <c r="C3346" s="72"/>
    </row>
    <row r="3347" spans="1:3">
      <c r="A3347" s="71"/>
      <c r="B3347" s="72"/>
      <c r="C3347" s="72"/>
    </row>
    <row r="3348" spans="1:3">
      <c r="A3348" s="71"/>
      <c r="B3348" s="72"/>
      <c r="C3348" s="72"/>
    </row>
    <row r="3349" spans="1:3">
      <c r="A3349" s="71"/>
      <c r="B3349" s="72"/>
      <c r="C3349" s="72"/>
    </row>
    <row r="3350" spans="1:3">
      <c r="A3350" s="71"/>
      <c r="B3350" s="72"/>
      <c r="C3350" s="72"/>
    </row>
    <row r="3351" spans="1:3">
      <c r="A3351" s="71"/>
      <c r="B3351" s="72"/>
      <c r="C3351" s="72"/>
    </row>
    <row r="3352" spans="1:3">
      <c r="A3352" s="71"/>
      <c r="B3352" s="72"/>
      <c r="C3352" s="72"/>
    </row>
    <row r="3353" spans="1:3">
      <c r="A3353" s="71"/>
      <c r="B3353" s="72"/>
      <c r="C3353" s="72"/>
    </row>
    <row r="3354" spans="1:3">
      <c r="A3354" s="71"/>
      <c r="B3354" s="72"/>
      <c r="C3354" s="72"/>
    </row>
    <row r="3355" spans="1:3">
      <c r="A3355" s="71"/>
      <c r="B3355" s="72"/>
      <c r="C3355" s="72"/>
    </row>
    <row r="3356" spans="1:3">
      <c r="A3356" s="71"/>
      <c r="B3356" s="72"/>
      <c r="C3356" s="72"/>
    </row>
    <row r="3357" spans="1:3">
      <c r="A3357" s="71"/>
      <c r="B3357" s="72"/>
      <c r="C3357" s="72"/>
    </row>
    <row r="3358" spans="1:3">
      <c r="A3358" s="71"/>
      <c r="B3358" s="72"/>
      <c r="C3358" s="72"/>
    </row>
    <row r="3359" spans="1:3">
      <c r="A3359" s="71"/>
      <c r="B3359" s="72"/>
      <c r="C3359" s="72"/>
    </row>
    <row r="3360" spans="1:3">
      <c r="A3360" s="71"/>
      <c r="B3360" s="72"/>
      <c r="C3360" s="72"/>
    </row>
  </sheetData>
  <pageMargins left="0.7" right="0.7" top="0.75" bottom="0.75" header="0.3" footer="0.3"/>
  <pageSetup orientation="portrait" verticalDpi="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E793"/>
  <sheetViews>
    <sheetView workbookViewId="0">
      <selection activeCell="AE2" sqref="AE2:AE179"/>
    </sheetView>
  </sheetViews>
  <sheetFormatPr defaultColWidth="8.85546875" defaultRowHeight="15"/>
  <cols>
    <col min="1" max="1" width="8.28515625" bestFit="1" customWidth="1"/>
    <col min="2" max="2" width="13.85546875" bestFit="1" customWidth="1"/>
    <col min="3" max="3" width="22.7109375" bestFit="1" customWidth="1"/>
    <col min="4" max="4" width="21.42578125" bestFit="1" customWidth="1"/>
    <col min="5" max="6" width="23.140625" bestFit="1" customWidth="1"/>
    <col min="7" max="7" width="27.28515625" bestFit="1" customWidth="1"/>
    <col min="8" max="8" width="24.140625" bestFit="1" customWidth="1"/>
    <col min="9" max="9" width="21.42578125" style="4" bestFit="1" customWidth="1"/>
    <col min="10" max="10" width="36" style="4" bestFit="1" customWidth="1"/>
    <col min="11" max="11" width="18.42578125" style="4" bestFit="1" customWidth="1"/>
    <col min="12" max="12" width="15.28515625" bestFit="1" customWidth="1"/>
    <col min="13" max="13" width="31.28515625" style="4" bestFit="1" customWidth="1"/>
    <col min="14" max="14" width="23.140625" style="4" bestFit="1" customWidth="1"/>
    <col min="15" max="15" width="20.140625" bestFit="1" customWidth="1"/>
    <col min="16" max="16" width="20.140625" style="4" bestFit="1" customWidth="1"/>
    <col min="17" max="17" width="11.42578125" bestFit="1" customWidth="1"/>
    <col min="18" max="18" width="19.42578125" bestFit="1" customWidth="1"/>
    <col min="19" max="19" width="20.28515625" style="4" bestFit="1" customWidth="1"/>
    <col min="20" max="20" width="23.28515625" bestFit="1" customWidth="1"/>
    <col min="21" max="21" width="19.85546875" bestFit="1" customWidth="1"/>
    <col min="22" max="22" width="34.28515625" bestFit="1" customWidth="1"/>
    <col min="23" max="23" width="31.42578125" bestFit="1" customWidth="1"/>
    <col min="24" max="24" width="13.42578125" bestFit="1" customWidth="1"/>
    <col min="25" max="25" width="17.28515625" bestFit="1" customWidth="1"/>
    <col min="26" max="26" width="27.42578125" style="4" bestFit="1" customWidth="1"/>
    <col min="27" max="27" width="9.42578125" bestFit="1" customWidth="1"/>
    <col min="28" max="28" width="22.42578125" style="4" bestFit="1" customWidth="1"/>
    <col min="29" max="29" width="64.42578125" bestFit="1" customWidth="1"/>
    <col min="30" max="30" width="19.140625" bestFit="1" customWidth="1"/>
    <col min="31" max="31" width="36.85546875" customWidth="1"/>
    <col min="33" max="33" width="22.28515625" bestFit="1" customWidth="1"/>
    <col min="34" max="34" width="70.42578125" bestFit="1" customWidth="1"/>
    <col min="35" max="36" width="14.28515625" bestFit="1" customWidth="1"/>
    <col min="41" max="41" width="16.85546875" bestFit="1" customWidth="1"/>
    <col min="43" max="43" width="11.140625" bestFit="1" customWidth="1"/>
    <col min="44" max="44" width="23.42578125" bestFit="1" customWidth="1"/>
  </cols>
  <sheetData>
    <row r="1" spans="1:31">
      <c r="A1" s="1" t="s">
        <v>51</v>
      </c>
      <c r="B1" s="1" t="s">
        <v>56</v>
      </c>
      <c r="C1" s="1" t="s">
        <v>214</v>
      </c>
      <c r="D1" s="1" t="s">
        <v>215</v>
      </c>
      <c r="E1" s="1" t="s">
        <v>216</v>
      </c>
      <c r="F1" s="1" t="s">
        <v>217</v>
      </c>
      <c r="G1" s="1" t="s">
        <v>218</v>
      </c>
      <c r="H1" s="1" t="s">
        <v>219</v>
      </c>
      <c r="I1" s="1" t="s">
        <v>220</v>
      </c>
      <c r="J1" s="1" t="s">
        <v>221</v>
      </c>
      <c r="K1" s="1" t="s">
        <v>222</v>
      </c>
      <c r="L1" s="1" t="s">
        <v>223</v>
      </c>
      <c r="M1" s="1" t="s">
        <v>224</v>
      </c>
      <c r="N1" s="1" t="s">
        <v>225</v>
      </c>
      <c r="O1" s="1" t="s">
        <v>226</v>
      </c>
      <c r="P1" s="1" t="s">
        <v>227</v>
      </c>
      <c r="Q1" s="1" t="s">
        <v>228</v>
      </c>
      <c r="R1" s="1" t="s">
        <v>229</v>
      </c>
      <c r="S1" s="1" t="s">
        <v>230</v>
      </c>
      <c r="T1" s="1" t="s">
        <v>231</v>
      </c>
      <c r="U1" s="1" t="s">
        <v>232</v>
      </c>
      <c r="V1" s="1" t="s">
        <v>233</v>
      </c>
      <c r="W1" s="1" t="s">
        <v>234</v>
      </c>
      <c r="X1" s="1" t="s">
        <v>235</v>
      </c>
      <c r="Y1" s="1" t="s">
        <v>258</v>
      </c>
      <c r="Z1" s="1" t="s">
        <v>236</v>
      </c>
      <c r="AA1" s="1" t="s">
        <v>237</v>
      </c>
      <c r="AB1" s="1" t="s">
        <v>238</v>
      </c>
      <c r="AC1" s="1" t="s">
        <v>239</v>
      </c>
      <c r="AD1" s="1" t="s">
        <v>240</v>
      </c>
      <c r="AE1" s="1" t="s">
        <v>252</v>
      </c>
    </row>
    <row r="2" spans="1:31">
      <c r="A2" t="b">
        <v>1</v>
      </c>
      <c r="B2" s="2"/>
      <c r="C2" t="s">
        <v>248</v>
      </c>
      <c r="D2" t="s">
        <v>250</v>
      </c>
      <c r="E2" s="4" t="s">
        <v>242</v>
      </c>
      <c r="F2" t="s">
        <v>279</v>
      </c>
      <c r="G2" t="s">
        <v>297</v>
      </c>
      <c r="H2" t="s">
        <v>312</v>
      </c>
      <c r="I2" s="4" t="s">
        <v>317</v>
      </c>
      <c r="J2" s="4" t="s">
        <v>248</v>
      </c>
      <c r="K2" s="4" t="s">
        <v>323</v>
      </c>
      <c r="L2" t="s">
        <v>325</v>
      </c>
      <c r="M2" s="4" t="s">
        <v>329</v>
      </c>
      <c r="N2" s="4" t="s">
        <v>279</v>
      </c>
      <c r="O2" t="s">
        <v>356</v>
      </c>
      <c r="P2" s="4" t="s">
        <v>51</v>
      </c>
      <c r="Q2" t="s">
        <v>380</v>
      </c>
      <c r="R2" t="s">
        <v>384</v>
      </c>
      <c r="S2" s="4" t="s">
        <v>412</v>
      </c>
      <c r="T2" t="s">
        <v>422</v>
      </c>
      <c r="U2" t="s">
        <v>430</v>
      </c>
      <c r="V2" t="s">
        <v>451</v>
      </c>
      <c r="W2" t="s">
        <v>500</v>
      </c>
      <c r="X2" s="4" t="s">
        <v>509</v>
      </c>
      <c r="Y2" s="4" t="s">
        <v>637</v>
      </c>
      <c r="Z2" t="s">
        <v>650</v>
      </c>
      <c r="AA2" t="s">
        <v>674</v>
      </c>
      <c r="AB2" s="4" t="s">
        <v>677</v>
      </c>
      <c r="AC2" t="s">
        <v>688</v>
      </c>
      <c r="AD2" t="s">
        <v>251</v>
      </c>
      <c r="AE2" t="s">
        <v>809</v>
      </c>
    </row>
    <row r="3" spans="1:31">
      <c r="A3" t="b">
        <v>0</v>
      </c>
      <c r="C3" s="4" t="s">
        <v>249</v>
      </c>
      <c r="E3" s="4" t="s">
        <v>244</v>
      </c>
      <c r="F3" t="s">
        <v>280</v>
      </c>
      <c r="G3" t="s">
        <v>298</v>
      </c>
      <c r="H3" t="s">
        <v>313</v>
      </c>
      <c r="I3" s="4" t="s">
        <v>318</v>
      </c>
      <c r="J3" s="4" t="s">
        <v>322</v>
      </c>
      <c r="K3" s="4" t="s">
        <v>324</v>
      </c>
      <c r="L3" t="s">
        <v>326</v>
      </c>
      <c r="M3" s="4" t="s">
        <v>330</v>
      </c>
      <c r="N3" s="4" t="s">
        <v>280</v>
      </c>
      <c r="O3" t="s">
        <v>357</v>
      </c>
      <c r="P3" s="4" t="s">
        <v>378</v>
      </c>
      <c r="Q3" t="s">
        <v>381</v>
      </c>
      <c r="R3" t="s">
        <v>385</v>
      </c>
      <c r="S3" s="4" t="s">
        <v>414</v>
      </c>
      <c r="T3" t="s">
        <v>423</v>
      </c>
      <c r="U3" t="s">
        <v>431</v>
      </c>
      <c r="V3" t="s">
        <v>452</v>
      </c>
      <c r="W3" t="s">
        <v>501</v>
      </c>
      <c r="X3" s="4" t="s">
        <v>510</v>
      </c>
      <c r="Y3" s="4" t="s">
        <v>638</v>
      </c>
      <c r="Z3" t="s">
        <v>651</v>
      </c>
      <c r="AA3" t="s">
        <v>675</v>
      </c>
      <c r="AB3" s="4" t="s">
        <v>678</v>
      </c>
      <c r="AC3" t="s">
        <v>689</v>
      </c>
      <c r="AD3" t="s">
        <v>795</v>
      </c>
      <c r="AE3" t="s">
        <v>810</v>
      </c>
    </row>
    <row r="4" spans="1:31">
      <c r="E4" s="4" t="s">
        <v>245</v>
      </c>
      <c r="F4" t="s">
        <v>242</v>
      </c>
      <c r="G4" t="s">
        <v>299</v>
      </c>
      <c r="H4" t="s">
        <v>314</v>
      </c>
      <c r="I4" s="4" t="s">
        <v>319</v>
      </c>
      <c r="J4" s="4" t="s">
        <v>288</v>
      </c>
      <c r="L4" t="s">
        <v>327</v>
      </c>
      <c r="M4" s="4" t="s">
        <v>331</v>
      </c>
      <c r="N4" s="4" t="s">
        <v>242</v>
      </c>
      <c r="O4" t="s">
        <v>358</v>
      </c>
      <c r="P4" s="4" t="s">
        <v>379</v>
      </c>
      <c r="Q4" t="s">
        <v>382</v>
      </c>
      <c r="R4" t="s">
        <v>386</v>
      </c>
      <c r="S4" s="4" t="s">
        <v>413</v>
      </c>
      <c r="T4" t="s">
        <v>424</v>
      </c>
      <c r="U4" t="s">
        <v>432</v>
      </c>
      <c r="V4" t="s">
        <v>453</v>
      </c>
      <c r="W4" t="s">
        <v>502</v>
      </c>
      <c r="X4" s="4" t="s">
        <v>511</v>
      </c>
      <c r="Y4" s="4" t="s">
        <v>639</v>
      </c>
      <c r="Z4" t="s">
        <v>652</v>
      </c>
      <c r="AA4" t="s">
        <v>676</v>
      </c>
      <c r="AB4" s="4" t="s">
        <v>679</v>
      </c>
      <c r="AC4" t="s">
        <v>690</v>
      </c>
      <c r="AD4" t="s">
        <v>678</v>
      </c>
      <c r="AE4" t="s">
        <v>811</v>
      </c>
    </row>
    <row r="5" spans="1:31">
      <c r="E5" s="4" t="s">
        <v>243</v>
      </c>
      <c r="F5" t="s">
        <v>281</v>
      </c>
      <c r="G5" t="s">
        <v>300</v>
      </c>
      <c r="H5" t="s">
        <v>315</v>
      </c>
      <c r="I5" s="4" t="s">
        <v>320</v>
      </c>
      <c r="J5" s="4" t="s">
        <v>249</v>
      </c>
      <c r="L5" t="s">
        <v>328</v>
      </c>
      <c r="M5" s="4" t="s">
        <v>332</v>
      </c>
      <c r="N5" s="4" t="s">
        <v>281</v>
      </c>
      <c r="O5" t="s">
        <v>359</v>
      </c>
      <c r="Q5" t="s">
        <v>383</v>
      </c>
      <c r="R5" t="s">
        <v>387</v>
      </c>
      <c r="S5" s="4" t="s">
        <v>415</v>
      </c>
      <c r="T5" t="s">
        <v>425</v>
      </c>
      <c r="U5" t="s">
        <v>434</v>
      </c>
      <c r="V5" t="s">
        <v>454</v>
      </c>
      <c r="W5" t="s">
        <v>434</v>
      </c>
      <c r="X5" s="4" t="s">
        <v>512</v>
      </c>
      <c r="Y5" s="4" t="s">
        <v>640</v>
      </c>
      <c r="Z5" t="s">
        <v>653</v>
      </c>
      <c r="AB5" s="4" t="s">
        <v>680</v>
      </c>
      <c r="AC5" t="s">
        <v>691</v>
      </c>
      <c r="AD5" t="s">
        <v>679</v>
      </c>
      <c r="AE5" t="s">
        <v>812</v>
      </c>
    </row>
    <row r="6" spans="1:31">
      <c r="E6" s="4" t="s">
        <v>246</v>
      </c>
      <c r="F6" t="s">
        <v>282</v>
      </c>
      <c r="G6" t="s">
        <v>301</v>
      </c>
      <c r="H6" t="s">
        <v>316</v>
      </c>
      <c r="I6" s="4" t="s">
        <v>321</v>
      </c>
      <c r="M6" s="4" t="s">
        <v>333</v>
      </c>
      <c r="N6" s="4" t="s">
        <v>282</v>
      </c>
      <c r="O6" t="s">
        <v>360</v>
      </c>
      <c r="R6" t="s">
        <v>388</v>
      </c>
      <c r="S6" s="4" t="s">
        <v>416</v>
      </c>
      <c r="T6" t="s">
        <v>426</v>
      </c>
      <c r="U6" t="s">
        <v>435</v>
      </c>
      <c r="V6" t="s">
        <v>455</v>
      </c>
      <c r="W6" t="s">
        <v>503</v>
      </c>
      <c r="X6" s="4" t="s">
        <v>513</v>
      </c>
      <c r="Y6" s="4" t="s">
        <v>641</v>
      </c>
      <c r="Z6" t="s">
        <v>654</v>
      </c>
      <c r="AB6" s="4" t="s">
        <v>681</v>
      </c>
      <c r="AC6" t="s">
        <v>692</v>
      </c>
      <c r="AD6" t="s">
        <v>796</v>
      </c>
      <c r="AE6" t="s">
        <v>813</v>
      </c>
    </row>
    <row r="7" spans="1:31">
      <c r="E7" s="4" t="s">
        <v>247</v>
      </c>
      <c r="F7" t="s">
        <v>283</v>
      </c>
      <c r="G7" t="s">
        <v>302</v>
      </c>
      <c r="M7" s="4" t="s">
        <v>334</v>
      </c>
      <c r="N7" s="4" t="s">
        <v>283</v>
      </c>
      <c r="O7" t="s">
        <v>43</v>
      </c>
      <c r="R7" t="s">
        <v>389</v>
      </c>
      <c r="S7" s="4" t="s">
        <v>417</v>
      </c>
      <c r="T7" t="s">
        <v>427</v>
      </c>
      <c r="U7" t="s">
        <v>436</v>
      </c>
      <c r="V7" t="s">
        <v>456</v>
      </c>
      <c r="W7" t="s">
        <v>504</v>
      </c>
      <c r="X7" s="4" t="s">
        <v>514</v>
      </c>
      <c r="Y7" s="4" t="s">
        <v>642</v>
      </c>
      <c r="Z7" t="s">
        <v>655</v>
      </c>
      <c r="AB7" s="4" t="s">
        <v>682</v>
      </c>
      <c r="AC7" t="s">
        <v>693</v>
      </c>
      <c r="AD7" t="s">
        <v>680</v>
      </c>
      <c r="AE7" t="s">
        <v>814</v>
      </c>
    </row>
    <row r="8" spans="1:31">
      <c r="E8" s="4" t="s">
        <v>7</v>
      </c>
      <c r="F8" t="s">
        <v>284</v>
      </c>
      <c r="G8" t="s">
        <v>303</v>
      </c>
      <c r="M8" s="4" t="s">
        <v>335</v>
      </c>
      <c r="N8" s="4" t="s">
        <v>284</v>
      </c>
      <c r="O8" t="s">
        <v>361</v>
      </c>
      <c r="R8" t="s">
        <v>390</v>
      </c>
      <c r="S8" s="4" t="s">
        <v>418</v>
      </c>
      <c r="T8" t="s">
        <v>428</v>
      </c>
      <c r="U8" t="s">
        <v>437</v>
      </c>
      <c r="V8" t="s">
        <v>457</v>
      </c>
      <c r="W8" t="s">
        <v>505</v>
      </c>
      <c r="X8" s="4" t="s">
        <v>515</v>
      </c>
      <c r="Y8" s="4" t="s">
        <v>426</v>
      </c>
      <c r="Z8" t="s">
        <v>656</v>
      </c>
      <c r="AB8" s="4" t="s">
        <v>683</v>
      </c>
      <c r="AC8" t="s">
        <v>694</v>
      </c>
      <c r="AD8" t="s">
        <v>681</v>
      </c>
      <c r="AE8" t="s">
        <v>815</v>
      </c>
    </row>
    <row r="9" spans="1:31">
      <c r="E9" s="4"/>
      <c r="F9" t="s">
        <v>244</v>
      </c>
      <c r="G9" t="s">
        <v>304</v>
      </c>
      <c r="M9" s="4" t="s">
        <v>336</v>
      </c>
      <c r="N9" s="4" t="s">
        <v>244</v>
      </c>
      <c r="O9" t="s">
        <v>362</v>
      </c>
      <c r="R9" t="s">
        <v>391</v>
      </c>
      <c r="S9" s="4" t="s">
        <v>419</v>
      </c>
      <c r="U9" t="s">
        <v>438</v>
      </c>
      <c r="V9" t="s">
        <v>458</v>
      </c>
      <c r="W9" t="s">
        <v>506</v>
      </c>
      <c r="X9" s="4" t="s">
        <v>516</v>
      </c>
      <c r="Y9" s="4" t="s">
        <v>643</v>
      </c>
      <c r="Z9" t="s">
        <v>657</v>
      </c>
      <c r="AB9" s="4" t="s">
        <v>645</v>
      </c>
      <c r="AC9" t="s">
        <v>695</v>
      </c>
      <c r="AD9" t="s">
        <v>682</v>
      </c>
      <c r="AE9" t="s">
        <v>816</v>
      </c>
    </row>
    <row r="10" spans="1:31">
      <c r="E10" s="4"/>
      <c r="F10" t="s">
        <v>285</v>
      </c>
      <c r="G10" t="s">
        <v>305</v>
      </c>
      <c r="M10" s="4" t="s">
        <v>337</v>
      </c>
      <c r="N10" s="4" t="s">
        <v>285</v>
      </c>
      <c r="O10" t="s">
        <v>363</v>
      </c>
      <c r="R10" t="s">
        <v>392</v>
      </c>
      <c r="S10" s="4" t="s">
        <v>250</v>
      </c>
      <c r="U10" t="s">
        <v>439</v>
      </c>
      <c r="V10" t="s">
        <v>459</v>
      </c>
      <c r="W10" t="s">
        <v>507</v>
      </c>
      <c r="X10" s="4" t="s">
        <v>517</v>
      </c>
      <c r="Y10" s="4" t="s">
        <v>288</v>
      </c>
      <c r="Z10" t="s">
        <v>658</v>
      </c>
      <c r="AB10" s="4" t="s">
        <v>648</v>
      </c>
      <c r="AC10" t="s">
        <v>696</v>
      </c>
      <c r="AD10" t="s">
        <v>797</v>
      </c>
      <c r="AE10" t="s">
        <v>788</v>
      </c>
    </row>
    <row r="11" spans="1:31">
      <c r="E11" s="4"/>
      <c r="F11" t="s">
        <v>286</v>
      </c>
      <c r="G11" t="s">
        <v>306</v>
      </c>
      <c r="M11" s="4" t="s">
        <v>338</v>
      </c>
      <c r="N11" s="4" t="s">
        <v>286</v>
      </c>
      <c r="O11" t="s">
        <v>364</v>
      </c>
      <c r="R11" t="s">
        <v>393</v>
      </c>
      <c r="S11" s="4" t="s">
        <v>420</v>
      </c>
      <c r="U11" t="s">
        <v>440</v>
      </c>
      <c r="V11" t="s">
        <v>460</v>
      </c>
      <c r="W11" t="s">
        <v>508</v>
      </c>
      <c r="X11" s="4" t="s">
        <v>518</v>
      </c>
      <c r="Y11" s="4" t="s">
        <v>644</v>
      </c>
      <c r="Z11" t="s">
        <v>659</v>
      </c>
      <c r="AB11" s="4" t="s">
        <v>684</v>
      </c>
      <c r="AC11" t="s">
        <v>697</v>
      </c>
      <c r="AD11" t="s">
        <v>798</v>
      </c>
      <c r="AE11" t="s">
        <v>817</v>
      </c>
    </row>
    <row r="12" spans="1:31">
      <c r="E12" s="4"/>
      <c r="F12" t="s">
        <v>287</v>
      </c>
      <c r="G12" t="s">
        <v>307</v>
      </c>
      <c r="M12" s="4" t="s">
        <v>340</v>
      </c>
      <c r="N12" s="4" t="s">
        <v>287</v>
      </c>
      <c r="O12" t="s">
        <v>365</v>
      </c>
      <c r="R12" t="s">
        <v>394</v>
      </c>
      <c r="S12" s="4" t="s">
        <v>421</v>
      </c>
      <c r="U12" t="s">
        <v>441</v>
      </c>
      <c r="V12" t="s">
        <v>461</v>
      </c>
      <c r="X12" s="4" t="s">
        <v>519</v>
      </c>
      <c r="Y12" s="4" t="s">
        <v>645</v>
      </c>
      <c r="Z12" t="s">
        <v>660</v>
      </c>
      <c r="AB12" s="4" t="s">
        <v>685</v>
      </c>
      <c r="AC12" t="s">
        <v>698</v>
      </c>
      <c r="AD12" t="s">
        <v>799</v>
      </c>
      <c r="AE12" t="s">
        <v>818</v>
      </c>
    </row>
    <row r="13" spans="1:31">
      <c r="E13" s="4"/>
      <c r="F13" t="s">
        <v>289</v>
      </c>
      <c r="G13" t="s">
        <v>308</v>
      </c>
      <c r="M13" s="4" t="s">
        <v>341</v>
      </c>
      <c r="N13" s="4" t="s">
        <v>289</v>
      </c>
      <c r="O13" t="s">
        <v>366</v>
      </c>
      <c r="R13" t="s">
        <v>395</v>
      </c>
      <c r="U13" t="s">
        <v>442</v>
      </c>
      <c r="V13" t="s">
        <v>462</v>
      </c>
      <c r="X13" s="4" t="s">
        <v>520</v>
      </c>
      <c r="Y13" s="4" t="s">
        <v>646</v>
      </c>
      <c r="Z13" t="s">
        <v>661</v>
      </c>
      <c r="AB13" s="4" t="s">
        <v>686</v>
      </c>
      <c r="AC13" t="s">
        <v>699</v>
      </c>
      <c r="AD13" t="s">
        <v>800</v>
      </c>
      <c r="AE13" t="s">
        <v>819</v>
      </c>
    </row>
    <row r="14" spans="1:31">
      <c r="E14" s="4"/>
      <c r="F14" t="s">
        <v>245</v>
      </c>
      <c r="G14" t="s">
        <v>309</v>
      </c>
      <c r="M14" s="4" t="s">
        <v>342</v>
      </c>
      <c r="N14" s="4" t="s">
        <v>245</v>
      </c>
      <c r="O14" t="s">
        <v>367</v>
      </c>
      <c r="R14" t="s">
        <v>396</v>
      </c>
      <c r="U14" t="s">
        <v>443</v>
      </c>
      <c r="V14" t="s">
        <v>463</v>
      </c>
      <c r="X14" s="4" t="s">
        <v>521</v>
      </c>
      <c r="Y14" s="4" t="s">
        <v>647</v>
      </c>
      <c r="Z14" t="s">
        <v>662</v>
      </c>
      <c r="AB14" s="4" t="s">
        <v>687</v>
      </c>
      <c r="AC14" t="s">
        <v>700</v>
      </c>
      <c r="AD14" t="s">
        <v>801</v>
      </c>
      <c r="AE14" t="s">
        <v>820</v>
      </c>
    </row>
    <row r="15" spans="1:31">
      <c r="E15" s="4"/>
      <c r="F15" t="s">
        <v>290</v>
      </c>
      <c r="G15" t="s">
        <v>310</v>
      </c>
      <c r="M15" s="4" t="s">
        <v>343</v>
      </c>
      <c r="N15" s="4" t="s">
        <v>290</v>
      </c>
      <c r="O15" t="s">
        <v>368</v>
      </c>
      <c r="R15" t="s">
        <v>397</v>
      </c>
      <c r="U15" t="s">
        <v>444</v>
      </c>
      <c r="V15" t="s">
        <v>464</v>
      </c>
      <c r="X15" s="4" t="s">
        <v>522</v>
      </c>
      <c r="Y15" s="4" t="s">
        <v>648</v>
      </c>
      <c r="Z15" t="s">
        <v>663</v>
      </c>
      <c r="AC15" t="s">
        <v>701</v>
      </c>
      <c r="AD15" t="s">
        <v>802</v>
      </c>
      <c r="AE15" t="s">
        <v>821</v>
      </c>
    </row>
    <row r="16" spans="1:31">
      <c r="E16" s="4"/>
      <c r="F16" t="s">
        <v>243</v>
      </c>
      <c r="G16" t="s">
        <v>311</v>
      </c>
      <c r="M16" s="4" t="s">
        <v>344</v>
      </c>
      <c r="N16" s="4" t="s">
        <v>243</v>
      </c>
      <c r="O16" t="s">
        <v>369</v>
      </c>
      <c r="R16" t="s">
        <v>398</v>
      </c>
      <c r="U16" t="s">
        <v>445</v>
      </c>
      <c r="V16" t="s">
        <v>465</v>
      </c>
      <c r="X16" s="4" t="s">
        <v>523</v>
      </c>
      <c r="Y16" s="4" t="s">
        <v>649</v>
      </c>
      <c r="Z16" t="s">
        <v>664</v>
      </c>
      <c r="AC16" t="s">
        <v>702</v>
      </c>
      <c r="AD16" t="s">
        <v>803</v>
      </c>
      <c r="AE16" t="s">
        <v>822</v>
      </c>
    </row>
    <row r="17" spans="5:31">
      <c r="E17" s="4"/>
      <c r="F17" t="s">
        <v>246</v>
      </c>
      <c r="G17" t="s">
        <v>7</v>
      </c>
      <c r="M17" s="4" t="s">
        <v>345</v>
      </c>
      <c r="N17" s="4" t="s">
        <v>246</v>
      </c>
      <c r="O17" t="s">
        <v>370</v>
      </c>
      <c r="R17" t="s">
        <v>399</v>
      </c>
      <c r="U17" t="s">
        <v>433</v>
      </c>
      <c r="V17" t="s">
        <v>466</v>
      </c>
      <c r="X17" s="4" t="s">
        <v>524</v>
      </c>
      <c r="Y17" s="4"/>
      <c r="Z17" t="s">
        <v>665</v>
      </c>
      <c r="AC17" t="s">
        <v>703</v>
      </c>
      <c r="AD17" t="s">
        <v>648</v>
      </c>
      <c r="AE17" t="s">
        <v>823</v>
      </c>
    </row>
    <row r="18" spans="5:31">
      <c r="E18" s="4"/>
      <c r="F18" t="s">
        <v>291</v>
      </c>
      <c r="M18" s="4" t="s">
        <v>346</v>
      </c>
      <c r="N18" s="4" t="s">
        <v>291</v>
      </c>
      <c r="O18" t="s">
        <v>371</v>
      </c>
      <c r="R18" t="s">
        <v>400</v>
      </c>
      <c r="U18" t="s">
        <v>446</v>
      </c>
      <c r="V18" t="s">
        <v>467</v>
      </c>
      <c r="X18" s="4" t="s">
        <v>525</v>
      </c>
      <c r="Y18" s="4"/>
      <c r="Z18" t="s">
        <v>666</v>
      </c>
      <c r="AC18" t="s">
        <v>704</v>
      </c>
      <c r="AD18" t="s">
        <v>804</v>
      </c>
      <c r="AE18" t="s">
        <v>824</v>
      </c>
    </row>
    <row r="19" spans="5:31">
      <c r="E19" s="4"/>
      <c r="F19" t="s">
        <v>247</v>
      </c>
      <c r="M19" s="4" t="s">
        <v>347</v>
      </c>
      <c r="N19" s="4" t="s">
        <v>247</v>
      </c>
      <c r="O19" t="s">
        <v>44</v>
      </c>
      <c r="R19" t="s">
        <v>401</v>
      </c>
      <c r="U19" t="s">
        <v>447</v>
      </c>
      <c r="V19" t="s">
        <v>468</v>
      </c>
      <c r="X19" s="4" t="s">
        <v>526</v>
      </c>
      <c r="Y19" s="4"/>
      <c r="Z19" t="s">
        <v>667</v>
      </c>
      <c r="AC19" t="s">
        <v>705</v>
      </c>
      <c r="AD19" t="s">
        <v>805</v>
      </c>
      <c r="AE19" t="s">
        <v>789</v>
      </c>
    </row>
    <row r="20" spans="5:31">
      <c r="E20" s="4"/>
      <c r="F20" t="s">
        <v>292</v>
      </c>
      <c r="M20" s="4" t="s">
        <v>348</v>
      </c>
      <c r="N20" s="4" t="s">
        <v>292</v>
      </c>
      <c r="O20" t="s">
        <v>372</v>
      </c>
      <c r="R20" t="s">
        <v>402</v>
      </c>
      <c r="U20" t="s">
        <v>448</v>
      </c>
      <c r="V20" t="s">
        <v>469</v>
      </c>
      <c r="X20" s="4" t="s">
        <v>527</v>
      </c>
      <c r="Y20" s="4"/>
      <c r="Z20" t="s">
        <v>288</v>
      </c>
      <c r="AC20" t="s">
        <v>706</v>
      </c>
      <c r="AD20" t="s">
        <v>806</v>
      </c>
      <c r="AE20" t="s">
        <v>826</v>
      </c>
    </row>
    <row r="21" spans="5:31">
      <c r="E21" s="4"/>
      <c r="F21" t="s">
        <v>293</v>
      </c>
      <c r="M21" s="4" t="s">
        <v>349</v>
      </c>
      <c r="N21" s="4" t="s">
        <v>293</v>
      </c>
      <c r="O21" t="s">
        <v>373</v>
      </c>
      <c r="R21" t="s">
        <v>403</v>
      </c>
      <c r="U21" t="s">
        <v>449</v>
      </c>
      <c r="V21" t="s">
        <v>470</v>
      </c>
      <c r="X21" s="4" t="s">
        <v>528</v>
      </c>
      <c r="Y21" s="4"/>
      <c r="Z21" t="s">
        <v>668</v>
      </c>
      <c r="AC21" t="s">
        <v>707</v>
      </c>
      <c r="AD21" t="s">
        <v>7</v>
      </c>
      <c r="AE21" t="s">
        <v>827</v>
      </c>
    </row>
    <row r="22" spans="5:31">
      <c r="E22" s="4"/>
      <c r="F22" t="s">
        <v>294</v>
      </c>
      <c r="M22" s="4" t="s">
        <v>350</v>
      </c>
      <c r="N22" s="4" t="s">
        <v>294</v>
      </c>
      <c r="O22" t="s">
        <v>374</v>
      </c>
      <c r="R22" t="s">
        <v>404</v>
      </c>
      <c r="U22" t="s">
        <v>450</v>
      </c>
      <c r="V22" t="s">
        <v>471</v>
      </c>
      <c r="X22" s="4" t="s">
        <v>529</v>
      </c>
      <c r="Y22" s="4"/>
      <c r="Z22" t="s">
        <v>669</v>
      </c>
      <c r="AC22" t="s">
        <v>708</v>
      </c>
      <c r="AD22" t="s">
        <v>807</v>
      </c>
      <c r="AE22" t="s">
        <v>828</v>
      </c>
    </row>
    <row r="23" spans="5:31">
      <c r="E23" s="4"/>
      <c r="F23" t="s">
        <v>295</v>
      </c>
      <c r="M23" s="4" t="s">
        <v>339</v>
      </c>
      <c r="N23" s="4" t="s">
        <v>295</v>
      </c>
      <c r="O23" t="s">
        <v>375</v>
      </c>
      <c r="R23" t="s">
        <v>405</v>
      </c>
      <c r="V23" t="s">
        <v>472</v>
      </c>
      <c r="X23" s="4" t="s">
        <v>530</v>
      </c>
      <c r="Y23" s="4"/>
      <c r="Z23" t="s">
        <v>670</v>
      </c>
      <c r="AC23" t="s">
        <v>709</v>
      </c>
      <c r="AD23" t="s">
        <v>808</v>
      </c>
      <c r="AE23" t="s">
        <v>829</v>
      </c>
    </row>
    <row r="24" spans="5:31">
      <c r="M24" s="4" t="s">
        <v>351</v>
      </c>
      <c r="N24" s="4" t="s">
        <v>296</v>
      </c>
      <c r="O24" t="s">
        <v>376</v>
      </c>
      <c r="R24" t="s">
        <v>406</v>
      </c>
      <c r="V24" t="s">
        <v>473</v>
      </c>
      <c r="X24" s="4" t="s">
        <v>531</v>
      </c>
      <c r="Y24" s="4"/>
      <c r="Z24" t="s">
        <v>671</v>
      </c>
      <c r="AC24" t="s">
        <v>710</v>
      </c>
      <c r="AE24" t="s">
        <v>830</v>
      </c>
    </row>
    <row r="25" spans="5:31">
      <c r="M25" s="4" t="s">
        <v>352</v>
      </c>
      <c r="O25" t="s">
        <v>377</v>
      </c>
      <c r="R25" t="s">
        <v>407</v>
      </c>
      <c r="V25" t="s">
        <v>474</v>
      </c>
      <c r="X25" s="4" t="s">
        <v>532</v>
      </c>
      <c r="Y25" s="4"/>
      <c r="Z25" t="s">
        <v>672</v>
      </c>
      <c r="AC25" t="s">
        <v>711</v>
      </c>
      <c r="AE25" t="s">
        <v>831</v>
      </c>
    </row>
    <row r="26" spans="5:31">
      <c r="M26" s="4" t="s">
        <v>353</v>
      </c>
      <c r="O26" t="s">
        <v>7</v>
      </c>
      <c r="R26" t="s">
        <v>408</v>
      </c>
      <c r="V26" t="s">
        <v>475</v>
      </c>
      <c r="X26" s="4" t="s">
        <v>533</v>
      </c>
      <c r="Y26" s="4"/>
      <c r="Z26" t="s">
        <v>673</v>
      </c>
      <c r="AC26" t="s">
        <v>712</v>
      </c>
      <c r="AE26" t="s">
        <v>832</v>
      </c>
    </row>
    <row r="27" spans="5:31">
      <c r="M27" s="4" t="s">
        <v>354</v>
      </c>
      <c r="R27" t="s">
        <v>409</v>
      </c>
      <c r="V27" t="s">
        <v>476</v>
      </c>
      <c r="X27" s="4" t="s">
        <v>534</v>
      </c>
      <c r="Y27" s="4"/>
      <c r="Z27"/>
      <c r="AC27" t="s">
        <v>713</v>
      </c>
      <c r="AE27" t="s">
        <v>833</v>
      </c>
    </row>
    <row r="28" spans="5:31">
      <c r="M28" s="4" t="s">
        <v>355</v>
      </c>
      <c r="R28" t="s">
        <v>410</v>
      </c>
      <c r="V28" t="s">
        <v>477</v>
      </c>
      <c r="X28" s="4" t="s">
        <v>535</v>
      </c>
      <c r="Y28" s="4"/>
      <c r="Z28"/>
      <c r="AC28" t="s">
        <v>714</v>
      </c>
      <c r="AE28" t="s">
        <v>834</v>
      </c>
    </row>
    <row r="29" spans="5:31">
      <c r="R29" t="s">
        <v>411</v>
      </c>
      <c r="V29" t="s">
        <v>478</v>
      </c>
      <c r="X29" s="4" t="s">
        <v>536</v>
      </c>
      <c r="Y29" s="4"/>
      <c r="Z29"/>
      <c r="AC29" t="s">
        <v>715</v>
      </c>
      <c r="AE29" t="s">
        <v>835</v>
      </c>
    </row>
    <row r="30" spans="5:31">
      <c r="V30" t="s">
        <v>479</v>
      </c>
      <c r="X30" s="4" t="s">
        <v>537</v>
      </c>
      <c r="Y30" s="4"/>
      <c r="Z30"/>
      <c r="AC30" t="s">
        <v>716</v>
      </c>
      <c r="AE30" t="s">
        <v>836</v>
      </c>
    </row>
    <row r="31" spans="5:31">
      <c r="V31" t="s">
        <v>480</v>
      </c>
      <c r="X31" s="4" t="s">
        <v>538</v>
      </c>
      <c r="Y31" s="4"/>
      <c r="Z31"/>
      <c r="AC31" t="s">
        <v>717</v>
      </c>
      <c r="AE31" t="s">
        <v>837</v>
      </c>
    </row>
    <row r="32" spans="5:31">
      <c r="V32" t="s">
        <v>481</v>
      </c>
      <c r="X32" s="4" t="s">
        <v>539</v>
      </c>
      <c r="Y32" s="4"/>
      <c r="Z32"/>
      <c r="AC32" t="s">
        <v>718</v>
      </c>
      <c r="AE32" t="s">
        <v>825</v>
      </c>
    </row>
    <row r="33" spans="22:31">
      <c r="V33" t="s">
        <v>482</v>
      </c>
      <c r="X33" s="4" t="s">
        <v>540</v>
      </c>
      <c r="Y33" s="4"/>
      <c r="Z33"/>
      <c r="AC33" t="s">
        <v>719</v>
      </c>
      <c r="AE33" t="s">
        <v>838</v>
      </c>
    </row>
    <row r="34" spans="22:31">
      <c r="V34" t="s">
        <v>483</v>
      </c>
      <c r="X34" s="4" t="s">
        <v>541</v>
      </c>
      <c r="Y34" s="4"/>
      <c r="Z34"/>
      <c r="AC34" t="s">
        <v>720</v>
      </c>
      <c r="AE34" t="s">
        <v>839</v>
      </c>
    </row>
    <row r="35" spans="22:31">
      <c r="V35" t="s">
        <v>484</v>
      </c>
      <c r="X35" s="4" t="s">
        <v>542</v>
      </c>
      <c r="Y35" s="4"/>
      <c r="Z35"/>
      <c r="AC35" t="s">
        <v>721</v>
      </c>
      <c r="AE35" t="s">
        <v>840</v>
      </c>
    </row>
    <row r="36" spans="22:31">
      <c r="V36" t="s">
        <v>485</v>
      </c>
      <c r="X36" s="4" t="s">
        <v>543</v>
      </c>
      <c r="Y36" s="4"/>
      <c r="Z36"/>
      <c r="AC36" t="s">
        <v>722</v>
      </c>
      <c r="AE36" t="s">
        <v>841</v>
      </c>
    </row>
    <row r="37" spans="22:31">
      <c r="V37" t="s">
        <v>486</v>
      </c>
      <c r="X37" s="4" t="s">
        <v>544</v>
      </c>
      <c r="Y37" s="4"/>
      <c r="Z37"/>
      <c r="AC37" t="s">
        <v>723</v>
      </c>
      <c r="AE37" t="s">
        <v>842</v>
      </c>
    </row>
    <row r="38" spans="22:31">
      <c r="V38" t="s">
        <v>487</v>
      </c>
      <c r="X38" s="4" t="s">
        <v>545</v>
      </c>
      <c r="Y38" s="4"/>
      <c r="Z38"/>
      <c r="AC38" t="s">
        <v>724</v>
      </c>
      <c r="AE38" t="s">
        <v>843</v>
      </c>
    </row>
    <row r="39" spans="22:31">
      <c r="V39" t="s">
        <v>488</v>
      </c>
      <c r="X39" s="4" t="s">
        <v>546</v>
      </c>
      <c r="Y39" s="4"/>
      <c r="Z39"/>
      <c r="AC39" t="s">
        <v>725</v>
      </c>
      <c r="AE39" t="s">
        <v>844</v>
      </c>
    </row>
    <row r="40" spans="22:31">
      <c r="V40" t="s">
        <v>489</v>
      </c>
      <c r="X40" s="4" t="s">
        <v>547</v>
      </c>
      <c r="Y40" s="4"/>
      <c r="Z40"/>
      <c r="AC40" t="s">
        <v>726</v>
      </c>
      <c r="AE40" t="s">
        <v>845</v>
      </c>
    </row>
    <row r="41" spans="22:31">
      <c r="V41" t="s">
        <v>490</v>
      </c>
      <c r="X41" s="4" t="s">
        <v>548</v>
      </c>
      <c r="Y41" s="4"/>
      <c r="Z41"/>
      <c r="AC41" t="s">
        <v>727</v>
      </c>
      <c r="AE41" t="s">
        <v>846</v>
      </c>
    </row>
    <row r="42" spans="22:31">
      <c r="V42" t="s">
        <v>491</v>
      </c>
      <c r="X42" s="4" t="s">
        <v>549</v>
      </c>
      <c r="Y42" s="4"/>
      <c r="Z42"/>
      <c r="AC42" t="s">
        <v>728</v>
      </c>
      <c r="AE42" t="s">
        <v>790</v>
      </c>
    </row>
    <row r="43" spans="22:31">
      <c r="V43" t="s">
        <v>7</v>
      </c>
      <c r="X43" s="4" t="s">
        <v>550</v>
      </c>
      <c r="Y43" s="4"/>
      <c r="Z43"/>
      <c r="AC43" t="s">
        <v>729</v>
      </c>
      <c r="AE43" t="s">
        <v>847</v>
      </c>
    </row>
    <row r="44" spans="22:31">
      <c r="V44" t="s">
        <v>492</v>
      </c>
      <c r="X44" s="4" t="s">
        <v>551</v>
      </c>
      <c r="Y44" s="4"/>
      <c r="Z44"/>
      <c r="AC44" t="s">
        <v>730</v>
      </c>
      <c r="AE44" t="s">
        <v>848</v>
      </c>
    </row>
    <row r="45" spans="22:31">
      <c r="V45" t="s">
        <v>493</v>
      </c>
      <c r="X45" s="4" t="s">
        <v>552</v>
      </c>
      <c r="Y45" s="4"/>
      <c r="Z45"/>
      <c r="AC45" t="s">
        <v>731</v>
      </c>
      <c r="AE45" t="s">
        <v>849</v>
      </c>
    </row>
    <row r="46" spans="22:31">
      <c r="V46" t="s">
        <v>494</v>
      </c>
      <c r="X46" s="4" t="s">
        <v>553</v>
      </c>
      <c r="Y46" s="4"/>
      <c r="Z46"/>
      <c r="AC46" t="s">
        <v>732</v>
      </c>
      <c r="AE46" t="s">
        <v>850</v>
      </c>
    </row>
    <row r="47" spans="22:31">
      <c r="V47" t="s">
        <v>495</v>
      </c>
      <c r="X47" s="4" t="s">
        <v>554</v>
      </c>
      <c r="Y47" s="4"/>
      <c r="Z47"/>
      <c r="AC47" t="s">
        <v>733</v>
      </c>
      <c r="AE47" t="s">
        <v>851</v>
      </c>
    </row>
    <row r="48" spans="22:31">
      <c r="V48" t="s">
        <v>496</v>
      </c>
      <c r="X48" s="4" t="s">
        <v>555</v>
      </c>
      <c r="Y48" s="4"/>
      <c r="Z48"/>
      <c r="AC48" t="s">
        <v>734</v>
      </c>
      <c r="AE48" t="s">
        <v>852</v>
      </c>
    </row>
    <row r="49" spans="22:31">
      <c r="V49" t="s">
        <v>497</v>
      </c>
      <c r="X49" s="4" t="s">
        <v>556</v>
      </c>
      <c r="Y49" s="4"/>
      <c r="Z49"/>
      <c r="AC49" t="s">
        <v>735</v>
      </c>
      <c r="AE49" t="s">
        <v>853</v>
      </c>
    </row>
    <row r="50" spans="22:31">
      <c r="V50" t="s">
        <v>498</v>
      </c>
      <c r="X50" s="4" t="s">
        <v>557</v>
      </c>
      <c r="Y50" s="4"/>
      <c r="Z50"/>
      <c r="AC50" t="s">
        <v>736</v>
      </c>
      <c r="AE50" t="s">
        <v>854</v>
      </c>
    </row>
    <row r="51" spans="22:31">
      <c r="V51" t="s">
        <v>499</v>
      </c>
      <c r="X51" s="4" t="s">
        <v>558</v>
      </c>
      <c r="Y51" s="4"/>
      <c r="Z51"/>
      <c r="AC51" t="s">
        <v>737</v>
      </c>
      <c r="AE51" t="s">
        <v>855</v>
      </c>
    </row>
    <row r="52" spans="22:31">
      <c r="X52" s="4" t="s">
        <v>559</v>
      </c>
      <c r="Y52" s="4"/>
      <c r="Z52"/>
      <c r="AC52" t="s">
        <v>738</v>
      </c>
      <c r="AE52" t="s">
        <v>856</v>
      </c>
    </row>
    <row r="53" spans="22:31">
      <c r="X53" s="4" t="s">
        <v>560</v>
      </c>
      <c r="Y53" s="4"/>
      <c r="Z53"/>
      <c r="AC53" t="s">
        <v>739</v>
      </c>
      <c r="AE53" t="s">
        <v>857</v>
      </c>
    </row>
    <row r="54" spans="22:31">
      <c r="X54" s="4" t="s">
        <v>561</v>
      </c>
      <c r="Y54" s="4"/>
      <c r="Z54"/>
      <c r="AC54" t="s">
        <v>740</v>
      </c>
      <c r="AE54" t="s">
        <v>858</v>
      </c>
    </row>
    <row r="55" spans="22:31">
      <c r="X55" s="4" t="s">
        <v>562</v>
      </c>
      <c r="Y55" s="4"/>
      <c r="Z55"/>
      <c r="AC55" t="s">
        <v>741</v>
      </c>
      <c r="AE55" t="s">
        <v>859</v>
      </c>
    </row>
    <row r="56" spans="22:31">
      <c r="X56" s="4" t="s">
        <v>563</v>
      </c>
      <c r="Y56" s="4"/>
      <c r="Z56"/>
      <c r="AC56" t="s">
        <v>742</v>
      </c>
      <c r="AE56" t="s">
        <v>860</v>
      </c>
    </row>
    <row r="57" spans="22:31">
      <c r="X57" s="4" t="s">
        <v>564</v>
      </c>
      <c r="Y57" s="4"/>
      <c r="Z57"/>
      <c r="AC57" t="s">
        <v>743</v>
      </c>
      <c r="AE57" t="s">
        <v>861</v>
      </c>
    </row>
    <row r="58" spans="22:31">
      <c r="X58" s="4" t="s">
        <v>565</v>
      </c>
      <c r="Y58" s="4"/>
      <c r="Z58"/>
      <c r="AC58" t="s">
        <v>744</v>
      </c>
      <c r="AE58" t="s">
        <v>862</v>
      </c>
    </row>
    <row r="59" spans="22:31">
      <c r="X59" s="4" t="s">
        <v>566</v>
      </c>
      <c r="Y59" s="4"/>
      <c r="Z59"/>
      <c r="AC59" t="s">
        <v>745</v>
      </c>
      <c r="AE59" t="s">
        <v>863</v>
      </c>
    </row>
    <row r="60" spans="22:31">
      <c r="X60" s="4" t="s">
        <v>567</v>
      </c>
      <c r="Y60" s="4"/>
      <c r="Z60"/>
      <c r="AC60" t="s">
        <v>746</v>
      </c>
      <c r="AE60" t="s">
        <v>864</v>
      </c>
    </row>
    <row r="61" spans="22:31">
      <c r="X61" s="4" t="s">
        <v>568</v>
      </c>
      <c r="Y61" s="4"/>
      <c r="Z61"/>
      <c r="AC61" t="s">
        <v>747</v>
      </c>
      <c r="AE61" t="s">
        <v>865</v>
      </c>
    </row>
    <row r="62" spans="22:31">
      <c r="X62" s="4" t="s">
        <v>569</v>
      </c>
      <c r="Y62" s="4"/>
      <c r="Z62"/>
      <c r="AC62" t="s">
        <v>748</v>
      </c>
      <c r="AE62" t="s">
        <v>866</v>
      </c>
    </row>
    <row r="63" spans="22:31">
      <c r="X63" s="4" t="s">
        <v>570</v>
      </c>
      <c r="Y63" s="4"/>
      <c r="Z63"/>
      <c r="AC63" t="s">
        <v>749</v>
      </c>
      <c r="AE63" t="s">
        <v>867</v>
      </c>
    </row>
    <row r="64" spans="22:31">
      <c r="X64" s="4" t="s">
        <v>571</v>
      </c>
      <c r="Y64" s="4"/>
      <c r="Z64"/>
      <c r="AC64" t="s">
        <v>750</v>
      </c>
      <c r="AE64" t="s">
        <v>868</v>
      </c>
    </row>
    <row r="65" spans="24:31">
      <c r="X65" s="4" t="s">
        <v>572</v>
      </c>
      <c r="Y65" s="4"/>
      <c r="Z65"/>
      <c r="AC65" t="s">
        <v>751</v>
      </c>
      <c r="AE65" t="s">
        <v>869</v>
      </c>
    </row>
    <row r="66" spans="24:31">
      <c r="X66" s="4" t="s">
        <v>573</v>
      </c>
      <c r="Y66" s="4"/>
      <c r="Z66"/>
      <c r="AC66" t="s">
        <v>752</v>
      </c>
      <c r="AE66" t="s">
        <v>870</v>
      </c>
    </row>
    <row r="67" spans="24:31">
      <c r="X67" s="4" t="s">
        <v>574</v>
      </c>
      <c r="Y67" s="4"/>
      <c r="Z67"/>
      <c r="AC67" t="s">
        <v>753</v>
      </c>
      <c r="AE67" t="s">
        <v>871</v>
      </c>
    </row>
    <row r="68" spans="24:31">
      <c r="X68" s="4" t="s">
        <v>575</v>
      </c>
      <c r="Y68" s="4"/>
      <c r="Z68"/>
      <c r="AC68" t="s">
        <v>754</v>
      </c>
      <c r="AE68" t="s">
        <v>872</v>
      </c>
    </row>
    <row r="69" spans="24:31">
      <c r="X69" s="4" t="s">
        <v>576</v>
      </c>
      <c r="Y69" s="4"/>
      <c r="Z69"/>
      <c r="AC69" t="s">
        <v>755</v>
      </c>
      <c r="AE69" t="s">
        <v>873</v>
      </c>
    </row>
    <row r="70" spans="24:31">
      <c r="X70" s="4" t="s">
        <v>577</v>
      </c>
      <c r="Y70" s="4"/>
      <c r="Z70"/>
      <c r="AC70" t="s">
        <v>756</v>
      </c>
      <c r="AE70" t="s">
        <v>874</v>
      </c>
    </row>
    <row r="71" spans="24:31">
      <c r="X71" s="4" t="s">
        <v>578</v>
      </c>
      <c r="Y71" s="4"/>
      <c r="Z71"/>
      <c r="AC71" t="s">
        <v>757</v>
      </c>
      <c r="AE71" t="s">
        <v>875</v>
      </c>
    </row>
    <row r="72" spans="24:31">
      <c r="X72" s="4" t="s">
        <v>579</v>
      </c>
      <c r="Y72" s="4"/>
      <c r="Z72"/>
      <c r="AC72" t="s">
        <v>758</v>
      </c>
      <c r="AE72" t="s">
        <v>876</v>
      </c>
    </row>
    <row r="73" spans="24:31">
      <c r="X73" s="4" t="s">
        <v>580</v>
      </c>
      <c r="Y73" s="4"/>
      <c r="Z73"/>
      <c r="AC73" t="s">
        <v>759</v>
      </c>
      <c r="AE73" t="s">
        <v>877</v>
      </c>
    </row>
    <row r="74" spans="24:31">
      <c r="X74" s="4" t="s">
        <v>581</v>
      </c>
      <c r="Y74" s="4"/>
      <c r="Z74"/>
      <c r="AC74" t="s">
        <v>760</v>
      </c>
      <c r="AE74" t="s">
        <v>878</v>
      </c>
    </row>
    <row r="75" spans="24:31">
      <c r="X75" s="4" t="s">
        <v>582</v>
      </c>
      <c r="Y75" s="4"/>
      <c r="Z75"/>
      <c r="AC75" t="s">
        <v>761</v>
      </c>
      <c r="AE75" t="s">
        <v>879</v>
      </c>
    </row>
    <row r="76" spans="24:31">
      <c r="X76" s="4" t="s">
        <v>583</v>
      </c>
      <c r="Y76" s="4"/>
      <c r="Z76"/>
      <c r="AC76" t="s">
        <v>762</v>
      </c>
      <c r="AE76" t="s">
        <v>880</v>
      </c>
    </row>
    <row r="77" spans="24:31">
      <c r="X77" s="4" t="s">
        <v>584</v>
      </c>
      <c r="Y77" s="4"/>
      <c r="Z77"/>
      <c r="AC77" t="s">
        <v>763</v>
      </c>
      <c r="AE77" t="s">
        <v>881</v>
      </c>
    </row>
    <row r="78" spans="24:31">
      <c r="X78" s="4" t="s">
        <v>585</v>
      </c>
      <c r="Y78" s="4"/>
      <c r="Z78"/>
      <c r="AC78" t="s">
        <v>764</v>
      </c>
      <c r="AE78" t="s">
        <v>882</v>
      </c>
    </row>
    <row r="79" spans="24:31">
      <c r="X79" s="4" t="s">
        <v>586</v>
      </c>
      <c r="Y79" s="4"/>
      <c r="Z79"/>
      <c r="AC79" t="s">
        <v>765</v>
      </c>
      <c r="AE79" t="s">
        <v>883</v>
      </c>
    </row>
    <row r="80" spans="24:31">
      <c r="X80" s="4" t="s">
        <v>587</v>
      </c>
      <c r="Y80" s="4"/>
      <c r="Z80"/>
      <c r="AC80" t="s">
        <v>766</v>
      </c>
      <c r="AE80" t="s">
        <v>884</v>
      </c>
    </row>
    <row r="81" spans="24:31">
      <c r="X81" s="4" t="s">
        <v>588</v>
      </c>
      <c r="Y81" s="4"/>
      <c r="Z81"/>
      <c r="AC81" t="s">
        <v>767</v>
      </c>
      <c r="AE81" t="s">
        <v>885</v>
      </c>
    </row>
    <row r="82" spans="24:31">
      <c r="X82" s="4" t="s">
        <v>589</v>
      </c>
      <c r="Y82" s="4"/>
      <c r="Z82"/>
      <c r="AC82" t="s">
        <v>768</v>
      </c>
      <c r="AE82" t="s">
        <v>886</v>
      </c>
    </row>
    <row r="83" spans="24:31">
      <c r="X83" s="4" t="s">
        <v>590</v>
      </c>
      <c r="Y83" s="4"/>
      <c r="Z83"/>
      <c r="AC83" t="s">
        <v>769</v>
      </c>
      <c r="AE83" t="s">
        <v>887</v>
      </c>
    </row>
    <row r="84" spans="24:31">
      <c r="X84" s="4" t="s">
        <v>591</v>
      </c>
      <c r="Y84" s="4"/>
      <c r="Z84"/>
      <c r="AC84" t="s">
        <v>770</v>
      </c>
      <c r="AE84" t="s">
        <v>888</v>
      </c>
    </row>
    <row r="85" spans="24:31">
      <c r="X85" s="4" t="s">
        <v>592</v>
      </c>
      <c r="Y85" s="4"/>
      <c r="Z85"/>
      <c r="AC85" t="s">
        <v>771</v>
      </c>
      <c r="AE85" t="s">
        <v>889</v>
      </c>
    </row>
    <row r="86" spans="24:31">
      <c r="X86" s="4" t="s">
        <v>593</v>
      </c>
      <c r="Y86" s="4"/>
      <c r="Z86"/>
      <c r="AC86" t="s">
        <v>772</v>
      </c>
      <c r="AE86" t="s">
        <v>890</v>
      </c>
    </row>
    <row r="87" spans="24:31">
      <c r="X87" s="4" t="s">
        <v>594</v>
      </c>
      <c r="Y87" s="4"/>
      <c r="Z87"/>
      <c r="AC87" t="s">
        <v>773</v>
      </c>
      <c r="AE87" t="s">
        <v>891</v>
      </c>
    </row>
    <row r="88" spans="24:31">
      <c r="X88" s="4" t="s">
        <v>595</v>
      </c>
      <c r="Y88" s="4"/>
      <c r="Z88"/>
      <c r="AC88" t="s">
        <v>774</v>
      </c>
      <c r="AE88" t="s">
        <v>892</v>
      </c>
    </row>
    <row r="89" spans="24:31">
      <c r="X89" s="4" t="s">
        <v>596</v>
      </c>
      <c r="Y89" s="4"/>
      <c r="Z89"/>
      <c r="AC89" t="s">
        <v>775</v>
      </c>
      <c r="AE89" t="s">
        <v>893</v>
      </c>
    </row>
    <row r="90" spans="24:31">
      <c r="X90" s="4" t="s">
        <v>597</v>
      </c>
      <c r="Y90" s="4"/>
      <c r="Z90"/>
      <c r="AC90" t="s">
        <v>776</v>
      </c>
      <c r="AE90" t="s">
        <v>894</v>
      </c>
    </row>
    <row r="91" spans="24:31">
      <c r="X91" s="4" t="s">
        <v>598</v>
      </c>
      <c r="Y91" s="4"/>
      <c r="Z91"/>
      <c r="AC91" t="s">
        <v>777</v>
      </c>
      <c r="AE91" t="s">
        <v>895</v>
      </c>
    </row>
    <row r="92" spans="24:31">
      <c r="X92" s="4" t="s">
        <v>599</v>
      </c>
      <c r="Y92" s="4"/>
      <c r="Z92"/>
      <c r="AC92" t="s">
        <v>778</v>
      </c>
      <c r="AE92" t="s">
        <v>896</v>
      </c>
    </row>
    <row r="93" spans="24:31">
      <c r="X93" s="4" t="s">
        <v>600</v>
      </c>
      <c r="Y93" s="4"/>
      <c r="Z93"/>
      <c r="AC93" t="s">
        <v>779</v>
      </c>
      <c r="AE93" t="s">
        <v>897</v>
      </c>
    </row>
    <row r="94" spans="24:31">
      <c r="X94" s="4" t="s">
        <v>601</v>
      </c>
      <c r="Y94" s="4"/>
      <c r="Z94"/>
      <c r="AC94" t="s">
        <v>780</v>
      </c>
      <c r="AE94" t="s">
        <v>898</v>
      </c>
    </row>
    <row r="95" spans="24:31">
      <c r="X95" s="4" t="s">
        <v>602</v>
      </c>
      <c r="Y95" s="4"/>
      <c r="Z95"/>
      <c r="AC95" t="s">
        <v>781</v>
      </c>
      <c r="AE95" t="s">
        <v>899</v>
      </c>
    </row>
    <row r="96" spans="24:31">
      <c r="X96" s="4" t="s">
        <v>603</v>
      </c>
      <c r="Y96" s="4"/>
      <c r="Z96"/>
      <c r="AC96" t="s">
        <v>782</v>
      </c>
      <c r="AE96" t="s">
        <v>900</v>
      </c>
    </row>
    <row r="97" spans="24:31">
      <c r="X97" s="4" t="s">
        <v>604</v>
      </c>
      <c r="Y97" s="4"/>
      <c r="Z97"/>
      <c r="AC97" t="s">
        <v>783</v>
      </c>
      <c r="AE97" t="s">
        <v>901</v>
      </c>
    </row>
    <row r="98" spans="24:31">
      <c r="X98" s="4" t="s">
        <v>605</v>
      </c>
      <c r="Y98" s="4"/>
      <c r="Z98"/>
      <c r="AC98" t="s">
        <v>784</v>
      </c>
      <c r="AE98" t="s">
        <v>902</v>
      </c>
    </row>
    <row r="99" spans="24:31">
      <c r="X99" s="4" t="s">
        <v>606</v>
      </c>
      <c r="Y99" s="4"/>
      <c r="Z99"/>
      <c r="AC99" t="s">
        <v>785</v>
      </c>
      <c r="AE99" t="s">
        <v>903</v>
      </c>
    </row>
    <row r="100" spans="24:31">
      <c r="X100" s="4" t="s">
        <v>607</v>
      </c>
      <c r="Y100" s="4"/>
      <c r="Z100"/>
      <c r="AC100" t="s">
        <v>786</v>
      </c>
      <c r="AE100" t="s">
        <v>904</v>
      </c>
    </row>
    <row r="101" spans="24:31">
      <c r="X101" s="4" t="s">
        <v>608</v>
      </c>
      <c r="Y101" s="4"/>
      <c r="Z101"/>
      <c r="AC101" t="s">
        <v>787</v>
      </c>
      <c r="AE101" t="s">
        <v>905</v>
      </c>
    </row>
    <row r="102" spans="24:31">
      <c r="X102" s="4" t="s">
        <v>609</v>
      </c>
      <c r="Y102" s="4"/>
      <c r="Z102"/>
      <c r="AE102" t="s">
        <v>906</v>
      </c>
    </row>
    <row r="103" spans="24:31">
      <c r="X103" s="4" t="s">
        <v>610</v>
      </c>
      <c r="Y103" s="4"/>
      <c r="Z103"/>
      <c r="AE103" t="s">
        <v>907</v>
      </c>
    </row>
    <row r="104" spans="24:31">
      <c r="X104" s="4" t="s">
        <v>611</v>
      </c>
      <c r="Y104" s="4"/>
      <c r="Z104"/>
      <c r="AE104" t="s">
        <v>908</v>
      </c>
    </row>
    <row r="105" spans="24:31">
      <c r="X105" s="4" t="s">
        <v>612</v>
      </c>
      <c r="Y105" s="4"/>
      <c r="Z105"/>
      <c r="AE105" t="s">
        <v>909</v>
      </c>
    </row>
    <row r="106" spans="24:31">
      <c r="X106" s="4" t="s">
        <v>613</v>
      </c>
      <c r="Y106" s="4"/>
      <c r="Z106"/>
      <c r="AE106" t="s">
        <v>910</v>
      </c>
    </row>
    <row r="107" spans="24:31">
      <c r="X107" s="4" t="s">
        <v>614</v>
      </c>
      <c r="Y107" s="4"/>
      <c r="Z107"/>
      <c r="AE107" t="s">
        <v>911</v>
      </c>
    </row>
    <row r="108" spans="24:31">
      <c r="X108" s="4" t="s">
        <v>615</v>
      </c>
      <c r="Y108" s="4"/>
      <c r="Z108"/>
      <c r="AE108" t="s">
        <v>912</v>
      </c>
    </row>
    <row r="109" spans="24:31">
      <c r="X109" s="4" t="s">
        <v>616</v>
      </c>
      <c r="Y109" s="4"/>
      <c r="Z109"/>
      <c r="AE109" t="s">
        <v>913</v>
      </c>
    </row>
    <row r="110" spans="24:31">
      <c r="X110" s="4" t="s">
        <v>617</v>
      </c>
      <c r="Y110" s="4"/>
      <c r="Z110"/>
      <c r="AE110" t="s">
        <v>914</v>
      </c>
    </row>
    <row r="111" spans="24:31">
      <c r="X111" s="4" t="s">
        <v>618</v>
      </c>
      <c r="Y111" s="4"/>
      <c r="Z111"/>
      <c r="AE111" t="s">
        <v>915</v>
      </c>
    </row>
    <row r="112" spans="24:31">
      <c r="X112" s="4" t="s">
        <v>619</v>
      </c>
      <c r="Y112" s="4"/>
      <c r="Z112"/>
      <c r="AE112" t="s">
        <v>791</v>
      </c>
    </row>
    <row r="113" spans="24:31">
      <c r="X113" s="4" t="s">
        <v>620</v>
      </c>
      <c r="Y113" s="4"/>
      <c r="Z113"/>
      <c r="AE113" t="s">
        <v>916</v>
      </c>
    </row>
    <row r="114" spans="24:31">
      <c r="X114" s="4" t="s">
        <v>621</v>
      </c>
      <c r="Y114" s="4"/>
      <c r="Z114"/>
      <c r="AE114" t="s">
        <v>917</v>
      </c>
    </row>
    <row r="115" spans="24:31">
      <c r="X115" s="4" t="s">
        <v>622</v>
      </c>
      <c r="Y115" s="4"/>
      <c r="Z115"/>
      <c r="AE115" t="s">
        <v>918</v>
      </c>
    </row>
    <row r="116" spans="24:31">
      <c r="X116" s="4" t="s">
        <v>623</v>
      </c>
      <c r="Y116" s="4"/>
      <c r="Z116"/>
      <c r="AE116" t="s">
        <v>919</v>
      </c>
    </row>
    <row r="117" spans="24:31">
      <c r="X117" s="4" t="s">
        <v>624</v>
      </c>
      <c r="Y117" s="4"/>
      <c r="Z117"/>
      <c r="AE117" t="s">
        <v>920</v>
      </c>
    </row>
    <row r="118" spans="24:31">
      <c r="X118" s="4" t="s">
        <v>625</v>
      </c>
      <c r="Y118" s="4"/>
      <c r="Z118"/>
      <c r="AE118" t="s">
        <v>921</v>
      </c>
    </row>
    <row r="119" spans="24:31">
      <c r="X119" s="4" t="s">
        <v>626</v>
      </c>
      <c r="Y119" s="4"/>
      <c r="Z119"/>
      <c r="AE119" t="s">
        <v>922</v>
      </c>
    </row>
    <row r="120" spans="24:31">
      <c r="X120" s="4" t="s">
        <v>627</v>
      </c>
      <c r="Y120" s="4"/>
      <c r="Z120"/>
      <c r="AE120" t="s">
        <v>923</v>
      </c>
    </row>
    <row r="121" spans="24:31">
      <c r="X121" s="4" t="s">
        <v>628</v>
      </c>
      <c r="Y121" s="4"/>
      <c r="Z121"/>
      <c r="AE121" t="s">
        <v>924</v>
      </c>
    </row>
    <row r="122" spans="24:31">
      <c r="X122" s="4" t="s">
        <v>629</v>
      </c>
      <c r="Y122" s="4"/>
      <c r="Z122"/>
      <c r="AE122" t="s">
        <v>925</v>
      </c>
    </row>
    <row r="123" spans="24:31">
      <c r="X123" s="4" t="s">
        <v>630</v>
      </c>
      <c r="Y123" s="4"/>
      <c r="Z123"/>
      <c r="AE123" t="s">
        <v>926</v>
      </c>
    </row>
    <row r="124" spans="24:31">
      <c r="X124" s="4" t="s">
        <v>631</v>
      </c>
      <c r="Y124" s="4"/>
      <c r="Z124"/>
      <c r="AE124" t="s">
        <v>927</v>
      </c>
    </row>
    <row r="125" spans="24:31">
      <c r="X125" s="4" t="s">
        <v>632</v>
      </c>
      <c r="Y125" s="4"/>
      <c r="Z125"/>
      <c r="AE125" t="s">
        <v>928</v>
      </c>
    </row>
    <row r="126" spans="24:31">
      <c r="X126" s="4" t="s">
        <v>633</v>
      </c>
      <c r="Y126" s="4"/>
      <c r="Z126"/>
      <c r="AE126" t="s">
        <v>929</v>
      </c>
    </row>
    <row r="127" spans="24:31">
      <c r="X127" s="4" t="s">
        <v>634</v>
      </c>
      <c r="Y127" s="4"/>
      <c r="Z127"/>
      <c r="AE127" t="s">
        <v>930</v>
      </c>
    </row>
    <row r="128" spans="24:31">
      <c r="X128" s="4" t="s">
        <v>635</v>
      </c>
      <c r="Y128" s="4"/>
      <c r="Z128"/>
      <c r="AE128" t="s">
        <v>931</v>
      </c>
    </row>
    <row r="129" spans="24:31">
      <c r="X129" s="4" t="s">
        <v>636</v>
      </c>
      <c r="Y129" s="4"/>
      <c r="Z129"/>
      <c r="AE129" t="s">
        <v>288</v>
      </c>
    </row>
    <row r="130" spans="24:31">
      <c r="X130" s="4" t="s">
        <v>198</v>
      </c>
      <c r="Y130" s="4"/>
      <c r="Z130"/>
      <c r="AE130" t="s">
        <v>932</v>
      </c>
    </row>
    <row r="131" spans="24:31">
      <c r="X131" s="4" t="s">
        <v>199</v>
      </c>
      <c r="Y131" s="4"/>
      <c r="Z131"/>
      <c r="AE131" t="s">
        <v>933</v>
      </c>
    </row>
    <row r="132" spans="24:31">
      <c r="X132" s="4" t="s">
        <v>200</v>
      </c>
      <c r="Y132" s="4"/>
      <c r="Z132"/>
      <c r="AE132" t="s">
        <v>633</v>
      </c>
    </row>
    <row r="133" spans="24:31">
      <c r="X133" s="4" t="s">
        <v>201</v>
      </c>
      <c r="Y133" s="4"/>
      <c r="Z133"/>
      <c r="AE133" t="s">
        <v>934</v>
      </c>
    </row>
    <row r="134" spans="24:31">
      <c r="X134" s="4" t="s">
        <v>202</v>
      </c>
      <c r="Y134" s="4"/>
      <c r="Z134"/>
      <c r="AE134" t="s">
        <v>935</v>
      </c>
    </row>
    <row r="135" spans="24:31">
      <c r="X135" s="4" t="s">
        <v>203</v>
      </c>
      <c r="Y135" s="4"/>
      <c r="Z135"/>
      <c r="AE135" t="s">
        <v>936</v>
      </c>
    </row>
    <row r="136" spans="24:31">
      <c r="X136" s="4" t="s">
        <v>204</v>
      </c>
      <c r="Y136" s="4"/>
      <c r="Z136"/>
      <c r="AE136" t="s">
        <v>937</v>
      </c>
    </row>
    <row r="137" spans="24:31">
      <c r="X137" s="4" t="s">
        <v>205</v>
      </c>
      <c r="Y137" s="4"/>
      <c r="Z137"/>
      <c r="AE137" t="s">
        <v>938</v>
      </c>
    </row>
    <row r="138" spans="24:31">
      <c r="X138" s="4" t="s">
        <v>206</v>
      </c>
      <c r="Y138" s="4"/>
      <c r="Z138"/>
      <c r="AE138" t="s">
        <v>939</v>
      </c>
    </row>
    <row r="139" spans="24:31">
      <c r="X139" s="4" t="s">
        <v>207</v>
      </c>
      <c r="Y139" s="4"/>
      <c r="Z139"/>
      <c r="AE139" t="s">
        <v>940</v>
      </c>
    </row>
    <row r="140" spans="24:31">
      <c r="X140" s="4" t="s">
        <v>208</v>
      </c>
      <c r="Y140" s="4"/>
      <c r="Z140"/>
      <c r="AE140" t="s">
        <v>941</v>
      </c>
    </row>
    <row r="141" spans="24:31">
      <c r="X141" s="4" t="s">
        <v>209</v>
      </c>
      <c r="Y141" s="4"/>
      <c r="Z141"/>
      <c r="AE141" t="s">
        <v>942</v>
      </c>
    </row>
    <row r="142" spans="24:31">
      <c r="X142" s="4" t="s">
        <v>210</v>
      </c>
      <c r="Y142" s="4"/>
      <c r="Z142"/>
      <c r="AE142" t="s">
        <v>943</v>
      </c>
    </row>
    <row r="143" spans="24:31">
      <c r="X143" s="4" t="s">
        <v>7</v>
      </c>
      <c r="Y143" s="4"/>
      <c r="Z143"/>
      <c r="AE143" t="s">
        <v>944</v>
      </c>
    </row>
    <row r="144" spans="24:31">
      <c r="X144" s="4" t="s">
        <v>211</v>
      </c>
      <c r="Y144" s="4"/>
      <c r="Z144"/>
      <c r="AE144" t="s">
        <v>945</v>
      </c>
    </row>
    <row r="145" spans="24:31">
      <c r="X145" s="4" t="s">
        <v>212</v>
      </c>
      <c r="Y145" s="4"/>
      <c r="Z145"/>
      <c r="AE145" t="s">
        <v>946</v>
      </c>
    </row>
    <row r="146" spans="24:31">
      <c r="X146" s="4"/>
      <c r="Y146" s="4"/>
      <c r="Z146"/>
      <c r="AE146" t="s">
        <v>947</v>
      </c>
    </row>
    <row r="147" spans="24:31">
      <c r="X147" s="4"/>
      <c r="Y147" s="4"/>
      <c r="Z147"/>
      <c r="AE147" t="s">
        <v>948</v>
      </c>
    </row>
    <row r="148" spans="24:31">
      <c r="X148" s="4"/>
      <c r="Y148" s="4"/>
      <c r="Z148"/>
      <c r="AE148" t="s">
        <v>792</v>
      </c>
    </row>
    <row r="149" spans="24:31">
      <c r="X149" s="4"/>
      <c r="Y149" s="4"/>
      <c r="Z149"/>
      <c r="AE149" t="s">
        <v>949</v>
      </c>
    </row>
    <row r="150" spans="24:31">
      <c r="X150" s="4"/>
      <c r="Y150" s="4"/>
      <c r="Z150"/>
      <c r="AE150" t="s">
        <v>950</v>
      </c>
    </row>
    <row r="151" spans="24:31">
      <c r="X151" s="4"/>
      <c r="Y151" s="4"/>
      <c r="Z151"/>
      <c r="AE151" t="s">
        <v>951</v>
      </c>
    </row>
    <row r="152" spans="24:31">
      <c r="X152" s="4"/>
      <c r="Y152" s="4"/>
      <c r="Z152"/>
      <c r="AE152" t="s">
        <v>952</v>
      </c>
    </row>
    <row r="153" spans="24:31">
      <c r="X153" s="4"/>
      <c r="Y153" s="4"/>
      <c r="Z153"/>
      <c r="AE153" t="s">
        <v>953</v>
      </c>
    </row>
    <row r="154" spans="24:31">
      <c r="X154" s="4"/>
      <c r="Y154" s="4"/>
      <c r="Z154"/>
      <c r="AE154" t="s">
        <v>954</v>
      </c>
    </row>
    <row r="155" spans="24:31">
      <c r="X155" s="4"/>
      <c r="Y155" s="4"/>
      <c r="Z155"/>
      <c r="AE155" t="s">
        <v>955</v>
      </c>
    </row>
    <row r="156" spans="24:31">
      <c r="X156" s="4"/>
      <c r="Y156" s="4"/>
      <c r="Z156"/>
      <c r="AE156" t="s">
        <v>956</v>
      </c>
    </row>
    <row r="157" spans="24:31">
      <c r="X157" s="4"/>
      <c r="Y157" s="4"/>
      <c r="Z157"/>
      <c r="AE157" t="s">
        <v>957</v>
      </c>
    </row>
    <row r="158" spans="24:31">
      <c r="X158" s="4"/>
      <c r="Y158" s="4"/>
      <c r="Z158"/>
      <c r="AE158" t="s">
        <v>958</v>
      </c>
    </row>
    <row r="159" spans="24:31">
      <c r="X159" s="4"/>
      <c r="Y159" s="4"/>
      <c r="Z159"/>
      <c r="AE159" t="s">
        <v>959</v>
      </c>
    </row>
    <row r="160" spans="24:31">
      <c r="X160" s="4"/>
      <c r="Y160" s="4"/>
      <c r="Z160"/>
      <c r="AE160" t="s">
        <v>960</v>
      </c>
    </row>
    <row r="161" spans="24:31">
      <c r="X161" s="4"/>
      <c r="Y161" s="4"/>
      <c r="Z161"/>
      <c r="AE161" t="s">
        <v>793</v>
      </c>
    </row>
    <row r="162" spans="24:31">
      <c r="X162" s="4"/>
      <c r="Y162" s="4"/>
      <c r="Z162"/>
      <c r="AE162" t="s">
        <v>961</v>
      </c>
    </row>
    <row r="163" spans="24:31">
      <c r="X163" s="4"/>
      <c r="Y163" s="4"/>
      <c r="Z163"/>
      <c r="AE163" t="s">
        <v>962</v>
      </c>
    </row>
    <row r="164" spans="24:31">
      <c r="X164" s="4"/>
      <c r="Y164" s="4"/>
      <c r="Z164"/>
      <c r="AE164" t="s">
        <v>963</v>
      </c>
    </row>
    <row r="165" spans="24:31">
      <c r="X165" s="4"/>
      <c r="Y165" s="4"/>
      <c r="Z165"/>
      <c r="AE165" t="s">
        <v>964</v>
      </c>
    </row>
    <row r="166" spans="24:31">
      <c r="X166" s="4"/>
      <c r="Y166" s="4"/>
      <c r="Z166"/>
      <c r="AE166" t="s">
        <v>965</v>
      </c>
    </row>
    <row r="167" spans="24:31">
      <c r="X167" s="4"/>
      <c r="Y167" s="4"/>
      <c r="Z167"/>
      <c r="AE167" t="s">
        <v>966</v>
      </c>
    </row>
    <row r="168" spans="24:31">
      <c r="X168" s="4"/>
      <c r="Y168" s="4"/>
      <c r="Z168"/>
      <c r="AE168" t="s">
        <v>967</v>
      </c>
    </row>
    <row r="169" spans="24:31">
      <c r="X169" s="4"/>
      <c r="Y169" s="4"/>
      <c r="Z169"/>
      <c r="AE169" t="s">
        <v>968</v>
      </c>
    </row>
    <row r="170" spans="24:31">
      <c r="X170" s="4"/>
      <c r="Y170" s="4"/>
      <c r="Z170"/>
      <c r="AE170" t="s">
        <v>969</v>
      </c>
    </row>
    <row r="171" spans="24:31">
      <c r="X171" s="4"/>
      <c r="Y171" s="4"/>
      <c r="Z171"/>
      <c r="AE171" t="s">
        <v>970</v>
      </c>
    </row>
    <row r="172" spans="24:31">
      <c r="X172" s="4"/>
      <c r="Y172" s="4"/>
      <c r="Z172"/>
      <c r="AE172" t="s">
        <v>971</v>
      </c>
    </row>
    <row r="173" spans="24:31">
      <c r="X173" s="4"/>
      <c r="Y173" s="4"/>
      <c r="Z173"/>
      <c r="AE173" t="s">
        <v>794</v>
      </c>
    </row>
    <row r="174" spans="24:31">
      <c r="X174" s="4"/>
      <c r="Y174" s="4"/>
      <c r="Z174"/>
      <c r="AE174" t="s">
        <v>429</v>
      </c>
    </row>
    <row r="175" spans="24:31">
      <c r="X175" s="4"/>
      <c r="Y175" s="4"/>
      <c r="Z175"/>
      <c r="AE175" t="s">
        <v>972</v>
      </c>
    </row>
    <row r="176" spans="24:31">
      <c r="X176" s="4"/>
      <c r="Y176" s="4"/>
      <c r="Z176"/>
      <c r="AE176" t="s">
        <v>973</v>
      </c>
    </row>
    <row r="177" spans="24:31">
      <c r="X177" s="4"/>
      <c r="Y177" s="4"/>
      <c r="Z177"/>
      <c r="AE177" t="s">
        <v>974</v>
      </c>
    </row>
    <row r="178" spans="24:31">
      <c r="X178" s="4"/>
      <c r="Y178" s="4"/>
      <c r="Z178"/>
      <c r="AE178" t="s">
        <v>975</v>
      </c>
    </row>
    <row r="179" spans="24:31">
      <c r="X179" s="4"/>
      <c r="Y179" s="4"/>
      <c r="Z179"/>
      <c r="AE179" t="s">
        <v>976</v>
      </c>
    </row>
    <row r="180" spans="24:31">
      <c r="X180" s="4"/>
      <c r="Y180" s="4"/>
      <c r="Z180"/>
    </row>
    <row r="181" spans="24:31">
      <c r="X181" s="4"/>
      <c r="Y181" s="4"/>
      <c r="Z181"/>
    </row>
    <row r="182" spans="24:31">
      <c r="X182" s="4"/>
      <c r="Y182" s="4"/>
      <c r="Z182"/>
    </row>
    <row r="183" spans="24:31">
      <c r="X183" s="4"/>
      <c r="Y183" s="4"/>
      <c r="Z183"/>
    </row>
    <row r="184" spans="24:31">
      <c r="X184" s="4"/>
      <c r="Y184" s="4"/>
      <c r="Z184"/>
    </row>
    <row r="185" spans="24:31">
      <c r="X185" s="4"/>
      <c r="Y185" s="4"/>
      <c r="Z185"/>
    </row>
    <row r="186" spans="24:31">
      <c r="X186" s="4"/>
      <c r="Y186" s="4"/>
      <c r="Z186"/>
    </row>
    <row r="187" spans="24:31">
      <c r="X187" s="4"/>
      <c r="Y187" s="4"/>
      <c r="Z187"/>
    </row>
    <row r="188" spans="24:31">
      <c r="X188" s="4"/>
      <c r="Y188" s="4"/>
      <c r="Z188"/>
    </row>
    <row r="189" spans="24:31">
      <c r="X189" s="4"/>
      <c r="Y189" s="4"/>
      <c r="Z189"/>
    </row>
    <row r="190" spans="24:31">
      <c r="X190" s="4"/>
      <c r="Y190" s="4"/>
      <c r="Z190"/>
    </row>
    <row r="191" spans="24:31">
      <c r="X191" s="4"/>
      <c r="Y191" s="4"/>
      <c r="Z191"/>
    </row>
    <row r="192" spans="24:31">
      <c r="X192" s="4"/>
      <c r="Y192" s="4"/>
      <c r="Z192"/>
    </row>
    <row r="193" spans="24:26">
      <c r="X193" s="4"/>
      <c r="Y193" s="4"/>
      <c r="Z193"/>
    </row>
    <row r="194" spans="24:26">
      <c r="X194" s="4"/>
      <c r="Y194" s="4"/>
      <c r="Z194"/>
    </row>
    <row r="195" spans="24:26">
      <c r="X195" s="4"/>
      <c r="Y195" s="4"/>
      <c r="Z195"/>
    </row>
    <row r="196" spans="24:26">
      <c r="X196" s="4"/>
      <c r="Y196" s="4"/>
      <c r="Z196"/>
    </row>
    <row r="197" spans="24:26">
      <c r="X197" s="4"/>
      <c r="Y197" s="4"/>
      <c r="Z197"/>
    </row>
    <row r="198" spans="24:26">
      <c r="X198" s="4"/>
      <c r="Y198" s="4"/>
      <c r="Z198"/>
    </row>
    <row r="199" spans="24:26">
      <c r="X199" s="4"/>
      <c r="Y199" s="4"/>
      <c r="Z199"/>
    </row>
    <row r="200" spans="24:26">
      <c r="X200" s="4"/>
      <c r="Y200" s="4"/>
      <c r="Z200"/>
    </row>
    <row r="201" spans="24:26">
      <c r="X201" s="4"/>
      <c r="Y201" s="4"/>
      <c r="Z201"/>
    </row>
    <row r="202" spans="24:26">
      <c r="X202" s="4"/>
      <c r="Y202" s="4"/>
      <c r="Z202"/>
    </row>
    <row r="203" spans="24:26">
      <c r="X203" s="4"/>
      <c r="Y203" s="4"/>
      <c r="Z203"/>
    </row>
    <row r="204" spans="24:26">
      <c r="X204" s="4"/>
      <c r="Y204" s="4"/>
      <c r="Z204"/>
    </row>
    <row r="205" spans="24:26">
      <c r="X205" s="4"/>
      <c r="Y205" s="4"/>
      <c r="Z205"/>
    </row>
    <row r="206" spans="24:26">
      <c r="X206" s="4"/>
      <c r="Y206" s="4"/>
      <c r="Z206"/>
    </row>
    <row r="207" spans="24:26">
      <c r="X207" s="4"/>
      <c r="Y207" s="4"/>
      <c r="Z207"/>
    </row>
    <row r="208" spans="24:26">
      <c r="X208" s="4"/>
      <c r="Y208" s="4"/>
      <c r="Z208"/>
    </row>
    <row r="209" spans="24:26">
      <c r="X209" s="4"/>
      <c r="Y209" s="4"/>
      <c r="Z209"/>
    </row>
    <row r="210" spans="24:26">
      <c r="X210" s="4"/>
      <c r="Y210" s="4"/>
      <c r="Z210"/>
    </row>
    <row r="211" spans="24:26">
      <c r="X211" s="4"/>
      <c r="Y211" s="4"/>
      <c r="Z211"/>
    </row>
    <row r="212" spans="24:26">
      <c r="X212" s="4"/>
      <c r="Y212" s="4"/>
      <c r="Z212"/>
    </row>
    <row r="213" spans="24:26">
      <c r="X213" s="4"/>
      <c r="Y213" s="4"/>
      <c r="Z213"/>
    </row>
    <row r="214" spans="24:26">
      <c r="X214" s="4"/>
      <c r="Y214" s="4"/>
      <c r="Z214"/>
    </row>
    <row r="215" spans="24:26">
      <c r="X215" s="4"/>
      <c r="Y215" s="4"/>
      <c r="Z215"/>
    </row>
    <row r="216" spans="24:26">
      <c r="X216" s="4"/>
      <c r="Y216" s="4"/>
      <c r="Z216"/>
    </row>
    <row r="217" spans="24:26">
      <c r="X217" s="4"/>
      <c r="Y217" s="4"/>
      <c r="Z217"/>
    </row>
    <row r="218" spans="24:26">
      <c r="X218" s="4"/>
      <c r="Y218" s="4"/>
      <c r="Z218"/>
    </row>
    <row r="219" spans="24:26">
      <c r="X219" s="4"/>
      <c r="Y219" s="4"/>
      <c r="Z219"/>
    </row>
    <row r="220" spans="24:26">
      <c r="X220" s="4"/>
      <c r="Y220" s="4"/>
      <c r="Z220"/>
    </row>
    <row r="221" spans="24:26">
      <c r="X221" s="4"/>
      <c r="Y221" s="4"/>
      <c r="Z221"/>
    </row>
    <row r="222" spans="24:26">
      <c r="X222" s="4"/>
      <c r="Y222" s="4"/>
      <c r="Z222"/>
    </row>
    <row r="223" spans="24:26">
      <c r="X223" s="4"/>
      <c r="Y223" s="4"/>
      <c r="Z223"/>
    </row>
    <row r="224" spans="24:26">
      <c r="X224" s="4"/>
      <c r="Y224" s="4"/>
      <c r="Z224"/>
    </row>
    <row r="225" spans="24:26">
      <c r="X225" s="4"/>
      <c r="Y225" s="4"/>
      <c r="Z225"/>
    </row>
    <row r="226" spans="24:26">
      <c r="X226" s="4"/>
      <c r="Y226" s="4"/>
      <c r="Z226"/>
    </row>
    <row r="227" spans="24:26">
      <c r="X227" s="4"/>
      <c r="Y227" s="4"/>
      <c r="Z227"/>
    </row>
    <row r="228" spans="24:26">
      <c r="X228" s="4"/>
      <c r="Y228" s="4"/>
      <c r="Z228"/>
    </row>
    <row r="229" spans="24:26">
      <c r="X229" s="4"/>
      <c r="Y229" s="4"/>
      <c r="Z229"/>
    </row>
    <row r="230" spans="24:26">
      <c r="X230" s="4"/>
      <c r="Y230" s="4"/>
      <c r="Z230"/>
    </row>
    <row r="231" spans="24:26">
      <c r="X231" s="4"/>
      <c r="Y231" s="4"/>
      <c r="Z231"/>
    </row>
    <row r="232" spans="24:26">
      <c r="X232" s="4"/>
      <c r="Y232" s="4"/>
      <c r="Z232"/>
    </row>
    <row r="233" spans="24:26">
      <c r="X233" s="4"/>
      <c r="Y233" s="4"/>
      <c r="Z233"/>
    </row>
    <row r="234" spans="24:26">
      <c r="X234" s="4"/>
      <c r="Y234" s="4"/>
      <c r="Z234"/>
    </row>
    <row r="235" spans="24:26">
      <c r="X235" s="4"/>
      <c r="Y235" s="4"/>
      <c r="Z235"/>
    </row>
    <row r="236" spans="24:26">
      <c r="X236" s="4"/>
      <c r="Y236" s="4"/>
      <c r="Z236"/>
    </row>
    <row r="237" spans="24:26">
      <c r="X237" s="4"/>
      <c r="Y237" s="4"/>
      <c r="Z237"/>
    </row>
    <row r="238" spans="24:26">
      <c r="X238" s="4"/>
      <c r="Y238" s="4"/>
      <c r="Z238"/>
    </row>
    <row r="239" spans="24:26">
      <c r="X239" s="4"/>
      <c r="Y239" s="4"/>
      <c r="Z239"/>
    </row>
    <row r="240" spans="24:26">
      <c r="X240" s="4"/>
      <c r="Y240" s="4"/>
      <c r="Z240"/>
    </row>
    <row r="241" spans="24:26">
      <c r="X241" s="4"/>
      <c r="Y241" s="4"/>
      <c r="Z241"/>
    </row>
    <row r="242" spans="24:26">
      <c r="X242" s="4"/>
      <c r="Y242" s="4"/>
      <c r="Z242"/>
    </row>
    <row r="243" spans="24:26">
      <c r="X243" s="4"/>
      <c r="Y243" s="4"/>
      <c r="Z243"/>
    </row>
    <row r="244" spans="24:26">
      <c r="X244" s="4"/>
      <c r="Y244" s="4"/>
      <c r="Z244"/>
    </row>
    <row r="245" spans="24:26">
      <c r="X245" s="4"/>
      <c r="Y245" s="4"/>
      <c r="Z245"/>
    </row>
    <row r="246" spans="24:26">
      <c r="X246" s="4"/>
      <c r="Y246" s="4"/>
      <c r="Z246"/>
    </row>
    <row r="247" spans="24:26">
      <c r="X247" s="4"/>
      <c r="Y247" s="4"/>
      <c r="Z247"/>
    </row>
    <row r="248" spans="24:26">
      <c r="X248" s="4"/>
      <c r="Y248" s="4"/>
      <c r="Z248"/>
    </row>
    <row r="249" spans="24:26">
      <c r="X249" s="4"/>
      <c r="Y249" s="4"/>
      <c r="Z249"/>
    </row>
    <row r="250" spans="24:26">
      <c r="X250" s="4"/>
      <c r="Y250" s="4"/>
      <c r="Z250"/>
    </row>
    <row r="251" spans="24:26">
      <c r="X251" s="4"/>
      <c r="Y251" s="4"/>
      <c r="Z251"/>
    </row>
    <row r="252" spans="24:26">
      <c r="X252" s="4"/>
      <c r="Y252" s="4"/>
      <c r="Z252"/>
    </row>
    <row r="253" spans="24:26">
      <c r="X253" s="4"/>
      <c r="Y253" s="4"/>
      <c r="Z253"/>
    </row>
    <row r="254" spans="24:26">
      <c r="X254" s="4"/>
      <c r="Y254" s="4"/>
      <c r="Z254"/>
    </row>
    <row r="255" spans="24:26">
      <c r="X255" s="4"/>
      <c r="Y255" s="4"/>
      <c r="Z255"/>
    </row>
    <row r="256" spans="24:26">
      <c r="X256" s="4"/>
      <c r="Y256" s="4"/>
      <c r="Z256"/>
    </row>
    <row r="257" spans="24:26">
      <c r="X257" s="4"/>
      <c r="Y257" s="4"/>
      <c r="Z257"/>
    </row>
    <row r="258" spans="24:26">
      <c r="X258" s="4"/>
      <c r="Y258" s="4"/>
      <c r="Z258"/>
    </row>
    <row r="259" spans="24:26">
      <c r="X259" s="4"/>
      <c r="Y259" s="4"/>
      <c r="Z259"/>
    </row>
    <row r="260" spans="24:26">
      <c r="X260" s="4"/>
      <c r="Y260" s="4"/>
      <c r="Z260"/>
    </row>
    <row r="261" spans="24:26">
      <c r="X261" s="4"/>
      <c r="Y261" s="4"/>
      <c r="Z261"/>
    </row>
    <row r="262" spans="24:26">
      <c r="X262" s="4"/>
      <c r="Y262" s="4"/>
      <c r="Z262"/>
    </row>
    <row r="263" spans="24:26">
      <c r="X263" s="4"/>
      <c r="Y263" s="4"/>
      <c r="Z263"/>
    </row>
    <row r="264" spans="24:26">
      <c r="X264" s="4"/>
      <c r="Y264" s="4"/>
      <c r="Z264"/>
    </row>
    <row r="265" spans="24:26">
      <c r="X265" s="4"/>
      <c r="Y265" s="4"/>
      <c r="Z265"/>
    </row>
    <row r="266" spans="24:26">
      <c r="X266" s="4"/>
      <c r="Y266" s="4"/>
      <c r="Z266"/>
    </row>
    <row r="267" spans="24:26">
      <c r="X267" s="4"/>
      <c r="Y267" s="4"/>
      <c r="Z267"/>
    </row>
    <row r="268" spans="24:26">
      <c r="X268" s="4"/>
      <c r="Y268" s="4"/>
      <c r="Z268"/>
    </row>
    <row r="269" spans="24:26">
      <c r="X269" s="4"/>
      <c r="Y269" s="4"/>
      <c r="Z269"/>
    </row>
    <row r="270" spans="24:26">
      <c r="X270" s="4"/>
      <c r="Y270" s="4"/>
      <c r="Z270"/>
    </row>
    <row r="271" spans="24:26">
      <c r="X271" s="4"/>
      <c r="Y271" s="4"/>
      <c r="Z271"/>
    </row>
    <row r="272" spans="24:26">
      <c r="X272" s="4"/>
      <c r="Y272" s="4"/>
      <c r="Z272"/>
    </row>
    <row r="273" spans="24:26">
      <c r="X273" s="4"/>
      <c r="Y273" s="4"/>
      <c r="Z273"/>
    </row>
    <row r="274" spans="24:26">
      <c r="X274" s="4"/>
      <c r="Y274" s="4"/>
      <c r="Z274"/>
    </row>
    <row r="275" spans="24:26">
      <c r="X275" s="4"/>
      <c r="Y275" s="4"/>
      <c r="Z275"/>
    </row>
    <row r="276" spans="24:26">
      <c r="X276" s="4"/>
      <c r="Y276" s="4"/>
      <c r="Z276"/>
    </row>
    <row r="277" spans="24:26">
      <c r="X277" s="4"/>
      <c r="Y277" s="4"/>
      <c r="Z277"/>
    </row>
    <row r="278" spans="24:26">
      <c r="X278" s="4"/>
      <c r="Y278" s="4"/>
      <c r="Z278"/>
    </row>
    <row r="279" spans="24:26">
      <c r="X279" s="4"/>
      <c r="Y279" s="4"/>
      <c r="Z279"/>
    </row>
    <row r="280" spans="24:26">
      <c r="X280" s="4"/>
      <c r="Y280" s="4"/>
      <c r="Z280"/>
    </row>
    <row r="281" spans="24:26">
      <c r="X281" s="4"/>
      <c r="Y281" s="4"/>
      <c r="Z281"/>
    </row>
    <row r="282" spans="24:26">
      <c r="X282" s="4"/>
      <c r="Y282" s="4"/>
      <c r="Z282"/>
    </row>
    <row r="283" spans="24:26">
      <c r="X283" s="4"/>
      <c r="Y283" s="4"/>
      <c r="Z283"/>
    </row>
    <row r="284" spans="24:26">
      <c r="X284" s="4"/>
      <c r="Y284" s="4"/>
      <c r="Z284"/>
    </row>
    <row r="285" spans="24:26">
      <c r="X285" s="4"/>
      <c r="Y285" s="4"/>
      <c r="Z285"/>
    </row>
    <row r="286" spans="24:26">
      <c r="X286" s="4"/>
      <c r="Y286" s="4"/>
      <c r="Z286"/>
    </row>
    <row r="287" spans="24:26">
      <c r="X287" s="4"/>
      <c r="Y287" s="4"/>
      <c r="Z287"/>
    </row>
    <row r="288" spans="24:26">
      <c r="X288" s="4"/>
      <c r="Y288" s="4"/>
      <c r="Z288"/>
    </row>
    <row r="289" spans="24:26">
      <c r="X289" s="4"/>
      <c r="Y289" s="4"/>
      <c r="Z289"/>
    </row>
    <row r="290" spans="24:26">
      <c r="X290" s="4"/>
      <c r="Y290" s="4"/>
      <c r="Z290"/>
    </row>
    <row r="291" spans="24:26">
      <c r="X291" s="4"/>
      <c r="Y291" s="4"/>
      <c r="Z291"/>
    </row>
    <row r="292" spans="24:26">
      <c r="X292" s="4"/>
      <c r="Y292" s="4"/>
      <c r="Z292"/>
    </row>
    <row r="293" spans="24:26">
      <c r="X293" s="4"/>
      <c r="Y293" s="4"/>
      <c r="Z293"/>
    </row>
    <row r="294" spans="24:26">
      <c r="X294" s="4"/>
      <c r="Y294" s="4"/>
      <c r="Z294"/>
    </row>
    <row r="295" spans="24:26">
      <c r="X295" s="4"/>
      <c r="Y295" s="4"/>
      <c r="Z295"/>
    </row>
    <row r="296" spans="24:26">
      <c r="X296" s="4"/>
      <c r="Y296" s="4"/>
      <c r="Z296"/>
    </row>
    <row r="297" spans="24:26">
      <c r="X297" s="4"/>
      <c r="Y297" s="4"/>
      <c r="Z297"/>
    </row>
    <row r="298" spans="24:26">
      <c r="X298" s="4"/>
      <c r="Y298" s="4"/>
      <c r="Z298"/>
    </row>
    <row r="299" spans="24:26">
      <c r="X299" s="4"/>
      <c r="Y299" s="4"/>
      <c r="Z299"/>
    </row>
    <row r="300" spans="24:26">
      <c r="X300" s="4"/>
      <c r="Y300" s="4"/>
      <c r="Z300"/>
    </row>
    <row r="301" spans="24:26">
      <c r="X301" s="4"/>
      <c r="Y301" s="4"/>
      <c r="Z301"/>
    </row>
    <row r="302" spans="24:26">
      <c r="X302" s="4"/>
      <c r="Y302" s="4"/>
      <c r="Z302"/>
    </row>
    <row r="303" spans="24:26">
      <c r="X303" s="4"/>
      <c r="Y303" s="4"/>
      <c r="Z303"/>
    </row>
    <row r="304" spans="24:26">
      <c r="X304" s="4"/>
      <c r="Y304" s="4"/>
      <c r="Z304"/>
    </row>
    <row r="305" spans="24:26">
      <c r="X305" s="4"/>
      <c r="Y305" s="4"/>
      <c r="Z305"/>
    </row>
    <row r="306" spans="24:26">
      <c r="X306" s="4"/>
      <c r="Y306" s="4"/>
      <c r="Z306"/>
    </row>
    <row r="307" spans="24:26">
      <c r="X307" s="4"/>
      <c r="Y307" s="4"/>
      <c r="Z307"/>
    </row>
    <row r="308" spans="24:26">
      <c r="X308" s="4"/>
      <c r="Y308" s="4"/>
      <c r="Z308"/>
    </row>
    <row r="309" spans="24:26">
      <c r="X309" s="4"/>
      <c r="Y309" s="4"/>
      <c r="Z309"/>
    </row>
    <row r="310" spans="24:26">
      <c r="X310" s="4"/>
      <c r="Y310" s="4"/>
      <c r="Z310"/>
    </row>
    <row r="311" spans="24:26">
      <c r="X311" s="4"/>
      <c r="Y311" s="4"/>
      <c r="Z311"/>
    </row>
    <row r="312" spans="24:26">
      <c r="X312" s="4"/>
      <c r="Y312" s="4"/>
      <c r="Z312"/>
    </row>
    <row r="313" spans="24:26">
      <c r="X313" s="4"/>
      <c r="Y313" s="4"/>
      <c r="Z313"/>
    </row>
    <row r="314" spans="24:26">
      <c r="X314" s="4"/>
      <c r="Y314" s="4"/>
      <c r="Z314"/>
    </row>
    <row r="315" spans="24:26">
      <c r="X315" s="4"/>
      <c r="Y315" s="4"/>
      <c r="Z315"/>
    </row>
    <row r="316" spans="24:26">
      <c r="X316" s="4"/>
      <c r="Y316" s="4"/>
      <c r="Z316"/>
    </row>
    <row r="317" spans="24:26">
      <c r="X317" s="4"/>
      <c r="Y317" s="4"/>
      <c r="Z317"/>
    </row>
    <row r="318" spans="24:26">
      <c r="X318" s="4"/>
      <c r="Y318" s="4"/>
      <c r="Z318"/>
    </row>
    <row r="319" spans="24:26">
      <c r="X319" s="4"/>
      <c r="Y319" s="4"/>
      <c r="Z319"/>
    </row>
    <row r="320" spans="24:26">
      <c r="X320" s="4"/>
      <c r="Y320" s="4"/>
      <c r="Z320"/>
    </row>
    <row r="321" spans="24:26">
      <c r="X321" s="4"/>
      <c r="Y321" s="4"/>
      <c r="Z321"/>
    </row>
    <row r="322" spans="24:26">
      <c r="X322" s="4"/>
      <c r="Y322" s="4"/>
      <c r="Z322"/>
    </row>
    <row r="323" spans="24:26">
      <c r="X323" s="4"/>
      <c r="Y323" s="4"/>
      <c r="Z323"/>
    </row>
    <row r="324" spans="24:26">
      <c r="X324" s="4"/>
      <c r="Y324" s="4"/>
      <c r="Z324"/>
    </row>
    <row r="325" spans="24:26">
      <c r="X325" s="4"/>
      <c r="Y325" s="4"/>
      <c r="Z325"/>
    </row>
    <row r="326" spans="24:26">
      <c r="X326" s="4"/>
      <c r="Y326" s="4"/>
      <c r="Z326"/>
    </row>
    <row r="327" spans="24:26">
      <c r="X327" s="4"/>
      <c r="Y327" s="4"/>
      <c r="Z327"/>
    </row>
    <row r="328" spans="24:26">
      <c r="X328" s="4"/>
      <c r="Y328" s="4"/>
      <c r="Z328"/>
    </row>
    <row r="329" spans="24:26">
      <c r="X329" s="4"/>
      <c r="Y329" s="4"/>
      <c r="Z329"/>
    </row>
    <row r="330" spans="24:26">
      <c r="X330" s="4"/>
      <c r="Y330" s="4"/>
      <c r="Z330"/>
    </row>
    <row r="331" spans="24:26">
      <c r="X331" s="4"/>
      <c r="Y331" s="4"/>
      <c r="Z331"/>
    </row>
    <row r="332" spans="24:26">
      <c r="X332" s="4"/>
      <c r="Y332" s="4"/>
      <c r="Z332"/>
    </row>
    <row r="333" spans="24:26">
      <c r="X333" s="4"/>
      <c r="Y333" s="4"/>
      <c r="Z333"/>
    </row>
    <row r="334" spans="24:26">
      <c r="X334" s="4"/>
      <c r="Y334" s="4"/>
      <c r="Z334"/>
    </row>
    <row r="335" spans="24:26">
      <c r="X335" s="4"/>
      <c r="Y335" s="4"/>
      <c r="Z335"/>
    </row>
    <row r="336" spans="24:26">
      <c r="X336" s="4"/>
      <c r="Y336" s="4"/>
      <c r="Z336"/>
    </row>
    <row r="337" spans="24:26">
      <c r="X337" s="4"/>
      <c r="Y337" s="4"/>
      <c r="Z337"/>
    </row>
    <row r="338" spans="24:26">
      <c r="X338" s="4"/>
      <c r="Y338" s="4"/>
      <c r="Z338"/>
    </row>
    <row r="339" spans="24:26">
      <c r="X339" s="4"/>
      <c r="Y339" s="4"/>
      <c r="Z339"/>
    </row>
    <row r="340" spans="24:26">
      <c r="X340" s="4"/>
      <c r="Y340" s="4"/>
      <c r="Z340"/>
    </row>
    <row r="341" spans="24:26">
      <c r="X341" s="4"/>
      <c r="Y341" s="4"/>
      <c r="Z341"/>
    </row>
    <row r="342" spans="24:26">
      <c r="X342" s="4"/>
      <c r="Y342" s="4"/>
      <c r="Z342"/>
    </row>
    <row r="343" spans="24:26">
      <c r="X343" s="4"/>
      <c r="Y343" s="4"/>
      <c r="Z343"/>
    </row>
    <row r="344" spans="24:26">
      <c r="X344" s="4"/>
      <c r="Y344" s="4"/>
      <c r="Z344"/>
    </row>
    <row r="345" spans="24:26">
      <c r="X345" s="4"/>
      <c r="Y345" s="4"/>
      <c r="Z345"/>
    </row>
    <row r="346" spans="24:26">
      <c r="X346" s="4"/>
      <c r="Y346" s="4"/>
      <c r="Z346"/>
    </row>
    <row r="347" spans="24:26">
      <c r="X347" s="4"/>
      <c r="Y347" s="4"/>
      <c r="Z347"/>
    </row>
    <row r="348" spans="24:26">
      <c r="X348" s="4"/>
      <c r="Y348" s="4"/>
      <c r="Z348"/>
    </row>
    <row r="349" spans="24:26">
      <c r="X349" s="4"/>
      <c r="Y349" s="4"/>
      <c r="Z349"/>
    </row>
    <row r="350" spans="24:26">
      <c r="X350" s="4"/>
      <c r="Y350" s="4"/>
      <c r="Z350"/>
    </row>
    <row r="351" spans="24:26">
      <c r="X351" s="4"/>
      <c r="Y351" s="4"/>
      <c r="Z351"/>
    </row>
    <row r="352" spans="24:26">
      <c r="X352" s="4"/>
      <c r="Y352" s="4"/>
      <c r="Z352"/>
    </row>
    <row r="353" spans="24:26">
      <c r="X353" s="4"/>
      <c r="Y353" s="4"/>
      <c r="Z353"/>
    </row>
    <row r="354" spans="24:26">
      <c r="X354" s="4"/>
      <c r="Y354" s="4"/>
      <c r="Z354"/>
    </row>
    <row r="355" spans="24:26">
      <c r="X355" s="4"/>
      <c r="Y355" s="4"/>
      <c r="Z355"/>
    </row>
    <row r="356" spans="24:26">
      <c r="X356" s="4"/>
      <c r="Y356" s="4"/>
      <c r="Z356"/>
    </row>
    <row r="357" spans="24:26">
      <c r="X357" s="4"/>
      <c r="Y357" s="4"/>
      <c r="Z357"/>
    </row>
    <row r="358" spans="24:26">
      <c r="X358" s="4"/>
      <c r="Y358" s="4"/>
      <c r="Z358"/>
    </row>
    <row r="359" spans="24:26">
      <c r="X359" s="4"/>
      <c r="Y359" s="4"/>
      <c r="Z359"/>
    </row>
    <row r="360" spans="24:26">
      <c r="X360" s="4"/>
      <c r="Y360" s="4"/>
      <c r="Z360"/>
    </row>
    <row r="361" spans="24:26">
      <c r="X361" s="4"/>
      <c r="Y361" s="4"/>
      <c r="Z361"/>
    </row>
    <row r="362" spans="24:26">
      <c r="X362" s="4"/>
      <c r="Y362" s="4"/>
      <c r="Z362"/>
    </row>
    <row r="363" spans="24:26">
      <c r="X363" s="4"/>
      <c r="Y363" s="4"/>
      <c r="Z363"/>
    </row>
    <row r="364" spans="24:26">
      <c r="X364" s="4"/>
      <c r="Y364" s="4"/>
      <c r="Z364"/>
    </row>
    <row r="365" spans="24:26">
      <c r="X365" s="4"/>
      <c r="Y365" s="4"/>
      <c r="Z365"/>
    </row>
    <row r="366" spans="24:26">
      <c r="X366" s="4"/>
      <c r="Y366" s="4"/>
      <c r="Z366"/>
    </row>
    <row r="367" spans="24:26">
      <c r="X367" s="4"/>
      <c r="Y367" s="4"/>
      <c r="Z367"/>
    </row>
    <row r="368" spans="24:26">
      <c r="X368" s="4"/>
      <c r="Y368" s="4"/>
      <c r="Z368"/>
    </row>
    <row r="369" spans="24:26">
      <c r="X369" s="4"/>
      <c r="Y369" s="4"/>
      <c r="Z369"/>
    </row>
    <row r="370" spans="24:26">
      <c r="X370" s="4"/>
      <c r="Y370" s="4"/>
      <c r="Z370"/>
    </row>
    <row r="371" spans="24:26">
      <c r="X371" s="4"/>
      <c r="Y371" s="4"/>
      <c r="Z371"/>
    </row>
    <row r="372" spans="24:26">
      <c r="X372" s="4"/>
      <c r="Y372" s="4"/>
      <c r="Z372"/>
    </row>
    <row r="373" spans="24:26">
      <c r="X373" s="4"/>
      <c r="Y373" s="4"/>
      <c r="Z373"/>
    </row>
    <row r="374" spans="24:26">
      <c r="X374" s="4"/>
      <c r="Y374" s="4"/>
      <c r="Z374"/>
    </row>
    <row r="375" spans="24:26">
      <c r="X375" s="4"/>
      <c r="Y375" s="4"/>
      <c r="Z375"/>
    </row>
    <row r="376" spans="24:26">
      <c r="X376" s="4"/>
      <c r="Y376" s="4"/>
      <c r="Z376"/>
    </row>
    <row r="377" spans="24:26">
      <c r="X377" s="4"/>
      <c r="Y377" s="4"/>
      <c r="Z377"/>
    </row>
    <row r="378" spans="24:26">
      <c r="X378" s="4"/>
      <c r="Y378" s="4"/>
      <c r="Z378"/>
    </row>
    <row r="379" spans="24:26">
      <c r="X379" s="4"/>
      <c r="Y379" s="4"/>
      <c r="Z379"/>
    </row>
    <row r="380" spans="24:26">
      <c r="X380" s="4"/>
      <c r="Y380" s="4"/>
      <c r="Z380"/>
    </row>
    <row r="381" spans="24:26">
      <c r="X381" s="4"/>
      <c r="Y381" s="4"/>
      <c r="Z381"/>
    </row>
    <row r="382" spans="24:26">
      <c r="X382" s="4"/>
      <c r="Y382" s="4"/>
      <c r="Z382"/>
    </row>
    <row r="383" spans="24:26">
      <c r="X383" s="4"/>
      <c r="Y383" s="4"/>
      <c r="Z383"/>
    </row>
    <row r="384" spans="24:26">
      <c r="X384" s="4"/>
      <c r="Y384" s="4"/>
      <c r="Z384"/>
    </row>
    <row r="385" spans="24:26">
      <c r="X385" s="4"/>
      <c r="Y385" s="4"/>
      <c r="Z385"/>
    </row>
    <row r="386" spans="24:26">
      <c r="X386" s="4"/>
      <c r="Y386" s="4"/>
      <c r="Z386"/>
    </row>
    <row r="387" spans="24:26">
      <c r="X387" s="4"/>
      <c r="Y387" s="4"/>
      <c r="Z387"/>
    </row>
    <row r="388" spans="24:26">
      <c r="X388" s="4"/>
      <c r="Y388" s="4"/>
      <c r="Z388"/>
    </row>
    <row r="389" spans="24:26">
      <c r="X389" s="4"/>
      <c r="Y389" s="4"/>
      <c r="Z389"/>
    </row>
    <row r="390" spans="24:26">
      <c r="X390" s="4"/>
      <c r="Y390" s="4"/>
      <c r="Z390"/>
    </row>
    <row r="391" spans="24:26">
      <c r="X391" s="4"/>
      <c r="Y391" s="4"/>
      <c r="Z391"/>
    </row>
    <row r="392" spans="24:26">
      <c r="X392" s="4"/>
      <c r="Y392" s="4"/>
      <c r="Z392"/>
    </row>
    <row r="393" spans="24:26">
      <c r="X393" s="4"/>
      <c r="Y393" s="4"/>
      <c r="Z393"/>
    </row>
    <row r="394" spans="24:26">
      <c r="X394" s="4"/>
      <c r="Y394" s="4"/>
      <c r="Z394"/>
    </row>
    <row r="395" spans="24:26">
      <c r="X395" s="4"/>
      <c r="Y395" s="4"/>
      <c r="Z395"/>
    </row>
    <row r="396" spans="24:26">
      <c r="X396" s="4"/>
      <c r="Y396" s="4"/>
      <c r="Z396"/>
    </row>
    <row r="397" spans="24:26">
      <c r="X397" s="4"/>
      <c r="Y397" s="4"/>
      <c r="Z397"/>
    </row>
    <row r="398" spans="24:26">
      <c r="X398" s="4"/>
      <c r="Y398" s="4"/>
      <c r="Z398"/>
    </row>
    <row r="399" spans="24:26">
      <c r="X399" s="4"/>
      <c r="Y399" s="4"/>
      <c r="Z399"/>
    </row>
    <row r="400" spans="24:26">
      <c r="X400" s="4"/>
      <c r="Y400" s="4"/>
      <c r="Z400"/>
    </row>
    <row r="401" spans="24:26">
      <c r="X401" s="4"/>
      <c r="Y401" s="4"/>
      <c r="Z401"/>
    </row>
    <row r="402" spans="24:26">
      <c r="X402" s="4"/>
      <c r="Y402" s="4"/>
      <c r="Z402"/>
    </row>
    <row r="403" spans="24:26">
      <c r="X403" s="4"/>
      <c r="Y403" s="4"/>
      <c r="Z403"/>
    </row>
    <row r="404" spans="24:26">
      <c r="X404" s="4"/>
      <c r="Y404" s="4"/>
      <c r="Z404"/>
    </row>
    <row r="405" spans="24:26">
      <c r="X405" s="4"/>
      <c r="Y405" s="4"/>
      <c r="Z405"/>
    </row>
    <row r="406" spans="24:26">
      <c r="X406" s="4"/>
      <c r="Y406" s="4"/>
      <c r="Z406"/>
    </row>
    <row r="407" spans="24:26">
      <c r="X407" s="4"/>
      <c r="Y407" s="4"/>
      <c r="Z407"/>
    </row>
    <row r="408" spans="24:26">
      <c r="X408" s="4"/>
      <c r="Y408" s="4"/>
      <c r="Z408"/>
    </row>
    <row r="409" spans="24:26">
      <c r="X409" s="4"/>
      <c r="Y409" s="4"/>
      <c r="Z409"/>
    </row>
    <row r="410" spans="24:26">
      <c r="X410" s="4"/>
      <c r="Y410" s="4"/>
      <c r="Z410"/>
    </row>
    <row r="411" spans="24:26">
      <c r="X411" s="4"/>
      <c r="Y411" s="4"/>
      <c r="Z411"/>
    </row>
    <row r="412" spans="24:26">
      <c r="X412" s="4"/>
      <c r="Y412" s="4"/>
      <c r="Z412"/>
    </row>
    <row r="413" spans="24:26">
      <c r="X413" s="4"/>
      <c r="Y413" s="4"/>
      <c r="Z413"/>
    </row>
    <row r="414" spans="24:26">
      <c r="X414" s="4"/>
      <c r="Y414" s="4"/>
      <c r="Z414"/>
    </row>
    <row r="415" spans="24:26">
      <c r="X415" s="4"/>
      <c r="Y415" s="4"/>
      <c r="Z415"/>
    </row>
    <row r="416" spans="24:26">
      <c r="X416" s="4"/>
      <c r="Y416" s="4"/>
      <c r="Z416"/>
    </row>
    <row r="417" spans="24:26">
      <c r="X417" s="4"/>
      <c r="Y417" s="4"/>
      <c r="Z417"/>
    </row>
    <row r="418" spans="24:26">
      <c r="X418" s="4"/>
      <c r="Y418" s="4"/>
      <c r="Z418"/>
    </row>
    <row r="419" spans="24:26">
      <c r="X419" s="4"/>
      <c r="Y419" s="4"/>
      <c r="Z419"/>
    </row>
    <row r="420" spans="24:26">
      <c r="X420" s="4"/>
      <c r="Y420" s="4"/>
      <c r="Z420"/>
    </row>
    <row r="421" spans="24:26">
      <c r="X421" s="4"/>
      <c r="Y421" s="4"/>
      <c r="Z421"/>
    </row>
    <row r="422" spans="24:26">
      <c r="X422" s="4"/>
      <c r="Y422" s="4"/>
      <c r="Z422"/>
    </row>
    <row r="423" spans="24:26">
      <c r="X423" s="4"/>
      <c r="Y423" s="4"/>
      <c r="Z423"/>
    </row>
    <row r="424" spans="24:26">
      <c r="X424" s="4"/>
      <c r="Y424" s="4"/>
      <c r="Z424"/>
    </row>
    <row r="425" spans="24:26">
      <c r="X425" s="4"/>
      <c r="Y425" s="4"/>
      <c r="Z425"/>
    </row>
    <row r="426" spans="24:26">
      <c r="X426" s="4"/>
      <c r="Y426" s="4"/>
      <c r="Z426"/>
    </row>
    <row r="427" spans="24:26">
      <c r="X427" s="4"/>
      <c r="Y427" s="4"/>
      <c r="Z427"/>
    </row>
    <row r="428" spans="24:26">
      <c r="X428" s="4"/>
      <c r="Y428" s="4"/>
      <c r="Z428"/>
    </row>
    <row r="429" spans="24:26">
      <c r="X429" s="4"/>
      <c r="Y429" s="4"/>
      <c r="Z429"/>
    </row>
    <row r="430" spans="24:26">
      <c r="X430" s="4"/>
      <c r="Y430" s="4"/>
      <c r="Z430"/>
    </row>
    <row r="431" spans="24:26">
      <c r="X431" s="4"/>
      <c r="Y431" s="4"/>
      <c r="Z431"/>
    </row>
    <row r="432" spans="24:26">
      <c r="X432" s="4"/>
      <c r="Y432" s="4"/>
      <c r="Z432"/>
    </row>
    <row r="433" spans="24:26">
      <c r="X433" s="4"/>
      <c r="Y433" s="4"/>
      <c r="Z433"/>
    </row>
    <row r="434" spans="24:26">
      <c r="X434" s="4"/>
      <c r="Y434" s="4"/>
      <c r="Z434"/>
    </row>
    <row r="435" spans="24:26">
      <c r="X435" s="4"/>
      <c r="Y435" s="4"/>
      <c r="Z435"/>
    </row>
    <row r="436" spans="24:26">
      <c r="X436" s="4"/>
      <c r="Y436" s="4"/>
      <c r="Z436"/>
    </row>
    <row r="437" spans="24:26">
      <c r="X437" s="4"/>
      <c r="Y437" s="4"/>
      <c r="Z437"/>
    </row>
    <row r="438" spans="24:26">
      <c r="X438" s="4"/>
      <c r="Y438" s="4"/>
      <c r="Z438"/>
    </row>
    <row r="439" spans="24:26">
      <c r="X439" s="4"/>
      <c r="Y439" s="4"/>
      <c r="Z439"/>
    </row>
    <row r="440" spans="24:26">
      <c r="X440" s="4"/>
      <c r="Y440" s="4"/>
      <c r="Z440"/>
    </row>
    <row r="441" spans="24:26">
      <c r="X441" s="4"/>
      <c r="Y441" s="4"/>
      <c r="Z441"/>
    </row>
    <row r="442" spans="24:26">
      <c r="X442" s="4"/>
      <c r="Y442" s="4"/>
      <c r="Z442"/>
    </row>
    <row r="443" spans="24:26">
      <c r="X443" s="4"/>
      <c r="Y443" s="4"/>
      <c r="Z443"/>
    </row>
    <row r="444" spans="24:26">
      <c r="X444" s="4"/>
      <c r="Y444" s="4"/>
      <c r="Z444"/>
    </row>
    <row r="445" spans="24:26">
      <c r="X445" s="4"/>
      <c r="Y445" s="4"/>
      <c r="Z445"/>
    </row>
    <row r="446" spans="24:26">
      <c r="X446" s="4"/>
      <c r="Y446" s="4"/>
      <c r="Z446"/>
    </row>
    <row r="447" spans="24:26">
      <c r="X447" s="4"/>
      <c r="Y447" s="4"/>
      <c r="Z447"/>
    </row>
    <row r="448" spans="24:26">
      <c r="X448" s="4"/>
      <c r="Y448" s="4"/>
      <c r="Z448"/>
    </row>
    <row r="449" spans="24:26">
      <c r="X449" s="4"/>
      <c r="Y449" s="4"/>
      <c r="Z449"/>
    </row>
    <row r="450" spans="24:26">
      <c r="X450" s="4"/>
      <c r="Y450" s="4"/>
      <c r="Z450"/>
    </row>
    <row r="451" spans="24:26">
      <c r="X451" s="4"/>
      <c r="Y451" s="4"/>
      <c r="Z451"/>
    </row>
    <row r="452" spans="24:26">
      <c r="X452" s="4"/>
      <c r="Y452" s="4"/>
      <c r="Z452"/>
    </row>
    <row r="453" spans="24:26">
      <c r="X453" s="4"/>
      <c r="Y453" s="4"/>
      <c r="Z453"/>
    </row>
    <row r="454" spans="24:26">
      <c r="X454" s="4"/>
      <c r="Y454" s="4"/>
      <c r="Z454"/>
    </row>
    <row r="455" spans="24:26">
      <c r="X455" s="4"/>
      <c r="Y455" s="4"/>
      <c r="Z455"/>
    </row>
    <row r="456" spans="24:26">
      <c r="X456" s="4"/>
      <c r="Y456" s="4"/>
      <c r="Z456"/>
    </row>
    <row r="457" spans="24:26">
      <c r="X457" s="4"/>
      <c r="Y457" s="4"/>
      <c r="Z457"/>
    </row>
    <row r="458" spans="24:26">
      <c r="X458" s="4"/>
      <c r="Y458" s="4"/>
      <c r="Z458"/>
    </row>
    <row r="459" spans="24:26">
      <c r="X459" s="4"/>
      <c r="Y459" s="4"/>
      <c r="Z459"/>
    </row>
    <row r="460" spans="24:26">
      <c r="X460" s="4"/>
      <c r="Y460" s="4"/>
      <c r="Z460"/>
    </row>
    <row r="461" spans="24:26">
      <c r="X461" s="4"/>
      <c r="Y461" s="4"/>
      <c r="Z461"/>
    </row>
    <row r="462" spans="24:26">
      <c r="X462" s="4"/>
      <c r="Y462" s="4"/>
      <c r="Z462"/>
    </row>
    <row r="463" spans="24:26">
      <c r="X463" s="4"/>
      <c r="Y463" s="4"/>
      <c r="Z463"/>
    </row>
    <row r="464" spans="24:26">
      <c r="X464" s="4"/>
      <c r="Y464" s="4"/>
      <c r="Z464"/>
    </row>
    <row r="465" spans="24:26">
      <c r="X465" s="4"/>
      <c r="Y465" s="4"/>
      <c r="Z465"/>
    </row>
    <row r="466" spans="24:26">
      <c r="X466" s="4"/>
      <c r="Y466" s="4"/>
      <c r="Z466"/>
    </row>
    <row r="467" spans="24:26">
      <c r="X467" s="4"/>
      <c r="Y467" s="4"/>
      <c r="Z467"/>
    </row>
    <row r="468" spans="24:26">
      <c r="X468" s="4"/>
      <c r="Y468" s="4"/>
      <c r="Z468"/>
    </row>
    <row r="469" spans="24:26">
      <c r="X469" s="4"/>
      <c r="Y469" s="4"/>
      <c r="Z469"/>
    </row>
    <row r="470" spans="24:26">
      <c r="X470" s="4"/>
      <c r="Y470" s="4"/>
      <c r="Z470"/>
    </row>
    <row r="471" spans="24:26">
      <c r="X471" s="4"/>
      <c r="Y471" s="4"/>
      <c r="Z471"/>
    </row>
    <row r="472" spans="24:26">
      <c r="X472" s="4"/>
      <c r="Y472" s="4"/>
      <c r="Z472"/>
    </row>
    <row r="473" spans="24:26">
      <c r="X473" s="4"/>
      <c r="Y473" s="4"/>
      <c r="Z473"/>
    </row>
    <row r="474" spans="24:26">
      <c r="X474" s="4"/>
      <c r="Y474" s="4"/>
      <c r="Z474"/>
    </row>
    <row r="475" spans="24:26">
      <c r="X475" s="4"/>
      <c r="Y475" s="4"/>
      <c r="Z475"/>
    </row>
    <row r="476" spans="24:26">
      <c r="X476" s="4"/>
      <c r="Y476" s="4"/>
      <c r="Z476"/>
    </row>
    <row r="477" spans="24:26">
      <c r="X477" s="4"/>
      <c r="Y477" s="4"/>
      <c r="Z477"/>
    </row>
    <row r="478" spans="24:26">
      <c r="X478" s="4"/>
      <c r="Y478" s="4"/>
      <c r="Z478"/>
    </row>
    <row r="479" spans="24:26">
      <c r="X479" s="4"/>
      <c r="Y479" s="4"/>
      <c r="Z479"/>
    </row>
    <row r="480" spans="24:26">
      <c r="X480" s="4"/>
      <c r="Y480" s="4"/>
      <c r="Z480"/>
    </row>
    <row r="481" spans="24:26">
      <c r="X481" s="4"/>
      <c r="Y481" s="4"/>
      <c r="Z481"/>
    </row>
    <row r="482" spans="24:26">
      <c r="X482" s="4"/>
      <c r="Y482" s="4"/>
      <c r="Z482"/>
    </row>
    <row r="483" spans="24:26">
      <c r="X483" s="4"/>
      <c r="Y483" s="4"/>
      <c r="Z483"/>
    </row>
    <row r="484" spans="24:26">
      <c r="X484" s="4"/>
      <c r="Y484" s="4"/>
      <c r="Z484"/>
    </row>
    <row r="485" spans="24:26">
      <c r="X485" s="4"/>
      <c r="Y485" s="4"/>
      <c r="Z485"/>
    </row>
    <row r="486" spans="24:26">
      <c r="X486" s="4"/>
      <c r="Y486" s="4"/>
      <c r="Z486"/>
    </row>
    <row r="487" spans="24:26">
      <c r="X487" s="4"/>
      <c r="Y487" s="4"/>
      <c r="Z487"/>
    </row>
    <row r="488" spans="24:26">
      <c r="X488" s="4"/>
      <c r="Y488" s="4"/>
      <c r="Z488"/>
    </row>
    <row r="489" spans="24:26">
      <c r="X489" s="4"/>
      <c r="Y489" s="4"/>
      <c r="Z489"/>
    </row>
    <row r="490" spans="24:26">
      <c r="X490" s="4"/>
      <c r="Y490" s="4"/>
      <c r="Z490"/>
    </row>
    <row r="491" spans="24:26">
      <c r="X491" s="4"/>
      <c r="Y491" s="4"/>
      <c r="Z491"/>
    </row>
    <row r="492" spans="24:26">
      <c r="X492" s="4"/>
      <c r="Y492" s="4"/>
      <c r="Z492"/>
    </row>
    <row r="493" spans="24:26">
      <c r="X493" s="4"/>
      <c r="Y493" s="4"/>
      <c r="Z493"/>
    </row>
    <row r="494" spans="24:26">
      <c r="X494" s="4"/>
      <c r="Y494" s="4"/>
      <c r="Z494"/>
    </row>
    <row r="495" spans="24:26">
      <c r="X495" s="4"/>
      <c r="Y495" s="4"/>
      <c r="Z495"/>
    </row>
    <row r="496" spans="24:26">
      <c r="X496" s="4"/>
      <c r="Y496" s="4"/>
      <c r="Z496"/>
    </row>
    <row r="497" spans="24:26">
      <c r="X497" s="4"/>
      <c r="Y497" s="4"/>
      <c r="Z497"/>
    </row>
    <row r="498" spans="24:26">
      <c r="X498" s="4"/>
      <c r="Y498" s="4"/>
      <c r="Z498"/>
    </row>
    <row r="499" spans="24:26">
      <c r="X499" s="4"/>
      <c r="Y499" s="4"/>
      <c r="Z499"/>
    </row>
    <row r="500" spans="24:26">
      <c r="X500" s="4"/>
      <c r="Y500" s="4"/>
      <c r="Z500"/>
    </row>
    <row r="501" spans="24:26">
      <c r="X501" s="4"/>
      <c r="Y501" s="4"/>
      <c r="Z501"/>
    </row>
    <row r="502" spans="24:26">
      <c r="X502" s="4"/>
      <c r="Y502" s="4"/>
      <c r="Z502"/>
    </row>
    <row r="503" spans="24:26">
      <c r="X503" s="4"/>
      <c r="Y503" s="4"/>
      <c r="Z503"/>
    </row>
    <row r="504" spans="24:26">
      <c r="X504" s="4"/>
      <c r="Y504" s="4"/>
      <c r="Z504"/>
    </row>
    <row r="505" spans="24:26">
      <c r="X505" s="4"/>
      <c r="Y505" s="4"/>
      <c r="Z505"/>
    </row>
    <row r="506" spans="24:26">
      <c r="X506" s="4"/>
      <c r="Y506" s="4"/>
      <c r="Z506"/>
    </row>
    <row r="507" spans="24:26">
      <c r="X507" s="4"/>
      <c r="Y507" s="4"/>
      <c r="Z507"/>
    </row>
    <row r="508" spans="24:26">
      <c r="X508" s="4"/>
      <c r="Y508" s="4"/>
      <c r="Z508"/>
    </row>
    <row r="509" spans="24:26">
      <c r="X509" s="4"/>
      <c r="Y509" s="4"/>
      <c r="Z509"/>
    </row>
    <row r="510" spans="24:26">
      <c r="X510" s="4"/>
      <c r="Y510" s="4"/>
      <c r="Z510"/>
    </row>
    <row r="511" spans="24:26">
      <c r="X511" s="4"/>
      <c r="Y511" s="4"/>
      <c r="Z511"/>
    </row>
    <row r="512" spans="24:26">
      <c r="X512" s="4"/>
      <c r="Y512" s="4"/>
      <c r="Z512"/>
    </row>
    <row r="513" spans="24:26">
      <c r="X513" s="4"/>
      <c r="Y513" s="4"/>
      <c r="Z513"/>
    </row>
    <row r="514" spans="24:26">
      <c r="X514" s="4"/>
      <c r="Y514" s="4"/>
      <c r="Z514"/>
    </row>
    <row r="515" spans="24:26">
      <c r="X515" s="4"/>
      <c r="Y515" s="4"/>
      <c r="Z515"/>
    </row>
    <row r="516" spans="24:26">
      <c r="X516" s="4"/>
      <c r="Y516" s="4"/>
      <c r="Z516"/>
    </row>
    <row r="517" spans="24:26">
      <c r="X517" s="4"/>
      <c r="Y517" s="4"/>
      <c r="Z517"/>
    </row>
    <row r="518" spans="24:26">
      <c r="X518" s="4"/>
      <c r="Y518" s="4"/>
      <c r="Z518"/>
    </row>
    <row r="519" spans="24:26">
      <c r="X519" s="4"/>
      <c r="Y519" s="4"/>
      <c r="Z519"/>
    </row>
    <row r="520" spans="24:26">
      <c r="X520" s="4"/>
      <c r="Y520" s="4"/>
      <c r="Z520"/>
    </row>
    <row r="521" spans="24:26">
      <c r="X521" s="4"/>
      <c r="Y521" s="4"/>
      <c r="Z521"/>
    </row>
    <row r="522" spans="24:26">
      <c r="X522" s="4"/>
      <c r="Y522" s="4"/>
      <c r="Z522"/>
    </row>
    <row r="523" spans="24:26">
      <c r="X523" s="4"/>
      <c r="Y523" s="4"/>
      <c r="Z523"/>
    </row>
    <row r="524" spans="24:26">
      <c r="X524" s="4"/>
      <c r="Y524" s="4"/>
      <c r="Z524"/>
    </row>
    <row r="525" spans="24:26">
      <c r="X525" s="4"/>
      <c r="Y525" s="4"/>
      <c r="Z525"/>
    </row>
    <row r="526" spans="24:26">
      <c r="X526" s="4"/>
      <c r="Y526" s="4"/>
      <c r="Z526"/>
    </row>
    <row r="527" spans="24:26">
      <c r="X527" s="4"/>
      <c r="Y527" s="4"/>
      <c r="Z527"/>
    </row>
    <row r="528" spans="24:26">
      <c r="X528" s="4"/>
      <c r="Y528" s="4"/>
      <c r="Z528"/>
    </row>
    <row r="529" spans="24:26">
      <c r="X529" s="4"/>
      <c r="Y529" s="4"/>
      <c r="Z529"/>
    </row>
    <row r="530" spans="24:26">
      <c r="X530" s="4"/>
      <c r="Y530" s="4"/>
      <c r="Z530"/>
    </row>
    <row r="531" spans="24:26">
      <c r="X531" s="4"/>
      <c r="Y531" s="4"/>
      <c r="Z531"/>
    </row>
    <row r="532" spans="24:26">
      <c r="X532" s="4"/>
      <c r="Y532" s="4"/>
      <c r="Z532"/>
    </row>
    <row r="533" spans="24:26">
      <c r="X533" s="4"/>
      <c r="Y533" s="4"/>
      <c r="Z533"/>
    </row>
    <row r="534" spans="24:26">
      <c r="X534" s="4"/>
      <c r="Y534" s="4"/>
      <c r="Z534"/>
    </row>
    <row r="535" spans="24:26">
      <c r="X535" s="4"/>
      <c r="Y535" s="4"/>
      <c r="Z535"/>
    </row>
    <row r="536" spans="24:26">
      <c r="X536" s="4"/>
      <c r="Y536" s="4"/>
      <c r="Z536"/>
    </row>
    <row r="537" spans="24:26">
      <c r="X537" s="4"/>
      <c r="Y537" s="4"/>
      <c r="Z537"/>
    </row>
    <row r="538" spans="24:26">
      <c r="X538" s="4"/>
      <c r="Y538" s="4"/>
      <c r="Z538"/>
    </row>
    <row r="539" spans="24:26">
      <c r="X539" s="4"/>
      <c r="Y539" s="4"/>
      <c r="Z539"/>
    </row>
    <row r="540" spans="24:26">
      <c r="X540" s="4"/>
      <c r="Y540" s="4"/>
      <c r="Z540"/>
    </row>
    <row r="541" spans="24:26">
      <c r="X541" s="4"/>
      <c r="Y541" s="4"/>
      <c r="Z541"/>
    </row>
    <row r="542" spans="24:26">
      <c r="X542" s="4"/>
      <c r="Y542" s="4"/>
      <c r="Z542"/>
    </row>
    <row r="543" spans="24:26">
      <c r="X543" s="4"/>
      <c r="Y543" s="4"/>
      <c r="Z543"/>
    </row>
    <row r="544" spans="24:26">
      <c r="X544" s="4"/>
      <c r="Y544" s="4"/>
      <c r="Z544"/>
    </row>
    <row r="545" spans="24:26">
      <c r="X545" s="4"/>
      <c r="Y545" s="4"/>
      <c r="Z545"/>
    </row>
    <row r="546" spans="24:26">
      <c r="X546" s="4"/>
      <c r="Y546" s="4"/>
      <c r="Z546"/>
    </row>
    <row r="547" spans="24:26">
      <c r="X547" s="4"/>
      <c r="Y547" s="4"/>
      <c r="Z547"/>
    </row>
    <row r="548" spans="24:26">
      <c r="X548" s="4"/>
      <c r="Y548" s="4"/>
      <c r="Z548"/>
    </row>
    <row r="549" spans="24:26">
      <c r="X549" s="4"/>
      <c r="Y549" s="4"/>
      <c r="Z549"/>
    </row>
    <row r="550" spans="24:26">
      <c r="X550" s="4"/>
      <c r="Y550" s="4"/>
      <c r="Z550"/>
    </row>
    <row r="551" spans="24:26">
      <c r="X551" s="4"/>
      <c r="Y551" s="4"/>
      <c r="Z551"/>
    </row>
    <row r="552" spans="24:26">
      <c r="X552" s="4"/>
      <c r="Y552" s="4"/>
      <c r="Z552"/>
    </row>
    <row r="553" spans="24:26">
      <c r="X553" s="4"/>
      <c r="Y553" s="4"/>
      <c r="Z553"/>
    </row>
    <row r="554" spans="24:26">
      <c r="X554" s="4"/>
      <c r="Y554" s="4"/>
      <c r="Z554"/>
    </row>
    <row r="555" spans="24:26">
      <c r="X555" s="4"/>
      <c r="Y555" s="4"/>
      <c r="Z555"/>
    </row>
    <row r="556" spans="24:26">
      <c r="X556" s="4"/>
      <c r="Y556" s="4"/>
      <c r="Z556"/>
    </row>
    <row r="557" spans="24:26">
      <c r="X557" s="4"/>
      <c r="Y557" s="4"/>
      <c r="Z557"/>
    </row>
    <row r="558" spans="24:26">
      <c r="X558" s="4"/>
      <c r="Y558" s="4"/>
      <c r="Z558"/>
    </row>
    <row r="559" spans="24:26">
      <c r="X559" s="4"/>
      <c r="Y559" s="4"/>
      <c r="Z559"/>
    </row>
    <row r="560" spans="24:26">
      <c r="X560" s="4"/>
      <c r="Y560" s="4"/>
      <c r="Z560"/>
    </row>
    <row r="561" spans="24:26">
      <c r="X561" s="4"/>
      <c r="Y561" s="4"/>
      <c r="Z561"/>
    </row>
    <row r="562" spans="24:26">
      <c r="X562" s="4"/>
      <c r="Y562" s="4"/>
      <c r="Z562"/>
    </row>
    <row r="563" spans="24:26">
      <c r="X563" s="4"/>
      <c r="Y563" s="4"/>
      <c r="Z563"/>
    </row>
    <row r="564" spans="24:26">
      <c r="X564" s="4"/>
      <c r="Y564" s="4"/>
      <c r="Z564"/>
    </row>
    <row r="565" spans="24:26">
      <c r="X565" s="4"/>
      <c r="Y565" s="4"/>
      <c r="Z565"/>
    </row>
    <row r="566" spans="24:26">
      <c r="X566" s="4"/>
      <c r="Y566" s="4"/>
      <c r="Z566"/>
    </row>
    <row r="567" spans="24:26">
      <c r="X567" s="4"/>
      <c r="Y567" s="4"/>
      <c r="Z567"/>
    </row>
    <row r="568" spans="24:26">
      <c r="X568" s="4"/>
      <c r="Y568" s="4"/>
      <c r="Z568"/>
    </row>
    <row r="569" spans="24:26">
      <c r="X569" s="4"/>
      <c r="Y569" s="4"/>
      <c r="Z569"/>
    </row>
    <row r="570" spans="24:26">
      <c r="X570" s="4"/>
      <c r="Y570" s="4"/>
      <c r="Z570"/>
    </row>
    <row r="571" spans="24:26">
      <c r="X571" s="4"/>
      <c r="Y571" s="4"/>
      <c r="Z571"/>
    </row>
    <row r="572" spans="24:26">
      <c r="X572" s="4"/>
      <c r="Y572" s="4"/>
      <c r="Z572"/>
    </row>
    <row r="573" spans="24:26">
      <c r="X573" s="4"/>
      <c r="Y573" s="4"/>
      <c r="Z573"/>
    </row>
    <row r="574" spans="24:26">
      <c r="X574" s="4"/>
      <c r="Y574" s="4"/>
      <c r="Z574"/>
    </row>
    <row r="575" spans="24:26">
      <c r="X575" s="4"/>
      <c r="Y575" s="4"/>
      <c r="Z575"/>
    </row>
    <row r="576" spans="24:26">
      <c r="X576" s="4"/>
      <c r="Y576" s="4"/>
      <c r="Z576"/>
    </row>
    <row r="577" spans="24:26">
      <c r="X577" s="4"/>
      <c r="Y577" s="4"/>
      <c r="Z577"/>
    </row>
    <row r="578" spans="24:26">
      <c r="X578" s="4"/>
      <c r="Y578" s="4"/>
      <c r="Z578"/>
    </row>
    <row r="579" spans="24:26">
      <c r="X579" s="4"/>
      <c r="Y579" s="4"/>
      <c r="Z579"/>
    </row>
    <row r="580" spans="24:26">
      <c r="X580" s="4"/>
      <c r="Y580" s="4"/>
      <c r="Z580"/>
    </row>
    <row r="581" spans="24:26">
      <c r="X581" s="4"/>
      <c r="Y581" s="4"/>
      <c r="Z581"/>
    </row>
    <row r="582" spans="24:26">
      <c r="X582" s="4"/>
      <c r="Y582" s="4"/>
      <c r="Z582"/>
    </row>
    <row r="583" spans="24:26">
      <c r="X583" s="4"/>
      <c r="Y583" s="4"/>
      <c r="Z583"/>
    </row>
    <row r="584" spans="24:26">
      <c r="X584" s="4"/>
      <c r="Y584" s="4"/>
      <c r="Z584"/>
    </row>
    <row r="585" spans="24:26">
      <c r="X585" s="4"/>
      <c r="Y585" s="4"/>
      <c r="Z585"/>
    </row>
    <row r="586" spans="24:26">
      <c r="X586" s="4"/>
      <c r="Y586" s="4"/>
      <c r="Z586"/>
    </row>
    <row r="587" spans="24:26">
      <c r="X587" s="4"/>
      <c r="Y587" s="4"/>
      <c r="Z587"/>
    </row>
    <row r="588" spans="24:26">
      <c r="X588" s="4"/>
      <c r="Y588" s="4"/>
      <c r="Z588"/>
    </row>
    <row r="589" spans="24:26">
      <c r="X589" s="4"/>
      <c r="Y589" s="4"/>
      <c r="Z589"/>
    </row>
    <row r="590" spans="24:26">
      <c r="X590" s="4"/>
      <c r="Y590" s="4"/>
      <c r="Z590"/>
    </row>
    <row r="591" spans="24:26">
      <c r="X591" s="4"/>
      <c r="Y591" s="4"/>
      <c r="Z591"/>
    </row>
    <row r="592" spans="24:26">
      <c r="X592" s="4"/>
      <c r="Y592" s="4"/>
      <c r="Z592"/>
    </row>
    <row r="593" spans="24:26">
      <c r="X593" s="4"/>
      <c r="Y593" s="4"/>
      <c r="Z593"/>
    </row>
    <row r="594" spans="24:26">
      <c r="X594" s="4"/>
      <c r="Y594" s="4"/>
      <c r="Z594"/>
    </row>
    <row r="595" spans="24:26">
      <c r="X595" s="4"/>
      <c r="Y595" s="4"/>
      <c r="Z595"/>
    </row>
    <row r="596" spans="24:26">
      <c r="X596" s="4"/>
      <c r="Y596" s="4"/>
      <c r="Z596"/>
    </row>
    <row r="597" spans="24:26">
      <c r="X597" s="4"/>
      <c r="Y597" s="4"/>
      <c r="Z597"/>
    </row>
    <row r="598" spans="24:26">
      <c r="X598" s="4"/>
      <c r="Y598" s="4"/>
      <c r="Z598"/>
    </row>
    <row r="599" spans="24:26">
      <c r="X599" s="4"/>
      <c r="Y599" s="4"/>
      <c r="Z599"/>
    </row>
    <row r="600" spans="24:26">
      <c r="X600" s="4"/>
      <c r="Y600" s="4"/>
      <c r="Z600"/>
    </row>
    <row r="601" spans="24:26">
      <c r="X601" s="4"/>
      <c r="Y601" s="4"/>
      <c r="Z601"/>
    </row>
    <row r="602" spans="24:26">
      <c r="X602" s="4"/>
      <c r="Y602" s="4"/>
      <c r="Z602"/>
    </row>
    <row r="603" spans="24:26">
      <c r="X603" s="4"/>
      <c r="Y603" s="4"/>
      <c r="Z603"/>
    </row>
    <row r="604" spans="24:26">
      <c r="X604" s="4"/>
      <c r="Y604" s="4"/>
      <c r="Z604"/>
    </row>
    <row r="605" spans="24:26">
      <c r="X605" s="4"/>
      <c r="Y605" s="4"/>
      <c r="Z605"/>
    </row>
    <row r="606" spans="24:26">
      <c r="X606" s="4"/>
      <c r="Y606" s="4"/>
      <c r="Z606"/>
    </row>
    <row r="607" spans="24:26">
      <c r="X607" s="4"/>
      <c r="Y607" s="4"/>
      <c r="Z607"/>
    </row>
    <row r="608" spans="24:26">
      <c r="X608" s="4"/>
      <c r="Y608" s="4"/>
      <c r="Z608"/>
    </row>
    <row r="609" spans="24:26">
      <c r="X609" s="4"/>
      <c r="Y609" s="4"/>
      <c r="Z609"/>
    </row>
    <row r="610" spans="24:26">
      <c r="X610" s="4"/>
      <c r="Y610" s="4"/>
      <c r="Z610"/>
    </row>
    <row r="611" spans="24:26">
      <c r="X611" s="4"/>
      <c r="Y611" s="4"/>
      <c r="Z611"/>
    </row>
    <row r="612" spans="24:26">
      <c r="X612" s="4"/>
      <c r="Y612" s="4"/>
      <c r="Z612"/>
    </row>
    <row r="613" spans="24:26">
      <c r="X613" s="4"/>
      <c r="Y613" s="4"/>
      <c r="Z613"/>
    </row>
    <row r="614" spans="24:26">
      <c r="X614" s="4"/>
      <c r="Y614" s="4"/>
      <c r="Z614"/>
    </row>
    <row r="615" spans="24:26">
      <c r="X615" s="4"/>
      <c r="Y615" s="4"/>
      <c r="Z615"/>
    </row>
    <row r="616" spans="24:26">
      <c r="X616" s="4"/>
      <c r="Y616" s="4"/>
      <c r="Z616"/>
    </row>
    <row r="617" spans="24:26">
      <c r="X617" s="4"/>
      <c r="Y617" s="4"/>
      <c r="Z617"/>
    </row>
    <row r="618" spans="24:26">
      <c r="X618" s="4"/>
      <c r="Y618" s="4"/>
      <c r="Z618"/>
    </row>
    <row r="619" spans="24:26">
      <c r="X619" s="4"/>
      <c r="Y619" s="4"/>
      <c r="Z619"/>
    </row>
    <row r="620" spans="24:26">
      <c r="X620" s="4"/>
      <c r="Y620" s="4"/>
      <c r="Z620"/>
    </row>
    <row r="621" spans="24:26">
      <c r="X621" s="4"/>
      <c r="Y621" s="4"/>
      <c r="Z621"/>
    </row>
    <row r="622" spans="24:26">
      <c r="X622" s="4"/>
      <c r="Y622" s="4"/>
      <c r="Z622"/>
    </row>
    <row r="623" spans="24:26">
      <c r="X623" s="4"/>
      <c r="Y623" s="4"/>
      <c r="Z623"/>
    </row>
    <row r="624" spans="24:26">
      <c r="X624" s="4"/>
      <c r="Y624" s="4"/>
      <c r="Z624"/>
    </row>
    <row r="625" spans="24:26">
      <c r="X625" s="4"/>
      <c r="Y625" s="4"/>
      <c r="Z625"/>
    </row>
    <row r="626" spans="24:26">
      <c r="X626" s="4"/>
      <c r="Y626" s="4"/>
      <c r="Z626"/>
    </row>
    <row r="627" spans="24:26">
      <c r="X627" s="4"/>
      <c r="Y627" s="4"/>
      <c r="Z627"/>
    </row>
    <row r="628" spans="24:26">
      <c r="X628" s="4"/>
      <c r="Y628" s="4"/>
      <c r="Z628"/>
    </row>
    <row r="629" spans="24:26">
      <c r="X629" s="4"/>
      <c r="Y629" s="4"/>
      <c r="Z629"/>
    </row>
    <row r="630" spans="24:26">
      <c r="X630" s="4"/>
      <c r="Y630" s="4"/>
      <c r="Z630"/>
    </row>
    <row r="631" spans="24:26">
      <c r="X631" s="4"/>
      <c r="Y631" s="4"/>
      <c r="Z631"/>
    </row>
    <row r="632" spans="24:26">
      <c r="X632" s="4"/>
      <c r="Y632" s="4"/>
      <c r="Z632"/>
    </row>
    <row r="633" spans="24:26">
      <c r="X633" s="4"/>
      <c r="Y633" s="4"/>
      <c r="Z633"/>
    </row>
    <row r="634" spans="24:26">
      <c r="X634" s="4"/>
      <c r="Y634" s="4"/>
      <c r="Z634"/>
    </row>
    <row r="635" spans="24:26">
      <c r="X635" s="4"/>
      <c r="Y635" s="4"/>
      <c r="Z635"/>
    </row>
    <row r="636" spans="24:26">
      <c r="X636" s="4"/>
      <c r="Y636" s="4"/>
      <c r="Z636"/>
    </row>
    <row r="637" spans="24:26">
      <c r="X637" s="4"/>
      <c r="Y637" s="4"/>
      <c r="Z637"/>
    </row>
    <row r="638" spans="24:26">
      <c r="X638" s="4"/>
      <c r="Y638" s="4"/>
      <c r="Z638"/>
    </row>
    <row r="639" spans="24:26">
      <c r="X639" s="4"/>
      <c r="Y639" s="4"/>
      <c r="Z639"/>
    </row>
    <row r="640" spans="24:26">
      <c r="X640" s="4"/>
      <c r="Y640" s="4"/>
      <c r="Z640"/>
    </row>
    <row r="641" spans="24:26">
      <c r="X641" s="4"/>
      <c r="Y641" s="4"/>
      <c r="Z641"/>
    </row>
    <row r="642" spans="24:26">
      <c r="X642" s="4"/>
      <c r="Y642" s="4"/>
      <c r="Z642"/>
    </row>
    <row r="643" spans="24:26">
      <c r="X643" s="4"/>
      <c r="Y643" s="4"/>
      <c r="Z643"/>
    </row>
    <row r="644" spans="24:26">
      <c r="X644" s="4"/>
      <c r="Y644" s="4"/>
      <c r="Z644"/>
    </row>
    <row r="645" spans="24:26">
      <c r="X645" s="4"/>
      <c r="Y645" s="4"/>
      <c r="Z645"/>
    </row>
    <row r="646" spans="24:26">
      <c r="X646" s="4"/>
      <c r="Y646" s="4"/>
      <c r="Z646"/>
    </row>
    <row r="647" spans="24:26">
      <c r="X647" s="4"/>
      <c r="Y647" s="4"/>
      <c r="Z647"/>
    </row>
    <row r="648" spans="24:26">
      <c r="X648" s="4"/>
      <c r="Y648" s="4"/>
      <c r="Z648"/>
    </row>
    <row r="649" spans="24:26">
      <c r="X649" s="4"/>
      <c r="Y649" s="4"/>
      <c r="Z649"/>
    </row>
    <row r="650" spans="24:26">
      <c r="X650" s="4"/>
      <c r="Y650" s="4"/>
      <c r="Z650"/>
    </row>
    <row r="651" spans="24:26">
      <c r="X651" s="4"/>
      <c r="Y651" s="4"/>
      <c r="Z651"/>
    </row>
    <row r="652" spans="24:26">
      <c r="X652" s="4"/>
      <c r="Y652" s="4"/>
      <c r="Z652"/>
    </row>
    <row r="653" spans="24:26">
      <c r="X653" s="4"/>
      <c r="Y653" s="4"/>
      <c r="Z653"/>
    </row>
    <row r="654" spans="24:26">
      <c r="X654" s="4"/>
      <c r="Y654" s="4"/>
      <c r="Z654"/>
    </row>
    <row r="655" spans="24:26">
      <c r="X655" s="4"/>
      <c r="Y655" s="4"/>
      <c r="Z655"/>
    </row>
    <row r="656" spans="24:26">
      <c r="X656" s="4"/>
      <c r="Y656" s="4"/>
      <c r="Z656"/>
    </row>
    <row r="657" spans="24:26">
      <c r="X657" s="4"/>
      <c r="Y657" s="4"/>
      <c r="Z657"/>
    </row>
    <row r="658" spans="24:26">
      <c r="X658" s="4"/>
      <c r="Y658" s="4"/>
      <c r="Z658"/>
    </row>
    <row r="659" spans="24:26">
      <c r="X659" s="4"/>
      <c r="Y659" s="4"/>
      <c r="Z659"/>
    </row>
    <row r="660" spans="24:26">
      <c r="X660" s="4"/>
      <c r="Y660" s="4"/>
      <c r="Z660"/>
    </row>
    <row r="661" spans="24:26">
      <c r="X661" s="4"/>
      <c r="Y661" s="4"/>
      <c r="Z661"/>
    </row>
    <row r="662" spans="24:26">
      <c r="X662" s="4"/>
      <c r="Y662" s="4"/>
      <c r="Z662"/>
    </row>
    <row r="663" spans="24:26">
      <c r="X663" s="4"/>
      <c r="Y663" s="4"/>
      <c r="Z663"/>
    </row>
    <row r="664" spans="24:26">
      <c r="X664" s="4"/>
      <c r="Y664" s="4"/>
      <c r="Z664"/>
    </row>
    <row r="665" spans="24:26">
      <c r="X665" s="4"/>
      <c r="Y665" s="4"/>
      <c r="Z665"/>
    </row>
    <row r="666" spans="24:26">
      <c r="X666" s="4"/>
      <c r="Y666" s="4"/>
      <c r="Z666"/>
    </row>
    <row r="667" spans="24:26">
      <c r="X667" s="4"/>
      <c r="Y667" s="4"/>
      <c r="Z667"/>
    </row>
    <row r="668" spans="24:26">
      <c r="X668" s="4"/>
      <c r="Y668" s="4"/>
      <c r="Z668"/>
    </row>
    <row r="669" spans="24:26">
      <c r="X669" s="4"/>
      <c r="Y669" s="4"/>
      <c r="Z669"/>
    </row>
    <row r="670" spans="24:26">
      <c r="X670" s="4"/>
      <c r="Y670" s="4"/>
      <c r="Z670"/>
    </row>
    <row r="671" spans="24:26">
      <c r="X671" s="4"/>
      <c r="Y671" s="4"/>
      <c r="Z671"/>
    </row>
    <row r="672" spans="24:26">
      <c r="X672" s="4"/>
      <c r="Y672" s="4"/>
      <c r="Z672"/>
    </row>
    <row r="673" spans="24:26">
      <c r="X673" s="4"/>
      <c r="Y673" s="4"/>
      <c r="Z673"/>
    </row>
    <row r="674" spans="24:26">
      <c r="X674" s="4"/>
      <c r="Y674" s="4"/>
      <c r="Z674"/>
    </row>
    <row r="675" spans="24:26">
      <c r="X675" s="4"/>
      <c r="Y675" s="4"/>
      <c r="Z675"/>
    </row>
    <row r="676" spans="24:26">
      <c r="X676" s="4"/>
      <c r="Y676" s="4"/>
      <c r="Z676"/>
    </row>
    <row r="677" spans="24:26">
      <c r="X677" s="4"/>
      <c r="Y677" s="4"/>
      <c r="Z677"/>
    </row>
    <row r="678" spans="24:26">
      <c r="X678" s="4"/>
      <c r="Y678" s="4"/>
      <c r="Z678"/>
    </row>
    <row r="679" spans="24:26">
      <c r="X679" s="4"/>
      <c r="Y679" s="4"/>
      <c r="Z679"/>
    </row>
    <row r="680" spans="24:26">
      <c r="X680" s="4"/>
      <c r="Y680" s="4"/>
      <c r="Z680"/>
    </row>
    <row r="681" spans="24:26">
      <c r="X681" s="4"/>
      <c r="Y681" s="4"/>
      <c r="Z681"/>
    </row>
    <row r="682" spans="24:26">
      <c r="X682" s="4"/>
      <c r="Y682" s="4"/>
      <c r="Z682"/>
    </row>
    <row r="683" spans="24:26">
      <c r="X683" s="4"/>
      <c r="Y683" s="4"/>
      <c r="Z683"/>
    </row>
    <row r="684" spans="24:26">
      <c r="X684" s="4"/>
      <c r="Y684" s="4"/>
      <c r="Z684"/>
    </row>
    <row r="685" spans="24:26">
      <c r="X685" s="4"/>
      <c r="Y685" s="4"/>
      <c r="Z685"/>
    </row>
    <row r="686" spans="24:26">
      <c r="X686" s="4"/>
      <c r="Y686" s="4"/>
      <c r="Z686"/>
    </row>
    <row r="687" spans="24:26">
      <c r="X687" s="4"/>
      <c r="Y687" s="4"/>
      <c r="Z687"/>
    </row>
    <row r="688" spans="24:26">
      <c r="X688" s="4"/>
      <c r="Y688" s="4"/>
      <c r="Z688"/>
    </row>
    <row r="689" spans="24:26">
      <c r="X689" s="4"/>
      <c r="Y689" s="4"/>
      <c r="Z689"/>
    </row>
    <row r="690" spans="24:26">
      <c r="X690" s="4"/>
      <c r="Y690" s="4"/>
      <c r="Z690"/>
    </row>
    <row r="691" spans="24:26">
      <c r="X691" s="4"/>
      <c r="Y691" s="4"/>
      <c r="Z691"/>
    </row>
    <row r="692" spans="24:26">
      <c r="X692" s="4"/>
      <c r="Y692" s="4"/>
      <c r="Z692"/>
    </row>
    <row r="693" spans="24:26">
      <c r="X693" s="4"/>
      <c r="Y693" s="4"/>
      <c r="Z693"/>
    </row>
    <row r="694" spans="24:26">
      <c r="X694" s="4"/>
      <c r="Y694" s="4"/>
      <c r="Z694"/>
    </row>
    <row r="695" spans="24:26">
      <c r="X695" s="4"/>
      <c r="Y695" s="4"/>
      <c r="Z695"/>
    </row>
    <row r="696" spans="24:26">
      <c r="X696" s="4"/>
      <c r="Y696" s="4"/>
      <c r="Z696"/>
    </row>
    <row r="697" spans="24:26">
      <c r="X697" s="4"/>
      <c r="Y697" s="4"/>
      <c r="Z697"/>
    </row>
    <row r="698" spans="24:26">
      <c r="X698" s="4"/>
      <c r="Y698" s="4"/>
      <c r="Z698"/>
    </row>
    <row r="699" spans="24:26">
      <c r="X699" s="4"/>
      <c r="Y699" s="4"/>
      <c r="Z699"/>
    </row>
    <row r="700" spans="24:26">
      <c r="X700" s="4"/>
      <c r="Y700" s="4"/>
      <c r="Z700"/>
    </row>
    <row r="701" spans="24:26">
      <c r="X701" s="4"/>
      <c r="Y701" s="4"/>
      <c r="Z701"/>
    </row>
    <row r="702" spans="24:26">
      <c r="X702" s="4"/>
      <c r="Y702" s="4"/>
      <c r="Z702"/>
    </row>
    <row r="703" spans="24:26">
      <c r="X703" s="4"/>
      <c r="Y703" s="4"/>
      <c r="Z703"/>
    </row>
    <row r="704" spans="24:26">
      <c r="X704" s="4"/>
      <c r="Y704" s="4"/>
      <c r="Z704"/>
    </row>
    <row r="705" spans="24:26">
      <c r="X705" s="4"/>
      <c r="Y705" s="4"/>
      <c r="Z705"/>
    </row>
    <row r="706" spans="24:26">
      <c r="X706" s="4"/>
      <c r="Y706" s="4"/>
      <c r="Z706"/>
    </row>
    <row r="707" spans="24:26">
      <c r="X707" s="4"/>
      <c r="Y707" s="4"/>
      <c r="Z707"/>
    </row>
    <row r="708" spans="24:26">
      <c r="X708" s="4"/>
      <c r="Y708" s="4"/>
      <c r="Z708"/>
    </row>
    <row r="709" spans="24:26">
      <c r="X709" s="4"/>
      <c r="Y709" s="4"/>
      <c r="Z709"/>
    </row>
    <row r="710" spans="24:26">
      <c r="X710" s="4"/>
      <c r="Y710" s="4"/>
      <c r="Z710"/>
    </row>
    <row r="711" spans="24:26">
      <c r="X711" s="4"/>
      <c r="Y711" s="4"/>
      <c r="Z711"/>
    </row>
    <row r="712" spans="24:26">
      <c r="X712" s="4"/>
      <c r="Y712" s="4"/>
      <c r="Z712"/>
    </row>
    <row r="713" spans="24:26">
      <c r="X713" s="4"/>
      <c r="Y713" s="4"/>
      <c r="Z713"/>
    </row>
    <row r="714" spans="24:26">
      <c r="X714" s="4"/>
      <c r="Y714" s="4"/>
      <c r="Z714"/>
    </row>
    <row r="715" spans="24:26">
      <c r="X715" s="4"/>
      <c r="Y715" s="4"/>
      <c r="Z715"/>
    </row>
    <row r="716" spans="24:26">
      <c r="X716" s="4"/>
      <c r="Y716" s="4"/>
      <c r="Z716"/>
    </row>
    <row r="717" spans="24:26">
      <c r="X717" s="4"/>
      <c r="Y717" s="4"/>
      <c r="Z717"/>
    </row>
    <row r="718" spans="24:26">
      <c r="X718" s="4"/>
      <c r="Y718" s="4"/>
      <c r="Z718"/>
    </row>
    <row r="719" spans="24:26">
      <c r="X719" s="4"/>
      <c r="Y719" s="4"/>
      <c r="Z719"/>
    </row>
    <row r="720" spans="24:26">
      <c r="X720" s="4"/>
      <c r="Y720" s="4"/>
      <c r="Z720"/>
    </row>
    <row r="721" spans="24:26">
      <c r="X721" s="4"/>
      <c r="Y721" s="4"/>
      <c r="Z721"/>
    </row>
    <row r="722" spans="24:26">
      <c r="X722" s="4"/>
      <c r="Y722" s="4"/>
      <c r="Z722"/>
    </row>
    <row r="723" spans="24:26">
      <c r="X723" s="4"/>
      <c r="Y723" s="4"/>
      <c r="Z723"/>
    </row>
    <row r="724" spans="24:26">
      <c r="X724" s="4"/>
      <c r="Y724" s="4"/>
      <c r="Z724"/>
    </row>
    <row r="725" spans="24:26">
      <c r="X725" s="4"/>
      <c r="Y725" s="4"/>
      <c r="Z725"/>
    </row>
    <row r="726" spans="24:26">
      <c r="X726" s="4"/>
      <c r="Y726" s="4"/>
      <c r="Z726"/>
    </row>
    <row r="727" spans="24:26">
      <c r="X727" s="4"/>
      <c r="Y727" s="4"/>
      <c r="Z727"/>
    </row>
    <row r="728" spans="24:26">
      <c r="X728" s="4"/>
      <c r="Y728" s="4"/>
      <c r="Z728"/>
    </row>
    <row r="729" spans="24:26">
      <c r="X729" s="4"/>
      <c r="Y729" s="4"/>
      <c r="Z729"/>
    </row>
    <row r="730" spans="24:26">
      <c r="X730" s="4"/>
      <c r="Y730" s="4"/>
      <c r="Z730"/>
    </row>
    <row r="731" spans="24:26">
      <c r="X731" s="4"/>
      <c r="Y731" s="4"/>
      <c r="Z731"/>
    </row>
    <row r="732" spans="24:26">
      <c r="X732" s="4"/>
      <c r="Y732" s="4"/>
      <c r="Z732"/>
    </row>
    <row r="733" spans="24:26">
      <c r="X733" s="4"/>
      <c r="Y733" s="4"/>
      <c r="Z733"/>
    </row>
    <row r="734" spans="24:26">
      <c r="X734" s="4"/>
      <c r="Y734" s="4"/>
      <c r="Z734"/>
    </row>
    <row r="735" spans="24:26">
      <c r="X735" s="4"/>
      <c r="Y735" s="4"/>
      <c r="Z735"/>
    </row>
    <row r="736" spans="24:26">
      <c r="X736" s="4"/>
      <c r="Y736" s="4"/>
      <c r="Z736"/>
    </row>
    <row r="737" spans="24:26">
      <c r="X737" s="4"/>
      <c r="Y737" s="4"/>
      <c r="Z737"/>
    </row>
    <row r="738" spans="24:26">
      <c r="X738" s="4"/>
      <c r="Y738" s="4"/>
      <c r="Z738"/>
    </row>
    <row r="739" spans="24:26">
      <c r="X739" s="4"/>
      <c r="Y739" s="4"/>
      <c r="Z739"/>
    </row>
    <row r="740" spans="24:26">
      <c r="X740" s="4"/>
      <c r="Y740" s="4"/>
      <c r="Z740"/>
    </row>
    <row r="741" spans="24:26">
      <c r="X741" s="4"/>
      <c r="Y741" s="4"/>
      <c r="Z741"/>
    </row>
    <row r="742" spans="24:26">
      <c r="X742" s="4"/>
      <c r="Y742" s="4"/>
      <c r="Z742"/>
    </row>
    <row r="743" spans="24:26">
      <c r="X743" s="4"/>
      <c r="Y743" s="4"/>
      <c r="Z743"/>
    </row>
    <row r="744" spans="24:26">
      <c r="X744" s="4"/>
      <c r="Y744" s="4"/>
      <c r="Z744"/>
    </row>
    <row r="745" spans="24:26">
      <c r="X745" s="4"/>
      <c r="Y745" s="4"/>
      <c r="Z745"/>
    </row>
    <row r="746" spans="24:26">
      <c r="X746" s="4"/>
      <c r="Y746" s="4"/>
      <c r="Z746"/>
    </row>
    <row r="747" spans="24:26">
      <c r="X747" s="4"/>
      <c r="Y747" s="4"/>
      <c r="Z747"/>
    </row>
    <row r="748" spans="24:26">
      <c r="X748" s="4"/>
      <c r="Y748" s="4"/>
      <c r="Z748"/>
    </row>
    <row r="749" spans="24:26">
      <c r="X749" s="4"/>
      <c r="Y749" s="4"/>
      <c r="Z749"/>
    </row>
    <row r="750" spans="24:26">
      <c r="X750" s="4"/>
      <c r="Y750" s="4"/>
      <c r="Z750"/>
    </row>
    <row r="751" spans="24:26">
      <c r="X751" s="4"/>
      <c r="Y751" s="4"/>
      <c r="Z751"/>
    </row>
    <row r="752" spans="24:26">
      <c r="X752" s="4"/>
      <c r="Y752" s="4"/>
      <c r="Z752"/>
    </row>
    <row r="753" spans="24:26">
      <c r="X753" s="4"/>
      <c r="Y753" s="4"/>
      <c r="Z753"/>
    </row>
    <row r="754" spans="24:26">
      <c r="X754" s="4"/>
      <c r="Y754" s="4"/>
      <c r="Z754"/>
    </row>
    <row r="755" spans="24:26">
      <c r="X755" s="4"/>
      <c r="Y755" s="4"/>
      <c r="Z755"/>
    </row>
    <row r="756" spans="24:26">
      <c r="X756" s="4"/>
      <c r="Y756" s="4"/>
      <c r="Z756"/>
    </row>
    <row r="757" spans="24:26">
      <c r="X757" s="4"/>
      <c r="Y757" s="4"/>
      <c r="Z757"/>
    </row>
    <row r="758" spans="24:26">
      <c r="X758" s="4"/>
      <c r="Y758" s="4"/>
      <c r="Z758"/>
    </row>
    <row r="759" spans="24:26">
      <c r="X759" s="4"/>
      <c r="Y759" s="4"/>
      <c r="Z759"/>
    </row>
    <row r="760" spans="24:26">
      <c r="X760" s="4"/>
      <c r="Y760" s="4"/>
      <c r="Z760"/>
    </row>
    <row r="761" spans="24:26">
      <c r="X761" s="4"/>
      <c r="Y761" s="4"/>
      <c r="Z761"/>
    </row>
    <row r="762" spans="24:26">
      <c r="X762" s="4"/>
      <c r="Y762" s="4"/>
      <c r="Z762"/>
    </row>
    <row r="763" spans="24:26">
      <c r="X763" s="4"/>
      <c r="Y763" s="4"/>
      <c r="Z763"/>
    </row>
    <row r="764" spans="24:26">
      <c r="X764" s="4"/>
      <c r="Y764" s="4"/>
      <c r="Z764"/>
    </row>
    <row r="765" spans="24:26">
      <c r="X765" s="4"/>
      <c r="Y765" s="4"/>
      <c r="Z765"/>
    </row>
    <row r="766" spans="24:26">
      <c r="X766" s="4"/>
      <c r="Y766" s="4"/>
      <c r="Z766"/>
    </row>
    <row r="767" spans="24:26">
      <c r="X767" s="4"/>
      <c r="Y767" s="4"/>
      <c r="Z767"/>
    </row>
    <row r="768" spans="24:26">
      <c r="X768" s="4"/>
      <c r="Y768" s="4"/>
      <c r="Z768"/>
    </row>
    <row r="769" spans="24:26">
      <c r="X769" s="4"/>
      <c r="Y769" s="4"/>
      <c r="Z769"/>
    </row>
    <row r="770" spans="24:26">
      <c r="X770" s="4"/>
      <c r="Y770" s="4"/>
      <c r="Z770"/>
    </row>
    <row r="771" spans="24:26">
      <c r="X771" s="4"/>
      <c r="Y771" s="4"/>
      <c r="Z771"/>
    </row>
    <row r="772" spans="24:26">
      <c r="X772" s="4"/>
      <c r="Y772" s="4"/>
      <c r="Z772"/>
    </row>
    <row r="773" spans="24:26">
      <c r="X773" s="4"/>
      <c r="Y773" s="4"/>
      <c r="Z773"/>
    </row>
    <row r="774" spans="24:26">
      <c r="X774" s="4"/>
      <c r="Y774" s="4"/>
      <c r="Z774"/>
    </row>
    <row r="775" spans="24:26">
      <c r="X775" s="4"/>
      <c r="Y775" s="4"/>
      <c r="Z775"/>
    </row>
    <row r="776" spans="24:26">
      <c r="X776" s="4"/>
      <c r="Y776" s="4"/>
      <c r="Z776"/>
    </row>
    <row r="777" spans="24:26">
      <c r="X777" s="4"/>
      <c r="Y777" s="4"/>
      <c r="Z777"/>
    </row>
    <row r="778" spans="24:26">
      <c r="X778" s="4"/>
      <c r="Y778" s="4"/>
      <c r="Z778"/>
    </row>
    <row r="779" spans="24:26">
      <c r="X779" s="4"/>
      <c r="Y779" s="4"/>
      <c r="Z779"/>
    </row>
    <row r="780" spans="24:26">
      <c r="X780" s="4"/>
      <c r="Y780" s="4"/>
      <c r="Z780"/>
    </row>
    <row r="781" spans="24:26">
      <c r="X781" s="4"/>
      <c r="Y781" s="4"/>
      <c r="Z781"/>
    </row>
    <row r="782" spans="24:26">
      <c r="X782" s="4"/>
      <c r="Y782" s="4"/>
      <c r="Z782"/>
    </row>
    <row r="783" spans="24:26">
      <c r="X783" s="4"/>
      <c r="Y783" s="4"/>
      <c r="Z783"/>
    </row>
    <row r="784" spans="24:26">
      <c r="X784" s="4"/>
      <c r="Y784" s="4"/>
      <c r="Z784"/>
    </row>
    <row r="785" spans="24:26">
      <c r="X785" s="4"/>
      <c r="Y785" s="4"/>
      <c r="Z785"/>
    </row>
    <row r="786" spans="24:26">
      <c r="X786" s="4"/>
      <c r="Y786" s="4"/>
      <c r="Z786"/>
    </row>
    <row r="787" spans="24:26">
      <c r="X787" s="4"/>
      <c r="Y787" s="4"/>
      <c r="Z787"/>
    </row>
    <row r="788" spans="24:26">
      <c r="X788" s="4"/>
      <c r="Y788" s="4"/>
      <c r="Z788"/>
    </row>
    <row r="789" spans="24:26">
      <c r="X789" s="4"/>
      <c r="Y789" s="4"/>
      <c r="Z789"/>
    </row>
    <row r="790" spans="24:26">
      <c r="X790" s="4"/>
      <c r="Y790" s="4"/>
      <c r="Z790"/>
    </row>
    <row r="791" spans="24:26">
      <c r="X791" s="4"/>
      <c r="Y791" s="4"/>
      <c r="Z791"/>
    </row>
    <row r="792" spans="24:26">
      <c r="X792" s="4"/>
      <c r="Y792" s="4"/>
      <c r="Z792"/>
    </row>
    <row r="793" spans="24:26">
      <c r="X793" s="4"/>
      <c r="Y793" s="4"/>
      <c r="Z793"/>
    </row>
  </sheetData>
  <pageMargins left="0.7" right="0.7" top="0.75" bottom="0.75" header="0.3" footer="0.3"/>
  <pageSetup orientation="portrait" verticalDpi="0"/>
  <legacy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8"/>
  <sheetViews>
    <sheetView workbookViewId="0">
      <selection activeCell="C44" sqref="C44"/>
    </sheetView>
  </sheetViews>
  <sheetFormatPr defaultColWidth="8.85546875" defaultRowHeight="15"/>
  <cols>
    <col min="1" max="1" width="13.42578125" customWidth="1"/>
    <col min="2" max="2" width="11.42578125" customWidth="1"/>
    <col min="3" max="3" width="66.85546875" customWidth="1"/>
    <col min="4" max="4" width="68.7109375" bestFit="1" customWidth="1"/>
  </cols>
  <sheetData>
    <row r="1" spans="1:4">
      <c r="A1" s="4" t="s">
        <v>108</v>
      </c>
    </row>
    <row r="2" spans="1:4" ht="15.75" thickBot="1"/>
    <row r="3" spans="1:4" ht="15.75" thickTop="1">
      <c r="A3" s="190" t="s">
        <v>113</v>
      </c>
      <c r="B3" s="191"/>
      <c r="C3" s="191"/>
      <c r="D3" s="192"/>
    </row>
    <row r="4" spans="1:4" ht="15.75" thickBot="1">
      <c r="A4" s="74" t="s">
        <v>109</v>
      </c>
      <c r="B4" s="75" t="s">
        <v>110</v>
      </c>
      <c r="C4" s="75" t="s">
        <v>111</v>
      </c>
      <c r="D4" s="76" t="s">
        <v>112</v>
      </c>
    </row>
    <row r="5" spans="1:4" ht="15.75" thickTop="1">
      <c r="A5" s="83" t="s">
        <v>7</v>
      </c>
      <c r="B5" s="77" t="s">
        <v>7</v>
      </c>
      <c r="C5" s="78" t="s">
        <v>123</v>
      </c>
      <c r="D5" s="84"/>
    </row>
    <row r="6" spans="1:4" ht="60">
      <c r="A6" s="85" t="s">
        <v>114</v>
      </c>
      <c r="B6" s="79" t="s">
        <v>22</v>
      </c>
      <c r="C6" s="80" t="s">
        <v>115</v>
      </c>
      <c r="D6" s="86" t="s">
        <v>116</v>
      </c>
    </row>
    <row r="7" spans="1:4" ht="60">
      <c r="A7" s="85" t="s">
        <v>117</v>
      </c>
      <c r="B7" s="79" t="s">
        <v>23</v>
      </c>
      <c r="C7" s="80" t="s">
        <v>118</v>
      </c>
      <c r="D7" s="86" t="s">
        <v>119</v>
      </c>
    </row>
    <row r="8" spans="1:4" ht="30.75" thickBot="1">
      <c r="A8" s="87" t="s">
        <v>120</v>
      </c>
      <c r="B8" s="88" t="s">
        <v>24</v>
      </c>
      <c r="C8" s="89" t="s">
        <v>121</v>
      </c>
      <c r="D8" s="90" t="s">
        <v>122</v>
      </c>
    </row>
  </sheetData>
  <mergeCells count="1">
    <mergeCell ref="A3:D3"/>
  </mergeCell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20"/>
  <sheetViews>
    <sheetView workbookViewId="0">
      <selection activeCell="C8" sqref="C8"/>
    </sheetView>
  </sheetViews>
  <sheetFormatPr defaultColWidth="8.85546875" defaultRowHeight="15"/>
  <cols>
    <col min="1" max="1" width="39" customWidth="1"/>
    <col min="2" max="2" width="32.42578125" customWidth="1"/>
    <col min="3" max="3" width="53.42578125" style="73" customWidth="1"/>
    <col min="4" max="4" width="48.140625" customWidth="1"/>
    <col min="5" max="5" width="38.42578125" bestFit="1" customWidth="1"/>
  </cols>
  <sheetData>
    <row r="1" spans="1:6">
      <c r="A1" t="s">
        <v>108</v>
      </c>
    </row>
    <row r="2" spans="1:6" ht="15.75" thickBot="1"/>
    <row r="3" spans="1:6" s="5" customFormat="1">
      <c r="A3" s="178" t="s">
        <v>146</v>
      </c>
      <c r="B3" s="179"/>
      <c r="C3" s="179"/>
      <c r="D3" s="179"/>
      <c r="E3" s="180"/>
      <c r="F3"/>
    </row>
    <row r="4" spans="1:6" s="5" customFormat="1" ht="15.75" thickBot="1">
      <c r="A4" s="56" t="s">
        <v>39</v>
      </c>
      <c r="B4" s="48" t="s">
        <v>40</v>
      </c>
      <c r="C4" s="48" t="s">
        <v>12</v>
      </c>
      <c r="D4" s="52" t="s">
        <v>41</v>
      </c>
      <c r="E4" s="53" t="s">
        <v>42</v>
      </c>
    </row>
    <row r="5" spans="1:6" s="5" customFormat="1" ht="75.75" thickTop="1">
      <c r="A5" s="98" t="s">
        <v>43</v>
      </c>
      <c r="B5" s="14" t="s">
        <v>127</v>
      </c>
      <c r="C5" s="14" t="s">
        <v>127</v>
      </c>
      <c r="D5" s="39" t="s">
        <v>139</v>
      </c>
      <c r="E5" s="99" t="s">
        <v>128</v>
      </c>
    </row>
    <row r="6" spans="1:6" s="5" customFormat="1" ht="150">
      <c r="A6" s="92" t="s">
        <v>43</v>
      </c>
      <c r="B6" s="7" t="s">
        <v>140</v>
      </c>
      <c r="C6" s="7" t="s">
        <v>141</v>
      </c>
      <c r="D6" s="8" t="s">
        <v>142</v>
      </c>
      <c r="E6" s="93" t="s">
        <v>143</v>
      </c>
    </row>
    <row r="7" spans="1:6" s="5" customFormat="1" ht="75.75" thickBot="1">
      <c r="A7" s="94" t="s">
        <v>43</v>
      </c>
      <c r="B7" s="95" t="s">
        <v>133</v>
      </c>
      <c r="C7" s="95" t="s">
        <v>144</v>
      </c>
      <c r="D7" s="96" t="s">
        <v>145</v>
      </c>
      <c r="E7" s="97" t="s">
        <v>131</v>
      </c>
    </row>
    <row r="8" spans="1:6">
      <c r="C8"/>
    </row>
    <row r="9" spans="1:6" s="4" customFormat="1"/>
    <row r="10" spans="1:6" s="4" customFormat="1"/>
    <row r="11" spans="1:6" s="4" customFormat="1"/>
    <row r="12" spans="1:6" s="4" customFormat="1"/>
    <row r="13" spans="1:6" s="4" customFormat="1"/>
    <row r="14" spans="1:6">
      <c r="C14"/>
    </row>
    <row r="15" spans="1:6" ht="15.75" thickBot="1">
      <c r="C15"/>
    </row>
    <row r="16" spans="1:6" s="4" customFormat="1">
      <c r="A16" s="193" t="s">
        <v>138</v>
      </c>
      <c r="B16" s="194"/>
      <c r="C16" s="194"/>
      <c r="D16" s="194"/>
      <c r="E16" s="195"/>
    </row>
    <row r="17" spans="1:5" ht="15.75" thickBot="1">
      <c r="A17" s="74" t="s">
        <v>124</v>
      </c>
      <c r="B17" s="75" t="s">
        <v>147</v>
      </c>
      <c r="C17" s="91" t="s">
        <v>125</v>
      </c>
      <c r="D17" s="76" t="s">
        <v>126</v>
      </c>
      <c r="E17" s="75" t="s">
        <v>148</v>
      </c>
    </row>
    <row r="18" spans="1:5" ht="90.75" thickTop="1">
      <c r="A18" s="100" t="s">
        <v>127</v>
      </c>
      <c r="B18" s="77" t="s">
        <v>127</v>
      </c>
      <c r="C18" s="78" t="s">
        <v>129</v>
      </c>
      <c r="D18" s="102" t="s">
        <v>128</v>
      </c>
      <c r="E18" s="107" t="s">
        <v>128</v>
      </c>
    </row>
    <row r="19" spans="1:5" s="4" customFormat="1" ht="30">
      <c r="A19" s="101" t="s">
        <v>137</v>
      </c>
      <c r="B19" s="79" t="s">
        <v>141</v>
      </c>
      <c r="C19" s="80" t="s">
        <v>134</v>
      </c>
      <c r="D19" s="103" t="s">
        <v>135</v>
      </c>
      <c r="E19" s="86"/>
    </row>
    <row r="20" spans="1:5" ht="90.75" thickBot="1">
      <c r="A20" s="104" t="s">
        <v>136</v>
      </c>
      <c r="B20" s="81" t="s">
        <v>144</v>
      </c>
      <c r="C20" s="82" t="s">
        <v>130</v>
      </c>
      <c r="D20" s="105" t="s">
        <v>131</v>
      </c>
      <c r="E20" s="106" t="s">
        <v>149</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32</vt:i4>
      </vt:variant>
    </vt:vector>
  </HeadingPairs>
  <TitlesOfParts>
    <vt:vector size="45" baseType="lpstr">
      <vt:lpstr>Instructions</vt:lpstr>
      <vt:lpstr>People and Organizations</vt:lpstr>
      <vt:lpstr>Dataset Citation</vt:lpstr>
      <vt:lpstr>Sampling Features</vt:lpstr>
      <vt:lpstr>Methods</vt:lpstr>
      <vt:lpstr>Variables</vt:lpstr>
      <vt:lpstr>Processing Levels</vt:lpstr>
      <vt:lpstr>Units</vt:lpstr>
      <vt:lpstr>Data Columns</vt:lpstr>
      <vt:lpstr>Data Values</vt:lpstr>
      <vt:lpstr>Controlled Vocabularies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ListOfVocabularies</vt:lpstr>
      <vt:lpstr>NumAuthors</vt:lpstr>
      <vt:lpstr>NumDataColumns</vt:lpstr>
      <vt:lpstr>NumIGSNs</vt:lpstr>
      <vt:lpstr>NumMethods</vt:lpstr>
      <vt:lpstr>NumORCIDs</vt:lpstr>
      <vt:lpstr>NumOrganizations</vt:lpstr>
      <vt:lpstr>NumPeople</vt:lpstr>
      <vt:lpstr>NumPersonExternalIDs</vt:lpstr>
      <vt:lpstr>NumProcessingLevels</vt:lpstr>
      <vt:lpstr>NumSamplingFeatures</vt:lpstr>
      <vt:lpstr>NumSites</vt:lpstr>
      <vt:lpstr>NumUnits</vt:lpstr>
      <vt:lpstr>NumVariables</vt:lpstr>
      <vt:lpstr>PublicationYear</vt:lpstr>
      <vt:lpstr>Publisher</vt:lpstr>
      <vt:lpstr>TemplateProfile</vt:lpstr>
      <vt:lpstr>TemplateVersion</vt:lpstr>
      <vt:lpstr>VocabUpdate</vt:lpstr>
      <vt:lpstr>YODAVersion</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jeff</cp:lastModifiedBy>
  <dcterms:created xsi:type="dcterms:W3CDTF">2015-02-03T15:37:42Z</dcterms:created>
  <dcterms:modified xsi:type="dcterms:W3CDTF">2016-03-24T23:03:56Z</dcterms:modified>
</cp:coreProperties>
</file>