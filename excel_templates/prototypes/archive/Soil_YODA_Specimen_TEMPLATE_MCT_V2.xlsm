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comments5.xml" ContentType="application/vnd.openxmlformats-officedocument.spreadsheetml.comments+xml"/>
  <Override PartName="/xl/tables/table7.xml" ContentType="application/vnd.openxmlformats-officedocument.spreadsheetml.table+xml"/>
  <Override PartName="/xl/tables/table8.xml" ContentType="application/vnd.openxmlformats-officedocument.spreadsheetml.table+xml"/>
  <Override PartName="/xl/comments6.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11.xml" ContentType="application/vnd.openxmlformats-officedocument.spreadsheetml.table+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8.xml" ContentType="application/vnd.openxmlformats-officedocument.spreadsheetml.comments+xml"/>
  <Override PartName="/xl/tables/table15.xml" ContentType="application/vnd.openxmlformats-officedocument.spreadsheetml.table+xml"/>
  <Override PartName="/xl/comments9.xml" ContentType="application/vnd.openxmlformats-officedocument.spreadsheetml.comment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725" codeName="{8C4F1C90-05EB-6A55-5F09-09C24B55AC0B}"/>
  <workbookPr codeName="ThisWorkbook" autoCompressPictures="0"/>
  <workbookProtection workbookPassword="CA31" lockStructure="1"/>
  <bookViews>
    <workbookView xWindow="0" yWindow="0" windowWidth="51260" windowHeight="26960"/>
  </bookViews>
  <sheets>
    <sheet name="Instructions" sheetId="14" r:id="rId1"/>
    <sheet name="People and Organizations" sheetId="7" r:id="rId2"/>
    <sheet name="Dataset Citation" sheetId="1" r:id="rId3"/>
    <sheet name="Sampling Features" sheetId="2" r:id="rId4"/>
    <sheet name="Spatial Offsets" sheetId="22" r:id="rId5"/>
    <sheet name="Related Features (optional)" sheetId="9" r:id="rId6"/>
    <sheet name="Methods" sheetId="8" r:id="rId7"/>
    <sheet name="Variables" sheetId="12" r:id="rId8"/>
    <sheet name="Processing Levels" sheetId="13" r:id="rId9"/>
    <sheet name="Taxonomic Classifiers" sheetId="20" r:id="rId10"/>
    <sheet name="Data Columns" sheetId="4" r:id="rId11"/>
    <sheet name="Data Values" sheetId="5" r:id="rId12"/>
    <sheet name="Specimen Column Finder" sheetId="21" state="hidden" r:id="rId13"/>
    <sheet name="Result Column Labels" sheetId="24" state="hidden" r:id="rId14"/>
    <sheet name="Result Column Finder" sheetId="23" state="hidden" r:id="rId15"/>
    <sheet name="YODA Header Blocks" sheetId="11" state="hidden" r:id="rId16"/>
    <sheet name="YODA Generator" sheetId="15" state="hidden" r:id="rId17"/>
    <sheet name="YODA File" sheetId="16" r:id="rId18"/>
    <sheet name="Controlled Vocabularies" sheetId="3" state="hidden" r:id="rId19"/>
    <sheet name="Units" sheetId="19" state="hidden" r:id="rId20"/>
    <sheet name="SpatialReferences" sheetId="18" state="hidden" r:id="rId21"/>
    <sheet name="ExternalIdentifierSystems" sheetId="17" state="hidden" r:id="rId22"/>
  </sheets>
  <definedNames>
    <definedName name="_xlnm._FilterDatabase" localSheetId="17" hidden="1">'YODA File'!$A$1:$A$165</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ColumnLabels">INDEX(DataColumns[ColumnLabel],1,1):INDEX(DataColumns[ColumnLabel],COUNTA(DataColumns[ColumnLabel]))</definedName>
    <definedName name="ColumnTypes">INDEX(ControlledVocabularies[ColumnTypes],1,1):INDEX(ControlledVocabularies[ColumnTypes],COUNTA(ControlledVocabularies[ColumnTypes]))</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ataValueLabels">INDEX(ResultColumnLabels[Data Value Label],1,1):INDEX(ResultColumnLabels[Data Value Label],NumDataColumns)</definedName>
    <definedName name="DirectiveTypeCV">INDEX(ControlledVocabularies[directivetype],1,1):INDEX(ControlledVocabularies[directivetype],COUNTA(ControlledVocabularies[directivetype]))</definedName>
    <definedName name="ElevationDatum">'Sampling Features'!$B$9</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INDEX(SamplingFeatures[Feature Code],1,1):INDEX(SamplingFeatures[Feature Code],COUNTA(SamplingFeatures[Feature Code]))</definedName>
    <definedName name="LatLonDatum">'Sampling Features'!$B$10</definedName>
    <definedName name="LatLonDatumNames">INDEX(SpatialReferences[SRSName],1,1):INDEX(SpatialReferences[SRSName],COUNTA(SpatialReferences[SRSName]))</definedName>
    <definedName name="LengthHeader">'YODA Header Blocks'!$CD$4</definedName>
    <definedName name="ListOfVocabularies">'Controlled Vocabularies'!$1:$1</definedName>
    <definedName name="LongestBlock">'YODA Header Blocks'!$CD$3</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Columns'!$V$6</definedName>
    <definedName name="NumDataValues">'YODA Header Blocks'!$CD$5</definedName>
    <definedName name="NumFileColumns">'Data Columns'!$V$3</definedName>
    <definedName name="NumIGSNs">'Sampling Features'!$I$10</definedName>
    <definedName name="NumMethods">Methods!$F$6</definedName>
    <definedName name="NumORCIDs">'People and Organizations'!$H$6</definedName>
    <definedName name="NumOrganizations">'People and Organizations'!$H$4</definedName>
    <definedName name="NumParentSamplingFeatures">'Sampling Features'!$I$9</definedName>
    <definedName name="NumParentSpecimens">'Sampling Features'!$Q$9</definedName>
    <definedName name="NumPeople">'People and Organizations'!$H$5</definedName>
    <definedName name="NumPersonExternalIDs">'People and Organizations'!$H$6</definedName>
    <definedName name="NumProcessingLevels">'Processing Levels'!$E$7</definedName>
    <definedName name="NumRelatedFeatures">'Related Features (optional)'!$F$4</definedName>
    <definedName name="NumSites">'Sampling Features'!$M$9</definedName>
    <definedName name="NumSpecimens">'Data Columns'!$V$5</definedName>
    <definedName name="NumTaxClassifiers">'Taxonomic Classifiers'!$E$4</definedName>
    <definedName name="NumVariables">Variables!$F$5</definedName>
    <definedName name="OffsetCodes">INDEX(SpatialOffsets[Spatial Offset Code],1,1):INDEX(SpatialOffsets[Spatial Offset Code],COUNTA(SpatialOffsets[Spatial Offset Code]))</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INDEX(ControlledVocabularies[referencematerialmedium],1,1):INDEX(ControlledVocabularies[referencematerialmedium],COUNTA(ControlledVocabularies[referencematerialmedium]))</definedName>
    <definedName name="RelationshipTypeCV">INDEX(ControlledVocabularies[relationshiptype],1,1):INDEX(ControlledVocabularies[relationshiptype],COUNTA(ControlledVocabularies[relationshiptype]))</definedName>
    <definedName name="ResultColumns">ResultColumnFinder[DataType]</definedName>
    <definedName name="ResultTypeCV">INDEX(ControlledVocabularies[resulttype],1,1):INDEX(ControlledVocabularies[resulttype],COUNTA(ControlledVocabularies[resulttype]))</definedName>
    <definedName name="SampledMediumCV">INDEX(ControlledVocabularies[sampledmedium],1,1):INDEX(ControlledVocabularies[sampledmedium],COUNTA(ControlledVocabularies[sampledmedium]))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ColumnNumber">'Data Columns'!$V$4</definedName>
    <definedName name="SpecimenMediumCV">INDEX(ControlledVocabularies[specimenmedium],1,1):INDEX(ControlledVocabularies[specimenmedium],COUNTA(ControlledVocabularies[specimenmedium]))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Classifiers">INDEX(TaxonomicClassifiers[Taxonomic Classifier Name],1,1):INDEX(TaxonomicClassifiers[Taxonomic Classifier Name],COUNTA(TaxonomicClassifiers[Taxonomic Classifier Name]))</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ocabUpdate">Instructions!$A$8</definedName>
    <definedName name="YODAVersion">Instructions!$A$2</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C3" i="15" l="1"/>
  <c r="A3" i="15"/>
  <c r="D3" i="15"/>
  <c r="V5" i="4"/>
  <c r="AR5" i="11"/>
  <c r="AR6" i="11"/>
  <c r="AR7" i="11"/>
  <c r="AR8" i="11"/>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Q9"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M9"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I10" i="2"/>
  <c r="I24" i="7"/>
  <c r="I25" i="7"/>
  <c r="I26" i="7"/>
  <c r="I27" i="7"/>
  <c r="I28" i="7"/>
  <c r="I29" i="7"/>
  <c r="I30" i="7"/>
  <c r="I31" i="7"/>
  <c r="I32" i="7"/>
  <c r="I33" i="7"/>
  <c r="H6" i="7"/>
  <c r="AB13" i="4"/>
  <c r="AB14" i="4"/>
  <c r="AB15" i="4"/>
  <c r="AB16" i="4"/>
  <c r="AB17" i="4"/>
  <c r="AB18" i="4"/>
  <c r="AB19" i="4"/>
  <c r="AB20" i="4"/>
  <c r="AB21" i="4"/>
  <c r="AB22" i="4"/>
  <c r="AB23" i="4"/>
  <c r="AB24" i="4"/>
  <c r="AB25" i="4"/>
  <c r="AB26" i="4"/>
  <c r="AB27" i="4"/>
  <c r="AB28" i="4"/>
  <c r="AB29" i="4"/>
  <c r="AB30" i="4"/>
  <c r="AB31" i="4"/>
  <c r="AB32" i="4"/>
  <c r="AB33" i="4"/>
  <c r="AB34" i="4"/>
  <c r="AB35" i="4"/>
  <c r="AB36" i="4"/>
  <c r="AB37" i="4"/>
  <c r="AB38" i="4"/>
  <c r="AB39" i="4"/>
  <c r="AB40" i="4"/>
  <c r="AB41" i="4"/>
  <c r="AB42" i="4"/>
  <c r="AB43" i="4"/>
  <c r="AB44" i="4"/>
  <c r="AB45" i="4"/>
  <c r="AB46" i="4"/>
  <c r="AB47" i="4"/>
  <c r="AB48" i="4"/>
  <c r="AB49" i="4"/>
  <c r="AB50" i="4"/>
  <c r="AB51" i="4"/>
  <c r="AB52" i="4"/>
  <c r="AB53" i="4"/>
  <c r="AB54" i="4"/>
  <c r="AB55" i="4"/>
  <c r="AB56" i="4"/>
  <c r="AB57" i="4"/>
  <c r="AB58" i="4"/>
  <c r="AB59" i="4"/>
  <c r="AB60" i="4"/>
  <c r="AB61" i="4"/>
  <c r="AB62" i="4"/>
  <c r="AB63" i="4"/>
  <c r="AB64" i="4"/>
  <c r="AB65" i="4"/>
  <c r="AB66" i="4"/>
  <c r="AB67" i="4"/>
  <c r="AB68" i="4"/>
  <c r="AB69" i="4"/>
  <c r="AB70" i="4"/>
  <c r="AB71" i="4"/>
  <c r="AB72" i="4"/>
  <c r="AB73" i="4"/>
  <c r="AB74" i="4"/>
  <c r="AB75" i="4"/>
  <c r="AB76" i="4"/>
  <c r="AB77" i="4"/>
  <c r="AB78" i="4"/>
  <c r="AB79" i="4"/>
  <c r="AB80" i="4"/>
  <c r="AB81" i="4"/>
  <c r="AB82" i="4"/>
  <c r="AB83" i="4"/>
  <c r="AB84" i="4"/>
  <c r="AB85" i="4"/>
  <c r="AB86" i="4"/>
  <c r="AB87" i="4"/>
  <c r="AB88" i="4"/>
  <c r="AB89" i="4"/>
  <c r="AB90" i="4"/>
  <c r="AB91" i="4"/>
  <c r="AB92" i="4"/>
  <c r="AB93" i="4"/>
  <c r="AB94" i="4"/>
  <c r="AB95" i="4"/>
  <c r="AB96" i="4"/>
  <c r="AB97" i="4"/>
  <c r="AB98" i="4"/>
  <c r="AB99" i="4"/>
  <c r="AG6" i="11"/>
  <c r="AG7" i="11"/>
  <c r="AG8" i="11"/>
  <c r="AG5" i="11"/>
  <c r="C4" i="11"/>
  <c r="AG4" i="11"/>
  <c r="AA5" i="11"/>
  <c r="AA6" i="11"/>
  <c r="AA7" i="11"/>
  <c r="AA8" i="11"/>
  <c r="AA4" i="11"/>
  <c r="K4" i="11"/>
  <c r="A23" i="1"/>
  <c r="A24" i="1"/>
  <c r="A25" i="1"/>
  <c r="A26" i="1"/>
  <c r="A27" i="1"/>
  <c r="L8" i="11"/>
  <c r="L7" i="11"/>
  <c r="L6" i="11"/>
  <c r="L5" i="11"/>
  <c r="AK4" i="11"/>
  <c r="AH4" i="11"/>
  <c r="N4" i="11"/>
  <c r="M4" i="11"/>
  <c r="L4" i="11"/>
  <c r="J4" i="11"/>
  <c r="G4" i="11"/>
  <c r="D4" i="11"/>
  <c r="BR3" i="11"/>
  <c r="BQ3" i="11"/>
  <c r="BP3" i="11"/>
  <c r="BO3" i="11"/>
  <c r="BN3" i="11"/>
  <c r="BM3" i="11"/>
  <c r="BL3" i="11"/>
  <c r="BK3" i="11"/>
  <c r="BJ3" i="11"/>
  <c r="BI3" i="11"/>
  <c r="BH3" i="11"/>
  <c r="BG3" i="11"/>
  <c r="BF3" i="11"/>
  <c r="BE3" i="11"/>
  <c r="BD3" i="11"/>
  <c r="BB3" i="11"/>
  <c r="AZ3" i="11"/>
  <c r="AY3" i="11"/>
  <c r="AX3" i="11"/>
  <c r="AW3" i="11"/>
  <c r="AV3" i="11"/>
  <c r="AU3" i="11"/>
  <c r="AT3" i="11"/>
  <c r="AS3" i="11"/>
  <c r="AR3" i="11"/>
  <c r="AP3" i="11"/>
  <c r="AO3" i="11"/>
  <c r="AN3" i="11"/>
  <c r="AM3" i="11"/>
  <c r="AL3" i="11"/>
  <c r="AI3" i="11"/>
  <c r="AE3" i="11"/>
  <c r="AD3" i="11"/>
  <c r="AC3" i="11"/>
  <c r="AB3" i="11"/>
  <c r="AA3" i="11"/>
  <c r="V3" i="11"/>
  <c r="U3" i="11"/>
  <c r="T3" i="11"/>
  <c r="S3" i="11"/>
  <c r="R3" i="11"/>
  <c r="Q3" i="11"/>
  <c r="P3" i="11"/>
  <c r="O3" i="11"/>
  <c r="M3" i="11"/>
  <c r="L3" i="11"/>
  <c r="K3" i="11"/>
  <c r="J3" i="11"/>
  <c r="K2" i="11"/>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32" i="1"/>
  <c r="A31" i="1"/>
  <c r="A30" i="1"/>
  <c r="A29" i="1"/>
  <c r="A28" i="1"/>
  <c r="H33" i="7"/>
  <c r="H32" i="7"/>
  <c r="H31" i="7"/>
  <c r="H30" i="7"/>
  <c r="H29" i="7"/>
  <c r="H28" i="7"/>
  <c r="H27" i="7"/>
  <c r="H26" i="7"/>
  <c r="H25" i="7"/>
  <c r="H24" i="7"/>
  <c r="A13" i="4"/>
  <c r="AA2" i="11"/>
  <c r="A14" i="4"/>
  <c r="AC13" i="4"/>
  <c r="AC14" i="4"/>
  <c r="AC15" i="4"/>
  <c r="AC16" i="4"/>
  <c r="AC17" i="4"/>
  <c r="AC18" i="4"/>
  <c r="AC19" i="4"/>
  <c r="AC20" i="4"/>
  <c r="AC21" i="4"/>
  <c r="AC22" i="4"/>
  <c r="AC23" i="4"/>
  <c r="AC24" i="4"/>
  <c r="AC25" i="4"/>
  <c r="AC26" i="4"/>
  <c r="AC27" i="4"/>
  <c r="AC28" i="4"/>
  <c r="AC29" i="4"/>
  <c r="AC30" i="4"/>
  <c r="AC31" i="4"/>
  <c r="AC32" i="4"/>
  <c r="AC33" i="4"/>
  <c r="AC34" i="4"/>
  <c r="AC35" i="4"/>
  <c r="AC36" i="4"/>
  <c r="AC37" i="4"/>
  <c r="AC38" i="4"/>
  <c r="AC39" i="4"/>
  <c r="AC40" i="4"/>
  <c r="AC41" i="4"/>
  <c r="AC42" i="4"/>
  <c r="AC43" i="4"/>
  <c r="AC44" i="4"/>
  <c r="AC45" i="4"/>
  <c r="AC46" i="4"/>
  <c r="AC47" i="4"/>
  <c r="AC48" i="4"/>
  <c r="AC49" i="4"/>
  <c r="AC50" i="4"/>
  <c r="AC51" i="4"/>
  <c r="AC52" i="4"/>
  <c r="AC53" i="4"/>
  <c r="AC54" i="4"/>
  <c r="AC55" i="4"/>
  <c r="AC56" i="4"/>
  <c r="AC57" i="4"/>
  <c r="AC58" i="4"/>
  <c r="AC59" i="4"/>
  <c r="AC60" i="4"/>
  <c r="AC61" i="4"/>
  <c r="AC62" i="4"/>
  <c r="AC63" i="4"/>
  <c r="AC64" i="4"/>
  <c r="AC65" i="4"/>
  <c r="AC66" i="4"/>
  <c r="AC67" i="4"/>
  <c r="AC68" i="4"/>
  <c r="AC69" i="4"/>
  <c r="AC70" i="4"/>
  <c r="AC71" i="4"/>
  <c r="AC72" i="4"/>
  <c r="AC73" i="4"/>
  <c r="AC74" i="4"/>
  <c r="AC75" i="4"/>
  <c r="AC76" i="4"/>
  <c r="AC77" i="4"/>
  <c r="AC78" i="4"/>
  <c r="AC79" i="4"/>
  <c r="AC80" i="4"/>
  <c r="AC81" i="4"/>
  <c r="AC82" i="4"/>
  <c r="AC83" i="4"/>
  <c r="AC84" i="4"/>
  <c r="AC85" i="4"/>
  <c r="AC86" i="4"/>
  <c r="AC87" i="4"/>
  <c r="AC88" i="4"/>
  <c r="AC89" i="4"/>
  <c r="AC90" i="4"/>
  <c r="AC91" i="4"/>
  <c r="AC92" i="4"/>
  <c r="AC93" i="4"/>
  <c r="AC94" i="4"/>
  <c r="AC95" i="4"/>
  <c r="AC96" i="4"/>
  <c r="AC97" i="4"/>
  <c r="AC98" i="4"/>
  <c r="AC99" i="4"/>
  <c r="A15" i="4"/>
  <c r="A16" i="4"/>
  <c r="D2" i="15"/>
  <c r="G11" i="4"/>
  <c r="T11" i="4"/>
  <c r="S11" i="4"/>
  <c r="A17" i="4"/>
  <c r="G4" i="23"/>
  <c r="G18" i="23"/>
  <c r="G6" i="23"/>
  <c r="G12" i="23"/>
  <c r="G14" i="23"/>
  <c r="G13" i="23"/>
  <c r="G8" i="23"/>
  <c r="G11" i="23"/>
  <c r="G17" i="23"/>
  <c r="G5" i="23"/>
  <c r="G15" i="23"/>
  <c r="G10" i="23"/>
  <c r="G7" i="23"/>
  <c r="G9" i="23"/>
  <c r="G2" i="23"/>
  <c r="G19" i="23"/>
  <c r="G3" i="23"/>
  <c r="G16" i="23"/>
  <c r="Y3" i="11"/>
  <c r="I9" i="2"/>
  <c r="A18" i="4"/>
  <c r="A19" i="4"/>
  <c r="A20" i="4"/>
  <c r="A21" i="4"/>
  <c r="AP6" i="11"/>
  <c r="AP7" i="11"/>
  <c r="AP8" i="11"/>
  <c r="AP5" i="11"/>
  <c r="AP4" i="11"/>
  <c r="F3" i="21"/>
  <c r="G3" i="21"/>
  <c r="H3" i="21"/>
  <c r="V4" i="4"/>
  <c r="K3" i="21"/>
  <c r="A22" i="4"/>
  <c r="K11" i="4"/>
  <c r="X11" i="4"/>
  <c r="N11" i="4"/>
  <c r="H11" i="4"/>
  <c r="U11" i="4"/>
  <c r="R11" i="4"/>
  <c r="AA11" i="4"/>
  <c r="Y11" i="4"/>
  <c r="L11" i="4"/>
  <c r="E11" i="4"/>
  <c r="I11" i="4"/>
  <c r="O11" i="4"/>
  <c r="A23" i="4"/>
  <c r="V11" i="4"/>
  <c r="W11" i="4"/>
  <c r="F11" i="4"/>
  <c r="M11" i="4"/>
  <c r="Q11" i="4"/>
  <c r="Z11" i="4"/>
  <c r="P11" i="4"/>
  <c r="J11" i="4"/>
  <c r="V6" i="4"/>
  <c r="A8" i="11"/>
  <c r="I2" i="23"/>
  <c r="I3" i="23"/>
  <c r="I4" i="23"/>
  <c r="I5" i="23"/>
  <c r="I6" i="23"/>
  <c r="I7" i="23"/>
  <c r="I8" i="23"/>
  <c r="I9" i="23"/>
  <c r="I10" i="23"/>
  <c r="I11" i="23"/>
  <c r="I12" i="23"/>
  <c r="I13" i="23"/>
  <c r="I14" i="23"/>
  <c r="I15" i="23"/>
  <c r="I16" i="23"/>
  <c r="I17" i="23"/>
  <c r="I18" i="23"/>
  <c r="I19" i="23"/>
  <c r="J2" i="23"/>
  <c r="J3" i="23"/>
  <c r="J4" i="23"/>
  <c r="J5" i="23"/>
  <c r="J6" i="23"/>
  <c r="J7" i="23"/>
  <c r="J8" i="23"/>
  <c r="J9" i="23"/>
  <c r="J10" i="23"/>
  <c r="J11" i="23"/>
  <c r="J12" i="23"/>
  <c r="J13" i="23"/>
  <c r="J14" i="23"/>
  <c r="J15" i="23"/>
  <c r="J16" i="23"/>
  <c r="J17" i="23"/>
  <c r="J18" i="23"/>
  <c r="J19" i="23"/>
  <c r="M2" i="23"/>
  <c r="M3" i="23"/>
  <c r="M4" i="23"/>
  <c r="M5" i="23"/>
  <c r="M6" i="23"/>
  <c r="M7" i="23"/>
  <c r="M8" i="23"/>
  <c r="M9" i="23"/>
  <c r="M10" i="23"/>
  <c r="M11" i="23"/>
  <c r="M12" i="23"/>
  <c r="M13" i="23"/>
  <c r="M14" i="23"/>
  <c r="M15" i="23"/>
  <c r="M16" i="23"/>
  <c r="M17" i="23"/>
  <c r="M18" i="23"/>
  <c r="H2" i="21"/>
  <c r="H6" i="21"/>
  <c r="H7" i="21"/>
  <c r="H8" i="21"/>
  <c r="H14" i="21"/>
  <c r="H15" i="21"/>
  <c r="H16" i="21"/>
  <c r="H10" i="21"/>
  <c r="H11" i="21"/>
  <c r="H12" i="21"/>
  <c r="H13" i="21"/>
  <c r="F7" i="21"/>
  <c r="G7" i="21"/>
  <c r="A24" i="4"/>
  <c r="A25" i="4"/>
  <c r="A2" i="24"/>
  <c r="A26" i="4"/>
  <c r="B2" i="24"/>
  <c r="A1001" i="24"/>
  <c r="B1001" i="24"/>
  <c r="A120" i="24"/>
  <c r="B120" i="24"/>
  <c r="A124" i="24"/>
  <c r="B124" i="24"/>
  <c r="A128" i="24"/>
  <c r="B128" i="24"/>
  <c r="A132" i="24"/>
  <c r="B132" i="24"/>
  <c r="A136" i="24"/>
  <c r="B136" i="24"/>
  <c r="A140" i="24"/>
  <c r="B140" i="24"/>
  <c r="A144" i="24"/>
  <c r="B144" i="24"/>
  <c r="A148" i="24"/>
  <c r="B148" i="24"/>
  <c r="A152" i="24"/>
  <c r="B152" i="24"/>
  <c r="A156" i="24"/>
  <c r="B156" i="24"/>
  <c r="A160" i="24"/>
  <c r="B160" i="24"/>
  <c r="A164" i="24"/>
  <c r="B164" i="24"/>
  <c r="A168" i="24"/>
  <c r="B168" i="24"/>
  <c r="A172" i="24"/>
  <c r="B172" i="24"/>
  <c r="A176" i="24"/>
  <c r="B176" i="24"/>
  <c r="A180" i="24"/>
  <c r="B180" i="24"/>
  <c r="A184" i="24"/>
  <c r="B184" i="24"/>
  <c r="A188" i="24"/>
  <c r="B188" i="24"/>
  <c r="A192" i="24"/>
  <c r="B192" i="24"/>
  <c r="A196" i="24"/>
  <c r="B196" i="24"/>
  <c r="A200" i="24"/>
  <c r="B200" i="24"/>
  <c r="A204" i="24"/>
  <c r="B204" i="24"/>
  <c r="A208" i="24"/>
  <c r="B208" i="24"/>
  <c r="A212" i="24"/>
  <c r="B212" i="24"/>
  <c r="A216" i="24"/>
  <c r="B216" i="24"/>
  <c r="A220" i="24"/>
  <c r="B220" i="24"/>
  <c r="A224" i="24"/>
  <c r="B224" i="24"/>
  <c r="A228" i="24"/>
  <c r="B228" i="24"/>
  <c r="A232" i="24"/>
  <c r="B232" i="24"/>
  <c r="A236" i="24"/>
  <c r="B236" i="24"/>
  <c r="A240" i="24"/>
  <c r="B240" i="24"/>
  <c r="A244" i="24"/>
  <c r="B244" i="24"/>
  <c r="A248" i="24"/>
  <c r="B248" i="24"/>
  <c r="A252" i="24"/>
  <c r="B252" i="24"/>
  <c r="A256" i="24"/>
  <c r="B256" i="24"/>
  <c r="A260" i="24"/>
  <c r="B260" i="24"/>
  <c r="A264" i="24"/>
  <c r="B264" i="24"/>
  <c r="A268" i="24"/>
  <c r="B268" i="24"/>
  <c r="A272" i="24"/>
  <c r="B272" i="24"/>
  <c r="A276" i="24"/>
  <c r="B276" i="24"/>
  <c r="A280" i="24"/>
  <c r="B280" i="24"/>
  <c r="A284" i="24"/>
  <c r="B284" i="24"/>
  <c r="A288" i="24"/>
  <c r="B288" i="24"/>
  <c r="A292" i="24"/>
  <c r="B292" i="24"/>
  <c r="A296" i="24"/>
  <c r="B296" i="24"/>
  <c r="A300" i="24"/>
  <c r="B300" i="24"/>
  <c r="A304" i="24"/>
  <c r="B304" i="24"/>
  <c r="A308" i="24"/>
  <c r="B308" i="24"/>
  <c r="A312" i="24"/>
  <c r="B312" i="24"/>
  <c r="A316" i="24"/>
  <c r="B316" i="24"/>
  <c r="A320" i="24"/>
  <c r="B320" i="24"/>
  <c r="A324" i="24"/>
  <c r="B324" i="24"/>
  <c r="A328" i="24"/>
  <c r="B328" i="24"/>
  <c r="A332" i="24"/>
  <c r="B332" i="24"/>
  <c r="A336" i="24"/>
  <c r="B336" i="24"/>
  <c r="A340" i="24"/>
  <c r="B340" i="24"/>
  <c r="A344" i="24"/>
  <c r="B344" i="24"/>
  <c r="A348" i="24"/>
  <c r="B348" i="24"/>
  <c r="A352" i="24"/>
  <c r="B352" i="24"/>
  <c r="A356" i="24"/>
  <c r="B356" i="24"/>
  <c r="A360" i="24"/>
  <c r="B360" i="24"/>
  <c r="A364" i="24"/>
  <c r="B364" i="24"/>
  <c r="A368" i="24"/>
  <c r="B368" i="24"/>
  <c r="A372" i="24"/>
  <c r="B372" i="24"/>
  <c r="A376" i="24"/>
  <c r="B376" i="24"/>
  <c r="A380" i="24"/>
  <c r="B380" i="24"/>
  <c r="A384" i="24"/>
  <c r="B384" i="24"/>
  <c r="A388" i="24"/>
  <c r="B388" i="24"/>
  <c r="A392" i="24"/>
  <c r="B392" i="24"/>
  <c r="A396" i="24"/>
  <c r="B396" i="24"/>
  <c r="A400" i="24"/>
  <c r="B400" i="24"/>
  <c r="A404" i="24"/>
  <c r="B404" i="24"/>
  <c r="A408" i="24"/>
  <c r="B408" i="24"/>
  <c r="A412" i="24"/>
  <c r="B412" i="24"/>
  <c r="A416" i="24"/>
  <c r="B416" i="24"/>
  <c r="A420" i="24"/>
  <c r="B420" i="24"/>
  <c r="A424" i="24"/>
  <c r="B424" i="24"/>
  <c r="A428" i="24"/>
  <c r="B428" i="24"/>
  <c r="A432" i="24"/>
  <c r="B432" i="24"/>
  <c r="A436" i="24"/>
  <c r="B436" i="24"/>
  <c r="A440" i="24"/>
  <c r="B440" i="24"/>
  <c r="A444" i="24"/>
  <c r="B444" i="24"/>
  <c r="A448" i="24"/>
  <c r="B448" i="24"/>
  <c r="A452" i="24"/>
  <c r="B452" i="24"/>
  <c r="A119" i="24"/>
  <c r="B119" i="24"/>
  <c r="A123" i="24"/>
  <c r="B123" i="24"/>
  <c r="A127" i="24"/>
  <c r="B127" i="24"/>
  <c r="A131" i="24"/>
  <c r="B131" i="24"/>
  <c r="A135" i="24"/>
  <c r="B135" i="24"/>
  <c r="A139" i="24"/>
  <c r="B139" i="24"/>
  <c r="A143" i="24"/>
  <c r="B143" i="24"/>
  <c r="A147" i="24"/>
  <c r="B147" i="24"/>
  <c r="A151" i="24"/>
  <c r="B151" i="24"/>
  <c r="A155" i="24"/>
  <c r="B155" i="24"/>
  <c r="A159" i="24"/>
  <c r="B159" i="24"/>
  <c r="A163" i="24"/>
  <c r="B163" i="24"/>
  <c r="A167" i="24"/>
  <c r="B167" i="24"/>
  <c r="A171" i="24"/>
  <c r="B171" i="24"/>
  <c r="A175" i="24"/>
  <c r="B175" i="24"/>
  <c r="A179" i="24"/>
  <c r="B179" i="24"/>
  <c r="A183" i="24"/>
  <c r="B183" i="24"/>
  <c r="A117" i="24"/>
  <c r="B117" i="24"/>
  <c r="A118" i="24"/>
  <c r="B118" i="24"/>
  <c r="A122" i="24"/>
  <c r="B122" i="24"/>
  <c r="A130" i="24"/>
  <c r="B130" i="24"/>
  <c r="A138" i="24"/>
  <c r="B138" i="24"/>
  <c r="A146" i="24"/>
  <c r="B146" i="24"/>
  <c r="A154" i="24"/>
  <c r="B154" i="24"/>
  <c r="A162" i="24"/>
  <c r="B162" i="24"/>
  <c r="A170" i="24"/>
  <c r="B170" i="24"/>
  <c r="A178" i="24"/>
  <c r="B178" i="24"/>
  <c r="A186" i="24"/>
  <c r="B186" i="24"/>
  <c r="A191" i="24"/>
  <c r="B191" i="24"/>
  <c r="A197" i="24"/>
  <c r="B197" i="24"/>
  <c r="A202" i="24"/>
  <c r="B202" i="24"/>
  <c r="A207" i="24"/>
  <c r="B207" i="24"/>
  <c r="A213" i="24"/>
  <c r="B213" i="24"/>
  <c r="A218" i="24"/>
  <c r="B218" i="24"/>
  <c r="A223" i="24"/>
  <c r="B223" i="24"/>
  <c r="A229" i="24"/>
  <c r="B229" i="24"/>
  <c r="A234" i="24"/>
  <c r="B234" i="24"/>
  <c r="A239" i="24"/>
  <c r="B239" i="24"/>
  <c r="A245" i="24"/>
  <c r="B245" i="24"/>
  <c r="A250" i="24"/>
  <c r="B250" i="24"/>
  <c r="A255" i="24"/>
  <c r="B255" i="24"/>
  <c r="A261" i="24"/>
  <c r="B261" i="24"/>
  <c r="A266" i="24"/>
  <c r="B266" i="24"/>
  <c r="A271" i="24"/>
  <c r="B271" i="24"/>
  <c r="A277" i="24"/>
  <c r="B277" i="24"/>
  <c r="A282" i="24"/>
  <c r="B282" i="24"/>
  <c r="A287" i="24"/>
  <c r="B287" i="24"/>
  <c r="A293" i="24"/>
  <c r="B293" i="24"/>
  <c r="A298" i="24"/>
  <c r="B298" i="24"/>
  <c r="A303" i="24"/>
  <c r="B303" i="24"/>
  <c r="A309" i="24"/>
  <c r="B309" i="24"/>
  <c r="A314" i="24"/>
  <c r="B314" i="24"/>
  <c r="A319" i="24"/>
  <c r="B319" i="24"/>
  <c r="A325" i="24"/>
  <c r="B325" i="24"/>
  <c r="A330" i="24"/>
  <c r="B330" i="24"/>
  <c r="A335" i="24"/>
  <c r="B335" i="24"/>
  <c r="A341" i="24"/>
  <c r="B341" i="24"/>
  <c r="A346" i="24"/>
  <c r="B346" i="24"/>
  <c r="A351" i="24"/>
  <c r="B351" i="24"/>
  <c r="A357" i="24"/>
  <c r="B357" i="24"/>
  <c r="A362" i="24"/>
  <c r="B362" i="24"/>
  <c r="A367" i="24"/>
  <c r="B367" i="24"/>
  <c r="A373" i="24"/>
  <c r="B373" i="24"/>
  <c r="A378" i="24"/>
  <c r="B378" i="24"/>
  <c r="A383" i="24"/>
  <c r="B383" i="24"/>
  <c r="A389" i="24"/>
  <c r="B389" i="24"/>
  <c r="A394" i="24"/>
  <c r="B394" i="24"/>
  <c r="A399" i="24"/>
  <c r="B399" i="24"/>
  <c r="A405" i="24"/>
  <c r="B405" i="24"/>
  <c r="A410" i="24"/>
  <c r="B410" i="24"/>
  <c r="A415" i="24"/>
  <c r="B415" i="24"/>
  <c r="A421" i="24"/>
  <c r="B421" i="24"/>
  <c r="A426" i="24"/>
  <c r="B426" i="24"/>
  <c r="A431" i="24"/>
  <c r="B431" i="24"/>
  <c r="A437" i="24"/>
  <c r="B437" i="24"/>
  <c r="A442" i="24"/>
  <c r="B442" i="24"/>
  <c r="A447" i="24"/>
  <c r="B447" i="24"/>
  <c r="A453" i="24"/>
  <c r="B453" i="24"/>
  <c r="A457" i="24"/>
  <c r="B457" i="24"/>
  <c r="A461" i="24"/>
  <c r="B461" i="24"/>
  <c r="A465" i="24"/>
  <c r="B465" i="24"/>
  <c r="A469" i="24"/>
  <c r="B469" i="24"/>
  <c r="A473" i="24"/>
  <c r="B473" i="24"/>
  <c r="A477" i="24"/>
  <c r="B477" i="24"/>
  <c r="A481" i="24"/>
  <c r="B481" i="24"/>
  <c r="A485" i="24"/>
  <c r="B485" i="24"/>
  <c r="A489" i="24"/>
  <c r="B489" i="24"/>
  <c r="A493" i="24"/>
  <c r="B493" i="24"/>
  <c r="A497" i="24"/>
  <c r="B497" i="24"/>
  <c r="A501" i="24"/>
  <c r="B501" i="24"/>
  <c r="A505" i="24"/>
  <c r="B505" i="24"/>
  <c r="A509" i="24"/>
  <c r="B509" i="24"/>
  <c r="A513" i="24"/>
  <c r="B513" i="24"/>
  <c r="A517" i="24"/>
  <c r="B517" i="24"/>
  <c r="A521" i="24"/>
  <c r="B521" i="24"/>
  <c r="A525" i="24"/>
  <c r="B525" i="24"/>
  <c r="A529" i="24"/>
  <c r="B529" i="24"/>
  <c r="A533" i="24"/>
  <c r="B533" i="24"/>
  <c r="A537" i="24"/>
  <c r="B537" i="24"/>
  <c r="A541" i="24"/>
  <c r="B541" i="24"/>
  <c r="A545" i="24"/>
  <c r="B545" i="24"/>
  <c r="A549" i="24"/>
  <c r="B549" i="24"/>
  <c r="A553" i="24"/>
  <c r="B553" i="24"/>
  <c r="A557" i="24"/>
  <c r="B557" i="24"/>
  <c r="A121" i="24"/>
  <c r="B121" i="24"/>
  <c r="A133" i="24"/>
  <c r="B133" i="24"/>
  <c r="A142" i="24"/>
  <c r="B142" i="24"/>
  <c r="A153" i="24"/>
  <c r="B153" i="24"/>
  <c r="A165" i="24"/>
  <c r="B165" i="24"/>
  <c r="A174" i="24"/>
  <c r="B174" i="24"/>
  <c r="A185" i="24"/>
  <c r="B185" i="24"/>
  <c r="A193" i="24"/>
  <c r="B193" i="24"/>
  <c r="A199" i="24"/>
  <c r="B199" i="24"/>
  <c r="A206" i="24"/>
  <c r="B206" i="24"/>
  <c r="A214" i="24"/>
  <c r="B214" i="24"/>
  <c r="A221" i="24"/>
  <c r="B221" i="24"/>
  <c r="A227" i="24"/>
  <c r="B227" i="24"/>
  <c r="A235" i="24"/>
  <c r="B235" i="24"/>
  <c r="A242" i="24"/>
  <c r="B242" i="24"/>
  <c r="A249" i="24"/>
  <c r="B249" i="24"/>
  <c r="A257" i="24"/>
  <c r="B257" i="24"/>
  <c r="A263" i="24"/>
  <c r="B263" i="24"/>
  <c r="A270" i="24"/>
  <c r="B270" i="24"/>
  <c r="A278" i="24"/>
  <c r="B278" i="24"/>
  <c r="A285" i="24"/>
  <c r="B285" i="24"/>
  <c r="A291" i="24"/>
  <c r="B291" i="24"/>
  <c r="A299" i="24"/>
  <c r="B299" i="24"/>
  <c r="A306" i="24"/>
  <c r="B306" i="24"/>
  <c r="A313" i="24"/>
  <c r="B313" i="24"/>
  <c r="A321" i="24"/>
  <c r="B321" i="24"/>
  <c r="A327" i="24"/>
  <c r="B327" i="24"/>
  <c r="A334" i="24"/>
  <c r="B334" i="24"/>
  <c r="A342" i="24"/>
  <c r="B342" i="24"/>
  <c r="A349" i="24"/>
  <c r="B349" i="24"/>
  <c r="A355" i="24"/>
  <c r="B355" i="24"/>
  <c r="A363" i="24"/>
  <c r="B363" i="24"/>
  <c r="A370" i="24"/>
  <c r="B370" i="24"/>
  <c r="A377" i="24"/>
  <c r="B377" i="24"/>
  <c r="A385" i="24"/>
  <c r="B385" i="24"/>
  <c r="A391" i="24"/>
  <c r="B391" i="24"/>
  <c r="A398" i="24"/>
  <c r="B398" i="24"/>
  <c r="A406" i="24"/>
  <c r="B406" i="24"/>
  <c r="A413" i="24"/>
  <c r="B413" i="24"/>
  <c r="A419" i="24"/>
  <c r="B419" i="24"/>
  <c r="A427" i="24"/>
  <c r="B427" i="24"/>
  <c r="A434" i="24"/>
  <c r="B434" i="24"/>
  <c r="A441" i="24"/>
  <c r="B441" i="24"/>
  <c r="A449" i="24"/>
  <c r="B449" i="24"/>
  <c r="A455" i="24"/>
  <c r="B455" i="24"/>
  <c r="A460" i="24"/>
  <c r="B460" i="24"/>
  <c r="A466" i="24"/>
  <c r="B466" i="24"/>
  <c r="A471" i="24"/>
  <c r="B471" i="24"/>
  <c r="A476" i="24"/>
  <c r="B476" i="24"/>
  <c r="A482" i="24"/>
  <c r="B482" i="24"/>
  <c r="A487" i="24"/>
  <c r="B487" i="24"/>
  <c r="A492" i="24"/>
  <c r="B492" i="24"/>
  <c r="A498" i="24"/>
  <c r="B498" i="24"/>
  <c r="A503" i="24"/>
  <c r="B503" i="24"/>
  <c r="A508" i="24"/>
  <c r="B508" i="24"/>
  <c r="A514" i="24"/>
  <c r="B514" i="24"/>
  <c r="A519" i="24"/>
  <c r="B519" i="24"/>
  <c r="A125" i="24"/>
  <c r="B125" i="24"/>
  <c r="A134" i="24"/>
  <c r="B134" i="24"/>
  <c r="A145" i="24"/>
  <c r="B145" i="24"/>
  <c r="A157" i="24"/>
  <c r="B157" i="24"/>
  <c r="A166" i="24"/>
  <c r="B166" i="24"/>
  <c r="A177" i="24"/>
  <c r="B177" i="24"/>
  <c r="A187" i="24"/>
  <c r="B187" i="24"/>
  <c r="A194" i="24"/>
  <c r="B194" i="24"/>
  <c r="A201" i="24"/>
  <c r="B201" i="24"/>
  <c r="A209" i="24"/>
  <c r="B209" i="24"/>
  <c r="A215" i="24"/>
  <c r="B215" i="24"/>
  <c r="A222" i="24"/>
  <c r="B222" i="24"/>
  <c r="A230" i="24"/>
  <c r="B230" i="24"/>
  <c r="A237" i="24"/>
  <c r="B237" i="24"/>
  <c r="A243" i="24"/>
  <c r="B243" i="24"/>
  <c r="A251" i="24"/>
  <c r="B251" i="24"/>
  <c r="A258" i="24"/>
  <c r="B258" i="24"/>
  <c r="A265" i="24"/>
  <c r="B265" i="24"/>
  <c r="A273" i="24"/>
  <c r="B273" i="24"/>
  <c r="A279" i="24"/>
  <c r="B279" i="24"/>
  <c r="A286" i="24"/>
  <c r="B286" i="24"/>
  <c r="A294" i="24"/>
  <c r="B294" i="24"/>
  <c r="A301" i="24"/>
  <c r="B301" i="24"/>
  <c r="A307" i="24"/>
  <c r="B307" i="24"/>
  <c r="A315" i="24"/>
  <c r="B315" i="24"/>
  <c r="A322" i="24"/>
  <c r="B322" i="24"/>
  <c r="A329" i="24"/>
  <c r="B329" i="24"/>
  <c r="A337" i="24"/>
  <c r="B337" i="24"/>
  <c r="A343" i="24"/>
  <c r="B343" i="24"/>
  <c r="A350" i="24"/>
  <c r="B350" i="24"/>
  <c r="A358" i="24"/>
  <c r="B358" i="24"/>
  <c r="A365" i="24"/>
  <c r="B365" i="24"/>
  <c r="A371" i="24"/>
  <c r="B371" i="24"/>
  <c r="A379" i="24"/>
  <c r="B379" i="24"/>
  <c r="A386" i="24"/>
  <c r="B386" i="24"/>
  <c r="A393" i="24"/>
  <c r="B393" i="24"/>
  <c r="A401" i="24"/>
  <c r="B401" i="24"/>
  <c r="A407" i="24"/>
  <c r="B407" i="24"/>
  <c r="A414" i="24"/>
  <c r="B414" i="24"/>
  <c r="A422" i="24"/>
  <c r="B422" i="24"/>
  <c r="A429" i="24"/>
  <c r="B429" i="24"/>
  <c r="A435" i="24"/>
  <c r="B435" i="24"/>
  <c r="A443" i="24"/>
  <c r="B443" i="24"/>
  <c r="A450" i="24"/>
  <c r="B450" i="24"/>
  <c r="A456" i="24"/>
  <c r="B456" i="24"/>
  <c r="A462" i="24"/>
  <c r="B462" i="24"/>
  <c r="A467" i="24"/>
  <c r="B467" i="24"/>
  <c r="A472" i="24"/>
  <c r="B472" i="24"/>
  <c r="A478" i="24"/>
  <c r="B478" i="24"/>
  <c r="A483" i="24"/>
  <c r="B483" i="24"/>
  <c r="A488" i="24"/>
  <c r="B488" i="24"/>
  <c r="A494" i="24"/>
  <c r="B494" i="24"/>
  <c r="A499" i="24"/>
  <c r="B499" i="24"/>
  <c r="A504" i="24"/>
  <c r="B504" i="24"/>
  <c r="A510" i="24"/>
  <c r="B510" i="24"/>
  <c r="A515" i="24"/>
  <c r="B515" i="24"/>
  <c r="A520" i="24"/>
  <c r="B520" i="24"/>
  <c r="A129" i="24"/>
  <c r="B129" i="24"/>
  <c r="A141" i="24"/>
  <c r="B141" i="24"/>
  <c r="A150" i="24"/>
  <c r="B150" i="24"/>
  <c r="A161" i="24"/>
  <c r="B161" i="24"/>
  <c r="A173" i="24"/>
  <c r="B173" i="24"/>
  <c r="A182" i="24"/>
  <c r="B182" i="24"/>
  <c r="A190" i="24"/>
  <c r="B190" i="24"/>
  <c r="A198" i="24"/>
  <c r="B198" i="24"/>
  <c r="A205" i="24"/>
  <c r="B205" i="24"/>
  <c r="A211" i="24"/>
  <c r="B211" i="24"/>
  <c r="A219" i="24"/>
  <c r="B219" i="24"/>
  <c r="A226" i="24"/>
  <c r="B226" i="24"/>
  <c r="A233" i="24"/>
  <c r="B233" i="24"/>
  <c r="A241" i="24"/>
  <c r="B241" i="24"/>
  <c r="A247" i="24"/>
  <c r="B247" i="24"/>
  <c r="A254" i="24"/>
  <c r="B254" i="24"/>
  <c r="A262" i="24"/>
  <c r="B262" i="24"/>
  <c r="A269" i="24"/>
  <c r="B269" i="24"/>
  <c r="A275" i="24"/>
  <c r="B275" i="24"/>
  <c r="A283" i="24"/>
  <c r="B283" i="24"/>
  <c r="A290" i="24"/>
  <c r="B290" i="24"/>
  <c r="A297" i="24"/>
  <c r="B297" i="24"/>
  <c r="A305" i="24"/>
  <c r="B305" i="24"/>
  <c r="A311" i="24"/>
  <c r="B311" i="24"/>
  <c r="A318" i="24"/>
  <c r="B318" i="24"/>
  <c r="A326" i="24"/>
  <c r="B326" i="24"/>
  <c r="A333" i="24"/>
  <c r="B333" i="24"/>
  <c r="A339" i="24"/>
  <c r="B339" i="24"/>
  <c r="A347" i="24"/>
  <c r="B347" i="24"/>
  <c r="A354" i="24"/>
  <c r="B354" i="24"/>
  <c r="A361" i="24"/>
  <c r="B361" i="24"/>
  <c r="A369" i="24"/>
  <c r="B369" i="24"/>
  <c r="A375" i="24"/>
  <c r="B375" i="24"/>
  <c r="A382" i="24"/>
  <c r="B382" i="24"/>
  <c r="A390" i="24"/>
  <c r="B390" i="24"/>
  <c r="A397" i="24"/>
  <c r="B397" i="24"/>
  <c r="A403" i="24"/>
  <c r="B403" i="24"/>
  <c r="A411" i="24"/>
  <c r="B411" i="24"/>
  <c r="A418" i="24"/>
  <c r="B418" i="24"/>
  <c r="A425" i="24"/>
  <c r="B425" i="24"/>
  <c r="A433" i="24"/>
  <c r="B433" i="24"/>
  <c r="A439" i="24"/>
  <c r="B439" i="24"/>
  <c r="A446" i="24"/>
  <c r="B446" i="24"/>
  <c r="A454" i="24"/>
  <c r="B454" i="24"/>
  <c r="A459" i="24"/>
  <c r="B459" i="24"/>
  <c r="A464" i="24"/>
  <c r="B464" i="24"/>
  <c r="A470" i="24"/>
  <c r="B470" i="24"/>
  <c r="A475" i="24"/>
  <c r="B475" i="24"/>
  <c r="A480" i="24"/>
  <c r="B480" i="24"/>
  <c r="A486" i="24"/>
  <c r="B486" i="24"/>
  <c r="A491" i="24"/>
  <c r="B491" i="24"/>
  <c r="A496" i="24"/>
  <c r="B496" i="24"/>
  <c r="A502" i="24"/>
  <c r="B502" i="24"/>
  <c r="A507" i="24"/>
  <c r="B507" i="24"/>
  <c r="A512" i="24"/>
  <c r="B512" i="24"/>
  <c r="A518" i="24"/>
  <c r="B518" i="24"/>
  <c r="A523" i="24"/>
  <c r="B523" i="24"/>
  <c r="A528" i="24"/>
  <c r="B528" i="24"/>
  <c r="A534" i="24"/>
  <c r="B534" i="24"/>
  <c r="A539" i="24"/>
  <c r="B539" i="24"/>
  <c r="A544" i="24"/>
  <c r="B544" i="24"/>
  <c r="A550" i="24"/>
  <c r="B550" i="24"/>
  <c r="A555" i="24"/>
  <c r="B555" i="24"/>
  <c r="A560" i="24"/>
  <c r="B560" i="24"/>
  <c r="A564" i="24"/>
  <c r="B564" i="24"/>
  <c r="A568" i="24"/>
  <c r="B568" i="24"/>
  <c r="A572" i="24"/>
  <c r="B572" i="24"/>
  <c r="A576" i="24"/>
  <c r="B576" i="24"/>
  <c r="A580" i="24"/>
  <c r="B580" i="24"/>
  <c r="A584" i="24"/>
  <c r="B584" i="24"/>
  <c r="A588" i="24"/>
  <c r="B588" i="24"/>
  <c r="A592" i="24"/>
  <c r="B592" i="24"/>
  <c r="A596" i="24"/>
  <c r="B596" i="24"/>
  <c r="A600" i="24"/>
  <c r="B600" i="24"/>
  <c r="A604" i="24"/>
  <c r="B604" i="24"/>
  <c r="A608" i="24"/>
  <c r="B608" i="24"/>
  <c r="A612" i="24"/>
  <c r="B612" i="24"/>
  <c r="A616" i="24"/>
  <c r="B616" i="24"/>
  <c r="A620" i="24"/>
  <c r="B620" i="24"/>
  <c r="A624" i="24"/>
  <c r="B624" i="24"/>
  <c r="A628" i="24"/>
  <c r="B628" i="24"/>
  <c r="A632" i="24"/>
  <c r="B632" i="24"/>
  <c r="A636" i="24"/>
  <c r="B636" i="24"/>
  <c r="A640" i="24"/>
  <c r="B640" i="24"/>
  <c r="A644" i="24"/>
  <c r="B644" i="24"/>
  <c r="A648" i="24"/>
  <c r="B648" i="24"/>
  <c r="A652" i="24"/>
  <c r="B652" i="24"/>
  <c r="A656" i="24"/>
  <c r="B656" i="24"/>
  <c r="A660" i="24"/>
  <c r="B660" i="24"/>
  <c r="A664" i="24"/>
  <c r="B664" i="24"/>
  <c r="A668" i="24"/>
  <c r="B668" i="24"/>
  <c r="A672" i="24"/>
  <c r="B672" i="24"/>
  <c r="A676" i="24"/>
  <c r="B676" i="24"/>
  <c r="A680" i="24"/>
  <c r="B680" i="24"/>
  <c r="A684" i="24"/>
  <c r="B684" i="24"/>
  <c r="A688" i="24"/>
  <c r="B688" i="24"/>
  <c r="A692" i="24"/>
  <c r="B692" i="24"/>
  <c r="A696" i="24"/>
  <c r="B696" i="24"/>
  <c r="A700" i="24"/>
  <c r="B700" i="24"/>
  <c r="A704" i="24"/>
  <c r="B704" i="24"/>
  <c r="A708" i="24"/>
  <c r="B708" i="24"/>
  <c r="A712" i="24"/>
  <c r="B712" i="24"/>
  <c r="A716" i="24"/>
  <c r="B716" i="24"/>
  <c r="A720" i="24"/>
  <c r="B720" i="24"/>
  <c r="A724" i="24"/>
  <c r="B724" i="24"/>
  <c r="A728" i="24"/>
  <c r="B728" i="24"/>
  <c r="A732" i="24"/>
  <c r="B732" i="24"/>
  <c r="A736" i="24"/>
  <c r="B736" i="24"/>
  <c r="A740" i="24"/>
  <c r="B740" i="24"/>
  <c r="A744" i="24"/>
  <c r="B744" i="24"/>
  <c r="A748" i="24"/>
  <c r="B748" i="24"/>
  <c r="A752" i="24"/>
  <c r="B752" i="24"/>
  <c r="A756" i="24"/>
  <c r="B756" i="24"/>
  <c r="A760" i="24"/>
  <c r="B760" i="24"/>
  <c r="A764" i="24"/>
  <c r="B764" i="24"/>
  <c r="A768" i="24"/>
  <c r="B768" i="24"/>
  <c r="A772" i="24"/>
  <c r="B772" i="24"/>
  <c r="A776" i="24"/>
  <c r="B776" i="24"/>
  <c r="A780" i="24"/>
  <c r="B780" i="24"/>
  <c r="A784" i="24"/>
  <c r="B784" i="24"/>
  <c r="A788" i="24"/>
  <c r="B788" i="24"/>
  <c r="A792" i="24"/>
  <c r="B792" i="24"/>
  <c r="A796" i="24"/>
  <c r="B796" i="24"/>
  <c r="A800" i="24"/>
  <c r="B800" i="24"/>
  <c r="A804" i="24"/>
  <c r="B804" i="24"/>
  <c r="A808" i="24"/>
  <c r="B808" i="24"/>
  <c r="A812" i="24"/>
  <c r="B812" i="24"/>
  <c r="A816" i="24"/>
  <c r="B816" i="24"/>
  <c r="A820" i="24"/>
  <c r="B820" i="24"/>
  <c r="A824" i="24"/>
  <c r="B824" i="24"/>
  <c r="A828" i="24"/>
  <c r="B828" i="24"/>
  <c r="A832" i="24"/>
  <c r="B832" i="24"/>
  <c r="A836" i="24"/>
  <c r="B836" i="24"/>
  <c r="A840" i="24"/>
  <c r="B840" i="24"/>
  <c r="A844" i="24"/>
  <c r="B844" i="24"/>
  <c r="A848" i="24"/>
  <c r="B848" i="24"/>
  <c r="A852" i="24"/>
  <c r="B852" i="24"/>
  <c r="A856" i="24"/>
  <c r="B856" i="24"/>
  <c r="A860" i="24"/>
  <c r="B860" i="24"/>
  <c r="A864" i="24"/>
  <c r="B864" i="24"/>
  <c r="A868" i="24"/>
  <c r="B868" i="24"/>
  <c r="A872" i="24"/>
  <c r="B872" i="24"/>
  <c r="A876" i="24"/>
  <c r="B876" i="24"/>
  <c r="A880" i="24"/>
  <c r="B880" i="24"/>
  <c r="A884" i="24"/>
  <c r="B884" i="24"/>
  <c r="A888" i="24"/>
  <c r="B888" i="24"/>
  <c r="A892" i="24"/>
  <c r="B892" i="24"/>
  <c r="A896" i="24"/>
  <c r="B896" i="24"/>
  <c r="A900" i="24"/>
  <c r="B900" i="24"/>
  <c r="A904" i="24"/>
  <c r="B904" i="24"/>
  <c r="A908" i="24"/>
  <c r="B908" i="24"/>
  <c r="A912" i="24"/>
  <c r="B912" i="24"/>
  <c r="A916" i="24"/>
  <c r="B916" i="24"/>
  <c r="A920" i="24"/>
  <c r="B920" i="24"/>
  <c r="A924" i="24"/>
  <c r="B924" i="24"/>
  <c r="A928" i="24"/>
  <c r="B928" i="24"/>
  <c r="A932" i="24"/>
  <c r="B932" i="24"/>
  <c r="A936" i="24"/>
  <c r="B936" i="24"/>
  <c r="A940" i="24"/>
  <c r="B940" i="24"/>
  <c r="A944" i="24"/>
  <c r="B944" i="24"/>
  <c r="A948" i="24"/>
  <c r="B948" i="24"/>
  <c r="A952" i="24"/>
  <c r="B952" i="24"/>
  <c r="A956" i="24"/>
  <c r="B956" i="24"/>
  <c r="A960" i="24"/>
  <c r="B960" i="24"/>
  <c r="A964" i="24"/>
  <c r="B964" i="24"/>
  <c r="A968" i="24"/>
  <c r="B968" i="24"/>
  <c r="A972" i="24"/>
  <c r="B972" i="24"/>
  <c r="A976" i="24"/>
  <c r="B976" i="24"/>
  <c r="A980" i="24"/>
  <c r="B980" i="24"/>
  <c r="A984" i="24"/>
  <c r="B984" i="24"/>
  <c r="A126" i="24"/>
  <c r="B126" i="24"/>
  <c r="A169" i="24"/>
  <c r="B169" i="24"/>
  <c r="A203" i="24"/>
  <c r="B203" i="24"/>
  <c r="A231" i="24"/>
  <c r="B231" i="24"/>
  <c r="A259" i="24"/>
  <c r="B259" i="24"/>
  <c r="A289" i="24"/>
  <c r="B289" i="24"/>
  <c r="A317" i="24"/>
  <c r="B317" i="24"/>
  <c r="A345" i="24"/>
  <c r="B345" i="24"/>
  <c r="A374" i="24"/>
  <c r="B374" i="24"/>
  <c r="A402" i="24"/>
  <c r="B402" i="24"/>
  <c r="A430" i="24"/>
  <c r="B430" i="24"/>
  <c r="A458" i="24"/>
  <c r="B458" i="24"/>
  <c r="A479" i="24"/>
  <c r="B479" i="24"/>
  <c r="A500" i="24"/>
  <c r="B500" i="24"/>
  <c r="A522" i="24"/>
  <c r="B522" i="24"/>
  <c r="A530" i="24"/>
  <c r="B530" i="24"/>
  <c r="A536" i="24"/>
  <c r="B536" i="24"/>
  <c r="A543" i="24"/>
  <c r="B543" i="24"/>
  <c r="A551" i="24"/>
  <c r="B551" i="24"/>
  <c r="A558" i="24"/>
  <c r="B558" i="24"/>
  <c r="A563" i="24"/>
  <c r="B563" i="24"/>
  <c r="A569" i="24"/>
  <c r="B569" i="24"/>
  <c r="A574" i="24"/>
  <c r="B574" i="24"/>
  <c r="A579" i="24"/>
  <c r="B579" i="24"/>
  <c r="A585" i="24"/>
  <c r="B585" i="24"/>
  <c r="A590" i="24"/>
  <c r="B590" i="24"/>
  <c r="A595" i="24"/>
  <c r="B595" i="24"/>
  <c r="A601" i="24"/>
  <c r="B601" i="24"/>
  <c r="A606" i="24"/>
  <c r="B606" i="24"/>
  <c r="A611" i="24"/>
  <c r="B611" i="24"/>
  <c r="A617" i="24"/>
  <c r="B617" i="24"/>
  <c r="A622" i="24"/>
  <c r="B622" i="24"/>
  <c r="A627" i="24"/>
  <c r="B627" i="24"/>
  <c r="A633" i="24"/>
  <c r="B633" i="24"/>
  <c r="A638" i="24"/>
  <c r="B638" i="24"/>
  <c r="A643" i="24"/>
  <c r="B643" i="24"/>
  <c r="A649" i="24"/>
  <c r="B649" i="24"/>
  <c r="A654" i="24"/>
  <c r="B654" i="24"/>
  <c r="A659" i="24"/>
  <c r="B659" i="24"/>
  <c r="A665" i="24"/>
  <c r="B665" i="24"/>
  <c r="A670" i="24"/>
  <c r="B670" i="24"/>
  <c r="A675" i="24"/>
  <c r="B675" i="24"/>
  <c r="A681" i="24"/>
  <c r="B681" i="24"/>
  <c r="A686" i="24"/>
  <c r="B686" i="24"/>
  <c r="A691" i="24"/>
  <c r="B691" i="24"/>
  <c r="A697" i="24"/>
  <c r="B697" i="24"/>
  <c r="A702" i="24"/>
  <c r="B702" i="24"/>
  <c r="A707" i="24"/>
  <c r="B707" i="24"/>
  <c r="A713" i="24"/>
  <c r="B713" i="24"/>
  <c r="A718" i="24"/>
  <c r="B718" i="24"/>
  <c r="A723" i="24"/>
  <c r="B723" i="24"/>
  <c r="A729" i="24"/>
  <c r="B729" i="24"/>
  <c r="A734" i="24"/>
  <c r="B734" i="24"/>
  <c r="A739" i="24"/>
  <c r="B739" i="24"/>
  <c r="A745" i="24"/>
  <c r="B745" i="24"/>
  <c r="A750" i="24"/>
  <c r="B750" i="24"/>
  <c r="A755" i="24"/>
  <c r="B755" i="24"/>
  <c r="A761" i="24"/>
  <c r="B761" i="24"/>
  <c r="A766" i="24"/>
  <c r="B766" i="24"/>
  <c r="A771" i="24"/>
  <c r="B771" i="24"/>
  <c r="A777" i="24"/>
  <c r="B777" i="24"/>
  <c r="A782" i="24"/>
  <c r="B782" i="24"/>
  <c r="A787" i="24"/>
  <c r="B787" i="24"/>
  <c r="A793" i="24"/>
  <c r="B793" i="24"/>
  <c r="A798" i="24"/>
  <c r="B798" i="24"/>
  <c r="A803" i="24"/>
  <c r="B803" i="24"/>
  <c r="A809" i="24"/>
  <c r="B809" i="24"/>
  <c r="A814" i="24"/>
  <c r="B814" i="24"/>
  <c r="A819" i="24"/>
  <c r="B819" i="24"/>
  <c r="A825" i="24"/>
  <c r="B825" i="24"/>
  <c r="A830" i="24"/>
  <c r="B830" i="24"/>
  <c r="A835" i="24"/>
  <c r="B835" i="24"/>
  <c r="A841" i="24"/>
  <c r="B841" i="24"/>
  <c r="A846" i="24"/>
  <c r="B846" i="24"/>
  <c r="A851" i="24"/>
  <c r="B851" i="24"/>
  <c r="A857" i="24"/>
  <c r="B857" i="24"/>
  <c r="A862" i="24"/>
  <c r="B862" i="24"/>
  <c r="A867" i="24"/>
  <c r="B867" i="24"/>
  <c r="A873" i="24"/>
  <c r="B873" i="24"/>
  <c r="A878" i="24"/>
  <c r="B878" i="24"/>
  <c r="A883" i="24"/>
  <c r="B883" i="24"/>
  <c r="A889" i="24"/>
  <c r="B889" i="24"/>
  <c r="A894" i="24"/>
  <c r="B894" i="24"/>
  <c r="A899" i="24"/>
  <c r="B899" i="24"/>
  <c r="A905" i="24"/>
  <c r="B905" i="24"/>
  <c r="A910" i="24"/>
  <c r="B910" i="24"/>
  <c r="A915" i="24"/>
  <c r="B915" i="24"/>
  <c r="A921" i="24"/>
  <c r="B921" i="24"/>
  <c r="A926" i="24"/>
  <c r="B926" i="24"/>
  <c r="A137" i="24"/>
  <c r="B137" i="24"/>
  <c r="A181" i="24"/>
  <c r="B181" i="24"/>
  <c r="A210" i="24"/>
  <c r="B210" i="24"/>
  <c r="A238" i="24"/>
  <c r="B238" i="24"/>
  <c r="A267" i="24"/>
  <c r="B267" i="24"/>
  <c r="A295" i="24"/>
  <c r="B295" i="24"/>
  <c r="A323" i="24"/>
  <c r="B323" i="24"/>
  <c r="A353" i="24"/>
  <c r="B353" i="24"/>
  <c r="A381" i="24"/>
  <c r="B381" i="24"/>
  <c r="A409" i="24"/>
  <c r="B409" i="24"/>
  <c r="A438" i="24"/>
  <c r="B438" i="24"/>
  <c r="A463" i="24"/>
  <c r="B463" i="24"/>
  <c r="A484" i="24"/>
  <c r="B484" i="24"/>
  <c r="A506" i="24"/>
  <c r="B506" i="24"/>
  <c r="A524" i="24"/>
  <c r="B524" i="24"/>
  <c r="A531" i="24"/>
  <c r="B531" i="24"/>
  <c r="A538" i="24"/>
  <c r="B538" i="24"/>
  <c r="A546" i="24"/>
  <c r="B546" i="24"/>
  <c r="A552" i="24"/>
  <c r="B552" i="24"/>
  <c r="A559" i="24"/>
  <c r="B559" i="24"/>
  <c r="A565" i="24"/>
  <c r="B565" i="24"/>
  <c r="A570" i="24"/>
  <c r="B570" i="24"/>
  <c r="A575" i="24"/>
  <c r="B575" i="24"/>
  <c r="A581" i="24"/>
  <c r="B581" i="24"/>
  <c r="A586" i="24"/>
  <c r="B586" i="24"/>
  <c r="A591" i="24"/>
  <c r="B591" i="24"/>
  <c r="A597" i="24"/>
  <c r="B597" i="24"/>
  <c r="A602" i="24"/>
  <c r="B602" i="24"/>
  <c r="A607" i="24"/>
  <c r="B607" i="24"/>
  <c r="A613" i="24"/>
  <c r="B613" i="24"/>
  <c r="A618" i="24"/>
  <c r="B618" i="24"/>
  <c r="A623" i="24"/>
  <c r="B623" i="24"/>
  <c r="A629" i="24"/>
  <c r="B629" i="24"/>
  <c r="A634" i="24"/>
  <c r="B634" i="24"/>
  <c r="A639" i="24"/>
  <c r="B639" i="24"/>
  <c r="A645" i="24"/>
  <c r="B645" i="24"/>
  <c r="A650" i="24"/>
  <c r="B650" i="24"/>
  <c r="A655" i="24"/>
  <c r="B655" i="24"/>
  <c r="A661" i="24"/>
  <c r="B661" i="24"/>
  <c r="A666" i="24"/>
  <c r="B666" i="24"/>
  <c r="A671" i="24"/>
  <c r="B671" i="24"/>
  <c r="A677" i="24"/>
  <c r="B677" i="24"/>
  <c r="A682" i="24"/>
  <c r="B682" i="24"/>
  <c r="A687" i="24"/>
  <c r="B687" i="24"/>
  <c r="A693" i="24"/>
  <c r="B693" i="24"/>
  <c r="A698" i="24"/>
  <c r="B698" i="24"/>
  <c r="A703" i="24"/>
  <c r="B703" i="24"/>
  <c r="A709" i="24"/>
  <c r="B709" i="24"/>
  <c r="A714" i="24"/>
  <c r="B714" i="24"/>
  <c r="A719" i="24"/>
  <c r="B719" i="24"/>
  <c r="A725" i="24"/>
  <c r="B725" i="24"/>
  <c r="A730" i="24"/>
  <c r="B730" i="24"/>
  <c r="A735" i="24"/>
  <c r="B735" i="24"/>
  <c r="A741" i="24"/>
  <c r="B741" i="24"/>
  <c r="A746" i="24"/>
  <c r="B746" i="24"/>
  <c r="A751" i="24"/>
  <c r="B751" i="24"/>
  <c r="A757" i="24"/>
  <c r="B757" i="24"/>
  <c r="A762" i="24"/>
  <c r="B762" i="24"/>
  <c r="A767" i="24"/>
  <c r="B767" i="24"/>
  <c r="A773" i="24"/>
  <c r="B773" i="24"/>
  <c r="A778" i="24"/>
  <c r="B778" i="24"/>
  <c r="A783" i="24"/>
  <c r="B783" i="24"/>
  <c r="A789" i="24"/>
  <c r="B789" i="24"/>
  <c r="A794" i="24"/>
  <c r="B794" i="24"/>
  <c r="A799" i="24"/>
  <c r="B799" i="24"/>
  <c r="A805" i="24"/>
  <c r="B805" i="24"/>
  <c r="A810" i="24"/>
  <c r="B810" i="24"/>
  <c r="A815" i="24"/>
  <c r="B815" i="24"/>
  <c r="A821" i="24"/>
  <c r="B821" i="24"/>
  <c r="A826" i="24"/>
  <c r="B826" i="24"/>
  <c r="A831" i="24"/>
  <c r="B831" i="24"/>
  <c r="A837" i="24"/>
  <c r="B837" i="24"/>
  <c r="A842" i="24"/>
  <c r="B842" i="24"/>
  <c r="A847" i="24"/>
  <c r="B847" i="24"/>
  <c r="A853" i="24"/>
  <c r="B853" i="24"/>
  <c r="A858" i="24"/>
  <c r="B858" i="24"/>
  <c r="A863" i="24"/>
  <c r="B863" i="24"/>
  <c r="A869" i="24"/>
  <c r="B869" i="24"/>
  <c r="A874" i="24"/>
  <c r="B874" i="24"/>
  <c r="A879" i="24"/>
  <c r="B879" i="24"/>
  <c r="A885" i="24"/>
  <c r="B885" i="24"/>
  <c r="A890" i="24"/>
  <c r="B890" i="24"/>
  <c r="A895" i="24"/>
  <c r="B895" i="24"/>
  <c r="A901" i="24"/>
  <c r="B901" i="24"/>
  <c r="A906" i="24"/>
  <c r="B906" i="24"/>
  <c r="A149" i="24"/>
  <c r="B149" i="24"/>
  <c r="A189" i="24"/>
  <c r="B189" i="24"/>
  <c r="A217" i="24"/>
  <c r="B217" i="24"/>
  <c r="A246" i="24"/>
  <c r="B246" i="24"/>
  <c r="A274" i="24"/>
  <c r="B274" i="24"/>
  <c r="A302" i="24"/>
  <c r="B302" i="24"/>
  <c r="A331" i="24"/>
  <c r="B331" i="24"/>
  <c r="A359" i="24"/>
  <c r="B359" i="24"/>
  <c r="A387" i="24"/>
  <c r="B387" i="24"/>
  <c r="A417" i="24"/>
  <c r="B417" i="24"/>
  <c r="A445" i="24"/>
  <c r="B445" i="24"/>
  <c r="A468" i="24"/>
  <c r="B468" i="24"/>
  <c r="A490" i="24"/>
  <c r="B490" i="24"/>
  <c r="A511" i="24"/>
  <c r="B511" i="24"/>
  <c r="A526" i="24"/>
  <c r="B526" i="24"/>
  <c r="A532" i="24"/>
  <c r="B532" i="24"/>
  <c r="A540" i="24"/>
  <c r="B540" i="24"/>
  <c r="A547" i="24"/>
  <c r="B547" i="24"/>
  <c r="A554" i="24"/>
  <c r="B554" i="24"/>
  <c r="A561" i="24"/>
  <c r="B561" i="24"/>
  <c r="A566" i="24"/>
  <c r="B566" i="24"/>
  <c r="A571" i="24"/>
  <c r="B571" i="24"/>
  <c r="A577" i="24"/>
  <c r="B577" i="24"/>
  <c r="A582" i="24"/>
  <c r="B582" i="24"/>
  <c r="A587" i="24"/>
  <c r="B587" i="24"/>
  <c r="A593" i="24"/>
  <c r="B593" i="24"/>
  <c r="A598" i="24"/>
  <c r="B598" i="24"/>
  <c r="A603" i="24"/>
  <c r="B603" i="24"/>
  <c r="A609" i="24"/>
  <c r="B609" i="24"/>
  <c r="A614" i="24"/>
  <c r="B614" i="24"/>
  <c r="A619" i="24"/>
  <c r="B619" i="24"/>
  <c r="A625" i="24"/>
  <c r="B625" i="24"/>
  <c r="A630" i="24"/>
  <c r="B630" i="24"/>
  <c r="A635" i="24"/>
  <c r="B635" i="24"/>
  <c r="A641" i="24"/>
  <c r="B641" i="24"/>
  <c r="A646" i="24"/>
  <c r="B646" i="24"/>
  <c r="A651" i="24"/>
  <c r="B651" i="24"/>
  <c r="A657" i="24"/>
  <c r="B657" i="24"/>
  <c r="A662" i="24"/>
  <c r="B662" i="24"/>
  <c r="A667" i="24"/>
  <c r="B667" i="24"/>
  <c r="A673" i="24"/>
  <c r="B673" i="24"/>
  <c r="A678" i="24"/>
  <c r="B678" i="24"/>
  <c r="A683" i="24"/>
  <c r="B683" i="24"/>
  <c r="A689" i="24"/>
  <c r="B689" i="24"/>
  <c r="A694" i="24"/>
  <c r="B694" i="24"/>
  <c r="A699" i="24"/>
  <c r="B699" i="24"/>
  <c r="A705" i="24"/>
  <c r="B705" i="24"/>
  <c r="A710" i="24"/>
  <c r="B710" i="24"/>
  <c r="A715" i="24"/>
  <c r="B715" i="24"/>
  <c r="A721" i="24"/>
  <c r="B721" i="24"/>
  <c r="A726" i="24"/>
  <c r="B726" i="24"/>
  <c r="A731" i="24"/>
  <c r="B731" i="24"/>
  <c r="A737" i="24"/>
  <c r="B737" i="24"/>
  <c r="A742" i="24"/>
  <c r="B742" i="24"/>
  <c r="A747" i="24"/>
  <c r="B747" i="24"/>
  <c r="A753" i="24"/>
  <c r="B753" i="24"/>
  <c r="A758" i="24"/>
  <c r="B758" i="24"/>
  <c r="A763" i="24"/>
  <c r="B763" i="24"/>
  <c r="A769" i="24"/>
  <c r="B769" i="24"/>
  <c r="A774" i="24"/>
  <c r="B774" i="24"/>
  <c r="A779" i="24"/>
  <c r="B779" i="24"/>
  <c r="A785" i="24"/>
  <c r="B785" i="24"/>
  <c r="A790" i="24"/>
  <c r="B790" i="24"/>
  <c r="A795" i="24"/>
  <c r="B795" i="24"/>
  <c r="A801" i="24"/>
  <c r="B801" i="24"/>
  <c r="A806" i="24"/>
  <c r="B806" i="24"/>
  <c r="A811" i="24"/>
  <c r="B811" i="24"/>
  <c r="A817" i="24"/>
  <c r="B817" i="24"/>
  <c r="A822" i="24"/>
  <c r="B822" i="24"/>
  <c r="A827" i="24"/>
  <c r="B827" i="24"/>
  <c r="A833" i="24"/>
  <c r="B833" i="24"/>
  <c r="A838" i="24"/>
  <c r="B838" i="24"/>
  <c r="A843" i="24"/>
  <c r="B843" i="24"/>
  <c r="A849" i="24"/>
  <c r="B849" i="24"/>
  <c r="A854" i="24"/>
  <c r="B854" i="24"/>
  <c r="A859" i="24"/>
  <c r="B859" i="24"/>
  <c r="A865" i="24"/>
  <c r="B865" i="24"/>
  <c r="A870" i="24"/>
  <c r="B870" i="24"/>
  <c r="A875" i="24"/>
  <c r="B875" i="24"/>
  <c r="A881" i="24"/>
  <c r="B881" i="24"/>
  <c r="A886" i="24"/>
  <c r="B886" i="24"/>
  <c r="A891" i="24"/>
  <c r="B891" i="24"/>
  <c r="A897" i="24"/>
  <c r="B897" i="24"/>
  <c r="A902" i="24"/>
  <c r="B902" i="24"/>
  <c r="A907" i="24"/>
  <c r="B907" i="24"/>
  <c r="A158" i="24"/>
  <c r="B158" i="24"/>
  <c r="A281" i="24"/>
  <c r="B281" i="24"/>
  <c r="A395" i="24"/>
  <c r="B395" i="24"/>
  <c r="A495" i="24"/>
  <c r="B495" i="24"/>
  <c r="A542" i="24"/>
  <c r="B542" i="24"/>
  <c r="A567" i="24"/>
  <c r="B567" i="24"/>
  <c r="A589" i="24"/>
  <c r="B589" i="24"/>
  <c r="A610" i="24"/>
  <c r="B610" i="24"/>
  <c r="A631" i="24"/>
  <c r="B631" i="24"/>
  <c r="A653" i="24"/>
  <c r="B653" i="24"/>
  <c r="A674" i="24"/>
  <c r="B674" i="24"/>
  <c r="A695" i="24"/>
  <c r="B695" i="24"/>
  <c r="A717" i="24"/>
  <c r="B717" i="24"/>
  <c r="A738" i="24"/>
  <c r="B738" i="24"/>
  <c r="A759" i="24"/>
  <c r="B759" i="24"/>
  <c r="A781" i="24"/>
  <c r="B781" i="24"/>
  <c r="A802" i="24"/>
  <c r="B802" i="24"/>
  <c r="A823" i="24"/>
  <c r="B823" i="24"/>
  <c r="A845" i="24"/>
  <c r="B845" i="24"/>
  <c r="A866" i="24"/>
  <c r="B866" i="24"/>
  <c r="A887" i="24"/>
  <c r="B887" i="24"/>
  <c r="A909" i="24"/>
  <c r="B909" i="24"/>
  <c r="A917" i="24"/>
  <c r="B917" i="24"/>
  <c r="A923" i="24"/>
  <c r="B923" i="24"/>
  <c r="A930" i="24"/>
  <c r="B930" i="24"/>
  <c r="A935" i="24"/>
  <c r="B935" i="24"/>
  <c r="A941" i="24"/>
  <c r="B941" i="24"/>
  <c r="A946" i="24"/>
  <c r="B946" i="24"/>
  <c r="A951" i="24"/>
  <c r="B951" i="24"/>
  <c r="A957" i="24"/>
  <c r="B957" i="24"/>
  <c r="A962" i="24"/>
  <c r="B962" i="24"/>
  <c r="A967" i="24"/>
  <c r="B967" i="24"/>
  <c r="A973" i="24"/>
  <c r="B973" i="24"/>
  <c r="A978" i="24"/>
  <c r="B978" i="24"/>
  <c r="A983" i="24"/>
  <c r="B983" i="24"/>
  <c r="A988" i="24"/>
  <c r="B988" i="24"/>
  <c r="A992" i="24"/>
  <c r="B992" i="24"/>
  <c r="A996" i="24"/>
  <c r="B996" i="24"/>
  <c r="A1000" i="24"/>
  <c r="B1000" i="24"/>
  <c r="A195" i="24"/>
  <c r="B195" i="24"/>
  <c r="A310" i="24"/>
  <c r="B310" i="24"/>
  <c r="A423" i="24"/>
  <c r="B423" i="24"/>
  <c r="A516" i="24"/>
  <c r="B516" i="24"/>
  <c r="A548" i="24"/>
  <c r="B548" i="24"/>
  <c r="A573" i="24"/>
  <c r="B573" i="24"/>
  <c r="A594" i="24"/>
  <c r="B594" i="24"/>
  <c r="A615" i="24"/>
  <c r="B615" i="24"/>
  <c r="A637" i="24"/>
  <c r="B637" i="24"/>
  <c r="A658" i="24"/>
  <c r="B658" i="24"/>
  <c r="A679" i="24"/>
  <c r="B679" i="24"/>
  <c r="A701" i="24"/>
  <c r="B701" i="24"/>
  <c r="A722" i="24"/>
  <c r="B722" i="24"/>
  <c r="A743" i="24"/>
  <c r="B743" i="24"/>
  <c r="A765" i="24"/>
  <c r="B765" i="24"/>
  <c r="A786" i="24"/>
  <c r="B786" i="24"/>
  <c r="A807" i="24"/>
  <c r="B807" i="24"/>
  <c r="A829" i="24"/>
  <c r="B829" i="24"/>
  <c r="A850" i="24"/>
  <c r="B850" i="24"/>
  <c r="A871" i="24"/>
  <c r="B871" i="24"/>
  <c r="A893" i="24"/>
  <c r="B893" i="24"/>
  <c r="A911" i="24"/>
  <c r="B911" i="24"/>
  <c r="A918" i="24"/>
  <c r="B918" i="24"/>
  <c r="A925" i="24"/>
  <c r="B925" i="24"/>
  <c r="A931" i="24"/>
  <c r="B931" i="24"/>
  <c r="A937" i="24"/>
  <c r="B937" i="24"/>
  <c r="A942" i="24"/>
  <c r="B942" i="24"/>
  <c r="A947" i="24"/>
  <c r="B947" i="24"/>
  <c r="A953" i="24"/>
  <c r="B953" i="24"/>
  <c r="A958" i="24"/>
  <c r="B958" i="24"/>
  <c r="A963" i="24"/>
  <c r="B963" i="24"/>
  <c r="A969" i="24"/>
  <c r="B969" i="24"/>
  <c r="A974" i="24"/>
  <c r="B974" i="24"/>
  <c r="A979" i="24"/>
  <c r="B979" i="24"/>
  <c r="A985" i="24"/>
  <c r="B985" i="24"/>
  <c r="A989" i="24"/>
  <c r="B989" i="24"/>
  <c r="A993" i="24"/>
  <c r="B993" i="24"/>
  <c r="A997" i="24"/>
  <c r="B997" i="24"/>
  <c r="A253" i="24"/>
  <c r="B253" i="24"/>
  <c r="A366" i="24"/>
  <c r="B366" i="24"/>
  <c r="A474" i="24"/>
  <c r="B474" i="24"/>
  <c r="A535" i="24"/>
  <c r="B535" i="24"/>
  <c r="A562" i="24"/>
  <c r="B562" i="24"/>
  <c r="A583" i="24"/>
  <c r="B583" i="24"/>
  <c r="A605" i="24"/>
  <c r="B605" i="24"/>
  <c r="A626" i="24"/>
  <c r="B626" i="24"/>
  <c r="A647" i="24"/>
  <c r="B647" i="24"/>
  <c r="A669" i="24"/>
  <c r="B669" i="24"/>
  <c r="A690" i="24"/>
  <c r="B690" i="24"/>
  <c r="A711" i="24"/>
  <c r="B711" i="24"/>
  <c r="A733" i="24"/>
  <c r="B733" i="24"/>
  <c r="A754" i="24"/>
  <c r="B754" i="24"/>
  <c r="A775" i="24"/>
  <c r="B775" i="24"/>
  <c r="A797" i="24"/>
  <c r="B797" i="24"/>
  <c r="A818" i="24"/>
  <c r="B818" i="24"/>
  <c r="A839" i="24"/>
  <c r="B839" i="24"/>
  <c r="A861" i="24"/>
  <c r="B861" i="24"/>
  <c r="A882" i="24"/>
  <c r="B882" i="24"/>
  <c r="A903" i="24"/>
  <c r="B903" i="24"/>
  <c r="A914" i="24"/>
  <c r="B914" i="24"/>
  <c r="A922" i="24"/>
  <c r="B922" i="24"/>
  <c r="A929" i="24"/>
  <c r="B929" i="24"/>
  <c r="A934" i="24"/>
  <c r="B934" i="24"/>
  <c r="A939" i="24"/>
  <c r="B939" i="24"/>
  <c r="A945" i="24"/>
  <c r="B945" i="24"/>
  <c r="A950" i="24"/>
  <c r="B950" i="24"/>
  <c r="A955" i="24"/>
  <c r="B955" i="24"/>
  <c r="A961" i="24"/>
  <c r="B961" i="24"/>
  <c r="A966" i="24"/>
  <c r="B966" i="24"/>
  <c r="A971" i="24"/>
  <c r="B971" i="24"/>
  <c r="A977" i="24"/>
  <c r="B977" i="24"/>
  <c r="A982" i="24"/>
  <c r="B982" i="24"/>
  <c r="A987" i="24"/>
  <c r="B987" i="24"/>
  <c r="A991" i="24"/>
  <c r="B991" i="24"/>
  <c r="A995" i="24"/>
  <c r="B995" i="24"/>
  <c r="A999" i="24"/>
  <c r="B999" i="24"/>
  <c r="A10" i="24"/>
  <c r="B10" i="24"/>
  <c r="A14" i="24"/>
  <c r="B14" i="24"/>
  <c r="A18" i="24"/>
  <c r="B18" i="24"/>
  <c r="A22" i="24"/>
  <c r="B22" i="24"/>
  <c r="A26" i="24"/>
  <c r="B26" i="24"/>
  <c r="A30" i="24"/>
  <c r="B30" i="24"/>
  <c r="A34" i="24"/>
  <c r="B34" i="24"/>
  <c r="A38" i="24"/>
  <c r="B38" i="24"/>
  <c r="A42" i="24"/>
  <c r="B42" i="24"/>
  <c r="A46" i="24"/>
  <c r="B46" i="24"/>
  <c r="A50" i="24"/>
  <c r="B50" i="24"/>
  <c r="A54" i="24"/>
  <c r="B54" i="24"/>
  <c r="A58" i="24"/>
  <c r="B58" i="24"/>
  <c r="A62" i="24"/>
  <c r="B62" i="24"/>
  <c r="A66" i="24"/>
  <c r="B66" i="24"/>
  <c r="A70" i="24"/>
  <c r="B70" i="24"/>
  <c r="A74" i="24"/>
  <c r="B74" i="24"/>
  <c r="A78" i="24"/>
  <c r="B78" i="24"/>
  <c r="A82" i="24"/>
  <c r="B82" i="24"/>
  <c r="A86" i="24"/>
  <c r="B86" i="24"/>
  <c r="A90" i="24"/>
  <c r="B90" i="24"/>
  <c r="A94" i="24"/>
  <c r="B94" i="24"/>
  <c r="A98" i="24"/>
  <c r="B98" i="24"/>
  <c r="A102" i="24"/>
  <c r="B102" i="24"/>
  <c r="A106" i="24"/>
  <c r="B106" i="24"/>
  <c r="A110" i="24"/>
  <c r="B110" i="24"/>
  <c r="A114" i="24"/>
  <c r="B114" i="24"/>
  <c r="A225" i="24"/>
  <c r="B225" i="24"/>
  <c r="A556" i="24"/>
  <c r="B556" i="24"/>
  <c r="A642" i="24"/>
  <c r="B642" i="24"/>
  <c r="A727" i="24"/>
  <c r="B727" i="24"/>
  <c r="A813" i="24"/>
  <c r="B813" i="24"/>
  <c r="A898" i="24"/>
  <c r="B898" i="24"/>
  <c r="A933" i="24"/>
  <c r="B933" i="24"/>
  <c r="A954" i="24"/>
  <c r="B954" i="24"/>
  <c r="A975" i="24"/>
  <c r="B975" i="24"/>
  <c r="A994" i="24"/>
  <c r="B994" i="24"/>
  <c r="A338" i="24"/>
  <c r="B338" i="24"/>
  <c r="A578" i="24"/>
  <c r="B578" i="24"/>
  <c r="A663" i="24"/>
  <c r="B663" i="24"/>
  <c r="A749" i="24"/>
  <c r="B749" i="24"/>
  <c r="A834" i="24"/>
  <c r="B834" i="24"/>
  <c r="A913" i="24"/>
  <c r="B913" i="24"/>
  <c r="A938" i="24"/>
  <c r="B938" i="24"/>
  <c r="A959" i="24"/>
  <c r="B959" i="24"/>
  <c r="A981" i="24"/>
  <c r="B981" i="24"/>
  <c r="A998" i="24"/>
  <c r="B998" i="24"/>
  <c r="A451" i="24"/>
  <c r="B451" i="24"/>
  <c r="A599" i="24"/>
  <c r="B599" i="24"/>
  <c r="A685" i="24"/>
  <c r="B685" i="24"/>
  <c r="A770" i="24"/>
  <c r="B770" i="24"/>
  <c r="A855" i="24"/>
  <c r="B855" i="24"/>
  <c r="A919" i="24"/>
  <c r="B919" i="24"/>
  <c r="A943" i="24"/>
  <c r="B943" i="24"/>
  <c r="A965" i="24"/>
  <c r="B965" i="24"/>
  <c r="A986" i="24"/>
  <c r="B986" i="24"/>
  <c r="A17" i="24"/>
  <c r="B17" i="24"/>
  <c r="A44" i="24"/>
  <c r="B44" i="24"/>
  <c r="A60" i="24"/>
  <c r="B60" i="24"/>
  <c r="A76" i="24"/>
  <c r="B76" i="24"/>
  <c r="A92" i="24"/>
  <c r="B92" i="24"/>
  <c r="A108" i="24"/>
  <c r="B108" i="24"/>
  <c r="A19" i="24"/>
  <c r="B19" i="24"/>
  <c r="A40" i="24"/>
  <c r="B40" i="24"/>
  <c r="A61" i="24"/>
  <c r="B61" i="24"/>
  <c r="A83" i="24"/>
  <c r="B83" i="24"/>
  <c r="A99" i="24"/>
  <c r="B99" i="24"/>
  <c r="A706" i="24"/>
  <c r="B706" i="24"/>
  <c r="A15" i="24"/>
  <c r="B15" i="24"/>
  <c r="A31" i="24"/>
  <c r="B31" i="24"/>
  <c r="A52" i="24"/>
  <c r="B52" i="24"/>
  <c r="A73" i="24"/>
  <c r="B73" i="24"/>
  <c r="A100" i="24"/>
  <c r="B100" i="24"/>
  <c r="A621" i="24"/>
  <c r="B621" i="24"/>
  <c r="A927" i="24"/>
  <c r="B927" i="24"/>
  <c r="A13" i="24"/>
  <c r="B13" i="24"/>
  <c r="A35" i="24"/>
  <c r="B35" i="24"/>
  <c r="A56" i="24"/>
  <c r="B56" i="24"/>
  <c r="A77" i="24"/>
  <c r="B77" i="24"/>
  <c r="A93" i="24"/>
  <c r="B93" i="24"/>
  <c r="A115" i="24"/>
  <c r="B115" i="24"/>
  <c r="A20" i="24"/>
  <c r="B20" i="24"/>
  <c r="A36" i="24"/>
  <c r="B36" i="24"/>
  <c r="A57" i="24"/>
  <c r="B57" i="24"/>
  <c r="A79" i="24"/>
  <c r="B79" i="24"/>
  <c r="A95" i="24"/>
  <c r="B95" i="24"/>
  <c r="A111" i="24"/>
  <c r="B111" i="24"/>
  <c r="A791" i="24"/>
  <c r="B791" i="24"/>
  <c r="A970" i="24"/>
  <c r="B970" i="24"/>
  <c r="A11" i="24"/>
  <c r="B11" i="24"/>
  <c r="A16" i="24"/>
  <c r="B16" i="24"/>
  <c r="A21" i="24"/>
  <c r="B21" i="24"/>
  <c r="A27" i="24"/>
  <c r="B27" i="24"/>
  <c r="A32" i="24"/>
  <c r="B32" i="24"/>
  <c r="A37" i="24"/>
  <c r="B37" i="24"/>
  <c r="A43" i="24"/>
  <c r="B43" i="24"/>
  <c r="A48" i="24"/>
  <c r="B48" i="24"/>
  <c r="A53" i="24"/>
  <c r="B53" i="24"/>
  <c r="A59" i="24"/>
  <c r="B59" i="24"/>
  <c r="A64" i="24"/>
  <c r="B64" i="24"/>
  <c r="A69" i="24"/>
  <c r="B69" i="24"/>
  <c r="A75" i="24"/>
  <c r="B75" i="24"/>
  <c r="A80" i="24"/>
  <c r="B80" i="24"/>
  <c r="A85" i="24"/>
  <c r="B85" i="24"/>
  <c r="A91" i="24"/>
  <c r="B91" i="24"/>
  <c r="A96" i="24"/>
  <c r="B96" i="24"/>
  <c r="A101" i="24"/>
  <c r="B101" i="24"/>
  <c r="A107" i="24"/>
  <c r="B107" i="24"/>
  <c r="A112" i="24"/>
  <c r="B112" i="24"/>
  <c r="A527" i="24"/>
  <c r="B527" i="24"/>
  <c r="A877" i="24"/>
  <c r="B877" i="24"/>
  <c r="A990" i="24"/>
  <c r="B990" i="24"/>
  <c r="A12" i="24"/>
  <c r="B12" i="24"/>
  <c r="A23" i="24"/>
  <c r="B23" i="24"/>
  <c r="A28" i="24"/>
  <c r="B28" i="24"/>
  <c r="A33" i="24"/>
  <c r="B33" i="24"/>
  <c r="A39" i="24"/>
  <c r="B39" i="24"/>
  <c r="A49" i="24"/>
  <c r="B49" i="24"/>
  <c r="A55" i="24"/>
  <c r="B55" i="24"/>
  <c r="A65" i="24"/>
  <c r="B65" i="24"/>
  <c r="A71" i="24"/>
  <c r="B71" i="24"/>
  <c r="A81" i="24"/>
  <c r="B81" i="24"/>
  <c r="A87" i="24"/>
  <c r="B87" i="24"/>
  <c r="A97" i="24"/>
  <c r="B97" i="24"/>
  <c r="A103" i="24"/>
  <c r="B103" i="24"/>
  <c r="A113" i="24"/>
  <c r="B113" i="24"/>
  <c r="A8" i="24"/>
  <c r="B8" i="24"/>
  <c r="A24" i="24"/>
  <c r="B24" i="24"/>
  <c r="A29" i="24"/>
  <c r="B29" i="24"/>
  <c r="A45" i="24"/>
  <c r="B45" i="24"/>
  <c r="A51" i="24"/>
  <c r="B51" i="24"/>
  <c r="A67" i="24"/>
  <c r="B67" i="24"/>
  <c r="A72" i="24"/>
  <c r="B72" i="24"/>
  <c r="A88" i="24"/>
  <c r="B88" i="24"/>
  <c r="A104" i="24"/>
  <c r="B104" i="24"/>
  <c r="A109" i="24"/>
  <c r="B109" i="24"/>
  <c r="A949" i="24"/>
  <c r="B949" i="24"/>
  <c r="A9" i="24"/>
  <c r="B9" i="24"/>
  <c r="A25" i="24"/>
  <c r="B25" i="24"/>
  <c r="A41" i="24"/>
  <c r="B41" i="24"/>
  <c r="A47" i="24"/>
  <c r="B47" i="24"/>
  <c r="A63" i="24"/>
  <c r="B63" i="24"/>
  <c r="A68" i="24"/>
  <c r="B68" i="24"/>
  <c r="A84" i="24"/>
  <c r="B84" i="24"/>
  <c r="A89" i="24"/>
  <c r="B89" i="24"/>
  <c r="A105" i="24"/>
  <c r="B105" i="24"/>
  <c r="A116" i="24"/>
  <c r="B116" i="24"/>
  <c r="F8" i="21"/>
  <c r="G8" i="21"/>
  <c r="A27" i="4"/>
  <c r="A3" i="24"/>
  <c r="B3" i="24"/>
  <c r="Y5" i="11"/>
  <c r="Y4" i="11"/>
  <c r="Y6" i="11"/>
  <c r="Y7" i="11"/>
  <c r="Y8" i="11"/>
  <c r="K8" i="23"/>
  <c r="K19" i="23"/>
  <c r="K10" i="23"/>
  <c r="K3" i="23"/>
  <c r="K5" i="23"/>
  <c r="K4" i="23"/>
  <c r="K11" i="23"/>
  <c r="K2" i="23"/>
  <c r="K16" i="23"/>
  <c r="K15" i="23"/>
  <c r="K12" i="23"/>
  <c r="K18" i="23"/>
  <c r="K6" i="23"/>
  <c r="F10" i="21"/>
  <c r="G10" i="21"/>
  <c r="F2" i="21"/>
  <c r="F14" i="21"/>
  <c r="F6" i="21"/>
  <c r="F11" i="21"/>
  <c r="F12" i="21"/>
  <c r="F5" i="21"/>
  <c r="F9" i="21"/>
  <c r="F4" i="21"/>
  <c r="F13" i="21"/>
  <c r="F15" i="21"/>
  <c r="F16" i="21"/>
  <c r="A28" i="4"/>
  <c r="A4" i="24"/>
  <c r="A5" i="24"/>
  <c r="B4" i="24"/>
  <c r="B5" i="24"/>
  <c r="K10" i="21"/>
  <c r="AS4" i="11"/>
  <c r="H7" i="23"/>
  <c r="L7" i="23"/>
  <c r="K7" i="23"/>
  <c r="H14" i="23"/>
  <c r="L14" i="23"/>
  <c r="K14" i="23"/>
  <c r="H9" i="23"/>
  <c r="L9" i="23"/>
  <c r="K9" i="23"/>
  <c r="H17" i="23"/>
  <c r="L17" i="23"/>
  <c r="K17" i="23"/>
  <c r="H13" i="23"/>
  <c r="L13" i="23"/>
  <c r="K13" i="23"/>
  <c r="H10" i="23"/>
  <c r="L10" i="23"/>
  <c r="H18" i="23"/>
  <c r="L18" i="23"/>
  <c r="H12" i="23"/>
  <c r="L12" i="23"/>
  <c r="H5" i="23"/>
  <c r="L5" i="23"/>
  <c r="H8" i="23"/>
  <c r="L8" i="23"/>
  <c r="H4" i="23"/>
  <c r="L4" i="23"/>
  <c r="H11" i="23"/>
  <c r="L11" i="23"/>
  <c r="H19" i="23"/>
  <c r="L19" i="23"/>
  <c r="H16" i="23"/>
  <c r="L16" i="23"/>
  <c r="H15" i="23"/>
  <c r="L15" i="23"/>
  <c r="H3" i="23"/>
  <c r="L3" i="23"/>
  <c r="H6" i="23"/>
  <c r="L6" i="23"/>
  <c r="H2" i="23"/>
  <c r="L2" i="23"/>
  <c r="G5" i="21"/>
  <c r="G2" i="21"/>
  <c r="G14" i="21"/>
  <c r="G9" i="21"/>
  <c r="K9" i="21"/>
  <c r="G6" i="21"/>
  <c r="G4" i="21"/>
  <c r="K4" i="21"/>
  <c r="G13" i="21"/>
  <c r="K13" i="21"/>
  <c r="G15" i="21"/>
  <c r="G11" i="21"/>
  <c r="K11" i="21"/>
  <c r="G16" i="21"/>
  <c r="G12" i="21"/>
  <c r="K12" i="21"/>
  <c r="K2" i="21"/>
  <c r="K16" i="21"/>
  <c r="K5" i="21"/>
  <c r="K6" i="21"/>
  <c r="A6" i="24"/>
  <c r="A7" i="24"/>
  <c r="B6" i="24"/>
  <c r="B7" i="24"/>
  <c r="N9" i="23"/>
  <c r="O9" i="23"/>
  <c r="R7" i="11"/>
  <c r="R8" i="11"/>
  <c r="R5" i="11"/>
  <c r="R6" i="11"/>
  <c r="R4" i="11"/>
  <c r="S8" i="11"/>
  <c r="S5" i="11"/>
  <c r="S6" i="11"/>
  <c r="S7" i="11"/>
  <c r="S4" i="11"/>
  <c r="O5" i="11"/>
  <c r="O6" i="11"/>
  <c r="O7" i="11"/>
  <c r="O4" i="11"/>
  <c r="O8" i="11"/>
  <c r="Q6" i="11"/>
  <c r="Q7" i="11"/>
  <c r="Q4" i="11"/>
  <c r="Q8" i="11"/>
  <c r="Q5" i="11"/>
  <c r="P15" i="23"/>
  <c r="N15" i="23"/>
  <c r="O15" i="23"/>
  <c r="P18" i="23"/>
  <c r="BE4" i="11"/>
  <c r="N18" i="23"/>
  <c r="O18" i="23"/>
  <c r="N8" i="23"/>
  <c r="O8" i="23"/>
  <c r="N6" i="23"/>
  <c r="O6" i="23"/>
  <c r="P19" i="23"/>
  <c r="N19" i="23"/>
  <c r="N5" i="23"/>
  <c r="O5" i="23"/>
  <c r="N3" i="23"/>
  <c r="O3" i="23"/>
  <c r="N11" i="23"/>
  <c r="O11" i="23"/>
  <c r="N12" i="23"/>
  <c r="O12" i="23"/>
  <c r="N13" i="23"/>
  <c r="O13" i="23"/>
  <c r="N7" i="23"/>
  <c r="O7" i="23"/>
  <c r="N4" i="23"/>
  <c r="O4" i="23"/>
  <c r="N2" i="23"/>
  <c r="O2" i="23"/>
  <c r="N16" i="23"/>
  <c r="O16" i="23"/>
  <c r="N10" i="23"/>
  <c r="O10" i="23"/>
  <c r="P17" i="23"/>
  <c r="N17" i="23"/>
  <c r="O17" i="23"/>
  <c r="N14" i="23"/>
  <c r="O14" i="23"/>
  <c r="P9" i="23"/>
  <c r="P16" i="23"/>
  <c r="P4" i="23"/>
  <c r="AM4" i="11"/>
  <c r="AN5" i="11"/>
  <c r="AM7" i="11"/>
  <c r="P8" i="11"/>
  <c r="I2" i="21"/>
  <c r="AN8" i="11"/>
  <c r="L6" i="21"/>
  <c r="P5" i="11"/>
  <c r="L11" i="21"/>
  <c r="AO6" i="11"/>
  <c r="AM5" i="11"/>
  <c r="L4" i="21"/>
  <c r="P7" i="11"/>
  <c r="L12" i="21"/>
  <c r="AN6" i="11"/>
  <c r="L13" i="21"/>
  <c r="P8" i="23"/>
  <c r="P11" i="23"/>
  <c r="AM8" i="11"/>
  <c r="L5" i="21"/>
  <c r="AN7" i="11"/>
  <c r="I6" i="21"/>
  <c r="L2" i="21"/>
  <c r="L16" i="21"/>
  <c r="L9" i="21"/>
  <c r="I16" i="21"/>
  <c r="L10" i="21"/>
  <c r="P10" i="23"/>
  <c r="P4" i="11"/>
  <c r="AN4" i="11"/>
  <c r="P13" i="23"/>
  <c r="AO7" i="11"/>
  <c r="P6" i="11"/>
  <c r="P12" i="23"/>
  <c r="Q15" i="23"/>
  <c r="P14" i="23"/>
  <c r="AM6" i="11"/>
  <c r="P5" i="23"/>
  <c r="AO8" i="11"/>
  <c r="P7" i="23"/>
  <c r="P3" i="23"/>
  <c r="I4" i="21"/>
  <c r="I5" i="21"/>
  <c r="P6" i="23"/>
  <c r="P2" i="23"/>
  <c r="AO4" i="11"/>
  <c r="AO5" i="11"/>
  <c r="Q19" i="23"/>
  <c r="Q17" i="23"/>
  <c r="AX4" i="11"/>
  <c r="BI4" i="11"/>
  <c r="J2" i="21"/>
  <c r="J6" i="21"/>
  <c r="J16" i="21"/>
  <c r="BO4" i="11"/>
  <c r="BH4" i="11"/>
  <c r="T4" i="11"/>
  <c r="Q12" i="23"/>
  <c r="T7" i="11"/>
  <c r="Q11" i="23"/>
  <c r="Q5" i="23"/>
  <c r="T8" i="11"/>
  <c r="Q13" i="23"/>
  <c r="Q2" i="23"/>
  <c r="AU4" i="11"/>
  <c r="Q7" i="23"/>
  <c r="BG4" i="11"/>
  <c r="CD5" i="11"/>
  <c r="Q3" i="23"/>
  <c r="Q14" i="23"/>
  <c r="Q18" i="23"/>
  <c r="Q16" i="23"/>
  <c r="Q8" i="23"/>
  <c r="Q9" i="23"/>
  <c r="Q10" i="23"/>
  <c r="Q6" i="23"/>
  <c r="T6" i="11"/>
  <c r="T5" i="11"/>
  <c r="BF4" i="11"/>
  <c r="Q4" i="23"/>
  <c r="BW4" i="11"/>
  <c r="BX4" i="11"/>
  <c r="M2" i="11"/>
  <c r="J2" i="11"/>
  <c r="B5" i="11"/>
  <c r="BP4" i="11"/>
  <c r="BR4" i="11"/>
  <c r="BQ4" i="11"/>
  <c r="BN4" i="11"/>
  <c r="E4" i="20"/>
  <c r="AJ5" i="11"/>
  <c r="AJ4" i="11"/>
  <c r="AJ6" i="11"/>
  <c r="AJ7" i="11"/>
  <c r="AJ8" i="11"/>
  <c r="AJ3" i="11"/>
  <c r="AJ2" i="11"/>
  <c r="L3" i="21"/>
  <c r="I9" i="21"/>
  <c r="I14" i="21"/>
  <c r="J14" i="21"/>
  <c r="I13" i="21"/>
  <c r="J13" i="21"/>
  <c r="I8" i="21"/>
  <c r="J8" i="21"/>
  <c r="I10" i="21"/>
  <c r="J10" i="21"/>
  <c r="I15" i="21"/>
  <c r="J15" i="21"/>
  <c r="I12" i="21"/>
  <c r="J12" i="21"/>
  <c r="I11" i="21"/>
  <c r="J11" i="21"/>
  <c r="A7" i="11"/>
  <c r="A6" i="11"/>
  <c r="A5" i="11"/>
  <c r="A4" i="11"/>
  <c r="A3" i="11"/>
  <c r="I7" i="21"/>
  <c r="K15" i="21"/>
  <c r="AL4" i="11"/>
  <c r="K14" i="21"/>
  <c r="I3" i="21"/>
  <c r="AL8" i="11"/>
  <c r="K7" i="21"/>
  <c r="AL6" i="11"/>
  <c r="K8" i="21"/>
  <c r="AL5" i="11"/>
  <c r="AL7" i="11"/>
  <c r="BL4" i="11"/>
  <c r="BC8" i="11"/>
  <c r="AQ6" i="11"/>
  <c r="W6" i="11"/>
  <c r="BC5" i="11"/>
  <c r="BC4" i="11"/>
  <c r="AQ7" i="11"/>
  <c r="W7" i="11"/>
  <c r="BC6" i="11"/>
  <c r="AQ8" i="11"/>
  <c r="W8" i="11"/>
  <c r="BC7" i="11"/>
  <c r="AQ5" i="11"/>
  <c r="AQ4" i="11"/>
  <c r="W5" i="11"/>
  <c r="W4" i="11"/>
  <c r="AE7" i="11"/>
  <c r="AE8" i="11"/>
  <c r="AE5" i="11"/>
  <c r="AE4" i="11"/>
  <c r="AE6" i="11"/>
  <c r="AC6" i="11"/>
  <c r="AC7" i="11"/>
  <c r="AC4" i="11"/>
  <c r="AC8" i="11"/>
  <c r="AC5" i="11"/>
  <c r="BA5" i="11"/>
  <c r="BA4" i="11"/>
  <c r="BA6" i="11"/>
  <c r="BA7" i="11"/>
  <c r="BA8" i="11"/>
  <c r="BT2" i="11"/>
  <c r="AZ2" i="11"/>
  <c r="BS2" i="11"/>
  <c r="BB2" i="11"/>
  <c r="BD2" i="11"/>
  <c r="BA2" i="11"/>
  <c r="BC2" i="11"/>
  <c r="AQ2" i="11"/>
  <c r="AY4" i="11"/>
  <c r="Z2" i="11"/>
  <c r="J7" i="21"/>
  <c r="J3" i="21"/>
  <c r="H5" i="7"/>
  <c r="U8" i="11"/>
  <c r="L15" i="21"/>
  <c r="AT4" i="11"/>
  <c r="U4" i="11"/>
  <c r="BJ4" i="11"/>
  <c r="AW4" i="11"/>
  <c r="AV4" i="11"/>
  <c r="U7" i="11"/>
  <c r="U6" i="11"/>
  <c r="L7" i="21"/>
  <c r="U5" i="11"/>
  <c r="BK4" i="11"/>
  <c r="BU4" i="11"/>
  <c r="BD4" i="11"/>
  <c r="BT4" i="11"/>
  <c r="AZ4" i="11"/>
  <c r="BV4" i="11"/>
  <c r="BB4" i="11"/>
  <c r="I5" i="11"/>
  <c r="I4" i="11"/>
  <c r="I6" i="11"/>
  <c r="I8" i="11"/>
  <c r="I7" i="11"/>
  <c r="G6" i="11"/>
  <c r="G7" i="11"/>
  <c r="G8" i="11"/>
  <c r="G5" i="11"/>
  <c r="G2" i="11"/>
  <c r="V5" i="11"/>
  <c r="L14" i="21"/>
  <c r="V8" i="11"/>
  <c r="L8" i="21"/>
  <c r="V7" i="11"/>
  <c r="V6" i="11"/>
  <c r="V4" i="11"/>
  <c r="Z5" i="11"/>
  <c r="Z6" i="11"/>
  <c r="Z7" i="11"/>
  <c r="Z4" i="11"/>
  <c r="Z8" i="11"/>
  <c r="H7" i="11"/>
  <c r="H8" i="11"/>
  <c r="H5" i="11"/>
  <c r="H4" i="11"/>
  <c r="H6" i="11"/>
  <c r="H3" i="11"/>
  <c r="H2" i="11"/>
  <c r="H4" i="7"/>
  <c r="D5" i="11"/>
  <c r="D6" i="11"/>
  <c r="D7" i="11"/>
  <c r="D8" i="11"/>
  <c r="F6" i="11"/>
  <c r="F5" i="11"/>
  <c r="F4" i="11"/>
  <c r="D2" i="11"/>
  <c r="I2" i="11"/>
  <c r="BM4" i="11"/>
  <c r="BS4" i="11"/>
  <c r="X8" i="11"/>
  <c r="X5" i="11"/>
  <c r="X4" i="11"/>
  <c r="X6" i="11"/>
  <c r="X3" i="11"/>
  <c r="X7" i="11"/>
  <c r="E2" i="11"/>
  <c r="E5" i="11"/>
  <c r="E4" i="11"/>
  <c r="E3" i="11"/>
  <c r="F2" i="11"/>
  <c r="F3" i="11"/>
  <c r="M19" i="23"/>
  <c r="O19" i="23"/>
  <c r="H5" i="21"/>
  <c r="J5" i="21"/>
  <c r="H9" i="21"/>
  <c r="J9" i="21"/>
  <c r="H4" i="21"/>
  <c r="J4" i="21"/>
  <c r="B2" i="15"/>
  <c r="BK5" i="11"/>
  <c r="BL5" i="11"/>
  <c r="BE5" i="11"/>
  <c r="BI5" i="11"/>
  <c r="AX5" i="11"/>
  <c r="AY5" i="11"/>
  <c r="AS5" i="11"/>
  <c r="E7" i="13"/>
  <c r="F5" i="12"/>
  <c r="F6" i="8"/>
  <c r="F4" i="9"/>
  <c r="E22" i="1"/>
  <c r="AD8" i="11"/>
  <c r="BM5" i="11"/>
  <c r="AD5" i="11"/>
  <c r="AT5" i="11"/>
  <c r="AU5" i="11"/>
  <c r="AD4" i="11"/>
  <c r="BK6" i="11"/>
  <c r="BL6" i="11"/>
  <c r="BH5" i="11"/>
  <c r="AD6" i="11"/>
  <c r="BJ5" i="11"/>
  <c r="AW5" i="11"/>
  <c r="AV5" i="11"/>
  <c r="BG5" i="11"/>
  <c r="AD7" i="11"/>
  <c r="BD5" i="11"/>
  <c r="AZ5" i="11"/>
  <c r="AH5" i="11"/>
  <c r="AH6" i="11"/>
  <c r="AH7" i="11"/>
  <c r="AH8" i="11"/>
  <c r="AK7" i="11"/>
  <c r="AK8" i="11"/>
  <c r="AK5" i="11"/>
  <c r="AK6" i="11"/>
  <c r="AF3" i="11"/>
  <c r="BB5" i="11"/>
  <c r="BT5" i="11"/>
  <c r="BE6" i="11"/>
  <c r="BI6" i="11"/>
  <c r="AX6" i="11"/>
  <c r="AB4" i="11"/>
  <c r="AF4" i="11"/>
  <c r="AY6" i="11"/>
  <c r="AB8" i="11"/>
  <c r="AF8" i="11"/>
  <c r="AB7" i="11"/>
  <c r="AF7" i="11"/>
  <c r="AB6" i="11"/>
  <c r="AF6" i="11"/>
  <c r="AB5" i="11"/>
  <c r="AF5" i="11"/>
  <c r="AF2" i="11"/>
  <c r="X2" i="11"/>
  <c r="W2" i="11"/>
  <c r="AS6" i="11"/>
  <c r="AH2" i="11"/>
  <c r="AK2" i="11"/>
  <c r="L2" i="11"/>
  <c r="AG2" i="11"/>
  <c r="BH6" i="11"/>
  <c r="BF6" i="11"/>
  <c r="BO6" i="11"/>
  <c r="AU6" i="11"/>
  <c r="BO5" i="11"/>
  <c r="AT6" i="11"/>
  <c r="BK7" i="11"/>
  <c r="BL7" i="11"/>
  <c r="BM6" i="11"/>
  <c r="BJ6" i="11"/>
  <c r="BG6" i="11"/>
  <c r="AV6" i="11"/>
  <c r="AW6" i="11"/>
  <c r="BF5" i="11"/>
  <c r="BS6" i="11"/>
  <c r="AZ6" i="11"/>
  <c r="BD6" i="11"/>
  <c r="BW6" i="11"/>
  <c r="BW5" i="11"/>
  <c r="BS5" i="11"/>
  <c r="BV6" i="11"/>
  <c r="BX6" i="11"/>
  <c r="BV5" i="11"/>
  <c r="BX5" i="11"/>
  <c r="BB6" i="11"/>
  <c r="BT6" i="11"/>
  <c r="BI7" i="11"/>
  <c r="AX7" i="11"/>
  <c r="BE7" i="11"/>
  <c r="AY7" i="11"/>
  <c r="B3" i="15"/>
  <c r="AS7" i="11"/>
  <c r="BQ5" i="11"/>
  <c r="BP5" i="11"/>
  <c r="BL8" i="11"/>
  <c r="BM7" i="11"/>
  <c r="BH7" i="11"/>
  <c r="AV7" i="11"/>
  <c r="AW7" i="11"/>
  <c r="BQ6" i="11"/>
  <c r="BO7" i="11"/>
  <c r="AT7" i="11"/>
  <c r="BR6" i="11"/>
  <c r="BG7" i="11"/>
  <c r="BJ7" i="11"/>
  <c r="BR5" i="11"/>
  <c r="BN5" i="11"/>
  <c r="BF7" i="11"/>
  <c r="BN6" i="11"/>
  <c r="BK8" i="11"/>
  <c r="AU7" i="11"/>
  <c r="BP6" i="11"/>
  <c r="BU5" i="11"/>
  <c r="BU6" i="11"/>
  <c r="BW7" i="11"/>
  <c r="BS7" i="11"/>
  <c r="BD7" i="11"/>
  <c r="AZ7" i="11"/>
  <c r="BX7" i="11"/>
  <c r="BV7" i="11"/>
  <c r="BT7" i="11"/>
  <c r="BB7" i="11"/>
  <c r="BI8" i="11"/>
  <c r="AX8" i="11"/>
  <c r="BE8" i="11"/>
  <c r="AY8" i="11"/>
  <c r="AS8" i="11"/>
  <c r="Y2" i="11"/>
  <c r="BQ7" i="11"/>
  <c r="BN7" i="11"/>
  <c r="AW8" i="11"/>
  <c r="AV8" i="11"/>
  <c r="BM8" i="11"/>
  <c r="BJ8" i="11"/>
  <c r="BH8" i="11"/>
  <c r="BP7" i="11"/>
  <c r="AT8" i="11"/>
  <c r="BG8" i="11"/>
  <c r="AU8" i="11"/>
  <c r="BO8" i="11"/>
  <c r="BR7" i="11"/>
  <c r="BF8" i="11"/>
  <c r="BU7" i="11"/>
  <c r="BW8" i="11"/>
  <c r="BS8" i="11"/>
  <c r="AZ8" i="11"/>
  <c r="BD8" i="11"/>
  <c r="BX8" i="11"/>
  <c r="BV8" i="11"/>
  <c r="BT8" i="11"/>
  <c r="BB8" i="11"/>
  <c r="V3" i="4"/>
  <c r="BR8" i="11"/>
  <c r="BP8" i="11"/>
  <c r="BN8" i="11"/>
  <c r="BQ8" i="11"/>
  <c r="BU8" i="11"/>
  <c r="BU3" i="11"/>
  <c r="BW3" i="11"/>
  <c r="BX3" i="11"/>
  <c r="BV3" i="11"/>
  <c r="BU2" i="11"/>
  <c r="BX2" i="11"/>
  <c r="BV2" i="11"/>
  <c r="BW2" i="11"/>
  <c r="CD3" i="11"/>
  <c r="CD4"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10"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B7" authorId="0">
      <text>
        <r>
          <rPr>
            <sz val="9"/>
            <color indexed="81"/>
            <rFont val="Tahoma"/>
            <family val="2"/>
          </rPr>
          <t>This field is mandatory if you want to include any offset information!</t>
        </r>
      </text>
    </comment>
    <comment ref="C7" authorId="0">
      <text>
        <r>
          <rPr>
            <sz val="9"/>
            <color indexed="81"/>
            <rFont val="Tahoma"/>
            <family val="2"/>
          </rPr>
          <t>This field is mandatory if you want to include any offset information!</t>
        </r>
      </text>
    </comment>
    <comment ref="D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A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8" authorId="0">
      <text>
        <r>
          <rPr>
            <sz val="9"/>
            <color indexed="81"/>
            <rFont val="Tahoma"/>
            <family val="2"/>
          </rPr>
          <t>This field is mandatory if you want to include any offset information!</t>
        </r>
      </text>
    </comment>
  </commentList>
</comments>
</file>

<file path=xl/comments6.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7.xml><?xml version="1.0" encoding="utf-8"?>
<comments xmlns="http://schemas.openxmlformats.org/spreadsheetml/2006/main">
  <authors>
    <author>Sara Geleskie Damiano</author>
  </authors>
  <commentList>
    <comment ref="B12" authorId="0">
      <text>
        <r>
          <rPr>
            <sz val="9"/>
            <color indexed="81"/>
            <rFont val="Tahoma"/>
            <family val="2"/>
          </rPr>
          <t>This is any free-form text you would use to label the column.  The actual text is unimportant as long as it is unique within this worksheet.</t>
        </r>
      </text>
    </comment>
    <comment ref="O12"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R12" authorId="0">
      <text>
        <r>
          <rPr>
            <sz val="9"/>
            <color indexed="81"/>
            <rFont val="Tahoma"/>
            <family val="2"/>
          </rPr>
          <t>This is the person who actually deployed the sensor or collected the data in the collumn.</t>
        </r>
      </text>
    </comment>
    <comment ref="T12" authorId="0">
      <text>
        <r>
          <rPr>
            <sz val="9"/>
            <color indexed="81"/>
            <rFont val="Tahoma"/>
            <family val="2"/>
          </rPr>
          <t>These must first be entered in the methods worksheet.  If they still don't appear on this drop down list, make sure you don't have any blank rows between methods in the table.</t>
        </r>
      </text>
    </comment>
    <comment ref="U12"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8.xml><?xml version="1.0" encoding="utf-8"?>
<comments xmlns="http://schemas.openxmlformats.org/spreadsheetml/2006/main">
  <authors>
    <author>Sara Geleskie Damiano</author>
  </authors>
  <commentList>
    <comment ref="O1" authorId="0">
      <text>
        <r>
          <rPr>
            <b/>
            <sz val="9"/>
            <color indexed="81"/>
            <rFont val="Tahoma"/>
            <family val="2"/>
          </rPr>
          <t>Sara Geleskie Damiano:</t>
        </r>
        <r>
          <rPr>
            <sz val="9"/>
            <color indexed="81"/>
            <rFont val="Tahoma"/>
            <family val="2"/>
          </rPr>
          <t xml:space="preserve">
This is not actually a chunk of YAML just a helper column.</t>
        </r>
      </text>
    </comment>
    <comment ref="P1" authorId="0">
      <text>
        <r>
          <rPr>
            <b/>
            <sz val="9"/>
            <color indexed="81"/>
            <rFont val="Tahoma"/>
            <family val="2"/>
          </rPr>
          <t>Sara Geleskie Damiano:</t>
        </r>
        <r>
          <rPr>
            <sz val="9"/>
            <color indexed="81"/>
            <rFont val="Tahoma"/>
            <family val="2"/>
          </rPr>
          <t xml:space="preserve">
This is not actually a chunk of YAML just a helper column.</t>
        </r>
      </text>
    </comment>
    <comment ref="Q1" authorId="0">
      <text>
        <r>
          <rPr>
            <b/>
            <sz val="9"/>
            <color indexed="81"/>
            <rFont val="Tahoma"/>
            <family val="2"/>
          </rPr>
          <t>Sara Geleskie Damiano:</t>
        </r>
        <r>
          <rPr>
            <sz val="9"/>
            <color indexed="81"/>
            <rFont val="Tahoma"/>
            <family val="2"/>
          </rPr>
          <t xml:space="preserve">
This is not actually a chunk of YAML just a helper column.</t>
        </r>
      </text>
    </comment>
    <comment ref="R1" authorId="0">
      <text>
        <r>
          <rPr>
            <b/>
            <sz val="9"/>
            <color indexed="81"/>
            <rFont val="Tahoma"/>
            <family val="2"/>
          </rPr>
          <t>Sara Geleskie Damiano:</t>
        </r>
        <r>
          <rPr>
            <sz val="9"/>
            <color indexed="81"/>
            <rFont val="Tahoma"/>
            <family val="2"/>
          </rPr>
          <t xml:space="preserve">
This is not actually a chunk of YAML just a helper column.</t>
        </r>
      </text>
    </comment>
    <comment ref="S1" authorId="0">
      <text>
        <r>
          <rPr>
            <b/>
            <sz val="9"/>
            <color indexed="81"/>
            <rFont val="Tahoma"/>
            <family val="2"/>
          </rPr>
          <t>Sara Geleskie Damiano:</t>
        </r>
        <r>
          <rPr>
            <sz val="9"/>
            <color indexed="81"/>
            <rFont val="Tahoma"/>
            <family val="2"/>
          </rPr>
          <t xml:space="preserve">
This is not actually a chunk of YAML just a helper column.</t>
        </r>
      </text>
    </comment>
    <comment ref="T1" authorId="0">
      <text>
        <r>
          <rPr>
            <b/>
            <sz val="9"/>
            <color indexed="81"/>
            <rFont val="Tahoma"/>
            <family val="2"/>
          </rPr>
          <t>Sara Geleskie Damiano:</t>
        </r>
        <r>
          <rPr>
            <sz val="9"/>
            <color indexed="81"/>
            <rFont val="Tahoma"/>
            <family val="2"/>
          </rPr>
          <t xml:space="preserve">
This is not actually a chunk of YAML just a helper column.</t>
        </r>
      </text>
    </comment>
    <comment ref="U1" authorId="0">
      <text>
        <r>
          <rPr>
            <b/>
            <sz val="9"/>
            <color indexed="81"/>
            <rFont val="Tahoma"/>
            <family val="2"/>
          </rPr>
          <t>Sara Geleskie Damiano:</t>
        </r>
        <r>
          <rPr>
            <sz val="9"/>
            <color indexed="81"/>
            <rFont val="Tahoma"/>
            <family val="2"/>
          </rPr>
          <t xml:space="preserve">
This is not actually a chunk of YAML just a helper column.</t>
        </r>
      </text>
    </comment>
    <comment ref="V1" authorId="0">
      <text>
        <r>
          <rPr>
            <b/>
            <sz val="9"/>
            <color indexed="81"/>
            <rFont val="Tahoma"/>
            <family val="2"/>
          </rPr>
          <t>Sara Geleskie Damiano:</t>
        </r>
        <r>
          <rPr>
            <sz val="9"/>
            <color indexed="81"/>
            <rFont val="Tahoma"/>
            <family val="2"/>
          </rPr>
          <t xml:space="preserve">
This is not actually a chunk of YAML just a helper column.</t>
        </r>
      </text>
    </comment>
    <comment ref="AB1" authorId="0">
      <text>
        <r>
          <rPr>
            <b/>
            <sz val="9"/>
            <color indexed="81"/>
            <rFont val="Tahoma"/>
            <family val="2"/>
          </rPr>
          <t>Sara Geleskie Damiano:</t>
        </r>
        <r>
          <rPr>
            <sz val="9"/>
            <color indexed="81"/>
            <rFont val="Tahoma"/>
            <family val="2"/>
          </rPr>
          <t xml:space="preserve">
This is not actually a chunk of YAML just a helper column.</t>
        </r>
      </text>
    </comment>
    <comment ref="AC1" authorId="0">
      <text>
        <r>
          <rPr>
            <b/>
            <sz val="9"/>
            <color indexed="81"/>
            <rFont val="Tahoma"/>
            <family val="2"/>
          </rPr>
          <t>Sara Geleskie Damiano:</t>
        </r>
        <r>
          <rPr>
            <sz val="9"/>
            <color indexed="81"/>
            <rFont val="Tahoma"/>
            <family val="2"/>
          </rPr>
          <t xml:space="preserve">
This is not actually a chunk of YAML just a helper column.</t>
        </r>
      </text>
    </comment>
    <comment ref="AD1" authorId="0">
      <text>
        <r>
          <rPr>
            <b/>
            <sz val="9"/>
            <color indexed="81"/>
            <rFont val="Tahoma"/>
            <family val="2"/>
          </rPr>
          <t>Sara Geleskie Damiano:</t>
        </r>
        <r>
          <rPr>
            <sz val="9"/>
            <color indexed="81"/>
            <rFont val="Tahoma"/>
            <family val="2"/>
          </rPr>
          <t xml:space="preserve">
This is not actually a chunk of YAML just a helper column.</t>
        </r>
      </text>
    </commen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L1" authorId="0">
      <text>
        <r>
          <rPr>
            <b/>
            <sz val="9"/>
            <color indexed="81"/>
            <rFont val="Tahoma"/>
            <family val="2"/>
          </rPr>
          <t>Sara Geleskie Damiano:</t>
        </r>
        <r>
          <rPr>
            <sz val="9"/>
            <color indexed="81"/>
            <rFont val="Tahoma"/>
            <family val="2"/>
          </rPr>
          <t xml:space="preserve">
This is not actually a chunk of YAML just a helper column.</t>
        </r>
      </text>
    </comment>
    <comment ref="AM1" authorId="0">
      <text>
        <r>
          <rPr>
            <b/>
            <sz val="9"/>
            <color indexed="81"/>
            <rFont val="Tahoma"/>
            <family val="2"/>
          </rPr>
          <t>Sara Geleskie Damiano:</t>
        </r>
        <r>
          <rPr>
            <sz val="9"/>
            <color indexed="81"/>
            <rFont val="Tahoma"/>
            <family val="2"/>
          </rPr>
          <t xml:space="preserve">
This is not actually a chunk of YAML just a helper column.</t>
        </r>
      </text>
    </comment>
    <comment ref="AN1" authorId="0">
      <text>
        <r>
          <rPr>
            <b/>
            <sz val="9"/>
            <color indexed="81"/>
            <rFont val="Tahoma"/>
            <family val="2"/>
          </rPr>
          <t>Sara Geleskie Damiano:</t>
        </r>
        <r>
          <rPr>
            <sz val="9"/>
            <color indexed="81"/>
            <rFont val="Tahoma"/>
            <family val="2"/>
          </rPr>
          <t xml:space="preserve">
This is not actually a chunk of YAML just a helper column.</t>
        </r>
      </text>
    </comment>
    <comment ref="AO1" authorId="0">
      <text>
        <r>
          <rPr>
            <b/>
            <sz val="9"/>
            <color indexed="81"/>
            <rFont val="Tahoma"/>
            <family val="2"/>
          </rPr>
          <t>Sara Geleskie Damiano:</t>
        </r>
        <r>
          <rPr>
            <sz val="9"/>
            <color indexed="81"/>
            <rFont val="Tahoma"/>
            <family val="2"/>
          </rPr>
          <t xml:space="preserve">
This is not actually a chunk of YAML just a helper column.</t>
        </r>
      </text>
    </comment>
    <comment ref="AP1" authorId="0">
      <text>
        <r>
          <rPr>
            <b/>
            <sz val="9"/>
            <color indexed="81"/>
            <rFont val="Tahoma"/>
            <family val="2"/>
          </rPr>
          <t>Sara Geleskie Damiano:</t>
        </r>
        <r>
          <rPr>
            <sz val="9"/>
            <color indexed="81"/>
            <rFont val="Tahoma"/>
            <family val="2"/>
          </rPr>
          <t xml:space="preserve">
This is not actually a chunk of YAML just a helper column.</t>
        </r>
      </text>
    </comment>
    <comment ref="AT1" authorId="0">
      <text>
        <r>
          <rPr>
            <b/>
            <sz val="9"/>
            <color indexed="81"/>
            <rFont val="Tahoma"/>
            <family val="2"/>
          </rPr>
          <t>Sara Geleskie Damiano:</t>
        </r>
        <r>
          <rPr>
            <sz val="9"/>
            <color indexed="81"/>
            <rFont val="Tahoma"/>
            <family val="2"/>
          </rPr>
          <t xml:space="preserve">
This is not actually a chunk of YAML just a helper column.</t>
        </r>
      </text>
    </comment>
    <comment ref="AU1" authorId="0">
      <text>
        <r>
          <rPr>
            <b/>
            <sz val="9"/>
            <color indexed="81"/>
            <rFont val="Tahoma"/>
            <family val="2"/>
          </rPr>
          <t>Sara Geleskie Damiano:</t>
        </r>
        <r>
          <rPr>
            <sz val="9"/>
            <color indexed="81"/>
            <rFont val="Tahoma"/>
            <family val="2"/>
          </rPr>
          <t xml:space="preserve">
This is not actually a chunk of YAML just a helper column.</t>
        </r>
      </text>
    </comment>
    <comment ref="AV1" authorId="0">
      <text>
        <r>
          <rPr>
            <b/>
            <sz val="9"/>
            <color indexed="81"/>
            <rFont val="Tahoma"/>
            <family val="2"/>
          </rPr>
          <t>Sara Geleskie Damiano:</t>
        </r>
        <r>
          <rPr>
            <sz val="9"/>
            <color indexed="81"/>
            <rFont val="Tahoma"/>
            <family val="2"/>
          </rPr>
          <t xml:space="preserve">
This is not actually a chunk of YAML just a helper column.</t>
        </r>
      </text>
    </comment>
    <comment ref="AW1" authorId="0">
      <text>
        <r>
          <rPr>
            <b/>
            <sz val="9"/>
            <color indexed="81"/>
            <rFont val="Tahoma"/>
            <family val="2"/>
          </rPr>
          <t>Sara Geleskie Damiano:</t>
        </r>
        <r>
          <rPr>
            <sz val="9"/>
            <color indexed="81"/>
            <rFont val="Tahoma"/>
            <family val="2"/>
          </rPr>
          <t xml:space="preserve">
This is not actually a chunk of YAML just a helper column.</t>
        </r>
      </text>
    </comment>
    <comment ref="AX1" authorId="0">
      <text>
        <r>
          <rPr>
            <b/>
            <sz val="9"/>
            <color indexed="81"/>
            <rFont val="Tahoma"/>
            <family val="2"/>
          </rPr>
          <t>Sara Geleskie Damiano:</t>
        </r>
        <r>
          <rPr>
            <sz val="9"/>
            <color indexed="81"/>
            <rFont val="Tahoma"/>
            <family val="2"/>
          </rPr>
          <t xml:space="preserve">
This is not actually a chunk of YAML just a helper column.</t>
        </r>
      </text>
    </comment>
    <comment ref="AY1" authorId="0">
      <text>
        <r>
          <rPr>
            <b/>
            <sz val="9"/>
            <color indexed="81"/>
            <rFont val="Tahoma"/>
            <family val="2"/>
          </rPr>
          <t>Sara Geleskie Damiano:</t>
        </r>
        <r>
          <rPr>
            <sz val="9"/>
            <color indexed="81"/>
            <rFont val="Tahoma"/>
            <family val="2"/>
          </rPr>
          <t xml:space="preserve">
This is not actually a chunk of YAML just a helper column.</t>
        </r>
      </text>
    </comment>
    <comment ref="BE1" authorId="0">
      <text>
        <r>
          <rPr>
            <b/>
            <sz val="9"/>
            <color indexed="81"/>
            <rFont val="Tahoma"/>
            <family val="2"/>
          </rPr>
          <t>Sara Geleskie Damiano:</t>
        </r>
        <r>
          <rPr>
            <sz val="9"/>
            <color indexed="81"/>
            <rFont val="Tahoma"/>
            <family val="2"/>
          </rPr>
          <t xml:space="preserve">
This is not actually a chunk of YAML just a helper column.</t>
        </r>
      </text>
    </comment>
    <comment ref="BF1" authorId="0">
      <text>
        <r>
          <rPr>
            <b/>
            <sz val="9"/>
            <color indexed="81"/>
            <rFont val="Tahoma"/>
            <family val="2"/>
          </rPr>
          <t>Sara Geleskie Damiano:</t>
        </r>
        <r>
          <rPr>
            <sz val="9"/>
            <color indexed="81"/>
            <rFont val="Tahoma"/>
            <family val="2"/>
          </rPr>
          <t xml:space="preserve">
This is not actually a chunk of YAML just a helper column.</t>
        </r>
      </text>
    </comment>
    <comment ref="BG1" authorId="0">
      <text>
        <r>
          <rPr>
            <b/>
            <sz val="9"/>
            <color indexed="81"/>
            <rFont val="Tahoma"/>
            <family val="2"/>
          </rPr>
          <t>Sara Geleskie Damiano:</t>
        </r>
        <r>
          <rPr>
            <sz val="9"/>
            <color indexed="81"/>
            <rFont val="Tahoma"/>
            <family val="2"/>
          </rPr>
          <t xml:space="preserve">
This is not actually a chunk of YAML just a helper column.</t>
        </r>
      </text>
    </comment>
    <comment ref="BH1" authorId="0">
      <text>
        <r>
          <rPr>
            <b/>
            <sz val="9"/>
            <color indexed="81"/>
            <rFont val="Tahoma"/>
            <family val="2"/>
          </rPr>
          <t>Sara Geleskie Damiano:</t>
        </r>
        <r>
          <rPr>
            <sz val="9"/>
            <color indexed="81"/>
            <rFont val="Tahoma"/>
            <family val="2"/>
          </rPr>
          <t xml:space="preserve">
This is not actually a chunk of YAML just a helper column.</t>
        </r>
      </text>
    </comment>
    <comment ref="BI1" authorId="0">
      <text>
        <r>
          <rPr>
            <b/>
            <sz val="9"/>
            <color indexed="81"/>
            <rFont val="Tahoma"/>
            <family val="2"/>
          </rPr>
          <t>Sara Geleskie Damiano:</t>
        </r>
        <r>
          <rPr>
            <sz val="9"/>
            <color indexed="81"/>
            <rFont val="Tahoma"/>
            <family val="2"/>
          </rPr>
          <t xml:space="preserve">
This is not actually a chunk of YAML just a helper column.</t>
        </r>
      </text>
    </comment>
    <comment ref="BJ1" authorId="0">
      <text>
        <r>
          <rPr>
            <b/>
            <sz val="9"/>
            <color indexed="81"/>
            <rFont val="Tahoma"/>
            <family val="2"/>
          </rPr>
          <t>Sara Geleskie Damiano:</t>
        </r>
        <r>
          <rPr>
            <sz val="9"/>
            <color indexed="81"/>
            <rFont val="Tahoma"/>
            <family val="2"/>
          </rPr>
          <t xml:space="preserve">
This is not actually a chunk of YAML just a helper column.</t>
        </r>
      </text>
    </comment>
    <comment ref="BK1" authorId="0">
      <text>
        <r>
          <rPr>
            <b/>
            <sz val="9"/>
            <color indexed="81"/>
            <rFont val="Tahoma"/>
            <family val="2"/>
          </rPr>
          <t>Sara Geleskie Damiano:</t>
        </r>
        <r>
          <rPr>
            <sz val="9"/>
            <color indexed="81"/>
            <rFont val="Tahoma"/>
            <family val="2"/>
          </rPr>
          <t xml:space="preserve">
This is not actually a chunk of YAML just a helper column.</t>
        </r>
      </text>
    </comment>
    <comment ref="BL1" authorId="0">
      <text>
        <r>
          <rPr>
            <b/>
            <sz val="9"/>
            <color indexed="81"/>
            <rFont val="Tahoma"/>
            <family val="2"/>
          </rPr>
          <t>Sara Geleskie Damiano:</t>
        </r>
        <r>
          <rPr>
            <sz val="9"/>
            <color indexed="81"/>
            <rFont val="Tahoma"/>
            <family val="2"/>
          </rPr>
          <t xml:space="preserve">
This is not actually a chunk of YAML just a helper column.</t>
        </r>
      </text>
    </comment>
    <comment ref="BM1" authorId="0">
      <text>
        <r>
          <rPr>
            <b/>
            <sz val="9"/>
            <color indexed="81"/>
            <rFont val="Tahoma"/>
            <family val="2"/>
          </rPr>
          <t>Sara Geleskie Damiano:</t>
        </r>
        <r>
          <rPr>
            <sz val="9"/>
            <color indexed="81"/>
            <rFont val="Tahoma"/>
            <family val="2"/>
          </rPr>
          <t xml:space="preserve">
This is not actually a chunk of YAML just a helper column.</t>
        </r>
      </text>
    </comment>
    <comment ref="BN1" authorId="0">
      <text>
        <r>
          <rPr>
            <b/>
            <sz val="9"/>
            <color indexed="81"/>
            <rFont val="Tahoma"/>
            <family val="2"/>
          </rPr>
          <t>Sara Geleskie Damiano:</t>
        </r>
        <r>
          <rPr>
            <sz val="9"/>
            <color indexed="81"/>
            <rFont val="Tahoma"/>
            <family val="2"/>
          </rPr>
          <t xml:space="preserve">
This is not actually a chunk of YAML just a helper column.</t>
        </r>
      </text>
    </comment>
    <comment ref="BO1" authorId="0">
      <text>
        <r>
          <rPr>
            <b/>
            <sz val="9"/>
            <color indexed="81"/>
            <rFont val="Tahoma"/>
            <family val="2"/>
          </rPr>
          <t>Sara Geleskie Damiano:</t>
        </r>
        <r>
          <rPr>
            <sz val="9"/>
            <color indexed="81"/>
            <rFont val="Tahoma"/>
            <family val="2"/>
          </rPr>
          <t xml:space="preserve">
This is not actually a chunk of YAML just a helper column.</t>
        </r>
      </text>
    </comment>
    <comment ref="BP1" authorId="0">
      <text>
        <r>
          <rPr>
            <b/>
            <sz val="9"/>
            <color indexed="81"/>
            <rFont val="Tahoma"/>
            <family val="2"/>
          </rPr>
          <t>Sara Geleskie Damiano:</t>
        </r>
        <r>
          <rPr>
            <sz val="9"/>
            <color indexed="81"/>
            <rFont val="Tahoma"/>
            <family val="2"/>
          </rPr>
          <t xml:space="preserve">
This is not actually a chunk of YAML just a helper column.</t>
        </r>
      </text>
    </comment>
    <comment ref="BQ1" authorId="0">
      <text>
        <r>
          <rPr>
            <b/>
            <sz val="9"/>
            <color indexed="81"/>
            <rFont val="Tahoma"/>
            <family val="2"/>
          </rPr>
          <t>Sara Geleskie Damiano:</t>
        </r>
        <r>
          <rPr>
            <sz val="9"/>
            <color indexed="81"/>
            <rFont val="Tahoma"/>
            <family val="2"/>
          </rPr>
          <t xml:space="preserve">
This is not actually a chunk of YAML just a helper column.</t>
        </r>
      </text>
    </comment>
    <comment ref="BR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9.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 ref="F1" authorId="0">
      <text>
        <r>
          <rPr>
            <sz val="9"/>
            <color indexed="81"/>
            <rFont val="Tahoma"/>
            <family val="2"/>
          </rPr>
          <t>These are the column types allowed in the "Data Columns" worksheet.</t>
        </r>
      </text>
    </comment>
  </commentList>
</comments>
</file>

<file path=xl/sharedStrings.xml><?xml version="1.0" encoding="utf-8"?>
<sst xmlns="http://schemas.openxmlformats.org/spreadsheetml/2006/main" count="2640" uniqueCount="2030">
  <si>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</si>
  <si>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</si>
  <si>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</si>
  <si>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</si>
  <si>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</si>
  <si>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</si>
  <si>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</si>
  <si>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</si>
  <si>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</si>
  <si>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</si>
  <si>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</si>
  <si>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</si>
  <si>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</si>
  <si>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</si>
  <si>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</si>
  <si>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</si>
  <si>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</si>
  <si>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</si>
  <si>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</si>
  <si>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</si>
  <si>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</si>
  <si>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</si>
  <si>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</si>
  <si>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</si>
  <si>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</si>
  <si>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</si>
  <si>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</si>
  <si>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</si>
  <si>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</si>
  <si>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Stream</t>
  </si>
  <si>
    <t>Grab</t>
  </si>
  <si>
    <t>Automated</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</si>
  <si>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</si>
  <si>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</si>
  <si>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</si>
  <si>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</si>
  <si>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</si>
  <si>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</si>
  <si>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</si>
  <si>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</si>
  <si>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</si>
  <si>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</si>
  <si>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</si>
  <si>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Variable Name</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</si>
  <si>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</si>
  <si>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</si>
  <si>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</si>
  <si>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</si>
  <si>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</si>
  <si>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</si>
  <si>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</si>
  <si>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</si>
  <si>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</si>
  <si>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</si>
  <si>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Consortium</t>
  </si>
  <si>
    <t>Publisher</t>
  </si>
  <si>
    <t>Author Number</t>
  </si>
  <si>
    <t>Citation Title</t>
  </si>
  <si>
    <t>~</t>
  </si>
  <si>
    <t>People:</t>
  </si>
  <si>
    <t>Primary Address</t>
  </si>
  <si>
    <t>Organizations:</t>
  </si>
  <si>
    <t>Affiliations:</t>
  </si>
  <si>
    <t>Citation DOI</t>
  </si>
  <si>
    <t>Dataset Citation Relationship</t>
  </si>
  <si>
    <t>Site Type</t>
  </si>
  <si>
    <t>Boolean</t>
  </si>
  <si>
    <t>Feature Name</t>
  </si>
  <si>
    <t>Feature Description</t>
  </si>
  <si>
    <t>Feature Code</t>
  </si>
  <si>
    <t>Feature Geometry</t>
  </si>
  <si>
    <t>SpecimenTypeCV</t>
  </si>
  <si>
    <t>RelationshipTypeCV</t>
  </si>
  <si>
    <t>NotApplicable</t>
  </si>
  <si>
    <t>SampledMediumCV</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</si>
  <si>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</si>
  <si>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</si>
  <si>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</si>
  <si>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</si>
  <si>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</si>
  <si>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</si>
  <si>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</si>
  <si>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</si>
  <si>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</si>
  <si>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</si>
  <si>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</si>
  <si>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</si>
  <si>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</si>
  <si>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</si>
  <si>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</si>
  <si>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</si>
  <si>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</si>
  <si>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</si>
  <si>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</si>
  <si>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</si>
  <si>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</si>
  <si>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</si>
  <si>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</si>
  <si>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</si>
  <si>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</si>
  <si>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</si>
  <si>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</si>
  <si>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</si>
  <si>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</si>
  <si>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</si>
  <si>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</si>
  <si>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</si>
  <si>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</si>
  <si>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</si>
  <si>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</si>
  <si>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</si>
  <si>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</si>
  <si>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</si>
  <si>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</si>
  <si>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</si>
  <si>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</si>
  <si>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</si>
  <si>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</si>
  <si>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</si>
  <si>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</si>
  <si>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</si>
  <si>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</si>
  <si>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</si>
  <si>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</si>
  <si>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</si>
  <si>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</si>
  <si>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</si>
  <si>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</si>
  <si>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</si>
  <si>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TSI</t>
  </si>
  <si>
    <t>Variables</t>
  </si>
  <si>
    <t>Variables:</t>
  </si>
  <si>
    <t>Block Length</t>
  </si>
  <si>
    <t>YAML</t>
  </si>
  <si>
    <t>Block Number</t>
  </si>
  <si>
    <t>Row in Block</t>
  </si>
  <si>
    <t>CTD</t>
  </si>
  <si>
    <t>Reviews</t>
  </si>
  <si>
    <t>SiteID</t>
  </si>
  <si>
    <t>ResultUUID</t>
  </si>
  <si>
    <t>ResultTypeCV</t>
  </si>
  <si>
    <t>Measurement</t>
  </si>
  <si>
    <t>CensorCodeCV</t>
  </si>
  <si>
    <t>QualityCodeCV</t>
  </si>
  <si>
    <t>Good</t>
  </si>
  <si>
    <t>AggregationStatisticCV</t>
  </si>
  <si>
    <t>Average</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</si>
  <si>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</si>
  <si>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</si>
  <si>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</si>
  <si>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</si>
  <si>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</si>
  <si>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</si>
  <si>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Actions</t>
  </si>
  <si>
    <t>Feature IGSN</t>
  </si>
  <si>
    <t>Actions:</t>
  </si>
  <si>
    <t>FeatureActions:</t>
  </si>
  <si>
    <t>Results</t>
  </si>
  <si>
    <t>Results:</t>
  </si>
  <si>
    <t>Measurement Results</t>
  </si>
  <si>
    <t>Measurement Result Values</t>
  </si>
  <si>
    <t>How to use this template:</t>
  </si>
  <si>
    <t>Purpose of this template:</t>
  </si>
  <si>
    <t>Limitations of this template:</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</si>
  <si>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</si>
  <si>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</si>
  <si>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</si>
  <si>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</si>
  <si>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</si>
  <si>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Relationships: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</si>
  <si>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</si>
  <si>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</si>
  <si>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</si>
  <si>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</si>
  <si>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</si>
  <si>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</si>
  <si>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</si>
  <si>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</si>
  <si>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</si>
  <si>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</si>
  <si>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</si>
  <si>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</si>
  <si>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</si>
  <si>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</si>
  <si>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</si>
  <si>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</si>
  <si>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</si>
  <si>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</si>
  <si>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</si>
  <si>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</si>
  <si>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</si>
  <si>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</si>
  <si>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</si>
  <si>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NOTE:  To include more columns, simply begin typing in the next row below the yellow block.  The table will automatically extend.</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</si>
  <si>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</si>
  <si>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</si>
  <si>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</si>
  <si>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</si>
  <si>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</si>
  <si>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</si>
  <si>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</si>
  <si>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</si>
  <si>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</si>
  <si>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</si>
  <si>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</si>
  <si>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</si>
  <si>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</si>
  <si>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</si>
  <si>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</si>
  <si>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</si>
  <si>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</si>
  <si>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</si>
  <si>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</si>
  <si>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</si>
  <si>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</si>
  <si>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</si>
  <si>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</si>
  <si>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</si>
  <si>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</si>
  <si>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</si>
  <si>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</si>
  <si>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</si>
  <si>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</si>
  <si>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</si>
  <si>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</si>
  <si>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</si>
  <si>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</si>
  <si>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</si>
  <si>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</si>
  <si>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</si>
  <si>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</si>
  <si>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</si>
  <si>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</si>
  <si>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</si>
  <si>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</si>
  <si>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</si>
  <si>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</si>
  <si>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</si>
  <si>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</si>
  <si>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</si>
  <si>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</si>
  <si>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</si>
  <si>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</si>
  <si>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</si>
  <si>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</si>
  <si>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Template version:</t>
  </si>
  <si>
    <t>Template Profile:</t>
  </si>
  <si>
    <t>YODA Specification Version:</t>
  </si>
  <si>
    <t>Datasets</t>
  </si>
  <si>
    <t>ActionBy:</t>
  </si>
  <si>
    <t>YODA:</t>
  </si>
  <si>
    <t>ColumnTypes</t>
  </si>
  <si>
    <t>TimeAggregationInterval</t>
  </si>
  <si>
    <t>TimeAggregationIntervalUnitCode</t>
  </si>
  <si>
    <t>ProcessingLevelCode</t>
  </si>
  <si>
    <t>Instructions:  In the yellow boxes, enter all the taxonomic classifier information related to this data.  Darker yellow columns are mandatory; paler yellow is optional.</t>
  </si>
  <si>
    <t>NOTE:  To include more taxonomic classifiers, simply begin typing in the next row below the yellow block.  The table will automatically extend.</t>
  </si>
  <si>
    <r>
      <t xml:space="preserve">NOTE:  Taxonomic Classifier Names </t>
    </r>
    <r>
      <rPr>
        <b/>
        <sz val="11"/>
        <color theme="1"/>
        <rFont val="Calibri"/>
        <family val="2"/>
        <scheme val="minor"/>
      </rPr>
      <t xml:space="preserve">MUST </t>
    </r>
    <r>
      <rPr>
        <sz val="11"/>
        <color theme="1"/>
        <rFont val="Calibri"/>
        <family val="2"/>
        <scheme val="minor"/>
      </rPr>
      <t>be unique within this template.</t>
    </r>
  </si>
  <si>
    <t># TaxonomicClassifiers</t>
  </si>
  <si>
    <t>Taxonomic Classifier Type</t>
  </si>
  <si>
    <t>Taxonomic Classifier Name</t>
  </si>
  <si>
    <t>Taxonomic Classifier Common Name</t>
  </si>
  <si>
    <t>Taxonomic Classifier Description</t>
  </si>
  <si>
    <t>Taxonomic Classifier Information</t>
  </si>
  <si>
    <t>TaxonomicClassifierName</t>
  </si>
  <si>
    <t>REQUIRED</t>
  </si>
  <si>
    <t>NOTE:  This template also does not allow for inputting any information about Valid date/times, and continuing statuses.  To include these, you must generate your YODA file in some other way.</t>
  </si>
  <si>
    <t>SpecimenMediumCV</t>
  </si>
  <si>
    <t># Specimens</t>
  </si>
  <si>
    <t>Specimen Column</t>
  </si>
  <si>
    <t>SpecimenIGSN</t>
  </si>
  <si>
    <t>SpecimenUUID</t>
  </si>
  <si>
    <t># Data Columns</t>
  </si>
  <si>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</si>
  <si>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Do NOT leave any empty rows between rows of data.</t>
  </si>
  <si>
    <t>Any invalidly entered data or required data left blank will be highlighted in red.</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</si>
  <si>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</si>
  <si>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</si>
  <si>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t>External data set citations include publications in peer-reviewed journals or any other permanent data repository.</t>
  </si>
  <si>
    <t>Authors must first have been entered in the "People and Organizations" tab.</t>
  </si>
  <si>
    <t>Dataset Information</t>
  </si>
  <si>
    <t>External Citation Information</t>
  </si>
  <si>
    <t>Author Information (These apply to the CITATION only!   Do not fill out unless you fill in the citation block above.)</t>
  </si>
  <si>
    <t>These fields apply only to Sites</t>
  </si>
  <si>
    <t>To include more sampling features,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</si>
  <si>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</si>
  <si>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</si>
  <si>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</si>
  <si>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methods, simply begin typing in the next row below the yellow block.  The table will automatically extend.</t>
  </si>
  <si>
    <t>NOTE:  The methods listed here should be the methods used by the instrument or sensor to actually produce the numeric result, NOT the method by which the sensor was deployed.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</si>
  <si>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</si>
  <si>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</si>
  <si>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</si>
  <si>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processing levels, simply begin typing in the next row below the yellow block.  The table will automatically extend.</t>
  </si>
  <si>
    <t>To view the historic controlled vocabulary see: http://sv.criticalzone.org/edit.aspx?id=517576882&amp;tbl=DataLevel&amp;</t>
  </si>
  <si>
    <t>NOTE:  Historically (in ODM1.1.1) the processing levels were called "data levels" and maintained as a  controlled vocabulary.  This is no longer the case.  You must supply your own processing level codes.</t>
  </si>
  <si>
    <t>SpecimenName</t>
  </si>
  <si>
    <t>SpecimenDescription</t>
  </si>
  <si>
    <t>CollectionDateTime</t>
  </si>
  <si>
    <t>CollectionDateTimeUTCOffset</t>
  </si>
  <si>
    <t>AnalysisDateTime</t>
  </si>
  <si>
    <t>AnalysisDateTimeUTCOffset</t>
  </si>
  <si>
    <t>ValueAnnotation</t>
  </si>
  <si>
    <t>Either</t>
  </si>
  <si>
    <t>Value-By-Value</t>
  </si>
  <si>
    <t>ActionBy</t>
  </si>
  <si>
    <t>MeasurementResults</t>
  </si>
  <si>
    <t>ResultValues</t>
  </si>
  <si>
    <t>SamplingFeatures</t>
  </si>
  <si>
    <t>MeasurementResultsValueAnnotations</t>
  </si>
  <si>
    <t>Optional</t>
  </si>
  <si>
    <t>CV Name</t>
  </si>
  <si>
    <t>PeopleNames</t>
  </si>
  <si>
    <t>ProcessingLevelCodes</t>
  </si>
  <si>
    <t>FeatureCodes</t>
  </si>
  <si>
    <t>TaxClassifiers</t>
  </si>
  <si>
    <t>MethodCodes</t>
  </si>
  <si>
    <t>VariableCodes</t>
  </si>
  <si>
    <t>UnitName</t>
  </si>
  <si>
    <t>VariableCode</t>
  </si>
  <si>
    <t>DataType</t>
  </si>
  <si>
    <t>Col#</t>
  </si>
  <si>
    <t>ColumnLabel</t>
  </si>
  <si>
    <t>ColumnType</t>
  </si>
  <si>
    <t>Data Values Column Number</t>
  </si>
  <si>
    <t>IsFieldSpecimen</t>
  </si>
  <si>
    <t>AppliesToColumn</t>
  </si>
  <si>
    <t>Fields Absolutely REQUIRED for ALL Columns</t>
  </si>
  <si>
    <t>Fields Describing the SPECIMEN</t>
  </si>
  <si>
    <t>Fields Describing the RESULTS - May be entered here to apply the same value to all results in a column or selected for each value as a column type</t>
  </si>
  <si>
    <t>SpecimenCollector</t>
  </si>
  <si>
    <t>ResultAnalyst</t>
  </si>
  <si>
    <t>Spatial Offset Code</t>
  </si>
  <si>
    <t>Only include relationships between the parent sampling features to those listed in the data values table!  DO NOT include any sampling features listed in the data values table!</t>
  </si>
  <si>
    <t>Do NOT leave any empty rows between rows of data in the sampling features block.  Blank rows are acceptible in the sites and specimens block.</t>
  </si>
  <si>
    <t># Specimens:</t>
  </si>
  <si>
    <t>These fields apply only to Specimens</t>
  </si>
  <si>
    <t>SpecimenID</t>
  </si>
  <si>
    <t>Specimen Type</t>
  </si>
  <si>
    <t>Specimen Medium</t>
  </si>
  <si>
    <t>Is Field Specimen?</t>
  </si>
  <si>
    <r>
      <rPr>
        <b/>
        <i/>
        <u/>
        <sz val="11"/>
        <color theme="1"/>
        <rFont val="Calibri"/>
        <family val="2"/>
        <scheme val="minor"/>
      </rPr>
      <t>Instructions:</t>
    </r>
    <r>
      <rPr>
        <sz val="11"/>
        <color theme="1"/>
        <rFont val="Calibri"/>
        <family val="2"/>
        <scheme val="minor"/>
      </rPr>
      <t xml:space="preserve">  In the yellow boxes, enter the information about spatial offsets between parent and child sampling features.  Darker yellow columns are mandatory; paler yellow is optional.</t>
    </r>
  </si>
  <si>
    <r>
      <t xml:space="preserve">NOTE:  Offset codes </t>
    </r>
    <r>
      <rPr>
        <b/>
        <sz val="11"/>
        <color theme="1"/>
        <rFont val="Calibri"/>
        <family val="2"/>
        <scheme val="minor"/>
      </rPr>
      <t>MUST</t>
    </r>
    <r>
      <rPr>
        <sz val="11"/>
        <color theme="1"/>
        <rFont val="Calibri"/>
        <family val="2"/>
        <scheme val="minor"/>
      </rPr>
      <t xml:space="preserve"> be unique within this template.  The offset codes are unique to this spreadsheet and do not have any place in ODM2's data structure.</t>
    </r>
  </si>
  <si>
    <t>To include more offsets, simply begin typing in the next row below the yellow block.  The table will automatically extend.</t>
  </si>
  <si>
    <t>Specimens:</t>
  </si>
  <si>
    <t>ParentSamplingFeatureCode</t>
  </si>
  <si>
    <t>SpatialOffsetCode</t>
  </si>
  <si>
    <t>Related Features</t>
  </si>
  <si>
    <t>OffsetCodes</t>
  </si>
  <si>
    <t>Error?</t>
  </si>
  <si>
    <t>VBV or Column</t>
  </si>
  <si>
    <t>ODM Table</t>
  </si>
  <si>
    <t>Data Columns Input Column</t>
  </si>
  <si>
    <t>Actions, MeasurementResults</t>
  </si>
  <si>
    <t>Num Required</t>
  </si>
  <si>
    <t>Num Given</t>
  </si>
  <si>
    <t>First Value</t>
  </si>
  <si>
    <t>Related: 1st Feature</t>
  </si>
  <si>
    <t>Related: Relation Type</t>
  </si>
  <si>
    <t>Related: 2nd Feature</t>
  </si>
  <si>
    <t>Related: Offset</t>
  </si>
  <si>
    <t>NOTE:  Relationships between taxonomic classifiers may not be specified in this template.  To do so, please generate your YODA file in some other way.</t>
  </si>
  <si>
    <t>Taxonomic Classifiers</t>
  </si>
  <si>
    <t>ProcessingLevels:</t>
  </si>
  <si>
    <t>DVNum</t>
  </si>
  <si>
    <t>Data Value Label</t>
  </si>
  <si>
    <t>DV Num</t>
  </si>
  <si>
    <t>Concat</t>
  </si>
  <si>
    <t>Data Values Input Row</t>
  </si>
  <si>
    <t>First Value Address</t>
  </si>
  <si>
    <t>ResultParmNum</t>
  </si>
  <si>
    <t>Concat2</t>
  </si>
  <si>
    <t>ResultType</t>
  </si>
  <si>
    <t>ResultParmLabel</t>
  </si>
  <si>
    <t>ResultVariable</t>
  </si>
  <si>
    <t>ResultUnits</t>
  </si>
  <si>
    <t>ResultTax</t>
  </si>
  <si>
    <t>ResultProcessingLevel</t>
  </si>
  <si>
    <t>ResultD/T</t>
  </si>
  <si>
    <t>ResultUTC</t>
  </si>
  <si>
    <t>ResultMedium</t>
  </si>
  <si>
    <t>ResultValue</t>
  </si>
  <si>
    <t>Categorical Results</t>
  </si>
  <si>
    <t>Categorical Result Values</t>
  </si>
  <si>
    <t>ResultCensorCode</t>
  </si>
  <si>
    <t>ResultQualityCode</t>
  </si>
  <si>
    <t>ResultAggregationStatistic</t>
  </si>
  <si>
    <t>ResultAggregationInterval</t>
  </si>
  <si>
    <t>ResultAggregationUnits</t>
  </si>
  <si>
    <t>CollectionMethodCode</t>
  </si>
  <si>
    <t>AnalysisMethodCode</t>
  </si>
  <si>
    <t>CollectionAct: MethodID</t>
  </si>
  <si>
    <t>CollectionAct: D/T</t>
  </si>
  <si>
    <t>CollectionAct: UTCOffset</t>
  </si>
  <si>
    <t>AnalysisAct: MethodID</t>
  </si>
  <si>
    <t>AnalysisAct: D/T</t>
  </si>
  <si>
    <t>AnalysisAct: UTCOffset</t>
  </si>
  <si>
    <t>CollectionAct: FeatureObj</t>
  </si>
  <si>
    <t>AnalysisAct: FeatureObj</t>
  </si>
  <si>
    <t>SpecimenCode</t>
  </si>
  <si>
    <t>SpecimenType</t>
  </si>
  <si>
    <t>SpecimenMedium</t>
  </si>
  <si>
    <t>Actions (Collection)</t>
  </si>
  <si>
    <t>Actions (Analysis)</t>
  </si>
  <si>
    <t>Feature Actions (Collection)</t>
  </si>
  <si>
    <t>Feature Actions (Analysis)</t>
  </si>
  <si>
    <t>Action By (Collection)</t>
  </si>
  <si>
    <t>Action By (Analysis)</t>
  </si>
  <si>
    <t>AnalysisAct: AffiliationObj</t>
  </si>
  <si>
    <t>CollectionAct: AffiliationObj</t>
  </si>
  <si>
    <t>Data</t>
  </si>
  <si>
    <t>Annotations</t>
  </si>
  <si>
    <t>Meas. Result Annotations</t>
  </si>
  <si>
    <t>Categorical Results Annotations</t>
  </si>
  <si>
    <t>NOTE:  This template does not allow for inputs of details about Actions and Feature actions.  All actions will be coded as an "Specimen Collection" or "Specimen Analysis" of the given sampling feature.  To include more details, you must generate your YODA file in some other way.</t>
  </si>
  <si>
    <t>Related citation and related Datasets cannot be included in this template.</t>
  </si>
  <si>
    <t>DatasetsResults:</t>
  </si>
  <si>
    <t>Datasets Results</t>
  </si>
  <si>
    <t>SamplingFeatureExternalIdentifiers</t>
  </si>
  <si>
    <t>This template also does not allow for any type of annotations.</t>
  </si>
  <si>
    <t>This template also does not allow for inputting any information about Valid date/times, continuing statuses, result offsets, and intended time spacings.</t>
  </si>
  <si>
    <t>Questions, Concerns, or Bugs:</t>
  </si>
  <si>
    <t>For questions or problems with this excel template or the YAML it produces, please contact Sara Damiano at sdamiano@stroudcenter.org</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</si>
  <si>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</si>
  <si>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</si>
  <si>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</si>
  <si>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</si>
  <si>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</si>
  <si>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</si>
  <si>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</si>
  <si>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</si>
  <si>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</si>
  <si>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</si>
  <si>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</si>
  <si>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 As you fill out each worksheet, watch for orange and red flagging text indicating you have made a possible mistake.  Correct all mistakes immediately.</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</si>
  <si>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</si>
  <si>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</si>
  <si>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</si>
  <si>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</si>
  <si>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</si>
  <si>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</si>
  <si>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</si>
  <si>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</si>
  <si>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</si>
  <si>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</si>
  <si>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</si>
  <si>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</si>
  <si>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</si>
  <si>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t>
  </si>
  <si>
    <t>--- Repeat these steps until everything checks out right.</t>
  </si>
  <si>
    <t>Saving Your YODA File:</t>
  </si>
  <si>
    <t>--- Once you are happy with the generated contents of the "YODA File" worksheet, save your Excel document.</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</si>
  <si>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</si>
  <si>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</si>
  <si>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</si>
  <si>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</si>
  <si>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</si>
  <si>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</si>
  <si>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</si>
  <si>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The "Data Columns" Worksheet:</t>
  </si>
  <si>
    <t>--- This worksheet is designed to be a map between the way you've chosen to structure your data values and the structure of ODM2.</t>
  </si>
  <si>
    <t>--- The worksheet is divided into three chunks: metadata about the columns, metadata about the specimens themselves, and metadata about the data values.</t>
  </si>
  <si>
    <t>NOTE:  This template also does not allow for any type of annotations.  To include these, you must generate your YODA file in some other way.</t>
  </si>
  <si>
    <t>--- First fill in the fields absolutely required for each column.  This includes giving each column some a freeform text identifier, selecting the type of information in the column, and selecting which other column/variable it modifies (if applicable)</t>
  </si>
  <si>
    <t>--- Nearly every type of information can be generalized for all your data values or selected individually for each value.</t>
  </si>
  <si>
    <t>--- See the section on "What type of data can this template accept" for more information about what the "Column Types" are.</t>
  </si>
  <si>
    <t>--- As you fill in meta data on your columns, the further right columns describing the specimens and data values will automatically grey out or become bold depending on what information is still required.</t>
  </si>
  <si>
    <t>--- After all your columns are listed, fill in any generalizations that apply to all specimens for which you have data.  This should only be filled out in the same row as the "Specimen Code" column type.</t>
  </si>
  <si>
    <t>--- Next fill in any generalizations that apply to specific variables.  These should only be filled out in the same row as the "Data Values" column types.</t>
  </si>
  <si>
    <t>--- The order of your columns is completely up to you.  As long as you carefully completely this data-columns worksheet, the data should be put together correctly no matter how it is organized.</t>
  </si>
  <si>
    <t>What type of data can this template accept:</t>
  </si>
  <si>
    <r>
      <t xml:space="preserve">NOTE:  The order of columns is unimportant, but there </t>
    </r>
    <r>
      <rPr>
        <b/>
        <i/>
        <sz val="11"/>
        <color theme="1"/>
        <rFont val="Calibri"/>
        <family val="2"/>
        <scheme val="minor"/>
      </rPr>
      <t>MUST</t>
    </r>
    <r>
      <rPr>
        <sz val="11"/>
        <color theme="1"/>
        <rFont val="Calibri"/>
        <family val="2"/>
        <scheme val="minor"/>
      </rPr>
      <t xml:space="preserve"> be a single column with the specimen sampling feature code and at least one column of result values.</t>
    </r>
  </si>
  <si>
    <t>For this template to work, your data absolutely MUST have a single column with the specimen code and at least one column of result values.</t>
  </si>
  <si>
    <r>
      <t xml:space="preserve">--- </t>
    </r>
    <r>
      <rPr>
        <b/>
        <sz val="11"/>
        <color theme="1"/>
        <rFont val="Calibri"/>
        <family val="2"/>
        <scheme val="minor"/>
      </rPr>
      <t>SpecimenCode</t>
    </r>
    <r>
      <rPr>
        <sz val="11"/>
        <color theme="1"/>
        <rFont val="Calibri"/>
        <family val="2"/>
        <scheme val="minor"/>
      </rPr>
      <t xml:space="preserve">:  This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specimen code is a short alpha-numeric code to uniquely identify your specimen.  The specimen codes </t>
    </r>
    <r>
      <rPr>
        <b/>
        <i/>
        <sz val="11"/>
        <color theme="1"/>
        <rFont val="Calibri"/>
        <family val="2"/>
        <scheme val="minor"/>
      </rPr>
      <t>must</t>
    </r>
    <r>
      <rPr>
        <i/>
        <sz val="11"/>
        <color theme="1"/>
        <rFont val="Calibri"/>
        <family val="2"/>
        <scheme val="minor"/>
      </rPr>
      <t xml:space="preserve"> </t>
    </r>
    <r>
      <rPr>
        <sz val="11"/>
        <color theme="1"/>
        <rFont val="Calibri"/>
        <family val="2"/>
        <scheme val="minor"/>
      </rPr>
      <t>be unique within this excel file.  Don't even dream of omitting this column.</t>
    </r>
  </si>
  <si>
    <t>All of the following types of information can be entered about specimens and results: (bold fields are required)</t>
  </si>
  <si>
    <r>
      <t xml:space="preserve">--- </t>
    </r>
    <r>
      <rPr>
        <b/>
        <sz val="11"/>
        <color theme="1"/>
        <rFont val="Calibri"/>
        <family val="2"/>
        <scheme val="minor"/>
      </rPr>
      <t>CollectionDateTime</t>
    </r>
    <r>
      <rPr>
        <sz val="11"/>
        <color theme="1"/>
        <rFont val="Calibri"/>
        <family val="2"/>
        <scheme val="minor"/>
      </rPr>
      <t>:  This field is required.  The collection date/time tells when a specimen was first obtained.  It can only be entered as a column type, not generalized for all specimens.</t>
    </r>
  </si>
  <si>
    <t>--- SpecimenName:  This is an optional field.  It is a longer text name for each specimen.  It can only be entered as a column type, not generalized for all specimens.</t>
  </si>
  <si>
    <t>--- SpecimenDescription:  This is an optional field.  It is a long text description of each specimen.  It can only be entered as a column type, not generalized for all specimens.</t>
  </si>
  <si>
    <r>
      <t xml:space="preserve">--- </t>
    </r>
    <r>
      <rPr>
        <b/>
        <sz val="11"/>
        <color theme="1"/>
        <rFont val="Calibri"/>
        <family val="2"/>
        <scheme val="minor"/>
      </rPr>
      <t>CollectionDateTimeUTCOffset:</t>
    </r>
    <r>
      <rPr>
        <sz val="11"/>
        <color theme="1"/>
        <rFont val="Calibri"/>
        <family val="2"/>
        <scheme val="minor"/>
      </rPr>
      <t xml:space="preserve">  This field is required.  This is the UTC offset of the collection date/time (ie, -5 for Eastern Standard Time).  It can be entered as a separate column of data if it varies between specimens or a single offset for all specimens can be selected in the "Fields Describing the SPECIMEN" block.</t>
    </r>
  </si>
  <si>
    <r>
      <t xml:space="preserve">--- </t>
    </r>
    <r>
      <rPr>
        <b/>
        <sz val="11"/>
        <color theme="1"/>
        <rFont val="Calibri"/>
        <family val="2"/>
        <scheme val="minor"/>
      </rPr>
      <t>CollectionMethodCode:</t>
    </r>
    <r>
      <rPr>
        <sz val="11"/>
        <color theme="1"/>
        <rFont val="Calibri"/>
        <family val="2"/>
        <scheme val="minor"/>
      </rPr>
      <t xml:space="preserve">  This field is required.  This is the method used to collect each specimen.  It can be entered as a separate column of data if it varies between specimens or a single offset for all specimens can be selected in the "Fields Describing the SPECIMEN" block.  The method codes, whether generalzied for all specimens or selected individually for each specimen, must match up with the method codes entered in the "Methods" worksheet.  Any methods which do not match will lead to red and orange flags in the "Actions" block of your YODA file.</t>
    </r>
  </si>
  <si>
    <r>
      <t xml:space="preserve">--- </t>
    </r>
    <r>
      <rPr>
        <b/>
        <sz val="11"/>
        <color theme="1"/>
        <rFont val="Calibri"/>
        <family val="2"/>
        <scheme val="minor"/>
      </rPr>
      <t>SpecimenMediumCV:</t>
    </r>
    <r>
      <rPr>
        <sz val="11"/>
        <color theme="1"/>
        <rFont val="Calibri"/>
        <family val="2"/>
        <scheme val="minor"/>
      </rPr>
      <t xml:space="preserve">  This field is required.  This is the medium of each specimen (ie, soil, liquid aqueous, gas, etc).  It can be entered as a separate column of data if it varies between specimens or a single offset for all specimens can be selected in the "Fields Describing the SPECIMEN" block.  The specimen mediums, whether generalzied for all specimens or selected individually for each specimen, must match up with the allowable terms in the SampledMediumCV.  Any terms which do not match will lead to red and orange flags in the "Specimens" block of your YODA file.</t>
    </r>
  </si>
  <si>
    <r>
      <t xml:space="preserve">--- </t>
    </r>
    <r>
      <rPr>
        <b/>
        <sz val="11"/>
        <color theme="1"/>
        <rFont val="Calibri"/>
        <family val="2"/>
        <scheme val="minor"/>
      </rPr>
      <t>SpecimenTypeCV:</t>
    </r>
    <r>
      <rPr>
        <sz val="11"/>
        <color theme="1"/>
        <rFont val="Calibri"/>
        <family val="2"/>
        <scheme val="minor"/>
      </rPr>
      <t xml:space="preserve">  This field is required.  This is the type of each specimen (ie, core, grab, thin section, etc).  It can be entered as a separate column of data if it varies between specimens or a single offset for all specimens can be selected in the "Fields Describing the SPECIMEN" block.  The specimen types, whether generalzied for all specimens or selected individually for each specimen, must match up with the allowable terms in the SpecimenTypeCV.  Any terms which do not match will lead to red and orange flags in the "Specimens" block of your YODA file.</t>
    </r>
  </si>
  <si>
    <r>
      <t xml:space="preserve">--- </t>
    </r>
    <r>
      <rPr>
        <b/>
        <sz val="11"/>
        <color theme="1"/>
        <rFont val="Calibri"/>
        <family val="2"/>
        <scheme val="minor"/>
      </rPr>
      <t>IsFieldSpecimen:</t>
    </r>
    <r>
      <rPr>
        <sz val="11"/>
        <color theme="1"/>
        <rFont val="Calibri"/>
        <family val="2"/>
        <scheme val="minor"/>
      </rPr>
      <t xml:space="preserve">  This field is required.  This is a booleen field specifying whether a specimen was collected from the field (TRUE) or generated in the lab (FALSE).  It can be entered as a separate column of data if it varies between specimens or a single offset for all specimens can be selected in the "Fields Describing the SPECIMEN" block.</t>
    </r>
  </si>
  <si>
    <t>--- SpecimenUUID:  This is an optional field.  It is a universally unique identifier for each specimen; usually this is generated by a database of some kind.  It can only be entered as a column type, not generalized for all specimens.</t>
  </si>
  <si>
    <t>--- SpecimenIGSN:  This is an optional field.  It is a unique International GeoSample Number for each specimen.  These IGSN's are granted by SESAR (http://www.geosamples.org/) when specimens or sampling featrures are registersed with them.  They can only be entered as a column type, not generalized for all specimens.</t>
  </si>
  <si>
    <r>
      <t xml:space="preserve">--- SpecimenCollector:  This is an optional field.  This is the </t>
    </r>
    <r>
      <rPr>
        <i/>
        <sz val="11"/>
        <color theme="1"/>
        <rFont val="Calibri"/>
        <family val="2"/>
        <scheme val="minor"/>
      </rPr>
      <t>full name</t>
    </r>
    <r>
      <rPr>
        <sz val="11"/>
        <color theme="1"/>
        <rFont val="Calibri"/>
        <family val="2"/>
        <scheme val="minor"/>
      </rPr>
      <t xml:space="preserve"> of the person who collected each specimen.  It can be entered as a separate column of data if it varies between specimens or a single offset for all specimens can be selected in the "Fields Describing the SPECIMEN" block.  The specimen collector, whether generalzied for all specimens or selected individually for each specimen, must a person's </t>
    </r>
    <r>
      <rPr>
        <i/>
        <sz val="11"/>
        <color theme="1"/>
        <rFont val="Calibri"/>
        <family val="2"/>
        <scheme val="minor"/>
      </rPr>
      <t>full name</t>
    </r>
    <r>
      <rPr>
        <sz val="11"/>
        <color theme="1"/>
        <rFont val="Calibri"/>
        <family val="2"/>
        <scheme val="minor"/>
      </rPr>
      <t xml:space="preserve"> in the "People and Organizations" worksheet.  Any people who do not match will lead to red and orange flags in the "Actions By" block of your YODA file.</t>
    </r>
  </si>
  <si>
    <t>--- ParentSamplingFeatureCode:  This is an optional field.  This is the code of a parent sampling feature for a specimen (ie, the site it was collected at or a larger specimen it was split from).  It can be entered as a separate column of data if it varies between specimens or a single parent sampling featrue for all specimens can be selected in the "Fields Describing the SPECIMEN" block.  The parent sampling feature code, whether generalzied for all specimens or selected individually for each specimen, must match with a sampling feature code as entered in the "Sampling Features" worksheet.  Any offset codes which do not match will lead to red and orange flags in the "Related Features" block of your YODA file.</t>
  </si>
  <si>
    <t>--- SpatialOffsetCode:  This is an optional field.  This is the code used to specify the offset between a specimen and its parent sampling feature.  It can be entered as a separate column of data if it varies between specimens or a single offset for all specimens can be selected in the "Fields Describing the SPECIMEN" block.  The offset code, whether generalzied for all specimens or selected individually for each specimen, must match with an offset code as entered in the "Spatial Offsets" worksheet.  Any offset codes which do not match will lead to red and orange flags in the "Related Features" block of your YODA file.</t>
  </si>
  <si>
    <t>--- RelationshipTypeCV:  This is an optional field.  This is the relationship between a specimen and its parent sampling feature.  It can be entered as a separate column of data if it varies between specimens or a single offset for all specimens can be selected in the "Fields Describing the SPECIMEN" block.  The relationship type, whether generalzied for all specimens or selected individually for each specimen, must match up with the allowable terms in the RelationshipTypeCV.  Any relationship types which do not match will lead to red and orange flags in the "Related Features" block of your YODA file.</t>
  </si>
  <si>
    <r>
      <t xml:space="preserve">--- </t>
    </r>
    <r>
      <rPr>
        <b/>
        <sz val="11"/>
        <color theme="1"/>
        <rFont val="Calibri"/>
        <family val="2"/>
        <scheme val="minor"/>
      </rPr>
      <t>ResultValue</t>
    </r>
    <r>
      <rPr>
        <sz val="11"/>
        <color theme="1"/>
        <rFont val="Calibri"/>
        <family val="2"/>
        <scheme val="minor"/>
      </rPr>
      <t xml:space="preserve">:  At least 1 field of this type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result value is an actual measured result on the specimen.  </t>
    </r>
    <r>
      <rPr>
        <sz val="11"/>
        <color theme="1"/>
        <rFont val="Calibri"/>
        <family val="2"/>
        <scheme val="minor"/>
      </rPr>
      <t>Don't even dream of omitting this column.</t>
    </r>
  </si>
  <si>
    <t>--- AnalysisDateTimeUTCOffset:  This is an optional field (but required if the AnalysisDateTime is specified).  This the utc offset of the date/time a specimen was analyzed to produce a specific result.  It can be specified for each individual value within a column or generalized for all values within a column.</t>
  </si>
  <si>
    <r>
      <t>--- ResultAnalyst:  This is an optional field (but required if the AnalysisDateTime is specified).  This the</t>
    </r>
    <r>
      <rPr>
        <i/>
        <sz val="11"/>
        <color theme="1"/>
        <rFont val="Calibri"/>
        <family val="2"/>
        <scheme val="minor"/>
      </rPr>
      <t xml:space="preserve"> full name </t>
    </r>
    <r>
      <rPr>
        <sz val="11"/>
        <color theme="1"/>
        <rFont val="Calibri"/>
        <family val="2"/>
        <scheme val="minor"/>
      </rPr>
      <t xml:space="preserve">of the person who analyzed the specimen to produce a result.  It can be specified for each individual value within a column or generalized for all values within a column.  Whether generalzied for all values or selected individually for each, the </t>
    </r>
    <r>
      <rPr>
        <i/>
        <sz val="11"/>
        <color theme="1"/>
        <rFont val="Calibri"/>
        <family val="2"/>
        <scheme val="minor"/>
      </rPr>
      <t xml:space="preserve">full names </t>
    </r>
    <r>
      <rPr>
        <sz val="11"/>
        <color theme="1"/>
        <rFont val="Calibri"/>
        <family val="2"/>
        <scheme val="minor"/>
      </rPr>
      <t>must match up those entered in the "People and Organizations" worksheet.</t>
    </r>
  </si>
  <si>
    <r>
      <t xml:space="preserve">--- </t>
    </r>
    <r>
      <rPr>
        <b/>
        <sz val="11"/>
        <color theme="1"/>
        <rFont val="Calibri"/>
        <family val="2"/>
        <scheme val="minor"/>
      </rPr>
      <t>ResultTypeCV</t>
    </r>
    <r>
      <rPr>
        <sz val="11"/>
        <color theme="1"/>
        <rFont val="Calibri"/>
        <family val="2"/>
        <scheme val="minor"/>
      </rPr>
      <t>:  One field of this type is required for each result value field.  This specifies the type of result each value is (measurement or categorical).  It can be specified for each individual value within a column or (more frequently) generalized for all values within a column.  Whether generalzied for all values or selected individually for each, the result types must match up with the allowable terms in the ResultTypeCV.</t>
    </r>
  </si>
  <si>
    <r>
      <t xml:space="preserve">--- </t>
    </r>
    <r>
      <rPr>
        <b/>
        <sz val="11"/>
        <color theme="1"/>
        <rFont val="Calibri"/>
        <family val="2"/>
        <scheme val="minor"/>
      </rPr>
      <t>VariableCode</t>
    </r>
    <r>
      <rPr>
        <sz val="11"/>
        <color theme="1"/>
        <rFont val="Calibri"/>
        <family val="2"/>
        <scheme val="minor"/>
      </rPr>
      <t>:  One field of this type is required for each result value field.  This specifies which variable a result value applies to.  It can be specified for each individual value within a column or (more frequently) generalized for all values within a column.  Whether generalzied for all values or selected individually for each, the variable codes must match up with the variable codes entered in the "Variables" worksheet.</t>
    </r>
  </si>
  <si>
    <r>
      <t xml:space="preserve">--- </t>
    </r>
    <r>
      <rPr>
        <b/>
        <sz val="11"/>
        <color theme="1"/>
        <rFont val="Calibri"/>
        <family val="2"/>
        <scheme val="minor"/>
      </rPr>
      <t>UnitName</t>
    </r>
    <r>
      <rPr>
        <sz val="11"/>
        <color theme="1"/>
        <rFont val="Calibri"/>
        <family val="2"/>
        <scheme val="minor"/>
      </rPr>
      <t>:  One field of this type is required for each result value field.  This specifies the unit of each result value.  It can be specified for each individual value within a column or (more frequently) generalized for all values within a column.  Whether generalzied for all values or selected individually for each, the unit names must match up with the standard unit names pre-loaded in all instances of ODM2 and this spreadsheet.</t>
    </r>
  </si>
  <si>
    <r>
      <t xml:space="preserve">--- </t>
    </r>
    <r>
      <rPr>
        <b/>
        <sz val="11"/>
        <color theme="1"/>
        <rFont val="Calibri"/>
        <family val="2"/>
        <scheme val="minor"/>
      </rPr>
      <t>SampledMediumCV</t>
    </r>
    <r>
      <rPr>
        <sz val="11"/>
        <color theme="1"/>
        <rFont val="Calibri"/>
        <family val="2"/>
        <scheme val="minor"/>
      </rPr>
      <t>:  One field of this type is required for each result value field.  This what medium was sampled to produce a result.  It can be different from the specimen medium (ie, if an acid extraction was taken from a soil sample).  It can be specified for each individual value within a column or (more frequently) generalized for all values within a column.  Whether generalzied for all values or selected individually for each, the sampled medium codes must match up with the allowable terms in the SampledMediumCV.</t>
    </r>
  </si>
  <si>
    <r>
      <t xml:space="preserve">--- </t>
    </r>
    <r>
      <rPr>
        <b/>
        <sz val="11"/>
        <color theme="1"/>
        <rFont val="Calibri"/>
        <family val="2"/>
        <scheme val="minor"/>
      </rPr>
      <t>CensorCodeCV:</t>
    </r>
    <r>
      <rPr>
        <sz val="11"/>
        <color theme="1"/>
        <rFont val="Calibri"/>
        <family val="2"/>
        <scheme val="minor"/>
      </rPr>
      <t xml:space="preserve">  One field of this type is required for each result value field.  This specifies whether a value is an upper or lower limit or is below detection.  It can be specified for each individual value within a column or generalized for all values within a column.  Whether generalzied for all values or selected individually for each, the censor codes must match up with the allowable terms in the CensorCodeCV.</t>
    </r>
  </si>
  <si>
    <r>
      <t xml:space="preserve">--- </t>
    </r>
    <r>
      <rPr>
        <b/>
        <sz val="11"/>
        <color theme="1"/>
        <rFont val="Calibri"/>
        <family val="2"/>
        <scheme val="minor"/>
      </rPr>
      <t>QualityCodeCV:</t>
    </r>
    <r>
      <rPr>
        <sz val="11"/>
        <color theme="1"/>
        <rFont val="Calibri"/>
        <family val="2"/>
        <scheme val="minor"/>
      </rPr>
      <t xml:space="preserve">  One field of this type is required for each result value field.  This specifies whether a value is good, bad, or marginal.  It can be specified for each individual value within a column or generalized for all values within a column.  Whether generalzied for all values or selected individually for each, the censor codes must match up with the allowable terms in the QualityCodeCV.</t>
    </r>
  </si>
  <si>
    <r>
      <t xml:space="preserve">--- </t>
    </r>
    <r>
      <rPr>
        <b/>
        <sz val="11"/>
        <color theme="1"/>
        <rFont val="Calibri"/>
        <family val="2"/>
        <scheme val="minor"/>
      </rPr>
      <t>ProcessingLevelCode:</t>
    </r>
    <r>
      <rPr>
        <sz val="11"/>
        <color theme="1"/>
        <rFont val="Calibri"/>
        <family val="2"/>
        <scheme val="minor"/>
      </rPr>
      <t xml:space="preserve">  One field of this type is required for each result value field.  This code specifies how highly processed data values are.  It can be specified for each individual value within a column or generalized for all values within a column.  Whether generalzied for all values or selected individually for each, the processing level codes must match up with those entered in the "Processing Levels" worksheet.</t>
    </r>
  </si>
  <si>
    <r>
      <t xml:space="preserve">--- </t>
    </r>
    <r>
      <rPr>
        <b/>
        <sz val="11"/>
        <color theme="1"/>
        <rFont val="Calibri"/>
        <family val="2"/>
        <scheme val="minor"/>
      </rPr>
      <t>TimeAggregationInterval:</t>
    </r>
    <r>
      <rPr>
        <sz val="11"/>
        <color theme="1"/>
        <rFont val="Calibri"/>
        <family val="2"/>
        <scheme val="minor"/>
      </rPr>
      <t xml:space="preserve">  One field of this type is required for each result value field.  This specifies over how long a time period data was aggregated when a measurement was made.  It can be specified for each individual value within a column or generalized for all values within a column.</t>
    </r>
  </si>
  <si>
    <r>
      <t xml:space="preserve">--- </t>
    </r>
    <r>
      <rPr>
        <b/>
        <sz val="11"/>
        <color theme="1"/>
        <rFont val="Calibri"/>
        <family val="2"/>
        <scheme val="minor"/>
      </rPr>
      <t>TimeAggregationIntervalUnitCode:</t>
    </r>
    <r>
      <rPr>
        <sz val="11"/>
        <color theme="1"/>
        <rFont val="Calibri"/>
        <family val="2"/>
        <scheme val="minor"/>
      </rPr>
      <t xml:space="preserve">  One field of this type is required for each result value field.  This specifies the unit of the time aggregation interval (ie, seconds).  It can be specified for each individual value within a column or generalized for all values within a column.</t>
    </r>
  </si>
  <si>
    <r>
      <t xml:space="preserve">--- </t>
    </r>
    <r>
      <rPr>
        <b/>
        <sz val="11"/>
        <color theme="1"/>
        <rFont val="Calibri"/>
        <family val="2"/>
        <scheme val="minor"/>
      </rPr>
      <t>AggregationStatisticCV:</t>
    </r>
    <r>
      <rPr>
        <sz val="11"/>
        <color theme="1"/>
        <rFont val="Calibri"/>
        <family val="2"/>
        <scheme val="minor"/>
      </rPr>
      <t xml:space="preserve">  One field of this type is required for each result value field.  This specifies how data was aggregated over time (ie, averaged).  It can be specified for each individual value within a column or generalized for all values within a column.  Whether generalzied for all values or selected individually for each, the censor codes must match up with the allowable terms in the AggregationStatisticCV.</t>
    </r>
  </si>
  <si>
    <r>
      <t xml:space="preserve">--- </t>
    </r>
    <r>
      <rPr>
        <b/>
        <sz val="11"/>
        <color theme="1"/>
        <rFont val="Calibri"/>
        <family val="2"/>
        <scheme val="minor"/>
      </rPr>
      <t>AnalysisMethodCode:</t>
    </r>
    <r>
      <rPr>
        <sz val="11"/>
        <color theme="1"/>
        <rFont val="Calibri"/>
        <family val="2"/>
        <scheme val="minor"/>
      </rPr>
      <t xml:space="preserve">  One field of this type is required for each result value field.  This specifies the method for analyzing a sample to produce a measurement result.  It can be specified for each individual value within a column or generalized for all values within a column.  Whether generalzied for all values or selected individually for each, the method codes must match up those entered in the "Methods" worksheet.</t>
    </r>
  </si>
  <si>
    <t>--- TaxonomicClassifierName:  This is an optional field.  This the taxonomic classifier or chemical speciation of a result.  It can be specified for each individual value within a column or generalized for all values within a column.  Whether generalzied for all values or selected individually for each, the taxonomic classifier names must match up those entered in the "Taxonomic Classifiers" worksheet.</t>
  </si>
  <si>
    <t>---ResultUUID:  This is an optional field.  It is a universally unique identifier for each result value; usually this is generated by a database of some kind.  It can only be specified for each individual value within a column.</t>
  </si>
  <si>
    <r>
      <t xml:space="preserve">Instructions:  In the yellow boxes, enter the metadata for all of the </t>
    </r>
    <r>
      <rPr>
        <b/>
        <i/>
        <sz val="11"/>
        <color theme="1"/>
        <rFont val="Calibri"/>
        <family val="2"/>
        <scheme val="minor"/>
      </rPr>
      <t>PARENT</t>
    </r>
    <r>
      <rPr>
        <sz val="11"/>
        <color theme="1"/>
        <rFont val="Calibri"/>
        <family val="2"/>
        <scheme val="minor"/>
      </rPr>
      <t xml:space="preserve"> sampling features (sites, specimens, etc) included in this Dataset.  Darker yellow columns are mandatory; paler yellow is optional.</t>
    </r>
  </si>
  <si>
    <t>--- AnalysisDateTime:  This is an optional field.  This the date/time a specimen was analyzed to produce a specific result.  It can only be specified for each individual value within a column.  One column of analysis date/times can only be applied to a single column of results values.  Even if multiple columns of result values were analysed at the same time, there must be separate repeated columns of analysis date/times for them.</t>
  </si>
  <si>
    <t>Only include parent sampling features to those listed in the data values table!  DO NOT include any sampling features listed as specimen codes in the data values table!</t>
  </si>
  <si>
    <t>0.1.0-alpha</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</si>
  <si>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</si>
  <si>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</si>
  <si>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</si>
  <si>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</si>
  <si>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</si>
  <si>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</si>
  <si>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</si>
  <si>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</si>
  <si>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</si>
  <si>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</si>
  <si>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</si>
  <si>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</si>
  <si>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</si>
  <si>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</si>
  <si>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</si>
  <si>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</si>
  <si>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</si>
  <si>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</si>
  <si>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</si>
  <si>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</si>
  <si>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</si>
  <si>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</si>
  <si>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</si>
  <si>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</si>
  <si>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</si>
  <si>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</si>
  <si>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</si>
  <si>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</si>
  <si>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</si>
  <si>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</si>
  <si>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</si>
  <si>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</si>
  <si>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</si>
  <si>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</si>
  <si>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</si>
  <si>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</si>
  <si>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</si>
  <si>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</si>
  <si>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</si>
  <si>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</si>
  <si>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</si>
  <si>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</si>
  <si>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</si>
  <si>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</si>
  <si>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</si>
  <si>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</si>
  <si>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</si>
  <si>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</si>
  <si>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</si>
  <si>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</si>
  <si>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</si>
  <si>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</si>
  <si>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</si>
  <si>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</si>
  <si>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</si>
  <si>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</si>
  <si>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</si>
  <si>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</si>
  <si>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</si>
  <si>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</si>
  <si>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</si>
  <si>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</si>
  <si>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</si>
  <si>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</si>
  <si>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</si>
  <si>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</si>
  <si>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</si>
  <si>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</si>
  <si>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</si>
  <si>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</si>
  <si>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</si>
  <si>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</si>
  <si>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</si>
  <si>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</si>
  <si>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</si>
  <si>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</si>
  <si>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</si>
  <si>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</si>
  <si>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</si>
  <si>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</si>
  <si>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</si>
  <si>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</si>
  <si>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</si>
  <si>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</si>
  <si>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</si>
  <si>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</si>
  <si>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</si>
  <si>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</si>
  <si>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</si>
  <si>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</si>
  <si>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</si>
  <si>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</si>
  <si>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</si>
  <si>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</si>
  <si>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</si>
  <si>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</si>
  <si>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</si>
  <si>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</si>
  <si>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</si>
  <si>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</si>
  <si>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</si>
  <si>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</si>
  <si>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</si>
  <si>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</si>
  <si>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</si>
  <si>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</si>
  <si>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</si>
  <si>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t>
  </si>
  <si>
    <t>Na</t>
  </si>
  <si>
    <t>NH4</t>
  </si>
  <si>
    <t>Ni</t>
  </si>
  <si>
    <t>NO2</t>
  </si>
  <si>
    <t>NO3</t>
  </si>
  <si>
    <t>O2</t>
  </si>
  <si>
    <t>P</t>
  </si>
  <si>
    <t>Pb</t>
  </si>
  <si>
    <t>PO4</t>
  </si>
  <si>
    <t>Ra</t>
  </si>
  <si>
    <t>Re</t>
  </si>
  <si>
    <t>S</t>
  </si>
  <si>
    <t>Sb</t>
  </si>
  <si>
    <t>Se</t>
  </si>
  <si>
    <t>Si</t>
  </si>
  <si>
    <t>SiO2</t>
  </si>
  <si>
    <t>Sn</t>
  </si>
  <si>
    <t>SO4</t>
  </si>
  <si>
    <t>Sr</t>
  </si>
  <si>
    <t>TA</t>
  </si>
  <si>
    <t>Th</t>
  </si>
  <si>
    <t>Ti</t>
  </si>
  <si>
    <t>Tl</t>
  </si>
  <si>
    <t>U</t>
  </si>
  <si>
    <t>V</t>
  </si>
  <si>
    <t>Zn</t>
  </si>
  <si>
    <t>Zr</t>
  </si>
  <si>
    <t>Data Value Number</t>
  </si>
  <si>
    <r>
      <t>--- If you get an error window saying "</t>
    </r>
    <r>
      <rPr>
        <i/>
        <sz val="11"/>
        <color theme="1"/>
        <rFont val="Calibri"/>
        <family val="2"/>
        <scheme val="minor"/>
      </rPr>
      <t>Run-time error '1004': Method 'Undo' of object '_Application' failed</t>
    </r>
    <r>
      <rPr>
        <sz val="11"/>
        <color theme="1"/>
        <rFont val="Calibri"/>
        <family val="2"/>
        <scheme val="minor"/>
      </rPr>
      <t>", click "End" and then re-click the "Genereate YODA File" button.  This is a known bug which we have not yet solved.</t>
    </r>
  </si>
  <si>
    <t>actiontype</t>
  </si>
  <si>
    <t>aggregationstatistic</t>
  </si>
  <si>
    <t>ApplicableDatasetTypes</t>
  </si>
  <si>
    <t>censorcode</t>
  </si>
  <si>
    <t>datasettype</t>
  </si>
  <si>
    <t>directivetype</t>
  </si>
  <si>
    <t>elevationdatum</t>
  </si>
  <si>
    <t>equipmenttype</t>
  </si>
  <si>
    <t>organizationtype</t>
  </si>
  <si>
    <t>propertydatatype</t>
  </si>
  <si>
    <t>qualitycode</t>
  </si>
  <si>
    <t>referencematerialmedium</t>
  </si>
  <si>
    <t>ApplicableResultTypes</t>
  </si>
  <si>
    <t>resulttype</t>
  </si>
  <si>
    <t>sampledmedium</t>
  </si>
  <si>
    <t>samplingfeaturegeotype</t>
  </si>
  <si>
    <t>samplingfeaturetype</t>
  </si>
  <si>
    <t>sitetype</t>
  </si>
  <si>
    <t>spatialoffsettype</t>
  </si>
  <si>
    <t>speciation</t>
  </si>
  <si>
    <t>specimenmedium</t>
  </si>
  <si>
    <t>specimentype</t>
  </si>
  <si>
    <t>status</t>
  </si>
  <si>
    <t>taxonomicclassifiertype</t>
  </si>
  <si>
    <t>variablename</t>
  </si>
  <si>
    <t>variabletype</t>
  </si>
  <si>
    <t>methodtype</t>
  </si>
  <si>
    <t>ApplicableMethodTypes</t>
  </si>
  <si>
    <t>relationshiptype</t>
  </si>
  <si>
    <t>dataqualitytype</t>
  </si>
  <si>
    <t>Controlled Vocabularies Last Updated:</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</si>
  <si>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</si>
  <si>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Cruise</t>
  </si>
  <si>
    <t>Data retrieval</t>
  </si>
  <si>
    <t>Derivation</t>
  </si>
  <si>
    <t>Observation</t>
  </si>
  <si>
    <t>Equipment deployment</t>
  </si>
  <si>
    <t>Equipment maintenance</t>
  </si>
  <si>
    <t>Equipment programming</t>
  </si>
  <si>
    <t>Equipment retrieval</t>
  </si>
  <si>
    <t>Estimation</t>
  </si>
  <si>
    <t>Expedition</t>
  </si>
  <si>
    <t>Field activity</t>
  </si>
  <si>
    <t>Generic non-observation</t>
  </si>
  <si>
    <t>Other</t>
  </si>
  <si>
    <t>Instrument calibration</t>
  </si>
  <si>
    <t>Instrument deployment</t>
  </si>
  <si>
    <t>Instrument retrieval</t>
  </si>
  <si>
    <t>Simulation</t>
  </si>
  <si>
    <t>Site visit</t>
  </si>
  <si>
    <t>Specimen analysis</t>
  </si>
  <si>
    <t>Specimen collection</t>
  </si>
  <si>
    <t>Specimen fractionation</t>
  </si>
  <si>
    <t>Specimen preparation</t>
  </si>
  <si>
    <t>Specimen preservation</t>
  </si>
  <si>
    <t>Submersible launch</t>
  </si>
  <si>
    <t>Best easy systematic estimator</t>
  </si>
  <si>
    <t>Categorical</t>
  </si>
  <si>
    <t>Constant over interval</t>
  </si>
  <si>
    <t>Continuous</t>
  </si>
  <si>
    <t>Cumulative</t>
  </si>
  <si>
    <t>Incremental</t>
  </si>
  <si>
    <t>Maximum</t>
  </si>
  <si>
    <t>Median</t>
  </si>
  <si>
    <t>Minimum</t>
  </si>
  <si>
    <t>Mode</t>
  </si>
  <si>
    <t>Sporadic</t>
  </si>
  <si>
    <t>Standard deviation</t>
  </si>
  <si>
    <t>Variance</t>
  </si>
  <si>
    <t>Greater than</t>
  </si>
  <si>
    <t>Less than</t>
  </si>
  <si>
    <t>Non-detect</t>
  </si>
  <si>
    <t>Not censored</t>
  </si>
  <si>
    <t>Present but not quantified</t>
  </si>
  <si>
    <t>Multi-variable specimen measurements</t>
  </si>
  <si>
    <t>Specimen time series</t>
  </si>
  <si>
    <t>Category observation</t>
  </si>
  <si>
    <t>Count observation</t>
  </si>
  <si>
    <t>Truth observation</t>
  </si>
  <si>
    <t>Accuracy</t>
  </si>
  <si>
    <t>Method detection limit</t>
  </si>
  <si>
    <t>Precision</t>
  </si>
  <si>
    <t>Reporting level</t>
  </si>
  <si>
    <t>Multi-time series</t>
  </si>
  <si>
    <t>Single time series</t>
  </si>
  <si>
    <t>Field campaign</t>
  </si>
  <si>
    <t>Monitoring program</t>
  </si>
  <si>
    <t>Project</t>
  </si>
  <si>
    <t>Antenna</t>
  </si>
  <si>
    <t>Automatic level</t>
  </si>
  <si>
    <t>Battery</t>
  </si>
  <si>
    <t>Cable</t>
  </si>
  <si>
    <t>Charge regulator</t>
  </si>
  <si>
    <t>Datalogger</t>
  </si>
  <si>
    <t>Enclosure</t>
  </si>
  <si>
    <t>Fluorometer</t>
  </si>
  <si>
    <t>Sensor</t>
  </si>
  <si>
    <t>Global positioning system receiver</t>
  </si>
  <si>
    <t>Laboratory instrument</t>
  </si>
  <si>
    <t>Level staff</t>
  </si>
  <si>
    <t>Mast</t>
  </si>
  <si>
    <t>Measurement tower</t>
  </si>
  <si>
    <t>Power supply</t>
  </si>
  <si>
    <t>Pressure transducer</t>
  </si>
  <si>
    <t>Radio</t>
  </si>
  <si>
    <t>Sampler</t>
  </si>
  <si>
    <t>Solar panel</t>
  </si>
  <si>
    <t>Storm box</t>
  </si>
  <si>
    <t>Total station</t>
  </si>
  <si>
    <t>Tripod</t>
  </si>
  <si>
    <t>Turbidimeter</t>
  </si>
  <si>
    <t>Water quality sonde</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</si>
  <si>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</si>
  <si>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</si>
  <si>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</si>
  <si>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</si>
  <si>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</si>
  <si>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</si>
  <si>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</si>
  <si>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</si>
  <si>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</si>
  <si>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</si>
  <si>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</si>
  <si>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</si>
  <si>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</si>
  <si>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</si>
  <si>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</si>
  <si>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</si>
  <si>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</si>
  <si>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</si>
  <si>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</si>
  <si>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</si>
  <si>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</si>
  <si>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University</t>
  </si>
  <si>
    <t>Vendor</t>
  </si>
  <si>
    <t>Floading point number</t>
  </si>
  <si>
    <t>Integer</t>
  </si>
  <si>
    <t>String</t>
  </si>
  <si>
    <t>Bad</t>
  </si>
  <si>
    <t>Marginal</t>
  </si>
  <si>
    <t>None</t>
  </si>
  <si>
    <t>Gas</t>
  </si>
  <si>
    <t>Ice</t>
  </si>
  <si>
    <t>Liquid aqueous</t>
  </si>
  <si>
    <t>Liquid organic</t>
  </si>
  <si>
    <t>Mineral</t>
  </si>
  <si>
    <t>Not applicable</t>
  </si>
  <si>
    <t>Organism</t>
  </si>
  <si>
    <t>Particulate</t>
  </si>
  <si>
    <t>Rock</t>
  </si>
  <si>
    <t>Sediment</t>
  </si>
  <si>
    <t>Snow</t>
  </si>
  <si>
    <t>Tissue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</si>
  <si>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</si>
  <si>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</si>
  <si>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</si>
  <si>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</si>
  <si>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</si>
  <si>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</si>
  <si>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</si>
  <si>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</si>
  <si>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</si>
  <si>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</si>
  <si>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</si>
  <si>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</si>
  <si>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</si>
  <si>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</si>
  <si>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</si>
  <si>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</si>
  <si>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</si>
  <si>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</si>
  <si>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</si>
  <si>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</si>
  <si>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reviewed by</t>
  </si>
  <si>
    <t>Is source of</t>
  </si>
  <si>
    <t>Is supplemented by</t>
  </si>
  <si>
    <t>Is supplement to</t>
  </si>
  <si>
    <t>Is variant form of</t>
  </si>
  <si>
    <t>References</t>
  </si>
  <si>
    <t>Was collected at</t>
  </si>
  <si>
    <t>Point coverage</t>
  </si>
  <si>
    <t>Profile coverage</t>
  </si>
  <si>
    <t>Section coverage</t>
  </si>
  <si>
    <t>Spectra coverage</t>
  </si>
  <si>
    <t>Temporal observation</t>
  </si>
  <si>
    <t>Time series coverage</t>
  </si>
  <si>
    <t>Trajectory coverage</t>
  </si>
  <si>
    <t>Transect coverage</t>
  </si>
  <si>
    <t>Line string</t>
  </si>
  <si>
    <t>Multi line string</t>
  </si>
  <si>
    <t>Multi point</t>
  </si>
  <si>
    <t>Multi polygon</t>
  </si>
  <si>
    <t>Polygon</t>
  </si>
  <si>
    <t>Volume</t>
  </si>
  <si>
    <t>Borehole</t>
  </si>
  <si>
    <t>Cross section</t>
  </si>
  <si>
    <t>Depth interval</t>
  </si>
  <si>
    <t>Excavation</t>
  </si>
  <si>
    <t>Field area</t>
  </si>
  <si>
    <t>Flightline</t>
  </si>
  <si>
    <t>Interval</t>
  </si>
  <si>
    <t>Observation well</t>
  </si>
  <si>
    <t>Profile</t>
  </si>
  <si>
    <t>Quadrat</t>
  </si>
  <si>
    <t>Scene</t>
  </si>
  <si>
    <t>Ships track</t>
  </si>
  <si>
    <t>Soil pit section</t>
  </si>
  <si>
    <t>Stream gage</t>
  </si>
  <si>
    <t>Trajectory</t>
  </si>
  <si>
    <t>Transect</t>
  </si>
  <si>
    <t>Traverse</t>
  </si>
  <si>
    <t>Water quality station</t>
  </si>
  <si>
    <t>Weather station</t>
  </si>
  <si>
    <t>Aggregate groundwater use</t>
  </si>
  <si>
    <t>Aggregate surface-water-use</t>
  </si>
  <si>
    <t>Aggregate water-use establishment</t>
  </si>
  <si>
    <t>Animal waste lagoon</t>
  </si>
  <si>
    <t>Atmosphere</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</si>
  <si>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</si>
  <si>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</si>
  <si>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</si>
  <si>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</si>
  <si>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</si>
  <si>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</si>
  <si>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</si>
  <si>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</si>
  <si>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</si>
  <si>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</si>
  <si>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</si>
  <si>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</si>
  <si>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</si>
  <si>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</si>
  <si>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</si>
  <si>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</si>
  <si>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</si>
  <si>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</si>
  <si>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</si>
  <si>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</si>
  <si>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</si>
  <si>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</si>
  <si>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</si>
  <si>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</si>
  <si>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</si>
  <si>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</si>
  <si>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</si>
  <si>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</si>
  <si>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</si>
  <si>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</si>
  <si>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</si>
  <si>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</si>
  <si>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</si>
  <si>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</si>
  <si>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</si>
  <si>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</si>
  <si>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</si>
  <si>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</si>
  <si>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</si>
  <si>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</si>
  <si>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</si>
  <si>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</si>
  <si>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</si>
  <si>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</si>
  <si>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Cartesian offset</t>
  </si>
  <si>
    <t>Depth</t>
  </si>
  <si>
    <t>Depth, directional</t>
  </si>
  <si>
    <t>Height</t>
  </si>
  <si>
    <t>Height, directional</t>
  </si>
  <si>
    <t>Height interval</t>
  </si>
  <si>
    <t>Longitudinal interval</t>
  </si>
  <si>
    <t>Radial horizontal offset</t>
  </si>
  <si>
    <t>Radial horizontal offset with depth</t>
  </si>
  <si>
    <t>Radial horizontal offset with height</t>
  </si>
  <si>
    <t>C10H4(CH3)4</t>
  </si>
  <si>
    <t>C10H5(CH3)3</t>
  </si>
  <si>
    <t>C10H6(CH3)2</t>
  </si>
  <si>
    <t>C6H4(CH3)2</t>
  </si>
  <si>
    <t>delta 2H</t>
  </si>
  <si>
    <t>delta N15</t>
  </si>
  <si>
    <t>delta O18</t>
  </si>
  <si>
    <t>Not Applicable</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</si>
  <si>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</si>
  <si>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</si>
  <si>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</si>
  <si>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</si>
  <si>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</si>
  <si>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</si>
  <si>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</si>
  <si>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</si>
  <si>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</si>
  <si>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</si>
  <si>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</si>
  <si>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</si>
  <si>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</si>
  <si>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Individual sample</t>
  </si>
  <si>
    <t>Litter fall digestion</t>
  </si>
  <si>
    <t>Oriented core</t>
  </si>
  <si>
    <t>Petri dish (dry deposition)</t>
  </si>
  <si>
    <t>Precipitation bulk</t>
  </si>
  <si>
    <t>Rock powder</t>
  </si>
  <si>
    <t>Standard reference specimen</t>
  </si>
  <si>
    <t>Terrestrial section</t>
  </si>
  <si>
    <t>The specimen type is unknown</t>
  </si>
  <si>
    <t>Thin section</t>
  </si>
  <si>
    <t>Complete</t>
  </si>
  <si>
    <t>Ongoing</t>
  </si>
  <si>
    <t>Planned</t>
  </si>
  <si>
    <t>Biology</t>
  </si>
  <si>
    <t>Lithology</t>
  </si>
  <si>
    <t>Soil color</t>
  </si>
  <si>
    <t>Soil horizon</t>
  </si>
  <si>
    <t>Soil structure</t>
  </si>
  <si>
    <t>Soil texture</t>
  </si>
  <si>
    <t>Water quality</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</si>
  <si>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</si>
  <si>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</si>
  <si>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</si>
  <si>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</si>
  <si>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</si>
  <si>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</si>
  <si>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</si>
  <si>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</si>
  <si>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</si>
  <si>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</si>
  <si>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</si>
  <si>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</si>
  <si>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</si>
  <si>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</si>
  <si>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</si>
  <si>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</si>
  <si>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</si>
  <si>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</si>
  <si>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</si>
  <si>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</si>
  <si>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</si>
  <si>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</si>
  <si>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</si>
  <si>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</si>
  <si>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</si>
  <si>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</si>
  <si>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</si>
  <si>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</si>
  <si>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</si>
  <si>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</si>
  <si>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</si>
  <si>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</si>
  <si>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</si>
  <si>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</si>
  <si>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</si>
  <si>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</si>
  <si>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</si>
  <si>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</si>
  <si>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</si>
  <si>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</si>
  <si>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</si>
  <si>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</si>
  <si>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</si>
  <si>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</si>
  <si>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</si>
  <si>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</si>
  <si>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</si>
  <si>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</si>
  <si>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</si>
  <si>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</si>
  <si>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</si>
  <si>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</si>
  <si>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</si>
  <si>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</si>
  <si>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</si>
  <si>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</si>
  <si>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</si>
  <si>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</si>
  <si>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</si>
  <si>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</si>
  <si>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</si>
  <si>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</si>
  <si>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</si>
  <si>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</si>
  <si>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</si>
  <si>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</si>
  <si>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</si>
  <si>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</si>
  <si>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</si>
  <si>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</si>
  <si>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</si>
  <si>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</si>
  <si>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</si>
  <si>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</si>
  <si>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</si>
  <si>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</si>
  <si>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</si>
  <si>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</si>
  <si>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</si>
  <si>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</si>
  <si>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</si>
  <si>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</si>
  <si>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</si>
  <si>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</si>
  <si>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</si>
  <si>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</si>
  <si>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</si>
  <si>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</si>
  <si>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</si>
  <si>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</si>
  <si>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</si>
  <si>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</si>
  <si>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</si>
  <si>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</si>
  <si>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</si>
  <si>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</si>
  <si>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</si>
  <si>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</si>
  <si>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</si>
  <si>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</si>
  <si>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</si>
  <si>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</si>
  <si>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</si>
  <si>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</si>
  <si>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</si>
  <si>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</si>
  <si>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</si>
  <si>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</si>
  <si>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</si>
  <si>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</si>
  <si>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</si>
  <si>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</si>
  <si>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</si>
  <si>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</si>
  <si>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</si>
  <si>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</si>
  <si>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</si>
  <si>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</si>
  <si>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</si>
  <si>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</si>
  <si>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</si>
  <si>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</si>
  <si>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</si>
  <si>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</si>
  <si>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</si>
  <si>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</si>
  <si>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</si>
  <si>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</si>
  <si>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</si>
  <si>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</si>
  <si>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</si>
  <si>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</si>
  <si>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</si>
  <si>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</si>
  <si>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</si>
  <si>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</si>
  <si>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</si>
  <si>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</si>
  <si>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</si>
  <si>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</si>
  <si>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</si>
  <si>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</si>
  <si>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</si>
  <si>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</si>
  <si>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</si>
  <si>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</si>
  <si>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</si>
  <si>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</si>
  <si>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</si>
  <si>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</si>
  <si>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</si>
  <si>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</si>
  <si>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</si>
  <si>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</si>
  <si>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</si>
  <si>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</si>
  <si>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</si>
  <si>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</si>
  <si>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</si>
  <si>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</si>
  <si>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</si>
  <si>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</si>
  <si>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</si>
  <si>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</si>
  <si>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</si>
  <si>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</si>
  <si>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BOD20, carbonaceous</t>
  </si>
  <si>
    <t>BOD20, nitrogenous</t>
  </si>
  <si>
    <t>BOD2, carbonaceous</t>
  </si>
  <si>
    <t>BOD3, carbonaceous</t>
  </si>
  <si>
    <t>BOD4, carbonaceous</t>
  </si>
  <si>
    <t>BOD5, carbonaceous</t>
  </si>
  <si>
    <t>BOD5, nitrogenous</t>
  </si>
  <si>
    <t>BOD6, carbonaceous</t>
  </si>
  <si>
    <t>BOD7, carbonaceous</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</si>
  <si>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</si>
  <si>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</si>
  <si>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</si>
  <si>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</si>
  <si>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</si>
  <si>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</si>
  <si>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</si>
  <si>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</si>
  <si>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</si>
  <si>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</si>
  <si>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</si>
  <si>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</si>
  <si>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</si>
  <si>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</si>
  <si>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</si>
  <si>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</si>
  <si>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</si>
  <si>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</si>
  <si>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</si>
  <si>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</si>
  <si>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</si>
  <si>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</si>
  <si>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</si>
  <si>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</si>
  <si>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</si>
  <si>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</si>
  <si>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</si>
  <si>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</si>
  <si>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</si>
  <si>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</si>
  <si>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</si>
  <si>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</si>
  <si>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</si>
  <si>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</si>
  <si>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</si>
  <si>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</si>
  <si>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</si>
  <si>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</si>
  <si>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</si>
  <si>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</si>
  <si>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</si>
  <si>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</si>
  <si>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</si>
  <si>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</si>
  <si>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</si>
  <si>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</si>
  <si>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</si>
  <si>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</si>
  <si>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</si>
  <si>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</si>
  <si>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</si>
  <si>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</si>
  <si>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</si>
  <si>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</si>
  <si>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</si>
  <si>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</si>
  <si>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</si>
  <si>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</si>
  <si>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</si>
  <si>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</si>
  <si>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</si>
  <si>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</si>
  <si>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</si>
  <si>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</si>
  <si>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</si>
  <si>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</si>
  <si>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</si>
  <si>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</si>
  <si>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</si>
  <si>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</si>
  <si>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</si>
  <si>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</si>
  <si>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</si>
  <si>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</si>
  <si>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</si>
  <si>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</si>
  <si>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</si>
  <si>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</si>
  <si>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</si>
  <si>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</si>
  <si>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</si>
  <si>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</si>
  <si>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</si>
  <si>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</si>
  <si>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</si>
  <si>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Cobalt, dissolved</t>
  </si>
  <si>
    <t>Cobalt, total</t>
  </si>
  <si>
    <t>Cobalt-60</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</si>
  <si>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</si>
  <si>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</si>
  <si>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</si>
  <si>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</si>
  <si>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</si>
  <si>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</si>
  <si>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</si>
  <si>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</si>
  <si>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</si>
  <si>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</si>
  <si>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</si>
  <si>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</si>
  <si>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</si>
  <si>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</si>
  <si>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</si>
  <si>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</si>
  <si>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</si>
  <si>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</si>
  <si>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</si>
  <si>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</si>
  <si>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</si>
  <si>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</si>
  <si>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</si>
  <si>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</si>
  <si>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</si>
  <si>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</si>
  <si>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</si>
  <si>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</si>
  <si>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</si>
  <si>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</si>
  <si>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</si>
  <si>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</si>
  <si>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</si>
  <si>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</si>
  <si>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</si>
  <si>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</si>
  <si>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</si>
  <si>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</si>
  <si>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</si>
  <si>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</si>
  <si>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</si>
  <si>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</si>
  <si>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</si>
  <si>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</si>
  <si>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</si>
  <si>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</si>
  <si>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</si>
  <si>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</si>
  <si>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</si>
  <si>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</si>
  <si>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</si>
  <si>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</si>
  <si>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</si>
  <si>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</si>
  <si>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Electrical conductivity</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</si>
  <si>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</si>
  <si>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</si>
  <si>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</si>
  <si>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</si>
  <si>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</si>
  <si>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</si>
  <si>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</si>
  <si>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</si>
  <si>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</si>
  <si>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</si>
  <si>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</si>
  <si>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</si>
  <si>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</si>
  <si>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</si>
  <si>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</si>
  <si>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</si>
  <si>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</si>
  <si>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</si>
  <si>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</si>
  <si>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</si>
  <si>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</si>
  <si>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</si>
  <si>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</si>
  <si>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</si>
  <si>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</si>
  <si>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</si>
  <si>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</si>
  <si>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</si>
  <si>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</si>
  <si>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</si>
  <si>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</si>
  <si>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</si>
  <si>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</si>
  <si>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</si>
  <si>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</si>
  <si>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</si>
  <si>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</si>
  <si>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</si>
  <si>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</si>
  <si>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</si>
  <si>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</si>
  <si>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</si>
  <si>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</si>
  <si>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</si>
  <si>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</si>
  <si>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</si>
  <si>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</si>
  <si>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</si>
  <si>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</si>
  <si>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</si>
  <si>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</si>
  <si>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</si>
  <si>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</si>
  <si>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</si>
  <si>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</si>
  <si>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</si>
  <si>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</si>
  <si>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</si>
  <si>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</si>
  <si>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</si>
  <si>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</si>
  <si>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</si>
  <si>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</si>
  <si>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</si>
  <si>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</si>
  <si>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</si>
  <si>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</si>
  <si>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</si>
  <si>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</si>
  <si>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</si>
  <si>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</si>
  <si>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</si>
  <si>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</si>
  <si>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</si>
  <si>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</si>
  <si>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</si>
  <si>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</si>
  <si>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</si>
  <si>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</si>
  <si>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</si>
  <si>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</si>
  <si>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</si>
  <si>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</si>
  <si>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</si>
  <si>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</si>
  <si>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</si>
  <si>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</si>
  <si>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</si>
  <si>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</si>
  <si>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</si>
  <si>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</si>
  <si>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</si>
  <si>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</si>
  <si>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</si>
  <si>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</si>
  <si>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</si>
  <si>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</si>
  <si>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</si>
  <si>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</si>
  <si>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</si>
  <si>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</si>
  <si>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</si>
  <si>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</si>
  <si>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</si>
  <si>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</si>
  <si>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</si>
  <si>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</si>
  <si>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</si>
  <si>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</si>
  <si>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</si>
  <si>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</si>
  <si>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</si>
  <si>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</si>
  <si>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</si>
  <si>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</si>
  <si>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</si>
  <si>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</si>
  <si>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</si>
  <si>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</si>
  <si>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</si>
  <si>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</si>
  <si>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</si>
  <si>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</si>
  <si>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</si>
  <si>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</si>
  <si>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</si>
  <si>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</si>
  <si>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</si>
  <si>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</si>
  <si>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</si>
  <si>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</si>
  <si>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</si>
  <si>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</si>
  <si>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</si>
  <si>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</si>
  <si>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</si>
  <si>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</si>
  <si>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</si>
  <si>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</si>
  <si>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</si>
  <si>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</si>
  <si>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</si>
  <si>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</si>
  <si>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</si>
  <si>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</si>
  <si>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</si>
  <si>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</si>
  <si>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</si>
  <si>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</si>
  <si>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</si>
  <si>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</si>
  <si>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</si>
  <si>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</si>
  <si>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</si>
  <si>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</si>
  <si>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</si>
  <si>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</si>
  <si>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</si>
  <si>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</si>
  <si>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</si>
  <si>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</si>
  <si>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</si>
  <si>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</si>
  <si>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</si>
  <si>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</si>
  <si>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</si>
  <si>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</si>
  <si>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</si>
  <si>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</si>
  <si>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</si>
  <si>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</si>
  <si>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</si>
  <si>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</si>
  <si>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</si>
  <si>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</si>
  <si>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</si>
  <si>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</si>
  <si>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</si>
  <si>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</si>
  <si>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</si>
  <si>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</si>
  <si>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</si>
  <si>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</si>
  <si>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</si>
  <si>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</si>
  <si>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</si>
  <si>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</si>
  <si>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</si>
  <si>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</si>
  <si>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</si>
  <si>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</si>
  <si>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</si>
  <si>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</si>
  <si>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</si>
  <si>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</si>
  <si>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</si>
  <si>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</si>
  <si>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</si>
  <si>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</si>
  <si>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</si>
  <si>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</si>
  <si>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</si>
  <si>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</si>
  <si>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</si>
  <si>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</si>
  <si>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</si>
  <si>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</si>
  <si>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</si>
  <si>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</si>
  <si>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</si>
  <si>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</si>
  <si>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</si>
  <si>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</si>
  <si>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</si>
  <si>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</si>
  <si>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</si>
  <si>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</si>
  <si>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</si>
  <si>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</si>
  <si>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</si>
  <si>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</si>
  <si>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</si>
  <si>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</si>
  <si>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</si>
  <si>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</si>
  <si>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</si>
  <si>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</si>
  <si>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</si>
  <si>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</si>
  <si>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</si>
  <si>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</si>
  <si>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</si>
  <si>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</si>
  <si>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</si>
  <si>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</si>
  <si>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</si>
  <si>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</si>
  <si>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</si>
  <si>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</si>
  <si>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</si>
  <si>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</si>
  <si>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</si>
  <si>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</si>
  <si>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</si>
  <si>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</si>
  <si>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</si>
  <si>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</si>
  <si>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</si>
  <si>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</si>
  <si>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</si>
  <si>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</si>
  <si>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</si>
  <si>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</si>
  <si>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</si>
  <si>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</si>
  <si>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</si>
  <si>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</si>
  <si>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</si>
  <si>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</si>
  <si>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</si>
  <si>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</si>
  <si>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</si>
  <si>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</si>
  <si>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</si>
  <si>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</si>
  <si>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</si>
  <si>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</si>
  <si>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</si>
  <si>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</si>
  <si>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</si>
  <si>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</si>
  <si>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</si>
  <si>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</si>
  <si>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</si>
  <si>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</si>
  <si>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</si>
  <si>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</si>
  <si>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</si>
  <si>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</si>
  <si>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</si>
  <si>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</si>
  <si>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</si>
  <si>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</si>
  <si>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</si>
  <si>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</si>
  <si>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</si>
  <si>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</si>
  <si>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</si>
  <si>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</si>
  <si>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</si>
  <si>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</si>
  <si>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</si>
  <si>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</si>
  <si>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</si>
  <si>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</si>
  <si>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</si>
  <si>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</si>
  <si>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</si>
  <si>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</si>
  <si>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</si>
  <si>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</si>
  <si>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</si>
  <si>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</si>
  <si>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</si>
  <si>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</si>
  <si>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</si>
  <si>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</si>
  <si>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</si>
  <si>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</si>
  <si>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</si>
  <si>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</si>
  <si>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</si>
  <si>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</si>
  <si>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</si>
  <si>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</si>
  <si>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</si>
  <si>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</si>
  <si>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</si>
  <si>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</si>
  <si>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</si>
  <si>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</si>
  <si>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</si>
  <si>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</si>
  <si>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</si>
  <si>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</si>
  <si>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</si>
  <si>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</si>
  <si>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</si>
  <si>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</si>
  <si>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</si>
  <si>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</si>
  <si>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</si>
  <si>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</si>
  <si>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</si>
  <si>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</si>
  <si>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</si>
  <si>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</si>
  <si>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</si>
  <si>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</si>
  <si>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</si>
  <si>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</si>
  <si>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</si>
  <si>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</si>
  <si>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</si>
  <si>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</si>
  <si>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</si>
  <si>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</si>
  <si>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</si>
  <si>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</si>
  <si>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</si>
  <si>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</si>
  <si>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</si>
  <si>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</si>
  <si>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</si>
  <si>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</si>
  <si>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</si>
  <si>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</si>
  <si>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</si>
  <si>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</si>
  <si>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</si>
  <si>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</si>
  <si>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</si>
  <si>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</si>
  <si>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</si>
  <si>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</si>
  <si>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</si>
  <si>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</si>
  <si>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</si>
  <si>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</si>
  <si>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</si>
  <si>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</si>
  <si>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</si>
  <si>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</si>
  <si>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</si>
  <si>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</si>
  <si>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</si>
  <si>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</si>
  <si>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</si>
  <si>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</si>
  <si>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</si>
  <si>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</si>
  <si>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</si>
  <si>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</si>
  <si>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</si>
  <si>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</si>
  <si>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</si>
  <si>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</si>
  <si>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</si>
  <si>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</si>
  <si>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</si>
  <si>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</si>
  <si>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</si>
  <si>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</si>
  <si>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</si>
  <si>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</si>
  <si>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</si>
  <si>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</si>
  <si>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</si>
  <si>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</si>
  <si>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</si>
  <si>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</si>
  <si>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</si>
  <si>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</si>
  <si>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</si>
  <si>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</si>
  <si>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</si>
  <si>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</si>
  <si>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</si>
  <si>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</si>
  <si>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</si>
  <si>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</si>
  <si>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</si>
  <si>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</si>
  <si>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</si>
  <si>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</si>
  <si>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</si>
  <si>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</si>
  <si>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</si>
  <si>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</si>
  <si>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</si>
  <si>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</si>
  <si>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</si>
  <si>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</si>
  <si>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</si>
  <si>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</si>
  <si>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</si>
  <si>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</si>
  <si>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</si>
  <si>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</si>
  <si>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</si>
  <si>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</si>
  <si>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</si>
  <si>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</si>
  <si>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</si>
  <si>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</si>
  <si>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</si>
  <si>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</si>
  <si>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</si>
  <si>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</si>
  <si>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</si>
  <si>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</si>
  <si>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</si>
  <si>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</si>
  <si>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</si>
  <si>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</si>
  <si>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</si>
  <si>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</si>
  <si>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</si>
  <si>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</si>
  <si>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</si>
  <si>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</si>
  <si>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</si>
  <si>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</si>
  <si>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</si>
  <si>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</si>
  <si>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</si>
  <si>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</si>
  <si>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</si>
  <si>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</si>
  <si>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</si>
  <si>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</si>
  <si>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</si>
  <si>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</si>
  <si>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</si>
  <si>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</si>
  <si>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</si>
  <si>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</si>
  <si>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</si>
  <si>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</si>
  <si>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</si>
  <si>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</si>
  <si>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</si>
  <si>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</si>
  <si>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</si>
  <si>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</si>
  <si>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0.2.1-alpha+20150430.114854</t>
  </si>
  <si>
    <t>Megan</t>
  </si>
  <si>
    <t>Carter</t>
  </si>
  <si>
    <t>Brian</t>
  </si>
  <si>
    <t>Gaudet</t>
  </si>
  <si>
    <t>David</t>
  </si>
  <si>
    <t>Stauffer</t>
  </si>
  <si>
    <t>Timothy</t>
  </si>
  <si>
    <t>White</t>
  </si>
  <si>
    <t>Brantley</t>
  </si>
  <si>
    <t>Susan</t>
  </si>
  <si>
    <t>Pennsylvania State University</t>
  </si>
  <si>
    <t>mcarter@ldeo.columbia.edu</t>
  </si>
  <si>
    <t>bjg20@psu.edu</t>
  </si>
  <si>
    <t>drs20@psu.edu</t>
  </si>
  <si>
    <t>twhite@essc.psu.edu</t>
  </si>
  <si>
    <t>sxb7@psu.edu</t>
  </si>
  <si>
    <t>university</t>
  </si>
  <si>
    <t>PSU</t>
  </si>
  <si>
    <t>MMN</t>
  </si>
  <si>
    <t>Marietta (Washington County, OH) Mn Study</t>
  </si>
  <si>
    <t>Using soil records with atmospheric dispersion modeling to investigate the effects of clean air regulations on 60 years of manganese deposition in Marietta, Ohio (USA)</t>
  </si>
  <si>
    <t>Elsevier</t>
  </si>
  <si>
    <t>10.1016/j.scitotenv.2015.01.015</t>
  </si>
  <si>
    <t>Megan R. Carter</t>
  </si>
  <si>
    <t>Brian J. Gaudet</t>
  </si>
  <si>
    <t>David R. Stauffer</t>
  </si>
  <si>
    <t>Timothy S. White</t>
  </si>
  <si>
    <t>Susan L. Brantley</t>
  </si>
  <si>
    <t>R.</t>
  </si>
  <si>
    <t>J.</t>
  </si>
  <si>
    <t>L.</t>
  </si>
  <si>
    <t>S.</t>
  </si>
  <si>
    <t>specimen</t>
  </si>
  <si>
    <t>BKR Core</t>
  </si>
  <si>
    <t>site</t>
  </si>
  <si>
    <t>BKR</t>
  </si>
  <si>
    <t>Blue Knob Road</t>
  </si>
  <si>
    <t>BKR 0- -10 cm</t>
  </si>
  <si>
    <t>BKR -10- -20 cm</t>
  </si>
  <si>
    <t>BKR -20- -30 cm</t>
  </si>
  <si>
    <t>BKR -40- -50 cm</t>
  </si>
  <si>
    <t>BKR -50- -60 cm</t>
  </si>
  <si>
    <t>BKR -60- -70 cm</t>
  </si>
  <si>
    <t>BKR -70- -80 cm</t>
  </si>
  <si>
    <t>BKR -80- -90 cm</t>
  </si>
  <si>
    <t>BKR -90- -100 cm</t>
  </si>
  <si>
    <t>BKR -100- -106 cm</t>
  </si>
  <si>
    <t>SLB00006O</t>
  </si>
  <si>
    <t>SLB00006Z</t>
  </si>
  <si>
    <t>SLB000070</t>
  </si>
  <si>
    <t>SLB000071</t>
  </si>
  <si>
    <t>SLB000072</t>
  </si>
  <si>
    <t>SLB000073</t>
  </si>
  <si>
    <t>SLB000074</t>
  </si>
  <si>
    <t>SLB000075</t>
  </si>
  <si>
    <t>SLB000076</t>
  </si>
  <si>
    <t>SLB000077</t>
  </si>
  <si>
    <t>SLB000078</t>
  </si>
  <si>
    <t>core</t>
  </si>
  <si>
    <t>soil</t>
  </si>
  <si>
    <t>HA</t>
  </si>
  <si>
    <t>Hand Augering</t>
  </si>
  <si>
    <t>ICP-AES</t>
  </si>
  <si>
    <t>Inductively Coupled Plasma-Atomic Emissions Spectrometry</t>
  </si>
  <si>
    <t>ST</t>
  </si>
  <si>
    <t>Soil Texture</t>
  </si>
  <si>
    <t>SC</t>
  </si>
  <si>
    <t>Soil Color</t>
  </si>
  <si>
    <t>silica</t>
  </si>
  <si>
    <t>Texture</t>
  </si>
  <si>
    <t>cm</t>
  </si>
  <si>
    <t>BKR -30- -40 cm</t>
  </si>
  <si>
    <t>BKR 0- -10 cm Offset</t>
  </si>
  <si>
    <t>BKR -10- -20 cm Offset</t>
  </si>
  <si>
    <t>BKR -20- -30 cm Offset</t>
  </si>
  <si>
    <t>BKR -30- -40 cm Offset</t>
  </si>
  <si>
    <t>BKR -40- -50 cm Offset</t>
  </si>
  <si>
    <t>BKR -50- -60 cm Offset</t>
  </si>
  <si>
    <t>BKR -60- -70 cm Offset</t>
  </si>
  <si>
    <t>BKR -80- -90 cm Offset</t>
  </si>
  <si>
    <t>BKR -90- -100 cm Offset</t>
  </si>
  <si>
    <t>BKR -100- -106 cm Offset</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</si>
  <si>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</si>
  <si>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</si>
  <si>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</si>
  <si>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</si>
  <si>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Derived products</t>
  </si>
  <si>
    <t>Derived products that require scientific and technical interpretation and may include multiple-sensor data. An example is basin average precipitation derived from rain gages using an interpolation procedure.</t>
  </si>
  <si>
    <t>Interpreted products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</si>
  <si>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</si>
  <si>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</si>
  <si>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</si>
  <si>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IGSN</t>
  </si>
  <si>
    <t>Parent</t>
  </si>
  <si>
    <t>Collection Date</t>
  </si>
  <si>
    <t>Collection Date UTCOffset</t>
  </si>
  <si>
    <t>Collection Method</t>
  </si>
  <si>
    <t>SiO2 Analysis Method</t>
  </si>
  <si>
    <t>Texture Analysis Method</t>
  </si>
  <si>
    <t>Color Analysis Method</t>
  </si>
  <si>
    <t>Al Analysis Method</t>
  </si>
  <si>
    <t>measurement</t>
  </si>
  <si>
    <t>wt. %</t>
  </si>
  <si>
    <t>BKR 0- -10 cm &lt;150 um</t>
  </si>
  <si>
    <t>SLB0000AQ</t>
  </si>
  <si>
    <t>Silt Loam</t>
  </si>
  <si>
    <t>2.5 YR 6/3</t>
  </si>
  <si>
    <t>BKR -10- -20 cm &lt;150 um</t>
  </si>
  <si>
    <t>SLB0000AR</t>
  </si>
  <si>
    <t>2.5 YR 7/4</t>
  </si>
  <si>
    <t>BKR -20- -30 cm &lt;150 um</t>
  </si>
  <si>
    <t>SLB0000AS</t>
  </si>
  <si>
    <t>Silty Clay Loam</t>
  </si>
  <si>
    <t>BKR -40- -50 cm &lt;150 um</t>
  </si>
  <si>
    <t>SLB0000AT</t>
  </si>
  <si>
    <t>BKR -50- -60 cm &lt;150 um</t>
  </si>
  <si>
    <t>SLB0000AU</t>
  </si>
  <si>
    <t>BKR -60- -70 cm &lt;150 um</t>
  </si>
  <si>
    <t>SLB0000AV</t>
  </si>
  <si>
    <t>2.5 YR 7/6</t>
  </si>
  <si>
    <t>SLB0000AW</t>
  </si>
  <si>
    <t>Gravelly Silty Clay</t>
  </si>
  <si>
    <t>10 YR 7/6</t>
  </si>
  <si>
    <t>BKR -80- -90 cm &lt;150 um</t>
  </si>
  <si>
    <t>SLB0000AX</t>
  </si>
  <si>
    <t>Gravelly Clay</t>
  </si>
  <si>
    <t>BKR -90- -100 cm &lt;150 um</t>
  </si>
  <si>
    <t>SLB0000AY</t>
  </si>
  <si>
    <t>10 YR 7/4</t>
  </si>
  <si>
    <t>BKR -100- -106 cm &lt;150 um</t>
  </si>
  <si>
    <t>SLB0000AZ</t>
  </si>
  <si>
    <t>BKR -30- -40 cm &lt;150 um</t>
  </si>
  <si>
    <t xml:space="preserve">  - {Version: "0.1.0-alpha", Profile: "Specimen", CreationTool: "Excel Template v0.2.1-alpha+20150430.114854", DateCreated: "2015-05-11", DateUpdated: "2015-05-11"}</t>
  </si>
  <si>
    <t xml:space="preserve">  - &amp;OrganizationID00002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</si>
  <si>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&amp;OrganizationID00003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</si>
  <si>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&amp;OrganizationID00004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</si>
  <si>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</si>
  <si>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&amp;ExternalIdentifierSystemID00001 {ExternalIdentifierSystemName:  "ORCID", IdentifierSystemOrganizationObj:  *OrganizationID00002,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</si>
  <si>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&amp;ExternalIdentifierSystemID00002 {ExternalIdentifierSystemName:  "Digital Object Identifier (DOI)", IdentifierSystemOrganizationObj:  *OrganizationID00003, ExternalIdentifierSystemDescription:  "A Digital Identifier of an Object that provides an actionable, interoperable, persistent link to that object", ExternalIdentifierSystemURL:  "http://www.doi.org/"}</t>
  </si>
  <si>
    <t xml:space="preserve">  - &amp;ExternalIdentifierSystemID00003 {ExternalIdentifierSystemName:  "International Geo Sample Number (IGSN)", IdentifierSystemOrganizationObj:  *OrganizationID00004,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</si>
  <si>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&amp;PersonID00001 {PersonFirstName:  "Megan", PersonMiddleName:  "R.", PersonLastName:  "Carter"}</t>
  </si>
  <si>
    <t xml:space="preserve">  - &amp;PersonID00002 {PersonFirstName:  "Brian", PersonMiddleName:  "J.", PersonLastName:  "Gaudet"}</t>
  </si>
  <si>
    <t xml:space="preserve">  - &amp;PersonID00003 {PersonFirstName:  "David", PersonMiddleName:  "R.", PersonLastName:  "Stauffer"}</t>
  </si>
  <si>
    <t xml:space="preserve">  - &amp;PersonID00004 {PersonFirstName:  "Timothy", PersonMiddleName:  "S.", PersonLastName:  "White"}</t>
  </si>
  <si>
    <t xml:space="preserve">  - &amp;PersonID00005 {PersonFirstName:  "Susan", PersonMiddleName:  "L.", PersonLastName:  "Brantley"}</t>
  </si>
  <si>
    <t>Citations:</t>
  </si>
  <si>
    <t>CitationExternalIdentifiers:</t>
  </si>
  <si>
    <t>AuthorLists:</t>
  </si>
  <si>
    <t xml:space="preserve">  - &amp;AuthorListID00001  {CitationObj: *CitationID00001, PersonObj: *PersonID00001, AuthorOrder: 1}</t>
  </si>
  <si>
    <t xml:space="preserve">  - &amp;AuthorListID00002  {CitationObj: *CitationID00001, PersonObj: *PersonID00002, AuthorOrder: 2}</t>
  </si>
  <si>
    <t xml:space="preserve">  - &amp;AuthorListID00003  {CitationObj: *CitationID00001, PersonObj: *PersonID00003, AuthorOrder: 3}</t>
  </si>
  <si>
    <t xml:space="preserve">  - &amp;AuthorListID00004  {CitationObj: *CitationID00001, PersonObj: *PersonID00004, AuthorOrder: 4}</t>
  </si>
  <si>
    <t xml:space="preserve">  - &amp;AuthorListID00005  {CitationObj: *CitationID00001, PersonObj: *PersonID00005, AuthorOrder: 5}</t>
  </si>
  <si>
    <t>DatasetCitations:</t>
  </si>
  <si>
    <t xml:space="preserve">  - {DatasetObj: *DatasetID00001, CitationObj: *CitationID00001, RelationshipTypeCV: Is citation for}</t>
  </si>
  <si>
    <t xml:space="preserve">  - &amp;SRSID00001 {SRSCode: "EPSG:4326", SRSName: "WGS84", SRSDescription: "Horizontal component of 3D system. Used by the GPS satellite navigation system and for NATO military geodetic surveying.", SRSLink: "http://www.epsg-registry.org/export.htm?wkt=urn:ogc:def:crs:EPSG::4326"}</t>
  </si>
  <si>
    <t>SamplingFeatureExternalIdentifiers:</t>
  </si>
  <si>
    <t xml:space="preserve">  - {SamplingFeatureObj:  *SamplingFeatureID00001, ExternalIdentifierSystemObj:  *ExternalIdentifierSystemID00003, SamplingFeatureExternalIdentifier:  "SLB00006O", SamplingFeatureExternalIdentifierURI:  "http://app.geosamples.org/sample/igsn/SLB00006O"}</t>
  </si>
  <si>
    <t xml:space="preserve">  - {SamplingFeatureObj:  *SamplingFeatureID00003, ExternalIdentifierSystemObj:  *ExternalIdentifierSystemID00003, SamplingFeatureExternalIdentifier:  "SLB00006Z", SamplingFeatureExternalIdentifierURI:  "http://app.geosamples.org/sample/igsn/SLB00006Z"}</t>
  </si>
  <si>
    <t xml:space="preserve">  - {SamplingFeatureObj:  *SamplingFeatureID00004, ExternalIdentifierSystemObj:  *ExternalIdentifierSystemID00003, SamplingFeatureExternalIdentifier:  "SLB000070", SamplingFeatureExternalIdentifierURI:  "http://app.geosamples.org/sample/igsn/SLB000070"}</t>
  </si>
  <si>
    <t xml:space="preserve">  - {SamplingFeatureObj:  *SamplingFeatureID00005, ExternalIdentifierSystemObj:  *ExternalIdentifierSystemID00003, SamplingFeatureExternalIdentifier:  "SLB000071", SamplingFeatureExternalIdentifierURI:  "http://app.geosamples.org/sample/igsn/SLB000071"}</t>
  </si>
  <si>
    <t xml:space="preserve">  - {SamplingFeatureObj:  *SamplingFeatureID00006, ExternalIdentifierSystemObj:  *ExternalIdentifierSystemID00003, SamplingFeatureExternalIdentifier:  "SLB000072", SamplingFeatureExternalIdentifierURI:  "http://app.geosamples.org/sample/igsn/SLB000072"}</t>
  </si>
  <si>
    <t xml:space="preserve">  - {SamplingFeatureObj:  *SamplingFeatureID00007, ExternalIdentifierSystemObj:  *ExternalIdentifierSystemID00003, SamplingFeatureExternalIdentifier:  "SLB000073", SamplingFeatureExternalIdentifierURI:  "http://app.geosamples.org/sample/igsn/SLB000073"}</t>
  </si>
  <si>
    <t xml:space="preserve">  - {SamplingFeatureObj:  *SamplingFeatureID00008, ExternalIdentifierSystemObj:  *ExternalIdentifierSystemID00003, SamplingFeatureExternalIdentifier:  "SLB000074", SamplingFeatureExternalIdentifierURI:  "http://app.geosamples.org/sample/igsn/SLB000074"}</t>
  </si>
  <si>
    <t xml:space="preserve">  - {SamplingFeatureObj:  *SamplingFeatureID00009, ExternalIdentifierSystemObj:  *ExternalIdentifierSystemID00003, SamplingFeatureExternalIdentifier:  "SLB000075", SamplingFeatureExternalIdentifierURI:  "http://app.geosamples.org/sample/igsn/SLB000075"}</t>
  </si>
  <si>
    <t xml:space="preserve">  - {SamplingFeatureObj:  *SamplingFeatureID00010, ExternalIdentifierSystemObj:  *ExternalIdentifierSystemID00003, SamplingFeatureExternalIdentifier:  "SLB000076", SamplingFeatureExternalIdentifierURI:  "http://app.geosamples.org/sample/igsn/SLB000076"}</t>
  </si>
  <si>
    <t xml:space="preserve">  - {SamplingFeatureObj:  *SamplingFeatureID00011, ExternalIdentifierSystemObj:  *ExternalIdentifierSystemID00003, SamplingFeatureExternalIdentifier:  "SLB000077", SamplingFeatureExternalIdentifierURI:  "http://app.geosamples.org/sample/igsn/SLB000077"}</t>
  </si>
  <si>
    <t xml:space="preserve">  - {SamplingFeatureObj:  *SamplingFeatureID00012, ExternalIdentifierSystemObj:  *ExternalIdentifierSystemID00003, SamplingFeatureExternalIdentifier:  "SLB000078", SamplingFeatureExternalIdentifierURI:  "http://app.geosamples.org/sample/igsn/SLB000078"}</t>
  </si>
  <si>
    <t xml:space="preserve">  - {SamplingFeatureObj:  *SamplingFeatureID00013, ExternalIdentifierSystemObj:  *ExternalIdentifierSystemID00003, SamplingFeatureExternalIdentifier:  "SLB0000AQ", SamplingFeatureExternalIdentifierURI:  "http://app.geosamples.org/sample/igsn/SLB0000AQ"}</t>
  </si>
  <si>
    <t>Sites:</t>
  </si>
  <si>
    <t xml:space="preserve">  - {SamplingFeatureObj:  *SamplingFeatureID00001, SpecimenTypeCV:  "core", SpecimenMediumCV:  soil, IsFieldSpecimen:  "TRUE"}</t>
  </si>
  <si>
    <t xml:space="preserve">  - {SamplingFeatureObj:  *SamplingFeatureID00003, SpecimenTypeCV:  "Core sub-piece", SpecimenMediumCV:  soil, IsFieldSpecimen:  "TRUE"}</t>
  </si>
  <si>
    <t xml:space="preserve">  - {SamplingFeatureObj:  *SamplingFeatureID00004, SpecimenTypeCV:  "Core sub-piece", SpecimenMediumCV:  soil, IsFieldSpecimen:  "TRUE"}</t>
  </si>
  <si>
    <t xml:space="preserve">  - {SamplingFeatureObj:  *SamplingFeatureID00005, SpecimenTypeCV:  "Core sub-piece", SpecimenMediumCV:  soil, IsFieldSpecimen:  "TRUE"}</t>
  </si>
  <si>
    <t xml:space="preserve">  - {SamplingFeatureObj:  *SamplingFeatureID00006, SpecimenTypeCV:  "Core sub-piece", SpecimenMediumCV:  soil, IsFieldSpecimen:  "TRUE"}</t>
  </si>
  <si>
    <t xml:space="preserve">  - {SamplingFeatureObj:  *SamplingFeatureID00007, SpecimenTypeCV:  "Core sub-piece", SpecimenMediumCV:  soil, IsFieldSpecimen:  "TRUE"}</t>
  </si>
  <si>
    <t xml:space="preserve">  - {SamplingFeatureObj:  *SamplingFeatureID00008, SpecimenTypeCV:  "Core sub-piece", SpecimenMediumCV:  soil, IsFieldSpecimen:  "TRUE"}</t>
  </si>
  <si>
    <t xml:space="preserve">  - {SamplingFeatureObj:  *SamplingFeatureID00009, SpecimenTypeCV:  "Core sub-piece", SpecimenMediumCV:  soil, IsFieldSpecimen:  "TRUE"}</t>
  </si>
  <si>
    <t xml:space="preserve">  - {SamplingFeatureObj:  *SamplingFeatureID00010, SpecimenTypeCV:  "Core sub-piece", SpecimenMediumCV:  soil, IsFieldSpecimen:  "TRUE"}</t>
  </si>
  <si>
    <t xml:space="preserve">  - {SamplingFeatureObj:  *SamplingFeatureID00011, SpecimenTypeCV:  "Core sub-piece", SpecimenMediumCV:  soil, IsFieldSpecimen:  "TRUE"}</t>
  </si>
  <si>
    <t xml:space="preserve">  - {SamplingFeatureObj:  *SamplingFeatureID00012, SpecimenTypeCV:  "Core sub-piece", SpecimenMediumCV:  soil, IsFieldSpecimen:  "TRUE"}</t>
  </si>
  <si>
    <t>SpatialOffsets:</t>
  </si>
  <si>
    <t>RelatedFeatures:</t>
  </si>
  <si>
    <t xml:space="preserve">  - {SamplingFeatureObj:  *SamplingFeatureID00003, RelationshipTypeCV:  "Is child of", RelatedFeatureObj: *SamplingFeatureID00001, SpatialOffsetObj:  *SpatialOffsetID00001}</t>
  </si>
  <si>
    <t xml:space="preserve">  - {SamplingFeatureObj:  *SamplingFeatureID00004, RelationshipTypeCV:  "Is child of", RelatedFeatureObj: *SamplingFeatureID00001, SpatialOffsetObj:  *SpatialOffsetID00002}</t>
  </si>
  <si>
    <t xml:space="preserve">  - {SamplingFeatureObj:  *SamplingFeatureID00005, RelationshipTypeCV:  "Is child of", RelatedFeatureObj: *SamplingFeatureID00001, SpatialOffsetObj:  *SpatialOffsetID00003}</t>
  </si>
  <si>
    <t xml:space="preserve">  - {SamplingFeatureObj:  *SamplingFeatureID00006, RelationshipTypeCV:  "Is child of", RelatedFeatureObj: *SamplingFeatureID00001, SpatialOffsetObj:  *SpatialOffsetID00004}</t>
  </si>
  <si>
    <t xml:space="preserve">  - {SamplingFeatureObj:  *SamplingFeatureID00007, RelationshipTypeCV:  "Is child of", RelatedFeatureObj: *SamplingFeatureID00001, SpatialOffsetObj:  *SpatialOffsetID00005}</t>
  </si>
  <si>
    <t xml:space="preserve">  - {SamplingFeatureObj:  *SamplingFeatureID00008, RelationshipTypeCV:  "Is child of", RelatedFeatureObj: *SamplingFeatureID00001, SpatialOffsetObj:  *SpatialOffsetID00006}</t>
  </si>
  <si>
    <t xml:space="preserve">  - {SamplingFeatureObj:  *SamplingFeatureID00009, RelationshipTypeCV:  "Is child of", RelatedFeatureObj: *SamplingFeatureID00001, SpatialOffsetObj:  *SpatialOffsetID00007}</t>
  </si>
  <si>
    <t xml:space="preserve">  - {SamplingFeatureObj:  *SamplingFeatureID00010, RelationshipTypeCV:  "Is child of", RelatedFeatureObj: *SamplingFeatureID00001, SpatialOffsetObj:  *SpatialOffsetID00008}</t>
  </si>
  <si>
    <t xml:space="preserve">  - {SamplingFeatureObj:  *SamplingFeatureID00011, RelationshipTypeCV:  "Is child of", RelatedFeatureObj: *SamplingFeatureID00001, SpatialOffsetObj:  *SpatialOffsetID00009}</t>
  </si>
  <si>
    <t xml:space="preserve">  - {SamplingFeatureObj:  *SamplingFeatureID00012, RelationshipTypeCV:  "Is child of", RelatedFeatureObj: *SamplingFeatureID00001, SpatialOffsetObj:  *SpatialOffsetID00010}</t>
  </si>
  <si>
    <t xml:space="preserve">  - {SamplingFeatureObj:  *SamplingFeatureID00001, RelationshipTypeCV:  "Was collected at", RelatedFeatureObj: *SamplingFeatureID00002, SpatialOffsetObj:  NULL}</t>
  </si>
  <si>
    <t xml:space="preserve">  - {SamplingFeatureObj:  *SamplingFeatureID00001, RelationshipTypeCV:  "Is child of", RelatedFeatureObj: *SamplingFeatureID00002, SpatialOffsetObj:  NULL}</t>
  </si>
  <si>
    <t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</si>
  <si>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</si>
  <si>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</si>
  <si>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</si>
  <si>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</si>
  <si>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&amp;FeatureActionID00001 {SamplingFeatureObj:  *SamplingFeatureID00013, ActionObj:  *ActionID00001}</t>
  </si>
  <si>
    <t xml:space="preserve">  - &amp;FeatureActionID00002 {SamplingFeatureObj:  *SamplingFeatureID00013, ActionObj:  *ActionID00002}</t>
  </si>
  <si>
    <t xml:space="preserve">  - &amp;FeatureActionID00003 {SamplingFeatureObj:  *SamplingFeatureID00013, ActionObj:  *ActionID00003}</t>
  </si>
  <si>
    <t xml:space="preserve">  - &amp;FeatureActionID00004 {SamplingFeatureObj:  *SamplingFeatureID00013, ActionObj:  *ActionID00004}</t>
  </si>
  <si>
    <t xml:space="preserve">  - &amp;FeatureActionID00005 {SamplingFeatureObj:  *SamplingFeatureID00013, ActionObj:  *ActionID00005}</t>
  </si>
  <si>
    <t xml:space="preserve">  - &amp;FeatureActionID00006 {SamplingFeatureObj:  *SamplingFeatureID00013, ActionObj:  *ActionID00006}</t>
  </si>
  <si>
    <t xml:space="preserve">  - {ActionObj:  *ActionID00002, AffiliationObj:  *AffiliationID00001, IsActionLead: TRUE, RoleDescription: NULL}</t>
  </si>
  <si>
    <t xml:space="preserve">  - {ActionObj:  *ActionID00003, AffiliationObj:  *AffiliationID00001, IsActionLead: TRUE, RoleDescription: NULL}</t>
  </si>
  <si>
    <t xml:space="preserve">  - {ActionObj:  *ActionID00005, AffiliationObj:  *AffiliationID00001, IsActionLead: TRUE, RoleDescription: NULL}</t>
  </si>
  <si>
    <t xml:space="preserve">  - {ActionObj:  *ActionID00006, AffiliationObj:  *AffiliationID00001, IsActionLead: TRUE, RoleDescription: NULL}</t>
  </si>
  <si>
    <t xml:space="preserve">  - {DatasetObj: *DatasetID00001, ResultObj: *ResultID00001}</t>
  </si>
  <si>
    <t xml:space="preserve">  - {DatasetObj: *DatasetID00001, ResultObj: *ResultID00002}</t>
  </si>
  <si>
    <t xml:space="preserve">  - {DatasetObj: *DatasetID00001, ResultObj: *ResultID00003}</t>
  </si>
  <si>
    <t xml:space="preserve">  - {DatasetObj: *DatasetID00001, ResultObj: *ResultID00004}</t>
  </si>
  <si>
    <t xml:space="preserve">  - {DatasetObj: *DatasetID00001, ResultObj: *ResultID00005}</t>
  </si>
  <si>
    <t>MeasurementResults:</t>
  </si>
  <si>
    <t xml:space="preserve">  - &amp;MeasurementResultID00001 {ResultObj: *ResultID00001, XLocation:  NULL, XLocationUnitsObj:  NULL, YLocation:  NULL, YLocationUnitsObj:  NULL, ZLocation:  NULL, ZLocationUnitsObj:  NULL, SpatialReferenceObj:  NULL, CensorCodeCV: "Not censored", QualityCodeCV:  "Good", AggregationStatisticCV:  "PLEASE NOTE: AN AGGREGATION STATISTIC MUST BE SPECIFIED FOR EACH MEASUREMENT RESULT", TimeAggregationInterval:  PLEASE NOTE: A TIME AGGREGATION INTERVAL MUST BE SPECIFIED FOR EACH RESULT, TimeAggregationUnitsObj:  "PLEASE NOTE: A TIME AGGREGATION UNIT MUST BE SPECIFIED FOR EACH RESULT"}</t>
  </si>
  <si>
    <t xml:space="preserve">  - &amp;MeasurementResultID00002 {ResultObj: *ResultID00002, XLocation:  NULL, XLocationUnitsObj:  NULL, YLocation:  NULL, YLocationUnitsObj:  NULL, ZLocation:  NULL, ZLocationUnitsObj:  NULL, SpatialReferenceObj:  NULL, CensorCodeCV: "Not censored", QualityCodeCV:  "Good", AggregationStatisticCV:  "PLEASE NOTE: AN AGGREGATION STATISTIC MUST BE SPECIFIED FOR EACH MEASUREMENT RESULT", TimeAggregationInterval:  PLEASE NOTE: A TIME AGGREGATION INTERVAL MUST BE SPECIFIED FOR EACH RESULT, TimeAggregationUnitsObj:  "PLEASE NOTE: A TIME AGGREGATION UNIT MUST BE SPECIFIED FOR EACH RESULT"}</t>
  </si>
  <si>
    <t xml:space="preserve">  - &amp;MeasurementResultID00004 {ResultObj: *ResultID00004, XLocation:  NULL, XLocationUnitsObj:  NULL, YLocation:  NULL, YLocationUnitsObj:  NULL, ZLocation:  NULL, ZLocationUnitsObj:  NULL, SpatialReferenceObj:  NULL, CensorCodeCV: "Not censored", QualityCodeCV:  "Good", AggregationStatisticCV:  "PLEASE NOTE: AN AGGREGATION STATISTIC MUST BE SPECIFIED FOR EACH MEASUREMENT RESULT", TimeAggregationInterval:  PLEASE NOTE: A TIME AGGREGATION INTERVAL MUST BE SPECIFIED FOR EACH RESULT, TimeAggregationUnitsObj:  "PLEASE NOTE: A TIME AGGREGATION UNIT MUST BE SPECIFIED FOR EACH RESULT"}</t>
  </si>
  <si>
    <t xml:space="preserve">  - &amp;MeasurementResultID00005 {ResultObj: *ResultID00005, XLocation:  NULL, XLocationUnitsObj:  NULL, YLocation:  NULL, YLocationUnitsObj:  NULL, ZLocation:  NULL, ZLocationUnitsObj:  NULL, SpatialReferenceObj:  NULL, CensorCodeCV: "Not censored", QualityCodeCV:  "Good", AggregationStatisticCV:  "PLEASE NOTE: AN AGGREGATION STATISTIC MUST BE SPECIFIED FOR EACH MEASUREMENT RESULT", TimeAggregationInterval:  PLEASE NOTE: A TIME AGGREGATION INTERVAL MUST BE SPECIFIED FOR EACH RESULT, TimeAggregationUnitsObj:  "PLEASE NOTE: A TIME AGGREGATION UNIT MUST BE SPECIFIED FOR EACH RESULT"}</t>
  </si>
  <si>
    <t>MeasurementResultValues:</t>
  </si>
  <si>
    <t xml:space="preserve">  - &amp;MeasurementResultValueID00001 {MeasurementResultObj: *MeasurementResultID00001, DataValue: 75.66955, ValueDateTime:  "2012-06-06 00:00:00", ValueDateTimeUTCOffset:  -7}</t>
  </si>
  <si>
    <t xml:space="preserve">  - &amp;MeasurementResultValueID00002 {MeasurementResultObj: *MeasurementResultID00002, DataValue: 4.08949411764706, ValueDateTime:  "2012-06-06 00:00:00", ValueDateTimeUTCOffset:  -7}</t>
  </si>
  <si>
    <t xml:space="preserve">  - &amp;MeasurementResultValueID00004 {MeasurementResultObj: *MeasurementResultID00004, DataValue: Silt Loam, ValueDateTime:  "2012-06-06 00:00:00", ValueDateTimeUTCOffset:  -7}</t>
  </si>
  <si>
    <t xml:space="preserve">  - &amp;MeasurementResultValueID00005 {MeasurementResultObj: *MeasurementResultID00005, DataValue: 2.5 YR 6/3, ValueDateTime:  "2012-06-06 00:00:00", ValueDateTimeUTCOffset:  -7}</t>
  </si>
  <si>
    <t xml:space="preserve">  - &amp;DatasetID00001 {DatasetUUID:  NULL,  DatasetTypeCV:  "Multi-variable specimen measurements",  DatasetCode:  "MMN",  DatasetTitle:  "Marietta (Washington County, OH) Mn Study",  DatasetAbstract:  NULL}</t>
  </si>
  <si>
    <t xml:space="preserve">  - &amp;OrganizationID00001 {OrganizationTypeCV:  "university", OrganizationCode:  "PSU", OrganizationName:  "Pennsylvania State University", OrganizationDescription:  NULL, OrganizationLink:  NULL}</t>
  </si>
  <si>
    <t xml:space="preserve">  - &amp;AffiliationID00001 {PersonObj: *PersonID00001, OrganizationObj: *OrganizationID00001, IsPrimaryOrganizationContact: NULL, AffiliationStartDate: NULL, AffiliationEndDate: NULL, PrimaryPhone: NULL, PrimaryEmail: "mcarter@ldeo.columbia.edu", PrimaryAddress: NULL, PersonLink: NULL}</t>
  </si>
  <si>
    <t xml:space="preserve">  - &amp;AffiliationID00002 {PersonObj: *PersonID00002, OrganizationObj: *OrganizationID00001, IsPrimaryOrganizationContact: NULL, AffiliationStartDate: NULL, AffiliationEndDate: NULL, PrimaryPhone: NULL, PrimaryEmail: "bjg20@psu.edu", PrimaryAddress: NULL, PersonLink: NULL}</t>
  </si>
  <si>
    <t xml:space="preserve">  - &amp;AffiliationID00003 {PersonObj: *PersonID00003, OrganizationObj: *OrganizationID00001, IsPrimaryOrganizationContact: NULL, AffiliationStartDate: NULL, AffiliationEndDate: NULL, PrimaryPhone: NULL, PrimaryEmail: "drs20@psu.edu", PrimaryAddress: NULL, PersonLink: NULL}</t>
  </si>
  <si>
    <t xml:space="preserve">  - &amp;AffiliationID00004 {PersonObj: *PersonID00004, OrganizationObj: *OrganizationID00001, IsPrimaryOrganizationContact: NULL, AffiliationStartDate: NULL, AffiliationEndDate: NULL, PrimaryPhone: NULL, PrimaryEmail: "twhite@essc.psu.edu", PrimaryAddress: NULL, PersonLink: NULL}</t>
  </si>
  <si>
    <t xml:space="preserve">  - &amp;AffiliationID00005 {PersonObj: *PersonID00005, OrganizationObj: *OrganizationID00001, IsPrimaryOrganizationContact: NULL, AffiliationStartDate: NULL, AffiliationEndDate: NULL, PrimaryPhone: NULL, PrimaryEmail: "sxb7@psu.edu", PrimaryAddress: NULL, PersonLink: NULL}</t>
  </si>
  <si>
    <t xml:space="preserve">  - &amp;CitationID00001 {Title: "Using soil records with atmospheric dispersion modeling to investigate the effects of clean air regulations on 60 years of manganese deposition in Marietta, Ohio (USA)", Publisher: "Elsevier", PublicationYear: "2015", CitationLink: NULL}</t>
  </si>
  <si>
    <t xml:space="preserve">  - {CitationObj:  *CitationID001, ExternalIdentifierSystemObj:  *ExternalIdentifierSystemID00002, CitationExternalIdentifier:  "10.1016/j.scitotenv.2015.01.015", CitationExternalIdentifierURI:  NULL}</t>
  </si>
  <si>
    <t xml:space="preserve">  - &amp;SamplingFeatureID00001 {SamplingFeatureUUID:  NULL, SamplingFeatureTypeCV:  "specimen", SamplingFeatureCode:  "BKR Core", SamplingFeatureName:  "BKR Core", SamplingFeatureDescription:  NULL, SamplingFeatureGeotypeCV:  "Point", FeatureGeometry:  NULL, Elevation_m:  NULL, ElevationDatumCV:  "MSL"}</t>
  </si>
  <si>
    <t xml:space="preserve">  - &amp;SamplingFeatureID00002 {SamplingFeatureUUID:  NULL, SamplingFeatureTypeCV:  "site", SamplingFeatureCode:  "BKR", SamplingFeatureName:  "Blue Knob Road", SamplingFeatureDescription:  NULL, SamplingFeatureGeotypeCV:  "Point", FeatureGeometry:  NULL, Elevation_m:  "273", ElevationDatumCV:  "MSL"}</t>
  </si>
  <si>
    <t xml:space="preserve">  - &amp;SamplingFeatureID00003 {SamplingFeatureUUID:  NULL, SamplingFeatureTypeCV:  "specimen", SamplingFeatureCode:  "BKR 0- -10 cm", SamplingFeatureName:  "BKR 0- -10 cm", SamplingFeatureDescription:  NULL, SamplingFeatureGeotypeCV:  "Point", FeatureGeometry:  NULL, Elevation_m:  NULL, ElevationDatumCV:  "MSL"}</t>
  </si>
  <si>
    <t xml:space="preserve">  - &amp;SamplingFeatureID00004 {SamplingFeatureUUID:  NULL, SamplingFeatureTypeCV:  "specimen", SamplingFeatureCode:  "BKR -10- -20 cm", SamplingFeatureName:  "BKR -10- -20 cm", SamplingFeatureDescription:  NULL, SamplingFeatureGeotypeCV:  "Point", FeatureGeometry:  NULL, Elevation_m:  NULL, ElevationDatumCV:  "MSL"}</t>
  </si>
  <si>
    <t xml:space="preserve">  - &amp;SamplingFeatureID00005 {SamplingFeatureUUID:  NULL, SamplingFeatureTypeCV:  "specimen", SamplingFeatureCode:  "BKR -20- -30 cm", SamplingFeatureName:  "BKR -20- -30 cm", SamplingFeatureDescription:  NULL, SamplingFeatureGeotypeCV:  "Point", FeatureGeometry:  NULL, Elevation_m:  NULL, ElevationDatumCV:  "MSL"}</t>
  </si>
  <si>
    <t xml:space="preserve">  - &amp;SamplingFeatureID00006 {SamplingFeatureUUID:  NULL, SamplingFeatureTypeCV:  "specimen", SamplingFeatureCode:  "BKR -30- -40 cm", SamplingFeatureName:  "BKR -30- -40 cm", SamplingFeatureDescription:  NULL, SamplingFeatureGeotypeCV:  "Point", FeatureGeometry:  NULL, Elevation_m:  NULL, ElevationDatumCV:  "MSL"}</t>
  </si>
  <si>
    <t xml:space="preserve">  - &amp;SamplingFeatureID00007 {SamplingFeatureUUID:  NULL, SamplingFeatureTypeCV:  "specimen", SamplingFeatureCode:  "BKR -40- -50 cm", SamplingFeatureName:  "BKR -40- -50 cm", SamplingFeatureDescription:  NULL, SamplingFeatureGeotypeCV:  "Point", FeatureGeometry:  NULL, Elevation_m:  NULL, ElevationDatumCV:  "MSL"}</t>
  </si>
  <si>
    <t xml:space="preserve">  - &amp;SamplingFeatureID00008 {SamplingFeatureUUID:  NULL, SamplingFeatureTypeCV:  "specimen", SamplingFeatureCode:  "BKR -50- -60 cm", SamplingFeatureName:  "BKR -50- -60 cm", SamplingFeatureDescription:  NULL, SamplingFeatureGeotypeCV:  "Point", FeatureGeometry:  NULL, Elevation_m:  NULL, ElevationDatumCV:  "MSL"}</t>
  </si>
  <si>
    <t xml:space="preserve">  - &amp;SamplingFeatureID00009 {SamplingFeatureUUID:  NULL, SamplingFeatureTypeCV:  "specimen", SamplingFeatureCode:  "BKR -60- -70 cm", SamplingFeatureName:  "BKR -60- -70 cm", SamplingFeatureDescription:  NULL, SamplingFeatureGeotypeCV:  "Point", FeatureGeometry:  NULL, Elevation_m:  NULL, ElevationDatumCV:  "MSL"}</t>
  </si>
  <si>
    <t xml:space="preserve">  - &amp;SamplingFeatureID00010 {SamplingFeatureUUID:  NULL, SamplingFeatureTypeCV:  "specimen", SamplingFeatureCode:  "BKR -80- -90 cm", SamplingFeatureName:  "BKR -80- -90 cm", SamplingFeatureDescription:  NULL, SamplingFeatureGeotypeCV:  "Point", FeatureGeometry:  NULL, Elevation_m:  NULL, ElevationDatumCV:  "MSL"}</t>
  </si>
  <si>
    <t xml:space="preserve">  - &amp;SamplingFeatureID00011 {SamplingFeatureUUID:  NULL, SamplingFeatureTypeCV:  "specimen", SamplingFeatureCode:  "BKR -90- -100 cm", SamplingFeatureName:  "BKR -90- -100 cm", SamplingFeatureDescription:  NULL, SamplingFeatureGeotypeCV:  "Point", FeatureGeometry:  NULL, Elevation_m:  NULL, ElevationDatumCV:  "MSL"}</t>
  </si>
  <si>
    <t xml:space="preserve">  - &amp;SamplingFeatureID00012 {SamplingFeatureUUID:  NULL, SamplingFeatureTypeCV:  "specimen", SamplingFeatureCode:  "BKR -100- -106 cm", SamplingFeatureName:  "BKR -100- -106 cm", SamplingFeatureDescription:  NULL, SamplingFeatureGeotypeCV:  "Point", FeatureGeometry:  NULL, Elevation_m:  NULL, ElevationDatumCV:  "MSL"}</t>
  </si>
  <si>
    <t xml:space="preserve">  - &amp;SamplingFeatureID00013 {SamplingFeatureUUID:  NULL, SamplingFeatureTypeCV:  "Specimen", SamplingFeatureCode:  "PLEASE SPECIFY WHICH COLUMN HAS THE SPECIMEN CODES!!!", SamplingFeatureName:  "BKR 0- -10 cm &lt;150 um", SamplingFeatureDescription:  NULL, SamplingFeatureGeotypeCV:  Point, FeatureGeometry:  NULL, Elevation_m:  NULL, ElevationDatumCV:  NULL}</t>
  </si>
  <si>
    <t xml:space="preserve">  - {SamplingFeatureObj:  *SamplingFeatureID00002, SiteTypeCV:  NULL, Latitude:  -81.52805, Longitude:  39.380133, SpatialReferenceObj:  *SRSID00001}</t>
  </si>
  <si>
    <t xml:space="preserve">  - &amp;SpatialOffsetID00001 {SpatialOffsetTypeCV:  "BKR 0- -10 cm Offset", Offset1Value:  0, Offset1UnitObj:  "cm", Offset2Value:  -10, Offset2UnitObj:  "cm", Offset3Value:  NULL, Offset3UnitObj:  NULL}</t>
  </si>
  <si>
    <t xml:space="preserve">  - &amp;SpatialOffsetID00002 {SpatialOffsetTypeCV:  "BKR -10- -20 cm Offset", Offset1Value:  -10, Offset1UnitObj:  "cm", Offset2Value:  -20, Offset2UnitObj:  "cm", Offset3Value:  NULL, Offset3UnitObj:  NULL}</t>
  </si>
  <si>
    <t xml:space="preserve">  - &amp;SpatialOffsetID00003 {SpatialOffsetTypeCV:  "BKR -20- -30 cm Offset", Offset1Value:  -20, Offset1UnitObj:  "cm", Offset2Value:  -30, Offset2UnitObj:  "cm", Offset3Value:  NULL, Offset3UnitObj:  NULL}</t>
  </si>
  <si>
    <t xml:space="preserve">  - &amp;SpatialOffsetID00004 {SpatialOffsetTypeCV:  "BKR -30- -40 cm Offset", Offset1Value:  -30, Offset1UnitObj:  "cm", Offset2Value:  -40, Offset2UnitObj:  "cm", Offset3Value:  NULL, Offset3UnitObj:  NULL}</t>
  </si>
  <si>
    <t xml:space="preserve">  - &amp;SpatialOffsetID00005 {SpatialOffsetTypeCV:  "BKR -40- -50 cm Offset", Offset1Value:  -40, Offset1UnitObj:  "cm", Offset2Value:  -50, Offset2UnitObj:  "cm", Offset3Value:  NULL, Offset3UnitObj:  NULL}</t>
  </si>
  <si>
    <t xml:space="preserve">  - &amp;SpatialOffsetID00006 {SpatialOffsetTypeCV:  "BKR -50- -60 cm Offset", Offset1Value:  -50, Offset1UnitObj:  "cm", Offset2Value:  -60, Offset2UnitObj:  "cm", Offset3Value:  NULL, Offset3UnitObj:  NULL}</t>
  </si>
  <si>
    <t xml:space="preserve">  - &amp;SpatialOffsetID00007 {SpatialOffsetTypeCV:  "BKR -60- -70 cm Offset", Offset1Value:  -60, Offset1UnitObj:  "cm", Offset2Value:  -70, Offset2UnitObj:  "cm", Offset3Value:  NULL, Offset3UnitObj:  NULL}</t>
  </si>
  <si>
    <t xml:space="preserve">  - &amp;SpatialOffsetID00008 {SpatialOffsetTypeCV:  "BKR -80- -90 cm Offset", Offset1Value:  -80, Offset1UnitObj:  "cm", Offset2Value:  -90, Offset2UnitObj:  "cm", Offset3Value:  NULL, Offset3UnitObj:  NULL}</t>
  </si>
  <si>
    <t xml:space="preserve">  - &amp;SpatialOffsetID00009 {SpatialOffsetTypeCV:  "BKR -90- -100 cm Offset", Offset1Value:  -90, Offset1UnitObj:  "cm", Offset2Value:  -100, Offset2UnitObj:  "cm", Offset3Value:  NULL, Offset3UnitObj:  NULL}</t>
  </si>
  <si>
    <t xml:space="preserve">  - &amp;SpatialOffsetID00010 {SpatialOffsetTypeCV:  "BKR -100- -106 cm Offset", Offset1Value:  -100, Offset1UnitObj:  "cm", Offset2Value:  -106, Offset2UnitObj:  "cm", Offset3Value:  NULL, Offset3UnitObj:  NULL}</t>
  </si>
  <si>
    <t xml:space="preserve">  - &amp;MethodID00001 {MethodTypeCV:  "Specimen collection", MethodCode:  "HA", MethodName:  "Hand Augering", MethodDescription:  NULL, MethodLink:  NULL, OrganizationObj: NULL}</t>
  </si>
  <si>
    <t xml:space="preserve">  - &amp;MethodID00002 {MethodTypeCV:  "Specimen analysis", MethodCode:  "ICP-AES", MethodName:  "Inductively Coupled Plasma-Atomic Emissions Spectrometry", MethodDescription:  NULL, MethodLink:  NULL, OrganizationObj: NULL}</t>
  </si>
  <si>
    <t xml:space="preserve">  - &amp;MethodID00003 {MethodTypeCV:  "Specimen analysis", MethodCode:  "ST", MethodName:  "Soil Texture", MethodDescription:  NULL, MethodLink:  NULL, OrganizationObj: NULL}</t>
  </si>
  <si>
    <t xml:space="preserve">  - &amp;MethodID00004 {MethodTypeCV:  "Specimen analysis", MethodCode:  "SC", MethodName:  "Soil Color", MethodDescription:  NULL, MethodLink:  NULL, OrganizationObj: NULL}</t>
  </si>
  <si>
    <t xml:space="preserve">  - &amp;VariableID00001 {VariableTypeCV:  "Major oxide or element", VariableCode:  "SiO2", VariableNameCV:  "silica", VariableDefinition:  NULL, SpeciationCV:  NULL, NoDataValue:  "-999"}</t>
  </si>
  <si>
    <t xml:space="preserve">  - &amp;VariableID00002 {VariableTypeCV:  "Major oxide or element", VariableCode:  "Al", VariableNameCV:  "Aluminum, total", VariableDefinition:  NULL, SpeciationCV:  NULL, NoDataValue:  "-999"}</t>
  </si>
  <si>
    <t xml:space="preserve">  - &amp;VariableID00003 {VariableTypeCV:  "Soil", VariableCode:  "Texture", VariableNameCV:  "PLEASE SELECT A VALID NAME FOR THIS VARIABLE", VariableDefinition:  NULL, SpeciationCV:  NULL, NoDataValue:  "-999"}</t>
  </si>
  <si>
    <t xml:space="preserve">  - &amp;VariableID00004 {VariableTypeCV:  "Soil", VariableCode:  "Color", VariableNameCV:  "PLEASE SELECT A VALID NAME FOR THIS VARIABLE", VariableDefinition:  NULL, SpeciationCV:  NULL, NoDataValue:  "-999"}</t>
  </si>
  <si>
    <t xml:space="preserve">  - &amp;ActionID00001 {ActionTypeCV:  "Specimen collection", MethodObj: *MethodID00001, BeginDateTime:  "2012-06-06 00:00:00", BeginDateTimeUTCOffset:  "-7", EndDateTime:  NULL, EndDateTimeUTCOffset:  NULL, ActionDescription:  "Action generated by Excel Template for Specimen v.0.2.1-alpha+20150430.114854", ActionFileLink:  NULL}</t>
  </si>
  <si>
    <t xml:space="preserve">  - &amp;ActionID00002 {ActionTypeCV:  "Specimen analysis", MethodObj: *MethodID00002, BeginDateTime:  NULL, BeginDateTimeUTCOffset:  NULL, EndDateTime:  NULL, EndDateTimeUTCOffset:  NULL, ActionDescription:  "Action generated by Excel Template for Specimen v.0.2.1-alpha+20150430.114854", ActionFileLink:  NULL}</t>
  </si>
  <si>
    <t xml:space="preserve">  - &amp;ActionID00003 {ActionTypeCV:  "Specimen analysis", MethodObj: PLEASE FILL IN A VALID ANALYSIS METHOD CODE FOR Al, BeginDateTime:  NULL, BeginDateTimeUTCOffset:  NULL, EndDateTime:  NULL, EndDateTimeUTCOffset:  NULL, ActionDescription:  "Action generated by Excel Template for Specimen v.0.2.1-alpha+20150430.114854", ActionFileLink:  NULL}</t>
  </si>
  <si>
    <t xml:space="preserve">  - &amp;ActionID00004 {ActionTypeCV:  "Specimen analysis", MethodObj: PLEASE FILL IN A VALID ANALYSIS METHOD CODE FOR Al Analysis Method, BeginDateTime:  NULL, BeginDateTimeUTCOffset:  NULL, EndDateTime:  NULL, EndDateTimeUTCOffset:  NULL, ActionDescription:  "Action generated by Excel Template for Specimen v.0.2.1-alpha+20150430.114854", ActionFileLink:  NULL}</t>
  </si>
  <si>
    <t xml:space="preserve">  - &amp;ActionID00005 {ActionTypeCV:  "Specimen analysis", MethodObj: *MethodID00003, BeginDateTime:  NULL, BeginDateTimeUTCOffset:  NULL, EndDateTime:  NULL, EndDateTimeUTCOffset:  NULL, ActionDescription:  "Action generated by Excel Template for Specimen v.0.2.1-alpha+20150430.114854", ActionFileLink:  NULL}</t>
  </si>
  <si>
    <t xml:space="preserve">  - &amp;ActionID00006 {ActionTypeCV:  "Specimen analysis", MethodObj: *MethodID00004, BeginDateTime:  NULL, BeginDateTimeUTCOffset:  NULL, EndDateTime:  NULL, EndDateTimeUTCOffset:  NULL, ActionDescription:  "Action generated by Excel Template for Specimen v.0.2.1-alpha+20150430.114854", ActionFileLink:  NULL}</t>
  </si>
  <si>
    <t xml:space="preserve">  - &amp;ResultID00001 {ResultUUID:  NULL, FeatureActionObj: *FeatureActionID00001, ResultTypeCV:  "measurement", VariableObj:  *VariableID00001, UnitsObj:  wt. %, TaxonomicClassifierObj:  , ProcessingLevelObj:  *ProcessingLevelID00002, ResultDateTime:  2012-06-06 00:00:00, ResultDateTimeUTCOffset:  -7, ValidDateTime:  NULL, ValidDateTimeUTCOffset:  NULL, StatusCV:  NULL, SampledMediumCV:  "soil", ValueCount:  1}</t>
  </si>
  <si>
    <t xml:space="preserve">  - &amp;ResultID00002 {ResultUUID:  NULL, FeatureActionObj: *FeatureActionID00002, ResultTypeCV:  "measurement", VariableObj:  *VariableID00002, UnitsObj:  wt. %, TaxonomicClassifierObj:  , ProcessingLevelObj:  *ProcessingLevelID00002, ResultDateTime:  2012-06-06 00:00:00, ResultDateTimeUTCOffset:  -7, ValidDateTime:  NULL, ValidDateTimeUTCOffset:  NULL, StatusCV:  NULL, SampledMediumCV:  "soil", ValueCount:  1}</t>
  </si>
  <si>
    <t xml:space="preserve">  - &amp;ResultID00003 {ResultUUID:  NULL, FeatureActionObj: *FeatureActionID00003, ResultTypeCV:  "PLEASE NOTE: A  RESULT TYPE MUST BE SPECIFIED FOR EACH RESULT", VariableObj:  PLEASE NOTE: A VARIABLE CODE MUST BE SPECIFIED FOR EACH RESULT, UnitsObj:  PLEASE NOTE: A UNIT MUST BE SPECIFIED FOR EACH RESULT, TaxonomicClassifierObj:  , ProcessingLevelObj:  PLEASE NOTE: A PROCESSING LEVEL CODE MUST BE SPECIFIED FOR EACH RESULT, ResultDateTime:  2012-06-06 00:00:00, ResultDateTimeUTCOffset:  -7, ValidDateTime:  NULL, ValidDateTimeUTCOffset:  NULL, StatusCV:  NULL, SampledMediumCV:  "PLEASE NOTE: A SAMPLED MEDIUM MUST BE SPECIFIED FOR EACH RESULT", ValueCount:  1}</t>
  </si>
  <si>
    <t xml:space="preserve">  - &amp;ResultID00004 {ResultUUID:  NULL, FeatureActionObj: *FeatureActionID00004, ResultTypeCV:  "measurement", VariableObj:  *VariableID00003, UnitsObj:  wt. %, TaxonomicClassifierObj:  , ProcessingLevelObj:  *ProcessingLevelID00002, ResultDateTime:  2012-06-06 00:00:00, ResultDateTimeUTCOffset:  -7, ValidDateTime:  NULL, ValidDateTimeUTCOffset:  NULL, StatusCV:  NULL, SampledMediumCV:  "soil", ValueCount:  1}</t>
  </si>
  <si>
    <t xml:space="preserve">  - &amp;ResultID00005 {ResultUUID:  NULL, FeatureActionObj: *FeatureActionID00005, ResultTypeCV:  "measurement", VariableObj:  *VariableID00004, UnitsObj:  wt. %, TaxonomicClassifierObj:  , ProcessingLevelObj:  *ProcessingLevelID00002, ResultDateTime:  2012-06-06 00:00:00, ResultDateTimeUTCOffset:  -7, ValidDateTime:  NULL, ValidDateTimeUTCOffset:  NULL, StatusCV:  NULL, SampledMediumCV:  "soil", ValueCount:  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</si>
</sst>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m/d/yy\ h:mm\ AM/PM;@"/>
  </numFmts>
  <fonts count="23"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sz val="10"/>
      <color theme="0" tint="-0.249977111117893"/>
      <name val="Calibri"/>
      <family val="2"/>
      <scheme val="minor"/>
    </font>
    <font>
      <b/>
      <i/>
      <sz val="11"/>
      <color theme="0"/>
      <name val="Calibri"/>
      <family val="2"/>
      <scheme val="minor"/>
    </font>
    <font>
      <b/>
      <sz val="10"/>
      <color theme="0" tint="-0.249977111117893"/>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0"/>
      <color indexed="8"/>
      <name val="Arial"/>
      <family val="2"/>
    </font>
    <font>
      <sz val="10"/>
      <name val="Times New Roman"/>
      <family val="1"/>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87">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thin">
        <color theme="4" tint="0.39997558519241921"/>
      </top>
      <bottom style="thin">
        <color theme="4" tint="0.39997558519241921"/>
      </bottom>
      <diagonal/>
    </border>
    <border>
      <left/>
      <right style="thin">
        <color auto="1"/>
      </right>
      <top style="thin">
        <color auto="1"/>
      </top>
      <bottom style="medium">
        <color auto="1"/>
      </bottom>
      <diagonal/>
    </border>
    <border>
      <left/>
      <right style="medium">
        <color auto="1"/>
      </right>
      <top/>
      <bottom style="double">
        <color auto="1"/>
      </bottom>
      <diagonal/>
    </border>
    <border>
      <left/>
      <right style="medium">
        <color auto="1"/>
      </right>
      <top style="double">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theme="4" tint="0.39997558519241921"/>
      </bottom>
      <diagonal/>
    </border>
    <border>
      <left/>
      <right style="thin">
        <color auto="1"/>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style="thin">
        <color auto="1"/>
      </right>
      <top style="thin">
        <color theme="4" tint="0.39997558519241921"/>
      </top>
      <bottom/>
      <diagonal/>
    </border>
    <border>
      <left style="thin">
        <color auto="1"/>
      </left>
      <right style="thin">
        <color auto="1"/>
      </right>
      <top style="thin">
        <color theme="4" tint="0.39997558519241921"/>
      </top>
      <bottom/>
      <diagonal/>
    </border>
    <border>
      <left style="thin">
        <color auto="1"/>
      </left>
      <right/>
      <top style="thin">
        <color theme="4" tint="0.39997558519241921"/>
      </top>
      <bottom/>
      <diagonal/>
    </border>
    <border>
      <left/>
      <right/>
      <top/>
      <bottom style="thin">
        <color theme="4" tint="0.39997558519241921"/>
      </bottom>
      <diagonal/>
    </border>
    <border>
      <left/>
      <right/>
      <top style="medium">
        <color auto="1"/>
      </top>
      <bottom style="double">
        <color auto="1"/>
      </bottom>
      <diagonal/>
    </border>
    <border>
      <left style="thin">
        <color auto="1"/>
      </left>
      <right style="medium">
        <color auto="1"/>
      </right>
      <top style="thin">
        <color auto="1"/>
      </top>
      <bottom/>
      <diagonal/>
    </border>
    <border>
      <left/>
      <right/>
      <top/>
      <bottom style="thin">
        <color auto="1"/>
      </bottom>
      <diagonal/>
    </border>
    <border>
      <left/>
      <right/>
      <top style="thin">
        <color auto="1"/>
      </top>
      <bottom style="thin">
        <color auto="1"/>
      </bottom>
      <diagonal/>
    </border>
    <border>
      <left/>
      <right/>
      <top style="thin">
        <color auto="1"/>
      </top>
      <bottom/>
      <diagonal/>
    </border>
    <border>
      <left style="medium">
        <color auto="1"/>
      </left>
      <right style="medium">
        <color auto="1"/>
      </right>
      <top style="thin">
        <color auto="1"/>
      </top>
      <bottom/>
      <diagonal/>
    </border>
  </borders>
  <cellStyleXfs count="32">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258">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50" xfId="0" applyFont="1" applyBorder="1" applyProtection="1"/>
    <xf numFmtId="0" fontId="10" fillId="0" borderId="51" xfId="0" applyFont="1" applyBorder="1" applyProtection="1"/>
    <xf numFmtId="0" fontId="1" fillId="0" borderId="25" xfId="0" applyFont="1" applyFill="1" applyBorder="1" applyProtection="1"/>
    <xf numFmtId="0" fontId="0" fillId="2" borderId="2" xfId="0" applyFill="1" applyBorder="1" applyProtection="1">
      <protection locked="0"/>
    </xf>
    <xf numFmtId="0" fontId="6" fillId="0" borderId="0" xfId="0" applyFont="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2" borderId="21"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0" fillId="0" borderId="38" xfId="0" applyFont="1" applyFill="1" applyBorder="1" applyProtection="1"/>
    <xf numFmtId="0" fontId="10" fillId="0" borderId="36" xfId="0" applyFont="1" applyFill="1" applyBorder="1" applyProtection="1"/>
    <xf numFmtId="0" fontId="10" fillId="0" borderId="35" xfId="0" applyFont="1" applyFill="1" applyBorder="1" applyProtection="1"/>
    <xf numFmtId="0" fontId="10" fillId="0" borderId="37" xfId="0" applyFont="1" applyFill="1" applyBorder="1" applyProtection="1"/>
    <xf numFmtId="0" fontId="10" fillId="0" borderId="51"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2"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4"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5" xfId="0" applyFill="1" applyBorder="1" applyProtection="1">
      <protection locked="0"/>
    </xf>
    <xf numFmtId="0" fontId="0" fillId="2" borderId="46" xfId="0" applyFill="1" applyBorder="1" applyProtection="1">
      <protection locked="0"/>
    </xf>
    <xf numFmtId="0" fontId="0" fillId="2" borderId="47" xfId="0" applyFill="1" applyBorder="1" applyProtection="1">
      <protection locked="0"/>
    </xf>
    <xf numFmtId="0" fontId="0" fillId="3" borderId="48" xfId="0" applyFill="1" applyBorder="1" applyProtection="1">
      <protection locked="0"/>
    </xf>
    <xf numFmtId="0" fontId="1" fillId="0" borderId="43"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9" xfId="0" applyFill="1" applyBorder="1" applyProtection="1">
      <protection locked="0"/>
    </xf>
    <xf numFmtId="0" fontId="0" fillId="3" borderId="40" xfId="0" applyFill="1" applyBorder="1" applyProtection="1">
      <protection locked="0"/>
    </xf>
    <xf numFmtId="0" fontId="0" fillId="3" borderId="41"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9" xfId="0" applyFont="1" applyFill="1" applyBorder="1" applyProtection="1"/>
    <xf numFmtId="0" fontId="10" fillId="0" borderId="50"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2" xfId="0" applyFill="1" applyBorder="1"/>
    <xf numFmtId="0" fontId="0" fillId="3" borderId="53" xfId="0" applyFill="1" applyBorder="1"/>
    <xf numFmtId="0" fontId="0" fillId="3" borderId="1" xfId="0" applyFill="1" applyBorder="1"/>
    <xf numFmtId="0" fontId="0" fillId="3" borderId="2" xfId="0" applyFill="1" applyBorder="1"/>
    <xf numFmtId="0" fontId="0" fillId="3" borderId="3" xfId="0" applyFill="1" applyBorder="1"/>
    <xf numFmtId="0" fontId="0" fillId="2" borderId="54" xfId="0" applyFill="1" applyBorder="1"/>
    <xf numFmtId="0" fontId="0" fillId="3" borderId="54"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4" xfId="0" applyFill="1" applyBorder="1" applyProtection="1">
      <protection locked="0"/>
    </xf>
    <xf numFmtId="0" fontId="0" fillId="3" borderId="54"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3"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4" xfId="0" applyFont="1" applyFill="1" applyBorder="1" applyProtection="1"/>
    <xf numFmtId="0" fontId="10" fillId="0" borderId="53" xfId="0" applyFont="1" applyFill="1" applyBorder="1" applyProtection="1"/>
    <xf numFmtId="0" fontId="10" fillId="0" borderId="2" xfId="0" applyFont="1" applyFill="1" applyBorder="1" applyProtection="1"/>
    <xf numFmtId="0" fontId="10"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2"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3" fillId="3" borderId="53"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1" fillId="0" borderId="34" xfId="0" applyFont="1" applyBorder="1" applyProtection="1"/>
    <xf numFmtId="0" fontId="0" fillId="3" borderId="54" xfId="0" applyFill="1" applyBorder="1" applyProtection="1">
      <protection locked="0"/>
    </xf>
    <xf numFmtId="22" fontId="0" fillId="0" borderId="0" xfId="0" applyNumberFormat="1"/>
    <xf numFmtId="0" fontId="11" fillId="0" borderId="25" xfId="0" applyFont="1" applyBorder="1"/>
    <xf numFmtId="0" fontId="11" fillId="0" borderId="26" xfId="0" applyFont="1" applyBorder="1"/>
    <xf numFmtId="0" fontId="0" fillId="3" borderId="1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0" fillId="0" borderId="0" xfId="0" applyFont="1" applyBorder="1" applyProtection="1"/>
    <xf numFmtId="22" fontId="0" fillId="0" borderId="0" xfId="0" applyNumberFormat="1" applyFont="1" applyFill="1" applyBorder="1"/>
    <xf numFmtId="0" fontId="0" fillId="2" borderId="29" xfId="0" applyFill="1" applyBorder="1" applyProtection="1">
      <protection locked="0"/>
    </xf>
    <xf numFmtId="0" fontId="0" fillId="2" borderId="69" xfId="0" applyFill="1" applyBorder="1" applyProtection="1">
      <protection locked="0"/>
    </xf>
    <xf numFmtId="0" fontId="1" fillId="0" borderId="70" xfId="0" applyFont="1" applyBorder="1" applyProtection="1"/>
    <xf numFmtId="0" fontId="0" fillId="2" borderId="71" xfId="0" applyFill="1" applyBorder="1" applyProtection="1">
      <protection locked="0"/>
    </xf>
    <xf numFmtId="0" fontId="0" fillId="2" borderId="72" xfId="0" applyFill="1" applyBorder="1" applyProtection="1">
      <protection locked="0"/>
    </xf>
    <xf numFmtId="0" fontId="0" fillId="2" borderId="73" xfId="0" applyFill="1" applyBorder="1" applyProtection="1">
      <protection locked="0"/>
    </xf>
    <xf numFmtId="0" fontId="0" fillId="2" borderId="30" xfId="0" applyFill="1" applyBorder="1" applyProtection="1">
      <protection locked="0"/>
    </xf>
    <xf numFmtId="0" fontId="0" fillId="2" borderId="67" xfId="0" applyFill="1" applyBorder="1" applyProtection="1">
      <protection locked="0"/>
    </xf>
    <xf numFmtId="0" fontId="0" fillId="3" borderId="52" xfId="0"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53" xfId="0" applyFill="1" applyBorder="1" applyProtection="1">
      <protection locked="0"/>
    </xf>
    <xf numFmtId="0" fontId="0" fillId="0" borderId="0" xfId="0" applyAlignment="1" applyProtection="1">
      <alignment wrapText="1"/>
    </xf>
    <xf numFmtId="0" fontId="15" fillId="0" borderId="11" xfId="0" applyFont="1" applyBorder="1" applyAlignment="1" applyProtection="1">
      <alignment horizontal="center"/>
    </xf>
    <xf numFmtId="0" fontId="15" fillId="0" borderId="0" xfId="0" applyFont="1" applyBorder="1" applyAlignment="1" applyProtection="1">
      <alignment horizontal="center"/>
    </xf>
    <xf numFmtId="0" fontId="15" fillId="0" borderId="62" xfId="0" applyFont="1" applyBorder="1" applyAlignment="1" applyProtection="1">
      <alignment horizontal="center"/>
    </xf>
    <xf numFmtId="0" fontId="15" fillId="0" borderId="0" xfId="0" applyFont="1" applyBorder="1" applyProtection="1"/>
    <xf numFmtId="0" fontId="17" fillId="0" borderId="0" xfId="0" applyFont="1" applyBorder="1" applyProtection="1"/>
    <xf numFmtId="0" fontId="15" fillId="0" borderId="0" xfId="0" applyFont="1" applyProtection="1"/>
    <xf numFmtId="0" fontId="0" fillId="3" borderId="29" xfId="0" applyFill="1" applyBorder="1" applyProtection="1">
      <protection locked="0"/>
    </xf>
    <xf numFmtId="0" fontId="0" fillId="3" borderId="69" xfId="0" applyFill="1" applyBorder="1" applyProtection="1">
      <protection locked="0"/>
    </xf>
    <xf numFmtId="0" fontId="0" fillId="0" borderId="0" xfId="0" applyFill="1" applyProtection="1"/>
    <xf numFmtId="0" fontId="15" fillId="0" borderId="62" xfId="0" applyFont="1" applyFill="1" applyBorder="1" applyProtection="1"/>
    <xf numFmtId="0" fontId="10" fillId="0" borderId="25" xfId="0" applyFont="1" applyFill="1" applyBorder="1" applyProtection="1"/>
    <xf numFmtId="0" fontId="10" fillId="0" borderId="34" xfId="0" applyFont="1" applyFill="1" applyBorder="1" applyProtection="1"/>
    <xf numFmtId="0" fontId="10" fillId="0" borderId="30" xfId="0" applyFont="1" applyFill="1" applyBorder="1" applyProtection="1"/>
    <xf numFmtId="0" fontId="10" fillId="0" borderId="21" xfId="0" applyFont="1" applyFill="1" applyBorder="1" applyProtection="1"/>
    <xf numFmtId="0" fontId="10" fillId="0" borderId="67" xfId="0" applyFont="1" applyFill="1" applyBorder="1" applyProtection="1"/>
    <xf numFmtId="0" fontId="0" fillId="2" borderId="74" xfId="0" applyFont="1" applyFill="1" applyBorder="1" applyProtection="1">
      <protection locked="0"/>
    </xf>
    <xf numFmtId="0" fontId="0" fillId="2" borderId="68" xfId="0" applyFont="1" applyFill="1" applyBorder="1" applyProtection="1">
      <protection locked="0"/>
    </xf>
    <xf numFmtId="0" fontId="0" fillId="3" borderId="68" xfId="0" applyFont="1" applyFill="1" applyBorder="1" applyProtection="1">
      <protection locked="0"/>
    </xf>
    <xf numFmtId="0" fontId="0" fillId="3" borderId="76" xfId="0" applyFont="1" applyFill="1" applyBorder="1" applyProtection="1">
      <protection locked="0"/>
    </xf>
    <xf numFmtId="0" fontId="0" fillId="2" borderId="75" xfId="0" applyFont="1" applyFill="1" applyBorder="1" applyProtection="1">
      <protection locked="0"/>
    </xf>
    <xf numFmtId="0" fontId="0" fillId="2" borderId="77" xfId="0" applyFont="1" applyFill="1" applyBorder="1" applyProtection="1">
      <protection locked="0"/>
    </xf>
    <xf numFmtId="0" fontId="0" fillId="2" borderId="78" xfId="0" applyFont="1" applyFill="1" applyBorder="1" applyProtection="1">
      <protection locked="0"/>
    </xf>
    <xf numFmtId="0" fontId="0" fillId="3" borderId="78" xfId="0" applyFont="1" applyFill="1" applyBorder="1" applyProtection="1">
      <protection locked="0"/>
    </xf>
    <xf numFmtId="0" fontId="0" fillId="3" borderId="79" xfId="0" applyFont="1" applyFill="1" applyBorder="1" applyProtection="1">
      <protection locked="0"/>
    </xf>
    <xf numFmtId="0" fontId="0" fillId="0" borderId="24" xfId="0" applyBorder="1" applyProtection="1"/>
    <xf numFmtId="0" fontId="16" fillId="4" borderId="25" xfId="0" applyFont="1" applyFill="1" applyBorder="1" applyProtection="1"/>
    <xf numFmtId="0" fontId="16" fillId="4" borderId="26"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quotePrefix="1" applyFont="1" applyAlignment="1">
      <alignment wrapText="1"/>
    </xf>
    <xf numFmtId="0" fontId="11" fillId="0" borderId="0" xfId="0" applyFont="1" applyProtection="1"/>
    <xf numFmtId="0" fontId="0" fillId="0" borderId="22" xfId="0" applyFill="1" applyBorder="1" applyProtection="1"/>
    <xf numFmtId="0" fontId="0" fillId="0" borderId="0" xfId="0" applyFill="1" applyBorder="1" applyProtection="1"/>
    <xf numFmtId="0" fontId="1" fillId="0" borderId="0" xfId="0" applyFont="1" applyAlignment="1" applyProtection="1">
      <alignment wrapText="1"/>
      <protection locked="0"/>
    </xf>
    <xf numFmtId="0" fontId="0" fillId="0" borderId="0" xfId="0" applyNumberFormat="1" applyProtection="1">
      <protection locked="0"/>
    </xf>
    <xf numFmtId="0" fontId="0" fillId="0" borderId="0" xfId="0" quotePrefix="1" applyProtection="1">
      <protection locked="0"/>
    </xf>
    <xf numFmtId="0" fontId="18" fillId="4" borderId="80" xfId="0" applyFont="1" applyFill="1" applyBorder="1" applyAlignment="1" applyProtection="1">
      <alignment wrapText="1"/>
      <protection locked="0"/>
    </xf>
    <xf numFmtId="0" fontId="0" fillId="2" borderId="6" xfId="0" applyFill="1" applyBorder="1" applyProtection="1">
      <protection locked="0"/>
    </xf>
    <xf numFmtId="0" fontId="0" fillId="2" borderId="4" xfId="0" applyFill="1" applyBorder="1" applyProtection="1">
      <protection locked="0"/>
    </xf>
    <xf numFmtId="0" fontId="0" fillId="3" borderId="21" xfId="0" applyFont="1" applyFill="1" applyBorder="1" applyProtection="1">
      <protection locked="0"/>
    </xf>
    <xf numFmtId="0" fontId="0" fillId="3" borderId="20" xfId="0" applyFont="1" applyFill="1" applyBorder="1" applyProtection="1">
      <protection locked="0"/>
    </xf>
    <xf numFmtId="0" fontId="0" fillId="3" borderId="28" xfId="0" applyFont="1" applyFill="1" applyBorder="1" applyProtection="1">
      <protection locked="0"/>
    </xf>
    <xf numFmtId="0" fontId="18" fillId="4" borderId="81" xfId="0" applyFont="1" applyFill="1" applyBorder="1" applyProtection="1"/>
    <xf numFmtId="0" fontId="18" fillId="4" borderId="66" xfId="0" applyFont="1" applyFill="1" applyBorder="1" applyProtection="1"/>
    <xf numFmtId="0" fontId="0" fillId="3" borderId="83" xfId="0" applyFont="1" applyFill="1" applyBorder="1" applyProtection="1">
      <protection locked="0"/>
    </xf>
    <xf numFmtId="0" fontId="0" fillId="3" borderId="84" xfId="0" applyFont="1" applyFill="1" applyBorder="1" applyProtection="1">
      <protection locked="0"/>
    </xf>
    <xf numFmtId="0" fontId="0" fillId="3" borderId="85" xfId="0" applyFont="1" applyFill="1" applyBorder="1" applyProtection="1">
      <protection locked="0"/>
    </xf>
    <xf numFmtId="0" fontId="19" fillId="0" borderId="66" xfId="0" applyFont="1" applyFill="1" applyBorder="1" applyProtection="1"/>
    <xf numFmtId="0" fontId="10" fillId="0" borderId="6" xfId="0" applyFont="1" applyFill="1" applyBorder="1" applyProtection="1"/>
    <xf numFmtId="0" fontId="10" fillId="0" borderId="82" xfId="0" applyFont="1" applyFill="1" applyBorder="1" applyProtection="1"/>
    <xf numFmtId="0" fontId="19" fillId="0" borderId="35" xfId="0" applyFont="1" applyFill="1" applyBorder="1" applyProtection="1"/>
    <xf numFmtId="0" fontId="10" fillId="0" borderId="86" xfId="0" applyFont="1" applyFill="1" applyBorder="1" applyProtection="1"/>
    <xf numFmtId="0" fontId="0" fillId="0" borderId="0" xfId="0" applyNumberFormat="1"/>
    <xf numFmtId="164" fontId="14" fillId="0" borderId="0" xfId="0" applyNumberFormat="1" applyFont="1" applyAlignment="1">
      <alignment horizontal="left" wrapText="1"/>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5" xfId="0" applyFont="1" applyBorder="1" applyAlignment="1">
      <alignment horizontal="center"/>
    </xf>
    <xf numFmtId="0" fontId="1" fillId="0" borderId="66"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63" xfId="0" applyFont="1" applyBorder="1" applyAlignment="1">
      <alignment horizontal="center"/>
    </xf>
    <xf numFmtId="0" fontId="1" fillId="0" borderId="64" xfId="0" applyFont="1" applyBorder="1" applyAlignment="1">
      <alignment horizontal="center"/>
    </xf>
    <xf numFmtId="0" fontId="1" fillId="0" borderId="61" xfId="0" applyFont="1" applyBorder="1" applyAlignment="1">
      <alignment horizontal="center"/>
    </xf>
    <xf numFmtId="0" fontId="1" fillId="0" borderId="55" xfId="0" applyFont="1" applyBorder="1" applyAlignment="1" applyProtection="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55" xfId="0" applyFont="1" applyBorder="1" applyAlignment="1" applyProtection="1">
      <alignment horizontal="center"/>
      <protection locked="0"/>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5" xfId="0" applyFont="1" applyBorder="1" applyAlignment="1">
      <alignment horizontal="center"/>
    </xf>
    <xf numFmtId="0" fontId="1" fillId="0" borderId="56" xfId="0" applyFont="1" applyBorder="1" applyAlignment="1">
      <alignment horizontal="center"/>
    </xf>
    <xf numFmtId="0" fontId="1" fillId="0" borderId="57" xfId="0" applyFont="1" applyBorder="1" applyAlignment="1">
      <alignment horizontal="center"/>
    </xf>
    <xf numFmtId="14" fontId="0" fillId="0" borderId="0" xfId="0" applyNumberFormat="1"/>
    <xf numFmtId="0" fontId="5" fillId="0" borderId="0" xfId="0" applyFont="1" applyFill="1" applyAlignment="1">
      <alignment horizontal="left"/>
    </xf>
    <xf numFmtId="0" fontId="21" fillId="0" borderId="0" xfId="0" applyFont="1" applyProtection="1">
      <protection locked="0"/>
    </xf>
    <xf numFmtId="2" fontId="22" fillId="0" borderId="0" xfId="0" applyNumberFormat="1" applyFont="1" applyFill="1" applyAlignment="1">
      <alignment horizontal="center"/>
    </xf>
  </cellXfs>
  <cellStyles count="32">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Hyperlink" xfId="1" builtinId="8" hidden="1"/>
    <cellStyle name="Hyperlink" xfId="3" builtinId="8"/>
    <cellStyle name="Normal" xfId="0" builtinId="0"/>
  </cellStyles>
  <dxfs count="304">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none">
          <bgColor auto="1"/>
        </patternFill>
      </fill>
    </dxf>
    <dxf>
      <fill>
        <patternFill patternType="none">
          <bgColor auto="1"/>
        </patternFill>
      </fill>
    </dxf>
    <dxf>
      <font>
        <b/>
        <i/>
        <color rgb="FFFFC000"/>
      </font>
      <fill>
        <patternFill>
          <bgColor rgb="FFFF0000"/>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ont>
        <b/>
        <i/>
        <color rgb="FFFFC000"/>
      </font>
      <fill>
        <patternFill>
          <bgColor rgb="FFFF0000"/>
        </patternFill>
      </fill>
    </dxf>
    <dxf>
      <font>
        <b val="0"/>
        <i/>
        <strike/>
      </font>
    </dxf>
    <dxf>
      <font>
        <b/>
        <i/>
        <color rgb="FFFFC000"/>
      </font>
      <fill>
        <patternFill>
          <bgColor rgb="FFFF0000"/>
        </patternFill>
      </fill>
    </dxf>
    <dxf>
      <font>
        <b/>
        <i/>
        <color theme="1"/>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bottom" textRotation="0" wrapText="1" indent="0" justifyLastLine="0" shrinkToFit="0" readingOrder="0"/>
      <protection locked="0" hidden="0"/>
    </dxf>
    <dxf>
      <numFmt numFmtId="0" formatCode="General"/>
    </dxf>
    <dxf>
      <numFmt numFmtId="0" formatCode="General"/>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right style="medium">
          <color auto="1"/>
        </right>
        <top/>
        <bottom/>
        <vertical/>
        <horizontal/>
      </border>
      <protection locked="1"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medium">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ont>
        <b val="0"/>
        <i/>
        <strike val="0"/>
        <condense val="0"/>
        <extend val="0"/>
        <outline val="0"/>
        <shadow val="0"/>
        <u val="none"/>
        <vertAlign val="baseline"/>
        <sz val="11"/>
        <color theme="0" tint="-0.499984740745262"/>
        <name val="Calibri"/>
        <scheme val="minor"/>
      </font>
      <fill>
        <patternFill patternType="none">
          <fgColor indexed="64"/>
          <bgColor indexed="65"/>
        </patternFill>
      </fill>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top/>
        <bottom/>
        <vertical/>
        <horizontal/>
      </border>
      <protection locked="1" hidden="0"/>
    </dxf>
    <dxf>
      <protection locked="0"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right style="thin">
          <color auto="1"/>
        </right>
        <top style="thin">
          <color theme="4" tint="0.39997558519241921"/>
        </top>
        <bottom style="thin">
          <color theme="4" tint="0.39997558519241921"/>
        </bottom>
        <vertical/>
        <horizontal/>
      </border>
      <protection locked="0" hidden="0"/>
    </dxf>
    <dxf>
      <border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1"/>
        <color theme="1"/>
        <name val="Calibri"/>
        <scheme val="minor"/>
      </font>
      <fill>
        <patternFill patternType="solid">
          <fgColor indexed="64"/>
          <bgColor rgb="FFFFFF99"/>
        </patternFill>
      </fill>
      <protection locked="0" hidden="0"/>
    </dxf>
    <dxf>
      <border outline="0">
        <bottom style="double">
          <color auto="1"/>
        </bottom>
      </border>
    </dxf>
    <dxf>
      <font>
        <b/>
        <i/>
        <strike val="0"/>
        <condense val="0"/>
        <extend val="0"/>
        <outline val="0"/>
        <shadow val="0"/>
        <u val="none"/>
        <vertAlign val="baseline"/>
        <sz val="11"/>
        <color theme="0"/>
        <name val="Calibri"/>
        <scheme val="minor"/>
      </font>
      <fill>
        <patternFill patternType="solid">
          <fgColor theme="4"/>
          <bgColor theme="4"/>
        </patternFill>
      </fill>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auto="1"/>
        </patternFill>
      </fill>
      <border diagonalUp="0" diagonalDown="0">
        <left style="medium">
          <color auto="1"/>
        </left>
        <right style="medium">
          <color auto="1"/>
        </right>
        <top style="thin">
          <color auto="1"/>
        </top>
        <bottom style="thin">
          <color auto="1"/>
        </bottom>
        <vertical style="medium">
          <color auto="1"/>
        </vertical>
        <horizontal style="thin">
          <color auto="1"/>
        </horizontal>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thin">
          <color auto="1"/>
        </top>
        <bottom style="thin">
          <color auto="1"/>
        </bottom>
        <vertical style="medium">
          <color auto="1"/>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66"/>
      <color rgb="FFFFFF99"/>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theme" Target="theme/theme1.xml"/><Relationship Id="rId24" Type="http://schemas.openxmlformats.org/officeDocument/2006/relationships/styles" Target="styles.xml"/><Relationship Id="rId25" Type="http://schemas.openxmlformats.org/officeDocument/2006/relationships/sharedStrings" Target="sharedStrings.xml"/><Relationship Id="rId26" Type="http://schemas.openxmlformats.org/officeDocument/2006/relationships/calcChain" Target="calcChain.xml"/><Relationship Id="rId27"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3835400</xdr:colOff>
          <xdr:row>1</xdr:row>
          <xdr:rowOff>12700</xdr:rowOff>
        </xdr:from>
        <xdr:to>
          <xdr:col>0</xdr:col>
          <xdr:colOff>6527800</xdr:colOff>
          <xdr:row>4</xdr:row>
          <xdr:rowOff>50800</xdr:rowOff>
        </xdr:to>
        <xdr:sp macro="" textlink="">
          <xdr:nvSpPr>
            <xdr:cNvPr id="66561" name="Button 1" hidden="1">
              <a:extLst>
                <a:ext uri="{63B3BB69-23CF-44E3-9099-C40C66FF867C}">
                  <a14:compatExt spid="_x0000_s665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a:ea typeface="Calibri"/>
                  <a:cs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372717</xdr:colOff>
          <xdr:row>2</xdr:row>
          <xdr:rowOff>38100</xdr:rowOff>
        </xdr:from>
        <xdr:to>
          <xdr:col>13</xdr:col>
          <xdr:colOff>763657</xdr:colOff>
          <xdr:row>4</xdr:row>
          <xdr:rowOff>101600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400" b="1" i="1" u="none" strike="noStrike" baseline="0">
                  <a:solidFill>
                    <a:srgbClr val="0000FF"/>
                  </a:solidFill>
                  <a:latin typeface="Calibri"/>
                  <a:ea typeface="Calibri"/>
                  <a:cs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303" dataDxfId="302" tableBorderDxfId="301">
  <tableColumns count="5">
    <tableColumn id="1" name="Organization Type [CV]" dataDxfId="300"/>
    <tableColumn id="2" name="Organization Code" dataDxfId="299"/>
    <tableColumn id="3" name="Organization Name" dataDxfId="298"/>
    <tableColumn id="4" name="Organization Description" dataDxfId="297"/>
    <tableColumn id="5" name="Organization Link" dataDxfId="296"/>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95" dataDxfId="293" headerRowBorderDxfId="294" tableBorderDxfId="292">
  <tableColumns count="9">
    <tableColumn id="1" name="First Name" dataDxfId="291"/>
    <tableColumn id="2" name="Middle Name" dataDxfId="290"/>
    <tableColumn id="3" name="Last Name" dataDxfId="289"/>
    <tableColumn id="5" name="Organization Name" dataDxfId="288"/>
    <tableColumn id="6" name="Primary Email" dataDxfId="287"/>
    <tableColumn id="7" name="Primary Address" dataDxfId="286"/>
    <tableColumn id="10" name="Person OrcID" dataDxfId="285"/>
    <tableColumn id="8" name="Full Name" dataDxfId="284">
      <calculatedColumnFormula>CONCATENATE(People[[#This Row],[First Name]],IF(People[[#This Row],[Middle Name]]="",""," "),People[[#This Row],[Middle Name]]," ",People[[#This Row],[Last Name]])</calculatedColumnFormula>
    </tableColumn>
    <tableColumn id="9" name="ExternalIDNum" dataDxfId="283">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82" dataDxfId="280" headerRowBorderDxfId="281" tableBorderDxfId="279">
  <tableColumns count="2">
    <tableColumn id="1" name="Author Number" dataDxfId="278">
      <calculatedColumnFormula>IF(AuthorList[[#This Row],[Author Name]]&lt;&gt;"",MAX(INDIRECT(CONCATENATE("R",ROW(AuthorList[#Headers]),"C",COLUMN(),":R",ROW()-1,"C",COLUMN()),FALSE))+1,"")</calculatedColumnFormula>
    </tableColumn>
    <tableColumn id="2" name="Author Name" dataDxfId="277"/>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2:R62" totalsRowShown="0" headerRowDxfId="276" dataDxfId="274" headerRowBorderDxfId="275" tableBorderDxfId="273">
  <tableColumns count="18">
    <tableColumn id="1" name="Sampling Feature UUID" dataDxfId="272"/>
    <tableColumn id="2" name="Sampling Feature Type" dataDxfId="271"/>
    <tableColumn id="3" name="Feature Geo Type" dataDxfId="270"/>
    <tableColumn id="4" name="Feature Code" dataDxfId="269"/>
    <tableColumn id="5" name="Feature Name" dataDxfId="268"/>
    <tableColumn id="6" name="Feature Description" dataDxfId="267"/>
    <tableColumn id="7" name="Feature Geometry" dataDxfId="266"/>
    <tableColumn id="8" name="Elevation_m" dataDxfId="265"/>
    <tableColumn id="9" name="Feature IGSN" dataDxfId="264"/>
    <tableColumn id="10" name="IGSNID" dataDxfId="263">
      <calculatedColumnFormula>IF(SamplingFeatures[[#This Row],[Feature IGSN]]&lt;&gt;"",MAX(INDIRECT(CONCATENATE("R",ROW(SamplingFeatures[#Headers]),"C",COLUMN(),":R",ROW()-1,"C",COLUMN()),FALSE))+1,"")</calculatedColumnFormula>
    </tableColumn>
    <tableColumn id="11" name="SiteID" dataDxfId="262">
      <calculatedColumnFormula>IF(SamplingFeatures[[#This Row],[Sampling Feature Type]]="Site",MAX(INDIRECT(CONCATENATE("R",ROW(SamplingFeatures[#Headers]),"C",COLUMN(),":R",ROW()-1,"C",COLUMN()),FALSE))+1,"")</calculatedColumnFormula>
    </tableColumn>
    <tableColumn id="12" name="Site Type" dataDxfId="261"/>
    <tableColumn id="13" name="Latitude" dataDxfId="260"/>
    <tableColumn id="14" name="Longitude" dataDxfId="259"/>
    <tableColumn id="15" name="SpecimenID" dataDxfId="258">
      <calculatedColumnFormula>IF(SamplingFeatures[[#This Row],[Sampling Feature Type]]="Specimen",MAX(INDIRECT(CONCATENATE("R",ROW(SamplingFeatures[#Headers]),"C",COLUMN(),":R",ROW()-1,"C",COLUMN()),FALSE))+1,"")</calculatedColumnFormula>
    </tableColumn>
    <tableColumn id="16" name="Specimen Type" dataDxfId="257"/>
    <tableColumn id="17" name="Specimen Medium" dataDxfId="256"/>
    <tableColumn id="18" name="Is Field Specimen?" dataDxfId="255"/>
  </tableColumns>
  <tableStyleInfo name="TableStyleMedium2" showFirstColumn="0" showLastColumn="0" showRowStripes="1" showColumnStripes="0"/>
</table>
</file>

<file path=xl/tables/table5.xml><?xml version="1.0" encoding="utf-8"?>
<table xmlns="http://schemas.openxmlformats.org/spreadsheetml/2006/main" id="18" name="SpatialOffsets" displayName="SpatialOffsets" ref="A7:H39" totalsRowShown="0" headerRowDxfId="254" dataDxfId="252" headerRowBorderDxfId="253" tableBorderDxfId="251">
  <tableColumns count="8">
    <tableColumn id="1" name="Spatial Offset Code" dataDxfId="250"/>
    <tableColumn id="2" name="Spatial Offset Type" dataDxfId="249"/>
    <tableColumn id="3" name="Offset 1 Value" dataDxfId="248"/>
    <tableColumn id="4" name="Offset 1 Unit" dataDxfId="247"/>
    <tableColumn id="5" name="Offset 2 Value" dataDxfId="246"/>
    <tableColumn id="6" name="Offset 2 Unit" dataDxfId="245"/>
    <tableColumn id="7" name="Offset 3 Value" dataDxfId="244"/>
    <tableColumn id="8" name="Offset 3 Unit" dataDxfId="243"/>
  </tableColumns>
  <tableStyleInfo name="TableStyleMedium2" showFirstColumn="0" showLastColumn="0" showRowStripes="1" showColumnStripes="0"/>
</table>
</file>

<file path=xl/tables/table6.xml><?xml version="1.0" encoding="utf-8"?>
<table xmlns="http://schemas.openxmlformats.org/spreadsheetml/2006/main" id="9" name="RelatedFeatures" displayName="RelatedFeatures" ref="A8:D40" totalsRowShown="0" headerRowDxfId="242" dataDxfId="240" headerRowBorderDxfId="241" tableBorderDxfId="239">
  <tableColumns count="4">
    <tableColumn id="1" name="First Sampling Feature Code" dataDxfId="238"/>
    <tableColumn id="2" name="Relationship Type" dataDxfId="237"/>
    <tableColumn id="3" name="Second Sampling Feature Code" dataDxfId="236"/>
    <tableColumn id="5" name="Spatial Offset Code" dataDxfId="235"/>
  </tableColumns>
  <tableStyleInfo name="TableStyleMedium2" showFirstColumn="0" showLastColumn="0" showRowStripes="1" showColumnStripes="0"/>
</table>
</file>

<file path=xl/tables/table7.xml><?xml version="1.0" encoding="utf-8"?>
<table xmlns="http://schemas.openxmlformats.org/spreadsheetml/2006/main" id="10" name="Methods" displayName="Methods" ref="A9:F30" totalsRowShown="0" headerRowDxfId="234" dataDxfId="232" headerRowBorderDxfId="233" tableBorderDxfId="231">
  <tableColumns count="6">
    <tableColumn id="1" name="Method Type" dataDxfId="230"/>
    <tableColumn id="2" name="Method Code" dataDxfId="229"/>
    <tableColumn id="3" name="Method Name" dataDxfId="228"/>
    <tableColumn id="4" name="Method Description" dataDxfId="227"/>
    <tableColumn id="5" name="Method Link" dataDxfId="226"/>
    <tableColumn id="6" name="Organization Name" dataDxfId="225"/>
  </tableColumns>
  <tableStyleInfo name="TableStyleMedium2" showFirstColumn="0" showLastColumn="0" showRowStripes="1" showColumnStripes="0"/>
</table>
</file>

<file path=xl/tables/table8.xml><?xml version="1.0" encoding="utf-8"?>
<table xmlns="http://schemas.openxmlformats.org/spreadsheetml/2006/main" id="11" name="Variables" displayName="Variables" ref="A8:F28" totalsRowShown="0" headerRowDxfId="224" dataDxfId="222" headerRowBorderDxfId="223" tableBorderDxfId="221">
  <tableColumns count="6">
    <tableColumn id="1" name="Variable Type" dataDxfId="220"/>
    <tableColumn id="2" name="Variable Code" dataDxfId="219"/>
    <tableColumn id="3" name="Variable Name" dataDxfId="218"/>
    <tableColumn id="4" name="Variable Definition" dataDxfId="217"/>
    <tableColumn id="5" name="Speciation" dataDxfId="216"/>
    <tableColumn id="6" name="No Data Value" dataDxfId="215"/>
  </tableColumns>
  <tableStyleInfo name="TableStyleMedium2" showFirstColumn="0" showLastColumn="0" showRowStripes="1" showColumnStripes="0"/>
</table>
</file>

<file path=xl/tables/table9.xml><?xml version="1.0" encoding="utf-8"?>
<table xmlns="http://schemas.openxmlformats.org/spreadsheetml/2006/main" id="13" name="ProcessingLevels" displayName="ProcessingLevels" ref="A10:C28" totalsRowShown="0" headerRowDxfId="214" dataDxfId="212" headerRowBorderDxfId="213" tableBorderDxfId="211">
  <tableColumns count="3">
    <tableColumn id="1" name="Processing Level Code" dataDxfId="210"/>
    <tableColumn id="2" name="Definition" dataDxfId="209"/>
    <tableColumn id="3" name="Explanation" dataDxfId="208"/>
  </tableColumns>
  <tableStyleInfo name="TableStyleMedium2" showFirstColumn="0" showLastColumn="0" showRowStripes="1" showColumnStripes="0"/>
</table>
</file>

<file path=xl/tables/table10.xml><?xml version="1.0" encoding="utf-8"?>
<table xmlns="http://schemas.openxmlformats.org/spreadsheetml/2006/main" id="14" name="TaxonomicClassifiers" displayName="TaxonomicClassifiers" ref="A7:D26" totalsRowShown="0" dataDxfId="206" headerRowBorderDxfId="207" tableBorderDxfId="205">
  <tableColumns count="4">
    <tableColumn id="1" name="Taxonomic Classifier Type" dataDxfId="204"/>
    <tableColumn id="2" name="Taxonomic Classifier Name" dataDxfId="203"/>
    <tableColumn id="3" name="Taxonomic Classifier Common Name" dataDxfId="202"/>
    <tableColumn id="4" name="Taxonomic Classifier Description" dataDxfId="201"/>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2:AC99" headerRowDxfId="200" dataDxfId="198" totalsRowDxfId="196" headerRowBorderDxfId="199" tableBorderDxfId="197">
  <tableColumns count="29">
    <tableColumn id="1" name="Col#" totalsRowLabel="Total" dataDxfId="195" totalsRowDxfId="194">
      <calculatedColumnFormula>IF(COUNTA(DataColumns[[#This Row],[ColumnLabel]:[QualityCodeCV]])&gt;0,IF(MAX(INDIRECT(CONCATENATE("R",ROW(DataColumns[#Headers]),"C",COLUMN(),":R",ROW()-1,"C",COLUMN()),FALSE))=0,1,MAX(INDIRECT(CONCATENATE("R",ROW(DataColumns[#Headers]),"C",COLUMN(),":R",ROW()-1,"C",COLUMN()),FALSE))+1),"")</calculatedColumnFormula>
    </tableColumn>
    <tableColumn id="2" name="ColumnLabel" dataDxfId="193" totalsRowDxfId="192"/>
    <tableColumn id="17" name="ColumnType" dataDxfId="191" totalsRowDxfId="190"/>
    <tableColumn id="22" name="AppliesToColumn" dataDxfId="189" totalsRowDxfId="188"/>
    <tableColumn id="18" name="ParentSamplingFeatureCode" dataDxfId="187" totalsRowDxfId="186"/>
    <tableColumn id="24" name="RelationshipTypeCV" dataDxfId="185" totalsRowDxfId="184"/>
    <tableColumn id="28" name="CollectionDateTimeUTCOffset" dataDxfId="183" totalsRowDxfId="182"/>
    <tableColumn id="3" name="SpecimenCollector" dataDxfId="181" totalsRowDxfId="180"/>
    <tableColumn id="27" name="CollectionMethodCode" dataDxfId="179" totalsRowDxfId="178"/>
    <tableColumn id="20" name="SpecimenMediumCV" dataDxfId="177" totalsRowDxfId="176"/>
    <tableColumn id="21" name="SpecimenTypeCV" dataDxfId="175" totalsRowDxfId="174"/>
    <tableColumn id="4" name="IsFieldSpecimen" dataDxfId="173" totalsRowDxfId="172"/>
    <tableColumn id="23" name="SpatialOffsetCode" dataDxfId="171" totalsRowDxfId="170"/>
    <tableColumn id="6" name="ResultTypeCV" dataDxfId="169" totalsRowDxfId="168"/>
    <tableColumn id="7" name="VariableCode" dataDxfId="167" totalsRowDxfId="166"/>
    <tableColumn id="8" name="UnitName" dataDxfId="165" totalsRowDxfId="164"/>
    <tableColumn id="11" name="SampledMediumCV" dataDxfId="163" totalsRowDxfId="162"/>
    <tableColumn id="10" name="ResultAnalyst" dataDxfId="161" totalsRowDxfId="160"/>
    <tableColumn id="29" name="AnalysisDateTimeUTCOffset" dataDxfId="159" totalsRowDxfId="158"/>
    <tableColumn id="5" name="AnalysisMethodCode" dataDxfId="157" totalsRowDxfId="156"/>
    <tableColumn id="9" name="ProcessingLevelCode" dataDxfId="155" totalsRowDxfId="154"/>
    <tableColumn id="15" name="CensorCodeCV" dataDxfId="153" totalsRowDxfId="152"/>
    <tableColumn id="16" name="QualityCodeCV" dataDxfId="151" totalsRowDxfId="150"/>
    <tableColumn id="19" name="TaxonomicClassifierName" dataDxfId="149" totalsRowDxfId="148"/>
    <tableColumn id="12" name="TimeAggregationInterval" dataDxfId="147" totalsRowDxfId="146"/>
    <tableColumn id="13" name="TimeAggregationIntervalUnitCode" dataDxfId="145" totalsRowDxfId="144"/>
    <tableColumn id="14" name="AggregationStatisticCV" totalsRowFunction="count" dataDxfId="143" totalsRowDxfId="142"/>
    <tableColumn id="25" name="DVNum" dataDxfId="141" totalsRowDxfId="140">
      <calculatedColumnFormula>IF(DataColumns[[#This Row],[ColumnType]]="ResultValue",IF(MAX(INDIRECT(CONCATENATE("R",ROW(DataColumns[#Headers]),"C",COLUMN(),":R",ROW()-1,"C",COLUMN()),FALSE))=0,1,MAX(INDIRECT(CONCATENATE("R",ROW(DataColumns[#Headers]),"C",COLUMN(),":R",ROW()-1,"C",COLUMN()),FALSE))+1),"")</calculatedColumnFormula>
    </tableColumn>
    <tableColumn id="26" name="Concat" dataDxfId="139" totalsRowDxfId="138">
      <calculatedColumnFormula>IF(DataColumns[[#This Row],[ColumnType]]="ResultValue",CONCATENATE(DataColumns[[#This Row],[ColumnType]],DataColumns[[#This Row],[ColumnLabel]]),CONCATENATE(DataColumns[[#This Row],[ColumnType]],DataColumns[[#This Row],[AppliesToColumn]]))</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7" name="SpecimenColumnFinder" displayName="SpecimenColumnFinder" ref="A1:L16" totalsRowShown="0" headerRowDxfId="137" dataDxfId="136">
  <sortState ref="A2:L16">
    <sortCondition ref="B1"/>
  </sortState>
  <tableColumns count="12">
    <tableColumn id="1" name="DataType" dataDxfId="135"/>
    <tableColumn id="2" name="ODM Table" dataDxfId="134"/>
    <tableColumn id="5" name="CV Name" dataDxfId="133"/>
    <tableColumn id="3" name="REQUIRED" dataDxfId="132"/>
    <tableColumn id="4" name="VBV or Column" dataDxfId="131"/>
    <tableColumn id="12" name="Data Columns Input Column" dataDxfId="130">
      <calculatedColumnFormula>MATCH(SpecimenColumnFinder[[#This Row],[DataType]],DataColumns[#Headers],0)</calculatedColumnFormula>
    </tableColumn>
    <tableColumn id="6" name="Data Values Column Number" dataDxfId="129">
      <calculatedColumnFormula>MATCH(SpecimenColumnFinder[[#This Row],[DataType]],DataColumns[ColumnType],0)</calculatedColumnFormula>
    </tableColumn>
    <tableColumn id="9" name="Num Required" dataDxfId="128">
      <calculatedColumnFormula>IF(SpecimenColumnFinder[[#This Row],[REQUIRED]]="Optional",0,
IF(SpecimenColumnFinder[[#This Row],[VBV or Column]]="Value-By-Value",NumSpecimens,
1))</calculatedColumnFormula>
    </tableColumn>
    <tableColumn id="7" name="Num Given" dataDxfId="127">
      <calculatedColumnFormula>IF(ISERROR(SpecimenColumnFinder[[#This Row],[Data Values Column Number]]),
IF(ISERROR(INDEX(DataColumns[],SpecimenColumnNumber,SpecimenColumnFinder[[#This Row],[Data Columns Input Column]])),
0,
1),
COUNTA(INDIRECT(CONCATENATE("'Data Values'!C",SpecimenColumnFinder[[#This Row],[Data Values Column Number]]),FALSE))-1)</calculatedColumnFormula>
    </tableColumn>
    <tableColumn id="10" name="Error?" dataDxfId="126">
      <calculatedColumnFormula>IF(SpecimenColumnFinder[[#This Row],[Num Given]]&lt;SpecimenColumnFinder[[#This Row],[Num Required]],
"MISSING",
"OK")</calculatedColumnFormula>
    </tableColumn>
    <tableColumn id="11" name="First Value Address" dataDxfId="125">
      <calculatedColumnFormula>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calculatedColumnFormula>
    </tableColumn>
    <tableColumn id="13" name="First Value" dataDxfId="124">
      <calculatedColumnFormula>INDIRECT(SpecimenColumnFinder[[#This Row],[First Value Address]],FALSE)</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6" name="ResultColumnLabels" displayName="ResultColumnLabels" ref="A1:B1001" totalsRowShown="0">
  <autoFilter ref="A1:B1001"/>
  <tableColumns count="2">
    <tableColumn id="1" name="Data Value Number" dataDxfId="123">
      <calculatedColumnFormula>IF(ROW()-1&gt;NumDataColumns,"",MAX(INDIRECT(CONCATENATE("R",ROW(ResultColumnLabels[#Headers]),"C",COLUMN(),":R",ROW()-1,"C",COLUMN()),FALSE))+1)</calculatedColumnFormula>
    </tableColumn>
    <tableColumn id="2" name="Data Value Label" dataDxfId="122">
      <calculatedColumnFormula>IF(ResultColumnLabels[[#This Row],[Data Value Number]]="","",INDEX(DataColumns[ColumnLabel],MATCH(ResultColumnLabels[[#This Row],[Data Value Number]],DataColumns[DVNum],0)))</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9" name="ResultColumnFinder" displayName="ResultColumnFinder" ref="A1:Q19" totalsRowShown="0" headerRowDxfId="121" dataDxfId="119" headerRowBorderDxfId="120" tableBorderDxfId="118" totalsRowBorderDxfId="117">
  <tableColumns count="17">
    <tableColumn id="1" name="DataType" dataDxfId="116"/>
    <tableColumn id="2" name="ODM Table" dataDxfId="115"/>
    <tableColumn id="3" name="CV Name" dataDxfId="114"/>
    <tableColumn id="5" name="REQUIRED" dataDxfId="113"/>
    <tableColumn id="6" name="VBV or Column" dataDxfId="112"/>
    <tableColumn id="14" name="DV Num" dataDxfId="111"/>
    <tableColumn id="15" name="Data Value Label" dataDxfId="110">
      <calculatedColumnFormula>INDEX(DataColumns[ColumnLabel],MATCH(ResultColumnFinder[[#This Row],[DV Num]],DataColumns[DVNum],0))</calculatedColumnFormula>
    </tableColumn>
    <tableColumn id="20" name="Concat" dataDxfId="109">
      <calculatedColumnFormula>CONCATENATE(ResultColumnFinder[[#This Row],[DataType]],ResultColumnFinder[[#This Row],[Data Value Label]])</calculatedColumnFormula>
    </tableColumn>
    <tableColumn id="22" name="Concat2" dataDxfId="108">
      <calculatedColumnFormula>CONCATENATE(ResultColumnFinder[[#This Row],[DataType]],ResultColumnFinder[[#This Row],[DV Num]])</calculatedColumnFormula>
    </tableColumn>
    <tableColumn id="7" name="Data Columns Input Column" dataDxfId="107">
      <calculatedColumnFormula>MATCH(ResultColumnFinder[[#This Row],[DataType]],DataColumns[#Headers],0)</calculatedColumnFormula>
    </tableColumn>
    <tableColumn id="21" name="Data Values Input Row" dataDxfId="106">
      <calculatedColumnFormula>MATCH(CONCATENATE("ResultValue",ResultColumnFinder[[#This Row],[Data Value Label]]),DataColumns[Concat],0)</calculatedColumnFormula>
    </tableColumn>
    <tableColumn id="8" name="Data Values Column Number" dataDxfId="105">
      <calculatedColumnFormula>MATCH(ResultColumnFinder[[#This Row],[Concat]],DataColumns[Concat],0)</calculatedColumnFormula>
    </tableColumn>
    <tableColumn id="9" name="Num Required" dataDxfId="104">
      <calculatedColumnFormula>IF(ResultColumnFinder[[#This Row],[REQUIRED]]="Optional",0,
IF(ResultColumnFinder[[#This Row],[VBV or Column]]="Value-By-Value",NumSpecimens,
1))</calculatedColumnFormula>
    </tableColumn>
    <tableColumn id="10" name="Num Given" dataDxfId="103">
      <calculatedColumnFormula>IF(ISERROR(ResultColumnFinder[[#This Row],[Data Values Column Number]]),
IF(ISERROR(ResultColumnFinder[[#This Row],[Data Columns Input Column]]),
0,
IF(INDEX(DataColumns[],ResultColumnFinder[[#This Row],[Data Values Input Row]],ResultColumnFinder[[#This Row],[Data Columns Input Column]])="",
0,
1)),
1)</calculatedColumnFormula>
    </tableColumn>
    <tableColumn id="11" name="Error?" dataDxfId="102">
      <calculatedColumnFormula>IF(ResultColumnFinder[[#This Row],[Num Given]]&lt;ResultColumnFinder[[#This Row],[Num Required]],
"MISSING",
"OK")</calculatedColumnFormula>
    </tableColumn>
    <tableColumn id="12" name="First Value Address" dataDxfId="101">
      <calculatedColumnFormula>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calculatedColumnFormula>
    </tableColumn>
    <tableColumn id="13" name="First Value" dataDxfId="100">
      <calculatedColumnFormula>INDIRECT(ResultColumnFinder[[#This Row],[First Value Address]],FALSE)</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 name="ControlledVocabularies" displayName="ControlledVocabularies" ref="A1:AG793" totalsRowShown="0" headerRowDxfId="99">
  <autoFilter ref="A1:AG793"/>
  <tableColumns count="33">
    <tableColumn id="11" name="Boolean"/>
    <tableColumn id="9" name="NotApplicable"/>
    <tableColumn id="2" name="ApplicableDatasetTypes"/>
    <tableColumn id="18" name="ApplicableResultTypes"/>
    <tableColumn id="15" name="ApplicableMethodTypes"/>
    <tableColumn id="8" name="ColumnTypes"/>
    <tableColumn id="23" name="actiontype"/>
    <tableColumn id="21" name="aggregationstatistic"/>
    <tableColumn id="19" name="censorcode"/>
    <tableColumn id="34" name="dataqualitytype"/>
    <tableColumn id="25" name="datasettype"/>
    <tableColumn id="26" name="directivetype"/>
    <tableColumn id="7" name="elevationdatum"/>
    <tableColumn id="27" name="equipmenttype"/>
    <tableColumn id="32" name="methodtype"/>
    <tableColumn id="1" name="organizationtype"/>
    <tableColumn id="28" name="propertydatatype"/>
    <tableColumn id="20" name="qualitycode"/>
    <tableColumn id="29" name="referencematerialmedium"/>
    <tableColumn id="10" name="relationshiptype"/>
    <tableColumn id="30" name="resulttype"/>
    <tableColumn id="12" name="sampledmedium"/>
    <tableColumn id="4" name="samplingfeaturegeotype"/>
    <tableColumn id="3" name="samplingfeaturetype"/>
    <tableColumn id="5" name="sitetype"/>
    <tableColumn id="13" name="spatialoffsettype"/>
    <tableColumn id="24" name="speciation"/>
    <tableColumn id="31" name="specimenmedium"/>
    <tableColumn id="6" name="specimentype"/>
    <tableColumn id="22" name="status"/>
    <tableColumn id="14" name="taxonomicclassifiertype"/>
    <tableColumn id="17" name="variablename"/>
    <tableColumn id="16" name="variabletype"/>
  </tableColumns>
  <tableStyleInfo name="TableStyleMedium2" showFirstColumn="0" showLastColumn="0" showRowStripes="1" showColumnStripes="0"/>
</table>
</file>

<file path=xl/tables/table16.xml><?xml version="1.0" encoding="utf-8"?>
<table xmlns="http://schemas.openxmlformats.org/spreadsheetml/2006/main" id="8" name="SpatialReferences" displayName="SpatialReferences" ref="A4:D8" totalsRowShown="0" headerRowDxfId="98" headerRowBorderDxfId="97" tableBorderDxfId="96">
  <autoFilter ref="A4:D8"/>
  <tableColumns count="4">
    <tableColumn id="1" name="SRSCode" dataDxfId="95"/>
    <tableColumn id="2" name="SRSName" dataDxfId="94"/>
    <tableColumn id="3" name="SRSDescription" dataDxfId="93"/>
    <tableColumn id="4" name="SRSLink" dataDxfId="92"/>
  </tableColumns>
  <tableStyleInfo name="TableStyleMedium2" showFirstColumn="0" showLastColumn="0" showRowStripes="1" showColumnStripes="0"/>
</table>
</file>

<file path=xl/tables/table17.xml><?xml version="1.0" encoding="utf-8"?>
<table xmlns="http://schemas.openxmlformats.org/spreadsheetml/2006/main" id="16" name="ExternalIdentifiers" displayName="ExternalIdentifiers" ref="A17:E20" totalsRowShown="0" headerRowDxfId="91" headerRowBorderDxfId="90" tableBorderDxfId="89">
  <autoFilter ref="A17:E20"/>
  <tableColumns count="5">
    <tableColumn id="1" name="External Identifier System Name" dataDxfId="88"/>
    <tableColumn id="2" name="Identifier System Organization Name" dataDxfId="87"/>
    <tableColumn id="3" name="External Identifier System Descrption" dataDxfId="86"/>
    <tableColumn id="4" name="External Identifier System URL" dataDxfId="85" dataCellStyle="Hyperlink"/>
    <tableColumn id="5" name="URI Structure" dataDxfId="84"/>
  </tableColumns>
  <tableStyleInfo name="TableStyleMedium2" showFirstColumn="0" showLastColumn="0" showRowStripes="1" showColumnStripes="0"/>
</table>
</file>

<file path=xl/tables/table18.xml><?xml version="1.0" encoding="utf-8"?>
<table xmlns="http://schemas.openxmlformats.org/spreadsheetml/2006/main" id="17" name="ExternalIDOrgs" displayName="ExternalIDOrgs" ref="A4:E7" totalsRowShown="0" headerRowDxfId="83" headerRowBorderDxfId="82" tableBorderDxfId="81">
  <autoFilter ref="A4:E7"/>
  <tableColumns count="5">
    <tableColumn id="1" name="Organization Type [CV]" dataDxfId="80"/>
    <tableColumn id="2" name="Organization Code" dataDxfId="79"/>
    <tableColumn id="3" name="Organization Name" dataDxfId="78"/>
    <tableColumn id="4" name="Organization Description" dataDxfId="77"/>
    <tableColumn id="5" name="Organization Link" dataDxfId="76"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4" Type="http://schemas.openxmlformats.org/officeDocument/2006/relationships/comments" Target="../comments1.xml"/><Relationship Id="rId1" Type="http://schemas.openxmlformats.org/officeDocument/2006/relationships/vmlDrawing" Target="../drawings/vmlDrawing2.vml"/><Relationship Id="rId2"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table" Target="../tables/table3.xml"/><Relationship Id="rId3"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table" Target="../tables/table4.xml"/><Relationship Id="rId3"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table" Target="../tables/table5.xml"/><Relationship Id="rId3"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table" Target="../tables/table6.xml"/><Relationship Id="rId3" Type="http://schemas.openxmlformats.org/officeDocument/2006/relationships/comments" Target="../comments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table" Target="../tables/table8.xml"/><Relationship Id="rId3" Type="http://schemas.openxmlformats.org/officeDocument/2006/relationships/comments" Target="../comments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table" Target="../tables/table11.xml"/><Relationship Id="rId5" Type="http://schemas.openxmlformats.org/officeDocument/2006/relationships/comments" Target="../comments7.xml"/><Relationship Id="rId1" Type="http://schemas.openxmlformats.org/officeDocument/2006/relationships/drawing" Target="../drawings/drawing2.xml"/><Relationship Id="rId2" Type="http://schemas.openxmlformats.org/officeDocument/2006/relationships/vmlDrawing" Target="../drawings/vmlDrawing8.v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8.xml"/></Relationships>
</file>

<file path=xl/worksheets/_rels/sheet19.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table" Target="../tables/table15.xml"/><Relationship Id="rId3"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3" Type="http://schemas.openxmlformats.org/officeDocument/2006/relationships/hyperlink" Target="http://www.doi.org/" TargetMode="External"/><Relationship Id="rId4" Type="http://schemas.openxmlformats.org/officeDocument/2006/relationships/hyperlink" Target="http://orcid.org/" TargetMode="External"/><Relationship Id="rId5" Type="http://schemas.openxmlformats.org/officeDocument/2006/relationships/hyperlink" Target="http://www.doi.org/index.html" TargetMode="External"/><Relationship Id="rId6" Type="http://schemas.openxmlformats.org/officeDocument/2006/relationships/hyperlink" Target="http://www.geosamples.org/" TargetMode="External"/><Relationship Id="rId7" Type="http://schemas.openxmlformats.org/officeDocument/2006/relationships/hyperlink" Target="http://app.geosamples.org/sample/igsn/" TargetMode="External"/><Relationship Id="rId8" Type="http://schemas.openxmlformats.org/officeDocument/2006/relationships/hyperlink" Target="http://orcid.org/" TargetMode="External"/><Relationship Id="rId9" Type="http://schemas.openxmlformats.org/officeDocument/2006/relationships/table" Target="../tables/table17.xml"/><Relationship Id="rId10" Type="http://schemas.openxmlformats.org/officeDocument/2006/relationships/table" Target="../tables/table18.xml"/><Relationship Id="rId1" Type="http://schemas.openxmlformats.org/officeDocument/2006/relationships/hyperlink" Target="http://orcid.org/" TargetMode="External"/><Relationship Id="rId2" Type="http://schemas.openxmlformats.org/officeDocument/2006/relationships/hyperlink" Target="http://www.geosamples.or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115"/>
  <sheetViews>
    <sheetView tabSelected="1" workbookViewId="0">
      <selection activeCell="A39" sqref="A39"/>
    </sheetView>
  </sheetViews>
  <sheetFormatPr baseColWidth="10" defaultColWidth="9.1640625" defaultRowHeight="14" x14ac:dyDescent="0"/>
  <cols>
    <col min="1" max="1" width="115.1640625" style="85" customWidth="1"/>
  </cols>
  <sheetData>
    <row r="1" spans="1:1" s="4" customFormat="1" ht="18">
      <c r="A1" s="190" t="s">
        <v>247</v>
      </c>
    </row>
    <row r="2" spans="1:1" s="4" customFormat="1" ht="18">
      <c r="A2" s="191" t="s">
        <v>508</v>
      </c>
    </row>
    <row r="3" spans="1:1" s="4" customFormat="1" ht="18">
      <c r="A3" s="190" t="s">
        <v>246</v>
      </c>
    </row>
    <row r="4" spans="1:1" s="4" customFormat="1" ht="18">
      <c r="A4" s="191" t="s">
        <v>26</v>
      </c>
    </row>
    <row r="5" spans="1:1" s="4" customFormat="1" ht="18">
      <c r="A5" s="190" t="s">
        <v>245</v>
      </c>
    </row>
    <row r="6" spans="1:1" s="4" customFormat="1" ht="18">
      <c r="A6" s="191" t="s">
        <v>1752</v>
      </c>
    </row>
    <row r="7" spans="1:1" s="4" customFormat="1" ht="18">
      <c r="A7" s="190" t="s">
        <v>676</v>
      </c>
    </row>
    <row r="8" spans="1:1" s="4" customFormat="1" ht="18">
      <c r="A8" s="219">
        <v>42124.48982638889</v>
      </c>
    </row>
    <row r="9" spans="1:1" s="4" customFormat="1">
      <c r="A9" s="85"/>
    </row>
    <row r="10" spans="1:1" ht="18">
      <c r="A10" s="190" t="s">
        <v>162</v>
      </c>
    </row>
    <row r="11" spans="1:1" s="4" customFormat="1" ht="28">
      <c r="A11" s="85" t="s">
        <v>180</v>
      </c>
    </row>
    <row r="12" spans="1:1" s="4" customFormat="1">
      <c r="A12" s="85"/>
    </row>
    <row r="13" spans="1:1" ht="18">
      <c r="A13" s="190" t="s">
        <v>161</v>
      </c>
    </row>
    <row r="14" spans="1:1" s="4" customFormat="1">
      <c r="A14" s="192" t="s">
        <v>424</v>
      </c>
    </row>
    <row r="15" spans="1:1" s="4" customFormat="1">
      <c r="A15" s="193" t="s">
        <v>425</v>
      </c>
    </row>
    <row r="16" spans="1:1" s="4" customFormat="1">
      <c r="A16" s="193" t="s">
        <v>426</v>
      </c>
    </row>
    <row r="17" spans="1:1" s="4" customFormat="1" ht="42">
      <c r="A17" s="193" t="s">
        <v>677</v>
      </c>
    </row>
    <row r="18" spans="1:1" s="4" customFormat="1">
      <c r="A18" s="194" t="s">
        <v>427</v>
      </c>
    </row>
    <row r="19" spans="1:1" s="4" customFormat="1" ht="28">
      <c r="A19" s="193" t="s">
        <v>428</v>
      </c>
    </row>
    <row r="20" spans="1:1" s="4" customFormat="1" ht="28">
      <c r="A20" s="193" t="s">
        <v>429</v>
      </c>
    </row>
    <row r="21" spans="1:1" s="4" customFormat="1">
      <c r="A21" s="193" t="s">
        <v>430</v>
      </c>
    </row>
    <row r="22" spans="1:1" s="4" customFormat="1">
      <c r="A22" s="193" t="s">
        <v>431</v>
      </c>
    </row>
    <row r="23" spans="1:1" s="4" customFormat="1">
      <c r="A23" s="193" t="s">
        <v>432</v>
      </c>
    </row>
    <row r="24" spans="1:1" s="4" customFormat="1" ht="28">
      <c r="A24" s="193" t="s">
        <v>433</v>
      </c>
    </row>
    <row r="25" spans="1:1" s="4" customFormat="1">
      <c r="A25" s="193" t="s">
        <v>434</v>
      </c>
    </row>
    <row r="26" spans="1:1" s="4" customFormat="1">
      <c r="A26" s="194" t="s">
        <v>459</v>
      </c>
    </row>
    <row r="27" spans="1:1" s="4" customFormat="1">
      <c r="A27" s="193" t="s">
        <v>460</v>
      </c>
    </row>
    <row r="28" spans="1:1" s="4" customFormat="1" ht="28">
      <c r="A28" s="193" t="s">
        <v>461</v>
      </c>
    </row>
    <row r="29" spans="1:1" s="4" customFormat="1">
      <c r="A29" s="193" t="s">
        <v>464</v>
      </c>
    </row>
    <row r="30" spans="1:1" s="4" customFormat="1" ht="28">
      <c r="A30" s="193" t="s">
        <v>463</v>
      </c>
    </row>
    <row r="31" spans="1:1" s="4" customFormat="1">
      <c r="A31" s="193" t="s">
        <v>465</v>
      </c>
    </row>
    <row r="32" spans="1:1" s="4" customFormat="1" ht="28">
      <c r="A32" s="193" t="s">
        <v>466</v>
      </c>
    </row>
    <row r="33" spans="1:1" s="4" customFormat="1" ht="28">
      <c r="A33" s="193" t="s">
        <v>467</v>
      </c>
    </row>
    <row r="34" spans="1:1" s="4" customFormat="1">
      <c r="A34" s="193" t="s">
        <v>468</v>
      </c>
    </row>
    <row r="35" spans="1:1" s="4" customFormat="1" ht="28">
      <c r="A35" s="193" t="s">
        <v>469</v>
      </c>
    </row>
    <row r="36" spans="1:1" s="4" customFormat="1">
      <c r="A36" s="194" t="s">
        <v>435</v>
      </c>
    </row>
    <row r="37" spans="1:1" s="4" customFormat="1">
      <c r="A37" s="193" t="s">
        <v>436</v>
      </c>
    </row>
    <row r="38" spans="1:1">
      <c r="A38" s="193" t="s">
        <v>437</v>
      </c>
    </row>
    <row r="39" spans="1:1">
      <c r="A39" s="193" t="s">
        <v>438</v>
      </c>
    </row>
    <row r="40" spans="1:1" s="4" customFormat="1">
      <c r="A40" s="193" t="s">
        <v>439</v>
      </c>
    </row>
    <row r="41" spans="1:1" s="4" customFormat="1">
      <c r="A41" s="193" t="s">
        <v>440</v>
      </c>
    </row>
    <row r="42" spans="1:1" ht="28">
      <c r="A42" s="193" t="s">
        <v>441</v>
      </c>
    </row>
    <row r="43" spans="1:1">
      <c r="A43" s="194" t="s">
        <v>442</v>
      </c>
    </row>
    <row r="44" spans="1:1" ht="28">
      <c r="A44" s="193" t="s">
        <v>443</v>
      </c>
    </row>
    <row r="45" spans="1:1" ht="28">
      <c r="A45" s="193" t="s">
        <v>444</v>
      </c>
    </row>
    <row r="46" spans="1:1" s="4" customFormat="1" ht="28">
      <c r="A46" s="193" t="s">
        <v>645</v>
      </c>
    </row>
    <row r="47" spans="1:1" ht="28">
      <c r="A47" s="193" t="s">
        <v>445</v>
      </c>
    </row>
    <row r="48" spans="1:1">
      <c r="A48" s="193" t="s">
        <v>446</v>
      </c>
    </row>
    <row r="49" spans="1:1" ht="28">
      <c r="A49" s="193" t="s">
        <v>447</v>
      </c>
    </row>
    <row r="50" spans="1:1" ht="28">
      <c r="A50" s="193" t="s">
        <v>448</v>
      </c>
    </row>
    <row r="51" spans="1:1">
      <c r="A51" s="193" t="s">
        <v>449</v>
      </c>
    </row>
    <row r="52" spans="1:1">
      <c r="A52" s="194" t="s">
        <v>450</v>
      </c>
    </row>
    <row r="53" spans="1:1">
      <c r="A53" s="193" t="s">
        <v>451</v>
      </c>
    </row>
    <row r="54" spans="1:1">
      <c r="A54" s="193" t="s">
        <v>452</v>
      </c>
    </row>
    <row r="55" spans="1:1">
      <c r="A55" s="193" t="s">
        <v>453</v>
      </c>
    </row>
    <row r="56" spans="1:1">
      <c r="A56" s="193" t="s">
        <v>454</v>
      </c>
    </row>
    <row r="57" spans="1:1">
      <c r="A57" s="194" t="s">
        <v>455</v>
      </c>
    </row>
    <row r="58" spans="1:1" ht="28">
      <c r="A58" s="193" t="s">
        <v>456</v>
      </c>
    </row>
    <row r="59" spans="1:1">
      <c r="A59" s="193" t="s">
        <v>457</v>
      </c>
    </row>
    <row r="60" spans="1:1" ht="28">
      <c r="A60" s="193" t="s">
        <v>458</v>
      </c>
    </row>
    <row r="61" spans="1:1" s="4" customFormat="1">
      <c r="A61" s="193"/>
    </row>
    <row r="62" spans="1:1" s="4" customFormat="1" ht="18">
      <c r="A62" s="190" t="s">
        <v>470</v>
      </c>
    </row>
    <row r="63" spans="1:1" s="4" customFormat="1">
      <c r="A63" s="193" t="s">
        <v>472</v>
      </c>
    </row>
    <row r="64" spans="1:1" s="4" customFormat="1">
      <c r="A64" s="193" t="s">
        <v>474</v>
      </c>
    </row>
    <row r="65" spans="1:1" s="4" customFormat="1" ht="28">
      <c r="A65" s="193" t="s">
        <v>473</v>
      </c>
    </row>
    <row r="66" spans="1:1" s="4" customFormat="1" ht="28">
      <c r="A66" s="193" t="s">
        <v>475</v>
      </c>
    </row>
    <row r="67" spans="1:1" s="4" customFormat="1" ht="42">
      <c r="A67" s="193" t="s">
        <v>478</v>
      </c>
    </row>
    <row r="68" spans="1:1" s="4" customFormat="1" ht="56">
      <c r="A68" s="193" t="s">
        <v>479</v>
      </c>
    </row>
    <row r="69" spans="1:1" s="4" customFormat="1" ht="56">
      <c r="A69" s="193" t="s">
        <v>480</v>
      </c>
    </row>
    <row r="70" spans="1:1" s="4" customFormat="1" ht="56">
      <c r="A70" s="193" t="s">
        <v>481</v>
      </c>
    </row>
    <row r="71" spans="1:1" s="4" customFormat="1" ht="42">
      <c r="A71" s="193" t="s">
        <v>482</v>
      </c>
    </row>
    <row r="72" spans="1:1" s="4" customFormat="1" ht="28">
      <c r="A72" s="193" t="s">
        <v>476</v>
      </c>
    </row>
    <row r="73" spans="1:1" s="4" customFormat="1" ht="28">
      <c r="A73" s="193" t="s">
        <v>477</v>
      </c>
    </row>
    <row r="74" spans="1:1" s="4" customFormat="1" ht="28">
      <c r="A74" s="193" t="s">
        <v>483</v>
      </c>
    </row>
    <row r="75" spans="1:1" s="4" customFormat="1" ht="42">
      <c r="A75" s="193" t="s">
        <v>484</v>
      </c>
    </row>
    <row r="76" spans="1:1" s="4" customFormat="1" ht="56">
      <c r="A76" s="193" t="s">
        <v>485</v>
      </c>
    </row>
    <row r="77" spans="1:1" s="4" customFormat="1" ht="70">
      <c r="A77" s="193" t="s">
        <v>486</v>
      </c>
    </row>
    <row r="78" spans="1:1" s="4" customFormat="1" ht="70">
      <c r="A78" s="195" t="s">
        <v>488</v>
      </c>
    </row>
    <row r="79" spans="1:1" s="4" customFormat="1" ht="70">
      <c r="A79" s="195" t="s">
        <v>487</v>
      </c>
    </row>
    <row r="80" spans="1:1" s="4" customFormat="1" ht="28">
      <c r="A80" s="193" t="s">
        <v>489</v>
      </c>
    </row>
    <row r="81" spans="1:1" s="4" customFormat="1" ht="42">
      <c r="A81" s="193" t="s">
        <v>492</v>
      </c>
    </row>
    <row r="82" spans="1:1" s="4" customFormat="1" ht="42">
      <c r="A82" s="193" t="s">
        <v>493</v>
      </c>
    </row>
    <row r="83" spans="1:1" s="4" customFormat="1" ht="42">
      <c r="A83" s="193" t="s">
        <v>494</v>
      </c>
    </row>
    <row r="84" spans="1:1" s="4" customFormat="1" ht="56">
      <c r="A84" s="193" t="s">
        <v>495</v>
      </c>
    </row>
    <row r="85" spans="1:1" s="4" customFormat="1" ht="42">
      <c r="A85" s="193" t="s">
        <v>496</v>
      </c>
    </row>
    <row r="86" spans="1:1" s="4" customFormat="1" ht="42">
      <c r="A86" s="193" t="s">
        <v>497</v>
      </c>
    </row>
    <row r="87" spans="1:1" s="4" customFormat="1" ht="42">
      <c r="A87" s="193" t="s">
        <v>498</v>
      </c>
    </row>
    <row r="88" spans="1:1" s="4" customFormat="1" ht="28">
      <c r="A88" s="193" t="s">
        <v>499</v>
      </c>
    </row>
    <row r="89" spans="1:1" s="4" customFormat="1" ht="28">
      <c r="A89" s="193" t="s">
        <v>500</v>
      </c>
    </row>
    <row r="90" spans="1:1" s="4" customFormat="1" ht="42">
      <c r="A90" s="193" t="s">
        <v>501</v>
      </c>
    </row>
    <row r="91" spans="1:1" s="4" customFormat="1" ht="42">
      <c r="A91" s="193" t="s">
        <v>502</v>
      </c>
    </row>
    <row r="92" spans="1:1" s="4" customFormat="1" ht="42">
      <c r="A92" s="195" t="s">
        <v>506</v>
      </c>
    </row>
    <row r="93" spans="1:1" s="4" customFormat="1" ht="42">
      <c r="A93" s="195" t="s">
        <v>490</v>
      </c>
    </row>
    <row r="94" spans="1:1" s="4" customFormat="1" ht="42">
      <c r="A94" s="195" t="s">
        <v>491</v>
      </c>
    </row>
    <row r="95" spans="1:1" s="4" customFormat="1" ht="42">
      <c r="A95" s="195" t="s">
        <v>503</v>
      </c>
    </row>
    <row r="96" spans="1:1" s="4" customFormat="1" ht="28">
      <c r="A96" s="195" t="s">
        <v>504</v>
      </c>
    </row>
    <row r="97" spans="1:1" s="4" customFormat="1">
      <c r="A97" s="195"/>
    </row>
    <row r="98" spans="1:1" ht="18">
      <c r="A98" s="190" t="s">
        <v>163</v>
      </c>
    </row>
    <row r="99" spans="1:1">
      <c r="A99" s="85" t="s">
        <v>192</v>
      </c>
    </row>
    <row r="100" spans="1:1">
      <c r="A100" s="85" t="s">
        <v>184</v>
      </c>
    </row>
    <row r="101" spans="1:1">
      <c r="A101" s="85" t="s">
        <v>185</v>
      </c>
    </row>
    <row r="102" spans="1:1">
      <c r="A102" s="85" t="s">
        <v>186</v>
      </c>
    </row>
    <row r="103" spans="1:1">
      <c r="A103" s="85" t="s">
        <v>415</v>
      </c>
    </row>
    <row r="104" spans="1:1">
      <c r="A104" s="85" t="s">
        <v>183</v>
      </c>
    </row>
    <row r="105" spans="1:1" ht="28">
      <c r="A105" s="85" t="s">
        <v>187</v>
      </c>
    </row>
    <row r="106" spans="1:1">
      <c r="A106" s="85" t="s">
        <v>188</v>
      </c>
    </row>
    <row r="107" spans="1:1">
      <c r="A107" s="85" t="s">
        <v>189</v>
      </c>
    </row>
    <row r="108" spans="1:1">
      <c r="A108" s="85" t="s">
        <v>190</v>
      </c>
    </row>
    <row r="109" spans="1:1" ht="28">
      <c r="A109" s="85" t="s">
        <v>191</v>
      </c>
    </row>
    <row r="110" spans="1:1">
      <c r="A110" s="85" t="s">
        <v>419</v>
      </c>
    </row>
    <row r="111" spans="1:1">
      <c r="A111" s="85" t="s">
        <v>420</v>
      </c>
    </row>
    <row r="113" spans="1:1" ht="18">
      <c r="A113" s="190" t="s">
        <v>421</v>
      </c>
    </row>
    <row r="114" spans="1:1">
      <c r="A114" s="85" t="s">
        <v>422</v>
      </c>
    </row>
    <row r="115" spans="1:1">
      <c r="A115" s="85" t="s">
        <v>423</v>
      </c>
    </row>
  </sheetData>
  <sheetProtection password="CA31" sheet="1" objects="1" scenarios="1"/>
  <pageMargins left="0.7" right="0.7" top="0.75" bottom="0.75" header="0.3" footer="0.3"/>
  <pageSetup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ImportCVs">
                <anchor moveWithCells="1">
                  <from>
                    <xdr:col>0</xdr:col>
                    <xdr:colOff>3835400</xdr:colOff>
                    <xdr:row>1</xdr:row>
                    <xdr:rowOff>12700</xdr:rowOff>
                  </from>
                  <to>
                    <xdr:col>0</xdr:col>
                    <xdr:colOff>6527800</xdr:colOff>
                    <xdr:row>4</xdr:row>
                    <xdr:rowOff>50800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I33"/>
  <sheetViews>
    <sheetView zoomScale="125" zoomScaleNormal="125" zoomScalePageLayoutView="125" workbookViewId="0">
      <selection activeCell="A9" sqref="A9"/>
    </sheetView>
  </sheetViews>
  <sheetFormatPr baseColWidth="10" defaultColWidth="8.83203125" defaultRowHeight="14" x14ac:dyDescent="0"/>
  <cols>
    <col min="1" max="1" width="24" style="5" bestFit="1" customWidth="1"/>
    <col min="2" max="2" width="20" style="5" customWidth="1"/>
    <col min="3" max="3" width="28.1640625" style="5" bestFit="1" customWidth="1"/>
    <col min="4" max="4" width="51.83203125" style="5" customWidth="1"/>
    <col min="5" max="5" width="39" style="5" bestFit="1" customWidth="1"/>
    <col min="6" max="6" width="45.6640625" style="5" bestFit="1" customWidth="1"/>
    <col min="7" max="7" width="19.5" style="5" bestFit="1" customWidth="1"/>
    <col min="8" max="9" width="3.6640625" style="38" customWidth="1"/>
    <col min="10" max="16384" width="8.83203125" style="5"/>
  </cols>
  <sheetData>
    <row r="1" spans="1:9">
      <c r="A1" s="25" t="s">
        <v>273</v>
      </c>
    </row>
    <row r="2" spans="1:9">
      <c r="A2" s="5" t="s">
        <v>274</v>
      </c>
    </row>
    <row r="3" spans="1:9" ht="15" thickBot="1">
      <c r="A3" s="25" t="s">
        <v>275</v>
      </c>
    </row>
    <row r="4" spans="1:9" ht="15" thickBot="1">
      <c r="A4" s="25" t="s">
        <v>276</v>
      </c>
      <c r="G4" s="26" t="s">
        <v>172</v>
      </c>
      <c r="H4" s="49">
        <f>COUNTA(OrganizationNames)</f>
        <v>1</v>
      </c>
    </row>
    <row r="5" spans="1:9" ht="15" thickBot="1">
      <c r="A5" s="25" t="s">
        <v>113</v>
      </c>
      <c r="G5" s="26" t="s">
        <v>173</v>
      </c>
      <c r="H5" s="49">
        <f>COUNTA(People[Last Name])</f>
        <v>5</v>
      </c>
    </row>
    <row r="6" spans="1:9" ht="15" thickBot="1">
      <c r="G6" s="26" t="s">
        <v>241</v>
      </c>
      <c r="H6" s="49">
        <f ca="1">MAX(People[ExternalIDNum])</f>
        <v>0</v>
      </c>
    </row>
    <row r="7" spans="1:9" ht="15" thickBot="1">
      <c r="A7" s="220" t="s">
        <v>49</v>
      </c>
      <c r="B7" s="221"/>
      <c r="C7" s="221"/>
      <c r="D7" s="221"/>
      <c r="E7" s="222"/>
    </row>
    <row r="8" spans="1:9" ht="15" thickBot="1">
      <c r="A8" s="127" t="s">
        <v>50</v>
      </c>
      <c r="B8" s="128" t="s">
        <v>51</v>
      </c>
      <c r="C8" s="128" t="s">
        <v>19</v>
      </c>
      <c r="D8" s="129" t="s">
        <v>52</v>
      </c>
      <c r="E8" s="130" t="s">
        <v>53</v>
      </c>
      <c r="I8" s="5"/>
    </row>
    <row r="9" spans="1:9" ht="15" thickTop="1">
      <c r="A9" s="131" t="s">
        <v>1769</v>
      </c>
      <c r="B9" s="6" t="s">
        <v>1770</v>
      </c>
      <c r="C9" s="6" t="s">
        <v>1763</v>
      </c>
      <c r="D9" s="7"/>
      <c r="E9" s="135"/>
      <c r="I9" s="5"/>
    </row>
    <row r="10" spans="1:9">
      <c r="A10" s="104"/>
      <c r="B10" s="9"/>
      <c r="C10" s="9"/>
      <c r="D10" s="10"/>
      <c r="E10" s="105"/>
      <c r="G10" s="38"/>
      <c r="I10" s="5"/>
    </row>
    <row r="11" spans="1:9">
      <c r="A11" s="104"/>
      <c r="B11" s="9"/>
      <c r="C11" s="9"/>
      <c r="D11" s="10"/>
      <c r="E11" s="105"/>
      <c r="G11" s="38"/>
      <c r="I11" s="5"/>
    </row>
    <row r="12" spans="1:9">
      <c r="A12" s="104"/>
      <c r="B12" s="9"/>
      <c r="C12" s="136"/>
      <c r="D12" s="10"/>
      <c r="E12" s="105"/>
      <c r="G12" s="38"/>
      <c r="I12" s="5"/>
    </row>
    <row r="13" spans="1:9">
      <c r="A13" s="104"/>
      <c r="B13" s="9"/>
      <c r="C13" s="9"/>
      <c r="D13" s="10"/>
      <c r="E13" s="132"/>
      <c r="G13" s="38"/>
      <c r="I13" s="5"/>
    </row>
    <row r="14" spans="1:9">
      <c r="A14" s="104"/>
      <c r="B14" s="9"/>
      <c r="C14" s="9"/>
      <c r="D14" s="10"/>
      <c r="E14" s="132"/>
      <c r="G14" s="38"/>
      <c r="I14" s="5"/>
    </row>
    <row r="15" spans="1:9">
      <c r="A15" s="104"/>
      <c r="B15" s="9"/>
      <c r="C15" s="9"/>
      <c r="D15" s="10"/>
      <c r="E15" s="132"/>
      <c r="G15" s="38"/>
      <c r="I15" s="5"/>
    </row>
    <row r="16" spans="1:9">
      <c r="A16" s="104"/>
      <c r="B16" s="9"/>
      <c r="C16" s="9"/>
      <c r="D16" s="10"/>
      <c r="E16" s="132"/>
      <c r="G16" s="38"/>
      <c r="I16" s="5"/>
    </row>
    <row r="17" spans="1:9">
      <c r="A17" s="104"/>
      <c r="B17" s="9"/>
      <c r="C17" s="9"/>
      <c r="D17" s="10"/>
      <c r="E17" s="132"/>
      <c r="G17" s="38"/>
      <c r="I17" s="5"/>
    </row>
    <row r="18" spans="1:9" ht="15" thickBot="1">
      <c r="A18" s="106"/>
      <c r="B18" s="107"/>
      <c r="C18" s="107"/>
      <c r="D18" s="108"/>
      <c r="E18" s="133"/>
      <c r="G18" s="38"/>
      <c r="I18" s="5"/>
    </row>
    <row r="19" spans="1:9">
      <c r="H19" s="5"/>
      <c r="I19" s="5"/>
    </row>
    <row r="20" spans="1:9">
      <c r="H20" s="5"/>
      <c r="I20" s="5"/>
    </row>
    <row r="21" spans="1:9" ht="15" thickBot="1">
      <c r="H21" s="5"/>
      <c r="I21" s="5"/>
    </row>
    <row r="22" spans="1:9">
      <c r="A22" s="223" t="s">
        <v>48</v>
      </c>
      <c r="B22" s="224"/>
      <c r="C22" s="224"/>
      <c r="D22" s="224"/>
      <c r="E22" s="224"/>
      <c r="F22" s="224"/>
      <c r="G22" s="224"/>
      <c r="H22" s="224"/>
      <c r="I22" s="225"/>
    </row>
    <row r="23" spans="1:9" ht="15" thickBot="1">
      <c r="A23" s="58" t="s">
        <v>15</v>
      </c>
      <c r="B23" s="60" t="s">
        <v>16</v>
      </c>
      <c r="C23" s="53" t="s">
        <v>17</v>
      </c>
      <c r="D23" s="53" t="s">
        <v>19</v>
      </c>
      <c r="E23" s="53" t="s">
        <v>18</v>
      </c>
      <c r="F23" s="56" t="s">
        <v>60</v>
      </c>
      <c r="G23" s="61" t="s">
        <v>218</v>
      </c>
      <c r="H23" s="28" t="s">
        <v>111</v>
      </c>
      <c r="I23" s="28" t="s">
        <v>239</v>
      </c>
    </row>
    <row r="24" spans="1:9" ht="15" thickTop="1">
      <c r="A24" s="16" t="s">
        <v>1753</v>
      </c>
      <c r="B24" s="18" t="s">
        <v>1781</v>
      </c>
      <c r="C24" s="17" t="s">
        <v>1754</v>
      </c>
      <c r="D24" s="17" t="s">
        <v>1763</v>
      </c>
      <c r="E24" s="19" t="s">
        <v>1764</v>
      </c>
      <c r="F24" s="134"/>
      <c r="G24" s="18"/>
      <c r="H24" s="122" t="str">
        <f>CONCATENATE(People[[#This Row],[First Name]],IF(People[[#This Row],[Middle Name]]="",""," "),People[[#This Row],[Middle Name]]," ",People[[#This Row],[Last Name]])</f>
        <v>Megan R. Carter</v>
      </c>
      <c r="I24" s="124" t="str">
        <f ca="1">IF(People[[#This Row],[Person OrcID]]&lt;&gt;"",MAX(INDIRECT(CONCATENATE("R",ROW(People[#Headers]),"C",COLUMN(),":R",ROW()-1,"C",COLUMN()),FALSE))+1,"")</f>
        <v/>
      </c>
    </row>
    <row r="25" spans="1:9">
      <c r="A25" s="8" t="s">
        <v>1755</v>
      </c>
      <c r="B25" s="20" t="s">
        <v>1782</v>
      </c>
      <c r="C25" s="9" t="s">
        <v>1756</v>
      </c>
      <c r="D25" s="17" t="s">
        <v>1763</v>
      </c>
      <c r="E25" s="21" t="s">
        <v>1765</v>
      </c>
      <c r="F25" s="134"/>
      <c r="G25" s="20"/>
      <c r="H25" s="121" t="str">
        <f>CONCATENATE(People[[#This Row],[First Name]],IF(People[[#This Row],[Middle Name]]="",""," "),People[[#This Row],[Middle Name]]," ",People[[#This Row],[Last Name]])</f>
        <v>Brian J. Gaudet</v>
      </c>
      <c r="I25" s="125" t="str">
        <f ca="1">IF(People[[#This Row],[Person OrcID]]&lt;&gt;"",MAX(INDIRECT(CONCATENATE("R",ROW(People[#Headers]),"C",COLUMN(),":R",ROW()-1,"C",COLUMN()),FALSE))+1,"")</f>
        <v/>
      </c>
    </row>
    <row r="26" spans="1:9">
      <c r="A26" s="8" t="s">
        <v>1757</v>
      </c>
      <c r="B26" s="20" t="s">
        <v>1781</v>
      </c>
      <c r="C26" s="9" t="s">
        <v>1758</v>
      </c>
      <c r="D26" s="17" t="s">
        <v>1763</v>
      </c>
      <c r="E26" s="21" t="s">
        <v>1766</v>
      </c>
      <c r="F26" s="134"/>
      <c r="G26" s="20"/>
      <c r="H26" s="121" t="str">
        <f>CONCATENATE(People[[#This Row],[First Name]],IF(People[[#This Row],[Middle Name]]="",""," "),People[[#This Row],[Middle Name]]," ",People[[#This Row],[Last Name]])</f>
        <v>David R. Stauffer</v>
      </c>
      <c r="I26" s="125" t="str">
        <f ca="1">IF(People[[#This Row],[Person OrcID]]&lt;&gt;"",MAX(INDIRECT(CONCATENATE("R",ROW(People[#Headers]),"C",COLUMN(),":R",ROW()-1,"C",COLUMN()),FALSE))+1,"")</f>
        <v/>
      </c>
    </row>
    <row r="27" spans="1:9">
      <c r="A27" s="8" t="s">
        <v>1759</v>
      </c>
      <c r="B27" s="20" t="s">
        <v>1784</v>
      </c>
      <c r="C27" s="9" t="s">
        <v>1760</v>
      </c>
      <c r="D27" s="9" t="s">
        <v>1763</v>
      </c>
      <c r="E27" s="21" t="s">
        <v>1767</v>
      </c>
      <c r="F27" s="120"/>
      <c r="G27" s="20"/>
      <c r="H27" s="121" t="str">
        <f>CONCATENATE(People[[#This Row],[First Name]],IF(People[[#This Row],[Middle Name]]="",""," "),People[[#This Row],[Middle Name]]," ",People[[#This Row],[Last Name]])</f>
        <v>Timothy S. White</v>
      </c>
      <c r="I27" s="125" t="str">
        <f ca="1">IF(People[[#This Row],[Person OrcID]]&lt;&gt;"",MAX(INDIRECT(CONCATENATE("R",ROW(People[#Headers]),"C",COLUMN(),":R",ROW()-1,"C",COLUMN()),FALSE))+1,"")</f>
        <v/>
      </c>
    </row>
    <row r="28" spans="1:9">
      <c r="A28" s="8" t="s">
        <v>1762</v>
      </c>
      <c r="B28" s="20" t="s">
        <v>1783</v>
      </c>
      <c r="C28" s="9" t="s">
        <v>1761</v>
      </c>
      <c r="D28" s="9" t="s">
        <v>1763</v>
      </c>
      <c r="E28" s="21" t="s">
        <v>1768</v>
      </c>
      <c r="F28" s="134"/>
      <c r="G28" s="20"/>
      <c r="H28" s="121" t="str">
        <f>CONCATENATE(People[[#This Row],[First Name]],IF(People[[#This Row],[Middle Name]]="",""," "),People[[#This Row],[Middle Name]]," ",People[[#This Row],[Last Name]])</f>
        <v>Susan L. Brantley</v>
      </c>
      <c r="I28" s="125" t="str">
        <f ca="1">IF(People[[#This Row],[Person OrcID]]&lt;&gt;"",MAX(INDIRECT(CONCATENATE("R",ROW(People[#Headers]),"C",COLUMN(),":R",ROW()-1,"C",COLUMN()),FALSE))+1,"")</f>
        <v/>
      </c>
    </row>
    <row r="29" spans="1:9">
      <c r="A29" s="8"/>
      <c r="B29" s="20"/>
      <c r="C29" s="9"/>
      <c r="D29" s="9"/>
      <c r="E29" s="21"/>
      <c r="F29" s="134"/>
      <c r="G29" s="20"/>
      <c r="H29" s="121" t="str">
        <f>CONCATENATE(People[[#This Row],[First Name]],IF(People[[#This Row],[Middle Name]]="",""," "),People[[#This Row],[Middle Name]]," ",People[[#This Row],[Last Name]])</f>
        <v xml:space="preserve"> </v>
      </c>
      <c r="I29" s="125" t="str">
        <f ca="1">IF(People[[#This Row],[Person OrcID]]&lt;&gt;"",MAX(INDIRECT(CONCATENATE("R",ROW(People[#Headers]),"C",COLUMN(),":R",ROW()-1,"C",COLUMN()),FALSE))+1,"")</f>
        <v/>
      </c>
    </row>
    <row r="30" spans="1:9">
      <c r="A30" s="8"/>
      <c r="B30" s="20"/>
      <c r="C30" s="9"/>
      <c r="D30" s="9"/>
      <c r="E30" s="21"/>
      <c r="F30" s="120"/>
      <c r="G30" s="20"/>
      <c r="H30" s="121" t="str">
        <f>CONCATENATE(People[[#This Row],[First Name]],IF(People[[#This Row],[Middle Name]]="",""," "),People[[#This Row],[Middle Name]]," ",People[[#This Row],[Last Name]])</f>
        <v xml:space="preserve"> </v>
      </c>
      <c r="I30" s="125" t="str">
        <f ca="1">IF(People[[#This Row],[Person OrcID]]&lt;&gt;"",MAX(INDIRECT(CONCATENATE("R",ROW(People[#Headers]),"C",COLUMN(),":R",ROW()-1,"C",COLUMN()),FALSE))+1,"")</f>
        <v/>
      </c>
    </row>
    <row r="31" spans="1:9">
      <c r="A31" s="8"/>
      <c r="B31" s="20"/>
      <c r="C31" s="9"/>
      <c r="D31" s="9"/>
      <c r="E31" s="9"/>
      <c r="F31" s="22"/>
      <c r="G31" s="20"/>
      <c r="H31" s="121" t="str">
        <f>CONCATENATE(People[[#This Row],[First Name]],IF(People[[#This Row],[Middle Name]]="",""," "),People[[#This Row],[Middle Name]]," ",People[[#This Row],[Last Name]])</f>
        <v xml:space="preserve"> </v>
      </c>
      <c r="I31" s="125" t="str">
        <f ca="1">IF(People[[#This Row],[Person OrcID]]&lt;&gt;"",MAX(INDIRECT(CONCATENATE("R",ROW(People[#Headers]),"C",COLUMN(),":R",ROW()-1,"C",COLUMN()),FALSE))+1,"")</f>
        <v/>
      </c>
    </row>
    <row r="32" spans="1:9">
      <c r="A32" s="8"/>
      <c r="B32" s="20"/>
      <c r="C32" s="9"/>
      <c r="D32" s="9"/>
      <c r="E32" s="9"/>
      <c r="F32" s="22"/>
      <c r="G32" s="20"/>
      <c r="H32" s="121" t="str">
        <f>CONCATENATE(People[[#This Row],[First Name]],IF(People[[#This Row],[Middle Name]]="",""," "),People[[#This Row],[Middle Name]]," ",People[[#This Row],[Last Name]])</f>
        <v xml:space="preserve"> </v>
      </c>
      <c r="I32" s="125" t="str">
        <f ca="1">IF(People[[#This Row],[Person OrcID]]&lt;&gt;"",MAX(INDIRECT(CONCATENATE("R",ROW(People[#Headers]),"C",COLUMN(),":R",ROW()-1,"C",COLUMN()),FALSE))+1,"")</f>
        <v/>
      </c>
    </row>
    <row r="33" spans="1:9" ht="15" thickBot="1">
      <c r="A33" s="12"/>
      <c r="B33" s="23"/>
      <c r="C33" s="13"/>
      <c r="D33" s="13"/>
      <c r="E33" s="13"/>
      <c r="F33" s="24"/>
      <c r="G33" s="23"/>
      <c r="H33" s="123" t="str">
        <f>CONCATENATE(People[[#This Row],[First Name]],IF(People[[#This Row],[Middle Name]]="",""," "),People[[#This Row],[Middle Name]]," ",People[[#This Row],[Last Name]])</f>
        <v xml:space="preserve"> </v>
      </c>
      <c r="I33" s="126" t="str">
        <f ca="1">IF(People[[#This Row],[Person OrcID]]&lt;&gt;"",MAX(INDIRECT(CONCATENATE("R",ROW(People[#Headers]),"C",COLUMN(),":R",ROW()-1,"C",COLUMN()),FALSE))+1,"")</f>
        <v/>
      </c>
    </row>
  </sheetData>
  <sheetProtection password="CA31" sheet="1" objects="1" scenarios="1" formatColumns="0" insertRows="0" insertHyperlinks="0" deleteRows="0"/>
  <dataConsolidate/>
  <mergeCells count="2">
    <mergeCell ref="A7:E7"/>
    <mergeCell ref="A22:I22"/>
  </mergeCells>
  <conditionalFormatting sqref="A9:A18">
    <cfRule type="expression" dxfId="75" priority="8">
      <formula>AND(COUNTIF(OrganizationTypeCV,$A9)=0,$A9&lt;&gt;"")</formula>
    </cfRule>
  </conditionalFormatting>
  <conditionalFormatting sqref="A9:C18">
    <cfRule type="expression" dxfId="74" priority="7">
      <formula>AND(COUNTA($A9:$E9)&gt;0,A9="")</formula>
    </cfRule>
  </conditionalFormatting>
  <conditionalFormatting sqref="A10:E18">
    <cfRule type="expression" dxfId="73" priority="6">
      <formula>AND(COUNTA($A9:$E9)=0,A10&lt;&gt;"")</formula>
    </cfRule>
  </conditionalFormatting>
  <conditionalFormatting sqref="C9:C18">
    <cfRule type="duplicateValues" dxfId="72" priority="5"/>
  </conditionalFormatting>
  <conditionalFormatting sqref="D24:D33">
    <cfRule type="expression" dxfId="71" priority="4">
      <formula>AND(COUNTIF(OrganizationNames,$D24)=0,$D24&lt;&gt;"")</formula>
    </cfRule>
  </conditionalFormatting>
  <conditionalFormatting sqref="A24:A33 C24:E33">
    <cfRule type="expression" dxfId="70" priority="3">
      <formula>AND(COUNTA($A24:$G24)&gt;0,A24="")</formula>
    </cfRule>
  </conditionalFormatting>
  <conditionalFormatting sqref="A25:G33">
    <cfRule type="expression" dxfId="69" priority="2">
      <formula>AND(COUNTA($A24:$G24)=0,A25&lt;&gt;"")</formula>
    </cfRule>
  </conditionalFormatting>
  <conditionalFormatting sqref="G24:G33">
    <cfRule type="duplicateValues" dxfId="68"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legacyDrawing r:id="rId1"/>
  <tableParts count="2">
    <tablePart r:id="rId2"/>
    <tablePart r:id="rId3"/>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E32"/>
  <sheetViews>
    <sheetView zoomScale="115" zoomScaleNormal="115" zoomScalePageLayoutView="115" workbookViewId="0">
      <selection activeCell="A3" sqref="A3"/>
    </sheetView>
  </sheetViews>
  <sheetFormatPr baseColWidth="10" defaultColWidth="8.83203125" defaultRowHeight="14" x14ac:dyDescent="0"/>
  <cols>
    <col min="1" max="1" width="25.5" style="5" customWidth="1"/>
    <col min="2" max="2" width="109.33203125" style="5" bestFit="1" customWidth="1"/>
    <col min="3" max="3" width="7.5" style="5" customWidth="1"/>
    <col min="4" max="4" width="11" style="5" bestFit="1" customWidth="1"/>
    <col min="5" max="5" width="3" style="5" bestFit="1" customWidth="1"/>
    <col min="6" max="16384" width="8.83203125" style="5"/>
  </cols>
  <sheetData>
    <row r="1" spans="1:4">
      <c r="A1" s="25" t="s">
        <v>277</v>
      </c>
    </row>
    <row r="2" spans="1:4">
      <c r="A2" s="25" t="s">
        <v>275</v>
      </c>
    </row>
    <row r="3" spans="1:4">
      <c r="A3" s="25" t="s">
        <v>278</v>
      </c>
    </row>
    <row r="4" spans="1:4">
      <c r="A4" s="25" t="s">
        <v>279</v>
      </c>
    </row>
    <row r="5" spans="1:4" ht="15" thickBot="1"/>
    <row r="6" spans="1:4" ht="15" thickBot="1">
      <c r="A6" s="226" t="s">
        <v>280</v>
      </c>
      <c r="B6" s="227"/>
    </row>
    <row r="7" spans="1:4" ht="15" thickTop="1">
      <c r="A7" s="34" t="s">
        <v>0</v>
      </c>
      <c r="B7" s="146"/>
    </row>
    <row r="8" spans="1:4">
      <c r="A8" s="35" t="s">
        <v>3</v>
      </c>
      <c r="B8" s="29" t="s">
        <v>720</v>
      </c>
    </row>
    <row r="9" spans="1:4">
      <c r="A9" s="35" t="s">
        <v>2</v>
      </c>
      <c r="B9" s="29" t="s">
        <v>1771</v>
      </c>
    </row>
    <row r="10" spans="1:4">
      <c r="A10" s="35" t="s">
        <v>1</v>
      </c>
      <c r="B10" s="29" t="s">
        <v>1772</v>
      </c>
      <c r="D10" s="30"/>
    </row>
    <row r="11" spans="1:4" ht="15" thickBot="1">
      <c r="A11" s="37" t="s">
        <v>4</v>
      </c>
      <c r="B11" s="147"/>
    </row>
    <row r="12" spans="1:4" ht="15" thickBot="1">
      <c r="A12" s="4"/>
      <c r="B12" s="4"/>
    </row>
    <row r="13" spans="1:4" ht="15" thickBot="1">
      <c r="A13" s="228" t="s">
        <v>281</v>
      </c>
      <c r="B13" s="229"/>
    </row>
    <row r="14" spans="1:4" ht="15" thickTop="1">
      <c r="A14" s="34" t="s">
        <v>64</v>
      </c>
      <c r="B14" s="146" t="s">
        <v>806</v>
      </c>
      <c r="D14" s="30"/>
    </row>
    <row r="15" spans="1:4">
      <c r="A15" s="36" t="s">
        <v>57</v>
      </c>
      <c r="B15" s="132" t="s">
        <v>1773</v>
      </c>
      <c r="D15" s="30"/>
    </row>
    <row r="16" spans="1:4">
      <c r="A16" s="36" t="s">
        <v>55</v>
      </c>
      <c r="B16" s="132" t="s">
        <v>1774</v>
      </c>
      <c r="D16" s="30"/>
    </row>
    <row r="17" spans="1:5">
      <c r="A17" s="36" t="s">
        <v>6</v>
      </c>
      <c r="B17" s="132">
        <v>2015</v>
      </c>
      <c r="D17" s="30"/>
    </row>
    <row r="18" spans="1:5">
      <c r="A18" s="36" t="s">
        <v>63</v>
      </c>
      <c r="B18" s="132" t="s">
        <v>1775</v>
      </c>
      <c r="D18" s="30"/>
    </row>
    <row r="19" spans="1:5" ht="15" thickBot="1">
      <c r="A19" s="37" t="s">
        <v>5</v>
      </c>
      <c r="B19" s="109"/>
      <c r="D19" s="30"/>
    </row>
    <row r="20" spans="1:5" ht="15" thickBot="1"/>
    <row r="21" spans="1:5" ht="15" thickBot="1">
      <c r="A21" s="223" t="s">
        <v>282</v>
      </c>
      <c r="B21" s="225"/>
      <c r="C21" s="31"/>
      <c r="D21" s="32"/>
      <c r="E21" s="32"/>
    </row>
    <row r="22" spans="1:5" ht="15" thickBot="1">
      <c r="A22" s="58" t="s">
        <v>56</v>
      </c>
      <c r="B22" s="59" t="s">
        <v>112</v>
      </c>
      <c r="D22" s="26" t="s">
        <v>171</v>
      </c>
      <c r="E22" s="27">
        <f>COUNTA(AuthorList[Author Name])</f>
        <v>5</v>
      </c>
    </row>
    <row r="23" spans="1:5" ht="15" thickTop="1">
      <c r="A23" s="197">
        <f ca="1">IF(AuthorList[[#This Row],[Author Name]]&lt;&gt;"",MAX(INDIRECT(CONCATENATE("R",ROW(AuthorList[#Headers]),"C",COLUMN(),":R",ROW()-1,"C",COLUMN()),FALSE))+1,"")</f>
        <v>1</v>
      </c>
      <c r="B23" s="42" t="s">
        <v>1776</v>
      </c>
    </row>
    <row r="24" spans="1:5">
      <c r="A24" s="197">
        <f ca="1">IF(AuthorList[[#This Row],[Author Name]]&lt;&gt;"",MAX(INDIRECT(CONCATENATE("R",ROW(AuthorList[#Headers]),"C",COLUMN(),":R",ROW()-1,"C",COLUMN()),FALSE))+1,"")</f>
        <v>2</v>
      </c>
      <c r="B24" s="11" t="s">
        <v>1777</v>
      </c>
    </row>
    <row r="25" spans="1:5">
      <c r="A25" s="197">
        <f ca="1">IF(AuthorList[[#This Row],[Author Name]]&lt;&gt;"",MAX(INDIRECT(CONCATENATE("R",ROW(AuthorList[#Headers]),"C",COLUMN(),":R",ROW()-1,"C",COLUMN()),FALSE))+1,"")</f>
        <v>3</v>
      </c>
      <c r="B25" s="11" t="s">
        <v>1778</v>
      </c>
    </row>
    <row r="26" spans="1:5">
      <c r="A26" s="197">
        <f ca="1">IF(AuthorList[[#This Row],[Author Name]]&lt;&gt;"",MAX(INDIRECT(CONCATENATE("R",ROW(AuthorList[#Headers]),"C",COLUMN(),":R",ROW()-1,"C",COLUMN()),FALSE))+1,"")</f>
        <v>4</v>
      </c>
      <c r="B26" s="11" t="s">
        <v>1779</v>
      </c>
    </row>
    <row r="27" spans="1:5">
      <c r="A27" s="197">
        <f ca="1">IF(AuthorList[[#This Row],[Author Name]]&lt;&gt;"",MAX(INDIRECT(CONCATENATE("R",ROW(AuthorList[#Headers]),"C",COLUMN(),":R",ROW()-1,"C",COLUMN()),FALSE))+1,"")</f>
        <v>5</v>
      </c>
      <c r="B27" s="11" t="s">
        <v>1780</v>
      </c>
    </row>
    <row r="28" spans="1:5">
      <c r="A28" s="197" t="str">
        <f ca="1">IF(AuthorList[[#This Row],[Author Name]]&lt;&gt;"",MAX(INDIRECT(CONCATENATE("R",ROW(AuthorList[#Headers]),"C",COLUMN(),":R",ROW()-1,"C",COLUMN()),FALSE))+1,"")</f>
        <v/>
      </c>
      <c r="B28" s="11"/>
    </row>
    <row r="29" spans="1:5">
      <c r="A29" s="197" t="str">
        <f ca="1">IF(AuthorList[[#This Row],[Author Name]]&lt;&gt;"",MAX(INDIRECT(CONCATENATE("R",ROW(AuthorList[#Headers]),"C",COLUMN(),":R",ROW()-1,"C",COLUMN()),FALSE))+1,"")</f>
        <v/>
      </c>
      <c r="B29" s="11"/>
    </row>
    <row r="30" spans="1:5">
      <c r="A30" s="197" t="str">
        <f ca="1">IF(AuthorList[[#This Row],[Author Name]]&lt;&gt;"",MAX(INDIRECT(CONCATENATE("R",ROW(AuthorList[#Headers]),"C",COLUMN(),":R",ROW()-1,"C",COLUMN()),FALSE))+1,"")</f>
        <v/>
      </c>
      <c r="B30" s="11"/>
    </row>
    <row r="31" spans="1:5">
      <c r="A31" s="197" t="str">
        <f ca="1">IF(AuthorList[[#This Row],[Author Name]]&lt;&gt;"",MAX(INDIRECT(CONCATENATE("R",ROW(AuthorList[#Headers]),"C",COLUMN(),":R",ROW()-1,"C",COLUMN()),FALSE))+1,"")</f>
        <v/>
      </c>
      <c r="B31" s="11"/>
    </row>
    <row r="32" spans="1:5">
      <c r="A32" s="197" t="str">
        <f ca="1">IF(AuthorList[[#This Row],[Author Name]]&lt;&gt;"",MAX(INDIRECT(CONCATENATE("R",ROW(AuthorList[#Headers]),"C",COLUMN(),":R",ROW()-1,"C",COLUMN()),FALSE))+1,"")</f>
        <v/>
      </c>
      <c r="B32" s="15"/>
    </row>
  </sheetData>
  <sheetProtection password="CA31" sheet="1" objects="1" scenarios="1" formatColumns="0" insertRows="0" insertHyperlinks="0" deleteRows="0"/>
  <mergeCells count="3">
    <mergeCell ref="A21:B21"/>
    <mergeCell ref="A6:B6"/>
    <mergeCell ref="A13:B13"/>
  </mergeCells>
  <conditionalFormatting sqref="A14:A17 A23:A32">
    <cfRule type="expression" dxfId="67" priority="6">
      <formula>COUNTA(CitationInformation)&gt;0</formula>
    </cfRule>
  </conditionalFormatting>
  <conditionalFormatting sqref="B8:B10">
    <cfRule type="expression" dxfId="66" priority="4">
      <formula>AND(COUNTA($B$7:$B$11)&gt;0,$B8="")</formula>
    </cfRule>
  </conditionalFormatting>
  <conditionalFormatting sqref="B8">
    <cfRule type="expression" dxfId="65" priority="3">
      <formula>AND(COUNTIF(ApplicableDatasetTypes,$B$8)=0,$B$8&lt;&gt;"")</formula>
    </cfRule>
  </conditionalFormatting>
  <conditionalFormatting sqref="B23:B32">
    <cfRule type="expression" dxfId="64" priority="1">
      <formula>AND(COUNTIF(PeopleNames,$B23)=0,$B23&lt;&gt;"")</formula>
    </cfRule>
  </conditionalFormatting>
  <conditionalFormatting sqref="B14:B17 B23">
    <cfRule type="expression" dxfId="63" priority="5">
      <formula>AND(COUNTA(CitationInformation)&gt;0,$B14="")</formula>
    </cfRule>
    <cfRule type="expression" dxfId="62" priority="7">
      <formula>COUNTA(CitationInformation)&gt;0</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R62"/>
  <sheetViews>
    <sheetView zoomScale="125" zoomScaleNormal="125" zoomScalePageLayoutView="125" workbookViewId="0">
      <selection activeCell="A12" sqref="A12:R62"/>
    </sheetView>
  </sheetViews>
  <sheetFormatPr baseColWidth="10" defaultColWidth="8.83203125" defaultRowHeight="14" x14ac:dyDescent="0"/>
  <cols>
    <col min="1" max="1" width="23" style="5" customWidth="1"/>
    <col min="2" max="2" width="21.83203125" style="5" customWidth="1"/>
    <col min="3" max="3" width="17.5" style="5" customWidth="1"/>
    <col min="4" max="4" width="50.6640625" style="5" bestFit="1" customWidth="1"/>
    <col min="5" max="5" width="38.83203125" style="5" customWidth="1"/>
    <col min="6" max="6" width="19" style="5" bestFit="1" customWidth="1"/>
    <col min="7" max="7" width="17.6640625" style="5" bestFit="1" customWidth="1"/>
    <col min="8" max="8" width="12.5" style="5" bestFit="1" customWidth="1"/>
    <col min="9" max="9" width="13.1640625" style="38" bestFit="1" customWidth="1"/>
    <col min="10" max="11" width="3.6640625" style="5" customWidth="1"/>
    <col min="12" max="12" width="12.6640625" style="5" bestFit="1" customWidth="1"/>
    <col min="13" max="13" width="12.1640625" style="38" bestFit="1" customWidth="1"/>
    <col min="14" max="14" width="12.1640625" style="39" bestFit="1" customWidth="1"/>
    <col min="15" max="15" width="3.6640625" style="5" customWidth="1"/>
    <col min="16" max="16" width="20.33203125" style="5" bestFit="1" customWidth="1"/>
    <col min="17" max="17" width="20" style="5" bestFit="1" customWidth="1"/>
    <col min="18" max="18" width="17.6640625" style="5" bestFit="1" customWidth="1"/>
    <col min="19" max="16384" width="8.83203125" style="5"/>
  </cols>
  <sheetData>
    <row r="1" spans="1:18" s="25" customFormat="1">
      <c r="A1" s="25" t="s">
        <v>505</v>
      </c>
      <c r="I1" s="171"/>
      <c r="M1" s="171"/>
      <c r="N1" s="198"/>
    </row>
    <row r="2" spans="1:18" s="25" customFormat="1">
      <c r="A2" s="196" t="s">
        <v>507</v>
      </c>
      <c r="I2" s="171"/>
      <c r="M2" s="171"/>
      <c r="N2" s="198"/>
    </row>
    <row r="3" spans="1:18" s="25" customFormat="1">
      <c r="A3" s="25" t="s">
        <v>334</v>
      </c>
      <c r="I3" s="171"/>
      <c r="M3" s="171"/>
      <c r="N3" s="198"/>
    </row>
    <row r="4" spans="1:18" s="25" customFormat="1">
      <c r="A4" s="25" t="s">
        <v>275</v>
      </c>
      <c r="I4" s="171"/>
      <c r="M4" s="171"/>
      <c r="N4" s="198"/>
    </row>
    <row r="5" spans="1:18" s="25" customFormat="1">
      <c r="A5" s="25" t="s">
        <v>284</v>
      </c>
      <c r="I5" s="171"/>
      <c r="M5" s="171"/>
      <c r="N5" s="198"/>
    </row>
    <row r="6" spans="1:18" s="25" customFormat="1">
      <c r="A6" s="25" t="s">
        <v>109</v>
      </c>
      <c r="I6" s="171"/>
      <c r="M6" s="171"/>
      <c r="N6" s="198"/>
    </row>
    <row r="7" spans="1:18" s="25" customFormat="1" ht="15" thickBot="1">
      <c r="I7" s="171"/>
      <c r="M7" s="171"/>
      <c r="N7" s="198"/>
    </row>
    <row r="8" spans="1:18" s="25" customFormat="1" ht="15" thickBot="1">
      <c r="A8" s="230" t="s">
        <v>34</v>
      </c>
      <c r="B8" s="231"/>
      <c r="I8" s="171"/>
      <c r="M8" s="171"/>
      <c r="N8" s="198"/>
    </row>
    <row r="9" spans="1:18" s="25" customFormat="1" ht="16" thickTop="1" thickBot="1">
      <c r="A9" s="50" t="s">
        <v>25</v>
      </c>
      <c r="B9" s="203" t="s">
        <v>38</v>
      </c>
      <c r="D9" s="25" t="s">
        <v>108</v>
      </c>
      <c r="H9" s="26" t="s">
        <v>170</v>
      </c>
      <c r="I9" s="49">
        <f>COUNTA(SamplingFeatures[Feature Code])</f>
        <v>12</v>
      </c>
      <c r="L9" s="26" t="s">
        <v>168</v>
      </c>
      <c r="M9" s="49">
        <f ca="1">MAX(SamplingFeatures[SiteID])</f>
        <v>1</v>
      </c>
      <c r="N9" s="198"/>
      <c r="P9" s="26" t="s">
        <v>335</v>
      </c>
      <c r="Q9" s="27">
        <f ca="1">MAX(SamplingFeatures[SpecimenID])</f>
        <v>11</v>
      </c>
    </row>
    <row r="10" spans="1:18" s="25" customFormat="1" ht="15" thickBot="1">
      <c r="A10" s="51" t="s">
        <v>33</v>
      </c>
      <c r="B10" s="204" t="s">
        <v>37</v>
      </c>
      <c r="D10" s="25" t="s">
        <v>243</v>
      </c>
      <c r="H10" s="26" t="s">
        <v>242</v>
      </c>
      <c r="I10" s="49">
        <f ca="1">MAX(SamplingFeatures[IGSNID])</f>
        <v>11</v>
      </c>
      <c r="M10" s="171"/>
      <c r="N10" s="198"/>
    </row>
    <row r="11" spans="1:18" s="25" customFormat="1" ht="15" thickBot="1">
      <c r="I11" s="171"/>
      <c r="K11" s="232" t="s">
        <v>283</v>
      </c>
      <c r="L11" s="232"/>
      <c r="M11" s="232"/>
      <c r="N11" s="232"/>
      <c r="O11" s="232" t="s">
        <v>336</v>
      </c>
      <c r="P11" s="232"/>
      <c r="Q11" s="232"/>
      <c r="R11" s="232"/>
    </row>
    <row r="12" spans="1:18" s="25" customFormat="1" ht="15" thickBot="1">
      <c r="A12" s="52" t="s">
        <v>20</v>
      </c>
      <c r="B12" s="53" t="s">
        <v>21</v>
      </c>
      <c r="C12" s="53" t="s">
        <v>32</v>
      </c>
      <c r="D12" s="53" t="s">
        <v>69</v>
      </c>
      <c r="E12" s="54" t="s">
        <v>67</v>
      </c>
      <c r="F12" s="55" t="s">
        <v>68</v>
      </c>
      <c r="G12" s="56" t="s">
        <v>70</v>
      </c>
      <c r="H12" s="56" t="s">
        <v>24</v>
      </c>
      <c r="I12" s="57" t="s">
        <v>154</v>
      </c>
      <c r="J12" s="47" t="s">
        <v>240</v>
      </c>
      <c r="K12" s="213" t="s">
        <v>138</v>
      </c>
      <c r="L12" s="208" t="s">
        <v>65</v>
      </c>
      <c r="M12" s="208" t="s">
        <v>22</v>
      </c>
      <c r="N12" s="208" t="s">
        <v>23</v>
      </c>
      <c r="O12" s="216" t="s">
        <v>337</v>
      </c>
      <c r="P12" s="208" t="s">
        <v>338</v>
      </c>
      <c r="Q12" s="208" t="s">
        <v>339</v>
      </c>
      <c r="R12" s="209" t="s">
        <v>340</v>
      </c>
    </row>
    <row r="13" spans="1:18" ht="15" thickTop="1">
      <c r="A13" s="137"/>
      <c r="B13" s="17" t="s">
        <v>1785</v>
      </c>
      <c r="C13" s="17" t="s">
        <v>28</v>
      </c>
      <c r="D13" s="17" t="s">
        <v>1786</v>
      </c>
      <c r="E13" s="40" t="s">
        <v>1786</v>
      </c>
      <c r="F13" s="41"/>
      <c r="G13" s="42"/>
      <c r="H13" s="42"/>
      <c r="I13" s="42" t="s">
        <v>1800</v>
      </c>
      <c r="J13" s="45">
        <f ca="1">IF(SamplingFeatures[[#This Row],[Feature IGSN]]&lt;&gt;"",MAX(INDIRECT(CONCATENATE("R",ROW(SamplingFeatures[#Headers]),"C",COLUMN(),":R",ROW()-1,"C",COLUMN()),FALSE))+1,"")</f>
        <v>1</v>
      </c>
      <c r="K13" s="214" t="str">
        <f ca="1">IF(SamplingFeatures[[#This Row],[Sampling Feature Type]]="Site",MAX(INDIRECT(CONCATENATE("R",ROW(SamplingFeatures[#Headers]),"C",COLUMN(),":R",ROW()-1,"C",COLUMN()),FALSE))+1,"")</f>
        <v/>
      </c>
      <c r="L13" s="210"/>
      <c r="M13" s="206"/>
      <c r="N13" s="206"/>
      <c r="O13" s="45">
        <f ca="1">IF(SamplingFeatures[[#This Row],[Sampling Feature Type]]="Specimen",MAX(INDIRECT(CONCATENATE("R",ROW(SamplingFeatures[#Headers]),"C",COLUMN(),":R",ROW()-1,"C",COLUMN()),FALSE))+1,"")</f>
        <v>1</v>
      </c>
      <c r="P13" s="210" t="s">
        <v>1811</v>
      </c>
      <c r="Q13" s="206" t="s">
        <v>1812</v>
      </c>
      <c r="R13" s="206" t="b">
        <v>1</v>
      </c>
    </row>
    <row r="14" spans="1:18">
      <c r="A14" s="138"/>
      <c r="B14" s="17" t="s">
        <v>1787</v>
      </c>
      <c r="C14" s="17" t="s">
        <v>28</v>
      </c>
      <c r="D14" s="9" t="s">
        <v>1788</v>
      </c>
      <c r="E14" s="10" t="s">
        <v>1789</v>
      </c>
      <c r="F14" s="43"/>
      <c r="G14" s="11"/>
      <c r="H14" s="11">
        <v>273</v>
      </c>
      <c r="I14" s="11"/>
      <c r="J14" s="46" t="str">
        <f ca="1">IF(SamplingFeatures[[#This Row],[Feature IGSN]]&lt;&gt;"",MAX(INDIRECT(CONCATENATE("R",ROW(SamplingFeatures[#Headers]),"C",COLUMN(),":R",ROW()-1,"C",COLUMN()),FALSE))+1,"")</f>
        <v/>
      </c>
      <c r="K14" s="125">
        <f ca="1">IF(SamplingFeatures[[#This Row],[Sampling Feature Type]]="Site",MAX(INDIRECT(CONCATENATE("R",ROW(SamplingFeatures[#Headers]),"C",COLUMN(),":R",ROW()-1,"C",COLUMN()),FALSE))+1,"")</f>
        <v>1</v>
      </c>
      <c r="L14" s="211"/>
      <c r="M14" s="205">
        <v>-81.528049999999993</v>
      </c>
      <c r="N14" s="205">
        <v>39.380133000000001</v>
      </c>
      <c r="O14" s="46" t="str">
        <f ca="1">IF(SamplingFeatures[[#This Row],[Sampling Feature Type]]="Specimen",MAX(INDIRECT(CONCATENATE("R",ROW(SamplingFeatures[#Headers]),"C",COLUMN(),":R",ROW()-1,"C",COLUMN()),FALSE))+1,"")</f>
        <v/>
      </c>
      <c r="P14" s="211"/>
      <c r="Q14" s="205"/>
      <c r="R14" s="205"/>
    </row>
    <row r="15" spans="1:18">
      <c r="A15" s="138"/>
      <c r="B15" s="17" t="s">
        <v>1785</v>
      </c>
      <c r="C15" s="17" t="s">
        <v>28</v>
      </c>
      <c r="D15" s="9" t="s">
        <v>1790</v>
      </c>
      <c r="E15" s="10" t="s">
        <v>1790</v>
      </c>
      <c r="F15" s="43"/>
      <c r="G15" s="11"/>
      <c r="H15" s="11"/>
      <c r="I15" s="11" t="s">
        <v>1801</v>
      </c>
      <c r="J15" s="46">
        <f ca="1">IF(SamplingFeatures[[#This Row],[Feature IGSN]]&lt;&gt;"",MAX(INDIRECT(CONCATENATE("R",ROW(SamplingFeatures[#Headers]),"C",COLUMN(),":R",ROW()-1,"C",COLUMN()),FALSE))+1,"")</f>
        <v>2</v>
      </c>
      <c r="K15" s="125" t="str">
        <f ca="1">IF(SamplingFeatures[[#This Row],[Sampling Feature Type]]="Site",MAX(INDIRECT(CONCATENATE("R",ROW(SamplingFeatures[#Headers]),"C",COLUMN(),":R",ROW()-1,"C",COLUMN()),FALSE))+1,"")</f>
        <v/>
      </c>
      <c r="L15" s="211"/>
      <c r="M15" s="205"/>
      <c r="N15" s="205"/>
      <c r="O15" s="46">
        <f ca="1">IF(SamplingFeatures[[#This Row],[Sampling Feature Type]]="Specimen",MAX(INDIRECT(CONCATENATE("R",ROW(SamplingFeatures[#Headers]),"C",COLUMN(),":R",ROW()-1,"C",COLUMN()),FALSE))+1,"")</f>
        <v>2</v>
      </c>
      <c r="P15" s="211" t="s">
        <v>932</v>
      </c>
      <c r="Q15" s="205" t="s">
        <v>1812</v>
      </c>
      <c r="R15" s="205" t="b">
        <v>1</v>
      </c>
    </row>
    <row r="16" spans="1:18" ht="15" customHeight="1">
      <c r="A16" s="138"/>
      <c r="B16" s="17" t="s">
        <v>1785</v>
      </c>
      <c r="C16" s="17" t="s">
        <v>28</v>
      </c>
      <c r="D16" s="9" t="s">
        <v>1791</v>
      </c>
      <c r="E16" s="10" t="s">
        <v>1791</v>
      </c>
      <c r="F16" s="43"/>
      <c r="G16" s="11"/>
      <c r="H16" s="11"/>
      <c r="I16" s="11" t="s">
        <v>1802</v>
      </c>
      <c r="J16" s="46">
        <f ca="1">IF(SamplingFeatures[[#This Row],[Feature IGSN]]&lt;&gt;"",MAX(INDIRECT(CONCATENATE("R",ROW(SamplingFeatures[#Headers]),"C",COLUMN(),":R",ROW()-1,"C",COLUMN()),FALSE))+1,"")</f>
        <v>3</v>
      </c>
      <c r="K16" s="125" t="str">
        <f ca="1">IF(SamplingFeatures[[#This Row],[Sampling Feature Type]]="Site",MAX(INDIRECT(CONCATENATE("R",ROW(SamplingFeatures[#Headers]),"C",COLUMN(),":R",ROW()-1,"C",COLUMN()),FALSE))+1,"")</f>
        <v/>
      </c>
      <c r="L16" s="211"/>
      <c r="M16" s="205"/>
      <c r="N16" s="205"/>
      <c r="O16" s="46">
        <f ca="1">IF(SamplingFeatures[[#This Row],[Sampling Feature Type]]="Specimen",MAX(INDIRECT(CONCATENATE("R",ROW(SamplingFeatures[#Headers]),"C",COLUMN(),":R",ROW()-1,"C",COLUMN()),FALSE))+1,"")</f>
        <v>3</v>
      </c>
      <c r="P16" s="211" t="s">
        <v>932</v>
      </c>
      <c r="Q16" s="205" t="s">
        <v>1812</v>
      </c>
      <c r="R16" s="205" t="b">
        <v>1</v>
      </c>
    </row>
    <row r="17" spans="1:18">
      <c r="A17" s="138"/>
      <c r="B17" s="17" t="s">
        <v>1785</v>
      </c>
      <c r="C17" s="17" t="s">
        <v>28</v>
      </c>
      <c r="D17" s="9" t="s">
        <v>1792</v>
      </c>
      <c r="E17" s="10" t="s">
        <v>1792</v>
      </c>
      <c r="F17" s="43"/>
      <c r="G17" s="11"/>
      <c r="H17" s="11"/>
      <c r="I17" s="11" t="s">
        <v>1803</v>
      </c>
      <c r="J17" s="46">
        <f ca="1">IF(SamplingFeatures[[#This Row],[Feature IGSN]]&lt;&gt;"",MAX(INDIRECT(CONCATENATE("R",ROW(SamplingFeatures[#Headers]),"C",COLUMN(),":R",ROW()-1,"C",COLUMN()),FALSE))+1,"")</f>
        <v>4</v>
      </c>
      <c r="K17" s="125" t="str">
        <f ca="1">IF(SamplingFeatures[[#This Row],[Sampling Feature Type]]="Site",MAX(INDIRECT(CONCATENATE("R",ROW(SamplingFeatures[#Headers]),"C",COLUMN(),":R",ROW()-1,"C",COLUMN()),FALSE))+1,"")</f>
        <v/>
      </c>
      <c r="L17" s="211"/>
      <c r="M17" s="205"/>
      <c r="N17" s="205"/>
      <c r="O17" s="46">
        <f ca="1">IF(SamplingFeatures[[#This Row],[Sampling Feature Type]]="Specimen",MAX(INDIRECT(CONCATENATE("R",ROW(SamplingFeatures[#Headers]),"C",COLUMN(),":R",ROW()-1,"C",COLUMN()),FALSE))+1,"")</f>
        <v>4</v>
      </c>
      <c r="P17" s="211" t="s">
        <v>932</v>
      </c>
      <c r="Q17" s="205" t="s">
        <v>1812</v>
      </c>
      <c r="R17" s="205" t="b">
        <v>1</v>
      </c>
    </row>
    <row r="18" spans="1:18" ht="15" customHeight="1">
      <c r="A18" s="138"/>
      <c r="B18" s="17" t="s">
        <v>1785</v>
      </c>
      <c r="C18" s="17" t="s">
        <v>28</v>
      </c>
      <c r="D18" s="9" t="s">
        <v>1824</v>
      </c>
      <c r="E18" s="10" t="s">
        <v>1824</v>
      </c>
      <c r="F18" s="43"/>
      <c r="G18" s="11"/>
      <c r="H18" s="11"/>
      <c r="I18" s="11" t="s">
        <v>1804</v>
      </c>
      <c r="J18" s="46">
        <f ca="1">IF(SamplingFeatures[[#This Row],[Feature IGSN]]&lt;&gt;"",MAX(INDIRECT(CONCATENATE("R",ROW(SamplingFeatures[#Headers]),"C",COLUMN(),":R",ROW()-1,"C",COLUMN()),FALSE))+1,"")</f>
        <v>5</v>
      </c>
      <c r="K18" s="125" t="str">
        <f ca="1">IF(SamplingFeatures[[#This Row],[Sampling Feature Type]]="Site",MAX(INDIRECT(CONCATENATE("R",ROW(SamplingFeatures[#Headers]),"C",COLUMN(),":R",ROW()-1,"C",COLUMN()),FALSE))+1,"")</f>
        <v/>
      </c>
      <c r="L18" s="211"/>
      <c r="M18" s="205"/>
      <c r="N18" s="205"/>
      <c r="O18" s="46">
        <f ca="1">IF(SamplingFeatures[[#This Row],[Sampling Feature Type]]="Specimen",MAX(INDIRECT(CONCATENATE("R",ROW(SamplingFeatures[#Headers]),"C",COLUMN(),":R",ROW()-1,"C",COLUMN()),FALSE))+1,"")</f>
        <v>5</v>
      </c>
      <c r="P18" s="211" t="s">
        <v>932</v>
      </c>
      <c r="Q18" s="205" t="s">
        <v>1812</v>
      </c>
      <c r="R18" s="205" t="b">
        <v>1</v>
      </c>
    </row>
    <row r="19" spans="1:18" ht="15" customHeight="1">
      <c r="A19" s="138"/>
      <c r="B19" s="17" t="s">
        <v>1785</v>
      </c>
      <c r="C19" s="17" t="s">
        <v>28</v>
      </c>
      <c r="D19" s="9" t="s">
        <v>1793</v>
      </c>
      <c r="E19" s="10" t="s">
        <v>1793</v>
      </c>
      <c r="F19" s="43"/>
      <c r="G19" s="11"/>
      <c r="H19" s="11"/>
      <c r="I19" s="11" t="s">
        <v>1805</v>
      </c>
      <c r="J19" s="46">
        <f ca="1">IF(SamplingFeatures[[#This Row],[Feature IGSN]]&lt;&gt;"",MAX(INDIRECT(CONCATENATE("R",ROW(SamplingFeatures[#Headers]),"C",COLUMN(),":R",ROW()-1,"C",COLUMN()),FALSE))+1,"")</f>
        <v>6</v>
      </c>
      <c r="K19" s="125" t="str">
        <f ca="1">IF(SamplingFeatures[[#This Row],[Sampling Feature Type]]="Site",MAX(INDIRECT(CONCATENATE("R",ROW(SamplingFeatures[#Headers]),"C",COLUMN(),":R",ROW()-1,"C",COLUMN()),FALSE))+1,"")</f>
        <v/>
      </c>
      <c r="L19" s="211"/>
      <c r="M19" s="205"/>
      <c r="N19" s="205"/>
      <c r="O19" s="46">
        <f ca="1">IF(SamplingFeatures[[#This Row],[Sampling Feature Type]]="Specimen",MAX(INDIRECT(CONCATENATE("R",ROW(SamplingFeatures[#Headers]),"C",COLUMN(),":R",ROW()-1,"C",COLUMN()),FALSE))+1,"")</f>
        <v>6</v>
      </c>
      <c r="P19" s="211" t="s">
        <v>932</v>
      </c>
      <c r="Q19" s="205" t="s">
        <v>1812</v>
      </c>
      <c r="R19" s="205" t="b">
        <v>1</v>
      </c>
    </row>
    <row r="20" spans="1:18">
      <c r="A20" s="138"/>
      <c r="B20" s="17" t="s">
        <v>1785</v>
      </c>
      <c r="C20" s="17" t="s">
        <v>28</v>
      </c>
      <c r="D20" s="9" t="s">
        <v>1794</v>
      </c>
      <c r="E20" s="10" t="s">
        <v>1794</v>
      </c>
      <c r="F20" s="43"/>
      <c r="G20" s="11"/>
      <c r="H20" s="11"/>
      <c r="I20" s="11" t="s">
        <v>1806</v>
      </c>
      <c r="J20" s="46">
        <f ca="1">IF(SamplingFeatures[[#This Row],[Feature IGSN]]&lt;&gt;"",MAX(INDIRECT(CONCATENATE("R",ROW(SamplingFeatures[#Headers]),"C",COLUMN(),":R",ROW()-1,"C",COLUMN()),FALSE))+1,"")</f>
        <v>7</v>
      </c>
      <c r="K20" s="125" t="str">
        <f ca="1">IF(SamplingFeatures[[#This Row],[Sampling Feature Type]]="Site",MAX(INDIRECT(CONCATENATE("R",ROW(SamplingFeatures[#Headers]),"C",COLUMN(),":R",ROW()-1,"C",COLUMN()),FALSE))+1,"")</f>
        <v/>
      </c>
      <c r="L20" s="211"/>
      <c r="M20" s="205"/>
      <c r="N20" s="205"/>
      <c r="O20" s="46">
        <f ca="1">IF(SamplingFeatures[[#This Row],[Sampling Feature Type]]="Specimen",MAX(INDIRECT(CONCATENATE("R",ROW(SamplingFeatures[#Headers]),"C",COLUMN(),":R",ROW()-1,"C",COLUMN()),FALSE))+1,"")</f>
        <v>7</v>
      </c>
      <c r="P20" s="211" t="s">
        <v>932</v>
      </c>
      <c r="Q20" s="205" t="s">
        <v>1812</v>
      </c>
      <c r="R20" s="205" t="b">
        <v>1</v>
      </c>
    </row>
    <row r="21" spans="1:18">
      <c r="A21" s="138"/>
      <c r="B21" s="17" t="s">
        <v>1785</v>
      </c>
      <c r="C21" s="17" t="s">
        <v>28</v>
      </c>
      <c r="D21" s="9" t="s">
        <v>1795</v>
      </c>
      <c r="E21" s="10" t="s">
        <v>1795</v>
      </c>
      <c r="F21" s="43"/>
      <c r="G21" s="11"/>
      <c r="H21" s="11"/>
      <c r="I21" s="11" t="s">
        <v>1807</v>
      </c>
      <c r="J21" s="46">
        <f ca="1">IF(SamplingFeatures[[#This Row],[Feature IGSN]]&lt;&gt;"",MAX(INDIRECT(CONCATENATE("R",ROW(SamplingFeatures[#Headers]),"C",COLUMN(),":R",ROW()-1,"C",COLUMN()),FALSE))+1,"")</f>
        <v>8</v>
      </c>
      <c r="K21" s="125" t="str">
        <f ca="1">IF(SamplingFeatures[[#This Row],[Sampling Feature Type]]="Site",MAX(INDIRECT(CONCATENATE("R",ROW(SamplingFeatures[#Headers]),"C",COLUMN(),":R",ROW()-1,"C",COLUMN()),FALSE))+1,"")</f>
        <v/>
      </c>
      <c r="L21" s="211"/>
      <c r="M21" s="205"/>
      <c r="N21" s="205"/>
      <c r="O21" s="46">
        <f ca="1">IF(SamplingFeatures[[#This Row],[Sampling Feature Type]]="Specimen",MAX(INDIRECT(CONCATENATE("R",ROW(SamplingFeatures[#Headers]),"C",COLUMN(),":R",ROW()-1,"C",COLUMN()),FALSE))+1,"")</f>
        <v>8</v>
      </c>
      <c r="P21" s="211" t="s">
        <v>932</v>
      </c>
      <c r="Q21" s="205" t="s">
        <v>1812</v>
      </c>
      <c r="R21" s="205" t="b">
        <v>1</v>
      </c>
    </row>
    <row r="22" spans="1:18">
      <c r="A22" s="138"/>
      <c r="B22" s="17" t="s">
        <v>1785</v>
      </c>
      <c r="C22" s="17" t="s">
        <v>28</v>
      </c>
      <c r="D22" s="9" t="s">
        <v>1797</v>
      </c>
      <c r="E22" s="10" t="s">
        <v>1797</v>
      </c>
      <c r="F22" s="43"/>
      <c r="G22" s="11"/>
      <c r="H22" s="11"/>
      <c r="I22" s="11" t="s">
        <v>1808</v>
      </c>
      <c r="J22" s="46">
        <f ca="1">IF(SamplingFeatures[[#This Row],[Feature IGSN]]&lt;&gt;"",MAX(INDIRECT(CONCATENATE("R",ROW(SamplingFeatures[#Headers]),"C",COLUMN(),":R",ROW()-1,"C",COLUMN()),FALSE))+1,"")</f>
        <v>9</v>
      </c>
      <c r="K22" s="125" t="str">
        <f ca="1">IF(SamplingFeatures[[#This Row],[Sampling Feature Type]]="Site",MAX(INDIRECT(CONCATENATE("R",ROW(SamplingFeatures[#Headers]),"C",COLUMN(),":R",ROW()-1,"C",COLUMN()),FALSE))+1,"")</f>
        <v/>
      </c>
      <c r="L22" s="211"/>
      <c r="M22" s="205"/>
      <c r="N22" s="205"/>
      <c r="O22" s="46">
        <f ca="1">IF(SamplingFeatures[[#This Row],[Sampling Feature Type]]="Specimen",MAX(INDIRECT(CONCATENATE("R",ROW(SamplingFeatures[#Headers]),"C",COLUMN(),":R",ROW()-1,"C",COLUMN()),FALSE))+1,"")</f>
        <v>9</v>
      </c>
      <c r="P22" s="211" t="s">
        <v>932</v>
      </c>
      <c r="Q22" s="205" t="s">
        <v>1812</v>
      </c>
      <c r="R22" s="205" t="b">
        <v>1</v>
      </c>
    </row>
    <row r="23" spans="1:18">
      <c r="A23" s="138"/>
      <c r="B23" s="17" t="s">
        <v>1785</v>
      </c>
      <c r="C23" s="17" t="s">
        <v>28</v>
      </c>
      <c r="D23" s="9" t="s">
        <v>1798</v>
      </c>
      <c r="E23" s="10" t="s">
        <v>1798</v>
      </c>
      <c r="F23" s="43"/>
      <c r="G23" s="11"/>
      <c r="H23" s="11"/>
      <c r="I23" s="11" t="s">
        <v>1809</v>
      </c>
      <c r="J23" s="46">
        <f ca="1">IF(SamplingFeatures[[#This Row],[Feature IGSN]]&lt;&gt;"",MAX(INDIRECT(CONCATENATE("R",ROW(SamplingFeatures[#Headers]),"C",COLUMN(),":R",ROW()-1,"C",COLUMN()),FALSE))+1,"")</f>
        <v>10</v>
      </c>
      <c r="K23" s="125" t="str">
        <f ca="1">IF(SamplingFeatures[[#This Row],[Sampling Feature Type]]="Site",MAX(INDIRECT(CONCATENATE("R",ROW(SamplingFeatures[#Headers]),"C",COLUMN(),":R",ROW()-1,"C",COLUMN()),FALSE))+1,"")</f>
        <v/>
      </c>
      <c r="L23" s="211"/>
      <c r="M23" s="205"/>
      <c r="N23" s="205"/>
      <c r="O23" s="46">
        <f ca="1">IF(SamplingFeatures[[#This Row],[Sampling Feature Type]]="Specimen",MAX(INDIRECT(CONCATENATE("R",ROW(SamplingFeatures[#Headers]),"C",COLUMN(),":R",ROW()-1,"C",COLUMN()),FALSE))+1,"")</f>
        <v>10</v>
      </c>
      <c r="P23" s="211" t="s">
        <v>932</v>
      </c>
      <c r="Q23" s="205" t="s">
        <v>1812</v>
      </c>
      <c r="R23" s="205" t="b">
        <v>1</v>
      </c>
    </row>
    <row r="24" spans="1:18">
      <c r="A24" s="138"/>
      <c r="B24" s="9" t="s">
        <v>1785</v>
      </c>
      <c r="C24" s="17" t="s">
        <v>28</v>
      </c>
      <c r="D24" s="9" t="s">
        <v>1799</v>
      </c>
      <c r="E24" s="10" t="s">
        <v>1799</v>
      </c>
      <c r="F24" s="43"/>
      <c r="G24" s="11"/>
      <c r="H24" s="11"/>
      <c r="I24" s="11" t="s">
        <v>1810</v>
      </c>
      <c r="J24" s="46">
        <f ca="1">IF(SamplingFeatures[[#This Row],[Feature IGSN]]&lt;&gt;"",MAX(INDIRECT(CONCATENATE("R",ROW(SamplingFeatures[#Headers]),"C",COLUMN(),":R",ROW()-1,"C",COLUMN()),FALSE))+1,"")</f>
        <v>11</v>
      </c>
      <c r="K24" s="125" t="str">
        <f ca="1">IF(SamplingFeatures[[#This Row],[Sampling Feature Type]]="Site",MAX(INDIRECT(CONCATENATE("R",ROW(SamplingFeatures[#Headers]),"C",COLUMN(),":R",ROW()-1,"C",COLUMN()),FALSE))+1,"")</f>
        <v/>
      </c>
      <c r="L24" s="211"/>
      <c r="M24" s="205"/>
      <c r="N24" s="205"/>
      <c r="O24" s="46">
        <f ca="1">IF(SamplingFeatures[[#This Row],[Sampling Feature Type]]="Specimen",MAX(INDIRECT(CONCATENATE("R",ROW(SamplingFeatures[#Headers]),"C",COLUMN(),":R",ROW()-1,"C",COLUMN()),FALSE))+1,"")</f>
        <v>11</v>
      </c>
      <c r="P24" s="211" t="s">
        <v>932</v>
      </c>
      <c r="Q24" s="205" t="s">
        <v>1812</v>
      </c>
      <c r="R24" s="205" t="b">
        <v>1</v>
      </c>
    </row>
    <row r="25" spans="1:18">
      <c r="A25" s="138"/>
      <c r="B25" s="9"/>
      <c r="C25" s="17"/>
      <c r="D25" s="9"/>
      <c r="E25" s="10"/>
      <c r="F25" s="43"/>
      <c r="G25" s="11"/>
      <c r="H25" s="11"/>
      <c r="I25" s="11"/>
      <c r="J25" s="46" t="str">
        <f ca="1">IF(SamplingFeatures[[#This Row],[Feature IGSN]]&lt;&gt;"",MAX(INDIRECT(CONCATENATE("R",ROW(SamplingFeatures[#Headers]),"C",COLUMN(),":R",ROW()-1,"C",COLUMN()),FALSE))+1,"")</f>
        <v/>
      </c>
      <c r="K25" s="125" t="str">
        <f ca="1">IF(SamplingFeatures[[#This Row],[Sampling Feature Type]]="Site",MAX(INDIRECT(CONCATENATE("R",ROW(SamplingFeatures[#Headers]),"C",COLUMN(),":R",ROW()-1,"C",COLUMN()),FALSE))+1,"")</f>
        <v/>
      </c>
      <c r="L25" s="211"/>
      <c r="M25" s="205"/>
      <c r="N25" s="205"/>
      <c r="O25" s="46" t="str">
        <f ca="1">IF(SamplingFeatures[[#This Row],[Sampling Feature Type]]="Specimen",MAX(INDIRECT(CONCATENATE("R",ROW(SamplingFeatures[#Headers]),"C",COLUMN(),":R",ROW()-1,"C",COLUMN()),FALSE))+1,"")</f>
        <v/>
      </c>
      <c r="P25" s="211"/>
      <c r="Q25" s="205"/>
      <c r="R25" s="205"/>
    </row>
    <row r="26" spans="1:18">
      <c r="A26" s="138"/>
      <c r="B26" s="9"/>
      <c r="C26" s="9"/>
      <c r="D26" s="9"/>
      <c r="E26" s="10"/>
      <c r="F26" s="43"/>
      <c r="G26" s="11"/>
      <c r="H26" s="11"/>
      <c r="I26" s="11"/>
      <c r="J26" s="46" t="str">
        <f ca="1">IF(SamplingFeatures[[#This Row],[Feature IGSN]]&lt;&gt;"",MAX(INDIRECT(CONCATENATE("R",ROW(SamplingFeatures[#Headers]),"C",COLUMN(),":R",ROW()-1,"C",COLUMN()),FALSE))+1,"")</f>
        <v/>
      </c>
      <c r="K26" s="125" t="str">
        <f ca="1">IF(SamplingFeatures[[#This Row],[Sampling Feature Type]]="Site",MAX(INDIRECT(CONCATENATE("R",ROW(SamplingFeatures[#Headers]),"C",COLUMN(),":R",ROW()-1,"C",COLUMN()),FALSE))+1,"")</f>
        <v/>
      </c>
      <c r="L26" s="211"/>
      <c r="M26" s="205"/>
      <c r="N26" s="205"/>
      <c r="O26" s="46" t="str">
        <f ca="1">IF(SamplingFeatures[[#This Row],[Sampling Feature Type]]="Specimen",MAX(INDIRECT(CONCATENATE("R",ROW(SamplingFeatures[#Headers]),"C",COLUMN(),":R",ROW()-1,"C",COLUMN()),FALSE))+1,"")</f>
        <v/>
      </c>
      <c r="P26" s="211"/>
      <c r="Q26" s="205"/>
      <c r="R26" s="205"/>
    </row>
    <row r="27" spans="1:18">
      <c r="A27" s="138"/>
      <c r="B27" s="9"/>
      <c r="C27" s="9"/>
      <c r="D27" s="9"/>
      <c r="E27" s="10"/>
      <c r="F27" s="43"/>
      <c r="G27" s="11"/>
      <c r="H27" s="11"/>
      <c r="I27" s="11"/>
      <c r="J27" s="46" t="str">
        <f ca="1">IF(SamplingFeatures[[#This Row],[Feature IGSN]]&lt;&gt;"",MAX(INDIRECT(CONCATENATE("R",ROW(SamplingFeatures[#Headers]),"C",COLUMN(),":R",ROW()-1,"C",COLUMN()),FALSE))+1,"")</f>
        <v/>
      </c>
      <c r="K27" s="125" t="str">
        <f ca="1">IF(SamplingFeatures[[#This Row],[Sampling Feature Type]]="Site",MAX(INDIRECT(CONCATENATE("R",ROW(SamplingFeatures[#Headers]),"C",COLUMN(),":R",ROW()-1,"C",COLUMN()),FALSE))+1,"")</f>
        <v/>
      </c>
      <c r="L27" s="211"/>
      <c r="M27" s="205"/>
      <c r="N27" s="205"/>
      <c r="O27" s="46" t="str">
        <f ca="1">IF(SamplingFeatures[[#This Row],[Sampling Feature Type]]="Specimen",MAX(INDIRECT(CONCATENATE("R",ROW(SamplingFeatures[#Headers]),"C",COLUMN(),":R",ROW()-1,"C",COLUMN()),FALSE))+1,"")</f>
        <v/>
      </c>
      <c r="P27" s="211"/>
      <c r="Q27" s="205"/>
      <c r="R27" s="205"/>
    </row>
    <row r="28" spans="1:18">
      <c r="A28" s="138"/>
      <c r="B28" s="9"/>
      <c r="C28" s="9"/>
      <c r="D28" s="9"/>
      <c r="E28" s="10"/>
      <c r="F28" s="43"/>
      <c r="G28" s="11"/>
      <c r="H28" s="11"/>
      <c r="I28" s="11"/>
      <c r="J28" s="46" t="str">
        <f ca="1">IF(SamplingFeatures[[#This Row],[Feature IGSN]]&lt;&gt;"",MAX(INDIRECT(CONCATENATE("R",ROW(SamplingFeatures[#Headers]),"C",COLUMN(),":R",ROW()-1,"C",COLUMN()),FALSE))+1,"")</f>
        <v/>
      </c>
      <c r="K28" s="125" t="str">
        <f ca="1">IF(SamplingFeatures[[#This Row],[Sampling Feature Type]]="Site",MAX(INDIRECT(CONCATENATE("R",ROW(SamplingFeatures[#Headers]),"C",COLUMN(),":R",ROW()-1,"C",COLUMN()),FALSE))+1,"")</f>
        <v/>
      </c>
      <c r="L28" s="211"/>
      <c r="M28" s="205"/>
      <c r="N28" s="205"/>
      <c r="O28" s="46" t="str">
        <f ca="1">IF(SamplingFeatures[[#This Row],[Sampling Feature Type]]="Specimen",MAX(INDIRECT(CONCATENATE("R",ROW(SamplingFeatures[#Headers]),"C",COLUMN(),":R",ROW()-1,"C",COLUMN()),FALSE))+1,"")</f>
        <v/>
      </c>
      <c r="P28" s="211"/>
      <c r="Q28" s="205"/>
      <c r="R28" s="205"/>
    </row>
    <row r="29" spans="1:18">
      <c r="A29" s="138"/>
      <c r="B29" s="9"/>
      <c r="C29" s="9"/>
      <c r="D29" s="9"/>
      <c r="E29" s="10"/>
      <c r="F29" s="43"/>
      <c r="G29" s="11"/>
      <c r="H29" s="11"/>
      <c r="I29" s="11"/>
      <c r="J29" s="46" t="str">
        <f ca="1">IF(SamplingFeatures[[#This Row],[Feature IGSN]]&lt;&gt;"",MAX(INDIRECT(CONCATENATE("R",ROW(SamplingFeatures[#Headers]),"C",COLUMN(),":R",ROW()-1,"C",COLUMN()),FALSE))+1,"")</f>
        <v/>
      </c>
      <c r="K29" s="125" t="str">
        <f ca="1">IF(SamplingFeatures[[#This Row],[Sampling Feature Type]]="Site",MAX(INDIRECT(CONCATENATE("R",ROW(SamplingFeatures[#Headers]),"C",COLUMN(),":R",ROW()-1,"C",COLUMN()),FALSE))+1,"")</f>
        <v/>
      </c>
      <c r="L29" s="211"/>
      <c r="M29" s="205"/>
      <c r="N29" s="205"/>
      <c r="O29" s="46" t="str">
        <f ca="1">IF(SamplingFeatures[[#This Row],[Sampling Feature Type]]="Specimen",MAX(INDIRECT(CONCATENATE("R",ROW(SamplingFeatures[#Headers]),"C",COLUMN(),":R",ROW()-1,"C",COLUMN()),FALSE))+1,"")</f>
        <v/>
      </c>
      <c r="P29" s="211"/>
      <c r="Q29" s="205"/>
      <c r="R29" s="205"/>
    </row>
    <row r="30" spans="1:18">
      <c r="A30" s="138"/>
      <c r="B30" s="9"/>
      <c r="C30" s="9"/>
      <c r="D30" s="9"/>
      <c r="E30" s="10"/>
      <c r="F30" s="43"/>
      <c r="G30" s="11"/>
      <c r="H30" s="11"/>
      <c r="I30" s="11"/>
      <c r="J30" s="46" t="str">
        <f ca="1">IF(SamplingFeatures[[#This Row],[Feature IGSN]]&lt;&gt;"",MAX(INDIRECT(CONCATENATE("R",ROW(SamplingFeatures[#Headers]),"C",COLUMN(),":R",ROW()-1,"C",COLUMN()),FALSE))+1,"")</f>
        <v/>
      </c>
      <c r="K30" s="125" t="str">
        <f ca="1">IF(SamplingFeatures[[#This Row],[Sampling Feature Type]]="Site",MAX(INDIRECT(CONCATENATE("R",ROW(SamplingFeatures[#Headers]),"C",COLUMN(),":R",ROW()-1,"C",COLUMN()),FALSE))+1,"")</f>
        <v/>
      </c>
      <c r="L30" s="211"/>
      <c r="M30" s="205"/>
      <c r="N30" s="205"/>
      <c r="O30" s="46" t="str">
        <f ca="1">IF(SamplingFeatures[[#This Row],[Sampling Feature Type]]="Specimen",MAX(INDIRECT(CONCATENATE("R",ROW(SamplingFeatures[#Headers]),"C",COLUMN(),":R",ROW()-1,"C",COLUMN()),FALSE))+1,"")</f>
        <v/>
      </c>
      <c r="P30" s="211"/>
      <c r="Q30" s="205"/>
      <c r="R30" s="205"/>
    </row>
    <row r="31" spans="1:18">
      <c r="A31" s="138"/>
      <c r="B31" s="9"/>
      <c r="C31" s="9"/>
      <c r="D31" s="9"/>
      <c r="E31" s="10"/>
      <c r="F31" s="43"/>
      <c r="G31" s="11"/>
      <c r="H31" s="11"/>
      <c r="I31" s="11"/>
      <c r="J31" s="46" t="str">
        <f ca="1">IF(SamplingFeatures[[#This Row],[Feature IGSN]]&lt;&gt;"",MAX(INDIRECT(CONCATENATE("R",ROW(SamplingFeatures[#Headers]),"C",COLUMN(),":R",ROW()-1,"C",COLUMN()),FALSE))+1,"")</f>
        <v/>
      </c>
      <c r="K31" s="125" t="str">
        <f ca="1">IF(SamplingFeatures[[#This Row],[Sampling Feature Type]]="Site",MAX(INDIRECT(CONCATENATE("R",ROW(SamplingFeatures[#Headers]),"C",COLUMN(),":R",ROW()-1,"C",COLUMN()),FALSE))+1,"")</f>
        <v/>
      </c>
      <c r="L31" s="211"/>
      <c r="M31" s="205"/>
      <c r="N31" s="205"/>
      <c r="O31" s="46" t="str">
        <f ca="1">IF(SamplingFeatures[[#This Row],[Sampling Feature Type]]="Specimen",MAX(INDIRECT(CONCATENATE("R",ROW(SamplingFeatures[#Headers]),"C",COLUMN(),":R",ROW()-1,"C",COLUMN()),FALSE))+1,"")</f>
        <v/>
      </c>
      <c r="P31" s="211"/>
      <c r="Q31" s="205"/>
      <c r="R31" s="205"/>
    </row>
    <row r="32" spans="1:18">
      <c r="A32" s="138"/>
      <c r="B32" s="9"/>
      <c r="C32" s="9"/>
      <c r="D32" s="9"/>
      <c r="E32" s="10"/>
      <c r="F32" s="43"/>
      <c r="G32" s="11"/>
      <c r="H32" s="11"/>
      <c r="I32" s="11"/>
      <c r="J32" s="46" t="str">
        <f ca="1">IF(SamplingFeatures[[#This Row],[Feature IGSN]]&lt;&gt;"",MAX(INDIRECT(CONCATENATE("R",ROW(SamplingFeatures[#Headers]),"C",COLUMN(),":R",ROW()-1,"C",COLUMN()),FALSE))+1,"")</f>
        <v/>
      </c>
      <c r="K32" s="125" t="str">
        <f ca="1">IF(SamplingFeatures[[#This Row],[Sampling Feature Type]]="Site",MAX(INDIRECT(CONCATENATE("R",ROW(SamplingFeatures[#Headers]),"C",COLUMN(),":R",ROW()-1,"C",COLUMN()),FALSE))+1,"")</f>
        <v/>
      </c>
      <c r="L32" s="211"/>
      <c r="M32" s="205"/>
      <c r="N32" s="205"/>
      <c r="O32" s="46" t="str">
        <f ca="1">IF(SamplingFeatures[[#This Row],[Sampling Feature Type]]="Specimen",MAX(INDIRECT(CONCATENATE("R",ROW(SamplingFeatures[#Headers]),"C",COLUMN(),":R",ROW()-1,"C",COLUMN()),FALSE))+1,"")</f>
        <v/>
      </c>
      <c r="P32" s="211"/>
      <c r="Q32" s="205"/>
      <c r="R32" s="205"/>
    </row>
    <row r="33" spans="1:18">
      <c r="A33" s="138"/>
      <c r="B33" s="9"/>
      <c r="C33" s="9"/>
      <c r="D33" s="9"/>
      <c r="E33" s="10"/>
      <c r="F33" s="43"/>
      <c r="G33" s="11"/>
      <c r="H33" s="11"/>
      <c r="I33" s="11"/>
      <c r="J33" s="46" t="str">
        <f ca="1">IF(SamplingFeatures[[#This Row],[Feature IGSN]]&lt;&gt;"",MAX(INDIRECT(CONCATENATE("R",ROW(SamplingFeatures[#Headers]),"C",COLUMN(),":R",ROW()-1,"C",COLUMN()),FALSE))+1,"")</f>
        <v/>
      </c>
      <c r="K33" s="125" t="str">
        <f ca="1">IF(SamplingFeatures[[#This Row],[Sampling Feature Type]]="Site",MAX(INDIRECT(CONCATENATE("R",ROW(SamplingFeatures[#Headers]),"C",COLUMN(),":R",ROW()-1,"C",COLUMN()),FALSE))+1,"")</f>
        <v/>
      </c>
      <c r="L33" s="211"/>
      <c r="M33" s="205"/>
      <c r="N33" s="205"/>
      <c r="O33" s="46" t="str">
        <f ca="1">IF(SamplingFeatures[[#This Row],[Sampling Feature Type]]="Specimen",MAX(INDIRECT(CONCATENATE("R",ROW(SamplingFeatures[#Headers]),"C",COLUMN(),":R",ROW()-1,"C",COLUMN()),FALSE))+1,"")</f>
        <v/>
      </c>
      <c r="P33" s="211"/>
      <c r="Q33" s="205"/>
      <c r="R33" s="205"/>
    </row>
    <row r="34" spans="1:18">
      <c r="A34" s="138"/>
      <c r="B34" s="9"/>
      <c r="C34" s="9"/>
      <c r="D34" s="9"/>
      <c r="E34" s="10"/>
      <c r="F34" s="43"/>
      <c r="G34" s="11"/>
      <c r="H34" s="11"/>
      <c r="I34" s="11"/>
      <c r="J34" s="46" t="str">
        <f ca="1">IF(SamplingFeatures[[#This Row],[Feature IGSN]]&lt;&gt;"",MAX(INDIRECT(CONCATENATE("R",ROW(SamplingFeatures[#Headers]),"C",COLUMN(),":R",ROW()-1,"C",COLUMN()),FALSE))+1,"")</f>
        <v/>
      </c>
      <c r="K34" s="125" t="str">
        <f ca="1">IF(SamplingFeatures[[#This Row],[Sampling Feature Type]]="Site",MAX(INDIRECT(CONCATENATE("R",ROW(SamplingFeatures[#Headers]),"C",COLUMN(),":R",ROW()-1,"C",COLUMN()),FALSE))+1,"")</f>
        <v/>
      </c>
      <c r="L34" s="211"/>
      <c r="M34" s="205"/>
      <c r="N34" s="205"/>
      <c r="O34" s="46" t="str">
        <f ca="1">IF(SamplingFeatures[[#This Row],[Sampling Feature Type]]="Specimen",MAX(INDIRECT(CONCATENATE("R",ROW(SamplingFeatures[#Headers]),"C",COLUMN(),":R",ROW()-1,"C",COLUMN()),FALSE))+1,"")</f>
        <v/>
      </c>
      <c r="P34" s="211"/>
      <c r="Q34" s="205"/>
      <c r="R34" s="205"/>
    </row>
    <row r="35" spans="1:18">
      <c r="A35" s="138"/>
      <c r="B35" s="9"/>
      <c r="C35" s="9"/>
      <c r="D35" s="9"/>
      <c r="E35" s="10"/>
      <c r="F35" s="43"/>
      <c r="G35" s="11"/>
      <c r="H35" s="11"/>
      <c r="I35" s="11"/>
      <c r="J35" s="46" t="str">
        <f ca="1">IF(SamplingFeatures[[#This Row],[Feature IGSN]]&lt;&gt;"",MAX(INDIRECT(CONCATENATE("R",ROW(SamplingFeatures[#Headers]),"C",COLUMN(),":R",ROW()-1,"C",COLUMN()),FALSE))+1,"")</f>
        <v/>
      </c>
      <c r="K35" s="125" t="str">
        <f ca="1">IF(SamplingFeatures[[#This Row],[Sampling Feature Type]]="Site",MAX(INDIRECT(CONCATENATE("R",ROW(SamplingFeatures[#Headers]),"C",COLUMN(),":R",ROW()-1,"C",COLUMN()),FALSE))+1,"")</f>
        <v/>
      </c>
      <c r="L35" s="211"/>
      <c r="M35" s="205"/>
      <c r="N35" s="205"/>
      <c r="O35" s="46" t="str">
        <f ca="1">IF(SamplingFeatures[[#This Row],[Sampling Feature Type]]="Specimen",MAX(INDIRECT(CONCATENATE("R",ROW(SamplingFeatures[#Headers]),"C",COLUMN(),":R",ROW()-1,"C",COLUMN()),FALSE))+1,"")</f>
        <v/>
      </c>
      <c r="P35" s="211"/>
      <c r="Q35" s="205"/>
      <c r="R35" s="205"/>
    </row>
    <row r="36" spans="1:18">
      <c r="A36" s="138"/>
      <c r="B36" s="9"/>
      <c r="C36" s="9"/>
      <c r="D36" s="9"/>
      <c r="E36" s="10"/>
      <c r="F36" s="43"/>
      <c r="G36" s="11"/>
      <c r="H36" s="11"/>
      <c r="I36" s="11"/>
      <c r="J36" s="46" t="str">
        <f ca="1">IF(SamplingFeatures[[#This Row],[Feature IGSN]]&lt;&gt;"",MAX(INDIRECT(CONCATENATE("R",ROW(SamplingFeatures[#Headers]),"C",COLUMN(),":R",ROW()-1,"C",COLUMN()),FALSE))+1,"")</f>
        <v/>
      </c>
      <c r="K36" s="125" t="str">
        <f ca="1">IF(SamplingFeatures[[#This Row],[Sampling Feature Type]]="Site",MAX(INDIRECT(CONCATENATE("R",ROW(SamplingFeatures[#Headers]),"C",COLUMN(),":R",ROW()-1,"C",COLUMN()),FALSE))+1,"")</f>
        <v/>
      </c>
      <c r="L36" s="211"/>
      <c r="M36" s="205"/>
      <c r="N36" s="205"/>
      <c r="O36" s="46" t="str">
        <f ca="1">IF(SamplingFeatures[[#This Row],[Sampling Feature Type]]="Specimen",MAX(INDIRECT(CONCATENATE("R",ROW(SamplingFeatures[#Headers]),"C",COLUMN(),":R",ROW()-1,"C",COLUMN()),FALSE))+1,"")</f>
        <v/>
      </c>
      <c r="P36" s="211"/>
      <c r="Q36" s="205"/>
      <c r="R36" s="205"/>
    </row>
    <row r="37" spans="1:18">
      <c r="A37" s="138"/>
      <c r="B37" s="9"/>
      <c r="C37" s="9"/>
      <c r="D37" s="9"/>
      <c r="E37" s="10"/>
      <c r="F37" s="43"/>
      <c r="G37" s="11"/>
      <c r="H37" s="11"/>
      <c r="I37" s="11"/>
      <c r="J37" s="46" t="str">
        <f ca="1">IF(SamplingFeatures[[#This Row],[Feature IGSN]]&lt;&gt;"",MAX(INDIRECT(CONCATENATE("R",ROW(SamplingFeatures[#Headers]),"C",COLUMN(),":R",ROW()-1,"C",COLUMN()),FALSE))+1,"")</f>
        <v/>
      </c>
      <c r="K37" s="125" t="str">
        <f ca="1">IF(SamplingFeatures[[#This Row],[Sampling Feature Type]]="Site",MAX(INDIRECT(CONCATENATE("R",ROW(SamplingFeatures[#Headers]),"C",COLUMN(),":R",ROW()-1,"C",COLUMN()),FALSE))+1,"")</f>
        <v/>
      </c>
      <c r="L37" s="211"/>
      <c r="M37" s="205"/>
      <c r="N37" s="205"/>
      <c r="O37" s="46" t="str">
        <f ca="1">IF(SamplingFeatures[[#This Row],[Sampling Feature Type]]="Specimen",MAX(INDIRECT(CONCATENATE("R",ROW(SamplingFeatures[#Headers]),"C",COLUMN(),":R",ROW()-1,"C",COLUMN()),FALSE))+1,"")</f>
        <v/>
      </c>
      <c r="P37" s="211"/>
      <c r="Q37" s="205"/>
      <c r="R37" s="205"/>
    </row>
    <row r="38" spans="1:18">
      <c r="A38" s="138"/>
      <c r="B38" s="9"/>
      <c r="C38" s="9"/>
      <c r="D38" s="9"/>
      <c r="E38" s="10"/>
      <c r="F38" s="43"/>
      <c r="G38" s="11"/>
      <c r="H38" s="11"/>
      <c r="I38" s="11"/>
      <c r="J38" s="46" t="str">
        <f ca="1">IF(SamplingFeatures[[#This Row],[Feature IGSN]]&lt;&gt;"",MAX(INDIRECT(CONCATENATE("R",ROW(SamplingFeatures[#Headers]),"C",COLUMN(),":R",ROW()-1,"C",COLUMN()),FALSE))+1,"")</f>
        <v/>
      </c>
      <c r="K38" s="125" t="str">
        <f ca="1">IF(SamplingFeatures[[#This Row],[Sampling Feature Type]]="Site",MAX(INDIRECT(CONCATENATE("R",ROW(SamplingFeatures[#Headers]),"C",COLUMN(),":R",ROW()-1,"C",COLUMN()),FALSE))+1,"")</f>
        <v/>
      </c>
      <c r="L38" s="211"/>
      <c r="M38" s="205"/>
      <c r="N38" s="205"/>
      <c r="O38" s="46" t="str">
        <f ca="1">IF(SamplingFeatures[[#This Row],[Sampling Feature Type]]="Specimen",MAX(INDIRECT(CONCATENATE("R",ROW(SamplingFeatures[#Headers]),"C",COLUMN(),":R",ROW()-1,"C",COLUMN()),FALSE))+1,"")</f>
        <v/>
      </c>
      <c r="P38" s="211"/>
      <c r="Q38" s="205"/>
      <c r="R38" s="205"/>
    </row>
    <row r="39" spans="1:18">
      <c r="A39" s="138"/>
      <c r="B39" s="9"/>
      <c r="C39" s="9"/>
      <c r="D39" s="9"/>
      <c r="E39" s="10"/>
      <c r="F39" s="43"/>
      <c r="G39" s="11"/>
      <c r="H39" s="11"/>
      <c r="I39" s="11"/>
      <c r="J39" s="46" t="str">
        <f ca="1">IF(SamplingFeatures[[#This Row],[Feature IGSN]]&lt;&gt;"",MAX(INDIRECT(CONCATENATE("R",ROW(SamplingFeatures[#Headers]),"C",COLUMN(),":R",ROW()-1,"C",COLUMN()),FALSE))+1,"")</f>
        <v/>
      </c>
      <c r="K39" s="125" t="str">
        <f ca="1">IF(SamplingFeatures[[#This Row],[Sampling Feature Type]]="Site",MAX(INDIRECT(CONCATENATE("R",ROW(SamplingFeatures[#Headers]),"C",COLUMN(),":R",ROW()-1,"C",COLUMN()),FALSE))+1,"")</f>
        <v/>
      </c>
      <c r="L39" s="211"/>
      <c r="M39" s="205"/>
      <c r="N39" s="205"/>
      <c r="O39" s="46" t="str">
        <f ca="1">IF(SamplingFeatures[[#This Row],[Sampling Feature Type]]="Specimen",MAX(INDIRECT(CONCATENATE("R",ROW(SamplingFeatures[#Headers]),"C",COLUMN(),":R",ROW()-1,"C",COLUMN()),FALSE))+1,"")</f>
        <v/>
      </c>
      <c r="P39" s="211"/>
      <c r="Q39" s="205"/>
      <c r="R39" s="205"/>
    </row>
    <row r="40" spans="1:18">
      <c r="A40" s="138"/>
      <c r="B40" s="9"/>
      <c r="C40" s="9"/>
      <c r="D40" s="9"/>
      <c r="E40" s="10"/>
      <c r="F40" s="43"/>
      <c r="G40" s="11"/>
      <c r="H40" s="11"/>
      <c r="I40" s="11"/>
      <c r="J40" s="46" t="str">
        <f ca="1">IF(SamplingFeatures[[#This Row],[Feature IGSN]]&lt;&gt;"",MAX(INDIRECT(CONCATENATE("R",ROW(SamplingFeatures[#Headers]),"C",COLUMN(),":R",ROW()-1,"C",COLUMN()),FALSE))+1,"")</f>
        <v/>
      </c>
      <c r="K40" s="125" t="str">
        <f ca="1">IF(SamplingFeatures[[#This Row],[Sampling Feature Type]]="Site",MAX(INDIRECT(CONCATENATE("R",ROW(SamplingFeatures[#Headers]),"C",COLUMN(),":R",ROW()-1,"C",COLUMN()),FALSE))+1,"")</f>
        <v/>
      </c>
      <c r="L40" s="211"/>
      <c r="M40" s="205"/>
      <c r="N40" s="205"/>
      <c r="O40" s="46" t="str">
        <f ca="1">IF(SamplingFeatures[[#This Row],[Sampling Feature Type]]="Specimen",MAX(INDIRECT(CONCATENATE("R",ROW(SamplingFeatures[#Headers]),"C",COLUMN(),":R",ROW()-1,"C",COLUMN()),FALSE))+1,"")</f>
        <v/>
      </c>
      <c r="P40" s="211"/>
      <c r="Q40" s="205"/>
      <c r="R40" s="205"/>
    </row>
    <row r="41" spans="1:18">
      <c r="A41" s="138"/>
      <c r="B41" s="9"/>
      <c r="C41" s="9"/>
      <c r="D41" s="9"/>
      <c r="E41" s="10"/>
      <c r="F41" s="43"/>
      <c r="G41" s="11"/>
      <c r="H41" s="11"/>
      <c r="I41" s="11"/>
      <c r="J41" s="46" t="str">
        <f ca="1">IF(SamplingFeatures[[#This Row],[Feature IGSN]]&lt;&gt;"",MAX(INDIRECT(CONCATENATE("R",ROW(SamplingFeatures[#Headers]),"C",COLUMN(),":R",ROW()-1,"C",COLUMN()),FALSE))+1,"")</f>
        <v/>
      </c>
      <c r="K41" s="125" t="str">
        <f ca="1">IF(SamplingFeatures[[#This Row],[Sampling Feature Type]]="Site",MAX(INDIRECT(CONCATENATE("R",ROW(SamplingFeatures[#Headers]),"C",COLUMN(),":R",ROW()-1,"C",COLUMN()),FALSE))+1,"")</f>
        <v/>
      </c>
      <c r="L41" s="211"/>
      <c r="M41" s="205"/>
      <c r="N41" s="205"/>
      <c r="O41" s="46" t="str">
        <f ca="1">IF(SamplingFeatures[[#This Row],[Sampling Feature Type]]="Specimen",MAX(INDIRECT(CONCATENATE("R",ROW(SamplingFeatures[#Headers]),"C",COLUMN(),":R",ROW()-1,"C",COLUMN()),FALSE))+1,"")</f>
        <v/>
      </c>
      <c r="P41" s="211"/>
      <c r="Q41" s="205"/>
      <c r="R41" s="205"/>
    </row>
    <row r="42" spans="1:18">
      <c r="A42" s="138"/>
      <c r="B42" s="9"/>
      <c r="C42" s="9"/>
      <c r="D42" s="9"/>
      <c r="E42" s="10"/>
      <c r="F42" s="43"/>
      <c r="G42" s="11"/>
      <c r="H42" s="11"/>
      <c r="I42" s="11"/>
      <c r="J42" s="46" t="str">
        <f ca="1">IF(SamplingFeatures[[#This Row],[Feature IGSN]]&lt;&gt;"",MAX(INDIRECT(CONCATENATE("R",ROW(SamplingFeatures[#Headers]),"C",COLUMN(),":R",ROW()-1,"C",COLUMN()),FALSE))+1,"")</f>
        <v/>
      </c>
      <c r="K42" s="125" t="str">
        <f ca="1">IF(SamplingFeatures[[#This Row],[Sampling Feature Type]]="Site",MAX(INDIRECT(CONCATENATE("R",ROW(SamplingFeatures[#Headers]),"C",COLUMN(),":R",ROW()-1,"C",COLUMN()),FALSE))+1,"")</f>
        <v/>
      </c>
      <c r="L42" s="211"/>
      <c r="M42" s="205"/>
      <c r="N42" s="205"/>
      <c r="O42" s="46" t="str">
        <f ca="1">IF(SamplingFeatures[[#This Row],[Sampling Feature Type]]="Specimen",MAX(INDIRECT(CONCATENATE("R",ROW(SamplingFeatures[#Headers]),"C",COLUMN(),":R",ROW()-1,"C",COLUMN()),FALSE))+1,"")</f>
        <v/>
      </c>
      <c r="P42" s="211"/>
      <c r="Q42" s="205"/>
      <c r="R42" s="205"/>
    </row>
    <row r="43" spans="1:18">
      <c r="A43" s="138"/>
      <c r="B43" s="9"/>
      <c r="C43" s="9"/>
      <c r="D43" s="9"/>
      <c r="E43" s="10"/>
      <c r="F43" s="43"/>
      <c r="G43" s="11"/>
      <c r="H43" s="11"/>
      <c r="I43" s="11"/>
      <c r="J43" s="46" t="str">
        <f ca="1">IF(SamplingFeatures[[#This Row],[Feature IGSN]]&lt;&gt;"",MAX(INDIRECT(CONCATENATE("R",ROW(SamplingFeatures[#Headers]),"C",COLUMN(),":R",ROW()-1,"C",COLUMN()),FALSE))+1,"")</f>
        <v/>
      </c>
      <c r="K43" s="125" t="str">
        <f ca="1">IF(SamplingFeatures[[#This Row],[Sampling Feature Type]]="Site",MAX(INDIRECT(CONCATENATE("R",ROW(SamplingFeatures[#Headers]),"C",COLUMN(),":R",ROW()-1,"C",COLUMN()),FALSE))+1,"")</f>
        <v/>
      </c>
      <c r="L43" s="211"/>
      <c r="M43" s="205"/>
      <c r="N43" s="205"/>
      <c r="O43" s="46" t="str">
        <f ca="1">IF(SamplingFeatures[[#This Row],[Sampling Feature Type]]="Specimen",MAX(INDIRECT(CONCATENATE("R",ROW(SamplingFeatures[#Headers]),"C",COLUMN(),":R",ROW()-1,"C",COLUMN()),FALSE))+1,"")</f>
        <v/>
      </c>
      <c r="P43" s="211"/>
      <c r="Q43" s="205"/>
      <c r="R43" s="205"/>
    </row>
    <row r="44" spans="1:18">
      <c r="A44" s="138"/>
      <c r="B44" s="9"/>
      <c r="C44" s="9"/>
      <c r="D44" s="9"/>
      <c r="E44" s="10"/>
      <c r="F44" s="43"/>
      <c r="G44" s="11"/>
      <c r="H44" s="11"/>
      <c r="I44" s="11"/>
      <c r="J44" s="46" t="str">
        <f ca="1">IF(SamplingFeatures[[#This Row],[Feature IGSN]]&lt;&gt;"",MAX(INDIRECT(CONCATENATE("R",ROW(SamplingFeatures[#Headers]),"C",COLUMN(),":R",ROW()-1,"C",COLUMN()),FALSE))+1,"")</f>
        <v/>
      </c>
      <c r="K44" s="125" t="str">
        <f ca="1">IF(SamplingFeatures[[#This Row],[Sampling Feature Type]]="Site",MAX(INDIRECT(CONCATENATE("R",ROW(SamplingFeatures[#Headers]),"C",COLUMN(),":R",ROW()-1,"C",COLUMN()),FALSE))+1,"")</f>
        <v/>
      </c>
      <c r="L44" s="211"/>
      <c r="M44" s="205"/>
      <c r="N44" s="205"/>
      <c r="O44" s="46" t="str">
        <f ca="1">IF(SamplingFeatures[[#This Row],[Sampling Feature Type]]="Specimen",MAX(INDIRECT(CONCATENATE("R",ROW(SamplingFeatures[#Headers]),"C",COLUMN(),":R",ROW()-1,"C",COLUMN()),FALSE))+1,"")</f>
        <v/>
      </c>
      <c r="P44" s="211"/>
      <c r="Q44" s="205"/>
      <c r="R44" s="205"/>
    </row>
    <row r="45" spans="1:18">
      <c r="A45" s="138"/>
      <c r="B45" s="9"/>
      <c r="C45" s="9"/>
      <c r="D45" s="9"/>
      <c r="E45" s="10"/>
      <c r="F45" s="43"/>
      <c r="G45" s="11"/>
      <c r="H45" s="11"/>
      <c r="I45" s="11"/>
      <c r="J45" s="46" t="str">
        <f ca="1">IF(SamplingFeatures[[#This Row],[Feature IGSN]]&lt;&gt;"",MAX(INDIRECT(CONCATENATE("R",ROW(SamplingFeatures[#Headers]),"C",COLUMN(),":R",ROW()-1,"C",COLUMN()),FALSE))+1,"")</f>
        <v/>
      </c>
      <c r="K45" s="125" t="str">
        <f ca="1">IF(SamplingFeatures[[#This Row],[Sampling Feature Type]]="Site",MAX(INDIRECT(CONCATENATE("R",ROW(SamplingFeatures[#Headers]),"C",COLUMN(),":R",ROW()-1,"C",COLUMN()),FALSE))+1,"")</f>
        <v/>
      </c>
      <c r="L45" s="211"/>
      <c r="M45" s="205"/>
      <c r="N45" s="205"/>
      <c r="O45" s="46" t="str">
        <f ca="1">IF(SamplingFeatures[[#This Row],[Sampling Feature Type]]="Specimen",MAX(INDIRECT(CONCATENATE("R",ROW(SamplingFeatures[#Headers]),"C",COLUMN(),":R",ROW()-1,"C",COLUMN()),FALSE))+1,"")</f>
        <v/>
      </c>
      <c r="P45" s="211"/>
      <c r="Q45" s="205"/>
      <c r="R45" s="205"/>
    </row>
    <row r="46" spans="1:18">
      <c r="A46" s="138"/>
      <c r="B46" s="9"/>
      <c r="C46" s="9"/>
      <c r="D46" s="9"/>
      <c r="E46" s="10"/>
      <c r="F46" s="43"/>
      <c r="G46" s="11"/>
      <c r="H46" s="11"/>
      <c r="I46" s="11"/>
      <c r="J46" s="46" t="str">
        <f ca="1">IF(SamplingFeatures[[#This Row],[Feature IGSN]]&lt;&gt;"",MAX(INDIRECT(CONCATENATE("R",ROW(SamplingFeatures[#Headers]),"C",COLUMN(),":R",ROW()-1,"C",COLUMN()),FALSE))+1,"")</f>
        <v/>
      </c>
      <c r="K46" s="125" t="str">
        <f ca="1">IF(SamplingFeatures[[#This Row],[Sampling Feature Type]]="Site",MAX(INDIRECT(CONCATENATE("R",ROW(SamplingFeatures[#Headers]),"C",COLUMN(),":R",ROW()-1,"C",COLUMN()),FALSE))+1,"")</f>
        <v/>
      </c>
      <c r="L46" s="211"/>
      <c r="M46" s="205"/>
      <c r="N46" s="205"/>
      <c r="O46" s="46" t="str">
        <f ca="1">IF(SamplingFeatures[[#This Row],[Sampling Feature Type]]="Specimen",MAX(INDIRECT(CONCATENATE("R",ROW(SamplingFeatures[#Headers]),"C",COLUMN(),":R",ROW()-1,"C",COLUMN()),FALSE))+1,"")</f>
        <v/>
      </c>
      <c r="P46" s="211"/>
      <c r="Q46" s="205"/>
      <c r="R46" s="205"/>
    </row>
    <row r="47" spans="1:18">
      <c r="A47" s="138"/>
      <c r="B47" s="9"/>
      <c r="C47" s="9"/>
      <c r="D47" s="9"/>
      <c r="E47" s="10"/>
      <c r="F47" s="43"/>
      <c r="G47" s="11"/>
      <c r="H47" s="11"/>
      <c r="I47" s="11"/>
      <c r="J47" s="46" t="str">
        <f ca="1">IF(SamplingFeatures[[#This Row],[Feature IGSN]]&lt;&gt;"",MAX(INDIRECT(CONCATENATE("R",ROW(SamplingFeatures[#Headers]),"C",COLUMN(),":R",ROW()-1,"C",COLUMN()),FALSE))+1,"")</f>
        <v/>
      </c>
      <c r="K47" s="125" t="str">
        <f ca="1">IF(SamplingFeatures[[#This Row],[Sampling Feature Type]]="Site",MAX(INDIRECT(CONCATENATE("R",ROW(SamplingFeatures[#Headers]),"C",COLUMN(),":R",ROW()-1,"C",COLUMN()),FALSE))+1,"")</f>
        <v/>
      </c>
      <c r="L47" s="211"/>
      <c r="M47" s="205"/>
      <c r="N47" s="205"/>
      <c r="O47" s="46" t="str">
        <f ca="1">IF(SamplingFeatures[[#This Row],[Sampling Feature Type]]="Specimen",MAX(INDIRECT(CONCATENATE("R",ROW(SamplingFeatures[#Headers]),"C",COLUMN(),":R",ROW()-1,"C",COLUMN()),FALSE))+1,"")</f>
        <v/>
      </c>
      <c r="P47" s="211"/>
      <c r="Q47" s="205"/>
      <c r="R47" s="205"/>
    </row>
    <row r="48" spans="1:18">
      <c r="A48" s="138"/>
      <c r="B48" s="9"/>
      <c r="C48" s="9"/>
      <c r="D48" s="9"/>
      <c r="E48" s="10"/>
      <c r="F48" s="43"/>
      <c r="G48" s="11"/>
      <c r="H48" s="11"/>
      <c r="I48" s="11"/>
      <c r="J48" s="46" t="str">
        <f ca="1">IF(SamplingFeatures[[#This Row],[Feature IGSN]]&lt;&gt;"",MAX(INDIRECT(CONCATENATE("R",ROW(SamplingFeatures[#Headers]),"C",COLUMN(),":R",ROW()-1,"C",COLUMN()),FALSE))+1,"")</f>
        <v/>
      </c>
      <c r="K48" s="125" t="str">
        <f ca="1">IF(SamplingFeatures[[#This Row],[Sampling Feature Type]]="Site",MAX(INDIRECT(CONCATENATE("R",ROW(SamplingFeatures[#Headers]),"C",COLUMN(),":R",ROW()-1,"C",COLUMN()),FALSE))+1,"")</f>
        <v/>
      </c>
      <c r="L48" s="211"/>
      <c r="M48" s="205"/>
      <c r="N48" s="205"/>
      <c r="O48" s="46" t="str">
        <f ca="1">IF(SamplingFeatures[[#This Row],[Sampling Feature Type]]="Specimen",MAX(INDIRECT(CONCATENATE("R",ROW(SamplingFeatures[#Headers]),"C",COLUMN(),":R",ROW()-1,"C",COLUMN()),FALSE))+1,"")</f>
        <v/>
      </c>
      <c r="P48" s="211"/>
      <c r="Q48" s="205"/>
      <c r="R48" s="205"/>
    </row>
    <row r="49" spans="1:18">
      <c r="A49" s="138"/>
      <c r="B49" s="9"/>
      <c r="C49" s="9"/>
      <c r="D49" s="9"/>
      <c r="E49" s="10"/>
      <c r="F49" s="43"/>
      <c r="G49" s="11"/>
      <c r="H49" s="11"/>
      <c r="I49" s="11"/>
      <c r="J49" s="46" t="str">
        <f ca="1">IF(SamplingFeatures[[#This Row],[Feature IGSN]]&lt;&gt;"",MAX(INDIRECT(CONCATENATE("R",ROW(SamplingFeatures[#Headers]),"C",COLUMN(),":R",ROW()-1,"C",COLUMN()),FALSE))+1,"")</f>
        <v/>
      </c>
      <c r="K49" s="125" t="str">
        <f ca="1">IF(SamplingFeatures[[#This Row],[Sampling Feature Type]]="Site",MAX(INDIRECT(CONCATENATE("R",ROW(SamplingFeatures[#Headers]),"C",COLUMN(),":R",ROW()-1,"C",COLUMN()),FALSE))+1,"")</f>
        <v/>
      </c>
      <c r="L49" s="211"/>
      <c r="M49" s="205"/>
      <c r="N49" s="205"/>
      <c r="O49" s="46" t="str">
        <f ca="1">IF(SamplingFeatures[[#This Row],[Sampling Feature Type]]="Specimen",MAX(INDIRECT(CONCATENATE("R",ROW(SamplingFeatures[#Headers]),"C",COLUMN(),":R",ROW()-1,"C",COLUMN()),FALSE))+1,"")</f>
        <v/>
      </c>
      <c r="P49" s="211"/>
      <c r="Q49" s="205"/>
      <c r="R49" s="205"/>
    </row>
    <row r="50" spans="1:18">
      <c r="A50" s="138"/>
      <c r="B50" s="9"/>
      <c r="C50" s="9"/>
      <c r="D50" s="9"/>
      <c r="E50" s="10"/>
      <c r="F50" s="43"/>
      <c r="G50" s="11"/>
      <c r="H50" s="11"/>
      <c r="I50" s="11"/>
      <c r="J50" s="46" t="str">
        <f ca="1">IF(SamplingFeatures[[#This Row],[Feature IGSN]]&lt;&gt;"",MAX(INDIRECT(CONCATENATE("R",ROW(SamplingFeatures[#Headers]),"C",COLUMN(),":R",ROW()-1,"C",COLUMN()),FALSE))+1,"")</f>
        <v/>
      </c>
      <c r="K50" s="125" t="str">
        <f ca="1">IF(SamplingFeatures[[#This Row],[Sampling Feature Type]]="Site",MAX(INDIRECT(CONCATENATE("R",ROW(SamplingFeatures[#Headers]),"C",COLUMN(),":R",ROW()-1,"C",COLUMN()),FALSE))+1,"")</f>
        <v/>
      </c>
      <c r="L50" s="211"/>
      <c r="M50" s="205"/>
      <c r="N50" s="205"/>
      <c r="O50" s="46" t="str">
        <f ca="1">IF(SamplingFeatures[[#This Row],[Sampling Feature Type]]="Specimen",MAX(INDIRECT(CONCATENATE("R",ROW(SamplingFeatures[#Headers]),"C",COLUMN(),":R",ROW()-1,"C",COLUMN()),FALSE))+1,"")</f>
        <v/>
      </c>
      <c r="P50" s="211"/>
      <c r="Q50" s="205"/>
      <c r="R50" s="205"/>
    </row>
    <row r="51" spans="1:18">
      <c r="A51" s="138"/>
      <c r="B51" s="9"/>
      <c r="C51" s="9"/>
      <c r="D51" s="9"/>
      <c r="E51" s="10"/>
      <c r="F51" s="43"/>
      <c r="G51" s="11"/>
      <c r="H51" s="11"/>
      <c r="I51" s="11"/>
      <c r="J51" s="46" t="str">
        <f ca="1">IF(SamplingFeatures[[#This Row],[Feature IGSN]]&lt;&gt;"",MAX(INDIRECT(CONCATENATE("R",ROW(SamplingFeatures[#Headers]),"C",COLUMN(),":R",ROW()-1,"C",COLUMN()),FALSE))+1,"")</f>
        <v/>
      </c>
      <c r="K51" s="125" t="str">
        <f ca="1">IF(SamplingFeatures[[#This Row],[Sampling Feature Type]]="Site",MAX(INDIRECT(CONCATENATE("R",ROW(SamplingFeatures[#Headers]),"C",COLUMN(),":R",ROW()-1,"C",COLUMN()),FALSE))+1,"")</f>
        <v/>
      </c>
      <c r="L51" s="211"/>
      <c r="M51" s="205"/>
      <c r="N51" s="205"/>
      <c r="O51" s="46" t="str">
        <f ca="1">IF(SamplingFeatures[[#This Row],[Sampling Feature Type]]="Specimen",MAX(INDIRECT(CONCATENATE("R",ROW(SamplingFeatures[#Headers]),"C",COLUMN(),":R",ROW()-1,"C",COLUMN()),FALSE))+1,"")</f>
        <v/>
      </c>
      <c r="P51" s="211"/>
      <c r="Q51" s="205"/>
      <c r="R51" s="205"/>
    </row>
    <row r="52" spans="1:18">
      <c r="A52" s="138"/>
      <c r="B52" s="9"/>
      <c r="C52" s="9"/>
      <c r="D52" s="9"/>
      <c r="E52" s="10"/>
      <c r="F52" s="43"/>
      <c r="G52" s="11"/>
      <c r="H52" s="11"/>
      <c r="I52" s="11"/>
      <c r="J52" s="46" t="str">
        <f ca="1">IF(SamplingFeatures[[#This Row],[Feature IGSN]]&lt;&gt;"",MAX(INDIRECT(CONCATENATE("R",ROW(SamplingFeatures[#Headers]),"C",COLUMN(),":R",ROW()-1,"C",COLUMN()),FALSE))+1,"")</f>
        <v/>
      </c>
      <c r="K52" s="125" t="str">
        <f ca="1">IF(SamplingFeatures[[#This Row],[Sampling Feature Type]]="Site",MAX(INDIRECT(CONCATENATE("R",ROW(SamplingFeatures[#Headers]),"C",COLUMN(),":R",ROW()-1,"C",COLUMN()),FALSE))+1,"")</f>
        <v/>
      </c>
      <c r="L52" s="211"/>
      <c r="M52" s="205"/>
      <c r="N52" s="205"/>
      <c r="O52" s="46" t="str">
        <f ca="1">IF(SamplingFeatures[[#This Row],[Sampling Feature Type]]="Specimen",MAX(INDIRECT(CONCATENATE("R",ROW(SamplingFeatures[#Headers]),"C",COLUMN(),":R",ROW()-1,"C",COLUMN()),FALSE))+1,"")</f>
        <v/>
      </c>
      <c r="P52" s="211"/>
      <c r="Q52" s="205"/>
      <c r="R52" s="205"/>
    </row>
    <row r="53" spans="1:18">
      <c r="A53" s="138"/>
      <c r="B53" s="9"/>
      <c r="C53" s="9"/>
      <c r="D53" s="9"/>
      <c r="E53" s="10"/>
      <c r="F53" s="43"/>
      <c r="G53" s="11"/>
      <c r="H53" s="11"/>
      <c r="I53" s="11"/>
      <c r="J53" s="46" t="str">
        <f ca="1">IF(SamplingFeatures[[#This Row],[Feature IGSN]]&lt;&gt;"",MAX(INDIRECT(CONCATENATE("R",ROW(SamplingFeatures[#Headers]),"C",COLUMN(),":R",ROW()-1,"C",COLUMN()),FALSE))+1,"")</f>
        <v/>
      </c>
      <c r="K53" s="125" t="str">
        <f ca="1">IF(SamplingFeatures[[#This Row],[Sampling Feature Type]]="Site",MAX(INDIRECT(CONCATENATE("R",ROW(SamplingFeatures[#Headers]),"C",COLUMN(),":R",ROW()-1,"C",COLUMN()),FALSE))+1,"")</f>
        <v/>
      </c>
      <c r="L53" s="211"/>
      <c r="M53" s="205"/>
      <c r="N53" s="205"/>
      <c r="O53" s="46" t="str">
        <f ca="1">IF(SamplingFeatures[[#This Row],[Sampling Feature Type]]="Specimen",MAX(INDIRECT(CONCATENATE("R",ROW(SamplingFeatures[#Headers]),"C",COLUMN(),":R",ROW()-1,"C",COLUMN()),FALSE))+1,"")</f>
        <v/>
      </c>
      <c r="P53" s="211"/>
      <c r="Q53" s="205"/>
      <c r="R53" s="205"/>
    </row>
    <row r="54" spans="1:18">
      <c r="A54" s="138"/>
      <c r="B54" s="9"/>
      <c r="C54" s="9"/>
      <c r="D54" s="9"/>
      <c r="E54" s="10"/>
      <c r="F54" s="43"/>
      <c r="G54" s="11"/>
      <c r="H54" s="11"/>
      <c r="I54" s="11"/>
      <c r="J54" s="46" t="str">
        <f ca="1">IF(SamplingFeatures[[#This Row],[Feature IGSN]]&lt;&gt;"",MAX(INDIRECT(CONCATENATE("R",ROW(SamplingFeatures[#Headers]),"C",COLUMN(),":R",ROW()-1,"C",COLUMN()),FALSE))+1,"")</f>
        <v/>
      </c>
      <c r="K54" s="125" t="str">
        <f ca="1">IF(SamplingFeatures[[#This Row],[Sampling Feature Type]]="Site",MAX(INDIRECT(CONCATENATE("R",ROW(SamplingFeatures[#Headers]),"C",COLUMN(),":R",ROW()-1,"C",COLUMN()),FALSE))+1,"")</f>
        <v/>
      </c>
      <c r="L54" s="211"/>
      <c r="M54" s="205"/>
      <c r="N54" s="205"/>
      <c r="O54" s="46" t="str">
        <f ca="1">IF(SamplingFeatures[[#This Row],[Sampling Feature Type]]="Specimen",MAX(INDIRECT(CONCATENATE("R",ROW(SamplingFeatures[#Headers]),"C",COLUMN(),":R",ROW()-1,"C",COLUMN()),FALSE))+1,"")</f>
        <v/>
      </c>
      <c r="P54" s="211"/>
      <c r="Q54" s="205"/>
      <c r="R54" s="205"/>
    </row>
    <row r="55" spans="1:18">
      <c r="A55" s="138"/>
      <c r="B55" s="9"/>
      <c r="C55" s="9"/>
      <c r="D55" s="9"/>
      <c r="E55" s="10"/>
      <c r="F55" s="43"/>
      <c r="G55" s="11"/>
      <c r="H55" s="11"/>
      <c r="I55" s="11"/>
      <c r="J55" s="46" t="str">
        <f ca="1">IF(SamplingFeatures[[#This Row],[Feature IGSN]]&lt;&gt;"",MAX(INDIRECT(CONCATENATE("R",ROW(SamplingFeatures[#Headers]),"C",COLUMN(),":R",ROW()-1,"C",COLUMN()),FALSE))+1,"")</f>
        <v/>
      </c>
      <c r="K55" s="125" t="str">
        <f ca="1">IF(SamplingFeatures[[#This Row],[Sampling Feature Type]]="Site",MAX(INDIRECT(CONCATENATE("R",ROW(SamplingFeatures[#Headers]),"C",COLUMN(),":R",ROW()-1,"C",COLUMN()),FALSE))+1,"")</f>
        <v/>
      </c>
      <c r="L55" s="211"/>
      <c r="M55" s="205"/>
      <c r="N55" s="205"/>
      <c r="O55" s="46" t="str">
        <f ca="1">IF(SamplingFeatures[[#This Row],[Sampling Feature Type]]="Specimen",MAX(INDIRECT(CONCATENATE("R",ROW(SamplingFeatures[#Headers]),"C",COLUMN(),":R",ROW()-1,"C",COLUMN()),FALSE))+1,"")</f>
        <v/>
      </c>
      <c r="P55" s="211"/>
      <c r="Q55" s="205"/>
      <c r="R55" s="205"/>
    </row>
    <row r="56" spans="1:18">
      <c r="A56" s="138"/>
      <c r="B56" s="9"/>
      <c r="C56" s="9"/>
      <c r="D56" s="9"/>
      <c r="E56" s="10"/>
      <c r="F56" s="43"/>
      <c r="G56" s="11"/>
      <c r="H56" s="11"/>
      <c r="I56" s="11"/>
      <c r="J56" s="46" t="str">
        <f ca="1">IF(SamplingFeatures[[#This Row],[Feature IGSN]]&lt;&gt;"",MAX(INDIRECT(CONCATENATE("R",ROW(SamplingFeatures[#Headers]),"C",COLUMN(),":R",ROW()-1,"C",COLUMN()),FALSE))+1,"")</f>
        <v/>
      </c>
      <c r="K56" s="125" t="str">
        <f ca="1">IF(SamplingFeatures[[#This Row],[Sampling Feature Type]]="Site",MAX(INDIRECT(CONCATENATE("R",ROW(SamplingFeatures[#Headers]),"C",COLUMN(),":R",ROW()-1,"C",COLUMN()),FALSE))+1,"")</f>
        <v/>
      </c>
      <c r="L56" s="211"/>
      <c r="M56" s="205"/>
      <c r="N56" s="205"/>
      <c r="O56" s="46" t="str">
        <f ca="1">IF(SamplingFeatures[[#This Row],[Sampling Feature Type]]="Specimen",MAX(INDIRECT(CONCATENATE("R",ROW(SamplingFeatures[#Headers]),"C",COLUMN(),":R",ROW()-1,"C",COLUMN()),FALSE))+1,"")</f>
        <v/>
      </c>
      <c r="P56" s="211"/>
      <c r="Q56" s="205"/>
      <c r="R56" s="205"/>
    </row>
    <row r="57" spans="1:18">
      <c r="A57" s="138"/>
      <c r="B57" s="9"/>
      <c r="C57" s="9"/>
      <c r="D57" s="9"/>
      <c r="E57" s="10"/>
      <c r="F57" s="43"/>
      <c r="G57" s="11"/>
      <c r="H57" s="11"/>
      <c r="I57" s="11"/>
      <c r="J57" s="46" t="str">
        <f ca="1">IF(SamplingFeatures[[#This Row],[Feature IGSN]]&lt;&gt;"",MAX(INDIRECT(CONCATENATE("R",ROW(SamplingFeatures[#Headers]),"C",COLUMN(),":R",ROW()-1,"C",COLUMN()),FALSE))+1,"")</f>
        <v/>
      </c>
      <c r="K57" s="125" t="str">
        <f ca="1">IF(SamplingFeatures[[#This Row],[Sampling Feature Type]]="Site",MAX(INDIRECT(CONCATENATE("R",ROW(SamplingFeatures[#Headers]),"C",COLUMN(),":R",ROW()-1,"C",COLUMN()),FALSE))+1,"")</f>
        <v/>
      </c>
      <c r="L57" s="211"/>
      <c r="M57" s="205"/>
      <c r="N57" s="205"/>
      <c r="O57" s="46" t="str">
        <f ca="1">IF(SamplingFeatures[[#This Row],[Sampling Feature Type]]="Specimen",MAX(INDIRECT(CONCATENATE("R",ROW(SamplingFeatures[#Headers]),"C",COLUMN(),":R",ROW()-1,"C",COLUMN()),FALSE))+1,"")</f>
        <v/>
      </c>
      <c r="P57" s="211"/>
      <c r="Q57" s="205"/>
      <c r="R57" s="205"/>
    </row>
    <row r="58" spans="1:18">
      <c r="A58" s="138"/>
      <c r="B58" s="9"/>
      <c r="C58" s="9"/>
      <c r="D58" s="9"/>
      <c r="E58" s="10"/>
      <c r="F58" s="43"/>
      <c r="G58" s="11"/>
      <c r="H58" s="11"/>
      <c r="I58" s="11"/>
      <c r="J58" s="46" t="str">
        <f ca="1">IF(SamplingFeatures[[#This Row],[Feature IGSN]]&lt;&gt;"",MAX(INDIRECT(CONCATENATE("R",ROW(SamplingFeatures[#Headers]),"C",COLUMN(),":R",ROW()-1,"C",COLUMN()),FALSE))+1,"")</f>
        <v/>
      </c>
      <c r="K58" s="125" t="str">
        <f ca="1">IF(SamplingFeatures[[#This Row],[Sampling Feature Type]]="Site",MAX(INDIRECT(CONCATENATE("R",ROW(SamplingFeatures[#Headers]),"C",COLUMN(),":R",ROW()-1,"C",COLUMN()),FALSE))+1,"")</f>
        <v/>
      </c>
      <c r="L58" s="211"/>
      <c r="M58" s="205"/>
      <c r="N58" s="205"/>
      <c r="O58" s="46" t="str">
        <f ca="1">IF(SamplingFeatures[[#This Row],[Sampling Feature Type]]="Specimen",MAX(INDIRECT(CONCATENATE("R",ROW(SamplingFeatures[#Headers]),"C",COLUMN(),":R",ROW()-1,"C",COLUMN()),FALSE))+1,"")</f>
        <v/>
      </c>
      <c r="P58" s="211"/>
      <c r="Q58" s="205"/>
      <c r="R58" s="205"/>
    </row>
    <row r="59" spans="1:18">
      <c r="A59" s="138"/>
      <c r="B59" s="9"/>
      <c r="C59" s="9"/>
      <c r="D59" s="9"/>
      <c r="E59" s="10"/>
      <c r="F59" s="43"/>
      <c r="G59" s="11"/>
      <c r="H59" s="11"/>
      <c r="I59" s="11"/>
      <c r="J59" s="46" t="str">
        <f ca="1">IF(SamplingFeatures[[#This Row],[Feature IGSN]]&lt;&gt;"",MAX(INDIRECT(CONCATENATE("R",ROW(SamplingFeatures[#Headers]),"C",COLUMN(),":R",ROW()-1,"C",COLUMN()),FALSE))+1,"")</f>
        <v/>
      </c>
      <c r="K59" s="125" t="str">
        <f ca="1">IF(SamplingFeatures[[#This Row],[Sampling Feature Type]]="Site",MAX(INDIRECT(CONCATENATE("R",ROW(SamplingFeatures[#Headers]),"C",COLUMN(),":R",ROW()-1,"C",COLUMN()),FALSE))+1,"")</f>
        <v/>
      </c>
      <c r="L59" s="211"/>
      <c r="M59" s="205"/>
      <c r="N59" s="205"/>
      <c r="O59" s="46" t="str">
        <f ca="1">IF(SamplingFeatures[[#This Row],[Sampling Feature Type]]="Specimen",MAX(INDIRECT(CONCATENATE("R",ROW(SamplingFeatures[#Headers]),"C",COLUMN(),":R",ROW()-1,"C",COLUMN()),FALSE))+1,"")</f>
        <v/>
      </c>
      <c r="P59" s="211"/>
      <c r="Q59" s="205"/>
      <c r="R59" s="205"/>
    </row>
    <row r="60" spans="1:18">
      <c r="A60" s="138"/>
      <c r="B60" s="9"/>
      <c r="C60" s="9"/>
      <c r="D60" s="9"/>
      <c r="E60" s="10"/>
      <c r="F60" s="43"/>
      <c r="G60" s="11"/>
      <c r="H60" s="11"/>
      <c r="I60" s="11"/>
      <c r="J60" s="46" t="str">
        <f ca="1">IF(SamplingFeatures[[#This Row],[Feature IGSN]]&lt;&gt;"",MAX(INDIRECT(CONCATENATE("R",ROW(SamplingFeatures[#Headers]),"C",COLUMN(),":R",ROW()-1,"C",COLUMN()),FALSE))+1,"")</f>
        <v/>
      </c>
      <c r="K60" s="125" t="str">
        <f ca="1">IF(SamplingFeatures[[#This Row],[Sampling Feature Type]]="Site",MAX(INDIRECT(CONCATENATE("R",ROW(SamplingFeatures[#Headers]),"C",COLUMN(),":R",ROW()-1,"C",COLUMN()),FALSE))+1,"")</f>
        <v/>
      </c>
      <c r="L60" s="211"/>
      <c r="M60" s="205"/>
      <c r="N60" s="205"/>
      <c r="O60" s="46" t="str">
        <f ca="1">IF(SamplingFeatures[[#This Row],[Sampling Feature Type]]="Specimen",MAX(INDIRECT(CONCATENATE("R",ROW(SamplingFeatures[#Headers]),"C",COLUMN(),":R",ROW()-1,"C",COLUMN()),FALSE))+1,"")</f>
        <v/>
      </c>
      <c r="P60" s="211"/>
      <c r="Q60" s="205"/>
      <c r="R60" s="205"/>
    </row>
    <row r="61" spans="1:18">
      <c r="A61" s="138"/>
      <c r="B61" s="9"/>
      <c r="C61" s="9"/>
      <c r="D61" s="17"/>
      <c r="E61" s="10"/>
      <c r="F61" s="43"/>
      <c r="G61" s="11"/>
      <c r="H61" s="11"/>
      <c r="I61" s="11"/>
      <c r="J61" s="46" t="str">
        <f ca="1">IF(SamplingFeatures[[#This Row],[Feature IGSN]]&lt;&gt;"",MAX(INDIRECT(CONCATENATE("R",ROW(SamplingFeatures[#Headers]),"C",COLUMN(),":R",ROW()-1,"C",COLUMN()),FALSE))+1,"")</f>
        <v/>
      </c>
      <c r="K61" s="125" t="str">
        <f ca="1">IF(SamplingFeatures[[#This Row],[Sampling Feature Type]]="Site",MAX(INDIRECT(CONCATENATE("R",ROW(SamplingFeatures[#Headers]),"C",COLUMN(),":R",ROW()-1,"C",COLUMN()),FALSE))+1,"")</f>
        <v/>
      </c>
      <c r="L61" s="211"/>
      <c r="M61" s="205"/>
      <c r="N61" s="205"/>
      <c r="O61" s="46" t="str">
        <f ca="1">IF(SamplingFeatures[[#This Row],[Sampling Feature Type]]="Specimen",MAX(INDIRECT(CONCATENATE("R",ROW(SamplingFeatures[#Headers]),"C",COLUMN(),":R",ROW()-1,"C",COLUMN()),FALSE))+1,"")</f>
        <v/>
      </c>
      <c r="P61" s="211"/>
      <c r="Q61" s="205"/>
      <c r="R61" s="205"/>
    </row>
    <row r="62" spans="1:18" ht="15" thickBot="1">
      <c r="A62" s="139"/>
      <c r="B62" s="13"/>
      <c r="C62" s="13"/>
      <c r="D62" s="9"/>
      <c r="E62" s="14"/>
      <c r="F62" s="44"/>
      <c r="G62" s="15"/>
      <c r="H62" s="15"/>
      <c r="I62" s="15"/>
      <c r="J62" s="48" t="str">
        <f ca="1">IF(SamplingFeatures[[#This Row],[Feature IGSN]]&lt;&gt;"",MAX(INDIRECT(CONCATENATE("R",ROW(SamplingFeatures[#Headers]),"C",COLUMN(),":R",ROW()-1,"C",COLUMN()),FALSE))+1,"")</f>
        <v/>
      </c>
      <c r="K62" s="215" t="str">
        <f ca="1">IF(SamplingFeatures[[#This Row],[Sampling Feature Type]]="Site",MAX(INDIRECT(CONCATENATE("R",ROW(SamplingFeatures[#Headers]),"C",COLUMN(),":R",ROW()-1,"C",COLUMN()),FALSE))+1,"")</f>
        <v/>
      </c>
      <c r="L62" s="212"/>
      <c r="M62" s="207"/>
      <c r="N62" s="207"/>
      <c r="O62" s="217" t="str">
        <f ca="1">IF(SamplingFeatures[[#This Row],[Sampling Feature Type]]="Specimen",MAX(INDIRECT(CONCATENATE("R",ROW(SamplingFeatures[#Headers]),"C",COLUMN(),":R",ROW()-1,"C",COLUMN()),FALSE))+1,"")</f>
        <v/>
      </c>
      <c r="P62" s="212"/>
      <c r="Q62" s="207"/>
      <c r="R62" s="207"/>
    </row>
  </sheetData>
  <sheetProtection password="CA31" sheet="1" objects="1" scenarios="1" formatColumns="0" insertRows="0" insertHyperlinks="0" deleteRows="0"/>
  <mergeCells count="3">
    <mergeCell ref="A8:B8"/>
    <mergeCell ref="K11:N11"/>
    <mergeCell ref="O11:R11"/>
  </mergeCells>
  <conditionalFormatting sqref="B9">
    <cfRule type="expression" dxfId="61" priority="22">
      <formula>AND(COUNTIF(ElevationDatumCV,$B$9)=0,$B$9&lt;&gt;"")</formula>
    </cfRule>
  </conditionalFormatting>
  <conditionalFormatting sqref="B10">
    <cfRule type="expression" dxfId="60" priority="21">
      <formula>AND(COUNTIF(LatLonDatumNames,$B$10)=0,$B$10&lt;&gt;"")</formula>
    </cfRule>
  </conditionalFormatting>
  <conditionalFormatting sqref="B13:B62">
    <cfRule type="expression" dxfId="59" priority="20">
      <formula>AND(COUNTIF(SamplingFeatureTypeCV,$B13)=0,$B13&lt;&gt;"")</formula>
    </cfRule>
  </conditionalFormatting>
  <conditionalFormatting sqref="C13:C62">
    <cfRule type="expression" dxfId="58" priority="19">
      <formula>AND(COUNTIF(SamplingFeatureGeotypeCV,$C13)=0,$C13&lt;&gt;"")</formula>
    </cfRule>
  </conditionalFormatting>
  <conditionalFormatting sqref="B13:D62">
    <cfRule type="expression" dxfId="57" priority="18">
      <formula>AND(COUNTA($A13:$I13)&gt;0,B13="")</formula>
    </cfRule>
  </conditionalFormatting>
  <conditionalFormatting sqref="A61:C62 E61:I62 D62 A14:I60">
    <cfRule type="expression" dxfId="56" priority="17">
      <formula>AND(COUNTA($A13:$I13)=0,A14&lt;&gt;"")</formula>
    </cfRule>
  </conditionalFormatting>
  <conditionalFormatting sqref="H13:H62">
    <cfRule type="expression" dxfId="55" priority="16">
      <formula>ISTEXT($H13)</formula>
    </cfRule>
  </conditionalFormatting>
  <conditionalFormatting sqref="M13:N62">
    <cfRule type="expression" dxfId="54" priority="12">
      <formula>ISTEXT(M13)</formula>
    </cfRule>
  </conditionalFormatting>
  <conditionalFormatting sqref="L13:L62">
    <cfRule type="expression" dxfId="53" priority="11">
      <formula>AND(COUNTIF(SiteTypeCV,$L13)=0,$L13&lt;&gt;"")</formula>
    </cfRule>
  </conditionalFormatting>
  <conditionalFormatting sqref="L13:N62">
    <cfRule type="expression" dxfId="52" priority="9">
      <formula>AND($B13&lt;&gt;"Site",L13&lt;&gt;"")</formula>
    </cfRule>
    <cfRule type="expression" dxfId="51" priority="10">
      <formula>AND($B13="Site",L13="")</formula>
    </cfRule>
  </conditionalFormatting>
  <conditionalFormatting sqref="P13:P62">
    <cfRule type="expression" dxfId="50" priority="6">
      <formula>AND(COUNTIF(SpecimenTypeCV,$P13)=0,$P13&lt;&gt;"")</formula>
    </cfRule>
  </conditionalFormatting>
  <conditionalFormatting sqref="Q13:Q62">
    <cfRule type="expression" dxfId="49" priority="5">
      <formula>AND(COUNTIF(SampledMediumCV,$Q13)=0,$Q13&lt;&gt;"")</formula>
    </cfRule>
  </conditionalFormatting>
  <conditionalFormatting sqref="R13:R62">
    <cfRule type="expression" dxfId="48" priority="4">
      <formula>AND(COUNTIF(Boolean,$R13)=0,$R13&lt;&gt;"")</formula>
    </cfRule>
  </conditionalFormatting>
  <conditionalFormatting sqref="P13:R62">
    <cfRule type="expression" dxfId="47" priority="50">
      <formula>AND($B13&lt;&gt;"Specimen",P13&lt;&gt;"")</formula>
    </cfRule>
    <cfRule type="expression" dxfId="46" priority="51">
      <formula>AND($B13="Specimen",P13="")</formula>
    </cfRule>
  </conditionalFormatting>
  <conditionalFormatting sqref="D13:D60">
    <cfRule type="duplicateValues" dxfId="45" priority="146"/>
  </conditionalFormatting>
  <conditionalFormatting sqref="I13:I62">
    <cfRule type="duplicateValues" dxfId="44" priority="160"/>
  </conditionalFormatting>
  <conditionalFormatting sqref="A13:A62">
    <cfRule type="duplicateValues" dxfId="43" priority="161"/>
  </conditionalFormatting>
  <conditionalFormatting sqref="D61:D62">
    <cfRule type="duplicateValues" dxfId="42" priority="164"/>
  </conditionalFormatting>
  <dataValidations count="9">
    <dataValidation type="list" allowBlank="1" showInputMessage="1" showErrorMessage="1" sqref="B9">
      <formula1>ElevationDatumCV</formula1>
    </dataValidation>
    <dataValidation type="list" allowBlank="1" showInputMessage="1" showErrorMessage="1" sqref="B10">
      <formula1>LatLonDatumNames</formula1>
    </dataValidation>
    <dataValidation allowBlank="1" showInputMessage="1" showErrorMessage="1" errorTitle="Invalid Value" error="This column only applies to sampling features that are either sites or specimens." sqref="O13 K13:K62"/>
    <dataValidation type="list" allowBlank="1" showInputMessage="1" showErrorMessage="1" sqref="B13:B62">
      <formula1>SamplingFeatureTypeCV</formula1>
    </dataValidation>
    <dataValidation type="list" allowBlank="1" showInputMessage="1" showErrorMessage="1" sqref="C13:C62">
      <formula1>SamplingFeatureGeotypeCV</formula1>
    </dataValidation>
    <dataValidation type="list" allowBlank="1" showInputMessage="1" showErrorMessage="1" sqref="P13:P62">
      <formula1>IF(B13="Specimen",SpecimenTypeCV,"")</formula1>
    </dataValidation>
    <dataValidation type="list" allowBlank="1" showInputMessage="1" showErrorMessage="1" sqref="R13:R62">
      <formula1>IF(B13="Specimen",Boolean,"")</formula1>
    </dataValidation>
    <dataValidation type="list" allowBlank="1" showInputMessage="1" showErrorMessage="1" sqref="Q13:Q62">
      <formula1>IF(B13="Specimen",SampledMediumCV,"")</formula1>
    </dataValidation>
    <dataValidation type="list" allowBlank="1" showInputMessage="1" showErrorMessage="1" errorTitle="Invalid Value" error="This column only applies to sampling features that are either sites or specimens." sqref="L13:L62">
      <formula1>IF(B13="Site",SiteTypeCV,"")</formula1>
    </dataValidation>
  </dataValidations>
  <pageMargins left="0.7" right="0.7" top="0.75" bottom="0.75" header="0.3" footer="0.3"/>
  <pageSetup orientation="portrait" horizontalDpi="4294967292" verticalDpi="4294967292"/>
  <legacyDrawing r:id="rId1"/>
  <tableParts count="1">
    <tablePart r:id="rId2"/>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enableFormatConditionsCalculation="0"/>
  <dimension ref="A1:H39"/>
  <sheetViews>
    <sheetView zoomScale="125" zoomScaleNormal="125" zoomScalePageLayoutView="125" workbookViewId="0"/>
  </sheetViews>
  <sheetFormatPr baseColWidth="10" defaultColWidth="8.83203125" defaultRowHeight="14" x14ac:dyDescent="0"/>
  <cols>
    <col min="1" max="1" width="19.5" style="5" customWidth="1"/>
    <col min="2" max="2" width="18.5" style="5" bestFit="1" customWidth="1"/>
    <col min="3" max="3" width="14.1640625" style="5" bestFit="1" customWidth="1"/>
    <col min="4" max="4" width="12.6640625" style="5" bestFit="1" customWidth="1"/>
    <col min="5" max="5" width="14.1640625" style="5" bestFit="1" customWidth="1"/>
    <col min="6" max="6" width="12.6640625" style="5" bestFit="1" customWidth="1"/>
    <col min="7" max="7" width="14.1640625" style="5" bestFit="1" customWidth="1"/>
    <col min="8" max="8" width="12.6640625" style="5" bestFit="1" customWidth="1"/>
    <col min="9" max="16384" width="8.83203125" style="5"/>
  </cols>
  <sheetData>
    <row r="1" spans="1:8" s="25" customFormat="1">
      <c r="A1" s="25" t="s">
        <v>341</v>
      </c>
    </row>
    <row r="2" spans="1:8" s="25" customFormat="1">
      <c r="A2" s="25" t="s">
        <v>274</v>
      </c>
    </row>
    <row r="3" spans="1:8" s="25" customFormat="1">
      <c r="A3" s="25" t="s">
        <v>275</v>
      </c>
    </row>
    <row r="4" spans="1:8" s="25" customFormat="1">
      <c r="A4" s="25" t="s">
        <v>343</v>
      </c>
    </row>
    <row r="5" spans="1:8" s="25" customFormat="1">
      <c r="A5" s="25" t="s">
        <v>342</v>
      </c>
    </row>
    <row r="6" spans="1:8" s="25" customFormat="1"/>
    <row r="7" spans="1:8" s="25" customFormat="1" ht="15" thickBot="1">
      <c r="A7" s="187" t="s">
        <v>332</v>
      </c>
      <c r="B7" s="188" t="s">
        <v>89</v>
      </c>
      <c r="C7" s="188" t="s">
        <v>90</v>
      </c>
      <c r="D7" s="188" t="s">
        <v>91</v>
      </c>
      <c r="E7" s="188" t="s">
        <v>92</v>
      </c>
      <c r="F7" s="188" t="s">
        <v>93</v>
      </c>
      <c r="G7" s="188" t="s">
        <v>94</v>
      </c>
      <c r="H7" s="189" t="s">
        <v>95</v>
      </c>
    </row>
    <row r="8" spans="1:8" ht="15" thickTop="1">
      <c r="A8" s="178" t="s">
        <v>1825</v>
      </c>
      <c r="B8" s="179" t="s">
        <v>842</v>
      </c>
      <c r="C8" s="179">
        <v>0</v>
      </c>
      <c r="D8" s="179" t="s">
        <v>1823</v>
      </c>
      <c r="E8" s="180">
        <v>-10</v>
      </c>
      <c r="F8" s="180" t="s">
        <v>1823</v>
      </c>
      <c r="G8" s="180"/>
      <c r="H8" s="181"/>
    </row>
    <row r="9" spans="1:8">
      <c r="A9" s="182" t="s">
        <v>1826</v>
      </c>
      <c r="B9" s="179" t="s">
        <v>842</v>
      </c>
      <c r="C9" s="179">
        <v>-10</v>
      </c>
      <c r="D9" s="179" t="s">
        <v>1823</v>
      </c>
      <c r="E9" s="180">
        <v>-20</v>
      </c>
      <c r="F9" s="180" t="s">
        <v>1823</v>
      </c>
      <c r="G9" s="180"/>
      <c r="H9" s="181"/>
    </row>
    <row r="10" spans="1:8">
      <c r="A10" s="182" t="s">
        <v>1827</v>
      </c>
      <c r="B10" s="179" t="s">
        <v>842</v>
      </c>
      <c r="C10" s="179">
        <v>-20</v>
      </c>
      <c r="D10" s="179" t="s">
        <v>1823</v>
      </c>
      <c r="E10" s="180">
        <v>-30</v>
      </c>
      <c r="F10" s="180" t="s">
        <v>1823</v>
      </c>
      <c r="G10" s="180"/>
      <c r="H10" s="181"/>
    </row>
    <row r="11" spans="1:8">
      <c r="A11" s="182" t="s">
        <v>1828</v>
      </c>
      <c r="B11" s="179" t="s">
        <v>842</v>
      </c>
      <c r="C11" s="179">
        <v>-30</v>
      </c>
      <c r="D11" s="179" t="s">
        <v>1823</v>
      </c>
      <c r="E11" s="180">
        <v>-40</v>
      </c>
      <c r="F11" s="180" t="s">
        <v>1823</v>
      </c>
      <c r="G11" s="180"/>
      <c r="H11" s="181"/>
    </row>
    <row r="12" spans="1:8">
      <c r="A12" s="182" t="s">
        <v>1829</v>
      </c>
      <c r="B12" s="179" t="s">
        <v>842</v>
      </c>
      <c r="C12" s="179">
        <v>-40</v>
      </c>
      <c r="D12" s="179" t="s">
        <v>1823</v>
      </c>
      <c r="E12" s="180">
        <v>-50</v>
      </c>
      <c r="F12" s="180" t="s">
        <v>1823</v>
      </c>
      <c r="G12" s="180"/>
      <c r="H12" s="181"/>
    </row>
    <row r="13" spans="1:8">
      <c r="A13" s="182" t="s">
        <v>1830</v>
      </c>
      <c r="B13" s="179" t="s">
        <v>842</v>
      </c>
      <c r="C13" s="179">
        <v>-50</v>
      </c>
      <c r="D13" s="179" t="s">
        <v>1823</v>
      </c>
      <c r="E13" s="180">
        <v>-60</v>
      </c>
      <c r="F13" s="180" t="s">
        <v>1823</v>
      </c>
      <c r="G13" s="180"/>
      <c r="H13" s="181"/>
    </row>
    <row r="14" spans="1:8">
      <c r="A14" s="182" t="s">
        <v>1831</v>
      </c>
      <c r="B14" s="179" t="s">
        <v>842</v>
      </c>
      <c r="C14" s="179">
        <v>-60</v>
      </c>
      <c r="D14" s="179" t="s">
        <v>1823</v>
      </c>
      <c r="E14" s="180">
        <v>-70</v>
      </c>
      <c r="F14" s="180" t="s">
        <v>1823</v>
      </c>
      <c r="G14" s="180"/>
      <c r="H14" s="181"/>
    </row>
    <row r="15" spans="1:8">
      <c r="A15" s="182" t="s">
        <v>1832</v>
      </c>
      <c r="B15" s="179" t="s">
        <v>842</v>
      </c>
      <c r="C15" s="179">
        <v>-80</v>
      </c>
      <c r="D15" s="179" t="s">
        <v>1823</v>
      </c>
      <c r="E15" s="180">
        <v>-90</v>
      </c>
      <c r="F15" s="180" t="s">
        <v>1823</v>
      </c>
      <c r="G15" s="180"/>
      <c r="H15" s="181"/>
    </row>
    <row r="16" spans="1:8">
      <c r="A16" s="182" t="s">
        <v>1833</v>
      </c>
      <c r="B16" s="179" t="s">
        <v>842</v>
      </c>
      <c r="C16" s="179">
        <v>-90</v>
      </c>
      <c r="D16" s="179" t="s">
        <v>1823</v>
      </c>
      <c r="E16" s="180">
        <v>-100</v>
      </c>
      <c r="F16" s="180" t="s">
        <v>1823</v>
      </c>
      <c r="G16" s="180"/>
      <c r="H16" s="181"/>
    </row>
    <row r="17" spans="1:8">
      <c r="A17" s="182" t="s">
        <v>1834</v>
      </c>
      <c r="B17" s="179" t="s">
        <v>842</v>
      </c>
      <c r="C17" s="179">
        <v>-100</v>
      </c>
      <c r="D17" s="179" t="s">
        <v>1823</v>
      </c>
      <c r="E17" s="180">
        <v>-106</v>
      </c>
      <c r="F17" s="180" t="s">
        <v>1823</v>
      </c>
      <c r="G17" s="180"/>
      <c r="H17" s="181"/>
    </row>
    <row r="18" spans="1:8">
      <c r="A18" s="182"/>
      <c r="B18" s="179"/>
      <c r="C18" s="179"/>
      <c r="D18" s="179"/>
      <c r="E18" s="180"/>
      <c r="F18" s="180"/>
      <c r="G18" s="180"/>
      <c r="H18" s="181"/>
    </row>
    <row r="19" spans="1:8">
      <c r="A19" s="182"/>
      <c r="B19" s="179"/>
      <c r="C19" s="179"/>
      <c r="D19" s="179"/>
      <c r="E19" s="180"/>
      <c r="F19" s="180"/>
      <c r="G19" s="180"/>
      <c r="H19" s="181"/>
    </row>
    <row r="20" spans="1:8">
      <c r="A20" s="182"/>
      <c r="B20" s="179"/>
      <c r="C20" s="179"/>
      <c r="D20" s="179"/>
      <c r="E20" s="180"/>
      <c r="F20" s="180"/>
      <c r="G20" s="180"/>
      <c r="H20" s="181"/>
    </row>
    <row r="21" spans="1:8">
      <c r="A21" s="182"/>
      <c r="B21" s="179"/>
      <c r="C21" s="179"/>
      <c r="D21" s="179"/>
      <c r="E21" s="180"/>
      <c r="F21" s="180"/>
      <c r="G21" s="180"/>
      <c r="H21" s="181"/>
    </row>
    <row r="22" spans="1:8">
      <c r="A22" s="182"/>
      <c r="B22" s="179"/>
      <c r="C22" s="179"/>
      <c r="D22" s="179"/>
      <c r="E22" s="180"/>
      <c r="F22" s="180"/>
      <c r="G22" s="180"/>
      <c r="H22" s="181"/>
    </row>
    <row r="23" spans="1:8">
      <c r="A23" s="182"/>
      <c r="B23" s="179"/>
      <c r="C23" s="179"/>
      <c r="D23" s="179"/>
      <c r="E23" s="180"/>
      <c r="F23" s="180"/>
      <c r="G23" s="180"/>
      <c r="H23" s="181"/>
    </row>
    <row r="24" spans="1:8">
      <c r="A24" s="182"/>
      <c r="B24" s="179"/>
      <c r="C24" s="179"/>
      <c r="D24" s="179"/>
      <c r="E24" s="180"/>
      <c r="F24" s="180"/>
      <c r="G24" s="180"/>
      <c r="H24" s="181"/>
    </row>
    <row r="25" spans="1:8">
      <c r="A25" s="182"/>
      <c r="B25" s="179"/>
      <c r="C25" s="179"/>
      <c r="D25" s="179"/>
      <c r="E25" s="180"/>
      <c r="F25" s="180"/>
      <c r="G25" s="180"/>
      <c r="H25" s="181"/>
    </row>
    <row r="26" spans="1:8">
      <c r="A26" s="182"/>
      <c r="B26" s="179"/>
      <c r="C26" s="179"/>
      <c r="D26" s="179"/>
      <c r="E26" s="180"/>
      <c r="F26" s="180"/>
      <c r="G26" s="180"/>
      <c r="H26" s="181"/>
    </row>
    <row r="27" spans="1:8">
      <c r="A27" s="182"/>
      <c r="B27" s="179"/>
      <c r="C27" s="179"/>
      <c r="D27" s="179"/>
      <c r="E27" s="180"/>
      <c r="F27" s="180"/>
      <c r="G27" s="180"/>
      <c r="H27" s="181"/>
    </row>
    <row r="28" spans="1:8">
      <c r="A28" s="182"/>
      <c r="B28" s="179"/>
      <c r="C28" s="179"/>
      <c r="D28" s="179"/>
      <c r="E28" s="180"/>
      <c r="F28" s="180"/>
      <c r="G28" s="180"/>
      <c r="H28" s="181"/>
    </row>
    <row r="29" spans="1:8">
      <c r="A29" s="182"/>
      <c r="B29" s="179"/>
      <c r="C29" s="179"/>
      <c r="D29" s="179"/>
      <c r="E29" s="180"/>
      <c r="F29" s="180"/>
      <c r="G29" s="180"/>
      <c r="H29" s="181"/>
    </row>
    <row r="30" spans="1:8">
      <c r="A30" s="182"/>
      <c r="B30" s="179"/>
      <c r="C30" s="179"/>
      <c r="D30" s="179"/>
      <c r="E30" s="180"/>
      <c r="F30" s="180"/>
      <c r="G30" s="180"/>
      <c r="H30" s="181"/>
    </row>
    <row r="31" spans="1:8">
      <c r="A31" s="182"/>
      <c r="B31" s="179"/>
      <c r="C31" s="179"/>
      <c r="D31" s="179"/>
      <c r="E31" s="180"/>
      <c r="F31" s="180"/>
      <c r="G31" s="180"/>
      <c r="H31" s="181"/>
    </row>
    <row r="32" spans="1:8">
      <c r="A32" s="182"/>
      <c r="B32" s="179"/>
      <c r="C32" s="179"/>
      <c r="D32" s="179"/>
      <c r="E32" s="180"/>
      <c r="F32" s="180"/>
      <c r="G32" s="180"/>
      <c r="H32" s="181"/>
    </row>
    <row r="33" spans="1:8">
      <c r="A33" s="182"/>
      <c r="B33" s="179"/>
      <c r="C33" s="179"/>
      <c r="D33" s="179"/>
      <c r="E33" s="180"/>
      <c r="F33" s="180"/>
      <c r="G33" s="180"/>
      <c r="H33" s="181"/>
    </row>
    <row r="34" spans="1:8">
      <c r="A34" s="182"/>
      <c r="B34" s="179"/>
      <c r="C34" s="179"/>
      <c r="D34" s="179"/>
      <c r="E34" s="180"/>
      <c r="F34" s="180"/>
      <c r="G34" s="180"/>
      <c r="H34" s="181"/>
    </row>
    <row r="35" spans="1:8">
      <c r="A35" s="182"/>
      <c r="B35" s="179"/>
      <c r="C35" s="179"/>
      <c r="D35" s="179"/>
      <c r="E35" s="180"/>
      <c r="F35" s="180"/>
      <c r="G35" s="180"/>
      <c r="H35" s="181"/>
    </row>
    <row r="36" spans="1:8">
      <c r="A36" s="182"/>
      <c r="B36" s="179"/>
      <c r="C36" s="179"/>
      <c r="D36" s="179"/>
      <c r="E36" s="180"/>
      <c r="F36" s="180"/>
      <c r="G36" s="180"/>
      <c r="H36" s="181"/>
    </row>
    <row r="37" spans="1:8">
      <c r="A37" s="182"/>
      <c r="B37" s="179"/>
      <c r="C37" s="179"/>
      <c r="D37" s="179"/>
      <c r="E37" s="180"/>
      <c r="F37" s="180"/>
      <c r="G37" s="180"/>
      <c r="H37" s="181"/>
    </row>
    <row r="38" spans="1:8">
      <c r="A38" s="182"/>
      <c r="B38" s="179"/>
      <c r="C38" s="179"/>
      <c r="D38" s="179"/>
      <c r="E38" s="180"/>
      <c r="F38" s="180"/>
      <c r="G38" s="180"/>
      <c r="H38" s="181"/>
    </row>
    <row r="39" spans="1:8">
      <c r="A39" s="183"/>
      <c r="B39" s="184"/>
      <c r="C39" s="184"/>
      <c r="D39" s="184"/>
      <c r="E39" s="185"/>
      <c r="F39" s="185"/>
      <c r="G39" s="185"/>
      <c r="H39" s="186"/>
    </row>
  </sheetData>
  <sheetProtection password="CA31" sheet="1" objects="1" scenarios="1" formatColumns="0" insertRows="0" insertHyperlinks="0" deleteRows="0"/>
  <conditionalFormatting sqref="A8:D39">
    <cfRule type="expression" dxfId="41" priority="8">
      <formula>AND(COUNTA($A8:$H8)&gt;0,A8="")</formula>
    </cfRule>
  </conditionalFormatting>
  <conditionalFormatting sqref="B8:B39">
    <cfRule type="expression" dxfId="40" priority="3">
      <formula>AND(COUNTIF(SpatialOffsetTypeCV,$B8)=0,$B8&lt;&gt;"")</formula>
    </cfRule>
  </conditionalFormatting>
  <conditionalFormatting sqref="C8:C39 E8:E39 G8:G39">
    <cfRule type="expression" dxfId="39" priority="5">
      <formula>ISTEXT(C8)</formula>
    </cfRule>
  </conditionalFormatting>
  <conditionalFormatting sqref="A18:H39 A9:E17 G9:H17">
    <cfRule type="expression" dxfId="38" priority="2">
      <formula>AND(COUNTA($A8:$H8)=0,A9&lt;&gt;"")</formula>
    </cfRule>
  </conditionalFormatting>
  <conditionalFormatting sqref="A8:A39">
    <cfRule type="duplicateValues" dxfId="37" priority="1"/>
  </conditionalFormatting>
  <dataValidations count="1">
    <dataValidation type="list" allowBlank="1" showInputMessage="1" showErrorMessage="1" sqref="B8:B39">
      <formula1>SpatialOffsetTypeCV</formula1>
    </dataValidation>
  </dataValidations>
  <pageMargins left="0.7" right="0.7" top="0.75" bottom="0.75" header="0.3" footer="0.3"/>
  <legacyDrawing r:id="rId1"/>
  <tableParts count="1">
    <tablePart r:id="rId2"/>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A1:F40"/>
  <sheetViews>
    <sheetView topLeftCell="A2" zoomScale="125" zoomScaleNormal="125" zoomScalePageLayoutView="125" workbookViewId="0">
      <selection activeCell="A2" sqref="A2"/>
    </sheetView>
  </sheetViews>
  <sheetFormatPr baseColWidth="10" defaultColWidth="8.83203125" defaultRowHeight="14" x14ac:dyDescent="0"/>
  <cols>
    <col min="1" max="1" width="27.83203125" style="5" customWidth="1"/>
    <col min="2" max="2" width="17" style="5" bestFit="1" customWidth="1"/>
    <col min="3" max="3" width="28.83203125" style="5" bestFit="1" customWidth="1"/>
    <col min="4" max="4" width="18.83203125" style="5" bestFit="1" customWidth="1"/>
    <col min="5" max="5" width="15.33203125" style="5" bestFit="1" customWidth="1"/>
    <col min="6" max="6" width="12.6640625" style="5" bestFit="1" customWidth="1"/>
    <col min="7" max="16384" width="8.83203125" style="5"/>
  </cols>
  <sheetData>
    <row r="1" spans="1:6" s="25" customFormat="1">
      <c r="A1" s="25" t="s">
        <v>285</v>
      </c>
    </row>
    <row r="2" spans="1:6" s="25" customFormat="1">
      <c r="A2" s="25" t="s">
        <v>333</v>
      </c>
    </row>
    <row r="3" spans="1:6" s="25" customFormat="1" ht="15" thickBot="1">
      <c r="A3" s="25" t="s">
        <v>274</v>
      </c>
    </row>
    <row r="4" spans="1:6" s="25" customFormat="1" ht="15" thickBot="1">
      <c r="A4" s="25" t="s">
        <v>275</v>
      </c>
      <c r="E4" s="26" t="s">
        <v>169</v>
      </c>
      <c r="F4" s="27">
        <f>COUNTA(RelatedFeatures[First Sampling Feature Code])</f>
        <v>12</v>
      </c>
    </row>
    <row r="5" spans="1:6" s="25" customFormat="1">
      <c r="A5" s="25" t="s">
        <v>286</v>
      </c>
      <c r="E5" s="148"/>
      <c r="F5" s="148"/>
    </row>
    <row r="6" spans="1:6" s="25" customFormat="1" ht="15" thickBot="1"/>
    <row r="7" spans="1:6" s="25" customFormat="1">
      <c r="A7" s="223" t="s">
        <v>100</v>
      </c>
      <c r="B7" s="224"/>
      <c r="C7" s="224"/>
      <c r="D7" s="225"/>
    </row>
    <row r="8" spans="1:6" s="25" customFormat="1" ht="15" thickBot="1">
      <c r="A8" s="69" t="s">
        <v>97</v>
      </c>
      <c r="B8" s="53" t="s">
        <v>98</v>
      </c>
      <c r="C8" s="53" t="s">
        <v>99</v>
      </c>
      <c r="D8" s="70" t="s">
        <v>332</v>
      </c>
    </row>
    <row r="9" spans="1:6" ht="15" thickTop="1">
      <c r="A9" s="62" t="s">
        <v>1790</v>
      </c>
      <c r="B9" s="63" t="s">
        <v>805</v>
      </c>
      <c r="C9" s="63" t="s">
        <v>1786</v>
      </c>
      <c r="D9" s="65" t="s">
        <v>1825</v>
      </c>
    </row>
    <row r="10" spans="1:6">
      <c r="A10" s="62" t="s">
        <v>1791</v>
      </c>
      <c r="B10" s="63" t="s">
        <v>805</v>
      </c>
      <c r="C10" s="63" t="s">
        <v>1786</v>
      </c>
      <c r="D10" s="65" t="s">
        <v>1826</v>
      </c>
    </row>
    <row r="11" spans="1:6">
      <c r="A11" s="62" t="s">
        <v>1792</v>
      </c>
      <c r="B11" s="63" t="s">
        <v>805</v>
      </c>
      <c r="C11" s="63" t="s">
        <v>1786</v>
      </c>
      <c r="D11" s="65" t="s">
        <v>1827</v>
      </c>
    </row>
    <row r="12" spans="1:6">
      <c r="A12" s="62" t="s">
        <v>1824</v>
      </c>
      <c r="B12" s="63" t="s">
        <v>805</v>
      </c>
      <c r="C12" s="63" t="s">
        <v>1786</v>
      </c>
      <c r="D12" s="65" t="s">
        <v>1828</v>
      </c>
    </row>
    <row r="13" spans="1:6">
      <c r="A13" s="62" t="s">
        <v>1793</v>
      </c>
      <c r="B13" s="63" t="s">
        <v>805</v>
      </c>
      <c r="C13" s="63" t="s">
        <v>1786</v>
      </c>
      <c r="D13" s="65" t="s">
        <v>1829</v>
      </c>
    </row>
    <row r="14" spans="1:6">
      <c r="A14" s="62" t="s">
        <v>1794</v>
      </c>
      <c r="B14" s="63" t="s">
        <v>805</v>
      </c>
      <c r="C14" s="63" t="s">
        <v>1786</v>
      </c>
      <c r="D14" s="65" t="s">
        <v>1830</v>
      </c>
    </row>
    <row r="15" spans="1:6">
      <c r="A15" s="62" t="s">
        <v>1795</v>
      </c>
      <c r="B15" s="63" t="s">
        <v>805</v>
      </c>
      <c r="C15" s="63" t="s">
        <v>1786</v>
      </c>
      <c r="D15" s="65" t="s">
        <v>1831</v>
      </c>
    </row>
    <row r="16" spans="1:6">
      <c r="A16" s="62" t="s">
        <v>1797</v>
      </c>
      <c r="B16" s="63" t="s">
        <v>805</v>
      </c>
      <c r="C16" s="63" t="s">
        <v>1786</v>
      </c>
      <c r="D16" s="65" t="s">
        <v>1832</v>
      </c>
    </row>
    <row r="17" spans="1:4">
      <c r="A17" s="62" t="s">
        <v>1798</v>
      </c>
      <c r="B17" s="63" t="s">
        <v>805</v>
      </c>
      <c r="C17" s="63" t="s">
        <v>1786</v>
      </c>
      <c r="D17" s="65" t="s">
        <v>1833</v>
      </c>
    </row>
    <row r="18" spans="1:4">
      <c r="A18" s="62" t="s">
        <v>1799</v>
      </c>
      <c r="B18" s="63" t="s">
        <v>805</v>
      </c>
      <c r="C18" s="63" t="s">
        <v>1786</v>
      </c>
      <c r="D18" s="65" t="s">
        <v>1834</v>
      </c>
    </row>
    <row r="19" spans="1:4">
      <c r="A19" s="62" t="s">
        <v>1786</v>
      </c>
      <c r="B19" s="63" t="s">
        <v>825</v>
      </c>
      <c r="C19" s="63" t="s">
        <v>1788</v>
      </c>
      <c r="D19" s="65"/>
    </row>
    <row r="20" spans="1:4">
      <c r="A20" s="62" t="s">
        <v>1786</v>
      </c>
      <c r="B20" s="63" t="s">
        <v>805</v>
      </c>
      <c r="C20" s="63" t="s">
        <v>1788</v>
      </c>
      <c r="D20" s="65"/>
    </row>
    <row r="21" spans="1:4">
      <c r="A21" s="62"/>
      <c r="B21" s="63"/>
      <c r="C21" s="63"/>
      <c r="D21" s="65"/>
    </row>
    <row r="22" spans="1:4">
      <c r="A22" s="62"/>
      <c r="B22" s="63"/>
      <c r="C22" s="63"/>
      <c r="D22" s="65"/>
    </row>
    <row r="23" spans="1:4">
      <c r="A23" s="62"/>
      <c r="B23" s="63"/>
      <c r="C23" s="63"/>
      <c r="D23" s="65"/>
    </row>
    <row r="24" spans="1:4">
      <c r="A24" s="62"/>
      <c r="B24" s="63"/>
      <c r="C24" s="63"/>
      <c r="D24" s="65"/>
    </row>
    <row r="25" spans="1:4">
      <c r="A25" s="62"/>
      <c r="B25" s="63"/>
      <c r="C25" s="63"/>
      <c r="D25" s="65"/>
    </row>
    <row r="26" spans="1:4">
      <c r="A26" s="62"/>
      <c r="B26" s="63"/>
      <c r="C26" s="63"/>
      <c r="D26" s="65"/>
    </row>
    <row r="27" spans="1:4">
      <c r="A27" s="62"/>
      <c r="B27" s="63"/>
      <c r="C27" s="63"/>
      <c r="D27" s="65"/>
    </row>
    <row r="28" spans="1:4">
      <c r="A28" s="62"/>
      <c r="B28" s="63"/>
      <c r="C28" s="63"/>
      <c r="D28" s="65"/>
    </row>
    <row r="29" spans="1:4">
      <c r="A29" s="62"/>
      <c r="B29" s="63"/>
      <c r="C29" s="63"/>
      <c r="D29" s="65"/>
    </row>
    <row r="30" spans="1:4">
      <c r="A30" s="62"/>
      <c r="B30" s="63"/>
      <c r="C30" s="63"/>
      <c r="D30" s="65"/>
    </row>
    <row r="31" spans="1:4">
      <c r="A31" s="62"/>
      <c r="B31" s="63"/>
      <c r="C31" s="63"/>
      <c r="D31" s="65"/>
    </row>
    <row r="32" spans="1:4">
      <c r="A32" s="62"/>
      <c r="B32" s="63"/>
      <c r="C32" s="63"/>
      <c r="D32" s="65"/>
    </row>
    <row r="33" spans="1:4">
      <c r="A33" s="62"/>
      <c r="B33" s="63"/>
      <c r="C33" s="63"/>
      <c r="D33" s="65"/>
    </row>
    <row r="34" spans="1:4">
      <c r="A34" s="62"/>
      <c r="B34" s="63"/>
      <c r="C34" s="63"/>
      <c r="D34" s="65"/>
    </row>
    <row r="35" spans="1:4">
      <c r="A35" s="62"/>
      <c r="B35" s="63"/>
      <c r="C35" s="63"/>
      <c r="D35" s="65"/>
    </row>
    <row r="36" spans="1:4">
      <c r="A36" s="62"/>
      <c r="B36" s="63"/>
      <c r="C36" s="63"/>
      <c r="D36" s="65"/>
    </row>
    <row r="37" spans="1:4">
      <c r="A37" s="62"/>
      <c r="B37" s="63"/>
      <c r="C37" s="63"/>
      <c r="D37" s="65"/>
    </row>
    <row r="38" spans="1:4">
      <c r="A38" s="62"/>
      <c r="B38" s="63"/>
      <c r="C38" s="63"/>
      <c r="D38" s="65"/>
    </row>
    <row r="39" spans="1:4">
      <c r="A39" s="62"/>
      <c r="B39" s="63"/>
      <c r="C39" s="63"/>
      <c r="D39" s="65"/>
    </row>
    <row r="40" spans="1:4" ht="15" thickBot="1">
      <c r="A40" s="66"/>
      <c r="B40" s="67"/>
      <c r="C40" s="67"/>
      <c r="D40" s="68"/>
    </row>
  </sheetData>
  <sheetProtection password="CA31" sheet="1" objects="1" scenarios="1" formatColumns="0" insertRows="0" insertHyperlinks="0" deleteRows="0"/>
  <mergeCells count="1">
    <mergeCell ref="A7:D7"/>
  </mergeCells>
  <conditionalFormatting sqref="A9:A40 C9:C40">
    <cfRule type="expression" dxfId="36" priority="7">
      <formula>AND(COUNTIF(FeatureCodes,$A9)=0,$A9&lt;&gt;"")</formula>
    </cfRule>
  </conditionalFormatting>
  <conditionalFormatting sqref="B9:B40">
    <cfRule type="expression" dxfId="35" priority="6">
      <formula>AND(COUNTIF(RelationshipTypeCV,$B9)=0,$B9&lt;&gt;"")</formula>
    </cfRule>
  </conditionalFormatting>
  <conditionalFormatting sqref="D9:D40">
    <cfRule type="expression" dxfId="34" priority="4">
      <formula>AND(COUNTIF(SpatialOffsetTypeCV,$D9)=0,$D9&lt;&gt;"")</formula>
    </cfRule>
  </conditionalFormatting>
  <conditionalFormatting sqref="D9:D40">
    <cfRule type="expression" dxfId="33" priority="42">
      <formula>AND(COUNTA($D9:$D9)&gt;0,D9="")</formula>
    </cfRule>
  </conditionalFormatting>
  <conditionalFormatting sqref="A9:C40">
    <cfRule type="expression" dxfId="32" priority="43">
      <formula>AND(COUNTA($A9:$D9)&gt;0,A9="")</formula>
    </cfRule>
  </conditionalFormatting>
  <conditionalFormatting sqref="A10:D40">
    <cfRule type="expression" dxfId="31" priority="46">
      <formula>AND(COUNTA($A9:$D9)=0,A10&lt;&gt;"")</formula>
    </cfRule>
  </conditionalFormatting>
  <dataValidations count="3">
    <dataValidation type="list" allowBlank="1" showInputMessage="1" showErrorMessage="1" sqref="A9:A40 C9:C40">
      <formula1>FeatureCodes</formula1>
    </dataValidation>
    <dataValidation type="list" allowBlank="1" showInputMessage="1" showErrorMessage="1" sqref="B9:B40">
      <formula1>RelationshipTypeCV</formula1>
    </dataValidation>
    <dataValidation type="list" allowBlank="1" showInputMessage="1" showErrorMessage="1" sqref="D9:D40">
      <formula1>OffsetCodes</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F30"/>
  <sheetViews>
    <sheetView workbookViewId="0"/>
  </sheetViews>
  <sheetFormatPr baseColWidth="10" defaultColWidth="8.83203125" defaultRowHeight="14" x14ac:dyDescent="0"/>
  <cols>
    <col min="1" max="1" width="22.5" style="5" customWidth="1"/>
    <col min="2" max="2" width="16.1640625" style="5" bestFit="1" customWidth="1"/>
    <col min="3" max="3" width="27.33203125" style="5" customWidth="1"/>
    <col min="4" max="4" width="42.83203125" style="5" customWidth="1"/>
    <col min="5" max="5" width="25.83203125" style="5" bestFit="1" customWidth="1"/>
    <col min="6" max="6" width="28.1640625" style="5" bestFit="1" customWidth="1"/>
    <col min="7" max="16384" width="8.83203125" style="5"/>
  </cols>
  <sheetData>
    <row r="1" spans="1:6">
      <c r="A1" s="5" t="s">
        <v>287</v>
      </c>
    </row>
    <row r="2" spans="1:6">
      <c r="A2" s="5" t="s">
        <v>274</v>
      </c>
    </row>
    <row r="3" spans="1:6">
      <c r="A3" s="25" t="s">
        <v>275</v>
      </c>
    </row>
    <row r="4" spans="1:6">
      <c r="A4" s="25" t="s">
        <v>288</v>
      </c>
    </row>
    <row r="5" spans="1:6" ht="15" thickBot="1">
      <c r="A5" s="5" t="s">
        <v>289</v>
      </c>
    </row>
    <row r="6" spans="1:6" ht="15" thickBot="1">
      <c r="A6" s="25" t="s">
        <v>110</v>
      </c>
      <c r="E6" s="26" t="s">
        <v>174</v>
      </c>
      <c r="F6" s="27">
        <f>COUNTA(MethodCodes)</f>
        <v>4</v>
      </c>
    </row>
    <row r="7" spans="1:6" ht="15" thickBot="1"/>
    <row r="8" spans="1:6">
      <c r="A8" s="233" t="s">
        <v>106</v>
      </c>
      <c r="B8" s="234"/>
      <c r="C8" s="234"/>
      <c r="D8" s="234"/>
      <c r="E8" s="234"/>
      <c r="F8" s="235"/>
    </row>
    <row r="9" spans="1:6" ht="15" thickBot="1">
      <c r="A9" s="58" t="s">
        <v>103</v>
      </c>
      <c r="B9" s="53" t="s">
        <v>46</v>
      </c>
      <c r="C9" s="53" t="s">
        <v>45</v>
      </c>
      <c r="D9" s="60" t="s">
        <v>47</v>
      </c>
      <c r="E9" s="60" t="s">
        <v>104</v>
      </c>
      <c r="F9" s="56" t="s">
        <v>19</v>
      </c>
    </row>
    <row r="10" spans="1:6" ht="15" thickTop="1">
      <c r="A10" s="71" t="s">
        <v>697</v>
      </c>
      <c r="B10" s="63" t="s">
        <v>1813</v>
      </c>
      <c r="C10" s="72" t="s">
        <v>1814</v>
      </c>
      <c r="D10" s="73"/>
      <c r="E10" s="74"/>
      <c r="F10" s="75" t="s">
        <v>1763</v>
      </c>
    </row>
    <row r="11" spans="1:6" ht="28">
      <c r="A11" s="71" t="s">
        <v>696</v>
      </c>
      <c r="B11" s="63" t="s">
        <v>1815</v>
      </c>
      <c r="C11" s="72" t="s">
        <v>1816</v>
      </c>
      <c r="D11" s="73"/>
      <c r="E11" s="74"/>
      <c r="F11" s="75" t="s">
        <v>1763</v>
      </c>
    </row>
    <row r="12" spans="1:6">
      <c r="A12" s="71" t="s">
        <v>696</v>
      </c>
      <c r="B12" s="63" t="s">
        <v>1817</v>
      </c>
      <c r="C12" s="72" t="s">
        <v>1818</v>
      </c>
      <c r="D12" s="73"/>
      <c r="E12" s="74"/>
      <c r="F12" s="75" t="s">
        <v>1763</v>
      </c>
    </row>
    <row r="13" spans="1:6">
      <c r="A13" s="71" t="s">
        <v>696</v>
      </c>
      <c r="B13" s="63" t="s">
        <v>1819</v>
      </c>
      <c r="C13" s="72" t="s">
        <v>1820</v>
      </c>
      <c r="D13" s="73"/>
      <c r="E13" s="74"/>
      <c r="F13" s="75" t="s">
        <v>1763</v>
      </c>
    </row>
    <row r="14" spans="1:6">
      <c r="A14" s="71"/>
      <c r="B14" s="63"/>
      <c r="C14" s="63"/>
      <c r="D14" s="73"/>
      <c r="E14" s="74"/>
      <c r="F14" s="75"/>
    </row>
    <row r="15" spans="1:6">
      <c r="A15" s="71"/>
      <c r="B15" s="63"/>
      <c r="C15" s="63"/>
      <c r="D15" s="73"/>
      <c r="E15" s="64"/>
      <c r="F15" s="75"/>
    </row>
    <row r="16" spans="1:6">
      <c r="A16" s="71"/>
      <c r="B16" s="63"/>
      <c r="C16" s="72"/>
      <c r="D16" s="73"/>
      <c r="E16" s="64"/>
      <c r="F16" s="75"/>
    </row>
    <row r="17" spans="1:6">
      <c r="A17" s="71"/>
      <c r="B17" s="63"/>
      <c r="C17" s="72"/>
      <c r="D17" s="73"/>
      <c r="E17" s="64"/>
      <c r="F17" s="75"/>
    </row>
    <row r="18" spans="1:6">
      <c r="A18" s="71"/>
      <c r="B18" s="63"/>
      <c r="C18" s="72"/>
      <c r="D18" s="73"/>
      <c r="E18" s="64"/>
      <c r="F18" s="75"/>
    </row>
    <row r="19" spans="1:6">
      <c r="A19" s="71"/>
      <c r="B19" s="63"/>
      <c r="C19" s="72"/>
      <c r="D19" s="73"/>
      <c r="E19" s="64"/>
      <c r="F19" s="75"/>
    </row>
    <row r="20" spans="1:6">
      <c r="A20" s="71"/>
      <c r="B20" s="63"/>
      <c r="C20" s="72"/>
      <c r="D20" s="73"/>
      <c r="E20" s="64"/>
      <c r="F20" s="75"/>
    </row>
    <row r="21" spans="1:6">
      <c r="A21" s="71"/>
      <c r="B21" s="63"/>
      <c r="C21" s="72"/>
      <c r="D21" s="73"/>
      <c r="E21" s="64"/>
      <c r="F21" s="75"/>
    </row>
    <row r="22" spans="1:6">
      <c r="A22" s="71"/>
      <c r="B22" s="63"/>
      <c r="C22" s="72"/>
      <c r="D22" s="73"/>
      <c r="E22" s="64"/>
      <c r="F22" s="75"/>
    </row>
    <row r="23" spans="1:6">
      <c r="A23" s="71"/>
      <c r="B23" s="63"/>
      <c r="C23" s="72"/>
      <c r="D23" s="73"/>
      <c r="E23" s="64"/>
      <c r="F23" s="75"/>
    </row>
    <row r="24" spans="1:6">
      <c r="A24" s="71"/>
      <c r="B24" s="63"/>
      <c r="C24" s="72"/>
      <c r="D24" s="73"/>
      <c r="E24" s="64"/>
      <c r="F24" s="75"/>
    </row>
    <row r="25" spans="1:6">
      <c r="A25" s="71"/>
      <c r="B25" s="63"/>
      <c r="C25" s="72"/>
      <c r="D25" s="73"/>
      <c r="E25" s="64"/>
      <c r="F25" s="75"/>
    </row>
    <row r="26" spans="1:6">
      <c r="A26" s="71"/>
      <c r="B26" s="63"/>
      <c r="C26" s="72"/>
      <c r="D26" s="73"/>
      <c r="E26" s="64"/>
      <c r="F26" s="75"/>
    </row>
    <row r="27" spans="1:6">
      <c r="A27" s="71"/>
      <c r="B27" s="63"/>
      <c r="C27" s="72"/>
      <c r="D27" s="73"/>
      <c r="E27" s="64"/>
      <c r="F27" s="75"/>
    </row>
    <row r="28" spans="1:6">
      <c r="A28" s="71"/>
      <c r="B28" s="63"/>
      <c r="C28" s="72"/>
      <c r="D28" s="73"/>
      <c r="E28" s="64"/>
      <c r="F28" s="75"/>
    </row>
    <row r="29" spans="1:6">
      <c r="A29" s="71"/>
      <c r="B29" s="63"/>
      <c r="C29" s="72"/>
      <c r="D29" s="73"/>
      <c r="E29" s="64"/>
      <c r="F29" s="75"/>
    </row>
    <row r="30" spans="1:6">
      <c r="A30" s="71"/>
      <c r="B30" s="63"/>
      <c r="C30" s="72"/>
      <c r="D30" s="73"/>
      <c r="E30" s="64"/>
      <c r="F30" s="75"/>
    </row>
  </sheetData>
  <sheetProtection password="CA31" sheet="1" objects="1" scenarios="1" formatColumns="0" insertRows="0" insertHyperlinks="0" deleteRows="0"/>
  <mergeCells count="1">
    <mergeCell ref="A8:F8"/>
  </mergeCells>
  <conditionalFormatting sqref="A10:A30">
    <cfRule type="expression" dxfId="30" priority="4">
      <formula>AND(COUNTIF(ApplicableMethodTypes,A10)=0,A10&lt;&gt;"")</formula>
    </cfRule>
  </conditionalFormatting>
  <conditionalFormatting sqref="A10:C30">
    <cfRule type="expression" dxfId="29" priority="3">
      <formula>AND(COUNTA($A10:$F10)&gt;0,A10="")</formula>
    </cfRule>
  </conditionalFormatting>
  <conditionalFormatting sqref="A14:F30 A11:E13">
    <cfRule type="expression" dxfId="28" priority="2">
      <formula>AND(COUNTA($A10:$F10)=0,A11&lt;&gt;"")</formula>
    </cfRule>
  </conditionalFormatting>
  <conditionalFormatting sqref="B10:B30">
    <cfRule type="duplicateValues" dxfId="27"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F28"/>
  <sheetViews>
    <sheetView zoomScale="125" zoomScaleNormal="125" zoomScalePageLayoutView="125" workbookViewId="0"/>
  </sheetViews>
  <sheetFormatPr baseColWidth="10" defaultColWidth="8.83203125" defaultRowHeight="14" x14ac:dyDescent="0"/>
  <cols>
    <col min="1" max="1" width="23" style="5" customWidth="1"/>
    <col min="2" max="2" width="15.5" style="5" customWidth="1"/>
    <col min="3" max="3" width="16.33203125" style="5" customWidth="1"/>
    <col min="4" max="4" width="20.33203125" style="5" customWidth="1"/>
    <col min="5" max="5" width="12.6640625" style="5" customWidth="1"/>
    <col min="6" max="6" width="15.6640625" style="5" customWidth="1"/>
    <col min="7" max="16384" width="8.83203125" style="5"/>
  </cols>
  <sheetData>
    <row r="1" spans="1:6">
      <c r="A1" s="25" t="s">
        <v>290</v>
      </c>
    </row>
    <row r="2" spans="1:6">
      <c r="A2" s="5" t="s">
        <v>274</v>
      </c>
    </row>
    <row r="3" spans="1:6">
      <c r="A3" s="25" t="s">
        <v>275</v>
      </c>
    </row>
    <row r="4" spans="1:6" ht="15" thickBot="1">
      <c r="A4" s="25" t="s">
        <v>291</v>
      </c>
    </row>
    <row r="5" spans="1:6" ht="15" thickBot="1">
      <c r="A5" s="25" t="s">
        <v>114</v>
      </c>
      <c r="E5" s="26" t="s">
        <v>175</v>
      </c>
      <c r="F5" s="27">
        <f>COUNTA(VariableCodes)</f>
        <v>4</v>
      </c>
    </row>
    <row r="6" spans="1:6" ht="15" thickBot="1"/>
    <row r="7" spans="1:6">
      <c r="A7" s="233" t="s">
        <v>119</v>
      </c>
      <c r="B7" s="234"/>
      <c r="C7" s="234"/>
      <c r="D7" s="234"/>
      <c r="E7" s="234"/>
      <c r="F7" s="235"/>
    </row>
    <row r="8" spans="1:6" ht="15" thickBot="1">
      <c r="A8" s="58" t="s">
        <v>115</v>
      </c>
      <c r="B8" s="53" t="s">
        <v>44</v>
      </c>
      <c r="C8" s="53" t="s">
        <v>43</v>
      </c>
      <c r="D8" s="60" t="s">
        <v>116</v>
      </c>
      <c r="E8" s="60" t="s">
        <v>117</v>
      </c>
      <c r="F8" s="59" t="s">
        <v>118</v>
      </c>
    </row>
    <row r="9" spans="1:6" ht="15" thickTop="1">
      <c r="A9" s="71" t="s">
        <v>1740</v>
      </c>
      <c r="B9" s="63" t="s">
        <v>632</v>
      </c>
      <c r="C9" s="63" t="s">
        <v>1821</v>
      </c>
      <c r="D9" s="64"/>
      <c r="E9" s="64"/>
      <c r="F9" s="76">
        <v>-999</v>
      </c>
    </row>
    <row r="10" spans="1:6">
      <c r="A10" s="71" t="s">
        <v>1740</v>
      </c>
      <c r="B10" s="63" t="s">
        <v>510</v>
      </c>
      <c r="C10" s="63" t="s">
        <v>1071</v>
      </c>
      <c r="D10" s="64"/>
      <c r="E10" s="64"/>
      <c r="F10" s="76">
        <v>-999</v>
      </c>
    </row>
    <row r="11" spans="1:6">
      <c r="A11" s="71" t="s">
        <v>13</v>
      </c>
      <c r="B11" s="63" t="s">
        <v>1822</v>
      </c>
      <c r="C11" s="63"/>
      <c r="D11" s="64"/>
      <c r="E11" s="64"/>
      <c r="F11" s="76">
        <v>-999</v>
      </c>
    </row>
    <row r="12" spans="1:6">
      <c r="A12" s="71" t="s">
        <v>13</v>
      </c>
      <c r="B12" s="63" t="s">
        <v>1224</v>
      </c>
      <c r="C12" s="63"/>
      <c r="D12" s="64"/>
      <c r="E12" s="64"/>
      <c r="F12" s="76">
        <v>-999</v>
      </c>
    </row>
    <row r="13" spans="1:6">
      <c r="A13" s="71"/>
      <c r="B13" s="63"/>
      <c r="C13" s="63"/>
      <c r="D13" s="64"/>
      <c r="E13" s="64"/>
      <c r="F13" s="76"/>
    </row>
    <row r="14" spans="1:6">
      <c r="A14" s="71"/>
      <c r="B14" s="63"/>
      <c r="C14" s="63"/>
      <c r="D14" s="64"/>
      <c r="E14" s="64"/>
      <c r="F14" s="76"/>
    </row>
    <row r="15" spans="1:6">
      <c r="A15" s="71"/>
      <c r="B15" s="63"/>
      <c r="C15" s="63"/>
      <c r="D15" s="64"/>
      <c r="E15" s="64"/>
      <c r="F15" s="76"/>
    </row>
    <row r="16" spans="1:6">
      <c r="A16" s="71"/>
      <c r="B16" s="63"/>
      <c r="C16" s="63"/>
      <c r="D16" s="64"/>
      <c r="E16" s="64"/>
      <c r="F16" s="76"/>
    </row>
    <row r="17" spans="1:6">
      <c r="A17" s="71"/>
      <c r="B17" s="63"/>
      <c r="C17" s="63"/>
      <c r="D17" s="64"/>
      <c r="E17" s="64"/>
      <c r="F17" s="76"/>
    </row>
    <row r="18" spans="1:6">
      <c r="A18" s="71"/>
      <c r="B18" s="63"/>
      <c r="C18" s="63"/>
      <c r="D18" s="64"/>
      <c r="E18" s="64"/>
      <c r="F18" s="76"/>
    </row>
    <row r="19" spans="1:6">
      <c r="A19" s="71"/>
      <c r="B19" s="63"/>
      <c r="C19" s="63"/>
      <c r="D19" s="64"/>
      <c r="E19" s="64"/>
      <c r="F19" s="76"/>
    </row>
    <row r="20" spans="1:6">
      <c r="A20" s="71"/>
      <c r="B20" s="63"/>
      <c r="C20" s="63"/>
      <c r="D20" s="64"/>
      <c r="E20" s="64"/>
      <c r="F20" s="76"/>
    </row>
    <row r="21" spans="1:6">
      <c r="A21" s="71"/>
      <c r="B21" s="63"/>
      <c r="C21" s="63"/>
      <c r="D21" s="64"/>
      <c r="E21" s="64"/>
      <c r="F21" s="76"/>
    </row>
    <row r="22" spans="1:6">
      <c r="A22" s="71"/>
      <c r="B22" s="63"/>
      <c r="C22" s="63"/>
      <c r="D22" s="64"/>
      <c r="E22" s="64"/>
      <c r="F22" s="76"/>
    </row>
    <row r="23" spans="1:6">
      <c r="A23" s="71"/>
      <c r="B23" s="63"/>
      <c r="C23" s="63"/>
      <c r="D23" s="64"/>
      <c r="E23" s="64"/>
      <c r="F23" s="76"/>
    </row>
    <row r="24" spans="1:6">
      <c r="A24" s="71"/>
      <c r="B24" s="63"/>
      <c r="C24" s="63"/>
      <c r="D24" s="64"/>
      <c r="E24" s="64"/>
      <c r="F24" s="76"/>
    </row>
    <row r="25" spans="1:6">
      <c r="A25" s="71"/>
      <c r="B25" s="63"/>
      <c r="C25" s="63"/>
      <c r="D25" s="64"/>
      <c r="E25" s="64"/>
      <c r="F25" s="76"/>
    </row>
    <row r="26" spans="1:6">
      <c r="A26" s="71"/>
      <c r="B26" s="63"/>
      <c r="C26" s="63"/>
      <c r="D26" s="64"/>
      <c r="E26" s="64"/>
      <c r="F26" s="76"/>
    </row>
    <row r="27" spans="1:6">
      <c r="A27" s="71"/>
      <c r="B27" s="63"/>
      <c r="C27" s="63"/>
      <c r="D27" s="64"/>
      <c r="E27" s="64"/>
      <c r="F27" s="76"/>
    </row>
    <row r="28" spans="1:6">
      <c r="A28" s="71"/>
      <c r="B28" s="63"/>
      <c r="C28" s="63"/>
      <c r="D28" s="64"/>
      <c r="E28" s="64"/>
      <c r="F28" s="76"/>
    </row>
  </sheetData>
  <sheetProtection password="CA31" sheet="1" objects="1" scenarios="1" formatColumns="0" insertRows="0" insertHyperlinks="0" deleteRows="0"/>
  <mergeCells count="1">
    <mergeCell ref="A7:F7"/>
  </mergeCells>
  <conditionalFormatting sqref="A9:A28">
    <cfRule type="expression" dxfId="26" priority="5">
      <formula>AND(COUNTIF(VariableTypeCV,$A9)=0,$A9&lt;&gt;"")</formula>
    </cfRule>
  </conditionalFormatting>
  <conditionalFormatting sqref="C9:C28">
    <cfRule type="expression" dxfId="25" priority="4">
      <formula>AND(COUNTIF(VariableNameCV,$C9)=0,$C9&lt;&gt;"")</formula>
    </cfRule>
  </conditionalFormatting>
  <conditionalFormatting sqref="F9:F28 A9:C28">
    <cfRule type="expression" dxfId="24" priority="3">
      <formula>AND(COUNTA($A9:$F9)&gt;0,A9="")</formula>
    </cfRule>
  </conditionalFormatting>
  <conditionalFormatting sqref="A10:F27">
    <cfRule type="expression" dxfId="23" priority="2">
      <formula>AND(COUNTA($A9:$F9)=0,A10&lt;&gt;"")</formula>
    </cfRule>
  </conditionalFormatting>
  <conditionalFormatting sqref="E9:E28">
    <cfRule type="expression" dxfId="22" priority="1">
      <formula>AND(COUNTIF(SpeciationCV,$E9)=0,$E9&lt;&gt;"")</formula>
    </cfRule>
  </conditionalFormatting>
  <dataValidations count="3">
    <dataValidation type="list" allowBlank="1" showInputMessage="1" showErrorMessage="1" sqref="A9:A28">
      <formula1>VariableTypeCV</formula1>
    </dataValidation>
    <dataValidation type="list" allowBlank="1" showInputMessage="1" showErrorMessage="1" sqref="C9:C28">
      <formula1>VariableNameCV</formula1>
    </dataValidation>
    <dataValidation type="list" allowBlank="1" showInputMessage="1" showErrorMessage="1" sqref="E9:E28">
      <formula1>SpeciationCV</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E28"/>
  <sheetViews>
    <sheetView topLeftCell="A4" zoomScale="125" zoomScaleNormal="125" zoomScalePageLayoutView="125" workbookViewId="0">
      <selection activeCell="C37" sqref="C37"/>
    </sheetView>
  </sheetViews>
  <sheetFormatPr baseColWidth="10" defaultColWidth="8.83203125" defaultRowHeight="14" x14ac:dyDescent="0"/>
  <cols>
    <col min="1" max="1" width="23.5" style="5" customWidth="1"/>
    <col min="2" max="2" width="29.6640625" style="5" customWidth="1"/>
    <col min="3" max="3" width="64" style="77" customWidth="1"/>
    <col min="4" max="4" width="8" style="5" bestFit="1" customWidth="1"/>
    <col min="5" max="16384" width="8.83203125" style="5"/>
  </cols>
  <sheetData>
    <row r="1" spans="1:5">
      <c r="A1" s="25" t="s">
        <v>292</v>
      </c>
    </row>
    <row r="2" spans="1:5">
      <c r="A2" s="5" t="s">
        <v>274</v>
      </c>
    </row>
    <row r="3" spans="1:5">
      <c r="A3" s="25" t="s">
        <v>275</v>
      </c>
    </row>
    <row r="4" spans="1:5">
      <c r="A4" s="25" t="s">
        <v>293</v>
      </c>
    </row>
    <row r="5" spans="1:5">
      <c r="A5" s="25" t="s">
        <v>147</v>
      </c>
    </row>
    <row r="6" spans="1:5" ht="15" thickBot="1">
      <c r="A6" s="25" t="s">
        <v>295</v>
      </c>
    </row>
    <row r="7" spans="1:5" ht="15" thickBot="1">
      <c r="A7" s="25" t="s">
        <v>294</v>
      </c>
      <c r="D7" s="26" t="s">
        <v>176</v>
      </c>
      <c r="E7" s="27">
        <f>COUNTA(ProcessingLevelCodes)</f>
        <v>5</v>
      </c>
    </row>
    <row r="8" spans="1:5" ht="15" thickBot="1"/>
    <row r="9" spans="1:5">
      <c r="A9" s="236" t="s">
        <v>150</v>
      </c>
      <c r="B9" s="237"/>
      <c r="C9" s="238"/>
    </row>
    <row r="10" spans="1:5" ht="15" thickBot="1">
      <c r="A10" s="58" t="s">
        <v>148</v>
      </c>
      <c r="B10" s="53" t="s">
        <v>149</v>
      </c>
      <c r="C10" s="82" t="s">
        <v>151</v>
      </c>
    </row>
    <row r="11" spans="1:5" ht="71" thickTop="1">
      <c r="A11" s="78">
        <v>0</v>
      </c>
      <c r="B11" s="79" t="s">
        <v>1835</v>
      </c>
      <c r="C11" s="80" t="s">
        <v>1836</v>
      </c>
    </row>
    <row r="12" spans="1:5" ht="56">
      <c r="A12" s="71">
        <v>1</v>
      </c>
      <c r="B12" s="64" t="s">
        <v>1837</v>
      </c>
      <c r="C12" s="81" t="s">
        <v>1838</v>
      </c>
    </row>
    <row r="13" spans="1:5" ht="42">
      <c r="A13" s="71">
        <v>2</v>
      </c>
      <c r="B13" s="64" t="s">
        <v>1839</v>
      </c>
      <c r="C13" s="81" t="s">
        <v>1840</v>
      </c>
    </row>
    <row r="14" spans="1:5" ht="56">
      <c r="A14" s="71">
        <v>3</v>
      </c>
      <c r="B14" s="64" t="s">
        <v>1841</v>
      </c>
      <c r="C14" s="81" t="s">
        <v>1842</v>
      </c>
    </row>
    <row r="15" spans="1:5" ht="56">
      <c r="A15" s="71">
        <v>4</v>
      </c>
      <c r="B15" s="64" t="s">
        <v>1843</v>
      </c>
      <c r="C15" s="81" t="s">
        <v>1844</v>
      </c>
    </row>
    <row r="16" spans="1:5">
      <c r="A16" s="71"/>
      <c r="B16" s="64"/>
      <c r="C16" s="81"/>
    </row>
    <row r="17" spans="1:3">
      <c r="A17" s="71"/>
      <c r="B17" s="64"/>
      <c r="C17" s="81"/>
    </row>
    <row r="18" spans="1:3">
      <c r="A18" s="71"/>
      <c r="B18" s="64"/>
      <c r="C18" s="81"/>
    </row>
    <row r="19" spans="1:3">
      <c r="A19" s="71"/>
      <c r="B19" s="64"/>
      <c r="C19" s="81"/>
    </row>
    <row r="20" spans="1:3">
      <c r="A20" s="71"/>
      <c r="B20" s="64"/>
      <c r="C20" s="81"/>
    </row>
    <row r="21" spans="1:3">
      <c r="A21" s="71"/>
      <c r="B21" s="64"/>
      <c r="C21" s="81"/>
    </row>
    <row r="22" spans="1:3">
      <c r="A22" s="71"/>
      <c r="B22" s="64"/>
      <c r="C22" s="81"/>
    </row>
    <row r="23" spans="1:3">
      <c r="A23" s="71"/>
      <c r="B23" s="64"/>
      <c r="C23" s="81"/>
    </row>
    <row r="24" spans="1:3">
      <c r="A24" s="71"/>
      <c r="B24" s="64"/>
      <c r="C24" s="81"/>
    </row>
    <row r="25" spans="1:3">
      <c r="A25" s="71"/>
      <c r="B25" s="64"/>
      <c r="C25" s="81"/>
    </row>
    <row r="26" spans="1:3">
      <c r="A26" s="71"/>
      <c r="B26" s="64"/>
      <c r="C26" s="81"/>
    </row>
    <row r="27" spans="1:3">
      <c r="A27" s="71"/>
      <c r="B27" s="64"/>
      <c r="C27" s="81"/>
    </row>
    <row r="28" spans="1:3">
      <c r="A28" s="71"/>
      <c r="B28" s="64"/>
      <c r="C28" s="81"/>
    </row>
  </sheetData>
  <sheetProtection password="CA31" sheet="1" objects="1" scenarios="1" formatColumns="0" insertRows="0" insertHyperlinks="0" deleteRows="0"/>
  <mergeCells count="1">
    <mergeCell ref="A9:C9"/>
  </mergeCells>
  <conditionalFormatting sqref="A11:A28">
    <cfRule type="duplicateValues" dxfId="21" priority="1"/>
    <cfRule type="expression" dxfId="20" priority="3">
      <formula>AND(COUNTA($A11:$C11)&gt;0,$A11="")</formula>
    </cfRule>
  </conditionalFormatting>
  <conditionalFormatting sqref="A12:C28">
    <cfRule type="expression" dxfId="19" priority="2">
      <formula>AND(COUNTA($A11:$C11)=0,A12&lt;&gt;"")</formula>
    </cfRule>
  </conditionalFormatting>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A1:E26"/>
  <sheetViews>
    <sheetView zoomScale="125" zoomScaleNormal="125" zoomScalePageLayoutView="125" workbookViewId="0">
      <selection activeCell="A10" sqref="A10"/>
    </sheetView>
  </sheetViews>
  <sheetFormatPr baseColWidth="10" defaultColWidth="8.83203125" defaultRowHeight="14" x14ac:dyDescent="0"/>
  <cols>
    <col min="1" max="1" width="26" customWidth="1"/>
    <col min="2" max="2" width="27" customWidth="1"/>
    <col min="3" max="3" width="35.83203125" customWidth="1"/>
    <col min="4" max="4" width="32.1640625" customWidth="1"/>
    <col min="5" max="5" width="2.5" bestFit="1" customWidth="1"/>
  </cols>
  <sheetData>
    <row r="1" spans="1:5" s="5" customFormat="1">
      <c r="A1" s="25" t="s">
        <v>255</v>
      </c>
      <c r="C1" s="77"/>
    </row>
    <row r="2" spans="1:5" s="5" customFormat="1">
      <c r="A2" s="25" t="s">
        <v>256</v>
      </c>
      <c r="C2" s="77"/>
    </row>
    <row r="3" spans="1:5" s="5" customFormat="1" ht="15" thickBot="1">
      <c r="A3" s="25" t="s">
        <v>361</v>
      </c>
      <c r="C3" s="77"/>
    </row>
    <row r="4" spans="1:5" s="5" customFormat="1" ht="15" thickBot="1">
      <c r="A4" s="25" t="s">
        <v>257</v>
      </c>
      <c r="C4" s="77"/>
      <c r="D4" s="26" t="s">
        <v>258</v>
      </c>
      <c r="E4" s="27">
        <f>COUNTA(TaxClassifiers)</f>
        <v>0</v>
      </c>
    </row>
    <row r="5" spans="1:5" ht="15" thickBot="1"/>
    <row r="6" spans="1:5">
      <c r="A6" s="239" t="s">
        <v>263</v>
      </c>
      <c r="B6" s="240"/>
      <c r="C6" s="240"/>
      <c r="D6" s="241"/>
    </row>
    <row r="7" spans="1:5" ht="15" thickBot="1">
      <c r="A7" s="86" t="s">
        <v>259</v>
      </c>
      <c r="B7" s="87" t="s">
        <v>260</v>
      </c>
      <c r="C7" s="143" t="s">
        <v>261</v>
      </c>
      <c r="D7" s="144" t="s">
        <v>262</v>
      </c>
    </row>
    <row r="8" spans="1:5" ht="15" thickTop="1">
      <c r="A8" s="16"/>
      <c r="B8" s="17"/>
      <c r="C8" s="18"/>
      <c r="D8" s="42"/>
    </row>
    <row r="9" spans="1:5">
      <c r="A9" s="8"/>
      <c r="B9" s="9"/>
      <c r="C9" s="20"/>
      <c r="D9" s="11"/>
    </row>
    <row r="10" spans="1:5">
      <c r="A10" s="8"/>
      <c r="B10" s="9"/>
      <c r="C10" s="20"/>
      <c r="D10" s="11"/>
    </row>
    <row r="11" spans="1:5">
      <c r="A11" s="8"/>
      <c r="B11" s="9"/>
      <c r="C11" s="20"/>
      <c r="D11" s="11"/>
    </row>
    <row r="12" spans="1:5">
      <c r="A12" s="8"/>
      <c r="B12" s="9"/>
      <c r="C12" s="20"/>
      <c r="D12" s="11"/>
    </row>
    <row r="13" spans="1:5">
      <c r="A13" s="8"/>
      <c r="B13" s="9"/>
      <c r="C13" s="20"/>
      <c r="D13" s="11"/>
    </row>
    <row r="14" spans="1:5">
      <c r="A14" s="8"/>
      <c r="B14" s="9"/>
      <c r="C14" s="20"/>
      <c r="D14" s="11"/>
    </row>
    <row r="15" spans="1:5">
      <c r="A15" s="8"/>
      <c r="B15" s="9"/>
      <c r="C15" s="20"/>
      <c r="D15" s="11"/>
    </row>
    <row r="16" spans="1:5">
      <c r="A16" s="8"/>
      <c r="B16" s="9"/>
      <c r="C16" s="20"/>
      <c r="D16" s="11"/>
    </row>
    <row r="17" spans="1:4">
      <c r="A17" s="8"/>
      <c r="B17" s="9"/>
      <c r="C17" s="20"/>
      <c r="D17" s="11"/>
    </row>
    <row r="18" spans="1:4">
      <c r="A18" s="8"/>
      <c r="B18" s="9"/>
      <c r="C18" s="20"/>
      <c r="D18" s="11"/>
    </row>
    <row r="19" spans="1:4">
      <c r="A19" s="8"/>
      <c r="B19" s="9"/>
      <c r="C19" s="20"/>
      <c r="D19" s="11"/>
    </row>
    <row r="20" spans="1:4">
      <c r="A20" s="8"/>
      <c r="B20" s="9"/>
      <c r="C20" s="20"/>
      <c r="D20" s="11"/>
    </row>
    <row r="21" spans="1:4">
      <c r="A21" s="8"/>
      <c r="B21" s="9"/>
      <c r="C21" s="20"/>
      <c r="D21" s="11"/>
    </row>
    <row r="22" spans="1:4">
      <c r="A22" s="8"/>
      <c r="B22" s="9"/>
      <c r="C22" s="20"/>
      <c r="D22" s="11"/>
    </row>
    <row r="23" spans="1:4">
      <c r="A23" s="8"/>
      <c r="B23" s="9"/>
      <c r="C23" s="20"/>
      <c r="D23" s="11"/>
    </row>
    <row r="24" spans="1:4">
      <c r="A24" s="8"/>
      <c r="B24" s="9"/>
      <c r="C24" s="20"/>
      <c r="D24" s="11"/>
    </row>
    <row r="25" spans="1:4">
      <c r="A25" s="8"/>
      <c r="B25" s="9"/>
      <c r="C25" s="20"/>
      <c r="D25" s="11"/>
    </row>
    <row r="26" spans="1:4">
      <c r="A26" s="12"/>
      <c r="B26" s="13"/>
      <c r="C26" s="23"/>
      <c r="D26" s="15"/>
    </row>
  </sheetData>
  <sheetProtection password="CA31" sheet="1" objects="1" scenarios="1" formatColumns="0" insertRows="0" insertHyperlinks="0" deleteRows="0"/>
  <mergeCells count="1">
    <mergeCell ref="A6:D6"/>
  </mergeCells>
  <conditionalFormatting sqref="A8:A26">
    <cfRule type="expression" dxfId="18" priority="4">
      <formula>AND(COUNTIF(TaxonomicClassifierTypeCV,$A8)=0,$A8&lt;&gt;"")</formula>
    </cfRule>
  </conditionalFormatting>
  <conditionalFormatting sqref="A8:B26">
    <cfRule type="expression" dxfId="17" priority="3">
      <formula>AND(COUNTA($A8:$D8)&gt;0,A8&lt;&gt;"")</formula>
    </cfRule>
  </conditionalFormatting>
  <conditionalFormatting sqref="A9:D26">
    <cfRule type="expression" dxfId="16" priority="2">
      <formula>AND(COUNTA($A8:$D8)=0,A9&lt;&gt;"")</formula>
    </cfRule>
  </conditionalFormatting>
  <conditionalFormatting sqref="B8:B26">
    <cfRule type="duplicateValues" dxfId="15" priority="1"/>
  </conditionalFormatting>
  <dataValidations count="1">
    <dataValidation type="list" allowBlank="1" showInputMessage="1" showErrorMessage="1" sqref="A8:A26">
      <formula1>TaxonomicClassifierTypeCV</formula1>
    </dataValidation>
  </dataValidations>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AC99"/>
  <sheetViews>
    <sheetView zoomScale="115" zoomScaleNormal="115" zoomScalePageLayoutView="115" workbookViewId="0">
      <selection activeCell="C29" sqref="C29"/>
    </sheetView>
  </sheetViews>
  <sheetFormatPr baseColWidth="10" defaultColWidth="8.83203125" defaultRowHeight="14" x14ac:dyDescent="0"/>
  <cols>
    <col min="1" max="1" width="6.6640625" style="5" customWidth="1"/>
    <col min="2" max="2" width="20.6640625" style="5" bestFit="1" customWidth="1"/>
    <col min="3" max="3" width="23.6640625" style="5" bestFit="1" customWidth="1"/>
    <col min="4" max="4" width="14.6640625" style="5" bestFit="1" customWidth="1"/>
    <col min="5" max="5" width="2.83203125" style="5" customWidth="1"/>
    <col min="6" max="6" width="16.5" style="5" bestFit="1" customWidth="1"/>
    <col min="7" max="7" width="2.83203125" style="5" customWidth="1"/>
    <col min="8" max="8" width="15.5" style="5" bestFit="1" customWidth="1"/>
    <col min="9" max="9" width="2.83203125" style="5" customWidth="1"/>
    <col min="10" max="10" width="17.1640625" style="5" bestFit="1" customWidth="1"/>
    <col min="11" max="11" width="14.33203125" style="5" bestFit="1" customWidth="1"/>
    <col min="12" max="12" width="13.5" style="5" bestFit="1" customWidth="1"/>
    <col min="13" max="13" width="15" style="5" bestFit="1" customWidth="1"/>
    <col min="14" max="14" width="11.83203125" style="5" bestFit="1" customWidth="1"/>
    <col min="15" max="15" width="11.5" style="5" bestFit="1" customWidth="1"/>
    <col min="16" max="16" width="9" style="5" bestFit="1" customWidth="1"/>
    <col min="17" max="17" width="16.33203125" style="5" bestFit="1" customWidth="1"/>
    <col min="18" max="18" width="13.33203125" style="5" bestFit="1" customWidth="1"/>
    <col min="19" max="19" width="22.6640625" style="5" bestFit="1" customWidth="1"/>
    <col min="20" max="20" width="2.83203125" style="5" customWidth="1"/>
    <col min="21" max="21" width="17.1640625" style="5" bestFit="1" customWidth="1"/>
    <col min="22" max="22" width="12.5" style="5" bestFit="1" customWidth="1"/>
    <col min="23" max="23" width="12.83203125" style="5" bestFit="1" customWidth="1"/>
    <col min="24" max="24" width="21" style="5" bestFit="1" customWidth="1"/>
    <col min="25" max="25" width="20.1640625" style="5" bestFit="1" customWidth="1"/>
    <col min="26" max="26" width="27.33203125" style="5" bestFit="1" customWidth="1"/>
    <col min="27" max="27" width="18.6640625" style="5" bestFit="1" customWidth="1"/>
    <col min="28" max="28" width="3.83203125" style="5" customWidth="1"/>
    <col min="29" max="29" width="3.83203125" style="38" customWidth="1"/>
    <col min="30" max="30" width="12.83203125" style="5" customWidth="1"/>
    <col min="31" max="33" width="12.1640625" style="5" customWidth="1"/>
    <col min="34" max="16384" width="8.83203125" style="5"/>
  </cols>
  <sheetData>
    <row r="1" spans="1:29" s="25" customFormat="1">
      <c r="A1" s="25" t="s">
        <v>42</v>
      </c>
      <c r="AC1" s="171"/>
    </row>
    <row r="2" spans="1:29" s="25" customFormat="1" ht="15" thickBot="1">
      <c r="A2" s="25" t="s">
        <v>471</v>
      </c>
      <c r="AC2" s="171"/>
    </row>
    <row r="3" spans="1:29" s="25" customFormat="1" ht="15" thickBot="1">
      <c r="A3" s="25" t="s">
        <v>165</v>
      </c>
      <c r="N3" s="162"/>
      <c r="U3" s="84" t="s">
        <v>167</v>
      </c>
      <c r="V3" s="27">
        <f ca="1">MAX(DataColumns[Col'#])</f>
        <v>14</v>
      </c>
      <c r="AC3" s="171"/>
    </row>
    <row r="4" spans="1:29" s="25" customFormat="1" ht="15" thickBot="1">
      <c r="A4" s="25" t="s">
        <v>193</v>
      </c>
      <c r="N4" s="162"/>
      <c r="U4" s="84" t="s">
        <v>269</v>
      </c>
      <c r="V4" s="27" t="e">
        <f>INDEX(DataColumns[Col'#],MATCH("SpecimenCode",DataColumns[ColumnType],0))</f>
        <v>#N/A</v>
      </c>
      <c r="AC4" s="171"/>
    </row>
    <row r="5" spans="1:29" s="25" customFormat="1" ht="15" thickBot="1">
      <c r="A5" s="25" t="s">
        <v>166</v>
      </c>
      <c r="N5" s="162"/>
      <c r="U5" s="84" t="s">
        <v>268</v>
      </c>
      <c r="V5" s="27">
        <f ca="1">COUNTA(INDIRECT(CONCATENATE("'Data Values'!R2C",SpecimenColumnNumber,":R96129C",SpecimenColumnNumber),FALSE))</f>
        <v>1</v>
      </c>
      <c r="AC5" s="171"/>
    </row>
    <row r="6" spans="1:29" s="25" customFormat="1" ht="15" thickBot="1">
      <c r="A6" s="25" t="s">
        <v>414</v>
      </c>
      <c r="N6" s="162"/>
      <c r="U6" s="84" t="s">
        <v>272</v>
      </c>
      <c r="V6" s="27">
        <f>COUNTIF(DataColumns[ColumnType],"ResultValue")</f>
        <v>5</v>
      </c>
      <c r="AC6" s="171"/>
    </row>
    <row r="7" spans="1:29" s="25" customFormat="1">
      <c r="A7" s="25" t="s">
        <v>462</v>
      </c>
      <c r="N7" s="162"/>
      <c r="AC7" s="171"/>
    </row>
    <row r="8" spans="1:29" s="25" customFormat="1">
      <c r="A8" s="25" t="s">
        <v>266</v>
      </c>
      <c r="N8" s="162"/>
      <c r="AC8" s="171"/>
    </row>
    <row r="9" spans="1:29" s="25" customFormat="1" ht="15" thickBot="1">
      <c r="AC9" s="171"/>
    </row>
    <row r="10" spans="1:29" s="25" customFormat="1">
      <c r="A10" s="242" t="s">
        <v>327</v>
      </c>
      <c r="B10" s="243"/>
      <c r="C10" s="243"/>
      <c r="D10" s="244"/>
      <c r="E10" s="242" t="s">
        <v>328</v>
      </c>
      <c r="F10" s="243"/>
      <c r="G10" s="243"/>
      <c r="H10" s="243"/>
      <c r="I10" s="243"/>
      <c r="J10" s="243"/>
      <c r="K10" s="243"/>
      <c r="L10" s="243"/>
      <c r="M10" s="244"/>
      <c r="N10" s="242" t="s">
        <v>329</v>
      </c>
      <c r="O10" s="243"/>
      <c r="P10" s="243"/>
      <c r="Q10" s="243"/>
      <c r="R10" s="243"/>
      <c r="S10" s="243"/>
      <c r="T10" s="243"/>
      <c r="U10" s="243"/>
      <c r="V10" s="243"/>
      <c r="W10" s="243"/>
      <c r="X10" s="243"/>
      <c r="Y10" s="243"/>
      <c r="Z10" s="243"/>
      <c r="AA10" s="243"/>
      <c r="AB10" s="243"/>
      <c r="AC10" s="244"/>
    </row>
    <row r="11" spans="1:29" s="168" customFormat="1">
      <c r="A11" s="163"/>
      <c r="B11" s="164" t="s">
        <v>265</v>
      </c>
      <c r="C11" s="164" t="s">
        <v>265</v>
      </c>
      <c r="D11" s="165" t="s">
        <v>265</v>
      </c>
      <c r="E11" s="163">
        <f ca="1">IF(ISERROR(MATCH(INDIRECT(CONCATENATE("R",ROW()+1,"C",COLUMN()),FALSE),DataColumns[ColumnType],0)),INDEX(SpecimenColumnFinder[REQUIRED],MATCH(INDIRECT(CONCATENATE("R",ROW()+1,"C",COLUMN()),FALSE),SpecimenColumnFinder[DataType],0)),2)</f>
        <v>2</v>
      </c>
      <c r="F11" s="164" t="str">
        <f ca="1">IF(ISERROR(MATCH(INDIRECT(CONCATENATE("R",ROW()+1,"C",COLUMN()),FALSE),DataColumns[ColumnType],0)),INDEX(SpecimenColumnFinder[REQUIRED],MATCH(INDIRECT(CONCATENATE("R",ROW()+1,"C",COLUMN()),FALSE),SpecimenColumnFinder[DataType],0)),2)</f>
        <v>Optional</v>
      </c>
      <c r="G11" s="164">
        <f ca="1">IF(ISERROR(MATCH(INDIRECT(CONCATENATE("R",ROW()+1,"C",COLUMN()),FALSE),DataColumns[ColumnType],0)),INDEX(SpecimenColumnFinder[REQUIRED],MATCH(INDIRECT(CONCATENATE("R",ROW()+1,"C",COLUMN()),FALSE),SpecimenColumnFinder[DataType],0)),2)</f>
        <v>2</v>
      </c>
      <c r="H11" s="164" t="str">
        <f ca="1">IF(ISERROR(MATCH(INDIRECT(CONCATENATE("R",ROW()+1,"C",COLUMN()),FALSE),DataColumns[ColumnType],0)),INDEX(SpecimenColumnFinder[REQUIRED],MATCH(INDIRECT(CONCATENATE("R",ROW()+1,"C",COLUMN()),FALSE),SpecimenColumnFinder[DataType],0)),2)</f>
        <v>Optional</v>
      </c>
      <c r="I11" s="164">
        <f ca="1">IF(ISERROR(MATCH(INDIRECT(CONCATENATE("R",ROW()+1,"C",COLUMN()),FALSE),DataColumns[ColumnType],0)),INDEX(SpecimenColumnFinder[REQUIRED],MATCH(INDIRECT(CONCATENATE("R",ROW()+1,"C",COLUMN()),FALSE),SpecimenColumnFinder[DataType],0)),2)</f>
        <v>2</v>
      </c>
      <c r="J11" s="164" t="str">
        <f ca="1">IF(ISERROR(MATCH(INDIRECT(CONCATENATE("R",ROW()+1,"C",COLUMN()),FALSE),DataColumns[ColumnType],0)),INDEX(SpecimenColumnFinder[REQUIRED],MATCH(INDIRECT(CONCATENATE("R",ROW()+1,"C",COLUMN()),FALSE),SpecimenColumnFinder[DataType],0)),2)</f>
        <v>REQUIRED</v>
      </c>
      <c r="K11" s="164" t="str">
        <f ca="1">IF(ISERROR(MATCH(INDIRECT(CONCATENATE("R",ROW()+1,"C",COLUMN()),FALSE),DataColumns[ColumnType],0)),INDEX(SpecimenColumnFinder[REQUIRED],MATCH(INDIRECT(CONCATENATE("R",ROW()+1,"C",COLUMN()),FALSE),SpecimenColumnFinder[DataType],0)),2)</f>
        <v>REQUIRED</v>
      </c>
      <c r="L11" s="164" t="str">
        <f ca="1">IF(ISERROR(MATCH(INDIRECT(CONCATENATE("R",ROW()+1,"C",COLUMN()),FALSE),DataColumns[ColumnType],0)),INDEX(SpecimenColumnFinder[REQUIRED],MATCH(INDIRECT(CONCATENATE("R",ROW()+1,"C",COLUMN()),FALSE),SpecimenColumnFinder[DataType],0)),2)</f>
        <v>REQUIRED</v>
      </c>
      <c r="M11" s="165" t="str">
        <f ca="1">IF(ISERROR(MATCH(INDIRECT(CONCATENATE("R",ROW()+1,"C",COLUMN()),FALSE),DataColumns[ColumnType],0)),INDEX(SpecimenColumnFinder[REQUIRED],MATCH(INDIRECT(CONCATENATE("R",ROW()+1,"C",COLUMN()),FALSE),SpecimenColumnFinder[DataType],0)),2)</f>
        <v>Optional</v>
      </c>
      <c r="N11" s="163" t="str">
        <f ca="1">IF(ISERROR(MATCH(INDIRECT(CONCATENATE("R",ROW()+1,"C",COLUMN()),FALSE),DataColumns[ColumnType],0)),INDEX(ResultColumnFinder[REQUIRED],MATCH(INDIRECT(CONCATENATE("R",ROW()+1,"C",COLUMN()),FALSE),ResultColumnFinder[DataType],0)),2)</f>
        <v>REQUIRED</v>
      </c>
      <c r="O11" s="164" t="str">
        <f ca="1">IF(ISERROR(MATCH(INDIRECT(CONCATENATE("R",ROW()+1,"C",COLUMN()),FALSE),DataColumns[ColumnType],0)),INDEX(ResultColumnFinder[REQUIRED],MATCH(INDIRECT(CONCATENATE("R",ROW()+1,"C",COLUMN()),FALSE),ResultColumnFinder[DataType],0)),2)</f>
        <v>REQUIRED</v>
      </c>
      <c r="P11" s="164" t="str">
        <f ca="1">IF(ISERROR(MATCH(INDIRECT(CONCATENATE("R",ROW()+1,"C",COLUMN()),FALSE),DataColumns[ColumnType],0)),INDEX(ResultColumnFinder[REQUIRED],MATCH(INDIRECT(CONCATENATE("R",ROW()+1,"C",COLUMN()),FALSE),ResultColumnFinder[DataType],0)),2)</f>
        <v>REQUIRED</v>
      </c>
      <c r="Q11" s="164" t="str">
        <f ca="1">IF(ISERROR(MATCH(INDIRECT(CONCATENATE("R",ROW()+1,"C",COLUMN()),FALSE),DataColumns[ColumnType],0)),INDEX(ResultColumnFinder[REQUIRED],MATCH(INDIRECT(CONCATENATE("R",ROW()+1,"C",COLUMN()),FALSE),ResultColumnFinder[DataType],0)),2)</f>
        <v>REQUIRED</v>
      </c>
      <c r="R11" s="164" t="str">
        <f ca="1">IF(ISERROR(MATCH(INDIRECT(CONCATENATE("R",ROW()+1,"C",COLUMN()),FALSE),DataColumns[ColumnType],0)),INDEX(ResultColumnFinder[REQUIRED],MATCH(INDIRECT(CONCATENATE("R",ROW()+1,"C",COLUMN()),FALSE),ResultColumnFinder[DataType],0)),2)</f>
        <v>Optional</v>
      </c>
      <c r="S11" s="164" t="str">
        <f ca="1">IF(ISERROR(MATCH(INDIRECT(CONCATENATE("R",ROW()+1,"C",COLUMN()),FALSE),DataColumns[ColumnType],0)),INDEX(ResultColumnFinder[REQUIRED],MATCH(INDIRECT(CONCATENATE("R",ROW()+1,"C",COLUMN()),FALSE),ResultColumnFinder[DataType],0)),2)</f>
        <v>Optional</v>
      </c>
      <c r="T11" s="164">
        <f ca="1">IF(ISERROR(MATCH(INDIRECT(CONCATENATE("R",ROW()+1,"C",COLUMN()),FALSE),DataColumns[ColumnType],0)),INDEX(ResultColumnFinder[REQUIRED],MATCH(INDIRECT(CONCATENATE("R",ROW()+1,"C",COLUMN()),FALSE),ResultColumnFinder[DataType],0)),2)</f>
        <v>2</v>
      </c>
      <c r="U11" s="164" t="str">
        <f ca="1">IF(ISERROR(MATCH(INDIRECT(CONCATENATE("R",ROW()+1,"C",COLUMN()),FALSE),DataColumns[ColumnType],0)),INDEX(ResultColumnFinder[REQUIRED],MATCH(INDIRECT(CONCATENATE("R",ROW()+1,"C",COLUMN()),FALSE),ResultColumnFinder[DataType],0)),2)</f>
        <v>REQUIRED</v>
      </c>
      <c r="V11" s="164" t="str">
        <f ca="1">IF(ISERROR(MATCH(INDIRECT(CONCATENATE("R",ROW()+1,"C",COLUMN()),FALSE),DataColumns[ColumnType],0)),INDEX(ResultColumnFinder[REQUIRED],MATCH(INDIRECT(CONCATENATE("R",ROW()+1,"C",COLUMN()),FALSE),ResultColumnFinder[DataType],0)),2)</f>
        <v>REQUIRED</v>
      </c>
      <c r="W11" s="164" t="str">
        <f ca="1">IF(ISERROR(MATCH(INDIRECT(CONCATENATE("R",ROW()+1,"C",COLUMN()),FALSE),DataColumns[ColumnType],0)),INDEX(ResultColumnFinder[REQUIRED],MATCH(INDIRECT(CONCATENATE("R",ROW()+1,"C",COLUMN()),FALSE),ResultColumnFinder[DataType],0)),2)</f>
        <v>REQUIRED</v>
      </c>
      <c r="X11" s="164" t="str">
        <f ca="1">IF(ISERROR(MATCH(INDIRECT(CONCATENATE("R",ROW()+1,"C",COLUMN()),FALSE),DataColumns[ColumnType],0)),INDEX(ResultColumnFinder[REQUIRED],MATCH(INDIRECT(CONCATENATE("R",ROW()+1,"C",COLUMN()),FALSE),ResultColumnFinder[DataType],0)),2)</f>
        <v>Optional</v>
      </c>
      <c r="Y11" s="166" t="str">
        <f ca="1">IF(ISERROR(MATCH(INDIRECT(CONCATENATE("R",ROW()+1,"C",COLUMN()),FALSE),DataColumns[ColumnType],0)),INDEX(ResultColumnFinder[REQUIRED],MATCH(INDIRECT(CONCATENATE("R",ROW()+1,"C",COLUMN()),FALSE),ResultColumnFinder[DataType],0)),2)</f>
        <v>REQUIRED</v>
      </c>
      <c r="Z11" s="167" t="str">
        <f ca="1">IF(ISERROR(MATCH(INDIRECT(CONCATENATE("R",ROW()+1,"C",COLUMN()),FALSE),DataColumns[ColumnType],0)),INDEX(ResultColumnFinder[REQUIRED],MATCH(INDIRECT(CONCATENATE("R",ROW()+1,"C",COLUMN()),FALSE),ResultColumnFinder[DataType],0)),2)</f>
        <v>REQUIRED</v>
      </c>
      <c r="AA11" s="167" t="str">
        <f ca="1">IF(ISERROR(MATCH(INDIRECT(CONCATENATE("R",ROW()+1,"C",COLUMN()),FALSE),DataColumns[ColumnType],0)),INDEX(ResultColumnFinder[REQUIRED],MATCH(INDIRECT(CONCATENATE("R",ROW()+1,"C",COLUMN()),FALSE),ResultColumnFinder[DataType],0)),2)</f>
        <v>REQUIRED</v>
      </c>
      <c r="AB11" s="166">
        <v>3</v>
      </c>
      <c r="AC11" s="172">
        <v>3</v>
      </c>
    </row>
    <row r="12" spans="1:29" s="25" customFormat="1" ht="15" thickBot="1">
      <c r="A12" s="83" t="s">
        <v>321</v>
      </c>
      <c r="B12" s="58" t="s">
        <v>322</v>
      </c>
      <c r="C12" s="58" t="s">
        <v>323</v>
      </c>
      <c r="D12" s="152" t="s">
        <v>326</v>
      </c>
      <c r="E12" s="69" t="s">
        <v>345</v>
      </c>
      <c r="F12" s="58" t="s">
        <v>72</v>
      </c>
      <c r="G12" s="58" t="s">
        <v>299</v>
      </c>
      <c r="H12" s="53" t="s">
        <v>330</v>
      </c>
      <c r="I12" s="53" t="s">
        <v>389</v>
      </c>
      <c r="J12" s="53" t="s">
        <v>267</v>
      </c>
      <c r="K12" s="59" t="s">
        <v>71</v>
      </c>
      <c r="L12" s="53" t="s">
        <v>325</v>
      </c>
      <c r="M12" s="140" t="s">
        <v>346</v>
      </c>
      <c r="N12" s="69" t="s">
        <v>140</v>
      </c>
      <c r="O12" s="58" t="s">
        <v>319</v>
      </c>
      <c r="P12" s="53" t="s">
        <v>318</v>
      </c>
      <c r="Q12" s="53" t="s">
        <v>74</v>
      </c>
      <c r="R12" s="53" t="s">
        <v>331</v>
      </c>
      <c r="S12" s="53" t="s">
        <v>301</v>
      </c>
      <c r="T12" s="53" t="s">
        <v>390</v>
      </c>
      <c r="U12" s="53" t="s">
        <v>254</v>
      </c>
      <c r="V12" s="53" t="s">
        <v>142</v>
      </c>
      <c r="W12" s="53" t="s">
        <v>143</v>
      </c>
      <c r="X12" s="53" t="s">
        <v>264</v>
      </c>
      <c r="Y12" s="53" t="s">
        <v>252</v>
      </c>
      <c r="Z12" s="53" t="s">
        <v>253</v>
      </c>
      <c r="AA12" s="53" t="s">
        <v>145</v>
      </c>
      <c r="AB12" s="174" t="s">
        <v>364</v>
      </c>
      <c r="AC12" s="173" t="s">
        <v>367</v>
      </c>
    </row>
    <row r="13" spans="1:29" ht="15" thickTop="1">
      <c r="A13" s="45">
        <f ca="1">IF(COUNTA(DataColumns[[#This Row],[ColumnLabel]:[QualityCodeCV]])&gt;0,IF(MAX(INDIRECT(CONCATENATE("R",ROW(DataColumns[#Headers]),"C",COLUMN(),":R",ROW()-1,"C",COLUMN()),FALSE))=0,1,MAX(INDIRECT(CONCATENATE("R",ROW(DataColumns[#Headers]),"C",COLUMN(),":R",ROW()-1,"C",COLUMN()),FALSE))+1),"")</f>
        <v>1</v>
      </c>
      <c r="B13" s="131" t="s">
        <v>26</v>
      </c>
      <c r="C13" s="6" t="s">
        <v>296</v>
      </c>
      <c r="D13" s="153"/>
      <c r="E13" s="158"/>
      <c r="F13" s="169"/>
      <c r="G13" s="150"/>
      <c r="H13" s="6" t="s">
        <v>1776</v>
      </c>
      <c r="I13" s="6"/>
      <c r="J13" s="6" t="s">
        <v>13</v>
      </c>
      <c r="K13" s="156"/>
      <c r="L13" s="6" t="b">
        <v>1</v>
      </c>
      <c r="M13" s="161"/>
      <c r="N13" s="131"/>
      <c r="O13" s="150"/>
      <c r="P13" s="6"/>
      <c r="Q13" s="6"/>
      <c r="R13" s="145"/>
      <c r="S13" s="145"/>
      <c r="T13" s="6"/>
      <c r="U13" s="6"/>
      <c r="V13" s="6"/>
      <c r="W13" s="6"/>
      <c r="X13" s="145"/>
      <c r="Y13" s="6"/>
      <c r="Z13" s="6"/>
      <c r="AA13" s="6"/>
      <c r="AB13" s="175" t="str">
        <f ca="1">IF(DataColumns[[#This Row],[ColumnType]]="ResultValue",IF(MAX(INDIRECT(CONCATENATE("R",ROW(DataColumns[#Headers]),"C",COLUMN(),":R",ROW()-1,"C",COLUMN()),FALSE))=0,1,MAX(INDIRECT(CONCATENATE("R",ROW(DataColumns[#Headers]),"C",COLUMN(),":R",ROW()-1,"C",COLUMN()),FALSE))+1),"")</f>
        <v/>
      </c>
      <c r="AC13" s="124" t="str">
        <f>IF(DataColumns[[#This Row],[ColumnType]]="ResultValue",CONCATENATE(DataColumns[[#This Row],[ColumnType]],DataColumns[[#This Row],[ColumnLabel]]),CONCATENATE(DataColumns[[#This Row],[ColumnType]],DataColumns[[#This Row],[AppliesToColumn]]))</f>
        <v>SpecimenName</v>
      </c>
    </row>
    <row r="14" spans="1:29">
      <c r="A14" s="46">
        <f ca="1">IF(COUNTA(DataColumns[[#This Row],[ColumnLabel]:[QualityCodeCV]])&gt;0,IF(MAX(INDIRECT(CONCATENATE("R",ROW(DataColumns[#Headers]),"C",COLUMN(),":R",ROW()-1,"C",COLUMN()),FALSE))=0,1,MAX(INDIRECT(CONCATENATE("R",ROW(DataColumns[#Headers]),"C",COLUMN(),":R",ROW()-1,"C",COLUMN()),FALSE))+1),"")</f>
        <v>2</v>
      </c>
      <c r="B14" s="104" t="s">
        <v>1845</v>
      </c>
      <c r="C14" s="9" t="s">
        <v>270</v>
      </c>
      <c r="D14" s="154"/>
      <c r="E14" s="159"/>
      <c r="F14" s="138"/>
      <c r="G14" s="8"/>
      <c r="H14" s="9"/>
      <c r="I14" s="9"/>
      <c r="J14" s="9"/>
      <c r="K14" s="33"/>
      <c r="L14" s="9"/>
      <c r="M14" s="132"/>
      <c r="N14" s="104"/>
      <c r="O14" s="8"/>
      <c r="P14" s="9"/>
      <c r="Q14" s="9"/>
      <c r="R14" s="20"/>
      <c r="S14" s="20"/>
      <c r="T14" s="9"/>
      <c r="U14" s="9"/>
      <c r="V14" s="9"/>
      <c r="W14" s="9"/>
      <c r="X14" s="20"/>
      <c r="Y14" s="9"/>
      <c r="Z14" s="9"/>
      <c r="AA14" s="9"/>
      <c r="AB14" s="176" t="str">
        <f ca="1">IF(DataColumns[[#This Row],[ColumnType]]="ResultValue",IF(MAX(INDIRECT(CONCATENATE("R",ROW(DataColumns[#Headers]),"C",COLUMN(),":R",ROW()-1,"C",COLUMN()),FALSE))=0,1,MAX(INDIRECT(CONCATENATE("R",ROW(DataColumns[#Headers]),"C",COLUMN(),":R",ROW()-1,"C",COLUMN()),FALSE))+1),"")</f>
        <v/>
      </c>
      <c r="AC14" s="125" t="str">
        <f>IF(DataColumns[[#This Row],[ColumnType]]="ResultValue",CONCATENATE(DataColumns[[#This Row],[ColumnType]],DataColumns[[#This Row],[ColumnLabel]]),CONCATENATE(DataColumns[[#This Row],[ColumnType]],DataColumns[[#This Row],[AppliesToColumn]]))</f>
        <v>SpecimenIGSN</v>
      </c>
    </row>
    <row r="15" spans="1:29">
      <c r="A15" s="46">
        <f ca="1">IF(COUNTA(DataColumns[[#This Row],[ColumnLabel]:[QualityCodeCV]])&gt;0,IF(MAX(INDIRECT(CONCATENATE("R",ROW(DataColumns[#Headers]),"C",COLUMN(),":R",ROW()-1,"C",COLUMN()),FALSE))=0,1,MAX(INDIRECT(CONCATENATE("R",ROW(DataColumns[#Headers]),"C",COLUMN(),":R",ROW()-1,"C",COLUMN()),FALSE))+1),"")</f>
        <v>3</v>
      </c>
      <c r="B15" s="104" t="s">
        <v>1846</v>
      </c>
      <c r="C15" s="9" t="s">
        <v>345</v>
      </c>
      <c r="D15" s="154"/>
      <c r="E15" s="159"/>
      <c r="F15" s="138"/>
      <c r="G15" s="8"/>
      <c r="H15" s="9"/>
      <c r="I15" s="9"/>
      <c r="J15" s="9"/>
      <c r="K15" s="33"/>
      <c r="L15" s="9"/>
      <c r="M15" s="132"/>
      <c r="N15" s="104"/>
      <c r="O15" s="8"/>
      <c r="P15" s="9"/>
      <c r="Q15" s="9"/>
      <c r="R15" s="20"/>
      <c r="S15" s="20"/>
      <c r="T15" s="9"/>
      <c r="U15" s="9"/>
      <c r="V15" s="9"/>
      <c r="W15" s="9"/>
      <c r="X15" s="20"/>
      <c r="Y15" s="9"/>
      <c r="Z15" s="9"/>
      <c r="AA15" s="9"/>
      <c r="AB15" s="176" t="str">
        <f ca="1">IF(DataColumns[[#This Row],[ColumnType]]="ResultValue",IF(MAX(INDIRECT(CONCATENATE("R",ROW(DataColumns[#Headers]),"C",COLUMN(),":R",ROW()-1,"C",COLUMN()),FALSE))=0,1,MAX(INDIRECT(CONCATENATE("R",ROW(DataColumns[#Headers]),"C",COLUMN(),":R",ROW()-1,"C",COLUMN()),FALSE))+1),"")</f>
        <v/>
      </c>
      <c r="AC15" s="125" t="str">
        <f>IF(DataColumns[[#This Row],[ColumnType]]="ResultValue",CONCATENATE(DataColumns[[#This Row],[ColumnType]],DataColumns[[#This Row],[ColumnLabel]]),CONCATENATE(DataColumns[[#This Row],[ColumnType]],DataColumns[[#This Row],[AppliesToColumn]]))</f>
        <v>ParentSamplingFeatureCode</v>
      </c>
    </row>
    <row r="16" spans="1:29">
      <c r="A16" s="46">
        <f ca="1">IF(COUNTA(DataColumns[[#This Row],[ColumnLabel]:[QualityCodeCV]])&gt;0,IF(MAX(INDIRECT(CONCATENATE("R",ROW(DataColumns[#Headers]),"C",COLUMN(),":R",ROW()-1,"C",COLUMN()),FALSE))=0,1,MAX(INDIRECT(CONCATENATE("R",ROW(DataColumns[#Headers]),"C",COLUMN(),":R",ROW()-1,"C",COLUMN()),FALSE))+1),"")</f>
        <v>4</v>
      </c>
      <c r="B16" s="104" t="s">
        <v>1847</v>
      </c>
      <c r="C16" s="9" t="s">
        <v>298</v>
      </c>
      <c r="D16" s="154"/>
      <c r="E16" s="159"/>
      <c r="F16" s="138"/>
      <c r="G16" s="8"/>
      <c r="H16" s="9"/>
      <c r="I16" s="9"/>
      <c r="J16" s="9"/>
      <c r="K16" s="33"/>
      <c r="L16" s="9"/>
      <c r="M16" s="132"/>
      <c r="N16" s="104"/>
      <c r="O16" s="8"/>
      <c r="P16" s="9"/>
      <c r="Q16" s="9"/>
      <c r="R16" s="20"/>
      <c r="S16" s="20"/>
      <c r="T16" s="9"/>
      <c r="U16" s="9"/>
      <c r="V16" s="9"/>
      <c r="W16" s="9"/>
      <c r="X16" s="20"/>
      <c r="Y16" s="9"/>
      <c r="Z16" s="9"/>
      <c r="AA16" s="9"/>
      <c r="AB16" s="176" t="str">
        <f ca="1">IF(DataColumns[[#This Row],[ColumnType]]="ResultValue",IF(MAX(INDIRECT(CONCATENATE("R",ROW(DataColumns[#Headers]),"C",COLUMN(),":R",ROW()-1,"C",COLUMN()),FALSE))=0,1,MAX(INDIRECT(CONCATENATE("R",ROW(DataColumns[#Headers]),"C",COLUMN(),":R",ROW()-1,"C",COLUMN()),FALSE))+1),"")</f>
        <v/>
      </c>
      <c r="AC16" s="125" t="str">
        <f>IF(DataColumns[[#This Row],[ColumnType]]="ResultValue",CONCATENATE(DataColumns[[#This Row],[ColumnType]],DataColumns[[#This Row],[ColumnLabel]]),CONCATENATE(DataColumns[[#This Row],[ColumnType]],DataColumns[[#This Row],[AppliesToColumn]]))</f>
        <v>CollectionDateTime</v>
      </c>
    </row>
    <row r="17" spans="1:29">
      <c r="A17" s="46">
        <f ca="1">IF(COUNTA(DataColumns[[#This Row],[ColumnLabel]:[QualityCodeCV]])&gt;0,IF(MAX(INDIRECT(CONCATENATE("R",ROW(DataColumns[#Headers]),"C",COLUMN(),":R",ROW()-1,"C",COLUMN()),FALSE))=0,1,MAX(INDIRECT(CONCATENATE("R",ROW(DataColumns[#Headers]),"C",COLUMN(),":R",ROW()-1,"C",COLUMN()),FALSE))+1),"")</f>
        <v>5</v>
      </c>
      <c r="B17" s="104" t="s">
        <v>1848</v>
      </c>
      <c r="C17" s="9" t="s">
        <v>299</v>
      </c>
      <c r="D17" s="154"/>
      <c r="E17" s="159"/>
      <c r="F17" s="138"/>
      <c r="G17" s="8"/>
      <c r="H17" s="9"/>
      <c r="I17" s="9"/>
      <c r="J17" s="9"/>
      <c r="K17" s="33"/>
      <c r="L17" s="9"/>
      <c r="M17" s="132"/>
      <c r="N17" s="104"/>
      <c r="O17" s="8"/>
      <c r="P17" s="9"/>
      <c r="Q17" s="9"/>
      <c r="R17" s="20"/>
      <c r="S17" s="20"/>
      <c r="T17" s="9"/>
      <c r="U17" s="9"/>
      <c r="V17" s="9"/>
      <c r="W17" s="9"/>
      <c r="X17" s="20"/>
      <c r="Y17" s="9"/>
      <c r="Z17" s="9"/>
      <c r="AA17" s="9"/>
      <c r="AB17" s="176" t="str">
        <f ca="1">IF(DataColumns[[#This Row],[ColumnType]]="ResultValue",IF(MAX(INDIRECT(CONCATENATE("R",ROW(DataColumns[#Headers]),"C",COLUMN(),":R",ROW()-1,"C",COLUMN()),FALSE))=0,1,MAX(INDIRECT(CONCATENATE("R",ROW(DataColumns[#Headers]),"C",COLUMN(),":R",ROW()-1,"C",COLUMN()),FALSE))+1),"")</f>
        <v/>
      </c>
      <c r="AC17" s="125" t="str">
        <f>IF(DataColumns[[#This Row],[ColumnType]]="ResultValue",CONCATENATE(DataColumns[[#This Row],[ColumnType]],DataColumns[[#This Row],[ColumnLabel]]),CONCATENATE(DataColumns[[#This Row],[ColumnType]],DataColumns[[#This Row],[AppliesToColumn]]))</f>
        <v>CollectionDateTimeUTCOffset</v>
      </c>
    </row>
    <row r="18" spans="1:29">
      <c r="A18" s="46">
        <f ca="1">IF(COUNTA(DataColumns[[#This Row],[ColumnLabel]:[QualityCodeCV]])&gt;0,IF(MAX(INDIRECT(CONCATENATE("R",ROW(DataColumns[#Headers]),"C",COLUMN(),":R",ROW()-1,"C",COLUMN()),FALSE))=0,1,MAX(INDIRECT(CONCATENATE("R",ROW(DataColumns[#Headers]),"C",COLUMN(),":R",ROW()-1,"C",COLUMN()),FALSE))+1),"")</f>
        <v>6</v>
      </c>
      <c r="B18" s="104" t="s">
        <v>1849</v>
      </c>
      <c r="C18" s="9" t="s">
        <v>389</v>
      </c>
      <c r="D18" s="154"/>
      <c r="E18" s="159"/>
      <c r="F18" s="138"/>
      <c r="G18" s="8"/>
      <c r="H18" s="9"/>
      <c r="I18" s="9"/>
      <c r="J18" s="9"/>
      <c r="K18" s="33"/>
      <c r="L18" s="9"/>
      <c r="M18" s="132"/>
      <c r="N18" s="104"/>
      <c r="O18" s="8"/>
      <c r="P18" s="9"/>
      <c r="Q18" s="9"/>
      <c r="R18" s="20"/>
      <c r="S18" s="20"/>
      <c r="T18" s="9"/>
      <c r="U18" s="9"/>
      <c r="V18" s="9"/>
      <c r="W18" s="9"/>
      <c r="X18" s="20"/>
      <c r="Y18" s="9"/>
      <c r="Z18" s="9"/>
      <c r="AA18" s="9"/>
      <c r="AB18" s="176" t="str">
        <f ca="1">IF(DataColumns[[#This Row],[ColumnType]]="ResultValue",IF(MAX(INDIRECT(CONCATENATE("R",ROW(DataColumns[#Headers]),"C",COLUMN(),":R",ROW()-1,"C",COLUMN()),FALSE))=0,1,MAX(INDIRECT(CONCATENATE("R",ROW(DataColumns[#Headers]),"C",COLUMN(),":R",ROW()-1,"C",COLUMN()),FALSE))+1),"")</f>
        <v/>
      </c>
      <c r="AC18" s="125" t="str">
        <f>IF(DataColumns[[#This Row],[ColumnType]]="ResultValue",CONCATENATE(DataColumns[[#This Row],[ColumnType]],DataColumns[[#This Row],[ColumnLabel]]),CONCATENATE(DataColumns[[#This Row],[ColumnType]],DataColumns[[#This Row],[AppliesToColumn]]))</f>
        <v>CollectionMethodCode</v>
      </c>
    </row>
    <row r="19" spans="1:29">
      <c r="A19" s="46">
        <f ca="1">IF(COUNTA(DataColumns[[#This Row],[ColumnLabel]:[QualityCodeCV]])&gt;0,IF(MAX(INDIRECT(CONCATENATE("R",ROW(DataColumns[#Headers]),"C",COLUMN(),":R",ROW()-1,"C",COLUMN()),FALSE))=0,1,MAX(INDIRECT(CONCATENATE("R",ROW(DataColumns[#Headers]),"C",COLUMN(),":R",ROW()-1,"C",COLUMN()),FALSE))+1),"")</f>
        <v>7</v>
      </c>
      <c r="B19" s="104" t="s">
        <v>1850</v>
      </c>
      <c r="C19" s="9" t="s">
        <v>390</v>
      </c>
      <c r="D19" s="154" t="s">
        <v>632</v>
      </c>
      <c r="E19" s="159"/>
      <c r="F19" s="138"/>
      <c r="G19" s="8"/>
      <c r="H19" s="9"/>
      <c r="I19" s="9"/>
      <c r="J19" s="9"/>
      <c r="K19" s="33"/>
      <c r="L19" s="9"/>
      <c r="M19" s="132"/>
      <c r="N19" s="104"/>
      <c r="O19" s="8"/>
      <c r="P19" s="9"/>
      <c r="Q19" s="9"/>
      <c r="R19" s="20"/>
      <c r="S19" s="20"/>
      <c r="T19" s="9"/>
      <c r="U19" s="9"/>
      <c r="V19" s="9"/>
      <c r="W19" s="9"/>
      <c r="X19" s="20"/>
      <c r="Y19" s="9"/>
      <c r="Z19" s="9"/>
      <c r="AA19" s="9"/>
      <c r="AB19" s="176" t="str">
        <f ca="1">IF(DataColumns[[#This Row],[ColumnType]]="ResultValue",IF(MAX(INDIRECT(CONCATENATE("R",ROW(DataColumns[#Headers]),"C",COLUMN(),":R",ROW()-1,"C",COLUMN()),FALSE))=0,1,MAX(INDIRECT(CONCATENATE("R",ROW(DataColumns[#Headers]),"C",COLUMN(),":R",ROW()-1,"C",COLUMN()),FALSE))+1),"")</f>
        <v/>
      </c>
      <c r="AC19" s="125" t="str">
        <f>IF(DataColumns[[#This Row],[ColumnType]]="ResultValue",CONCATENATE(DataColumns[[#This Row],[ColumnType]],DataColumns[[#This Row],[ColumnLabel]]),CONCATENATE(DataColumns[[#This Row],[ColumnType]],DataColumns[[#This Row],[AppliesToColumn]]))</f>
        <v>AnalysisMethodCodeSiO2</v>
      </c>
    </row>
    <row r="20" spans="1:29">
      <c r="A20" s="46">
        <f ca="1">IF(COUNTA(DataColumns[[#This Row],[ColumnLabel]:[QualityCodeCV]])&gt;0,IF(MAX(INDIRECT(CONCATENATE("R",ROW(DataColumns[#Headers]),"C",COLUMN(),":R",ROW()-1,"C",COLUMN()),FALSE))=0,1,MAX(INDIRECT(CONCATENATE("R",ROW(DataColumns[#Headers]),"C",COLUMN(),":R",ROW()-1,"C",COLUMN()),FALSE))+1),"")</f>
        <v>8</v>
      </c>
      <c r="B20" s="104" t="s">
        <v>632</v>
      </c>
      <c r="C20" s="9" t="s">
        <v>381</v>
      </c>
      <c r="D20" s="154"/>
      <c r="E20" s="159"/>
      <c r="F20" s="138"/>
      <c r="G20" s="8"/>
      <c r="H20" s="9"/>
      <c r="I20" s="9"/>
      <c r="J20" s="9"/>
      <c r="K20" s="33"/>
      <c r="L20" s="9"/>
      <c r="M20" s="132"/>
      <c r="N20" s="104" t="s">
        <v>1854</v>
      </c>
      <c r="O20" s="8" t="s">
        <v>632</v>
      </c>
      <c r="P20" s="9" t="s">
        <v>1855</v>
      </c>
      <c r="Q20" s="9" t="s">
        <v>1812</v>
      </c>
      <c r="R20" s="20" t="s">
        <v>1776</v>
      </c>
      <c r="S20" s="20"/>
      <c r="T20" s="9"/>
      <c r="U20" s="9">
        <v>1</v>
      </c>
      <c r="V20" s="9" t="s">
        <v>718</v>
      </c>
      <c r="W20" s="9" t="s">
        <v>144</v>
      </c>
      <c r="X20" s="20"/>
      <c r="Y20" s="9"/>
      <c r="Z20" s="9"/>
      <c r="AA20" s="9"/>
      <c r="AB20" s="176">
        <f ca="1">IF(DataColumns[[#This Row],[ColumnType]]="ResultValue",IF(MAX(INDIRECT(CONCATENATE("R",ROW(DataColumns[#Headers]),"C",COLUMN(),":R",ROW()-1,"C",COLUMN()),FALSE))=0,1,MAX(INDIRECT(CONCATENATE("R",ROW(DataColumns[#Headers]),"C",COLUMN(),":R",ROW()-1,"C",COLUMN()),FALSE))+1),"")</f>
        <v>1</v>
      </c>
      <c r="AC20" s="125" t="str">
        <f>IF(DataColumns[[#This Row],[ColumnType]]="ResultValue",CONCATENATE(DataColumns[[#This Row],[ColumnType]],DataColumns[[#This Row],[ColumnLabel]]),CONCATENATE(DataColumns[[#This Row],[ColumnType]],DataColumns[[#This Row],[AppliesToColumn]]))</f>
        <v>ResultValueSiO2</v>
      </c>
    </row>
    <row r="21" spans="1:29">
      <c r="A21" s="46">
        <f ca="1">IF(COUNTA(DataColumns[[#This Row],[ColumnLabel]:[QualityCodeCV]])&gt;0,IF(MAX(INDIRECT(CONCATENATE("R",ROW(DataColumns[#Headers]),"C",COLUMN(),":R",ROW()-1,"C",COLUMN()),FALSE))=0,1,MAX(INDIRECT(CONCATENATE("R",ROW(DataColumns[#Headers]),"C",COLUMN(),":R",ROW()-1,"C",COLUMN()),FALSE))+1),"")</f>
        <v>9</v>
      </c>
      <c r="B21" s="104" t="s">
        <v>510</v>
      </c>
      <c r="C21" s="9" t="s">
        <v>381</v>
      </c>
      <c r="D21" s="154"/>
      <c r="E21" s="159"/>
      <c r="F21" s="138"/>
      <c r="G21" s="8"/>
      <c r="H21" s="9"/>
      <c r="I21" s="9"/>
      <c r="J21" s="9"/>
      <c r="K21" s="33"/>
      <c r="L21" s="9"/>
      <c r="M21" s="132"/>
      <c r="N21" s="104" t="s">
        <v>1854</v>
      </c>
      <c r="O21" s="8" t="s">
        <v>510</v>
      </c>
      <c r="P21" s="9" t="s">
        <v>1855</v>
      </c>
      <c r="Q21" s="9" t="s">
        <v>1812</v>
      </c>
      <c r="R21" s="20" t="s">
        <v>1776</v>
      </c>
      <c r="S21" s="20"/>
      <c r="T21" s="9"/>
      <c r="U21" s="9">
        <v>1</v>
      </c>
      <c r="V21" s="9" t="s">
        <v>718</v>
      </c>
      <c r="W21" s="9" t="s">
        <v>144</v>
      </c>
      <c r="X21" s="20"/>
      <c r="Y21" s="9"/>
      <c r="Z21" s="9"/>
      <c r="AA21" s="9"/>
      <c r="AB21" s="176">
        <f ca="1">IF(DataColumns[[#This Row],[ColumnType]]="ResultValue",IF(MAX(INDIRECT(CONCATENATE("R",ROW(DataColumns[#Headers]),"C",COLUMN(),":R",ROW()-1,"C",COLUMN()),FALSE))=0,1,MAX(INDIRECT(CONCATENATE("R",ROW(DataColumns[#Headers]),"C",COLUMN(),":R",ROW()-1,"C",COLUMN()),FALSE))+1),"")</f>
        <v>2</v>
      </c>
      <c r="AC21" s="125" t="str">
        <f>IF(DataColumns[[#This Row],[ColumnType]]="ResultValue",CONCATENATE(DataColumns[[#This Row],[ColumnType]],DataColumns[[#This Row],[ColumnLabel]]),CONCATENATE(DataColumns[[#This Row],[ColumnType]],DataColumns[[#This Row],[AppliesToColumn]]))</f>
        <v>ResultValueAl</v>
      </c>
    </row>
    <row r="22" spans="1:29">
      <c r="A22" s="46">
        <f ca="1">IF(COUNTA(DataColumns[[#This Row],[ColumnLabel]:[QualityCodeCV]])&gt;0,IF(MAX(INDIRECT(CONCATENATE("R",ROW(DataColumns[#Headers]),"C",COLUMN(),":R",ROW()-1,"C",COLUMN()),FALSE))=0,1,MAX(INDIRECT(CONCATENATE("R",ROW(DataColumns[#Headers]),"C",COLUMN(),":R",ROW()-1,"C",COLUMN()),FALSE))+1),"")</f>
        <v>10</v>
      </c>
      <c r="B22" s="104" t="s">
        <v>1853</v>
      </c>
      <c r="C22" s="9" t="s">
        <v>381</v>
      </c>
      <c r="D22" s="154" t="s">
        <v>510</v>
      </c>
      <c r="E22" s="159"/>
      <c r="F22" s="138"/>
      <c r="G22" s="8"/>
      <c r="H22" s="9"/>
      <c r="I22" s="9"/>
      <c r="J22" s="9"/>
      <c r="K22" s="33"/>
      <c r="L22" s="9"/>
      <c r="M22" s="132"/>
      <c r="N22" s="104"/>
      <c r="O22" s="8"/>
      <c r="P22" s="9"/>
      <c r="Q22" s="9"/>
      <c r="R22" s="20"/>
      <c r="S22" s="20"/>
      <c r="T22" s="9"/>
      <c r="U22" s="9"/>
      <c r="V22" s="9"/>
      <c r="W22" s="9"/>
      <c r="X22" s="20"/>
      <c r="Y22" s="9"/>
      <c r="Z22" s="9"/>
      <c r="AA22" s="9"/>
      <c r="AB22" s="176">
        <f ca="1">IF(DataColumns[[#This Row],[ColumnType]]="ResultValue",IF(MAX(INDIRECT(CONCATENATE("R",ROW(DataColumns[#Headers]),"C",COLUMN(),":R",ROW()-1,"C",COLUMN()),FALSE))=0,1,MAX(INDIRECT(CONCATENATE("R",ROW(DataColumns[#Headers]),"C",COLUMN(),":R",ROW()-1,"C",COLUMN()),FALSE))+1),"")</f>
        <v>3</v>
      </c>
      <c r="AC22" s="125" t="str">
        <f>IF(DataColumns[[#This Row],[ColumnType]]="ResultValue",CONCATENATE(DataColumns[[#This Row],[ColumnType]],DataColumns[[#This Row],[ColumnLabel]]),CONCATENATE(DataColumns[[#This Row],[ColumnType]],DataColumns[[#This Row],[AppliesToColumn]]))</f>
        <v>ResultValueAl Analysis Method</v>
      </c>
    </row>
    <row r="23" spans="1:29">
      <c r="A23" s="46">
        <f ca="1">IF(COUNTA(DataColumns[[#This Row],[ColumnLabel]:[QualityCodeCV]])&gt;0,IF(MAX(INDIRECT(CONCATENATE("R",ROW(DataColumns[#Headers]),"C",COLUMN(),":R",ROW()-1,"C",COLUMN()),FALSE))=0,1,MAX(INDIRECT(CONCATENATE("R",ROW(DataColumns[#Headers]),"C",COLUMN(),":R",ROW()-1,"C",COLUMN()),FALSE))+1),"")</f>
        <v>11</v>
      </c>
      <c r="B23" s="104" t="s">
        <v>1822</v>
      </c>
      <c r="C23" s="9" t="s">
        <v>381</v>
      </c>
      <c r="D23" s="154"/>
      <c r="E23" s="159"/>
      <c r="F23" s="138"/>
      <c r="G23" s="8"/>
      <c r="H23" s="9"/>
      <c r="I23" s="9"/>
      <c r="J23" s="9"/>
      <c r="K23" s="33"/>
      <c r="L23" s="9"/>
      <c r="M23" s="132"/>
      <c r="N23" s="104" t="s">
        <v>1854</v>
      </c>
      <c r="O23" s="8" t="s">
        <v>1822</v>
      </c>
      <c r="P23" s="9" t="s">
        <v>1855</v>
      </c>
      <c r="Q23" s="9" t="s">
        <v>1812</v>
      </c>
      <c r="R23" s="20" t="s">
        <v>1776</v>
      </c>
      <c r="S23" s="20"/>
      <c r="T23" s="9"/>
      <c r="U23" s="9">
        <v>1</v>
      </c>
      <c r="V23" s="9" t="s">
        <v>718</v>
      </c>
      <c r="W23" s="9" t="s">
        <v>144</v>
      </c>
      <c r="X23" s="20"/>
      <c r="Y23" s="9"/>
      <c r="Z23" s="9"/>
      <c r="AA23" s="9"/>
      <c r="AB23" s="176">
        <f ca="1">IF(DataColumns[[#This Row],[ColumnType]]="ResultValue",IF(MAX(INDIRECT(CONCATENATE("R",ROW(DataColumns[#Headers]),"C",COLUMN(),":R",ROW()-1,"C",COLUMN()),FALSE))=0,1,MAX(INDIRECT(CONCATENATE("R",ROW(DataColumns[#Headers]),"C",COLUMN(),":R",ROW()-1,"C",COLUMN()),FALSE))+1),"")</f>
        <v>4</v>
      </c>
      <c r="AC23" s="125" t="str">
        <f>IF(DataColumns[[#This Row],[ColumnType]]="ResultValue",CONCATENATE(DataColumns[[#This Row],[ColumnType]],DataColumns[[#This Row],[ColumnLabel]]),CONCATENATE(DataColumns[[#This Row],[ColumnType]],DataColumns[[#This Row],[AppliesToColumn]]))</f>
        <v>ResultValueTexture</v>
      </c>
    </row>
    <row r="24" spans="1:29">
      <c r="A24" s="46">
        <f ca="1">IF(COUNTA(DataColumns[[#This Row],[ColumnLabel]:[QualityCodeCV]])&gt;0,IF(MAX(INDIRECT(CONCATENATE("R",ROW(DataColumns[#Headers]),"C",COLUMN(),":R",ROW()-1,"C",COLUMN()),FALSE))=0,1,MAX(INDIRECT(CONCATENATE("R",ROW(DataColumns[#Headers]),"C",COLUMN(),":R",ROW()-1,"C",COLUMN()),FALSE))+1),"")</f>
        <v>12</v>
      </c>
      <c r="B24" s="104" t="s">
        <v>1224</v>
      </c>
      <c r="C24" s="9" t="s">
        <v>381</v>
      </c>
      <c r="D24" s="154"/>
      <c r="E24" s="159"/>
      <c r="F24" s="138"/>
      <c r="G24" s="8"/>
      <c r="H24" s="9"/>
      <c r="I24" s="9"/>
      <c r="J24" s="9"/>
      <c r="K24" s="33"/>
      <c r="L24" s="9"/>
      <c r="M24" s="132"/>
      <c r="N24" s="104" t="s">
        <v>1854</v>
      </c>
      <c r="O24" s="8" t="s">
        <v>1224</v>
      </c>
      <c r="P24" s="9" t="s">
        <v>1855</v>
      </c>
      <c r="Q24" s="9" t="s">
        <v>1812</v>
      </c>
      <c r="R24" s="20" t="s">
        <v>1776</v>
      </c>
      <c r="S24" s="20"/>
      <c r="T24" s="9"/>
      <c r="U24" s="9">
        <v>1</v>
      </c>
      <c r="V24" s="9" t="s">
        <v>718</v>
      </c>
      <c r="W24" s="9" t="s">
        <v>144</v>
      </c>
      <c r="X24" s="20"/>
      <c r="Y24" s="9"/>
      <c r="Z24" s="9"/>
      <c r="AA24" s="9"/>
      <c r="AB24" s="176">
        <f ca="1">IF(DataColumns[[#This Row],[ColumnType]]="ResultValue",IF(MAX(INDIRECT(CONCATENATE("R",ROW(DataColumns[#Headers]),"C",COLUMN(),":R",ROW()-1,"C",COLUMN()),FALSE))=0,1,MAX(INDIRECT(CONCATENATE("R",ROW(DataColumns[#Headers]),"C",COLUMN(),":R",ROW()-1,"C",COLUMN()),FALSE))+1),"")</f>
        <v>5</v>
      </c>
      <c r="AC24" s="125" t="str">
        <f>IF(DataColumns[[#This Row],[ColumnType]]="ResultValue",CONCATENATE(DataColumns[[#This Row],[ColumnType]],DataColumns[[#This Row],[ColumnLabel]]),CONCATENATE(DataColumns[[#This Row],[ColumnType]],DataColumns[[#This Row],[AppliesToColumn]]))</f>
        <v>ResultValueColor</v>
      </c>
    </row>
    <row r="25" spans="1:29">
      <c r="A25" s="46">
        <f ca="1">IF(COUNTA(DataColumns[[#This Row],[ColumnLabel]:[QualityCodeCV]])&gt;0,IF(MAX(INDIRECT(CONCATENATE("R",ROW(DataColumns[#Headers]),"C",COLUMN(),":R",ROW()-1,"C",COLUMN()),FALSE))=0,1,MAX(INDIRECT(CONCATENATE("R",ROW(DataColumns[#Headers]),"C",COLUMN(),":R",ROW()-1,"C",COLUMN()),FALSE))+1),"")</f>
        <v>13</v>
      </c>
      <c r="B25" s="104" t="s">
        <v>1851</v>
      </c>
      <c r="C25" s="9" t="s">
        <v>390</v>
      </c>
      <c r="D25" s="154" t="s">
        <v>1822</v>
      </c>
      <c r="E25" s="159"/>
      <c r="F25" s="138"/>
      <c r="G25" s="8"/>
      <c r="H25" s="9"/>
      <c r="I25" s="9"/>
      <c r="J25" s="9"/>
      <c r="K25" s="33"/>
      <c r="L25" s="9"/>
      <c r="M25" s="132"/>
      <c r="N25" s="104"/>
      <c r="O25" s="8"/>
      <c r="P25" s="9"/>
      <c r="Q25" s="9"/>
      <c r="R25" s="20"/>
      <c r="S25" s="20"/>
      <c r="T25" s="9"/>
      <c r="U25" s="9"/>
      <c r="V25" s="9"/>
      <c r="W25" s="9"/>
      <c r="X25" s="20"/>
      <c r="Y25" s="9"/>
      <c r="Z25" s="9"/>
      <c r="AA25" s="9"/>
      <c r="AB25" s="176" t="str">
        <f ca="1">IF(DataColumns[[#This Row],[ColumnType]]="ResultValue",IF(MAX(INDIRECT(CONCATENATE("R",ROW(DataColumns[#Headers]),"C",COLUMN(),":R",ROW()-1,"C",COLUMN()),FALSE))=0,1,MAX(INDIRECT(CONCATENATE("R",ROW(DataColumns[#Headers]),"C",COLUMN(),":R",ROW()-1,"C",COLUMN()),FALSE))+1),"")</f>
        <v/>
      </c>
      <c r="AC25" s="125" t="str">
        <f>IF(DataColumns[[#This Row],[ColumnType]]="ResultValue",CONCATENATE(DataColumns[[#This Row],[ColumnType]],DataColumns[[#This Row],[ColumnLabel]]),CONCATENATE(DataColumns[[#This Row],[ColumnType]],DataColumns[[#This Row],[AppliesToColumn]]))</f>
        <v>AnalysisMethodCodeTexture</v>
      </c>
    </row>
    <row r="26" spans="1:29">
      <c r="A26" s="46">
        <f ca="1">IF(COUNTA(DataColumns[[#This Row],[ColumnLabel]:[QualityCodeCV]])&gt;0,IF(MAX(INDIRECT(CONCATENATE("R",ROW(DataColumns[#Headers]),"C",COLUMN(),":R",ROW()-1,"C",COLUMN()),FALSE))=0,1,MAX(INDIRECT(CONCATENATE("R",ROW(DataColumns[#Headers]),"C",COLUMN(),":R",ROW()-1,"C",COLUMN()),FALSE))+1),"")</f>
        <v>14</v>
      </c>
      <c r="B26" s="104" t="s">
        <v>1852</v>
      </c>
      <c r="C26" s="9" t="s">
        <v>390</v>
      </c>
      <c r="D26" s="154" t="s">
        <v>1224</v>
      </c>
      <c r="E26" s="159"/>
      <c r="F26" s="138"/>
      <c r="G26" s="8"/>
      <c r="H26" s="9"/>
      <c r="I26" s="9"/>
      <c r="J26" s="9"/>
      <c r="K26" s="33"/>
      <c r="L26" s="9"/>
      <c r="M26" s="132"/>
      <c r="N26" s="104"/>
      <c r="O26" s="8"/>
      <c r="P26" s="9"/>
      <c r="Q26" s="9"/>
      <c r="R26" s="20"/>
      <c r="S26" s="20"/>
      <c r="T26" s="9"/>
      <c r="U26" s="9"/>
      <c r="V26" s="9"/>
      <c r="W26" s="9"/>
      <c r="X26" s="20"/>
      <c r="Y26" s="9"/>
      <c r="Z26" s="9"/>
      <c r="AA26" s="9"/>
      <c r="AB26" s="176" t="str">
        <f ca="1">IF(DataColumns[[#This Row],[ColumnType]]="ResultValue",IF(MAX(INDIRECT(CONCATENATE("R",ROW(DataColumns[#Headers]),"C",COLUMN(),":R",ROW()-1,"C",COLUMN()),FALSE))=0,1,MAX(INDIRECT(CONCATENATE("R",ROW(DataColumns[#Headers]),"C",COLUMN(),":R",ROW()-1,"C",COLUMN()),FALSE))+1),"")</f>
        <v/>
      </c>
      <c r="AC26" s="125" t="str">
        <f>IF(DataColumns[[#This Row],[ColumnType]]="ResultValue",CONCATENATE(DataColumns[[#This Row],[ColumnType]],DataColumns[[#This Row],[ColumnLabel]]),CONCATENATE(DataColumns[[#This Row],[ColumnType]],DataColumns[[#This Row],[AppliesToColumn]]))</f>
        <v>AnalysisMethodCodeColor</v>
      </c>
    </row>
    <row r="27" spans="1:29">
      <c r="A27" s="46" t="str">
        <f ca="1">IF(COUNTA(DataColumns[[#This Row],[ColumnLabel]:[QualityCodeCV]])&gt;0,IF(MAX(INDIRECT(CONCATENATE("R",ROW(DataColumns[#Headers]),"C",COLUMN(),":R",ROW()-1,"C",COLUMN()),FALSE))=0,1,MAX(INDIRECT(CONCATENATE("R",ROW(DataColumns[#Headers]),"C",COLUMN(),":R",ROW()-1,"C",COLUMN()),FALSE))+1),"")</f>
        <v/>
      </c>
      <c r="B27" s="104"/>
      <c r="C27" s="9"/>
      <c r="D27" s="154"/>
      <c r="E27" s="159"/>
      <c r="F27" s="138"/>
      <c r="G27" s="8"/>
      <c r="H27" s="9"/>
      <c r="I27" s="9"/>
      <c r="J27" s="9"/>
      <c r="K27" s="33"/>
      <c r="L27" s="9"/>
      <c r="M27" s="132"/>
      <c r="N27" s="104"/>
      <c r="O27" s="8"/>
      <c r="P27" s="9"/>
      <c r="Q27" s="9"/>
      <c r="R27" s="20"/>
      <c r="S27" s="20"/>
      <c r="T27" s="9"/>
      <c r="U27" s="9"/>
      <c r="V27" s="9"/>
      <c r="W27" s="9"/>
      <c r="X27" s="20"/>
      <c r="Y27" s="9"/>
      <c r="Z27" s="9"/>
      <c r="AA27" s="9"/>
      <c r="AB27" s="176" t="str">
        <f ca="1">IF(DataColumns[[#This Row],[ColumnType]]="ResultValue",IF(MAX(INDIRECT(CONCATENATE("R",ROW(DataColumns[#Headers]),"C",COLUMN(),":R",ROW()-1,"C",COLUMN()),FALSE))=0,1,MAX(INDIRECT(CONCATENATE("R",ROW(DataColumns[#Headers]),"C",COLUMN(),":R",ROW()-1,"C",COLUMN()),FALSE))+1),"")</f>
        <v/>
      </c>
      <c r="AC27" s="125" t="str">
        <f>IF(DataColumns[[#This Row],[ColumnType]]="ResultValue",CONCATENATE(DataColumns[[#This Row],[ColumnType]],DataColumns[[#This Row],[ColumnLabel]]),CONCATENATE(DataColumns[[#This Row],[ColumnType]],DataColumns[[#This Row],[AppliesToColumn]]))</f>
        <v/>
      </c>
    </row>
    <row r="28" spans="1:29">
      <c r="A28" s="46" t="str">
        <f ca="1">IF(COUNTA(DataColumns[[#This Row],[ColumnLabel]:[QualityCodeCV]])&gt;0,IF(MAX(INDIRECT(CONCATENATE("R",ROW(DataColumns[#Headers]),"C",COLUMN(),":R",ROW()-1,"C",COLUMN()),FALSE))=0,1,MAX(INDIRECT(CONCATENATE("R",ROW(DataColumns[#Headers]),"C",COLUMN(),":R",ROW()-1,"C",COLUMN()),FALSE))+1),"")</f>
        <v/>
      </c>
      <c r="B28" s="104"/>
      <c r="C28" s="9"/>
      <c r="D28" s="154"/>
      <c r="E28" s="159"/>
      <c r="F28" s="138"/>
      <c r="G28" s="8"/>
      <c r="H28" s="9"/>
      <c r="I28" s="9"/>
      <c r="J28" s="9"/>
      <c r="K28" s="33"/>
      <c r="L28" s="9"/>
      <c r="M28" s="132"/>
      <c r="N28" s="104"/>
      <c r="O28" s="8"/>
      <c r="P28" s="9"/>
      <c r="Q28" s="9"/>
      <c r="R28" s="20"/>
      <c r="S28" s="20"/>
      <c r="T28" s="9"/>
      <c r="U28" s="9"/>
      <c r="V28" s="9"/>
      <c r="W28" s="9"/>
      <c r="X28" s="20"/>
      <c r="Y28" s="9"/>
      <c r="Z28" s="9"/>
      <c r="AA28" s="9"/>
      <c r="AB28" s="176" t="str">
        <f ca="1">IF(DataColumns[[#This Row],[ColumnType]]="ResultValue",IF(MAX(INDIRECT(CONCATENATE("R",ROW(DataColumns[#Headers]),"C",COLUMN(),":R",ROW()-1,"C",COLUMN()),FALSE))=0,1,MAX(INDIRECT(CONCATENATE("R",ROW(DataColumns[#Headers]),"C",COLUMN(),":R",ROW()-1,"C",COLUMN()),FALSE))+1),"")</f>
        <v/>
      </c>
      <c r="AC28" s="125" t="str">
        <f>IF(DataColumns[[#This Row],[ColumnType]]="ResultValue",CONCATENATE(DataColumns[[#This Row],[ColumnType]],DataColumns[[#This Row],[ColumnLabel]]),CONCATENATE(DataColumns[[#This Row],[ColumnType]],DataColumns[[#This Row],[AppliesToColumn]]))</f>
        <v/>
      </c>
    </row>
    <row r="29" spans="1:29">
      <c r="A29" s="46" t="str">
        <f ca="1">IF(COUNTA(DataColumns[[#This Row],[ColumnLabel]:[QualityCodeCV]])&gt;0,IF(MAX(INDIRECT(CONCATENATE("R",ROW(DataColumns[#Headers]),"C",COLUMN(),":R",ROW()-1,"C",COLUMN()),FALSE))=0,1,MAX(INDIRECT(CONCATENATE("R",ROW(DataColumns[#Headers]),"C",COLUMN(),":R",ROW()-1,"C",COLUMN()),FALSE))+1),"")</f>
        <v/>
      </c>
      <c r="B29" s="104"/>
      <c r="C29" s="9"/>
      <c r="D29" s="154"/>
      <c r="E29" s="159"/>
      <c r="F29" s="138"/>
      <c r="G29" s="8"/>
      <c r="H29" s="9"/>
      <c r="I29" s="9"/>
      <c r="J29" s="9"/>
      <c r="K29" s="33"/>
      <c r="L29" s="9"/>
      <c r="M29" s="132"/>
      <c r="N29" s="104"/>
      <c r="O29" s="8"/>
      <c r="P29" s="9"/>
      <c r="Q29" s="9"/>
      <c r="R29" s="20"/>
      <c r="S29" s="20"/>
      <c r="T29" s="9"/>
      <c r="U29" s="9"/>
      <c r="V29" s="9"/>
      <c r="W29" s="9"/>
      <c r="X29" s="20"/>
      <c r="Y29" s="9"/>
      <c r="Z29" s="9"/>
      <c r="AA29" s="9"/>
      <c r="AB29" s="176" t="str">
        <f ca="1">IF(DataColumns[[#This Row],[ColumnType]]="ResultValue",IF(MAX(INDIRECT(CONCATENATE("R",ROW(DataColumns[#Headers]),"C",COLUMN(),":R",ROW()-1,"C",COLUMN()),FALSE))=0,1,MAX(INDIRECT(CONCATENATE("R",ROW(DataColumns[#Headers]),"C",COLUMN(),":R",ROW()-1,"C",COLUMN()),FALSE))+1),"")</f>
        <v/>
      </c>
      <c r="AC29" s="125" t="str">
        <f>IF(DataColumns[[#This Row],[ColumnType]]="ResultValue",CONCATENATE(DataColumns[[#This Row],[ColumnType]],DataColumns[[#This Row],[ColumnLabel]]),CONCATENATE(DataColumns[[#This Row],[ColumnType]],DataColumns[[#This Row],[AppliesToColumn]]))</f>
        <v/>
      </c>
    </row>
    <row r="30" spans="1:29">
      <c r="A30" s="46" t="str">
        <f ca="1">IF(COUNTA(DataColumns[[#This Row],[ColumnLabel]:[QualityCodeCV]])&gt;0,IF(MAX(INDIRECT(CONCATENATE("R",ROW(DataColumns[#Headers]),"C",COLUMN(),":R",ROW()-1,"C",COLUMN()),FALSE))=0,1,MAX(INDIRECT(CONCATENATE("R",ROW(DataColumns[#Headers]),"C",COLUMN(),":R",ROW()-1,"C",COLUMN()),FALSE))+1),"")</f>
        <v/>
      </c>
      <c r="B30" s="104"/>
      <c r="C30" s="9"/>
      <c r="D30" s="154"/>
      <c r="E30" s="159"/>
      <c r="F30" s="138"/>
      <c r="G30" s="8"/>
      <c r="H30" s="9"/>
      <c r="I30" s="9"/>
      <c r="J30" s="9"/>
      <c r="K30" s="33"/>
      <c r="L30" s="9"/>
      <c r="M30" s="132"/>
      <c r="N30" s="104"/>
      <c r="O30" s="8"/>
      <c r="P30" s="9"/>
      <c r="Q30" s="9"/>
      <c r="R30" s="20"/>
      <c r="S30" s="20"/>
      <c r="T30" s="9"/>
      <c r="U30" s="9"/>
      <c r="V30" s="9"/>
      <c r="W30" s="9"/>
      <c r="X30" s="20"/>
      <c r="Y30" s="9"/>
      <c r="Z30" s="9"/>
      <c r="AA30" s="9"/>
      <c r="AB30" s="176" t="str">
        <f ca="1">IF(DataColumns[[#This Row],[ColumnType]]="ResultValue",IF(MAX(INDIRECT(CONCATENATE("R",ROW(DataColumns[#Headers]),"C",COLUMN(),":R",ROW()-1,"C",COLUMN()),FALSE))=0,1,MAX(INDIRECT(CONCATENATE("R",ROW(DataColumns[#Headers]),"C",COLUMN(),":R",ROW()-1,"C",COLUMN()),FALSE))+1),"")</f>
        <v/>
      </c>
      <c r="AC30" s="125" t="str">
        <f>IF(DataColumns[[#This Row],[ColumnType]]="ResultValue",CONCATENATE(DataColumns[[#This Row],[ColumnType]],DataColumns[[#This Row],[ColumnLabel]]),CONCATENATE(DataColumns[[#This Row],[ColumnType]],DataColumns[[#This Row],[AppliesToColumn]]))</f>
        <v/>
      </c>
    </row>
    <row r="31" spans="1:29">
      <c r="A31" s="46" t="str">
        <f ca="1">IF(COUNTA(DataColumns[[#This Row],[ColumnLabel]:[QualityCodeCV]])&gt;0,IF(MAX(INDIRECT(CONCATENATE("R",ROW(DataColumns[#Headers]),"C",COLUMN(),":R",ROW()-1,"C",COLUMN()),FALSE))=0,1,MAX(INDIRECT(CONCATENATE("R",ROW(DataColumns[#Headers]),"C",COLUMN(),":R",ROW()-1,"C",COLUMN()),FALSE))+1),"")</f>
        <v/>
      </c>
      <c r="B31" s="104"/>
      <c r="C31" s="9"/>
      <c r="D31" s="154"/>
      <c r="E31" s="159"/>
      <c r="F31" s="138"/>
      <c r="G31" s="8"/>
      <c r="H31" s="9"/>
      <c r="I31" s="9"/>
      <c r="J31" s="9"/>
      <c r="K31" s="33"/>
      <c r="L31" s="9"/>
      <c r="M31" s="132"/>
      <c r="N31" s="104"/>
      <c r="O31" s="8"/>
      <c r="P31" s="9"/>
      <c r="Q31" s="9"/>
      <c r="R31" s="20"/>
      <c r="S31" s="20"/>
      <c r="T31" s="9"/>
      <c r="U31" s="9"/>
      <c r="V31" s="9"/>
      <c r="W31" s="9"/>
      <c r="X31" s="20"/>
      <c r="Y31" s="9"/>
      <c r="Z31" s="9"/>
      <c r="AA31" s="9"/>
      <c r="AB31" s="176" t="str">
        <f ca="1">IF(DataColumns[[#This Row],[ColumnType]]="ResultValue",IF(MAX(INDIRECT(CONCATENATE("R",ROW(DataColumns[#Headers]),"C",COLUMN(),":R",ROW()-1,"C",COLUMN()),FALSE))=0,1,MAX(INDIRECT(CONCATENATE("R",ROW(DataColumns[#Headers]),"C",COLUMN(),":R",ROW()-1,"C",COLUMN()),FALSE))+1),"")</f>
        <v/>
      </c>
      <c r="AC31" s="125" t="str">
        <f>IF(DataColumns[[#This Row],[ColumnType]]="ResultValue",CONCATENATE(DataColumns[[#This Row],[ColumnType]],DataColumns[[#This Row],[ColumnLabel]]),CONCATENATE(DataColumns[[#This Row],[ColumnType]],DataColumns[[#This Row],[AppliesToColumn]]))</f>
        <v/>
      </c>
    </row>
    <row r="32" spans="1:29">
      <c r="A32" s="46" t="str">
        <f ca="1">IF(COUNTA(DataColumns[[#This Row],[ColumnLabel]:[QualityCodeCV]])&gt;0,IF(MAX(INDIRECT(CONCATENATE("R",ROW(DataColumns[#Headers]),"C",COLUMN(),":R",ROW()-1,"C",COLUMN()),FALSE))=0,1,MAX(INDIRECT(CONCATENATE("R",ROW(DataColumns[#Headers]),"C",COLUMN(),":R",ROW()-1,"C",COLUMN()),FALSE))+1),"")</f>
        <v/>
      </c>
      <c r="B32" s="104"/>
      <c r="C32" s="9"/>
      <c r="D32" s="154"/>
      <c r="E32" s="159"/>
      <c r="F32" s="138"/>
      <c r="G32" s="8"/>
      <c r="H32" s="9"/>
      <c r="I32" s="9"/>
      <c r="J32" s="9"/>
      <c r="K32" s="33"/>
      <c r="L32" s="9"/>
      <c r="M32" s="132"/>
      <c r="N32" s="104"/>
      <c r="O32" s="8"/>
      <c r="P32" s="9"/>
      <c r="Q32" s="9"/>
      <c r="R32" s="20"/>
      <c r="S32" s="20"/>
      <c r="T32" s="9"/>
      <c r="U32" s="9"/>
      <c r="V32" s="9"/>
      <c r="W32" s="9"/>
      <c r="X32" s="20"/>
      <c r="Y32" s="9"/>
      <c r="Z32" s="9"/>
      <c r="AA32" s="9"/>
      <c r="AB32" s="176" t="str">
        <f ca="1">IF(DataColumns[[#This Row],[ColumnType]]="ResultValue",IF(MAX(INDIRECT(CONCATENATE("R",ROW(DataColumns[#Headers]),"C",COLUMN(),":R",ROW()-1,"C",COLUMN()),FALSE))=0,1,MAX(INDIRECT(CONCATENATE("R",ROW(DataColumns[#Headers]),"C",COLUMN(),":R",ROW()-1,"C",COLUMN()),FALSE))+1),"")</f>
        <v/>
      </c>
      <c r="AC32" s="125" t="str">
        <f>IF(DataColumns[[#This Row],[ColumnType]]="ResultValue",CONCATENATE(DataColumns[[#This Row],[ColumnType]],DataColumns[[#This Row],[ColumnLabel]]),CONCATENATE(DataColumns[[#This Row],[ColumnType]],DataColumns[[#This Row],[AppliesToColumn]]))</f>
        <v/>
      </c>
    </row>
    <row r="33" spans="1:29">
      <c r="A33" s="46" t="str">
        <f ca="1">IF(COUNTA(DataColumns[[#This Row],[ColumnLabel]:[QualityCodeCV]])&gt;0,IF(MAX(INDIRECT(CONCATENATE("R",ROW(DataColumns[#Headers]),"C",COLUMN(),":R",ROW()-1,"C",COLUMN()),FALSE))=0,1,MAX(INDIRECT(CONCATENATE("R",ROW(DataColumns[#Headers]),"C",COLUMN(),":R",ROW()-1,"C",COLUMN()),FALSE))+1),"")</f>
        <v/>
      </c>
      <c r="B33" s="104"/>
      <c r="C33" s="9"/>
      <c r="D33" s="154"/>
      <c r="E33" s="159"/>
      <c r="F33" s="138"/>
      <c r="G33" s="8"/>
      <c r="H33" s="9"/>
      <c r="I33" s="9"/>
      <c r="J33" s="9"/>
      <c r="K33" s="33"/>
      <c r="L33" s="9"/>
      <c r="M33" s="132"/>
      <c r="N33" s="104"/>
      <c r="O33" s="8"/>
      <c r="P33" s="9"/>
      <c r="Q33" s="9"/>
      <c r="R33" s="20"/>
      <c r="S33" s="20"/>
      <c r="T33" s="9"/>
      <c r="U33" s="9"/>
      <c r="V33" s="9"/>
      <c r="W33" s="9"/>
      <c r="X33" s="20"/>
      <c r="Y33" s="9"/>
      <c r="Z33" s="9"/>
      <c r="AA33" s="9"/>
      <c r="AB33" s="176" t="str">
        <f ca="1">IF(DataColumns[[#This Row],[ColumnType]]="ResultValue",IF(MAX(INDIRECT(CONCATENATE("R",ROW(DataColumns[#Headers]),"C",COLUMN(),":R",ROW()-1,"C",COLUMN()),FALSE))=0,1,MAX(INDIRECT(CONCATENATE("R",ROW(DataColumns[#Headers]),"C",COLUMN(),":R",ROW()-1,"C",COLUMN()),FALSE))+1),"")</f>
        <v/>
      </c>
      <c r="AC33" s="125" t="str">
        <f>IF(DataColumns[[#This Row],[ColumnType]]="ResultValue",CONCATENATE(DataColumns[[#This Row],[ColumnType]],DataColumns[[#This Row],[ColumnLabel]]),CONCATENATE(DataColumns[[#This Row],[ColumnType]],DataColumns[[#This Row],[AppliesToColumn]]))</f>
        <v/>
      </c>
    </row>
    <row r="34" spans="1:29">
      <c r="A34" s="46" t="str">
        <f ca="1">IF(COUNTA(DataColumns[[#This Row],[ColumnLabel]:[QualityCodeCV]])&gt;0,IF(MAX(INDIRECT(CONCATENATE("R",ROW(DataColumns[#Headers]),"C",COLUMN(),":R",ROW()-1,"C",COLUMN()),FALSE))=0,1,MAX(INDIRECT(CONCATENATE("R",ROW(DataColumns[#Headers]),"C",COLUMN(),":R",ROW()-1,"C",COLUMN()),FALSE))+1),"")</f>
        <v/>
      </c>
      <c r="B34" s="104"/>
      <c r="C34" s="9"/>
      <c r="D34" s="154"/>
      <c r="E34" s="159"/>
      <c r="F34" s="138"/>
      <c r="G34" s="8"/>
      <c r="H34" s="9"/>
      <c r="I34" s="9"/>
      <c r="J34" s="9"/>
      <c r="K34" s="33"/>
      <c r="L34" s="9"/>
      <c r="M34" s="132"/>
      <c r="N34" s="104"/>
      <c r="O34" s="8"/>
      <c r="P34" s="9"/>
      <c r="Q34" s="9"/>
      <c r="R34" s="20"/>
      <c r="S34" s="20"/>
      <c r="T34" s="9"/>
      <c r="U34" s="9"/>
      <c r="V34" s="9"/>
      <c r="W34" s="9"/>
      <c r="X34" s="20"/>
      <c r="Y34" s="9"/>
      <c r="Z34" s="9"/>
      <c r="AA34" s="9"/>
      <c r="AB34" s="176" t="str">
        <f ca="1">IF(DataColumns[[#This Row],[ColumnType]]="ResultValue",IF(MAX(INDIRECT(CONCATENATE("R",ROW(DataColumns[#Headers]),"C",COLUMN(),":R",ROW()-1,"C",COLUMN()),FALSE))=0,1,MAX(INDIRECT(CONCATENATE("R",ROW(DataColumns[#Headers]),"C",COLUMN(),":R",ROW()-1,"C",COLUMN()),FALSE))+1),"")</f>
        <v/>
      </c>
      <c r="AC34" s="125" t="str">
        <f>IF(DataColumns[[#This Row],[ColumnType]]="ResultValue",CONCATENATE(DataColumns[[#This Row],[ColumnType]],DataColumns[[#This Row],[ColumnLabel]]),CONCATENATE(DataColumns[[#This Row],[ColumnType]],DataColumns[[#This Row],[AppliesToColumn]]))</f>
        <v/>
      </c>
    </row>
    <row r="35" spans="1:29">
      <c r="A35" s="46" t="str">
        <f ca="1">IF(COUNTA(DataColumns[[#This Row],[ColumnLabel]:[QualityCodeCV]])&gt;0,IF(MAX(INDIRECT(CONCATENATE("R",ROW(DataColumns[#Headers]),"C",COLUMN(),":R",ROW()-1,"C",COLUMN()),FALSE))=0,1,MAX(INDIRECT(CONCATENATE("R",ROW(DataColumns[#Headers]),"C",COLUMN(),":R",ROW()-1,"C",COLUMN()),FALSE))+1),"")</f>
        <v/>
      </c>
      <c r="B35" s="104"/>
      <c r="C35" s="9"/>
      <c r="D35" s="154"/>
      <c r="E35" s="159"/>
      <c r="F35" s="138"/>
      <c r="G35" s="8"/>
      <c r="H35" s="9"/>
      <c r="I35" s="9"/>
      <c r="J35" s="9"/>
      <c r="K35" s="33"/>
      <c r="L35" s="9"/>
      <c r="M35" s="132"/>
      <c r="N35" s="104"/>
      <c r="O35" s="8"/>
      <c r="P35" s="9"/>
      <c r="Q35" s="9"/>
      <c r="R35" s="20"/>
      <c r="S35" s="20"/>
      <c r="T35" s="9"/>
      <c r="U35" s="9"/>
      <c r="V35" s="9"/>
      <c r="W35" s="9"/>
      <c r="X35" s="20"/>
      <c r="Y35" s="9"/>
      <c r="Z35" s="9"/>
      <c r="AA35" s="9"/>
      <c r="AB35" s="176" t="str">
        <f ca="1">IF(DataColumns[[#This Row],[ColumnType]]="ResultValue",IF(MAX(INDIRECT(CONCATENATE("R",ROW(DataColumns[#Headers]),"C",COLUMN(),":R",ROW()-1,"C",COLUMN()),FALSE))=0,1,MAX(INDIRECT(CONCATENATE("R",ROW(DataColumns[#Headers]),"C",COLUMN(),":R",ROW()-1,"C",COLUMN()),FALSE))+1),"")</f>
        <v/>
      </c>
      <c r="AC35" s="125" t="str">
        <f>IF(DataColumns[[#This Row],[ColumnType]]="ResultValue",CONCATENATE(DataColumns[[#This Row],[ColumnType]],DataColumns[[#This Row],[ColumnLabel]]),CONCATENATE(DataColumns[[#This Row],[ColumnType]],DataColumns[[#This Row],[AppliesToColumn]]))</f>
        <v/>
      </c>
    </row>
    <row r="36" spans="1:29">
      <c r="A36" s="46" t="str">
        <f ca="1">IF(COUNTA(DataColumns[[#This Row],[ColumnLabel]:[QualityCodeCV]])&gt;0,IF(MAX(INDIRECT(CONCATENATE("R",ROW(DataColumns[#Headers]),"C",COLUMN(),":R",ROW()-1,"C",COLUMN()),FALSE))=0,1,MAX(INDIRECT(CONCATENATE("R",ROW(DataColumns[#Headers]),"C",COLUMN(),":R",ROW()-1,"C",COLUMN()),FALSE))+1),"")</f>
        <v/>
      </c>
      <c r="B36" s="104"/>
      <c r="C36" s="9"/>
      <c r="D36" s="154"/>
      <c r="E36" s="159"/>
      <c r="F36" s="138"/>
      <c r="G36" s="8"/>
      <c r="H36" s="9"/>
      <c r="I36" s="9"/>
      <c r="J36" s="9"/>
      <c r="K36" s="33"/>
      <c r="L36" s="9"/>
      <c r="M36" s="132"/>
      <c r="N36" s="104"/>
      <c r="O36" s="8"/>
      <c r="P36" s="9"/>
      <c r="Q36" s="9"/>
      <c r="R36" s="20"/>
      <c r="S36" s="20"/>
      <c r="T36" s="9"/>
      <c r="U36" s="9"/>
      <c r="V36" s="9"/>
      <c r="W36" s="9"/>
      <c r="X36" s="20"/>
      <c r="Y36" s="9"/>
      <c r="Z36" s="9"/>
      <c r="AA36" s="9"/>
      <c r="AB36" s="176" t="str">
        <f ca="1">IF(DataColumns[[#This Row],[ColumnType]]="ResultValue",IF(MAX(INDIRECT(CONCATENATE("R",ROW(DataColumns[#Headers]),"C",COLUMN(),":R",ROW()-1,"C",COLUMN()),FALSE))=0,1,MAX(INDIRECT(CONCATENATE("R",ROW(DataColumns[#Headers]),"C",COLUMN(),":R",ROW()-1,"C",COLUMN()),FALSE))+1),"")</f>
        <v/>
      </c>
      <c r="AC36" s="125" t="str">
        <f>IF(DataColumns[[#This Row],[ColumnType]]="ResultValue",CONCATENATE(DataColumns[[#This Row],[ColumnType]],DataColumns[[#This Row],[ColumnLabel]]),CONCATENATE(DataColumns[[#This Row],[ColumnType]],DataColumns[[#This Row],[AppliesToColumn]]))</f>
        <v/>
      </c>
    </row>
    <row r="37" spans="1:29">
      <c r="A37" s="46" t="str">
        <f ca="1">IF(COUNTA(DataColumns[[#This Row],[ColumnLabel]:[QualityCodeCV]])&gt;0,IF(MAX(INDIRECT(CONCATENATE("R",ROW(DataColumns[#Headers]),"C",COLUMN(),":R",ROW()-1,"C",COLUMN()),FALSE))=0,1,MAX(INDIRECT(CONCATENATE("R",ROW(DataColumns[#Headers]),"C",COLUMN(),":R",ROW()-1,"C",COLUMN()),FALSE))+1),"")</f>
        <v/>
      </c>
      <c r="B37" s="104"/>
      <c r="C37" s="9"/>
      <c r="D37" s="154"/>
      <c r="E37" s="159"/>
      <c r="F37" s="138"/>
      <c r="G37" s="8"/>
      <c r="H37" s="9"/>
      <c r="I37" s="9"/>
      <c r="J37" s="9"/>
      <c r="K37" s="33"/>
      <c r="L37" s="9"/>
      <c r="M37" s="132"/>
      <c r="N37" s="104"/>
      <c r="O37" s="8"/>
      <c r="P37" s="9"/>
      <c r="Q37" s="9"/>
      <c r="R37" s="20"/>
      <c r="S37" s="20"/>
      <c r="T37" s="9"/>
      <c r="U37" s="9"/>
      <c r="V37" s="9"/>
      <c r="W37" s="9"/>
      <c r="X37" s="20"/>
      <c r="Y37" s="9"/>
      <c r="Z37" s="9"/>
      <c r="AA37" s="9"/>
      <c r="AB37" s="176" t="str">
        <f ca="1">IF(DataColumns[[#This Row],[ColumnType]]="ResultValue",IF(MAX(INDIRECT(CONCATENATE("R",ROW(DataColumns[#Headers]),"C",COLUMN(),":R",ROW()-1,"C",COLUMN()),FALSE))=0,1,MAX(INDIRECT(CONCATENATE("R",ROW(DataColumns[#Headers]),"C",COLUMN(),":R",ROW()-1,"C",COLUMN()),FALSE))+1),"")</f>
        <v/>
      </c>
      <c r="AC37" s="125" t="str">
        <f>IF(DataColumns[[#This Row],[ColumnType]]="ResultValue",CONCATENATE(DataColumns[[#This Row],[ColumnType]],DataColumns[[#This Row],[ColumnLabel]]),CONCATENATE(DataColumns[[#This Row],[ColumnType]],DataColumns[[#This Row],[AppliesToColumn]]))</f>
        <v/>
      </c>
    </row>
    <row r="38" spans="1:29">
      <c r="A38" s="46" t="str">
        <f ca="1">IF(COUNTA(DataColumns[[#This Row],[ColumnLabel]:[QualityCodeCV]])&gt;0,IF(MAX(INDIRECT(CONCATENATE("R",ROW(DataColumns[#Headers]),"C",COLUMN(),":R",ROW()-1,"C",COLUMN()),FALSE))=0,1,MAX(INDIRECT(CONCATENATE("R",ROW(DataColumns[#Headers]),"C",COLUMN(),":R",ROW()-1,"C",COLUMN()),FALSE))+1),"")</f>
        <v/>
      </c>
      <c r="B38" s="104"/>
      <c r="C38" s="9"/>
      <c r="D38" s="154"/>
      <c r="E38" s="159"/>
      <c r="F38" s="138"/>
      <c r="G38" s="8"/>
      <c r="H38" s="9"/>
      <c r="I38" s="9"/>
      <c r="J38" s="9"/>
      <c r="K38" s="33"/>
      <c r="L38" s="9"/>
      <c r="M38" s="132"/>
      <c r="N38" s="104"/>
      <c r="O38" s="8"/>
      <c r="P38" s="9"/>
      <c r="Q38" s="9"/>
      <c r="R38" s="20"/>
      <c r="S38" s="20"/>
      <c r="T38" s="9"/>
      <c r="U38" s="9"/>
      <c r="V38" s="9"/>
      <c r="W38" s="9"/>
      <c r="X38" s="20"/>
      <c r="Y38" s="9"/>
      <c r="Z38" s="9"/>
      <c r="AA38" s="9"/>
      <c r="AB38" s="176" t="str">
        <f ca="1">IF(DataColumns[[#This Row],[ColumnType]]="ResultValue",IF(MAX(INDIRECT(CONCATENATE("R",ROW(DataColumns[#Headers]),"C",COLUMN(),":R",ROW()-1,"C",COLUMN()),FALSE))=0,1,MAX(INDIRECT(CONCATENATE("R",ROW(DataColumns[#Headers]),"C",COLUMN(),":R",ROW()-1,"C",COLUMN()),FALSE))+1),"")</f>
        <v/>
      </c>
      <c r="AC38" s="125" t="str">
        <f>IF(DataColumns[[#This Row],[ColumnType]]="ResultValue",CONCATENATE(DataColumns[[#This Row],[ColumnType]],DataColumns[[#This Row],[ColumnLabel]]),CONCATENATE(DataColumns[[#This Row],[ColumnType]],DataColumns[[#This Row],[AppliesToColumn]]))</f>
        <v/>
      </c>
    </row>
    <row r="39" spans="1:29">
      <c r="A39" s="46" t="str">
        <f ca="1">IF(COUNTA(DataColumns[[#This Row],[ColumnLabel]:[QualityCodeCV]])&gt;0,IF(MAX(INDIRECT(CONCATENATE("R",ROW(DataColumns[#Headers]),"C",COLUMN(),":R",ROW()-1,"C",COLUMN()),FALSE))=0,1,MAX(INDIRECT(CONCATENATE("R",ROW(DataColumns[#Headers]),"C",COLUMN(),":R",ROW()-1,"C",COLUMN()),FALSE))+1),"")</f>
        <v/>
      </c>
      <c r="B39" s="104"/>
      <c r="C39" s="9"/>
      <c r="D39" s="154"/>
      <c r="E39" s="159"/>
      <c r="F39" s="138"/>
      <c r="G39" s="8"/>
      <c r="H39" s="9"/>
      <c r="I39" s="9"/>
      <c r="J39" s="9"/>
      <c r="K39" s="33"/>
      <c r="L39" s="9"/>
      <c r="M39" s="132"/>
      <c r="N39" s="104"/>
      <c r="O39" s="8"/>
      <c r="P39" s="9"/>
      <c r="Q39" s="9"/>
      <c r="R39" s="20"/>
      <c r="S39" s="20"/>
      <c r="T39" s="9"/>
      <c r="U39" s="9"/>
      <c r="V39" s="9"/>
      <c r="W39" s="9"/>
      <c r="X39" s="20"/>
      <c r="Y39" s="9"/>
      <c r="Z39" s="9"/>
      <c r="AA39" s="9"/>
      <c r="AB39" s="176" t="str">
        <f ca="1">IF(DataColumns[[#This Row],[ColumnType]]="ResultValue",IF(MAX(INDIRECT(CONCATENATE("R",ROW(DataColumns[#Headers]),"C",COLUMN(),":R",ROW()-1,"C",COLUMN()),FALSE))=0,1,MAX(INDIRECT(CONCATENATE("R",ROW(DataColumns[#Headers]),"C",COLUMN(),":R",ROW()-1,"C",COLUMN()),FALSE))+1),"")</f>
        <v/>
      </c>
      <c r="AC39" s="125" t="str">
        <f>IF(DataColumns[[#This Row],[ColumnType]]="ResultValue",CONCATENATE(DataColumns[[#This Row],[ColumnType]],DataColumns[[#This Row],[ColumnLabel]]),CONCATENATE(DataColumns[[#This Row],[ColumnType]],DataColumns[[#This Row],[AppliesToColumn]]))</f>
        <v/>
      </c>
    </row>
    <row r="40" spans="1:29">
      <c r="A40" s="46" t="str">
        <f ca="1">IF(COUNTA(DataColumns[[#This Row],[ColumnLabel]:[QualityCodeCV]])&gt;0,IF(MAX(INDIRECT(CONCATENATE("R",ROW(DataColumns[#Headers]),"C",COLUMN(),":R",ROW()-1,"C",COLUMN()),FALSE))=0,1,MAX(INDIRECT(CONCATENATE("R",ROW(DataColumns[#Headers]),"C",COLUMN(),":R",ROW()-1,"C",COLUMN()),FALSE))+1),"")</f>
        <v/>
      </c>
      <c r="B40" s="104"/>
      <c r="C40" s="9"/>
      <c r="D40" s="154"/>
      <c r="E40" s="159"/>
      <c r="F40" s="138"/>
      <c r="G40" s="8"/>
      <c r="H40" s="9"/>
      <c r="I40" s="9"/>
      <c r="J40" s="9"/>
      <c r="K40" s="33"/>
      <c r="L40" s="9"/>
      <c r="M40" s="132"/>
      <c r="N40" s="104"/>
      <c r="O40" s="8"/>
      <c r="P40" s="9"/>
      <c r="Q40" s="9"/>
      <c r="R40" s="20"/>
      <c r="S40" s="20"/>
      <c r="T40" s="9"/>
      <c r="U40" s="9"/>
      <c r="V40" s="9"/>
      <c r="W40" s="9"/>
      <c r="X40" s="20"/>
      <c r="Y40" s="9"/>
      <c r="Z40" s="9"/>
      <c r="AA40" s="9"/>
      <c r="AB40" s="176" t="str">
        <f ca="1">IF(DataColumns[[#This Row],[ColumnType]]="ResultValue",IF(MAX(INDIRECT(CONCATENATE("R",ROW(DataColumns[#Headers]),"C",COLUMN(),":R",ROW()-1,"C",COLUMN()),FALSE))=0,1,MAX(INDIRECT(CONCATENATE("R",ROW(DataColumns[#Headers]),"C",COLUMN(),":R",ROW()-1,"C",COLUMN()),FALSE))+1),"")</f>
        <v/>
      </c>
      <c r="AC40" s="125" t="str">
        <f>IF(DataColumns[[#This Row],[ColumnType]]="ResultValue",CONCATENATE(DataColumns[[#This Row],[ColumnType]],DataColumns[[#This Row],[ColumnLabel]]),CONCATENATE(DataColumns[[#This Row],[ColumnType]],DataColumns[[#This Row],[AppliesToColumn]]))</f>
        <v/>
      </c>
    </row>
    <row r="41" spans="1:29">
      <c r="A41" s="46" t="str">
        <f ca="1">IF(COUNTA(DataColumns[[#This Row],[ColumnLabel]:[QualityCodeCV]])&gt;0,IF(MAX(INDIRECT(CONCATENATE("R",ROW(DataColumns[#Headers]),"C",COLUMN(),":R",ROW()-1,"C",COLUMN()),FALSE))=0,1,MAX(INDIRECT(CONCATENATE("R",ROW(DataColumns[#Headers]),"C",COLUMN(),":R",ROW()-1,"C",COLUMN()),FALSE))+1),"")</f>
        <v/>
      </c>
      <c r="B41" s="104"/>
      <c r="C41" s="9"/>
      <c r="D41" s="154"/>
      <c r="E41" s="159"/>
      <c r="F41" s="138"/>
      <c r="G41" s="8"/>
      <c r="H41" s="9"/>
      <c r="I41" s="9"/>
      <c r="J41" s="9"/>
      <c r="K41" s="33"/>
      <c r="L41" s="9"/>
      <c r="M41" s="132"/>
      <c r="N41" s="104"/>
      <c r="O41" s="8"/>
      <c r="P41" s="9"/>
      <c r="Q41" s="9"/>
      <c r="R41" s="20"/>
      <c r="S41" s="20"/>
      <c r="T41" s="9"/>
      <c r="U41" s="9"/>
      <c r="V41" s="9"/>
      <c r="W41" s="9"/>
      <c r="X41" s="20"/>
      <c r="Y41" s="9"/>
      <c r="Z41" s="9"/>
      <c r="AA41" s="9"/>
      <c r="AB41" s="176" t="str">
        <f ca="1">IF(DataColumns[[#This Row],[ColumnType]]="ResultValue",IF(MAX(INDIRECT(CONCATENATE("R",ROW(DataColumns[#Headers]),"C",COLUMN(),":R",ROW()-1,"C",COLUMN()),FALSE))=0,1,MAX(INDIRECT(CONCATENATE("R",ROW(DataColumns[#Headers]),"C",COLUMN(),":R",ROW()-1,"C",COLUMN()),FALSE))+1),"")</f>
        <v/>
      </c>
      <c r="AC41" s="125" t="str">
        <f>IF(DataColumns[[#This Row],[ColumnType]]="ResultValue",CONCATENATE(DataColumns[[#This Row],[ColumnType]],DataColumns[[#This Row],[ColumnLabel]]),CONCATENATE(DataColumns[[#This Row],[ColumnType]],DataColumns[[#This Row],[AppliesToColumn]]))</f>
        <v/>
      </c>
    </row>
    <row r="42" spans="1:29">
      <c r="A42" s="46" t="str">
        <f ca="1">IF(COUNTA(DataColumns[[#This Row],[ColumnLabel]:[QualityCodeCV]])&gt;0,IF(MAX(INDIRECT(CONCATENATE("R",ROW(DataColumns[#Headers]),"C",COLUMN(),":R",ROW()-1,"C",COLUMN()),FALSE))=0,1,MAX(INDIRECT(CONCATENATE("R",ROW(DataColumns[#Headers]),"C",COLUMN(),":R",ROW()-1,"C",COLUMN()),FALSE))+1),"")</f>
        <v/>
      </c>
      <c r="B42" s="104"/>
      <c r="C42" s="9"/>
      <c r="D42" s="154"/>
      <c r="E42" s="159"/>
      <c r="F42" s="138"/>
      <c r="G42" s="8"/>
      <c r="H42" s="9"/>
      <c r="I42" s="9"/>
      <c r="J42" s="9"/>
      <c r="K42" s="33"/>
      <c r="L42" s="9"/>
      <c r="M42" s="132"/>
      <c r="N42" s="104"/>
      <c r="O42" s="8"/>
      <c r="P42" s="9"/>
      <c r="Q42" s="9"/>
      <c r="R42" s="20"/>
      <c r="S42" s="20"/>
      <c r="T42" s="9"/>
      <c r="U42" s="9"/>
      <c r="V42" s="9"/>
      <c r="W42" s="9"/>
      <c r="X42" s="20"/>
      <c r="Y42" s="9"/>
      <c r="Z42" s="9"/>
      <c r="AA42" s="9"/>
      <c r="AB42" s="176" t="str">
        <f ca="1">IF(DataColumns[[#This Row],[ColumnType]]="ResultValue",IF(MAX(INDIRECT(CONCATENATE("R",ROW(DataColumns[#Headers]),"C",COLUMN(),":R",ROW()-1,"C",COLUMN()),FALSE))=0,1,MAX(INDIRECT(CONCATENATE("R",ROW(DataColumns[#Headers]),"C",COLUMN(),":R",ROW()-1,"C",COLUMN()),FALSE))+1),"")</f>
        <v/>
      </c>
      <c r="AC42" s="125" t="str">
        <f>IF(DataColumns[[#This Row],[ColumnType]]="ResultValue",CONCATENATE(DataColumns[[#This Row],[ColumnType]],DataColumns[[#This Row],[ColumnLabel]]),CONCATENATE(DataColumns[[#This Row],[ColumnType]],DataColumns[[#This Row],[AppliesToColumn]]))</f>
        <v/>
      </c>
    </row>
    <row r="43" spans="1:29">
      <c r="A43" s="46" t="str">
        <f ca="1">IF(COUNTA(DataColumns[[#This Row],[ColumnLabel]:[QualityCodeCV]])&gt;0,IF(MAX(INDIRECT(CONCATENATE("R",ROW(DataColumns[#Headers]),"C",COLUMN(),":R",ROW()-1,"C",COLUMN()),FALSE))=0,1,MAX(INDIRECT(CONCATENATE("R",ROW(DataColumns[#Headers]),"C",COLUMN(),":R",ROW()-1,"C",COLUMN()),FALSE))+1),"")</f>
        <v/>
      </c>
      <c r="B43" s="104"/>
      <c r="C43" s="9"/>
      <c r="D43" s="154"/>
      <c r="E43" s="159"/>
      <c r="F43" s="138"/>
      <c r="G43" s="8"/>
      <c r="H43" s="9"/>
      <c r="I43" s="9"/>
      <c r="J43" s="9"/>
      <c r="K43" s="33"/>
      <c r="L43" s="9"/>
      <c r="M43" s="132"/>
      <c r="N43" s="104"/>
      <c r="O43" s="8"/>
      <c r="P43" s="9"/>
      <c r="Q43" s="9"/>
      <c r="R43" s="20"/>
      <c r="S43" s="20"/>
      <c r="T43" s="9"/>
      <c r="U43" s="9"/>
      <c r="V43" s="9"/>
      <c r="W43" s="9"/>
      <c r="X43" s="20"/>
      <c r="Y43" s="9"/>
      <c r="Z43" s="9"/>
      <c r="AA43" s="9"/>
      <c r="AB43" s="176" t="str">
        <f ca="1">IF(DataColumns[[#This Row],[ColumnType]]="ResultValue",IF(MAX(INDIRECT(CONCATENATE("R",ROW(DataColumns[#Headers]),"C",COLUMN(),":R",ROW()-1,"C",COLUMN()),FALSE))=0,1,MAX(INDIRECT(CONCATENATE("R",ROW(DataColumns[#Headers]),"C",COLUMN(),":R",ROW()-1,"C",COLUMN()),FALSE))+1),"")</f>
        <v/>
      </c>
      <c r="AC43" s="125" t="str">
        <f>IF(DataColumns[[#This Row],[ColumnType]]="ResultValue",CONCATENATE(DataColumns[[#This Row],[ColumnType]],DataColumns[[#This Row],[ColumnLabel]]),CONCATENATE(DataColumns[[#This Row],[ColumnType]],DataColumns[[#This Row],[AppliesToColumn]]))</f>
        <v/>
      </c>
    </row>
    <row r="44" spans="1:29">
      <c r="A44" s="46" t="str">
        <f ca="1">IF(COUNTA(DataColumns[[#This Row],[ColumnLabel]:[QualityCodeCV]])&gt;0,IF(MAX(INDIRECT(CONCATENATE("R",ROW(DataColumns[#Headers]),"C",COLUMN(),":R",ROW()-1,"C",COLUMN()),FALSE))=0,1,MAX(INDIRECT(CONCATENATE("R",ROW(DataColumns[#Headers]),"C",COLUMN(),":R",ROW()-1,"C",COLUMN()),FALSE))+1),"")</f>
        <v/>
      </c>
      <c r="B44" s="104"/>
      <c r="C44" s="9"/>
      <c r="D44" s="154"/>
      <c r="E44" s="159"/>
      <c r="F44" s="138"/>
      <c r="G44" s="8"/>
      <c r="H44" s="9"/>
      <c r="I44" s="9"/>
      <c r="J44" s="9"/>
      <c r="K44" s="33"/>
      <c r="L44" s="9"/>
      <c r="M44" s="132"/>
      <c r="N44" s="104"/>
      <c r="O44" s="8"/>
      <c r="P44" s="9"/>
      <c r="Q44" s="9"/>
      <c r="R44" s="20"/>
      <c r="S44" s="20"/>
      <c r="T44" s="9"/>
      <c r="U44" s="9"/>
      <c r="V44" s="9"/>
      <c r="W44" s="9"/>
      <c r="X44" s="20"/>
      <c r="Y44" s="9"/>
      <c r="Z44" s="9"/>
      <c r="AA44" s="9"/>
      <c r="AB44" s="176" t="str">
        <f ca="1">IF(DataColumns[[#This Row],[ColumnType]]="ResultValue",IF(MAX(INDIRECT(CONCATENATE("R",ROW(DataColumns[#Headers]),"C",COLUMN(),":R",ROW()-1,"C",COLUMN()),FALSE))=0,1,MAX(INDIRECT(CONCATENATE("R",ROW(DataColumns[#Headers]),"C",COLUMN(),":R",ROW()-1,"C",COLUMN()),FALSE))+1),"")</f>
        <v/>
      </c>
      <c r="AC44" s="125" t="str">
        <f>IF(DataColumns[[#This Row],[ColumnType]]="ResultValue",CONCATENATE(DataColumns[[#This Row],[ColumnType]],DataColumns[[#This Row],[ColumnLabel]]),CONCATENATE(DataColumns[[#This Row],[ColumnType]],DataColumns[[#This Row],[AppliesToColumn]]))</f>
        <v/>
      </c>
    </row>
    <row r="45" spans="1:29">
      <c r="A45" s="46" t="str">
        <f ca="1">IF(COUNTA(DataColumns[[#This Row],[ColumnLabel]:[QualityCodeCV]])&gt;0,IF(MAX(INDIRECT(CONCATENATE("R",ROW(DataColumns[#Headers]),"C",COLUMN(),":R",ROW()-1,"C",COLUMN()),FALSE))=0,1,MAX(INDIRECT(CONCATENATE("R",ROW(DataColumns[#Headers]),"C",COLUMN(),":R",ROW()-1,"C",COLUMN()),FALSE))+1),"")</f>
        <v/>
      </c>
      <c r="B45" s="104"/>
      <c r="C45" s="9"/>
      <c r="D45" s="154"/>
      <c r="E45" s="159"/>
      <c r="F45" s="138"/>
      <c r="G45" s="8"/>
      <c r="H45" s="9"/>
      <c r="I45" s="9"/>
      <c r="J45" s="9"/>
      <c r="K45" s="33"/>
      <c r="L45" s="9"/>
      <c r="M45" s="132"/>
      <c r="N45" s="104"/>
      <c r="O45" s="8"/>
      <c r="P45" s="9"/>
      <c r="Q45" s="9"/>
      <c r="R45" s="20"/>
      <c r="S45" s="20"/>
      <c r="T45" s="9"/>
      <c r="U45" s="9"/>
      <c r="V45" s="9"/>
      <c r="W45" s="9"/>
      <c r="X45" s="20"/>
      <c r="Y45" s="9"/>
      <c r="Z45" s="9"/>
      <c r="AA45" s="9"/>
      <c r="AB45" s="176" t="str">
        <f ca="1">IF(DataColumns[[#This Row],[ColumnType]]="ResultValue",IF(MAX(INDIRECT(CONCATENATE("R",ROW(DataColumns[#Headers]),"C",COLUMN(),":R",ROW()-1,"C",COLUMN()),FALSE))=0,1,MAX(INDIRECT(CONCATENATE("R",ROW(DataColumns[#Headers]),"C",COLUMN(),":R",ROW()-1,"C",COLUMN()),FALSE))+1),"")</f>
        <v/>
      </c>
      <c r="AC45" s="125" t="str">
        <f>IF(DataColumns[[#This Row],[ColumnType]]="ResultValue",CONCATENATE(DataColumns[[#This Row],[ColumnType]],DataColumns[[#This Row],[ColumnLabel]]),CONCATENATE(DataColumns[[#This Row],[ColumnType]],DataColumns[[#This Row],[AppliesToColumn]]))</f>
        <v/>
      </c>
    </row>
    <row r="46" spans="1:29">
      <c r="A46" s="46" t="str">
        <f ca="1">IF(COUNTA(DataColumns[[#This Row],[ColumnLabel]:[QualityCodeCV]])&gt;0,IF(MAX(INDIRECT(CONCATENATE("R",ROW(DataColumns[#Headers]),"C",COLUMN(),":R",ROW()-1,"C",COLUMN()),FALSE))=0,1,MAX(INDIRECT(CONCATENATE("R",ROW(DataColumns[#Headers]),"C",COLUMN(),":R",ROW()-1,"C",COLUMN()),FALSE))+1),"")</f>
        <v/>
      </c>
      <c r="B46" s="104"/>
      <c r="C46" s="9"/>
      <c r="D46" s="154"/>
      <c r="E46" s="159"/>
      <c r="F46" s="138"/>
      <c r="G46" s="8"/>
      <c r="H46" s="9"/>
      <c r="I46" s="9"/>
      <c r="J46" s="9"/>
      <c r="K46" s="33"/>
      <c r="L46" s="9"/>
      <c r="M46" s="132"/>
      <c r="N46" s="104"/>
      <c r="O46" s="8"/>
      <c r="P46" s="9"/>
      <c r="Q46" s="9"/>
      <c r="R46" s="20"/>
      <c r="S46" s="20"/>
      <c r="T46" s="9"/>
      <c r="U46" s="9"/>
      <c r="V46" s="9"/>
      <c r="W46" s="9"/>
      <c r="X46" s="20"/>
      <c r="Y46" s="9"/>
      <c r="Z46" s="9"/>
      <c r="AA46" s="9"/>
      <c r="AB46" s="176" t="str">
        <f ca="1">IF(DataColumns[[#This Row],[ColumnType]]="ResultValue",IF(MAX(INDIRECT(CONCATENATE("R",ROW(DataColumns[#Headers]),"C",COLUMN(),":R",ROW()-1,"C",COLUMN()),FALSE))=0,1,MAX(INDIRECT(CONCATENATE("R",ROW(DataColumns[#Headers]),"C",COLUMN(),":R",ROW()-1,"C",COLUMN()),FALSE))+1),"")</f>
        <v/>
      </c>
      <c r="AC46" s="125" t="str">
        <f>IF(DataColumns[[#This Row],[ColumnType]]="ResultValue",CONCATENATE(DataColumns[[#This Row],[ColumnType]],DataColumns[[#This Row],[ColumnLabel]]),CONCATENATE(DataColumns[[#This Row],[ColumnType]],DataColumns[[#This Row],[AppliesToColumn]]))</f>
        <v/>
      </c>
    </row>
    <row r="47" spans="1:29">
      <c r="A47" s="46" t="str">
        <f ca="1">IF(COUNTA(DataColumns[[#This Row],[ColumnLabel]:[QualityCodeCV]])&gt;0,IF(MAX(INDIRECT(CONCATENATE("R",ROW(DataColumns[#Headers]),"C",COLUMN(),":R",ROW()-1,"C",COLUMN()),FALSE))=0,1,MAX(INDIRECT(CONCATENATE("R",ROW(DataColumns[#Headers]),"C",COLUMN(),":R",ROW()-1,"C",COLUMN()),FALSE))+1),"")</f>
        <v/>
      </c>
      <c r="B47" s="104"/>
      <c r="C47" s="9"/>
      <c r="D47" s="154"/>
      <c r="E47" s="159"/>
      <c r="F47" s="138"/>
      <c r="G47" s="8"/>
      <c r="H47" s="9"/>
      <c r="I47" s="9"/>
      <c r="J47" s="9"/>
      <c r="K47" s="33"/>
      <c r="L47" s="9"/>
      <c r="M47" s="132"/>
      <c r="N47" s="104"/>
      <c r="O47" s="8"/>
      <c r="P47" s="9"/>
      <c r="Q47" s="9"/>
      <c r="R47" s="20"/>
      <c r="S47" s="20"/>
      <c r="T47" s="9"/>
      <c r="U47" s="9"/>
      <c r="V47" s="9"/>
      <c r="W47" s="9"/>
      <c r="X47" s="20"/>
      <c r="Y47" s="9"/>
      <c r="Z47" s="9"/>
      <c r="AA47" s="9"/>
      <c r="AB47" s="176" t="str">
        <f ca="1">IF(DataColumns[[#This Row],[ColumnType]]="ResultValue",IF(MAX(INDIRECT(CONCATENATE("R",ROW(DataColumns[#Headers]),"C",COLUMN(),":R",ROW()-1,"C",COLUMN()),FALSE))=0,1,MAX(INDIRECT(CONCATENATE("R",ROW(DataColumns[#Headers]),"C",COLUMN(),":R",ROW()-1,"C",COLUMN()),FALSE))+1),"")</f>
        <v/>
      </c>
      <c r="AC47" s="125" t="str">
        <f>IF(DataColumns[[#This Row],[ColumnType]]="ResultValue",CONCATENATE(DataColumns[[#This Row],[ColumnType]],DataColumns[[#This Row],[ColumnLabel]]),CONCATENATE(DataColumns[[#This Row],[ColumnType]],DataColumns[[#This Row],[AppliesToColumn]]))</f>
        <v/>
      </c>
    </row>
    <row r="48" spans="1:29">
      <c r="A48" s="46" t="str">
        <f ca="1">IF(COUNTA(DataColumns[[#This Row],[ColumnLabel]:[QualityCodeCV]])&gt;0,IF(MAX(INDIRECT(CONCATENATE("R",ROW(DataColumns[#Headers]),"C",COLUMN(),":R",ROW()-1,"C",COLUMN()),FALSE))=0,1,MAX(INDIRECT(CONCATENATE("R",ROW(DataColumns[#Headers]),"C",COLUMN(),":R",ROW()-1,"C",COLUMN()),FALSE))+1),"")</f>
        <v/>
      </c>
      <c r="B48" s="104"/>
      <c r="C48" s="9"/>
      <c r="D48" s="154"/>
      <c r="E48" s="159"/>
      <c r="F48" s="138"/>
      <c r="G48" s="8"/>
      <c r="H48" s="9"/>
      <c r="I48" s="9"/>
      <c r="J48" s="9"/>
      <c r="K48" s="33"/>
      <c r="L48" s="9"/>
      <c r="M48" s="132"/>
      <c r="N48" s="104"/>
      <c r="O48" s="8"/>
      <c r="P48" s="9"/>
      <c r="Q48" s="9"/>
      <c r="R48" s="20"/>
      <c r="S48" s="20"/>
      <c r="T48" s="9"/>
      <c r="U48" s="9"/>
      <c r="V48" s="9"/>
      <c r="W48" s="9"/>
      <c r="X48" s="20"/>
      <c r="Y48" s="9"/>
      <c r="Z48" s="9"/>
      <c r="AA48" s="9"/>
      <c r="AB48" s="176" t="str">
        <f ca="1">IF(DataColumns[[#This Row],[ColumnType]]="ResultValue",IF(MAX(INDIRECT(CONCATENATE("R",ROW(DataColumns[#Headers]),"C",COLUMN(),":R",ROW()-1,"C",COLUMN()),FALSE))=0,1,MAX(INDIRECT(CONCATENATE("R",ROW(DataColumns[#Headers]),"C",COLUMN(),":R",ROW()-1,"C",COLUMN()),FALSE))+1),"")</f>
        <v/>
      </c>
      <c r="AC48" s="125" t="str">
        <f>IF(DataColumns[[#This Row],[ColumnType]]="ResultValue",CONCATENATE(DataColumns[[#This Row],[ColumnType]],DataColumns[[#This Row],[ColumnLabel]]),CONCATENATE(DataColumns[[#This Row],[ColumnType]],DataColumns[[#This Row],[AppliesToColumn]]))</f>
        <v/>
      </c>
    </row>
    <row r="49" spans="1:29">
      <c r="A49" s="46" t="str">
        <f ca="1">IF(COUNTA(DataColumns[[#This Row],[ColumnLabel]:[QualityCodeCV]])&gt;0,IF(MAX(INDIRECT(CONCATENATE("R",ROW(DataColumns[#Headers]),"C",COLUMN(),":R",ROW()-1,"C",COLUMN()),FALSE))=0,1,MAX(INDIRECT(CONCATENATE("R",ROW(DataColumns[#Headers]),"C",COLUMN(),":R",ROW()-1,"C",COLUMN()),FALSE))+1),"")</f>
        <v/>
      </c>
      <c r="B49" s="104"/>
      <c r="C49" s="9"/>
      <c r="D49" s="154"/>
      <c r="E49" s="159"/>
      <c r="F49" s="138"/>
      <c r="G49" s="8"/>
      <c r="H49" s="9"/>
      <c r="I49" s="9"/>
      <c r="J49" s="9"/>
      <c r="K49" s="33"/>
      <c r="L49" s="9"/>
      <c r="M49" s="132"/>
      <c r="N49" s="104"/>
      <c r="O49" s="8"/>
      <c r="P49" s="9"/>
      <c r="Q49" s="9"/>
      <c r="R49" s="20"/>
      <c r="S49" s="20"/>
      <c r="T49" s="9"/>
      <c r="U49" s="9"/>
      <c r="V49" s="9"/>
      <c r="W49" s="9"/>
      <c r="X49" s="20"/>
      <c r="Y49" s="9"/>
      <c r="Z49" s="9"/>
      <c r="AA49" s="9"/>
      <c r="AB49" s="176" t="str">
        <f ca="1">IF(DataColumns[[#This Row],[ColumnType]]="ResultValue",IF(MAX(INDIRECT(CONCATENATE("R",ROW(DataColumns[#Headers]),"C",COLUMN(),":R",ROW()-1,"C",COLUMN()),FALSE))=0,1,MAX(INDIRECT(CONCATENATE("R",ROW(DataColumns[#Headers]),"C",COLUMN(),":R",ROW()-1,"C",COLUMN()),FALSE))+1),"")</f>
        <v/>
      </c>
      <c r="AC49" s="125" t="str">
        <f>IF(DataColumns[[#This Row],[ColumnType]]="ResultValue",CONCATENATE(DataColumns[[#This Row],[ColumnType]],DataColumns[[#This Row],[ColumnLabel]]),CONCATENATE(DataColumns[[#This Row],[ColumnType]],DataColumns[[#This Row],[AppliesToColumn]]))</f>
        <v/>
      </c>
    </row>
    <row r="50" spans="1:29">
      <c r="A50" s="46" t="str">
        <f ca="1">IF(COUNTA(DataColumns[[#This Row],[ColumnLabel]:[QualityCodeCV]])&gt;0,IF(MAX(INDIRECT(CONCATENATE("R",ROW(DataColumns[#Headers]),"C",COLUMN(),":R",ROW()-1,"C",COLUMN()),FALSE))=0,1,MAX(INDIRECT(CONCATENATE("R",ROW(DataColumns[#Headers]),"C",COLUMN(),":R",ROW()-1,"C",COLUMN()),FALSE))+1),"")</f>
        <v/>
      </c>
      <c r="B50" s="104"/>
      <c r="C50" s="9"/>
      <c r="D50" s="154"/>
      <c r="E50" s="159"/>
      <c r="F50" s="138"/>
      <c r="G50" s="8"/>
      <c r="H50" s="9"/>
      <c r="I50" s="9"/>
      <c r="J50" s="9"/>
      <c r="K50" s="33"/>
      <c r="L50" s="9"/>
      <c r="M50" s="132"/>
      <c r="N50" s="104"/>
      <c r="O50" s="8"/>
      <c r="P50" s="9"/>
      <c r="Q50" s="9"/>
      <c r="R50" s="20"/>
      <c r="S50" s="20"/>
      <c r="T50" s="9"/>
      <c r="U50" s="9"/>
      <c r="V50" s="9"/>
      <c r="W50" s="9"/>
      <c r="X50" s="20"/>
      <c r="Y50" s="9"/>
      <c r="Z50" s="9"/>
      <c r="AA50" s="9"/>
      <c r="AB50" s="176" t="str">
        <f ca="1">IF(DataColumns[[#This Row],[ColumnType]]="ResultValue",IF(MAX(INDIRECT(CONCATENATE("R",ROW(DataColumns[#Headers]),"C",COLUMN(),":R",ROW()-1,"C",COLUMN()),FALSE))=0,1,MAX(INDIRECT(CONCATENATE("R",ROW(DataColumns[#Headers]),"C",COLUMN(),":R",ROW()-1,"C",COLUMN()),FALSE))+1),"")</f>
        <v/>
      </c>
      <c r="AC50" s="125" t="str">
        <f>IF(DataColumns[[#This Row],[ColumnType]]="ResultValue",CONCATENATE(DataColumns[[#This Row],[ColumnType]],DataColumns[[#This Row],[ColumnLabel]]),CONCATENATE(DataColumns[[#This Row],[ColumnType]],DataColumns[[#This Row],[AppliesToColumn]]))</f>
        <v/>
      </c>
    </row>
    <row r="51" spans="1:29">
      <c r="A51" s="46" t="str">
        <f ca="1">IF(COUNTA(DataColumns[[#This Row],[ColumnLabel]:[QualityCodeCV]])&gt;0,IF(MAX(INDIRECT(CONCATENATE("R",ROW(DataColumns[#Headers]),"C",COLUMN(),":R",ROW()-1,"C",COLUMN()),FALSE))=0,1,MAX(INDIRECT(CONCATENATE("R",ROW(DataColumns[#Headers]),"C",COLUMN(),":R",ROW()-1,"C",COLUMN()),FALSE))+1),"")</f>
        <v/>
      </c>
      <c r="B51" s="104"/>
      <c r="C51" s="9"/>
      <c r="D51" s="154"/>
      <c r="E51" s="159"/>
      <c r="F51" s="138"/>
      <c r="G51" s="8"/>
      <c r="H51" s="9"/>
      <c r="I51" s="9"/>
      <c r="J51" s="9"/>
      <c r="K51" s="33"/>
      <c r="L51" s="9"/>
      <c r="M51" s="132"/>
      <c r="N51" s="104"/>
      <c r="O51" s="8"/>
      <c r="P51" s="9"/>
      <c r="Q51" s="9"/>
      <c r="R51" s="20"/>
      <c r="S51" s="20"/>
      <c r="T51" s="9"/>
      <c r="U51" s="9"/>
      <c r="V51" s="9"/>
      <c r="W51" s="9"/>
      <c r="X51" s="20"/>
      <c r="Y51" s="9"/>
      <c r="Z51" s="9"/>
      <c r="AA51" s="9"/>
      <c r="AB51" s="176" t="str">
        <f ca="1">IF(DataColumns[[#This Row],[ColumnType]]="ResultValue",IF(MAX(INDIRECT(CONCATENATE("R",ROW(DataColumns[#Headers]),"C",COLUMN(),":R",ROW()-1,"C",COLUMN()),FALSE))=0,1,MAX(INDIRECT(CONCATENATE("R",ROW(DataColumns[#Headers]),"C",COLUMN(),":R",ROW()-1,"C",COLUMN()),FALSE))+1),"")</f>
        <v/>
      </c>
      <c r="AC51" s="125" t="str">
        <f>IF(DataColumns[[#This Row],[ColumnType]]="ResultValue",CONCATENATE(DataColumns[[#This Row],[ColumnType]],DataColumns[[#This Row],[ColumnLabel]]),CONCATENATE(DataColumns[[#This Row],[ColumnType]],DataColumns[[#This Row],[AppliesToColumn]]))</f>
        <v/>
      </c>
    </row>
    <row r="52" spans="1:29">
      <c r="A52" s="46" t="str">
        <f ca="1">IF(COUNTA(DataColumns[[#This Row],[ColumnLabel]:[QualityCodeCV]])&gt;0,IF(MAX(INDIRECT(CONCATENATE("R",ROW(DataColumns[#Headers]),"C",COLUMN(),":R",ROW()-1,"C",COLUMN()),FALSE))=0,1,MAX(INDIRECT(CONCATENATE("R",ROW(DataColumns[#Headers]),"C",COLUMN(),":R",ROW()-1,"C",COLUMN()),FALSE))+1),"")</f>
        <v/>
      </c>
      <c r="B52" s="104"/>
      <c r="C52" s="9"/>
      <c r="D52" s="154"/>
      <c r="E52" s="159"/>
      <c r="F52" s="138"/>
      <c r="G52" s="8"/>
      <c r="H52" s="9"/>
      <c r="I52" s="9"/>
      <c r="J52" s="9"/>
      <c r="K52" s="33"/>
      <c r="L52" s="9"/>
      <c r="M52" s="132"/>
      <c r="N52" s="104"/>
      <c r="O52" s="8"/>
      <c r="P52" s="9"/>
      <c r="Q52" s="9"/>
      <c r="R52" s="20"/>
      <c r="S52" s="20"/>
      <c r="T52" s="9"/>
      <c r="U52" s="9"/>
      <c r="V52" s="9"/>
      <c r="W52" s="9"/>
      <c r="X52" s="20"/>
      <c r="Y52" s="9"/>
      <c r="Z52" s="9"/>
      <c r="AA52" s="9"/>
      <c r="AB52" s="176" t="str">
        <f ca="1">IF(DataColumns[[#This Row],[ColumnType]]="ResultValue",IF(MAX(INDIRECT(CONCATENATE("R",ROW(DataColumns[#Headers]),"C",COLUMN(),":R",ROW()-1,"C",COLUMN()),FALSE))=0,1,MAX(INDIRECT(CONCATENATE("R",ROW(DataColumns[#Headers]),"C",COLUMN(),":R",ROW()-1,"C",COLUMN()),FALSE))+1),"")</f>
        <v/>
      </c>
      <c r="AC52" s="125" t="str">
        <f>IF(DataColumns[[#This Row],[ColumnType]]="ResultValue",CONCATENATE(DataColumns[[#This Row],[ColumnType]],DataColumns[[#This Row],[ColumnLabel]]),CONCATENATE(DataColumns[[#This Row],[ColumnType]],DataColumns[[#This Row],[AppliesToColumn]]))</f>
        <v/>
      </c>
    </row>
    <row r="53" spans="1:29">
      <c r="A53" s="46" t="str">
        <f ca="1">IF(COUNTA(DataColumns[[#This Row],[ColumnLabel]:[QualityCodeCV]])&gt;0,IF(MAX(INDIRECT(CONCATENATE("R",ROW(DataColumns[#Headers]),"C",COLUMN(),":R",ROW()-1,"C",COLUMN()),FALSE))=0,1,MAX(INDIRECT(CONCATENATE("R",ROW(DataColumns[#Headers]),"C",COLUMN(),":R",ROW()-1,"C",COLUMN()),FALSE))+1),"")</f>
        <v/>
      </c>
      <c r="B53" s="104"/>
      <c r="C53" s="9"/>
      <c r="D53" s="154"/>
      <c r="E53" s="159"/>
      <c r="F53" s="138"/>
      <c r="G53" s="8"/>
      <c r="H53" s="9"/>
      <c r="I53" s="9"/>
      <c r="J53" s="9"/>
      <c r="K53" s="33"/>
      <c r="L53" s="9"/>
      <c r="M53" s="132"/>
      <c r="N53" s="104"/>
      <c r="O53" s="8"/>
      <c r="P53" s="9"/>
      <c r="Q53" s="9"/>
      <c r="R53" s="20"/>
      <c r="S53" s="20"/>
      <c r="T53" s="9"/>
      <c r="U53" s="9"/>
      <c r="V53" s="9"/>
      <c r="W53" s="9"/>
      <c r="X53" s="20"/>
      <c r="Y53" s="9"/>
      <c r="Z53" s="9"/>
      <c r="AA53" s="9"/>
      <c r="AB53" s="176" t="str">
        <f ca="1">IF(DataColumns[[#This Row],[ColumnType]]="ResultValue",IF(MAX(INDIRECT(CONCATENATE("R",ROW(DataColumns[#Headers]),"C",COLUMN(),":R",ROW()-1,"C",COLUMN()),FALSE))=0,1,MAX(INDIRECT(CONCATENATE("R",ROW(DataColumns[#Headers]),"C",COLUMN(),":R",ROW()-1,"C",COLUMN()),FALSE))+1),"")</f>
        <v/>
      </c>
      <c r="AC53" s="125" t="str">
        <f>IF(DataColumns[[#This Row],[ColumnType]]="ResultValue",CONCATENATE(DataColumns[[#This Row],[ColumnType]],DataColumns[[#This Row],[ColumnLabel]]),CONCATENATE(DataColumns[[#This Row],[ColumnType]],DataColumns[[#This Row],[AppliesToColumn]]))</f>
        <v/>
      </c>
    </row>
    <row r="54" spans="1:29">
      <c r="A54" s="46" t="str">
        <f ca="1">IF(COUNTA(DataColumns[[#This Row],[ColumnLabel]:[QualityCodeCV]])&gt;0,IF(MAX(INDIRECT(CONCATENATE("R",ROW(DataColumns[#Headers]),"C",COLUMN(),":R",ROW()-1,"C",COLUMN()),FALSE))=0,1,MAX(INDIRECT(CONCATENATE("R",ROW(DataColumns[#Headers]),"C",COLUMN(),":R",ROW()-1,"C",COLUMN()),FALSE))+1),"")</f>
        <v/>
      </c>
      <c r="B54" s="104"/>
      <c r="C54" s="9"/>
      <c r="D54" s="154"/>
      <c r="E54" s="159"/>
      <c r="F54" s="138"/>
      <c r="G54" s="8"/>
      <c r="H54" s="9"/>
      <c r="I54" s="9"/>
      <c r="J54" s="9"/>
      <c r="K54" s="33"/>
      <c r="L54" s="9"/>
      <c r="M54" s="132"/>
      <c r="N54" s="104"/>
      <c r="O54" s="8"/>
      <c r="P54" s="9"/>
      <c r="Q54" s="9"/>
      <c r="R54" s="20"/>
      <c r="S54" s="20"/>
      <c r="T54" s="9"/>
      <c r="U54" s="9"/>
      <c r="V54" s="9"/>
      <c r="W54" s="9"/>
      <c r="X54" s="20"/>
      <c r="Y54" s="9"/>
      <c r="Z54" s="9"/>
      <c r="AA54" s="9"/>
      <c r="AB54" s="176" t="str">
        <f ca="1">IF(DataColumns[[#This Row],[ColumnType]]="ResultValue",IF(MAX(INDIRECT(CONCATENATE("R",ROW(DataColumns[#Headers]),"C",COLUMN(),":R",ROW()-1,"C",COLUMN()),FALSE))=0,1,MAX(INDIRECT(CONCATENATE("R",ROW(DataColumns[#Headers]),"C",COLUMN(),":R",ROW()-1,"C",COLUMN()),FALSE))+1),"")</f>
        <v/>
      </c>
      <c r="AC54" s="125" t="str">
        <f>IF(DataColumns[[#This Row],[ColumnType]]="ResultValue",CONCATENATE(DataColumns[[#This Row],[ColumnType]],DataColumns[[#This Row],[ColumnLabel]]),CONCATENATE(DataColumns[[#This Row],[ColumnType]],DataColumns[[#This Row],[AppliesToColumn]]))</f>
        <v/>
      </c>
    </row>
    <row r="55" spans="1:29">
      <c r="A55" s="46" t="str">
        <f ca="1">IF(COUNTA(DataColumns[[#This Row],[ColumnLabel]:[QualityCodeCV]])&gt;0,IF(MAX(INDIRECT(CONCATENATE("R",ROW(DataColumns[#Headers]),"C",COLUMN(),":R",ROW()-1,"C",COLUMN()),FALSE))=0,1,MAX(INDIRECT(CONCATENATE("R",ROW(DataColumns[#Headers]),"C",COLUMN(),":R",ROW()-1,"C",COLUMN()),FALSE))+1),"")</f>
        <v/>
      </c>
      <c r="B55" s="104"/>
      <c r="C55" s="9"/>
      <c r="D55" s="154"/>
      <c r="E55" s="159"/>
      <c r="F55" s="138"/>
      <c r="G55" s="8"/>
      <c r="H55" s="9"/>
      <c r="I55" s="9"/>
      <c r="J55" s="9"/>
      <c r="K55" s="33"/>
      <c r="L55" s="9"/>
      <c r="M55" s="132"/>
      <c r="N55" s="104"/>
      <c r="O55" s="8"/>
      <c r="P55" s="9"/>
      <c r="Q55" s="9"/>
      <c r="R55" s="20"/>
      <c r="S55" s="20"/>
      <c r="T55" s="9"/>
      <c r="U55" s="9"/>
      <c r="V55" s="9"/>
      <c r="W55" s="9"/>
      <c r="X55" s="20"/>
      <c r="Y55" s="9"/>
      <c r="Z55" s="9"/>
      <c r="AA55" s="9"/>
      <c r="AB55" s="176" t="str">
        <f ca="1">IF(DataColumns[[#This Row],[ColumnType]]="ResultValue",IF(MAX(INDIRECT(CONCATENATE("R",ROW(DataColumns[#Headers]),"C",COLUMN(),":R",ROW()-1,"C",COLUMN()),FALSE))=0,1,MAX(INDIRECT(CONCATENATE("R",ROW(DataColumns[#Headers]),"C",COLUMN(),":R",ROW()-1,"C",COLUMN()),FALSE))+1),"")</f>
        <v/>
      </c>
      <c r="AC55" s="125" t="str">
        <f>IF(DataColumns[[#This Row],[ColumnType]]="ResultValue",CONCATENATE(DataColumns[[#This Row],[ColumnType]],DataColumns[[#This Row],[ColumnLabel]]),CONCATENATE(DataColumns[[#This Row],[ColumnType]],DataColumns[[#This Row],[AppliesToColumn]]))</f>
        <v/>
      </c>
    </row>
    <row r="56" spans="1:29">
      <c r="A56" s="46" t="str">
        <f ca="1">IF(COUNTA(DataColumns[[#This Row],[ColumnLabel]:[QualityCodeCV]])&gt;0,IF(MAX(INDIRECT(CONCATENATE("R",ROW(DataColumns[#Headers]),"C",COLUMN(),":R",ROW()-1,"C",COLUMN()),FALSE))=0,1,MAX(INDIRECT(CONCATENATE("R",ROW(DataColumns[#Headers]),"C",COLUMN(),":R",ROW()-1,"C",COLUMN()),FALSE))+1),"")</f>
        <v/>
      </c>
      <c r="B56" s="104"/>
      <c r="C56" s="9"/>
      <c r="D56" s="154"/>
      <c r="E56" s="159"/>
      <c r="F56" s="138"/>
      <c r="G56" s="8"/>
      <c r="H56" s="9"/>
      <c r="I56" s="9"/>
      <c r="J56" s="9"/>
      <c r="K56" s="33"/>
      <c r="L56" s="9"/>
      <c r="M56" s="132"/>
      <c r="N56" s="104"/>
      <c r="O56" s="8"/>
      <c r="P56" s="9"/>
      <c r="Q56" s="9"/>
      <c r="R56" s="20"/>
      <c r="S56" s="20"/>
      <c r="T56" s="9"/>
      <c r="U56" s="9"/>
      <c r="V56" s="9"/>
      <c r="W56" s="9"/>
      <c r="X56" s="20"/>
      <c r="Y56" s="9"/>
      <c r="Z56" s="9"/>
      <c r="AA56" s="9"/>
      <c r="AB56" s="176" t="str">
        <f ca="1">IF(DataColumns[[#This Row],[ColumnType]]="ResultValue",IF(MAX(INDIRECT(CONCATENATE("R",ROW(DataColumns[#Headers]),"C",COLUMN(),":R",ROW()-1,"C",COLUMN()),FALSE))=0,1,MAX(INDIRECT(CONCATENATE("R",ROW(DataColumns[#Headers]),"C",COLUMN(),":R",ROW()-1,"C",COLUMN()),FALSE))+1),"")</f>
        <v/>
      </c>
      <c r="AC56" s="125" t="str">
        <f>IF(DataColumns[[#This Row],[ColumnType]]="ResultValue",CONCATENATE(DataColumns[[#This Row],[ColumnType]],DataColumns[[#This Row],[ColumnLabel]]),CONCATENATE(DataColumns[[#This Row],[ColumnType]],DataColumns[[#This Row],[AppliesToColumn]]))</f>
        <v/>
      </c>
    </row>
    <row r="57" spans="1:29">
      <c r="A57" s="46" t="str">
        <f ca="1">IF(COUNTA(DataColumns[[#This Row],[ColumnLabel]:[QualityCodeCV]])&gt;0,IF(MAX(INDIRECT(CONCATENATE("R",ROW(DataColumns[#Headers]),"C",COLUMN(),":R",ROW()-1,"C",COLUMN()),FALSE))=0,1,MAX(INDIRECT(CONCATENATE("R",ROW(DataColumns[#Headers]),"C",COLUMN(),":R",ROW()-1,"C",COLUMN()),FALSE))+1),"")</f>
        <v/>
      </c>
      <c r="B57" s="104"/>
      <c r="C57" s="9"/>
      <c r="D57" s="154"/>
      <c r="E57" s="159"/>
      <c r="F57" s="138"/>
      <c r="G57" s="8"/>
      <c r="H57" s="9"/>
      <c r="I57" s="9"/>
      <c r="J57" s="9"/>
      <c r="K57" s="33"/>
      <c r="L57" s="9"/>
      <c r="M57" s="132"/>
      <c r="N57" s="104"/>
      <c r="O57" s="8"/>
      <c r="P57" s="9"/>
      <c r="Q57" s="9"/>
      <c r="R57" s="20"/>
      <c r="S57" s="20"/>
      <c r="T57" s="9"/>
      <c r="U57" s="9"/>
      <c r="V57" s="9"/>
      <c r="W57" s="9"/>
      <c r="X57" s="20"/>
      <c r="Y57" s="9"/>
      <c r="Z57" s="9"/>
      <c r="AA57" s="9"/>
      <c r="AB57" s="176" t="str">
        <f ca="1">IF(DataColumns[[#This Row],[ColumnType]]="ResultValue",IF(MAX(INDIRECT(CONCATENATE("R",ROW(DataColumns[#Headers]),"C",COLUMN(),":R",ROW()-1,"C",COLUMN()),FALSE))=0,1,MAX(INDIRECT(CONCATENATE("R",ROW(DataColumns[#Headers]),"C",COLUMN(),":R",ROW()-1,"C",COLUMN()),FALSE))+1),"")</f>
        <v/>
      </c>
      <c r="AC57" s="125" t="str">
        <f>IF(DataColumns[[#This Row],[ColumnType]]="ResultValue",CONCATENATE(DataColumns[[#This Row],[ColumnType]],DataColumns[[#This Row],[ColumnLabel]]),CONCATENATE(DataColumns[[#This Row],[ColumnType]],DataColumns[[#This Row],[AppliesToColumn]]))</f>
        <v/>
      </c>
    </row>
    <row r="58" spans="1:29">
      <c r="A58" s="46" t="str">
        <f ca="1">IF(COUNTA(DataColumns[[#This Row],[ColumnLabel]:[QualityCodeCV]])&gt;0,IF(MAX(INDIRECT(CONCATENATE("R",ROW(DataColumns[#Headers]),"C",COLUMN(),":R",ROW()-1,"C",COLUMN()),FALSE))=0,1,MAX(INDIRECT(CONCATENATE("R",ROW(DataColumns[#Headers]),"C",COLUMN(),":R",ROW()-1,"C",COLUMN()),FALSE))+1),"")</f>
        <v/>
      </c>
      <c r="B58" s="104"/>
      <c r="C58" s="9"/>
      <c r="D58" s="154"/>
      <c r="E58" s="159"/>
      <c r="F58" s="138"/>
      <c r="G58" s="8"/>
      <c r="H58" s="9"/>
      <c r="I58" s="9"/>
      <c r="J58" s="9"/>
      <c r="K58" s="33"/>
      <c r="L58" s="9"/>
      <c r="M58" s="132"/>
      <c r="N58" s="104"/>
      <c r="O58" s="8"/>
      <c r="P58" s="9"/>
      <c r="Q58" s="9"/>
      <c r="R58" s="20"/>
      <c r="S58" s="20"/>
      <c r="T58" s="9"/>
      <c r="U58" s="9"/>
      <c r="V58" s="9"/>
      <c r="W58" s="9"/>
      <c r="X58" s="20"/>
      <c r="Y58" s="9"/>
      <c r="Z58" s="9"/>
      <c r="AA58" s="9"/>
      <c r="AB58" s="176" t="str">
        <f ca="1">IF(DataColumns[[#This Row],[ColumnType]]="ResultValue",IF(MAX(INDIRECT(CONCATENATE("R",ROW(DataColumns[#Headers]),"C",COLUMN(),":R",ROW()-1,"C",COLUMN()),FALSE))=0,1,MAX(INDIRECT(CONCATENATE("R",ROW(DataColumns[#Headers]),"C",COLUMN(),":R",ROW()-1,"C",COLUMN()),FALSE))+1),"")</f>
        <v/>
      </c>
      <c r="AC58" s="125" t="str">
        <f>IF(DataColumns[[#This Row],[ColumnType]]="ResultValue",CONCATENATE(DataColumns[[#This Row],[ColumnType]],DataColumns[[#This Row],[ColumnLabel]]),CONCATENATE(DataColumns[[#This Row],[ColumnType]],DataColumns[[#This Row],[AppliesToColumn]]))</f>
        <v/>
      </c>
    </row>
    <row r="59" spans="1:29">
      <c r="A59" s="46" t="str">
        <f ca="1">IF(COUNTA(DataColumns[[#This Row],[ColumnLabel]:[QualityCodeCV]])&gt;0,IF(MAX(INDIRECT(CONCATENATE("R",ROW(DataColumns[#Headers]),"C",COLUMN(),":R",ROW()-1,"C",COLUMN()),FALSE))=0,1,MAX(INDIRECT(CONCATENATE("R",ROW(DataColumns[#Headers]),"C",COLUMN(),":R",ROW()-1,"C",COLUMN()),FALSE))+1),"")</f>
        <v/>
      </c>
      <c r="B59" s="104"/>
      <c r="C59" s="9"/>
      <c r="D59" s="154"/>
      <c r="E59" s="159"/>
      <c r="F59" s="138"/>
      <c r="G59" s="8"/>
      <c r="H59" s="9"/>
      <c r="I59" s="9"/>
      <c r="J59" s="9"/>
      <c r="K59" s="33"/>
      <c r="L59" s="9"/>
      <c r="M59" s="132"/>
      <c r="N59" s="104"/>
      <c r="O59" s="8"/>
      <c r="P59" s="9"/>
      <c r="Q59" s="9"/>
      <c r="R59" s="20"/>
      <c r="S59" s="20"/>
      <c r="T59" s="9"/>
      <c r="U59" s="9"/>
      <c r="V59" s="9"/>
      <c r="W59" s="9"/>
      <c r="X59" s="20"/>
      <c r="Y59" s="9"/>
      <c r="Z59" s="9"/>
      <c r="AA59" s="9"/>
      <c r="AB59" s="176" t="str">
        <f ca="1">IF(DataColumns[[#This Row],[ColumnType]]="ResultValue",IF(MAX(INDIRECT(CONCATENATE("R",ROW(DataColumns[#Headers]),"C",COLUMN(),":R",ROW()-1,"C",COLUMN()),FALSE))=0,1,MAX(INDIRECT(CONCATENATE("R",ROW(DataColumns[#Headers]),"C",COLUMN(),":R",ROW()-1,"C",COLUMN()),FALSE))+1),"")</f>
        <v/>
      </c>
      <c r="AC59" s="125" t="str">
        <f>IF(DataColumns[[#This Row],[ColumnType]]="ResultValue",CONCATENATE(DataColumns[[#This Row],[ColumnType]],DataColumns[[#This Row],[ColumnLabel]]),CONCATENATE(DataColumns[[#This Row],[ColumnType]],DataColumns[[#This Row],[AppliesToColumn]]))</f>
        <v/>
      </c>
    </row>
    <row r="60" spans="1:29">
      <c r="A60" s="46" t="str">
        <f ca="1">IF(COUNTA(DataColumns[[#This Row],[ColumnLabel]:[QualityCodeCV]])&gt;0,IF(MAX(INDIRECT(CONCATENATE("R",ROW(DataColumns[#Headers]),"C",COLUMN(),":R",ROW()-1,"C",COLUMN()),FALSE))=0,1,MAX(INDIRECT(CONCATENATE("R",ROW(DataColumns[#Headers]),"C",COLUMN(),":R",ROW()-1,"C",COLUMN()),FALSE))+1),"")</f>
        <v/>
      </c>
      <c r="B60" s="104"/>
      <c r="C60" s="9"/>
      <c r="D60" s="154"/>
      <c r="E60" s="159"/>
      <c r="F60" s="138"/>
      <c r="G60" s="8"/>
      <c r="H60" s="9"/>
      <c r="I60" s="9"/>
      <c r="J60" s="9"/>
      <c r="K60" s="33"/>
      <c r="L60" s="9"/>
      <c r="M60" s="132"/>
      <c r="N60" s="104"/>
      <c r="O60" s="8"/>
      <c r="P60" s="9"/>
      <c r="Q60" s="9"/>
      <c r="R60" s="20"/>
      <c r="S60" s="20"/>
      <c r="T60" s="9"/>
      <c r="U60" s="9"/>
      <c r="V60" s="9"/>
      <c r="W60" s="9"/>
      <c r="X60" s="20"/>
      <c r="Y60" s="9"/>
      <c r="Z60" s="9"/>
      <c r="AA60" s="9"/>
      <c r="AB60" s="176" t="str">
        <f ca="1">IF(DataColumns[[#This Row],[ColumnType]]="ResultValue",IF(MAX(INDIRECT(CONCATENATE("R",ROW(DataColumns[#Headers]),"C",COLUMN(),":R",ROW()-1,"C",COLUMN()),FALSE))=0,1,MAX(INDIRECT(CONCATENATE("R",ROW(DataColumns[#Headers]),"C",COLUMN(),":R",ROW()-1,"C",COLUMN()),FALSE))+1),"")</f>
        <v/>
      </c>
      <c r="AC60" s="125" t="str">
        <f>IF(DataColumns[[#This Row],[ColumnType]]="ResultValue",CONCATENATE(DataColumns[[#This Row],[ColumnType]],DataColumns[[#This Row],[ColumnLabel]]),CONCATENATE(DataColumns[[#This Row],[ColumnType]],DataColumns[[#This Row],[AppliesToColumn]]))</f>
        <v/>
      </c>
    </row>
    <row r="61" spans="1:29">
      <c r="A61" s="46" t="str">
        <f ca="1">IF(COUNTA(DataColumns[[#This Row],[ColumnLabel]:[QualityCodeCV]])&gt;0,IF(MAX(INDIRECT(CONCATENATE("R",ROW(DataColumns[#Headers]),"C",COLUMN(),":R",ROW()-1,"C",COLUMN()),FALSE))=0,1,MAX(INDIRECT(CONCATENATE("R",ROW(DataColumns[#Headers]),"C",COLUMN(),":R",ROW()-1,"C",COLUMN()),FALSE))+1),"")</f>
        <v/>
      </c>
      <c r="B61" s="104"/>
      <c r="C61" s="9"/>
      <c r="D61" s="154"/>
      <c r="E61" s="159"/>
      <c r="F61" s="138"/>
      <c r="G61" s="8"/>
      <c r="H61" s="9"/>
      <c r="I61" s="9"/>
      <c r="J61" s="9"/>
      <c r="K61" s="33"/>
      <c r="L61" s="9"/>
      <c r="M61" s="132"/>
      <c r="N61" s="104"/>
      <c r="O61" s="8"/>
      <c r="P61" s="9"/>
      <c r="Q61" s="9"/>
      <c r="R61" s="20"/>
      <c r="S61" s="20"/>
      <c r="T61" s="9"/>
      <c r="U61" s="9"/>
      <c r="V61" s="9"/>
      <c r="W61" s="9"/>
      <c r="X61" s="20"/>
      <c r="Y61" s="9"/>
      <c r="Z61" s="9"/>
      <c r="AA61" s="9"/>
      <c r="AB61" s="176" t="str">
        <f ca="1">IF(DataColumns[[#This Row],[ColumnType]]="ResultValue",IF(MAX(INDIRECT(CONCATENATE("R",ROW(DataColumns[#Headers]),"C",COLUMN(),":R",ROW()-1,"C",COLUMN()),FALSE))=0,1,MAX(INDIRECT(CONCATENATE("R",ROW(DataColumns[#Headers]),"C",COLUMN(),":R",ROW()-1,"C",COLUMN()),FALSE))+1),"")</f>
        <v/>
      </c>
      <c r="AC61" s="125" t="str">
        <f>IF(DataColumns[[#This Row],[ColumnType]]="ResultValue",CONCATENATE(DataColumns[[#This Row],[ColumnType]],DataColumns[[#This Row],[ColumnLabel]]),CONCATENATE(DataColumns[[#This Row],[ColumnType]],DataColumns[[#This Row],[AppliesToColumn]]))</f>
        <v/>
      </c>
    </row>
    <row r="62" spans="1:29">
      <c r="A62" s="46" t="str">
        <f ca="1">IF(COUNTA(DataColumns[[#This Row],[ColumnLabel]:[QualityCodeCV]])&gt;0,IF(MAX(INDIRECT(CONCATENATE("R",ROW(DataColumns[#Headers]),"C",COLUMN(),":R",ROW()-1,"C",COLUMN()),FALSE))=0,1,MAX(INDIRECT(CONCATENATE("R",ROW(DataColumns[#Headers]),"C",COLUMN(),":R",ROW()-1,"C",COLUMN()),FALSE))+1),"")</f>
        <v/>
      </c>
      <c r="B62" s="104"/>
      <c r="C62" s="9"/>
      <c r="D62" s="154"/>
      <c r="E62" s="159"/>
      <c r="F62" s="138"/>
      <c r="G62" s="8"/>
      <c r="H62" s="9"/>
      <c r="I62" s="9"/>
      <c r="J62" s="9"/>
      <c r="K62" s="33"/>
      <c r="L62" s="9"/>
      <c r="M62" s="132"/>
      <c r="N62" s="104"/>
      <c r="O62" s="8"/>
      <c r="P62" s="9"/>
      <c r="Q62" s="9"/>
      <c r="R62" s="20"/>
      <c r="S62" s="20"/>
      <c r="T62" s="9"/>
      <c r="U62" s="9"/>
      <c r="V62" s="9"/>
      <c r="W62" s="9"/>
      <c r="X62" s="20"/>
      <c r="Y62" s="9"/>
      <c r="Z62" s="9"/>
      <c r="AA62" s="9"/>
      <c r="AB62" s="176" t="str">
        <f ca="1">IF(DataColumns[[#This Row],[ColumnType]]="ResultValue",IF(MAX(INDIRECT(CONCATENATE("R",ROW(DataColumns[#Headers]),"C",COLUMN(),":R",ROW()-1,"C",COLUMN()),FALSE))=0,1,MAX(INDIRECT(CONCATENATE("R",ROW(DataColumns[#Headers]),"C",COLUMN(),":R",ROW()-1,"C",COLUMN()),FALSE))+1),"")</f>
        <v/>
      </c>
      <c r="AC62" s="125" t="str">
        <f>IF(DataColumns[[#This Row],[ColumnType]]="ResultValue",CONCATENATE(DataColumns[[#This Row],[ColumnType]],DataColumns[[#This Row],[ColumnLabel]]),CONCATENATE(DataColumns[[#This Row],[ColumnType]],DataColumns[[#This Row],[AppliesToColumn]]))</f>
        <v/>
      </c>
    </row>
    <row r="63" spans="1:29">
      <c r="A63" s="46" t="str">
        <f ca="1">IF(COUNTA(DataColumns[[#This Row],[ColumnLabel]:[QualityCodeCV]])&gt;0,IF(MAX(INDIRECT(CONCATENATE("R",ROW(DataColumns[#Headers]),"C",COLUMN(),":R",ROW()-1,"C",COLUMN()),FALSE))=0,1,MAX(INDIRECT(CONCATENATE("R",ROW(DataColumns[#Headers]),"C",COLUMN(),":R",ROW()-1,"C",COLUMN()),FALSE))+1),"")</f>
        <v/>
      </c>
      <c r="B63" s="104"/>
      <c r="C63" s="9"/>
      <c r="D63" s="154"/>
      <c r="E63" s="159"/>
      <c r="F63" s="138"/>
      <c r="G63" s="8"/>
      <c r="H63" s="9"/>
      <c r="I63" s="9"/>
      <c r="J63" s="9"/>
      <c r="K63" s="33"/>
      <c r="L63" s="9"/>
      <c r="M63" s="132"/>
      <c r="N63" s="104"/>
      <c r="O63" s="8"/>
      <c r="P63" s="9"/>
      <c r="Q63" s="9"/>
      <c r="R63" s="20"/>
      <c r="S63" s="20"/>
      <c r="T63" s="9"/>
      <c r="U63" s="9"/>
      <c r="V63" s="9"/>
      <c r="W63" s="9"/>
      <c r="X63" s="20"/>
      <c r="Y63" s="9"/>
      <c r="Z63" s="9"/>
      <c r="AA63" s="9"/>
      <c r="AB63" s="176" t="str">
        <f ca="1">IF(DataColumns[[#This Row],[ColumnType]]="ResultValue",IF(MAX(INDIRECT(CONCATENATE("R",ROW(DataColumns[#Headers]),"C",COLUMN(),":R",ROW()-1,"C",COLUMN()),FALSE))=0,1,MAX(INDIRECT(CONCATENATE("R",ROW(DataColumns[#Headers]),"C",COLUMN(),":R",ROW()-1,"C",COLUMN()),FALSE))+1),"")</f>
        <v/>
      </c>
      <c r="AC63" s="125" t="str">
        <f>IF(DataColumns[[#This Row],[ColumnType]]="ResultValue",CONCATENATE(DataColumns[[#This Row],[ColumnType]],DataColumns[[#This Row],[ColumnLabel]]),CONCATENATE(DataColumns[[#This Row],[ColumnType]],DataColumns[[#This Row],[AppliesToColumn]]))</f>
        <v/>
      </c>
    </row>
    <row r="64" spans="1:29">
      <c r="A64" s="46" t="str">
        <f ca="1">IF(COUNTA(DataColumns[[#This Row],[ColumnLabel]:[QualityCodeCV]])&gt;0,IF(MAX(INDIRECT(CONCATENATE("R",ROW(DataColumns[#Headers]),"C",COLUMN(),":R",ROW()-1,"C",COLUMN()),FALSE))=0,1,MAX(INDIRECT(CONCATENATE("R",ROW(DataColumns[#Headers]),"C",COLUMN(),":R",ROW()-1,"C",COLUMN()),FALSE))+1),"")</f>
        <v/>
      </c>
      <c r="B64" s="104"/>
      <c r="C64" s="9"/>
      <c r="D64" s="154"/>
      <c r="E64" s="159"/>
      <c r="F64" s="138"/>
      <c r="G64" s="8"/>
      <c r="H64" s="9"/>
      <c r="I64" s="9"/>
      <c r="J64" s="9"/>
      <c r="K64" s="33"/>
      <c r="L64" s="9"/>
      <c r="M64" s="132"/>
      <c r="N64" s="104"/>
      <c r="O64" s="8"/>
      <c r="P64" s="9"/>
      <c r="Q64" s="9"/>
      <c r="R64" s="20"/>
      <c r="S64" s="20"/>
      <c r="T64" s="9"/>
      <c r="U64" s="9"/>
      <c r="V64" s="9"/>
      <c r="W64" s="9"/>
      <c r="X64" s="20"/>
      <c r="Y64" s="9"/>
      <c r="Z64" s="9"/>
      <c r="AA64" s="9"/>
      <c r="AB64" s="176" t="str">
        <f ca="1">IF(DataColumns[[#This Row],[ColumnType]]="ResultValue",IF(MAX(INDIRECT(CONCATENATE("R",ROW(DataColumns[#Headers]),"C",COLUMN(),":R",ROW()-1,"C",COLUMN()),FALSE))=0,1,MAX(INDIRECT(CONCATENATE("R",ROW(DataColumns[#Headers]),"C",COLUMN(),":R",ROW()-1,"C",COLUMN()),FALSE))+1),"")</f>
        <v/>
      </c>
      <c r="AC64" s="125" t="str">
        <f>IF(DataColumns[[#This Row],[ColumnType]]="ResultValue",CONCATENATE(DataColumns[[#This Row],[ColumnType]],DataColumns[[#This Row],[ColumnLabel]]),CONCATENATE(DataColumns[[#This Row],[ColumnType]],DataColumns[[#This Row],[AppliesToColumn]]))</f>
        <v/>
      </c>
    </row>
    <row r="65" spans="1:29">
      <c r="A65" s="46" t="str">
        <f ca="1">IF(COUNTA(DataColumns[[#This Row],[ColumnLabel]:[QualityCodeCV]])&gt;0,IF(MAX(INDIRECT(CONCATENATE("R",ROW(DataColumns[#Headers]),"C",COLUMN(),":R",ROW()-1,"C",COLUMN()),FALSE))=0,1,MAX(INDIRECT(CONCATENATE("R",ROW(DataColumns[#Headers]),"C",COLUMN(),":R",ROW()-1,"C",COLUMN()),FALSE))+1),"")</f>
        <v/>
      </c>
      <c r="B65" s="104"/>
      <c r="C65" s="9"/>
      <c r="D65" s="154"/>
      <c r="E65" s="159"/>
      <c r="F65" s="138"/>
      <c r="G65" s="8"/>
      <c r="H65" s="9"/>
      <c r="I65" s="9"/>
      <c r="J65" s="9"/>
      <c r="K65" s="33"/>
      <c r="L65" s="9"/>
      <c r="M65" s="132"/>
      <c r="N65" s="104"/>
      <c r="O65" s="8"/>
      <c r="P65" s="9"/>
      <c r="Q65" s="9"/>
      <c r="R65" s="20"/>
      <c r="S65" s="20"/>
      <c r="T65" s="9"/>
      <c r="U65" s="9"/>
      <c r="V65" s="9"/>
      <c r="W65" s="9"/>
      <c r="X65" s="20"/>
      <c r="Y65" s="9"/>
      <c r="Z65" s="9"/>
      <c r="AA65" s="9"/>
      <c r="AB65" s="176" t="str">
        <f ca="1">IF(DataColumns[[#This Row],[ColumnType]]="ResultValue",IF(MAX(INDIRECT(CONCATENATE("R",ROW(DataColumns[#Headers]),"C",COLUMN(),":R",ROW()-1,"C",COLUMN()),FALSE))=0,1,MAX(INDIRECT(CONCATENATE("R",ROW(DataColumns[#Headers]),"C",COLUMN(),":R",ROW()-1,"C",COLUMN()),FALSE))+1),"")</f>
        <v/>
      </c>
      <c r="AC65" s="125" t="str">
        <f>IF(DataColumns[[#This Row],[ColumnType]]="ResultValue",CONCATENATE(DataColumns[[#This Row],[ColumnType]],DataColumns[[#This Row],[ColumnLabel]]),CONCATENATE(DataColumns[[#This Row],[ColumnType]],DataColumns[[#This Row],[AppliesToColumn]]))</f>
        <v/>
      </c>
    </row>
    <row r="66" spans="1:29">
      <c r="A66" s="46" t="str">
        <f ca="1">IF(COUNTA(DataColumns[[#This Row],[ColumnLabel]:[QualityCodeCV]])&gt;0,IF(MAX(INDIRECT(CONCATENATE("R",ROW(DataColumns[#Headers]),"C",COLUMN(),":R",ROW()-1,"C",COLUMN()),FALSE))=0,1,MAX(INDIRECT(CONCATENATE("R",ROW(DataColumns[#Headers]),"C",COLUMN(),":R",ROW()-1,"C",COLUMN()),FALSE))+1),"")</f>
        <v/>
      </c>
      <c r="B66" s="104"/>
      <c r="C66" s="9"/>
      <c r="D66" s="154"/>
      <c r="E66" s="159"/>
      <c r="F66" s="138"/>
      <c r="G66" s="8"/>
      <c r="H66" s="9"/>
      <c r="I66" s="9"/>
      <c r="J66" s="9"/>
      <c r="K66" s="33"/>
      <c r="L66" s="9"/>
      <c r="M66" s="132"/>
      <c r="N66" s="104"/>
      <c r="O66" s="8"/>
      <c r="P66" s="9"/>
      <c r="Q66" s="9"/>
      <c r="R66" s="20"/>
      <c r="S66" s="20"/>
      <c r="T66" s="9"/>
      <c r="U66" s="9"/>
      <c r="V66" s="9"/>
      <c r="W66" s="9"/>
      <c r="X66" s="20"/>
      <c r="Y66" s="9"/>
      <c r="Z66" s="9"/>
      <c r="AA66" s="9"/>
      <c r="AB66" s="176" t="str">
        <f ca="1">IF(DataColumns[[#This Row],[ColumnType]]="ResultValue",IF(MAX(INDIRECT(CONCATENATE("R",ROW(DataColumns[#Headers]),"C",COLUMN(),":R",ROW()-1,"C",COLUMN()),FALSE))=0,1,MAX(INDIRECT(CONCATENATE("R",ROW(DataColumns[#Headers]),"C",COLUMN(),":R",ROW()-1,"C",COLUMN()),FALSE))+1),"")</f>
        <v/>
      </c>
      <c r="AC66" s="125" t="str">
        <f>IF(DataColumns[[#This Row],[ColumnType]]="ResultValue",CONCATENATE(DataColumns[[#This Row],[ColumnType]],DataColumns[[#This Row],[ColumnLabel]]),CONCATENATE(DataColumns[[#This Row],[ColumnType]],DataColumns[[#This Row],[AppliesToColumn]]))</f>
        <v/>
      </c>
    </row>
    <row r="67" spans="1:29">
      <c r="A67" s="46" t="str">
        <f ca="1">IF(COUNTA(DataColumns[[#This Row],[ColumnLabel]:[QualityCodeCV]])&gt;0,IF(MAX(INDIRECT(CONCATENATE("R",ROW(DataColumns[#Headers]),"C",COLUMN(),":R",ROW()-1,"C",COLUMN()),FALSE))=0,1,MAX(INDIRECT(CONCATENATE("R",ROW(DataColumns[#Headers]),"C",COLUMN(),":R",ROW()-1,"C",COLUMN()),FALSE))+1),"")</f>
        <v/>
      </c>
      <c r="B67" s="104"/>
      <c r="C67" s="9"/>
      <c r="D67" s="154"/>
      <c r="E67" s="159"/>
      <c r="F67" s="138"/>
      <c r="G67" s="8"/>
      <c r="H67" s="9"/>
      <c r="I67" s="9"/>
      <c r="J67" s="9"/>
      <c r="K67" s="33"/>
      <c r="L67" s="9"/>
      <c r="M67" s="132"/>
      <c r="N67" s="104"/>
      <c r="O67" s="8"/>
      <c r="P67" s="9"/>
      <c r="Q67" s="9"/>
      <c r="R67" s="20"/>
      <c r="S67" s="20"/>
      <c r="T67" s="9"/>
      <c r="U67" s="9"/>
      <c r="V67" s="9"/>
      <c r="W67" s="9"/>
      <c r="X67" s="20"/>
      <c r="Y67" s="9"/>
      <c r="Z67" s="9"/>
      <c r="AA67" s="9"/>
      <c r="AB67" s="176" t="str">
        <f ca="1">IF(DataColumns[[#This Row],[ColumnType]]="ResultValue",IF(MAX(INDIRECT(CONCATENATE("R",ROW(DataColumns[#Headers]),"C",COLUMN(),":R",ROW()-1,"C",COLUMN()),FALSE))=0,1,MAX(INDIRECT(CONCATENATE("R",ROW(DataColumns[#Headers]),"C",COLUMN(),":R",ROW()-1,"C",COLUMN()),FALSE))+1),"")</f>
        <v/>
      </c>
      <c r="AC67" s="125" t="str">
        <f>IF(DataColumns[[#This Row],[ColumnType]]="ResultValue",CONCATENATE(DataColumns[[#This Row],[ColumnType]],DataColumns[[#This Row],[ColumnLabel]]),CONCATENATE(DataColumns[[#This Row],[ColumnType]],DataColumns[[#This Row],[AppliesToColumn]]))</f>
        <v/>
      </c>
    </row>
    <row r="68" spans="1:29">
      <c r="A68" s="46" t="str">
        <f ca="1">IF(COUNTA(DataColumns[[#This Row],[ColumnLabel]:[QualityCodeCV]])&gt;0,IF(MAX(INDIRECT(CONCATENATE("R",ROW(DataColumns[#Headers]),"C",COLUMN(),":R",ROW()-1,"C",COLUMN()),FALSE))=0,1,MAX(INDIRECT(CONCATENATE("R",ROW(DataColumns[#Headers]),"C",COLUMN(),":R",ROW()-1,"C",COLUMN()),FALSE))+1),"")</f>
        <v/>
      </c>
      <c r="B68" s="104"/>
      <c r="C68" s="9"/>
      <c r="D68" s="154"/>
      <c r="E68" s="159"/>
      <c r="F68" s="138"/>
      <c r="G68" s="8"/>
      <c r="H68" s="9"/>
      <c r="I68" s="9"/>
      <c r="J68" s="9"/>
      <c r="K68" s="33"/>
      <c r="L68" s="9"/>
      <c r="M68" s="132"/>
      <c r="N68" s="104"/>
      <c r="O68" s="8"/>
      <c r="P68" s="9"/>
      <c r="Q68" s="9"/>
      <c r="R68" s="20"/>
      <c r="S68" s="20"/>
      <c r="T68" s="9"/>
      <c r="U68" s="9"/>
      <c r="V68" s="9"/>
      <c r="W68" s="9"/>
      <c r="X68" s="20"/>
      <c r="Y68" s="9"/>
      <c r="Z68" s="9"/>
      <c r="AA68" s="9"/>
      <c r="AB68" s="176" t="str">
        <f ca="1">IF(DataColumns[[#This Row],[ColumnType]]="ResultValue",IF(MAX(INDIRECT(CONCATENATE("R",ROW(DataColumns[#Headers]),"C",COLUMN(),":R",ROW()-1,"C",COLUMN()),FALSE))=0,1,MAX(INDIRECT(CONCATENATE("R",ROW(DataColumns[#Headers]),"C",COLUMN(),":R",ROW()-1,"C",COLUMN()),FALSE))+1),"")</f>
        <v/>
      </c>
      <c r="AC68" s="125" t="str">
        <f>IF(DataColumns[[#This Row],[ColumnType]]="ResultValue",CONCATENATE(DataColumns[[#This Row],[ColumnType]],DataColumns[[#This Row],[ColumnLabel]]),CONCATENATE(DataColumns[[#This Row],[ColumnType]],DataColumns[[#This Row],[AppliesToColumn]]))</f>
        <v/>
      </c>
    </row>
    <row r="69" spans="1:29">
      <c r="A69" s="46" t="str">
        <f ca="1">IF(COUNTA(DataColumns[[#This Row],[ColumnLabel]:[QualityCodeCV]])&gt;0,IF(MAX(INDIRECT(CONCATENATE("R",ROW(DataColumns[#Headers]),"C",COLUMN(),":R",ROW()-1,"C",COLUMN()),FALSE))=0,1,MAX(INDIRECT(CONCATENATE("R",ROW(DataColumns[#Headers]),"C",COLUMN(),":R",ROW()-1,"C",COLUMN()),FALSE))+1),"")</f>
        <v/>
      </c>
      <c r="B69" s="104"/>
      <c r="C69" s="9"/>
      <c r="D69" s="154"/>
      <c r="E69" s="159"/>
      <c r="F69" s="138"/>
      <c r="G69" s="8"/>
      <c r="H69" s="9"/>
      <c r="I69" s="9"/>
      <c r="J69" s="9"/>
      <c r="K69" s="33"/>
      <c r="L69" s="9"/>
      <c r="M69" s="132"/>
      <c r="N69" s="104"/>
      <c r="O69" s="8"/>
      <c r="P69" s="9"/>
      <c r="Q69" s="9"/>
      <c r="R69" s="20"/>
      <c r="S69" s="20"/>
      <c r="T69" s="9"/>
      <c r="U69" s="9"/>
      <c r="V69" s="9"/>
      <c r="W69" s="9"/>
      <c r="X69" s="20"/>
      <c r="Y69" s="9"/>
      <c r="Z69" s="9"/>
      <c r="AA69" s="9"/>
      <c r="AB69" s="176" t="str">
        <f ca="1">IF(DataColumns[[#This Row],[ColumnType]]="ResultValue",IF(MAX(INDIRECT(CONCATENATE("R",ROW(DataColumns[#Headers]),"C",COLUMN(),":R",ROW()-1,"C",COLUMN()),FALSE))=0,1,MAX(INDIRECT(CONCATENATE("R",ROW(DataColumns[#Headers]),"C",COLUMN(),":R",ROW()-1,"C",COLUMN()),FALSE))+1),"")</f>
        <v/>
      </c>
      <c r="AC69" s="125" t="str">
        <f>IF(DataColumns[[#This Row],[ColumnType]]="ResultValue",CONCATENATE(DataColumns[[#This Row],[ColumnType]],DataColumns[[#This Row],[ColumnLabel]]),CONCATENATE(DataColumns[[#This Row],[ColumnType]],DataColumns[[#This Row],[AppliesToColumn]]))</f>
        <v/>
      </c>
    </row>
    <row r="70" spans="1:29">
      <c r="A70" s="46" t="str">
        <f ca="1">IF(COUNTA(DataColumns[[#This Row],[ColumnLabel]:[QualityCodeCV]])&gt;0,IF(MAX(INDIRECT(CONCATENATE("R",ROW(DataColumns[#Headers]),"C",COLUMN(),":R",ROW()-1,"C",COLUMN()),FALSE))=0,1,MAX(INDIRECT(CONCATENATE("R",ROW(DataColumns[#Headers]),"C",COLUMN(),":R",ROW()-1,"C",COLUMN()),FALSE))+1),"")</f>
        <v/>
      </c>
      <c r="B70" s="104"/>
      <c r="C70" s="9"/>
      <c r="D70" s="154"/>
      <c r="E70" s="159"/>
      <c r="F70" s="138"/>
      <c r="G70" s="8"/>
      <c r="H70" s="9"/>
      <c r="I70" s="9"/>
      <c r="J70" s="9"/>
      <c r="K70" s="33"/>
      <c r="L70" s="9"/>
      <c r="M70" s="132"/>
      <c r="N70" s="104"/>
      <c r="O70" s="8"/>
      <c r="P70" s="9"/>
      <c r="Q70" s="9"/>
      <c r="R70" s="20"/>
      <c r="S70" s="20"/>
      <c r="T70" s="9"/>
      <c r="U70" s="9"/>
      <c r="V70" s="9"/>
      <c r="W70" s="9"/>
      <c r="X70" s="20"/>
      <c r="Y70" s="9"/>
      <c r="Z70" s="9"/>
      <c r="AA70" s="9"/>
      <c r="AB70" s="176" t="str">
        <f ca="1">IF(DataColumns[[#This Row],[ColumnType]]="ResultValue",IF(MAX(INDIRECT(CONCATENATE("R",ROW(DataColumns[#Headers]),"C",COLUMN(),":R",ROW()-1,"C",COLUMN()),FALSE))=0,1,MAX(INDIRECT(CONCATENATE("R",ROW(DataColumns[#Headers]),"C",COLUMN(),":R",ROW()-1,"C",COLUMN()),FALSE))+1),"")</f>
        <v/>
      </c>
      <c r="AC70" s="125" t="str">
        <f>IF(DataColumns[[#This Row],[ColumnType]]="ResultValue",CONCATENATE(DataColumns[[#This Row],[ColumnType]],DataColumns[[#This Row],[ColumnLabel]]),CONCATENATE(DataColumns[[#This Row],[ColumnType]],DataColumns[[#This Row],[AppliesToColumn]]))</f>
        <v/>
      </c>
    </row>
    <row r="71" spans="1:29">
      <c r="A71" s="46" t="str">
        <f ca="1">IF(COUNTA(DataColumns[[#This Row],[ColumnLabel]:[QualityCodeCV]])&gt;0,IF(MAX(INDIRECT(CONCATENATE("R",ROW(DataColumns[#Headers]),"C",COLUMN(),":R",ROW()-1,"C",COLUMN()),FALSE))=0,1,MAX(INDIRECT(CONCATENATE("R",ROW(DataColumns[#Headers]),"C",COLUMN(),":R",ROW()-1,"C",COLUMN()),FALSE))+1),"")</f>
        <v/>
      </c>
      <c r="B71" s="104"/>
      <c r="C71" s="9"/>
      <c r="D71" s="154"/>
      <c r="E71" s="159"/>
      <c r="F71" s="138"/>
      <c r="G71" s="8"/>
      <c r="H71" s="9"/>
      <c r="I71" s="9"/>
      <c r="J71" s="9"/>
      <c r="K71" s="33"/>
      <c r="L71" s="9"/>
      <c r="M71" s="132"/>
      <c r="N71" s="104"/>
      <c r="O71" s="8"/>
      <c r="P71" s="9"/>
      <c r="Q71" s="9"/>
      <c r="R71" s="20"/>
      <c r="S71" s="20"/>
      <c r="T71" s="9"/>
      <c r="U71" s="9"/>
      <c r="V71" s="9"/>
      <c r="W71" s="9"/>
      <c r="X71" s="20"/>
      <c r="Y71" s="9"/>
      <c r="Z71" s="9"/>
      <c r="AA71" s="9"/>
      <c r="AB71" s="176" t="str">
        <f ca="1">IF(DataColumns[[#This Row],[ColumnType]]="ResultValue",IF(MAX(INDIRECT(CONCATENATE("R",ROW(DataColumns[#Headers]),"C",COLUMN(),":R",ROW()-1,"C",COLUMN()),FALSE))=0,1,MAX(INDIRECT(CONCATENATE("R",ROW(DataColumns[#Headers]),"C",COLUMN(),":R",ROW()-1,"C",COLUMN()),FALSE))+1),"")</f>
        <v/>
      </c>
      <c r="AC71" s="125" t="str">
        <f>IF(DataColumns[[#This Row],[ColumnType]]="ResultValue",CONCATENATE(DataColumns[[#This Row],[ColumnType]],DataColumns[[#This Row],[ColumnLabel]]),CONCATENATE(DataColumns[[#This Row],[ColumnType]],DataColumns[[#This Row],[AppliesToColumn]]))</f>
        <v/>
      </c>
    </row>
    <row r="72" spans="1:29">
      <c r="A72" s="46" t="str">
        <f ca="1">IF(COUNTA(DataColumns[[#This Row],[ColumnLabel]:[QualityCodeCV]])&gt;0,IF(MAX(INDIRECT(CONCATENATE("R",ROW(DataColumns[#Headers]),"C",COLUMN(),":R",ROW()-1,"C",COLUMN()),FALSE))=0,1,MAX(INDIRECT(CONCATENATE("R",ROW(DataColumns[#Headers]),"C",COLUMN(),":R",ROW()-1,"C",COLUMN()),FALSE))+1),"")</f>
        <v/>
      </c>
      <c r="B72" s="104"/>
      <c r="C72" s="9"/>
      <c r="D72" s="154"/>
      <c r="E72" s="159"/>
      <c r="F72" s="138"/>
      <c r="G72" s="8"/>
      <c r="H72" s="9"/>
      <c r="I72" s="9"/>
      <c r="J72" s="9"/>
      <c r="K72" s="33"/>
      <c r="L72" s="9"/>
      <c r="M72" s="132"/>
      <c r="N72" s="104"/>
      <c r="O72" s="8"/>
      <c r="P72" s="9"/>
      <c r="Q72" s="9"/>
      <c r="R72" s="20"/>
      <c r="S72" s="20"/>
      <c r="T72" s="9"/>
      <c r="U72" s="9"/>
      <c r="V72" s="9"/>
      <c r="W72" s="9"/>
      <c r="X72" s="20"/>
      <c r="Y72" s="9"/>
      <c r="Z72" s="9"/>
      <c r="AA72" s="9"/>
      <c r="AB72" s="176" t="str">
        <f ca="1">IF(DataColumns[[#This Row],[ColumnType]]="ResultValue",IF(MAX(INDIRECT(CONCATENATE("R",ROW(DataColumns[#Headers]),"C",COLUMN(),":R",ROW()-1,"C",COLUMN()),FALSE))=0,1,MAX(INDIRECT(CONCATENATE("R",ROW(DataColumns[#Headers]),"C",COLUMN(),":R",ROW()-1,"C",COLUMN()),FALSE))+1),"")</f>
        <v/>
      </c>
      <c r="AC72" s="125" t="str">
        <f>IF(DataColumns[[#This Row],[ColumnType]]="ResultValue",CONCATENATE(DataColumns[[#This Row],[ColumnType]],DataColumns[[#This Row],[ColumnLabel]]),CONCATENATE(DataColumns[[#This Row],[ColumnType]],DataColumns[[#This Row],[AppliesToColumn]]))</f>
        <v/>
      </c>
    </row>
    <row r="73" spans="1:29">
      <c r="A73" s="46" t="str">
        <f ca="1">IF(COUNTA(DataColumns[[#This Row],[ColumnLabel]:[QualityCodeCV]])&gt;0,IF(MAX(INDIRECT(CONCATENATE("R",ROW(DataColumns[#Headers]),"C",COLUMN(),":R",ROW()-1,"C",COLUMN()),FALSE))=0,1,MAX(INDIRECT(CONCATENATE("R",ROW(DataColumns[#Headers]),"C",COLUMN(),":R",ROW()-1,"C",COLUMN()),FALSE))+1),"")</f>
        <v/>
      </c>
      <c r="B73" s="104"/>
      <c r="C73" s="9"/>
      <c r="D73" s="154"/>
      <c r="E73" s="159"/>
      <c r="F73" s="138"/>
      <c r="G73" s="8"/>
      <c r="H73" s="9"/>
      <c r="I73" s="9"/>
      <c r="J73" s="9"/>
      <c r="K73" s="33"/>
      <c r="L73" s="9"/>
      <c r="M73" s="132"/>
      <c r="N73" s="104"/>
      <c r="O73" s="8"/>
      <c r="P73" s="9"/>
      <c r="Q73" s="9"/>
      <c r="R73" s="20"/>
      <c r="S73" s="20"/>
      <c r="T73" s="9"/>
      <c r="U73" s="9"/>
      <c r="V73" s="9"/>
      <c r="W73" s="9"/>
      <c r="X73" s="20"/>
      <c r="Y73" s="9"/>
      <c r="Z73" s="9"/>
      <c r="AA73" s="9"/>
      <c r="AB73" s="176" t="str">
        <f ca="1">IF(DataColumns[[#This Row],[ColumnType]]="ResultValue",IF(MAX(INDIRECT(CONCATENATE("R",ROW(DataColumns[#Headers]),"C",COLUMN(),":R",ROW()-1,"C",COLUMN()),FALSE))=0,1,MAX(INDIRECT(CONCATENATE("R",ROW(DataColumns[#Headers]),"C",COLUMN(),":R",ROW()-1,"C",COLUMN()),FALSE))+1),"")</f>
        <v/>
      </c>
      <c r="AC73" s="125" t="str">
        <f>IF(DataColumns[[#This Row],[ColumnType]]="ResultValue",CONCATENATE(DataColumns[[#This Row],[ColumnType]],DataColumns[[#This Row],[ColumnLabel]]),CONCATENATE(DataColumns[[#This Row],[ColumnType]],DataColumns[[#This Row],[AppliesToColumn]]))</f>
        <v/>
      </c>
    </row>
    <row r="74" spans="1:29">
      <c r="A74" s="46" t="str">
        <f ca="1">IF(COUNTA(DataColumns[[#This Row],[ColumnLabel]:[QualityCodeCV]])&gt;0,IF(MAX(INDIRECT(CONCATENATE("R",ROW(DataColumns[#Headers]),"C",COLUMN(),":R",ROW()-1,"C",COLUMN()),FALSE))=0,1,MAX(INDIRECT(CONCATENATE("R",ROW(DataColumns[#Headers]),"C",COLUMN(),":R",ROW()-1,"C",COLUMN()),FALSE))+1),"")</f>
        <v/>
      </c>
      <c r="B74" s="104"/>
      <c r="C74" s="9"/>
      <c r="D74" s="154"/>
      <c r="E74" s="159"/>
      <c r="F74" s="138"/>
      <c r="G74" s="8"/>
      <c r="H74" s="9"/>
      <c r="I74" s="9"/>
      <c r="J74" s="9"/>
      <c r="K74" s="33"/>
      <c r="L74" s="9"/>
      <c r="M74" s="132"/>
      <c r="N74" s="104"/>
      <c r="O74" s="8"/>
      <c r="P74" s="9"/>
      <c r="Q74" s="9"/>
      <c r="R74" s="20"/>
      <c r="S74" s="20"/>
      <c r="T74" s="9"/>
      <c r="U74" s="9"/>
      <c r="V74" s="9"/>
      <c r="W74" s="9"/>
      <c r="X74" s="20"/>
      <c r="Y74" s="9"/>
      <c r="Z74" s="9"/>
      <c r="AA74" s="9"/>
      <c r="AB74" s="176" t="str">
        <f ca="1">IF(DataColumns[[#This Row],[ColumnType]]="ResultValue",IF(MAX(INDIRECT(CONCATENATE("R",ROW(DataColumns[#Headers]),"C",COLUMN(),":R",ROW()-1,"C",COLUMN()),FALSE))=0,1,MAX(INDIRECT(CONCATENATE("R",ROW(DataColumns[#Headers]),"C",COLUMN(),":R",ROW()-1,"C",COLUMN()),FALSE))+1),"")</f>
        <v/>
      </c>
      <c r="AC74" s="125" t="str">
        <f>IF(DataColumns[[#This Row],[ColumnType]]="ResultValue",CONCATENATE(DataColumns[[#This Row],[ColumnType]],DataColumns[[#This Row],[ColumnLabel]]),CONCATENATE(DataColumns[[#This Row],[ColumnType]],DataColumns[[#This Row],[AppliesToColumn]]))</f>
        <v/>
      </c>
    </row>
    <row r="75" spans="1:29">
      <c r="A75" s="46" t="str">
        <f ca="1">IF(COUNTA(DataColumns[[#This Row],[ColumnLabel]:[QualityCodeCV]])&gt;0,IF(MAX(INDIRECT(CONCATENATE("R",ROW(DataColumns[#Headers]),"C",COLUMN(),":R",ROW()-1,"C",COLUMN()),FALSE))=0,1,MAX(INDIRECT(CONCATENATE("R",ROW(DataColumns[#Headers]),"C",COLUMN(),":R",ROW()-1,"C",COLUMN()),FALSE))+1),"")</f>
        <v/>
      </c>
      <c r="B75" s="104"/>
      <c r="C75" s="9"/>
      <c r="D75" s="154"/>
      <c r="E75" s="159"/>
      <c r="F75" s="138"/>
      <c r="G75" s="8"/>
      <c r="H75" s="9"/>
      <c r="I75" s="9"/>
      <c r="J75" s="9"/>
      <c r="K75" s="33"/>
      <c r="L75" s="9"/>
      <c r="M75" s="132"/>
      <c r="N75" s="104"/>
      <c r="O75" s="8"/>
      <c r="P75" s="9"/>
      <c r="Q75" s="9"/>
      <c r="R75" s="20"/>
      <c r="S75" s="20"/>
      <c r="T75" s="9"/>
      <c r="U75" s="9"/>
      <c r="V75" s="9"/>
      <c r="W75" s="9"/>
      <c r="X75" s="20"/>
      <c r="Y75" s="9"/>
      <c r="Z75" s="9"/>
      <c r="AA75" s="9"/>
      <c r="AB75" s="176" t="str">
        <f ca="1">IF(DataColumns[[#This Row],[ColumnType]]="ResultValue",IF(MAX(INDIRECT(CONCATENATE("R",ROW(DataColumns[#Headers]),"C",COLUMN(),":R",ROW()-1,"C",COLUMN()),FALSE))=0,1,MAX(INDIRECT(CONCATENATE("R",ROW(DataColumns[#Headers]),"C",COLUMN(),":R",ROW()-1,"C",COLUMN()),FALSE))+1),"")</f>
        <v/>
      </c>
      <c r="AC75" s="125" t="str">
        <f>IF(DataColumns[[#This Row],[ColumnType]]="ResultValue",CONCATENATE(DataColumns[[#This Row],[ColumnType]],DataColumns[[#This Row],[ColumnLabel]]),CONCATENATE(DataColumns[[#This Row],[ColumnType]],DataColumns[[#This Row],[AppliesToColumn]]))</f>
        <v/>
      </c>
    </row>
    <row r="76" spans="1:29">
      <c r="A76" s="46" t="str">
        <f ca="1">IF(COUNTA(DataColumns[[#This Row],[ColumnLabel]:[QualityCodeCV]])&gt;0,IF(MAX(INDIRECT(CONCATENATE("R",ROW(DataColumns[#Headers]),"C",COLUMN(),":R",ROW()-1,"C",COLUMN()),FALSE))=0,1,MAX(INDIRECT(CONCATENATE("R",ROW(DataColumns[#Headers]),"C",COLUMN(),":R",ROW()-1,"C",COLUMN()),FALSE))+1),"")</f>
        <v/>
      </c>
      <c r="B76" s="104"/>
      <c r="C76" s="9"/>
      <c r="D76" s="154"/>
      <c r="E76" s="159"/>
      <c r="F76" s="138"/>
      <c r="G76" s="8"/>
      <c r="H76" s="9"/>
      <c r="I76" s="9"/>
      <c r="J76" s="9"/>
      <c r="K76" s="33"/>
      <c r="L76" s="9"/>
      <c r="M76" s="132"/>
      <c r="N76" s="104"/>
      <c r="O76" s="8"/>
      <c r="P76" s="9"/>
      <c r="Q76" s="9"/>
      <c r="R76" s="20"/>
      <c r="S76" s="20"/>
      <c r="T76" s="9"/>
      <c r="U76" s="9"/>
      <c r="V76" s="9"/>
      <c r="W76" s="9"/>
      <c r="X76" s="20"/>
      <c r="Y76" s="9"/>
      <c r="Z76" s="9"/>
      <c r="AA76" s="9"/>
      <c r="AB76" s="176" t="str">
        <f ca="1">IF(DataColumns[[#This Row],[ColumnType]]="ResultValue",IF(MAX(INDIRECT(CONCATENATE("R",ROW(DataColumns[#Headers]),"C",COLUMN(),":R",ROW()-1,"C",COLUMN()),FALSE))=0,1,MAX(INDIRECT(CONCATENATE("R",ROW(DataColumns[#Headers]),"C",COLUMN(),":R",ROW()-1,"C",COLUMN()),FALSE))+1),"")</f>
        <v/>
      </c>
      <c r="AC76" s="125" t="str">
        <f>IF(DataColumns[[#This Row],[ColumnType]]="ResultValue",CONCATENATE(DataColumns[[#This Row],[ColumnType]],DataColumns[[#This Row],[ColumnLabel]]),CONCATENATE(DataColumns[[#This Row],[ColumnType]],DataColumns[[#This Row],[AppliesToColumn]]))</f>
        <v/>
      </c>
    </row>
    <row r="77" spans="1:29">
      <c r="A77" s="46" t="str">
        <f ca="1">IF(COUNTA(DataColumns[[#This Row],[ColumnLabel]:[QualityCodeCV]])&gt;0,IF(MAX(INDIRECT(CONCATENATE("R",ROW(DataColumns[#Headers]),"C",COLUMN(),":R",ROW()-1,"C",COLUMN()),FALSE))=0,1,MAX(INDIRECT(CONCATENATE("R",ROW(DataColumns[#Headers]),"C",COLUMN(),":R",ROW()-1,"C",COLUMN()),FALSE))+1),"")</f>
        <v/>
      </c>
      <c r="B77" s="104"/>
      <c r="C77" s="9"/>
      <c r="D77" s="154"/>
      <c r="E77" s="159"/>
      <c r="F77" s="138"/>
      <c r="G77" s="8"/>
      <c r="H77" s="9"/>
      <c r="I77" s="9"/>
      <c r="J77" s="9"/>
      <c r="K77" s="33"/>
      <c r="L77" s="9"/>
      <c r="M77" s="132"/>
      <c r="N77" s="104"/>
      <c r="O77" s="8"/>
      <c r="P77" s="9"/>
      <c r="Q77" s="9"/>
      <c r="R77" s="20"/>
      <c r="S77" s="20"/>
      <c r="T77" s="9"/>
      <c r="U77" s="9"/>
      <c r="V77" s="9"/>
      <c r="W77" s="9"/>
      <c r="X77" s="20"/>
      <c r="Y77" s="9"/>
      <c r="Z77" s="9"/>
      <c r="AA77" s="9"/>
      <c r="AB77" s="176" t="str">
        <f ca="1">IF(DataColumns[[#This Row],[ColumnType]]="ResultValue",IF(MAX(INDIRECT(CONCATENATE("R",ROW(DataColumns[#Headers]),"C",COLUMN(),":R",ROW()-1,"C",COLUMN()),FALSE))=0,1,MAX(INDIRECT(CONCATENATE("R",ROW(DataColumns[#Headers]),"C",COLUMN(),":R",ROW()-1,"C",COLUMN()),FALSE))+1),"")</f>
        <v/>
      </c>
      <c r="AC77" s="125" t="str">
        <f>IF(DataColumns[[#This Row],[ColumnType]]="ResultValue",CONCATENATE(DataColumns[[#This Row],[ColumnType]],DataColumns[[#This Row],[ColumnLabel]]),CONCATENATE(DataColumns[[#This Row],[ColumnType]],DataColumns[[#This Row],[AppliesToColumn]]))</f>
        <v/>
      </c>
    </row>
    <row r="78" spans="1:29">
      <c r="A78" s="46" t="str">
        <f ca="1">IF(COUNTA(DataColumns[[#This Row],[ColumnLabel]:[QualityCodeCV]])&gt;0,IF(MAX(INDIRECT(CONCATENATE("R",ROW(DataColumns[#Headers]),"C",COLUMN(),":R",ROW()-1,"C",COLUMN()),FALSE))=0,1,MAX(INDIRECT(CONCATENATE("R",ROW(DataColumns[#Headers]),"C",COLUMN(),":R",ROW()-1,"C",COLUMN()),FALSE))+1),"")</f>
        <v/>
      </c>
      <c r="B78" s="104"/>
      <c r="C78" s="9"/>
      <c r="D78" s="154"/>
      <c r="E78" s="159"/>
      <c r="F78" s="138"/>
      <c r="G78" s="8"/>
      <c r="H78" s="9"/>
      <c r="I78" s="9"/>
      <c r="J78" s="9"/>
      <c r="K78" s="33"/>
      <c r="L78" s="9"/>
      <c r="M78" s="132"/>
      <c r="N78" s="104"/>
      <c r="O78" s="8"/>
      <c r="P78" s="9"/>
      <c r="Q78" s="9"/>
      <c r="R78" s="20"/>
      <c r="S78" s="20"/>
      <c r="T78" s="9"/>
      <c r="U78" s="9"/>
      <c r="V78" s="9"/>
      <c r="W78" s="9"/>
      <c r="X78" s="20"/>
      <c r="Y78" s="9"/>
      <c r="Z78" s="9"/>
      <c r="AA78" s="9"/>
      <c r="AB78" s="176" t="str">
        <f ca="1">IF(DataColumns[[#This Row],[ColumnType]]="ResultValue",IF(MAX(INDIRECT(CONCATENATE("R",ROW(DataColumns[#Headers]),"C",COLUMN(),":R",ROW()-1,"C",COLUMN()),FALSE))=0,1,MAX(INDIRECT(CONCATENATE("R",ROW(DataColumns[#Headers]),"C",COLUMN(),":R",ROW()-1,"C",COLUMN()),FALSE))+1),"")</f>
        <v/>
      </c>
      <c r="AC78" s="125" t="str">
        <f>IF(DataColumns[[#This Row],[ColumnType]]="ResultValue",CONCATENATE(DataColumns[[#This Row],[ColumnType]],DataColumns[[#This Row],[ColumnLabel]]),CONCATENATE(DataColumns[[#This Row],[ColumnType]],DataColumns[[#This Row],[AppliesToColumn]]))</f>
        <v/>
      </c>
    </row>
    <row r="79" spans="1:29">
      <c r="A79" s="46" t="str">
        <f ca="1">IF(COUNTA(DataColumns[[#This Row],[ColumnLabel]:[QualityCodeCV]])&gt;0,IF(MAX(INDIRECT(CONCATENATE("R",ROW(DataColumns[#Headers]),"C",COLUMN(),":R",ROW()-1,"C",COLUMN()),FALSE))=0,1,MAX(INDIRECT(CONCATENATE("R",ROW(DataColumns[#Headers]),"C",COLUMN(),":R",ROW()-1,"C",COLUMN()),FALSE))+1),"")</f>
        <v/>
      </c>
      <c r="B79" s="104"/>
      <c r="C79" s="9"/>
      <c r="D79" s="154"/>
      <c r="E79" s="159"/>
      <c r="F79" s="138"/>
      <c r="G79" s="8"/>
      <c r="H79" s="9"/>
      <c r="I79" s="9"/>
      <c r="J79" s="9"/>
      <c r="K79" s="33"/>
      <c r="L79" s="9"/>
      <c r="M79" s="132"/>
      <c r="N79" s="104"/>
      <c r="O79" s="8"/>
      <c r="P79" s="9"/>
      <c r="Q79" s="9"/>
      <c r="R79" s="20"/>
      <c r="S79" s="20"/>
      <c r="T79" s="9"/>
      <c r="U79" s="9"/>
      <c r="V79" s="9"/>
      <c r="W79" s="9"/>
      <c r="X79" s="20"/>
      <c r="Y79" s="9"/>
      <c r="Z79" s="9"/>
      <c r="AA79" s="9"/>
      <c r="AB79" s="176" t="str">
        <f ca="1">IF(DataColumns[[#This Row],[ColumnType]]="ResultValue",IF(MAX(INDIRECT(CONCATENATE("R",ROW(DataColumns[#Headers]),"C",COLUMN(),":R",ROW()-1,"C",COLUMN()),FALSE))=0,1,MAX(INDIRECT(CONCATENATE("R",ROW(DataColumns[#Headers]),"C",COLUMN(),":R",ROW()-1,"C",COLUMN()),FALSE))+1),"")</f>
        <v/>
      </c>
      <c r="AC79" s="125" t="str">
        <f>IF(DataColumns[[#This Row],[ColumnType]]="ResultValue",CONCATENATE(DataColumns[[#This Row],[ColumnType]],DataColumns[[#This Row],[ColumnLabel]]),CONCATENATE(DataColumns[[#This Row],[ColumnType]],DataColumns[[#This Row],[AppliesToColumn]]))</f>
        <v/>
      </c>
    </row>
    <row r="80" spans="1:29">
      <c r="A80" s="46" t="str">
        <f ca="1">IF(COUNTA(DataColumns[[#This Row],[ColumnLabel]:[QualityCodeCV]])&gt;0,IF(MAX(INDIRECT(CONCATENATE("R",ROW(DataColumns[#Headers]),"C",COLUMN(),":R",ROW()-1,"C",COLUMN()),FALSE))=0,1,MAX(INDIRECT(CONCATENATE("R",ROW(DataColumns[#Headers]),"C",COLUMN(),":R",ROW()-1,"C",COLUMN()),FALSE))+1),"")</f>
        <v/>
      </c>
      <c r="B80" s="104"/>
      <c r="C80" s="9"/>
      <c r="D80" s="154"/>
      <c r="E80" s="159"/>
      <c r="F80" s="138"/>
      <c r="G80" s="8"/>
      <c r="H80" s="9"/>
      <c r="I80" s="9"/>
      <c r="J80" s="9"/>
      <c r="K80" s="33"/>
      <c r="L80" s="9"/>
      <c r="M80" s="132"/>
      <c r="N80" s="104"/>
      <c r="O80" s="8"/>
      <c r="P80" s="9"/>
      <c r="Q80" s="9"/>
      <c r="R80" s="20"/>
      <c r="S80" s="20"/>
      <c r="T80" s="9"/>
      <c r="U80" s="9"/>
      <c r="V80" s="9"/>
      <c r="W80" s="9"/>
      <c r="X80" s="20"/>
      <c r="Y80" s="9"/>
      <c r="Z80" s="9"/>
      <c r="AA80" s="9"/>
      <c r="AB80" s="176" t="str">
        <f ca="1">IF(DataColumns[[#This Row],[ColumnType]]="ResultValue",IF(MAX(INDIRECT(CONCATENATE("R",ROW(DataColumns[#Headers]),"C",COLUMN(),":R",ROW()-1,"C",COLUMN()),FALSE))=0,1,MAX(INDIRECT(CONCATENATE("R",ROW(DataColumns[#Headers]),"C",COLUMN(),":R",ROW()-1,"C",COLUMN()),FALSE))+1),"")</f>
        <v/>
      </c>
      <c r="AC80" s="125" t="str">
        <f>IF(DataColumns[[#This Row],[ColumnType]]="ResultValue",CONCATENATE(DataColumns[[#This Row],[ColumnType]],DataColumns[[#This Row],[ColumnLabel]]),CONCATENATE(DataColumns[[#This Row],[ColumnType]],DataColumns[[#This Row],[AppliesToColumn]]))</f>
        <v/>
      </c>
    </row>
    <row r="81" spans="1:29">
      <c r="A81" s="46" t="str">
        <f ca="1">IF(COUNTA(DataColumns[[#This Row],[ColumnLabel]:[QualityCodeCV]])&gt;0,IF(MAX(INDIRECT(CONCATENATE("R",ROW(DataColumns[#Headers]),"C",COLUMN(),":R",ROW()-1,"C",COLUMN()),FALSE))=0,1,MAX(INDIRECT(CONCATENATE("R",ROW(DataColumns[#Headers]),"C",COLUMN(),":R",ROW()-1,"C",COLUMN()),FALSE))+1),"")</f>
        <v/>
      </c>
      <c r="B81" s="104"/>
      <c r="C81" s="9"/>
      <c r="D81" s="154"/>
      <c r="E81" s="159"/>
      <c r="F81" s="138"/>
      <c r="G81" s="8"/>
      <c r="H81" s="9"/>
      <c r="I81" s="9"/>
      <c r="J81" s="9"/>
      <c r="K81" s="33"/>
      <c r="L81" s="9"/>
      <c r="M81" s="132"/>
      <c r="N81" s="104"/>
      <c r="O81" s="8"/>
      <c r="P81" s="9"/>
      <c r="Q81" s="9"/>
      <c r="R81" s="20"/>
      <c r="S81" s="20"/>
      <c r="T81" s="9"/>
      <c r="U81" s="9"/>
      <c r="V81" s="9"/>
      <c r="W81" s="9"/>
      <c r="X81" s="20"/>
      <c r="Y81" s="9"/>
      <c r="Z81" s="9"/>
      <c r="AA81" s="9"/>
      <c r="AB81" s="176" t="str">
        <f ca="1">IF(DataColumns[[#This Row],[ColumnType]]="ResultValue",IF(MAX(INDIRECT(CONCATENATE("R",ROW(DataColumns[#Headers]),"C",COLUMN(),":R",ROW()-1,"C",COLUMN()),FALSE))=0,1,MAX(INDIRECT(CONCATENATE("R",ROW(DataColumns[#Headers]),"C",COLUMN(),":R",ROW()-1,"C",COLUMN()),FALSE))+1),"")</f>
        <v/>
      </c>
      <c r="AC81" s="125" t="str">
        <f>IF(DataColumns[[#This Row],[ColumnType]]="ResultValue",CONCATENATE(DataColumns[[#This Row],[ColumnType]],DataColumns[[#This Row],[ColumnLabel]]),CONCATENATE(DataColumns[[#This Row],[ColumnType]],DataColumns[[#This Row],[AppliesToColumn]]))</f>
        <v/>
      </c>
    </row>
    <row r="82" spans="1:29">
      <c r="A82" s="46" t="str">
        <f ca="1">IF(COUNTA(DataColumns[[#This Row],[ColumnLabel]:[QualityCodeCV]])&gt;0,IF(MAX(INDIRECT(CONCATENATE("R",ROW(DataColumns[#Headers]),"C",COLUMN(),":R",ROW()-1,"C",COLUMN()),FALSE))=0,1,MAX(INDIRECT(CONCATENATE("R",ROW(DataColumns[#Headers]),"C",COLUMN(),":R",ROW()-1,"C",COLUMN()),FALSE))+1),"")</f>
        <v/>
      </c>
      <c r="B82" s="104"/>
      <c r="C82" s="9"/>
      <c r="D82" s="154"/>
      <c r="E82" s="159"/>
      <c r="F82" s="138"/>
      <c r="G82" s="8"/>
      <c r="H82" s="9"/>
      <c r="I82" s="9"/>
      <c r="J82" s="9"/>
      <c r="K82" s="33"/>
      <c r="L82" s="9"/>
      <c r="M82" s="132"/>
      <c r="N82" s="104"/>
      <c r="O82" s="8"/>
      <c r="P82" s="9"/>
      <c r="Q82" s="9"/>
      <c r="R82" s="20"/>
      <c r="S82" s="20"/>
      <c r="T82" s="9"/>
      <c r="U82" s="9"/>
      <c r="V82" s="9"/>
      <c r="W82" s="9"/>
      <c r="X82" s="20"/>
      <c r="Y82" s="9"/>
      <c r="Z82" s="9"/>
      <c r="AA82" s="9"/>
      <c r="AB82" s="176" t="str">
        <f ca="1">IF(DataColumns[[#This Row],[ColumnType]]="ResultValue",IF(MAX(INDIRECT(CONCATENATE("R",ROW(DataColumns[#Headers]),"C",COLUMN(),":R",ROW()-1,"C",COLUMN()),FALSE))=0,1,MAX(INDIRECT(CONCATENATE("R",ROW(DataColumns[#Headers]),"C",COLUMN(),":R",ROW()-1,"C",COLUMN()),FALSE))+1),"")</f>
        <v/>
      </c>
      <c r="AC82" s="125" t="str">
        <f>IF(DataColumns[[#This Row],[ColumnType]]="ResultValue",CONCATENATE(DataColumns[[#This Row],[ColumnType]],DataColumns[[#This Row],[ColumnLabel]]),CONCATENATE(DataColumns[[#This Row],[ColumnType]],DataColumns[[#This Row],[AppliesToColumn]]))</f>
        <v/>
      </c>
    </row>
    <row r="83" spans="1:29">
      <c r="A83" s="46" t="str">
        <f ca="1">IF(COUNTA(DataColumns[[#This Row],[ColumnLabel]:[QualityCodeCV]])&gt;0,IF(MAX(INDIRECT(CONCATENATE("R",ROW(DataColumns[#Headers]),"C",COLUMN(),":R",ROW()-1,"C",COLUMN()),FALSE))=0,1,MAX(INDIRECT(CONCATENATE("R",ROW(DataColumns[#Headers]),"C",COLUMN(),":R",ROW()-1,"C",COLUMN()),FALSE))+1),"")</f>
        <v/>
      </c>
      <c r="B83" s="104"/>
      <c r="C83" s="9"/>
      <c r="D83" s="154"/>
      <c r="E83" s="159"/>
      <c r="F83" s="138"/>
      <c r="G83" s="8"/>
      <c r="H83" s="9"/>
      <c r="I83" s="9"/>
      <c r="J83" s="9"/>
      <c r="K83" s="33"/>
      <c r="L83" s="9"/>
      <c r="M83" s="132"/>
      <c r="N83" s="104"/>
      <c r="O83" s="8"/>
      <c r="P83" s="9"/>
      <c r="Q83" s="9"/>
      <c r="R83" s="20"/>
      <c r="S83" s="20"/>
      <c r="T83" s="9"/>
      <c r="U83" s="9"/>
      <c r="V83" s="9"/>
      <c r="W83" s="9"/>
      <c r="X83" s="20"/>
      <c r="Y83" s="9"/>
      <c r="Z83" s="9"/>
      <c r="AA83" s="9"/>
      <c r="AB83" s="176" t="str">
        <f ca="1">IF(DataColumns[[#This Row],[ColumnType]]="ResultValue",IF(MAX(INDIRECT(CONCATENATE("R",ROW(DataColumns[#Headers]),"C",COLUMN(),":R",ROW()-1,"C",COLUMN()),FALSE))=0,1,MAX(INDIRECT(CONCATENATE("R",ROW(DataColumns[#Headers]),"C",COLUMN(),":R",ROW()-1,"C",COLUMN()),FALSE))+1),"")</f>
        <v/>
      </c>
      <c r="AC83" s="125" t="str">
        <f>IF(DataColumns[[#This Row],[ColumnType]]="ResultValue",CONCATENATE(DataColumns[[#This Row],[ColumnType]],DataColumns[[#This Row],[ColumnLabel]]),CONCATENATE(DataColumns[[#This Row],[ColumnType]],DataColumns[[#This Row],[AppliesToColumn]]))</f>
        <v/>
      </c>
    </row>
    <row r="84" spans="1:29">
      <c r="A84" s="46" t="str">
        <f ca="1">IF(COUNTA(DataColumns[[#This Row],[ColumnLabel]:[QualityCodeCV]])&gt;0,IF(MAX(INDIRECT(CONCATENATE("R",ROW(DataColumns[#Headers]),"C",COLUMN(),":R",ROW()-1,"C",COLUMN()),FALSE))=0,1,MAX(INDIRECT(CONCATENATE("R",ROW(DataColumns[#Headers]),"C",COLUMN(),":R",ROW()-1,"C",COLUMN()),FALSE))+1),"")</f>
        <v/>
      </c>
      <c r="B84" s="104"/>
      <c r="C84" s="9"/>
      <c r="D84" s="154"/>
      <c r="E84" s="159"/>
      <c r="F84" s="138"/>
      <c r="G84" s="8"/>
      <c r="H84" s="9"/>
      <c r="I84" s="9"/>
      <c r="J84" s="9"/>
      <c r="K84" s="33"/>
      <c r="L84" s="9"/>
      <c r="M84" s="132"/>
      <c r="N84" s="104"/>
      <c r="O84" s="8"/>
      <c r="P84" s="9"/>
      <c r="Q84" s="9"/>
      <c r="R84" s="20"/>
      <c r="S84" s="20"/>
      <c r="T84" s="9"/>
      <c r="U84" s="9"/>
      <c r="V84" s="9"/>
      <c r="W84" s="9"/>
      <c r="X84" s="20"/>
      <c r="Y84" s="9"/>
      <c r="Z84" s="9"/>
      <c r="AA84" s="9"/>
      <c r="AB84" s="176" t="str">
        <f ca="1">IF(DataColumns[[#This Row],[ColumnType]]="ResultValue",IF(MAX(INDIRECT(CONCATENATE("R",ROW(DataColumns[#Headers]),"C",COLUMN(),":R",ROW()-1,"C",COLUMN()),FALSE))=0,1,MAX(INDIRECT(CONCATENATE("R",ROW(DataColumns[#Headers]),"C",COLUMN(),":R",ROW()-1,"C",COLUMN()),FALSE))+1),"")</f>
        <v/>
      </c>
      <c r="AC84" s="125" t="str">
        <f>IF(DataColumns[[#This Row],[ColumnType]]="ResultValue",CONCATENATE(DataColumns[[#This Row],[ColumnType]],DataColumns[[#This Row],[ColumnLabel]]),CONCATENATE(DataColumns[[#This Row],[ColumnType]],DataColumns[[#This Row],[AppliesToColumn]]))</f>
        <v/>
      </c>
    </row>
    <row r="85" spans="1:29">
      <c r="A85" s="46" t="str">
        <f ca="1">IF(COUNTA(DataColumns[[#This Row],[ColumnLabel]:[QualityCodeCV]])&gt;0,IF(MAX(INDIRECT(CONCATENATE("R",ROW(DataColumns[#Headers]),"C",COLUMN(),":R",ROW()-1,"C",COLUMN()),FALSE))=0,1,MAX(INDIRECT(CONCATENATE("R",ROW(DataColumns[#Headers]),"C",COLUMN(),":R",ROW()-1,"C",COLUMN()),FALSE))+1),"")</f>
        <v/>
      </c>
      <c r="B85" s="104"/>
      <c r="C85" s="9"/>
      <c r="D85" s="154"/>
      <c r="E85" s="159"/>
      <c r="F85" s="138"/>
      <c r="G85" s="8"/>
      <c r="H85" s="9"/>
      <c r="I85" s="9"/>
      <c r="J85" s="9"/>
      <c r="K85" s="33"/>
      <c r="L85" s="9"/>
      <c r="M85" s="132"/>
      <c r="N85" s="104"/>
      <c r="O85" s="8"/>
      <c r="P85" s="9"/>
      <c r="Q85" s="9"/>
      <c r="R85" s="20"/>
      <c r="S85" s="20"/>
      <c r="T85" s="9"/>
      <c r="U85" s="9"/>
      <c r="V85" s="9"/>
      <c r="W85" s="9"/>
      <c r="X85" s="20"/>
      <c r="Y85" s="9"/>
      <c r="Z85" s="9"/>
      <c r="AA85" s="9"/>
      <c r="AB85" s="176" t="str">
        <f ca="1">IF(DataColumns[[#This Row],[ColumnType]]="ResultValue",IF(MAX(INDIRECT(CONCATENATE("R",ROW(DataColumns[#Headers]),"C",COLUMN(),":R",ROW()-1,"C",COLUMN()),FALSE))=0,1,MAX(INDIRECT(CONCATENATE("R",ROW(DataColumns[#Headers]),"C",COLUMN(),":R",ROW()-1,"C",COLUMN()),FALSE))+1),"")</f>
        <v/>
      </c>
      <c r="AC85" s="125" t="str">
        <f>IF(DataColumns[[#This Row],[ColumnType]]="ResultValue",CONCATENATE(DataColumns[[#This Row],[ColumnType]],DataColumns[[#This Row],[ColumnLabel]]),CONCATENATE(DataColumns[[#This Row],[ColumnType]],DataColumns[[#This Row],[AppliesToColumn]]))</f>
        <v/>
      </c>
    </row>
    <row r="86" spans="1:29">
      <c r="A86" s="46" t="str">
        <f ca="1">IF(COUNTA(DataColumns[[#This Row],[ColumnLabel]:[QualityCodeCV]])&gt;0,IF(MAX(INDIRECT(CONCATENATE("R",ROW(DataColumns[#Headers]),"C",COLUMN(),":R",ROW()-1,"C",COLUMN()),FALSE))=0,1,MAX(INDIRECT(CONCATENATE("R",ROW(DataColumns[#Headers]),"C",COLUMN(),":R",ROW()-1,"C",COLUMN()),FALSE))+1),"")</f>
        <v/>
      </c>
      <c r="B86" s="104"/>
      <c r="C86" s="9"/>
      <c r="D86" s="154"/>
      <c r="E86" s="159"/>
      <c r="F86" s="138"/>
      <c r="G86" s="8"/>
      <c r="H86" s="9"/>
      <c r="I86" s="9"/>
      <c r="J86" s="9"/>
      <c r="K86" s="33"/>
      <c r="L86" s="9"/>
      <c r="M86" s="132"/>
      <c r="N86" s="104"/>
      <c r="O86" s="8"/>
      <c r="P86" s="9"/>
      <c r="Q86" s="9"/>
      <c r="R86" s="20"/>
      <c r="S86" s="20"/>
      <c r="T86" s="9"/>
      <c r="U86" s="9"/>
      <c r="V86" s="9"/>
      <c r="W86" s="9"/>
      <c r="X86" s="20"/>
      <c r="Y86" s="9"/>
      <c r="Z86" s="9"/>
      <c r="AA86" s="9"/>
      <c r="AB86" s="176" t="str">
        <f ca="1">IF(DataColumns[[#This Row],[ColumnType]]="ResultValue",IF(MAX(INDIRECT(CONCATENATE("R",ROW(DataColumns[#Headers]),"C",COLUMN(),":R",ROW()-1,"C",COLUMN()),FALSE))=0,1,MAX(INDIRECT(CONCATENATE("R",ROW(DataColumns[#Headers]),"C",COLUMN(),":R",ROW()-1,"C",COLUMN()),FALSE))+1),"")</f>
        <v/>
      </c>
      <c r="AC86" s="125" t="str">
        <f>IF(DataColumns[[#This Row],[ColumnType]]="ResultValue",CONCATENATE(DataColumns[[#This Row],[ColumnType]],DataColumns[[#This Row],[ColumnLabel]]),CONCATENATE(DataColumns[[#This Row],[ColumnType]],DataColumns[[#This Row],[AppliesToColumn]]))</f>
        <v/>
      </c>
    </row>
    <row r="87" spans="1:29">
      <c r="A87" s="46" t="str">
        <f ca="1">IF(COUNTA(DataColumns[[#This Row],[ColumnLabel]:[QualityCodeCV]])&gt;0,IF(MAX(INDIRECT(CONCATENATE("R",ROW(DataColumns[#Headers]),"C",COLUMN(),":R",ROW()-1,"C",COLUMN()),FALSE))=0,1,MAX(INDIRECT(CONCATENATE("R",ROW(DataColumns[#Headers]),"C",COLUMN(),":R",ROW()-1,"C",COLUMN()),FALSE))+1),"")</f>
        <v/>
      </c>
      <c r="B87" s="104"/>
      <c r="C87" s="9"/>
      <c r="D87" s="154"/>
      <c r="E87" s="159"/>
      <c r="F87" s="138"/>
      <c r="G87" s="8"/>
      <c r="H87" s="9"/>
      <c r="I87" s="9"/>
      <c r="J87" s="9"/>
      <c r="K87" s="33"/>
      <c r="L87" s="9"/>
      <c r="M87" s="132"/>
      <c r="N87" s="104"/>
      <c r="O87" s="8"/>
      <c r="P87" s="9"/>
      <c r="Q87" s="9"/>
      <c r="R87" s="20"/>
      <c r="S87" s="20"/>
      <c r="T87" s="9"/>
      <c r="U87" s="9"/>
      <c r="V87" s="9"/>
      <c r="W87" s="9"/>
      <c r="X87" s="20"/>
      <c r="Y87" s="9"/>
      <c r="Z87" s="9"/>
      <c r="AA87" s="9"/>
      <c r="AB87" s="176" t="str">
        <f ca="1">IF(DataColumns[[#This Row],[ColumnType]]="ResultValue",IF(MAX(INDIRECT(CONCATENATE("R",ROW(DataColumns[#Headers]),"C",COLUMN(),":R",ROW()-1,"C",COLUMN()),FALSE))=0,1,MAX(INDIRECT(CONCATENATE("R",ROW(DataColumns[#Headers]),"C",COLUMN(),":R",ROW()-1,"C",COLUMN()),FALSE))+1),"")</f>
        <v/>
      </c>
      <c r="AC87" s="125" t="str">
        <f>IF(DataColumns[[#This Row],[ColumnType]]="ResultValue",CONCATENATE(DataColumns[[#This Row],[ColumnType]],DataColumns[[#This Row],[ColumnLabel]]),CONCATENATE(DataColumns[[#This Row],[ColumnType]],DataColumns[[#This Row],[AppliesToColumn]]))</f>
        <v/>
      </c>
    </row>
    <row r="88" spans="1:29">
      <c r="A88" s="46" t="str">
        <f ca="1">IF(COUNTA(DataColumns[[#This Row],[ColumnLabel]:[QualityCodeCV]])&gt;0,IF(MAX(INDIRECT(CONCATENATE("R",ROW(DataColumns[#Headers]),"C",COLUMN(),":R",ROW()-1,"C",COLUMN()),FALSE))=0,1,MAX(INDIRECT(CONCATENATE("R",ROW(DataColumns[#Headers]),"C",COLUMN(),":R",ROW()-1,"C",COLUMN()),FALSE))+1),"")</f>
        <v/>
      </c>
      <c r="B88" s="104"/>
      <c r="C88" s="9"/>
      <c r="D88" s="154"/>
      <c r="E88" s="159"/>
      <c r="F88" s="138"/>
      <c r="G88" s="8"/>
      <c r="H88" s="9"/>
      <c r="I88" s="9"/>
      <c r="J88" s="9"/>
      <c r="K88" s="33"/>
      <c r="L88" s="9"/>
      <c r="M88" s="132"/>
      <c r="N88" s="104"/>
      <c r="O88" s="8"/>
      <c r="P88" s="9"/>
      <c r="Q88" s="9"/>
      <c r="R88" s="20"/>
      <c r="S88" s="20"/>
      <c r="T88" s="9"/>
      <c r="U88" s="9"/>
      <c r="V88" s="9"/>
      <c r="W88" s="9"/>
      <c r="X88" s="20"/>
      <c r="Y88" s="9"/>
      <c r="Z88" s="9"/>
      <c r="AA88" s="9"/>
      <c r="AB88" s="176" t="str">
        <f ca="1">IF(DataColumns[[#This Row],[ColumnType]]="ResultValue",IF(MAX(INDIRECT(CONCATENATE("R",ROW(DataColumns[#Headers]),"C",COLUMN(),":R",ROW()-1,"C",COLUMN()),FALSE))=0,1,MAX(INDIRECT(CONCATENATE("R",ROW(DataColumns[#Headers]),"C",COLUMN(),":R",ROW()-1,"C",COLUMN()),FALSE))+1),"")</f>
        <v/>
      </c>
      <c r="AC88" s="125" t="str">
        <f>IF(DataColumns[[#This Row],[ColumnType]]="ResultValue",CONCATENATE(DataColumns[[#This Row],[ColumnType]],DataColumns[[#This Row],[ColumnLabel]]),CONCATENATE(DataColumns[[#This Row],[ColumnType]],DataColumns[[#This Row],[AppliesToColumn]]))</f>
        <v/>
      </c>
    </row>
    <row r="89" spans="1:29">
      <c r="A89" s="46" t="str">
        <f ca="1">IF(COUNTA(DataColumns[[#This Row],[ColumnLabel]:[QualityCodeCV]])&gt;0,IF(MAX(INDIRECT(CONCATENATE("R",ROW(DataColumns[#Headers]),"C",COLUMN(),":R",ROW()-1,"C",COLUMN()),FALSE))=0,1,MAX(INDIRECT(CONCATENATE("R",ROW(DataColumns[#Headers]),"C",COLUMN(),":R",ROW()-1,"C",COLUMN()),FALSE))+1),"")</f>
        <v/>
      </c>
      <c r="B89" s="104"/>
      <c r="C89" s="9"/>
      <c r="D89" s="154"/>
      <c r="E89" s="159"/>
      <c r="F89" s="138"/>
      <c r="G89" s="8"/>
      <c r="H89" s="9"/>
      <c r="I89" s="9"/>
      <c r="J89" s="9"/>
      <c r="K89" s="33"/>
      <c r="L89" s="9"/>
      <c r="M89" s="132"/>
      <c r="N89" s="104"/>
      <c r="O89" s="8"/>
      <c r="P89" s="9"/>
      <c r="Q89" s="9"/>
      <c r="R89" s="20"/>
      <c r="S89" s="20"/>
      <c r="T89" s="9"/>
      <c r="U89" s="9"/>
      <c r="V89" s="9"/>
      <c r="W89" s="9"/>
      <c r="X89" s="20"/>
      <c r="Y89" s="9"/>
      <c r="Z89" s="9"/>
      <c r="AA89" s="9"/>
      <c r="AB89" s="176" t="str">
        <f ca="1">IF(DataColumns[[#This Row],[ColumnType]]="ResultValue",IF(MAX(INDIRECT(CONCATENATE("R",ROW(DataColumns[#Headers]),"C",COLUMN(),":R",ROW()-1,"C",COLUMN()),FALSE))=0,1,MAX(INDIRECT(CONCATENATE("R",ROW(DataColumns[#Headers]),"C",COLUMN(),":R",ROW()-1,"C",COLUMN()),FALSE))+1),"")</f>
        <v/>
      </c>
      <c r="AC89" s="125" t="str">
        <f>IF(DataColumns[[#This Row],[ColumnType]]="ResultValue",CONCATENATE(DataColumns[[#This Row],[ColumnType]],DataColumns[[#This Row],[ColumnLabel]]),CONCATENATE(DataColumns[[#This Row],[ColumnType]],DataColumns[[#This Row],[AppliesToColumn]]))</f>
        <v/>
      </c>
    </row>
    <row r="90" spans="1:29">
      <c r="A90" s="46" t="str">
        <f ca="1">IF(COUNTA(DataColumns[[#This Row],[ColumnLabel]:[QualityCodeCV]])&gt;0,IF(MAX(INDIRECT(CONCATENATE("R",ROW(DataColumns[#Headers]),"C",COLUMN(),":R",ROW()-1,"C",COLUMN()),FALSE))=0,1,MAX(INDIRECT(CONCATENATE("R",ROW(DataColumns[#Headers]),"C",COLUMN(),":R",ROW()-1,"C",COLUMN()),FALSE))+1),"")</f>
        <v/>
      </c>
      <c r="B90" s="104"/>
      <c r="C90" s="9"/>
      <c r="D90" s="154"/>
      <c r="E90" s="159"/>
      <c r="F90" s="138"/>
      <c r="G90" s="8"/>
      <c r="H90" s="9"/>
      <c r="I90" s="9"/>
      <c r="J90" s="9"/>
      <c r="K90" s="33"/>
      <c r="L90" s="9"/>
      <c r="M90" s="132"/>
      <c r="N90" s="104"/>
      <c r="O90" s="8"/>
      <c r="P90" s="9"/>
      <c r="Q90" s="9"/>
      <c r="R90" s="20"/>
      <c r="S90" s="20"/>
      <c r="T90" s="9"/>
      <c r="U90" s="9"/>
      <c r="V90" s="9"/>
      <c r="W90" s="9"/>
      <c r="X90" s="20"/>
      <c r="Y90" s="9"/>
      <c r="Z90" s="9"/>
      <c r="AA90" s="9"/>
      <c r="AB90" s="176" t="str">
        <f ca="1">IF(DataColumns[[#This Row],[ColumnType]]="ResultValue",IF(MAX(INDIRECT(CONCATENATE("R",ROW(DataColumns[#Headers]),"C",COLUMN(),":R",ROW()-1,"C",COLUMN()),FALSE))=0,1,MAX(INDIRECT(CONCATENATE("R",ROW(DataColumns[#Headers]),"C",COLUMN(),":R",ROW()-1,"C",COLUMN()),FALSE))+1),"")</f>
        <v/>
      </c>
      <c r="AC90" s="125" t="str">
        <f>IF(DataColumns[[#This Row],[ColumnType]]="ResultValue",CONCATENATE(DataColumns[[#This Row],[ColumnType]],DataColumns[[#This Row],[ColumnLabel]]),CONCATENATE(DataColumns[[#This Row],[ColumnType]],DataColumns[[#This Row],[AppliesToColumn]]))</f>
        <v/>
      </c>
    </row>
    <row r="91" spans="1:29">
      <c r="A91" s="46" t="str">
        <f ca="1">IF(COUNTA(DataColumns[[#This Row],[ColumnLabel]:[QualityCodeCV]])&gt;0,IF(MAX(INDIRECT(CONCATENATE("R",ROW(DataColumns[#Headers]),"C",COLUMN(),":R",ROW()-1,"C",COLUMN()),FALSE))=0,1,MAX(INDIRECT(CONCATENATE("R",ROW(DataColumns[#Headers]),"C",COLUMN(),":R",ROW()-1,"C",COLUMN()),FALSE))+1),"")</f>
        <v/>
      </c>
      <c r="B91" s="104"/>
      <c r="C91" s="9"/>
      <c r="D91" s="154"/>
      <c r="E91" s="159"/>
      <c r="F91" s="138"/>
      <c r="G91" s="8"/>
      <c r="H91" s="9"/>
      <c r="I91" s="9"/>
      <c r="J91" s="9"/>
      <c r="K91" s="33"/>
      <c r="L91" s="9"/>
      <c r="M91" s="132"/>
      <c r="N91" s="104"/>
      <c r="O91" s="8"/>
      <c r="P91" s="9"/>
      <c r="Q91" s="9"/>
      <c r="R91" s="20"/>
      <c r="S91" s="20"/>
      <c r="T91" s="9"/>
      <c r="U91" s="9"/>
      <c r="V91" s="9"/>
      <c r="W91" s="9"/>
      <c r="X91" s="20"/>
      <c r="Y91" s="9"/>
      <c r="Z91" s="9"/>
      <c r="AA91" s="9"/>
      <c r="AB91" s="176" t="str">
        <f ca="1">IF(DataColumns[[#This Row],[ColumnType]]="ResultValue",IF(MAX(INDIRECT(CONCATENATE("R",ROW(DataColumns[#Headers]),"C",COLUMN(),":R",ROW()-1,"C",COLUMN()),FALSE))=0,1,MAX(INDIRECT(CONCATENATE("R",ROW(DataColumns[#Headers]),"C",COLUMN(),":R",ROW()-1,"C",COLUMN()),FALSE))+1),"")</f>
        <v/>
      </c>
      <c r="AC91" s="125" t="str">
        <f>IF(DataColumns[[#This Row],[ColumnType]]="ResultValue",CONCATENATE(DataColumns[[#This Row],[ColumnType]],DataColumns[[#This Row],[ColumnLabel]]),CONCATENATE(DataColumns[[#This Row],[ColumnType]],DataColumns[[#This Row],[AppliesToColumn]]))</f>
        <v/>
      </c>
    </row>
    <row r="92" spans="1:29">
      <c r="A92" s="46" t="str">
        <f ca="1">IF(COUNTA(DataColumns[[#This Row],[ColumnLabel]:[QualityCodeCV]])&gt;0,IF(MAX(INDIRECT(CONCATENATE("R",ROW(DataColumns[#Headers]),"C",COLUMN(),":R",ROW()-1,"C",COLUMN()),FALSE))=0,1,MAX(INDIRECT(CONCATENATE("R",ROW(DataColumns[#Headers]),"C",COLUMN(),":R",ROW()-1,"C",COLUMN()),FALSE))+1),"")</f>
        <v/>
      </c>
      <c r="B92" s="104"/>
      <c r="C92" s="9"/>
      <c r="D92" s="154"/>
      <c r="E92" s="159"/>
      <c r="F92" s="138"/>
      <c r="G92" s="8"/>
      <c r="H92" s="9"/>
      <c r="I92" s="9"/>
      <c r="J92" s="9"/>
      <c r="K92" s="33"/>
      <c r="L92" s="9"/>
      <c r="M92" s="132"/>
      <c r="N92" s="104"/>
      <c r="O92" s="8"/>
      <c r="P92" s="9"/>
      <c r="Q92" s="9"/>
      <c r="R92" s="20"/>
      <c r="S92" s="20"/>
      <c r="T92" s="9"/>
      <c r="U92" s="9"/>
      <c r="V92" s="9"/>
      <c r="W92" s="9"/>
      <c r="X92" s="20"/>
      <c r="Y92" s="9"/>
      <c r="Z92" s="9"/>
      <c r="AA92" s="9"/>
      <c r="AB92" s="176" t="str">
        <f ca="1">IF(DataColumns[[#This Row],[ColumnType]]="ResultValue",IF(MAX(INDIRECT(CONCATENATE("R",ROW(DataColumns[#Headers]),"C",COLUMN(),":R",ROW()-1,"C",COLUMN()),FALSE))=0,1,MAX(INDIRECT(CONCATENATE("R",ROW(DataColumns[#Headers]),"C",COLUMN(),":R",ROW()-1,"C",COLUMN()),FALSE))+1),"")</f>
        <v/>
      </c>
      <c r="AC92" s="125" t="str">
        <f>IF(DataColumns[[#This Row],[ColumnType]]="ResultValue",CONCATENATE(DataColumns[[#This Row],[ColumnType]],DataColumns[[#This Row],[ColumnLabel]]),CONCATENATE(DataColumns[[#This Row],[ColumnType]],DataColumns[[#This Row],[AppliesToColumn]]))</f>
        <v/>
      </c>
    </row>
    <row r="93" spans="1:29">
      <c r="A93" s="46" t="str">
        <f ca="1">IF(COUNTA(DataColumns[[#This Row],[ColumnLabel]:[QualityCodeCV]])&gt;0,IF(MAX(INDIRECT(CONCATENATE("R",ROW(DataColumns[#Headers]),"C",COLUMN(),":R",ROW()-1,"C",COLUMN()),FALSE))=0,1,MAX(INDIRECT(CONCATENATE("R",ROW(DataColumns[#Headers]),"C",COLUMN(),":R",ROW()-1,"C",COLUMN()),FALSE))+1),"")</f>
        <v/>
      </c>
      <c r="B93" s="104"/>
      <c r="C93" s="9"/>
      <c r="D93" s="154"/>
      <c r="E93" s="159"/>
      <c r="F93" s="138"/>
      <c r="G93" s="8"/>
      <c r="H93" s="9"/>
      <c r="I93" s="9"/>
      <c r="J93" s="9"/>
      <c r="K93" s="33"/>
      <c r="L93" s="9"/>
      <c r="M93" s="132"/>
      <c r="N93" s="104"/>
      <c r="O93" s="8"/>
      <c r="P93" s="9"/>
      <c r="Q93" s="9"/>
      <c r="R93" s="20"/>
      <c r="S93" s="20"/>
      <c r="T93" s="9"/>
      <c r="U93" s="9"/>
      <c r="V93" s="9"/>
      <c r="W93" s="9"/>
      <c r="X93" s="20"/>
      <c r="Y93" s="9"/>
      <c r="Z93" s="9"/>
      <c r="AA93" s="9"/>
      <c r="AB93" s="176" t="str">
        <f ca="1">IF(DataColumns[[#This Row],[ColumnType]]="ResultValue",IF(MAX(INDIRECT(CONCATENATE("R",ROW(DataColumns[#Headers]),"C",COLUMN(),":R",ROW()-1,"C",COLUMN()),FALSE))=0,1,MAX(INDIRECT(CONCATENATE("R",ROW(DataColumns[#Headers]),"C",COLUMN(),":R",ROW()-1,"C",COLUMN()),FALSE))+1),"")</f>
        <v/>
      </c>
      <c r="AC93" s="125" t="str">
        <f>IF(DataColumns[[#This Row],[ColumnType]]="ResultValue",CONCATENATE(DataColumns[[#This Row],[ColumnType]],DataColumns[[#This Row],[ColumnLabel]]),CONCATENATE(DataColumns[[#This Row],[ColumnType]],DataColumns[[#This Row],[AppliesToColumn]]))</f>
        <v/>
      </c>
    </row>
    <row r="94" spans="1:29">
      <c r="A94" s="46" t="str">
        <f ca="1">IF(COUNTA(DataColumns[[#This Row],[ColumnLabel]:[QualityCodeCV]])&gt;0,IF(MAX(INDIRECT(CONCATENATE("R",ROW(DataColumns[#Headers]),"C",COLUMN(),":R",ROW()-1,"C",COLUMN()),FALSE))=0,1,MAX(INDIRECT(CONCATENATE("R",ROW(DataColumns[#Headers]),"C",COLUMN(),":R",ROW()-1,"C",COLUMN()),FALSE))+1),"")</f>
        <v/>
      </c>
      <c r="B94" s="104"/>
      <c r="C94" s="9"/>
      <c r="D94" s="154"/>
      <c r="E94" s="159"/>
      <c r="F94" s="138"/>
      <c r="G94" s="8"/>
      <c r="H94" s="9"/>
      <c r="I94" s="9"/>
      <c r="J94" s="9"/>
      <c r="K94" s="33"/>
      <c r="L94" s="9"/>
      <c r="M94" s="132"/>
      <c r="N94" s="104"/>
      <c r="O94" s="8"/>
      <c r="P94" s="9"/>
      <c r="Q94" s="9"/>
      <c r="R94" s="20"/>
      <c r="S94" s="20"/>
      <c r="T94" s="9"/>
      <c r="U94" s="9"/>
      <c r="V94" s="9"/>
      <c r="W94" s="9"/>
      <c r="X94" s="20"/>
      <c r="Y94" s="9"/>
      <c r="Z94" s="9"/>
      <c r="AA94" s="9"/>
      <c r="AB94" s="176" t="str">
        <f ca="1">IF(DataColumns[[#This Row],[ColumnType]]="ResultValue",IF(MAX(INDIRECT(CONCATENATE("R",ROW(DataColumns[#Headers]),"C",COLUMN(),":R",ROW()-1,"C",COLUMN()),FALSE))=0,1,MAX(INDIRECT(CONCATENATE("R",ROW(DataColumns[#Headers]),"C",COLUMN(),":R",ROW()-1,"C",COLUMN()),FALSE))+1),"")</f>
        <v/>
      </c>
      <c r="AC94" s="125" t="str">
        <f>IF(DataColumns[[#This Row],[ColumnType]]="ResultValue",CONCATENATE(DataColumns[[#This Row],[ColumnType]],DataColumns[[#This Row],[ColumnLabel]]),CONCATENATE(DataColumns[[#This Row],[ColumnType]],DataColumns[[#This Row],[AppliesToColumn]]))</f>
        <v/>
      </c>
    </row>
    <row r="95" spans="1:29">
      <c r="A95" s="46" t="str">
        <f ca="1">IF(COUNTA(DataColumns[[#This Row],[ColumnLabel]:[QualityCodeCV]])&gt;0,IF(MAX(INDIRECT(CONCATENATE("R",ROW(DataColumns[#Headers]),"C",COLUMN(),":R",ROW()-1,"C",COLUMN()),FALSE))=0,1,MAX(INDIRECT(CONCATENATE("R",ROW(DataColumns[#Headers]),"C",COLUMN(),":R",ROW()-1,"C",COLUMN()),FALSE))+1),"")</f>
        <v/>
      </c>
      <c r="B95" s="104"/>
      <c r="C95" s="9"/>
      <c r="D95" s="154"/>
      <c r="E95" s="159"/>
      <c r="F95" s="138"/>
      <c r="G95" s="8"/>
      <c r="H95" s="9"/>
      <c r="I95" s="9"/>
      <c r="J95" s="9"/>
      <c r="K95" s="33"/>
      <c r="L95" s="9"/>
      <c r="M95" s="132"/>
      <c r="N95" s="104"/>
      <c r="O95" s="8"/>
      <c r="P95" s="9"/>
      <c r="Q95" s="9"/>
      <c r="R95" s="20"/>
      <c r="S95" s="20"/>
      <c r="T95" s="9"/>
      <c r="U95" s="9"/>
      <c r="V95" s="9"/>
      <c r="W95" s="9"/>
      <c r="X95" s="20"/>
      <c r="Y95" s="9"/>
      <c r="Z95" s="9"/>
      <c r="AA95" s="9"/>
      <c r="AB95" s="176" t="str">
        <f ca="1">IF(DataColumns[[#This Row],[ColumnType]]="ResultValue",IF(MAX(INDIRECT(CONCATENATE("R",ROW(DataColumns[#Headers]),"C",COLUMN(),":R",ROW()-1,"C",COLUMN()),FALSE))=0,1,MAX(INDIRECT(CONCATENATE("R",ROW(DataColumns[#Headers]),"C",COLUMN(),":R",ROW()-1,"C",COLUMN()),FALSE))+1),"")</f>
        <v/>
      </c>
      <c r="AC95" s="125" t="str">
        <f>IF(DataColumns[[#This Row],[ColumnType]]="ResultValue",CONCATENATE(DataColumns[[#This Row],[ColumnType]],DataColumns[[#This Row],[ColumnLabel]]),CONCATENATE(DataColumns[[#This Row],[ColumnType]],DataColumns[[#This Row],[AppliesToColumn]]))</f>
        <v/>
      </c>
    </row>
    <row r="96" spans="1:29">
      <c r="A96" s="46" t="str">
        <f ca="1">IF(COUNTA(DataColumns[[#This Row],[ColumnLabel]:[QualityCodeCV]])&gt;0,IF(MAX(INDIRECT(CONCATENATE("R",ROW(DataColumns[#Headers]),"C",COLUMN(),":R",ROW()-1,"C",COLUMN()),FALSE))=0,1,MAX(INDIRECT(CONCATENATE("R",ROW(DataColumns[#Headers]),"C",COLUMN(),":R",ROW()-1,"C",COLUMN()),FALSE))+1),"")</f>
        <v/>
      </c>
      <c r="B96" s="104"/>
      <c r="C96" s="9"/>
      <c r="D96" s="154"/>
      <c r="E96" s="159"/>
      <c r="F96" s="138"/>
      <c r="G96" s="8"/>
      <c r="H96" s="9"/>
      <c r="I96" s="9"/>
      <c r="J96" s="9"/>
      <c r="K96" s="33"/>
      <c r="L96" s="9"/>
      <c r="M96" s="132"/>
      <c r="N96" s="104"/>
      <c r="O96" s="8"/>
      <c r="P96" s="9"/>
      <c r="Q96" s="9"/>
      <c r="R96" s="20"/>
      <c r="S96" s="20"/>
      <c r="T96" s="9"/>
      <c r="U96" s="9"/>
      <c r="V96" s="9"/>
      <c r="W96" s="9"/>
      <c r="X96" s="20"/>
      <c r="Y96" s="9"/>
      <c r="Z96" s="9"/>
      <c r="AA96" s="9"/>
      <c r="AB96" s="176" t="str">
        <f ca="1">IF(DataColumns[[#This Row],[ColumnType]]="ResultValue",IF(MAX(INDIRECT(CONCATENATE("R",ROW(DataColumns[#Headers]),"C",COLUMN(),":R",ROW()-1,"C",COLUMN()),FALSE))=0,1,MAX(INDIRECT(CONCATENATE("R",ROW(DataColumns[#Headers]),"C",COLUMN(),":R",ROW()-1,"C",COLUMN()),FALSE))+1),"")</f>
        <v/>
      </c>
      <c r="AC96" s="125" t="str">
        <f>IF(DataColumns[[#This Row],[ColumnType]]="ResultValue",CONCATENATE(DataColumns[[#This Row],[ColumnType]],DataColumns[[#This Row],[ColumnLabel]]),CONCATENATE(DataColumns[[#This Row],[ColumnType]],DataColumns[[#This Row],[AppliesToColumn]]))</f>
        <v/>
      </c>
    </row>
    <row r="97" spans="1:29">
      <c r="A97" s="46" t="str">
        <f ca="1">IF(COUNTA(DataColumns[[#This Row],[ColumnLabel]:[QualityCodeCV]])&gt;0,IF(MAX(INDIRECT(CONCATENATE("R",ROW(DataColumns[#Headers]),"C",COLUMN(),":R",ROW()-1,"C",COLUMN()),FALSE))=0,1,MAX(INDIRECT(CONCATENATE("R",ROW(DataColumns[#Headers]),"C",COLUMN(),":R",ROW()-1,"C",COLUMN()),FALSE))+1),"")</f>
        <v/>
      </c>
      <c r="B97" s="104"/>
      <c r="C97" s="9"/>
      <c r="D97" s="154"/>
      <c r="E97" s="159"/>
      <c r="F97" s="138"/>
      <c r="G97" s="8"/>
      <c r="H97" s="9"/>
      <c r="I97" s="9"/>
      <c r="J97" s="9"/>
      <c r="K97" s="33"/>
      <c r="L97" s="9"/>
      <c r="M97" s="132"/>
      <c r="N97" s="104"/>
      <c r="O97" s="8"/>
      <c r="P97" s="9"/>
      <c r="Q97" s="9"/>
      <c r="R97" s="20"/>
      <c r="S97" s="20"/>
      <c r="T97" s="9"/>
      <c r="U97" s="9"/>
      <c r="V97" s="9"/>
      <c r="W97" s="9"/>
      <c r="X97" s="20"/>
      <c r="Y97" s="9"/>
      <c r="Z97" s="9"/>
      <c r="AA97" s="9"/>
      <c r="AB97" s="176" t="str">
        <f ca="1">IF(DataColumns[[#This Row],[ColumnType]]="ResultValue",IF(MAX(INDIRECT(CONCATENATE("R",ROW(DataColumns[#Headers]),"C",COLUMN(),":R",ROW()-1,"C",COLUMN()),FALSE))=0,1,MAX(INDIRECT(CONCATENATE("R",ROW(DataColumns[#Headers]),"C",COLUMN(),":R",ROW()-1,"C",COLUMN()),FALSE))+1),"")</f>
        <v/>
      </c>
      <c r="AC97" s="125" t="str">
        <f>IF(DataColumns[[#This Row],[ColumnType]]="ResultValue",CONCATENATE(DataColumns[[#This Row],[ColumnType]],DataColumns[[#This Row],[ColumnLabel]]),CONCATENATE(DataColumns[[#This Row],[ColumnType]],DataColumns[[#This Row],[AppliesToColumn]]))</f>
        <v/>
      </c>
    </row>
    <row r="98" spans="1:29">
      <c r="A98" s="46" t="str">
        <f ca="1">IF(COUNTA(DataColumns[[#This Row],[ColumnLabel]:[QualityCodeCV]])&gt;0,IF(MAX(INDIRECT(CONCATENATE("R",ROW(DataColumns[#Headers]),"C",COLUMN(),":R",ROW()-1,"C",COLUMN()),FALSE))=0,1,MAX(INDIRECT(CONCATENATE("R",ROW(DataColumns[#Headers]),"C",COLUMN(),":R",ROW()-1,"C",COLUMN()),FALSE))+1),"")</f>
        <v/>
      </c>
      <c r="B98" s="104"/>
      <c r="C98" s="9"/>
      <c r="D98" s="154"/>
      <c r="E98" s="159"/>
      <c r="F98" s="138"/>
      <c r="G98" s="8"/>
      <c r="H98" s="9"/>
      <c r="I98" s="9"/>
      <c r="J98" s="9"/>
      <c r="K98" s="33"/>
      <c r="L98" s="9"/>
      <c r="M98" s="132"/>
      <c r="N98" s="104"/>
      <c r="O98" s="8"/>
      <c r="P98" s="9"/>
      <c r="Q98" s="9"/>
      <c r="R98" s="20"/>
      <c r="S98" s="20"/>
      <c r="T98" s="9"/>
      <c r="U98" s="9"/>
      <c r="V98" s="9"/>
      <c r="W98" s="9"/>
      <c r="X98" s="20"/>
      <c r="Y98" s="9"/>
      <c r="Z98" s="9"/>
      <c r="AA98" s="9"/>
      <c r="AB98" s="176" t="str">
        <f ca="1">IF(DataColumns[[#This Row],[ColumnType]]="ResultValue",IF(MAX(INDIRECT(CONCATENATE("R",ROW(DataColumns[#Headers]),"C",COLUMN(),":R",ROW()-1,"C",COLUMN()),FALSE))=0,1,MAX(INDIRECT(CONCATENATE("R",ROW(DataColumns[#Headers]),"C",COLUMN(),":R",ROW()-1,"C",COLUMN()),FALSE))+1),"")</f>
        <v/>
      </c>
      <c r="AC98" s="125" t="str">
        <f>IF(DataColumns[[#This Row],[ColumnType]]="ResultValue",CONCATENATE(DataColumns[[#This Row],[ColumnType]],DataColumns[[#This Row],[ColumnLabel]]),CONCATENATE(DataColumns[[#This Row],[ColumnType]],DataColumns[[#This Row],[AppliesToColumn]]))</f>
        <v/>
      </c>
    </row>
    <row r="99" spans="1:29" ht="15" thickBot="1">
      <c r="A99" s="48" t="str">
        <f ca="1">IF(COUNTA(DataColumns[[#This Row],[ColumnLabel]:[QualityCodeCV]])&gt;0,IF(MAX(INDIRECT(CONCATENATE("R",ROW(DataColumns[#Headers]),"C",COLUMN(),":R",ROW()-1,"C",COLUMN()),FALSE))=0,1,MAX(INDIRECT(CONCATENATE("R",ROW(DataColumns[#Headers]),"C",COLUMN(),":R",ROW()-1,"C",COLUMN()),FALSE))+1),"")</f>
        <v/>
      </c>
      <c r="B99" s="106"/>
      <c r="C99" s="107"/>
      <c r="D99" s="155"/>
      <c r="E99" s="160"/>
      <c r="F99" s="170"/>
      <c r="G99" s="151"/>
      <c r="H99" s="107"/>
      <c r="I99" s="107"/>
      <c r="J99" s="107"/>
      <c r="K99" s="157"/>
      <c r="L99" s="107"/>
      <c r="M99" s="133"/>
      <c r="N99" s="106"/>
      <c r="O99" s="151"/>
      <c r="P99" s="107"/>
      <c r="Q99" s="107"/>
      <c r="R99" s="141"/>
      <c r="S99" s="141"/>
      <c r="T99" s="107"/>
      <c r="U99" s="107"/>
      <c r="V99" s="107"/>
      <c r="W99" s="107"/>
      <c r="X99" s="141"/>
      <c r="Y99" s="107"/>
      <c r="Z99" s="107"/>
      <c r="AA99" s="107"/>
      <c r="AB99" s="177" t="str">
        <f ca="1">IF(DataColumns[[#This Row],[ColumnType]]="ResultValue",IF(MAX(INDIRECT(CONCATENATE("R",ROW(DataColumns[#Headers]),"C",COLUMN(),":R",ROW()-1,"C",COLUMN()),FALSE))=0,1,MAX(INDIRECT(CONCATENATE("R",ROW(DataColumns[#Headers]),"C",COLUMN(),":R",ROW()-1,"C",COLUMN()),FALSE))+1),"")</f>
        <v/>
      </c>
      <c r="AC99" s="126" t="str">
        <f>IF(DataColumns[[#This Row],[ColumnType]]="ResultValue",CONCATENATE(DataColumns[[#This Row],[ColumnType]],DataColumns[[#This Row],[ColumnLabel]]),CONCATENATE(DataColumns[[#This Row],[ColumnType]],DataColumns[[#This Row],[AppliesToColumn]]))</f>
        <v/>
      </c>
    </row>
  </sheetData>
  <sheetProtection password="CA31" sheet="1" objects="1" scenarios="1" formatColumns="0" insertRows="0" insertHyperlinks="0" deleteRows="0"/>
  <dataConsolidate/>
  <mergeCells count="3">
    <mergeCell ref="A10:D10"/>
    <mergeCell ref="E10:M10"/>
    <mergeCell ref="N10:AC10"/>
  </mergeCells>
  <conditionalFormatting sqref="B11:AA11">
    <cfRule type="containsText" dxfId="14" priority="19" operator="containsText" text="REQUIRED">
      <formula>NOT(ISERROR(SEARCH("REQUIRED",B11)))</formula>
    </cfRule>
  </conditionalFormatting>
  <conditionalFormatting sqref="B13:B99">
    <cfRule type="duplicateValues" dxfId="13" priority="15"/>
  </conditionalFormatting>
  <conditionalFormatting sqref="B12:AA12">
    <cfRule type="expression" dxfId="12" priority="34">
      <formula>AND(B$11&lt;&gt;"REQUIRED",B$11&lt;&gt;"OPTIONAL")</formula>
    </cfRule>
  </conditionalFormatting>
  <conditionalFormatting sqref="E13:M99">
    <cfRule type="expression" dxfId="11" priority="2">
      <formula>AND($C13="SpecimenCode",E$11="REQUIRED",E13="")</formula>
    </cfRule>
    <cfRule type="expression" dxfId="10" priority="13">
      <formula>AND($C13&lt;&gt;"SpecimenCode",E13&lt;&gt;"")</formula>
    </cfRule>
    <cfRule type="expression" dxfId="9" priority="14">
      <formula>$C13&lt;&gt;"SpecimenCode"</formula>
    </cfRule>
  </conditionalFormatting>
  <conditionalFormatting sqref="N13:AA99">
    <cfRule type="expression" dxfId="8" priority="1">
      <formula>AND($C13="ResultValue",N$11="REQUIRED",N13="")</formula>
    </cfRule>
    <cfRule type="expression" dxfId="7" priority="11">
      <formula>AND($C13&lt;&gt;"ResultValue",N13&lt;&gt;"")</formula>
    </cfRule>
    <cfRule type="expression" dxfId="6" priority="12">
      <formula>$C13&lt;&gt;"ResultValue"</formula>
    </cfRule>
  </conditionalFormatting>
  <conditionalFormatting sqref="D13:D99">
    <cfRule type="expression" dxfId="5" priority="3">
      <formula>OR(COUNTIF(ResultColumns,$C13)=0,$C13="ResultValue")</formula>
    </cfRule>
    <cfRule type="expression" dxfId="4" priority="4">
      <formula>AND($C13="ResultValue",$D13&lt;&gt;"")</formula>
    </cfRule>
    <cfRule type="expression" dxfId="3" priority="5">
      <formula>AND(COUNTIF(ResultColumns,$C13)&gt;0,$C13&lt;&gt;"ResultValue",$D13="")</formula>
    </cfRule>
    <cfRule type="expression" dxfId="2" priority="6">
      <formula>AND(COUNTIF(ResultColumns,$C13)=0,$D13&lt;&gt;"")</formula>
    </cfRule>
  </conditionalFormatting>
  <dataValidations count="16">
    <dataValidation type="list" allowBlank="1" showInputMessage="1" showErrorMessage="1" sqref="T13:T99">
      <formula1>MethodCodes</formula1>
    </dataValidation>
    <dataValidation type="list" allowBlank="1" showInputMessage="1" showErrorMessage="1" sqref="N13:N99">
      <formula1>ApplicableResultTypes</formula1>
    </dataValidation>
    <dataValidation type="list" allowBlank="1" showInputMessage="1" showErrorMessage="1" sqref="O13:O99">
      <formula1>VariableCodes</formula1>
    </dataValidation>
    <dataValidation type="list" allowBlank="1" showInputMessage="1" showErrorMessage="1" sqref="U13:U99">
      <formula1>ProcessingLevelCodes</formula1>
    </dataValidation>
    <dataValidation type="list" allowBlank="1" showInputMessage="1" showErrorMessage="1" sqref="AA13:AA99">
      <formula1>AggregationStatisticCV</formula1>
    </dataValidation>
    <dataValidation type="list" allowBlank="1" showInputMessage="1" showErrorMessage="1" sqref="V13:V99">
      <formula1>CensorCodeCV</formula1>
    </dataValidation>
    <dataValidation type="list" allowBlank="1" showInputMessage="1" showErrorMessage="1" sqref="W13:W99">
      <formula1>QualityCodeCV</formula1>
    </dataValidation>
    <dataValidation type="list" allowBlank="1" showInputMessage="1" showErrorMessage="1" sqref="R13:S99 H13:I99">
      <formula1>PeopleNames</formula1>
    </dataValidation>
    <dataValidation type="list" allowBlank="1" showInputMessage="1" showErrorMessage="1" sqref="C13:C99">
      <formula1>ColumnTypes</formula1>
    </dataValidation>
    <dataValidation type="list" allowBlank="1" showInputMessage="1" showErrorMessage="1" sqref="E13:E99">
      <formula1>FeatureCodes</formula1>
    </dataValidation>
    <dataValidation type="list" allowBlank="1" showInputMessage="1" showErrorMessage="1" sqref="X13:X99">
      <formula1>TaxClassifiers</formula1>
    </dataValidation>
    <dataValidation type="list" allowBlank="1" showInputMessage="1" showErrorMessage="1" sqref="J13:J99 Q13:Q99">
      <formula1>SpecimenMediumCV</formula1>
    </dataValidation>
    <dataValidation type="list" allowBlank="1" showInputMessage="1" showErrorMessage="1" sqref="K13:K99">
      <formula1>SpecimenTypeCV</formula1>
    </dataValidation>
    <dataValidation type="list" allowBlank="1" showInputMessage="1" showErrorMessage="1" sqref="L13:M99">
      <formula1>Boolean</formula1>
    </dataValidation>
    <dataValidation type="list" allowBlank="1" showInputMessage="1" showErrorMessage="1" sqref="D13:D99">
      <formula1>DataValueLabels</formula1>
    </dataValidation>
    <dataValidation type="list" allowBlank="1" showInputMessage="1" showErrorMessage="1" sqref="F13:G99">
      <formula1>RelationshipTypeCV</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enerateYODA">
              <controlPr defaultSize="0" print="0" autoFill="0" autoPict="0" macro="[0]!CreateYODA">
                <anchor>
                  <from>
                    <xdr:col>11</xdr:col>
                    <xdr:colOff>368300</xdr:colOff>
                    <xdr:row>2</xdr:row>
                    <xdr:rowOff>38100</xdr:rowOff>
                  </from>
                  <to>
                    <xdr:col>13</xdr:col>
                    <xdr:colOff>762000</xdr:colOff>
                    <xdr:row>4</xdr:row>
                    <xdr:rowOff>101600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P278"/>
  <sheetViews>
    <sheetView zoomScale="125" zoomScaleNormal="125" zoomScalePageLayoutView="125" workbookViewId="0"/>
  </sheetViews>
  <sheetFormatPr baseColWidth="10" defaultColWidth="8.83203125" defaultRowHeight="14" x14ac:dyDescent="0"/>
  <cols>
    <col min="1" max="1" width="22" style="3" bestFit="1" customWidth="1"/>
    <col min="2" max="2" width="10.5" style="3" bestFit="1" customWidth="1"/>
    <col min="3" max="3" width="15" style="3" bestFit="1" customWidth="1"/>
    <col min="4" max="4" width="15.5" style="3" bestFit="1" customWidth="1"/>
    <col min="5" max="6" width="14.5" style="3" bestFit="1" customWidth="1"/>
    <col min="7" max="7" width="21.5" style="3" bestFit="1" customWidth="1"/>
    <col min="8" max="8" width="6" style="3" bestFit="1" customWidth="1"/>
    <col min="9" max="9" width="4.1640625" style="3" bestFit="1" customWidth="1"/>
    <col min="10" max="10" width="15.6640625" style="3" bestFit="1" customWidth="1"/>
    <col min="11" max="11" width="11.83203125" style="3" bestFit="1" customWidth="1"/>
    <col min="12" max="12" width="9.1640625" style="3" bestFit="1" customWidth="1"/>
    <col min="13" max="13" width="16.5" style="3" bestFit="1" customWidth="1"/>
    <col min="14" max="14" width="22.5" style="3" bestFit="1" customWidth="1"/>
    <col min="15" max="15" width="7" style="3" bestFit="1" customWidth="1"/>
    <col min="16" max="16" width="15.83203125" style="3" bestFit="1" customWidth="1"/>
    <col min="17" max="17" width="5.5" style="3" bestFit="1" customWidth="1"/>
    <col min="18" max="16384" width="8.83203125" style="3"/>
  </cols>
  <sheetData>
    <row r="1" spans="1:16">
      <c r="A1" s="4" t="s">
        <v>26</v>
      </c>
      <c r="B1" s="4" t="s">
        <v>1845</v>
      </c>
      <c r="C1" s="4" t="s">
        <v>1846</v>
      </c>
      <c r="D1" s="4" t="s">
        <v>1847</v>
      </c>
      <c r="E1" s="4" t="s">
        <v>1848</v>
      </c>
      <c r="F1" s="4" t="s">
        <v>1849</v>
      </c>
      <c r="G1" s="4" t="s">
        <v>1850</v>
      </c>
      <c r="H1" s="4" t="s">
        <v>632</v>
      </c>
      <c r="I1" s="4" t="s">
        <v>510</v>
      </c>
      <c r="J1" s="4" t="s">
        <v>1853</v>
      </c>
      <c r="K1" s="3" t="s">
        <v>1822</v>
      </c>
      <c r="L1" s="3" t="s">
        <v>1224</v>
      </c>
      <c r="M1" s="4" t="s">
        <v>1851</v>
      </c>
      <c r="N1" s="4" t="s">
        <v>1852</v>
      </c>
      <c r="O1" s="4"/>
    </row>
    <row r="2" spans="1:16">
      <c r="A2" s="4" t="s">
        <v>1856</v>
      </c>
      <c r="B2" s="4" t="s">
        <v>1857</v>
      </c>
      <c r="C2" s="4" t="s">
        <v>1790</v>
      </c>
      <c r="D2" s="254">
        <v>41066</v>
      </c>
      <c r="E2" s="4">
        <v>-7</v>
      </c>
      <c r="F2" s="4" t="s">
        <v>1813</v>
      </c>
      <c r="G2" s="4" t="s">
        <v>1815</v>
      </c>
      <c r="H2" s="4">
        <v>75.669550000000001</v>
      </c>
      <c r="I2" s="257">
        <v>4.0894941176470585</v>
      </c>
      <c r="J2" s="4" t="s">
        <v>1815</v>
      </c>
      <c r="K2" s="255" t="s">
        <v>1858</v>
      </c>
      <c r="L2" s="256" t="s">
        <v>1859</v>
      </c>
      <c r="M2" s="4" t="s">
        <v>1817</v>
      </c>
      <c r="N2" s="4" t="s">
        <v>1819</v>
      </c>
      <c r="O2" s="4"/>
      <c r="P2" s="149"/>
    </row>
    <row r="3" spans="1:16">
      <c r="A3" s="4" t="s">
        <v>1860</v>
      </c>
      <c r="B3" s="4" t="s">
        <v>1861</v>
      </c>
      <c r="C3" s="4" t="s">
        <v>1791</v>
      </c>
      <c r="D3" s="254">
        <v>41066</v>
      </c>
      <c r="E3" s="4">
        <v>-7</v>
      </c>
      <c r="F3" s="4" t="s">
        <v>1813</v>
      </c>
      <c r="G3" s="4" t="s">
        <v>1815</v>
      </c>
      <c r="H3" s="4">
        <v>77.873199999999997</v>
      </c>
      <c r="I3" s="257">
        <v>4.2001411764705887</v>
      </c>
      <c r="J3" s="4" t="s">
        <v>1815</v>
      </c>
      <c r="K3" s="255" t="s">
        <v>1858</v>
      </c>
      <c r="L3" s="5" t="s">
        <v>1862</v>
      </c>
      <c r="M3" s="4" t="s">
        <v>1817</v>
      </c>
      <c r="N3" s="4" t="s">
        <v>1819</v>
      </c>
      <c r="O3" s="4"/>
      <c r="P3" s="149"/>
    </row>
    <row r="4" spans="1:16">
      <c r="A4" s="4" t="s">
        <v>1863</v>
      </c>
      <c r="B4" s="4" t="s">
        <v>1864</v>
      </c>
      <c r="C4" s="4" t="s">
        <v>1792</v>
      </c>
      <c r="D4" s="254">
        <v>41066</v>
      </c>
      <c r="E4" s="4">
        <v>-7</v>
      </c>
      <c r="F4" s="4" t="s">
        <v>1813</v>
      </c>
      <c r="G4" s="4" t="s">
        <v>1815</v>
      </c>
      <c r="H4" s="4">
        <v>76.571749999999994</v>
      </c>
      <c r="I4" s="257">
        <v>4.5340676470588228</v>
      </c>
      <c r="J4" s="4" t="s">
        <v>1815</v>
      </c>
      <c r="K4" s="255" t="s">
        <v>1865</v>
      </c>
      <c r="L4" s="5" t="s">
        <v>1862</v>
      </c>
      <c r="M4" s="4" t="s">
        <v>1817</v>
      </c>
      <c r="N4" s="4" t="s">
        <v>1819</v>
      </c>
      <c r="O4" s="4"/>
      <c r="P4" s="149"/>
    </row>
    <row r="5" spans="1:16">
      <c r="A5" s="4" t="s">
        <v>1884</v>
      </c>
      <c r="B5" s="4" t="s">
        <v>1867</v>
      </c>
      <c r="C5" s="4" t="s">
        <v>1793</v>
      </c>
      <c r="D5" s="254">
        <v>41066</v>
      </c>
      <c r="E5" s="4">
        <v>-7</v>
      </c>
      <c r="F5" s="4" t="s">
        <v>1813</v>
      </c>
      <c r="G5" s="4" t="s">
        <v>1815</v>
      </c>
      <c r="H5" s="4">
        <v>75.160200000000003</v>
      </c>
      <c r="I5" s="257">
        <v>4.9550823529411767</v>
      </c>
      <c r="J5" s="4" t="s">
        <v>1815</v>
      </c>
      <c r="K5" s="255" t="s">
        <v>1865</v>
      </c>
      <c r="L5" s="5" t="s">
        <v>1862</v>
      </c>
      <c r="M5" s="4" t="s">
        <v>1817</v>
      </c>
      <c r="N5" s="4" t="s">
        <v>1819</v>
      </c>
      <c r="O5" s="4"/>
      <c r="P5" s="149"/>
    </row>
    <row r="6" spans="1:16">
      <c r="A6" s="4" t="s">
        <v>1866</v>
      </c>
      <c r="B6" s="4" t="s">
        <v>1869</v>
      </c>
      <c r="C6" s="4" t="s">
        <v>1794</v>
      </c>
      <c r="D6" s="254">
        <v>41066</v>
      </c>
      <c r="E6" s="4">
        <v>-7</v>
      </c>
      <c r="F6" s="4" t="s">
        <v>1813</v>
      </c>
      <c r="G6" s="4" t="s">
        <v>1815</v>
      </c>
      <c r="H6" s="4">
        <v>76.166349999999994</v>
      </c>
      <c r="I6" s="257">
        <v>5.2173264705882358</v>
      </c>
      <c r="J6" s="4" t="s">
        <v>1815</v>
      </c>
      <c r="K6" s="255" t="s">
        <v>1865</v>
      </c>
      <c r="L6" s="5" t="s">
        <v>1862</v>
      </c>
      <c r="M6" s="4" t="s">
        <v>1817</v>
      </c>
      <c r="N6" s="4" t="s">
        <v>1819</v>
      </c>
      <c r="O6" s="4"/>
      <c r="P6" s="149"/>
    </row>
    <row r="7" spans="1:16">
      <c r="A7" s="4" t="s">
        <v>1868</v>
      </c>
      <c r="B7" s="4" t="s">
        <v>1871</v>
      </c>
      <c r="C7" s="4" t="s">
        <v>1795</v>
      </c>
      <c r="D7" s="254">
        <v>41066</v>
      </c>
      <c r="E7" s="4">
        <v>-7</v>
      </c>
      <c r="F7" s="4" t="s">
        <v>1813</v>
      </c>
      <c r="G7" s="4" t="s">
        <v>1815</v>
      </c>
      <c r="H7" s="4">
        <v>69.496949999999998</v>
      </c>
      <c r="I7" s="257">
        <v>5.8349117647058826</v>
      </c>
      <c r="J7" s="4" t="s">
        <v>1815</v>
      </c>
      <c r="K7" s="255" t="s">
        <v>1865</v>
      </c>
      <c r="L7" s="5" t="s">
        <v>1872</v>
      </c>
      <c r="M7" s="4" t="s">
        <v>1817</v>
      </c>
      <c r="N7" s="4" t="s">
        <v>1819</v>
      </c>
      <c r="O7" s="4"/>
      <c r="P7" s="149"/>
    </row>
    <row r="8" spans="1:16">
      <c r="A8" s="4" t="s">
        <v>1870</v>
      </c>
      <c r="B8" s="4" t="s">
        <v>1873</v>
      </c>
      <c r="C8" s="4" t="s">
        <v>1796</v>
      </c>
      <c r="D8" s="254">
        <v>41066</v>
      </c>
      <c r="E8" s="4">
        <v>-7</v>
      </c>
      <c r="F8" s="4" t="s">
        <v>1813</v>
      </c>
      <c r="G8" s="4" t="s">
        <v>1815</v>
      </c>
      <c r="H8" s="4">
        <v>64.409099999999995</v>
      </c>
      <c r="I8" s="257">
        <v>8.039726470588235</v>
      </c>
      <c r="J8" s="4" t="s">
        <v>1815</v>
      </c>
      <c r="K8" s="255" t="s">
        <v>1874</v>
      </c>
      <c r="L8" s="5" t="s">
        <v>1875</v>
      </c>
      <c r="M8" s="4" t="s">
        <v>1817</v>
      </c>
      <c r="N8" s="4" t="s">
        <v>1819</v>
      </c>
      <c r="O8" s="4"/>
      <c r="P8" s="149"/>
    </row>
    <row r="9" spans="1:16">
      <c r="A9" s="4" t="s">
        <v>1876</v>
      </c>
      <c r="B9" s="4" t="s">
        <v>1877</v>
      </c>
      <c r="C9" s="4" t="s">
        <v>1797</v>
      </c>
      <c r="D9" s="254">
        <v>41066</v>
      </c>
      <c r="E9" s="4">
        <v>-7</v>
      </c>
      <c r="F9" s="4" t="s">
        <v>1813</v>
      </c>
      <c r="G9" s="4" t="s">
        <v>1815</v>
      </c>
      <c r="H9" s="4">
        <v>59.012299999999996</v>
      </c>
      <c r="I9" s="257">
        <v>8.1687705882352937</v>
      </c>
      <c r="J9" s="4" t="s">
        <v>1815</v>
      </c>
      <c r="K9" s="255" t="s">
        <v>1878</v>
      </c>
      <c r="L9" s="5" t="s">
        <v>1875</v>
      </c>
      <c r="M9" s="4" t="s">
        <v>1817</v>
      </c>
      <c r="N9" s="4" t="s">
        <v>1819</v>
      </c>
      <c r="O9" s="4"/>
      <c r="P9" s="149"/>
    </row>
    <row r="10" spans="1:16">
      <c r="A10" s="4" t="s">
        <v>1879</v>
      </c>
      <c r="B10" s="4" t="s">
        <v>1880</v>
      </c>
      <c r="C10" s="4" t="s">
        <v>1798</v>
      </c>
      <c r="D10" s="254">
        <v>41066</v>
      </c>
      <c r="E10" s="4">
        <v>-7</v>
      </c>
      <c r="F10" s="4" t="s">
        <v>1813</v>
      </c>
      <c r="G10" s="4" t="s">
        <v>1815</v>
      </c>
      <c r="H10" s="4">
        <v>65.081000000000003</v>
      </c>
      <c r="I10" s="257">
        <v>8.1104294117647058</v>
      </c>
      <c r="J10" s="4" t="s">
        <v>1815</v>
      </c>
      <c r="K10" s="255" t="s">
        <v>1878</v>
      </c>
      <c r="L10" s="5" t="s">
        <v>1881</v>
      </c>
      <c r="M10" s="4" t="s">
        <v>1817</v>
      </c>
      <c r="N10" s="4" t="s">
        <v>1819</v>
      </c>
      <c r="O10" s="4"/>
      <c r="P10" s="149"/>
    </row>
    <row r="11" spans="1:16">
      <c r="A11" s="4" t="s">
        <v>1882</v>
      </c>
      <c r="B11" s="4" t="s">
        <v>1883</v>
      </c>
      <c r="C11" s="4" t="s">
        <v>1799</v>
      </c>
      <c r="D11" s="254">
        <v>41066</v>
      </c>
      <c r="E11" s="4">
        <v>-7</v>
      </c>
      <c r="F11" s="4" t="s">
        <v>1813</v>
      </c>
      <c r="G11" s="4" t="s">
        <v>1815</v>
      </c>
      <c r="H11" s="4">
        <v>69.078149999999994</v>
      </c>
      <c r="I11" s="257">
        <v>7.8559941176470591</v>
      </c>
      <c r="J11" s="4" t="s">
        <v>1815</v>
      </c>
      <c r="K11" s="255" t="s">
        <v>1878</v>
      </c>
      <c r="L11" s="5" t="s">
        <v>1875</v>
      </c>
      <c r="M11" s="4" t="s">
        <v>1817</v>
      </c>
      <c r="N11" s="4" t="s">
        <v>1819</v>
      </c>
      <c r="O11" s="4"/>
      <c r="P11" s="149"/>
    </row>
    <row r="12" spans="1:16">
      <c r="A12" s="142"/>
      <c r="B12" s="4"/>
      <c r="C12" s="4"/>
      <c r="D12" s="4"/>
      <c r="E12" s="4"/>
      <c r="F12" s="4"/>
      <c r="G12" s="4"/>
      <c r="H12" s="4"/>
      <c r="I12" s="4"/>
      <c r="J12" s="4"/>
      <c r="K12" s="4"/>
      <c r="L12" s="4"/>
      <c r="M12" s="4"/>
      <c r="N12" s="4"/>
      <c r="O12" s="4"/>
      <c r="P12" s="149"/>
    </row>
    <row r="13" spans="1:16">
      <c r="A13" s="142"/>
      <c r="B13" s="4"/>
      <c r="C13" s="4"/>
      <c r="D13" s="4"/>
      <c r="E13" s="4"/>
      <c r="F13" s="4"/>
      <c r="G13" s="4"/>
      <c r="H13" s="4"/>
      <c r="I13" s="4"/>
      <c r="J13" s="4"/>
      <c r="K13" s="4"/>
      <c r="L13" s="4"/>
      <c r="M13" s="4"/>
      <c r="N13" s="4"/>
      <c r="O13" s="4"/>
      <c r="P13" s="149"/>
    </row>
    <row r="14" spans="1:16">
      <c r="A14" s="142"/>
      <c r="B14" s="4"/>
      <c r="C14" s="4"/>
      <c r="D14" s="4"/>
      <c r="E14" s="4"/>
      <c r="F14" s="4"/>
      <c r="G14" s="4"/>
      <c r="H14" s="4"/>
      <c r="I14" s="4"/>
      <c r="J14" s="4"/>
      <c r="K14" s="4"/>
      <c r="L14" s="4"/>
      <c r="M14" s="4"/>
      <c r="N14" s="4"/>
      <c r="O14" s="4"/>
      <c r="P14" s="149"/>
    </row>
    <row r="15" spans="1:16">
      <c r="A15" s="142"/>
      <c r="B15" s="4"/>
      <c r="C15" s="4"/>
      <c r="D15" s="4"/>
      <c r="E15" s="4"/>
      <c r="F15" s="4"/>
      <c r="G15" s="4"/>
      <c r="H15" s="4"/>
      <c r="I15" s="4"/>
      <c r="J15" s="4"/>
      <c r="K15" s="4"/>
      <c r="L15" s="4"/>
      <c r="M15" s="4"/>
      <c r="N15" s="4"/>
      <c r="O15" s="4"/>
      <c r="P15" s="149"/>
    </row>
    <row r="16" spans="1:16">
      <c r="A16" s="142"/>
      <c r="B16" s="4"/>
      <c r="C16" s="4"/>
      <c r="D16" s="4"/>
      <c r="E16" s="4"/>
      <c r="F16" s="4"/>
      <c r="G16" s="4"/>
      <c r="H16" s="4"/>
      <c r="I16" s="4"/>
      <c r="J16" s="4"/>
      <c r="K16" s="4"/>
      <c r="L16" s="4"/>
      <c r="M16" s="4"/>
      <c r="N16" s="4"/>
      <c r="O16" s="4"/>
      <c r="P16" s="149"/>
    </row>
    <row r="17" spans="1:16">
      <c r="A17" s="142"/>
      <c r="B17" s="4"/>
      <c r="C17" s="4"/>
      <c r="D17" s="4"/>
      <c r="E17" s="4"/>
      <c r="F17" s="4"/>
      <c r="G17" s="4"/>
      <c r="H17" s="4"/>
      <c r="I17" s="4"/>
      <c r="J17" s="4"/>
      <c r="K17" s="4"/>
      <c r="L17" s="4"/>
      <c r="M17" s="4"/>
      <c r="N17" s="4"/>
      <c r="O17" s="4"/>
      <c r="P17" s="149"/>
    </row>
    <row r="18" spans="1:16">
      <c r="A18" s="142"/>
      <c r="B18" s="4"/>
      <c r="C18" s="4"/>
      <c r="D18" s="4"/>
      <c r="E18" s="4"/>
      <c r="F18" s="4"/>
      <c r="G18" s="4"/>
      <c r="H18" s="4"/>
      <c r="I18" s="4"/>
      <c r="J18" s="4"/>
      <c r="K18" s="4"/>
      <c r="L18" s="4"/>
      <c r="M18" s="4"/>
      <c r="N18" s="4"/>
      <c r="O18" s="4"/>
      <c r="P18" s="149"/>
    </row>
    <row r="19" spans="1:16">
      <c r="A19" s="142"/>
      <c r="B19" s="4"/>
      <c r="C19" s="4"/>
      <c r="D19" s="4"/>
      <c r="E19" s="4"/>
      <c r="F19" s="4"/>
      <c r="G19" s="4"/>
      <c r="H19" s="4"/>
      <c r="I19" s="4"/>
      <c r="J19" s="4"/>
      <c r="K19" s="4"/>
      <c r="L19" s="4"/>
      <c r="M19" s="4"/>
      <c r="N19" s="4"/>
      <c r="O19" s="4"/>
      <c r="P19" s="149"/>
    </row>
    <row r="20" spans="1:16">
      <c r="A20" s="142"/>
      <c r="B20" s="4"/>
      <c r="C20" s="4"/>
      <c r="D20" s="4"/>
      <c r="E20" s="4"/>
      <c r="F20" s="4"/>
      <c r="G20" s="4"/>
      <c r="H20" s="4"/>
      <c r="I20" s="4"/>
      <c r="J20" s="4"/>
      <c r="K20" s="4"/>
      <c r="L20" s="4"/>
      <c r="M20" s="4"/>
      <c r="N20" s="4"/>
      <c r="O20" s="4"/>
      <c r="P20" s="149"/>
    </row>
    <row r="21" spans="1:16">
      <c r="A21" s="142"/>
      <c r="B21" s="4"/>
      <c r="C21" s="4"/>
      <c r="D21" s="4"/>
      <c r="E21" s="4"/>
      <c r="F21" s="4"/>
      <c r="G21" s="4"/>
      <c r="H21" s="4"/>
      <c r="I21" s="4"/>
      <c r="J21" s="4"/>
      <c r="K21" s="4"/>
      <c r="L21" s="4"/>
      <c r="M21" s="4"/>
      <c r="N21" s="4"/>
      <c r="O21" s="4"/>
      <c r="P21" s="149"/>
    </row>
    <row r="22" spans="1:16">
      <c r="A22" s="142"/>
      <c r="B22" s="4"/>
      <c r="C22" s="4"/>
      <c r="D22" s="4"/>
      <c r="E22" s="4"/>
      <c r="F22" s="4"/>
      <c r="G22" s="4"/>
      <c r="H22" s="4"/>
      <c r="I22" s="4"/>
      <c r="J22" s="4"/>
      <c r="K22" s="4"/>
      <c r="L22" s="4"/>
      <c r="M22" s="4"/>
      <c r="N22" s="4"/>
      <c r="O22" s="4"/>
      <c r="P22" s="149"/>
    </row>
    <row r="23" spans="1:16">
      <c r="A23" s="142"/>
      <c r="B23" s="4"/>
      <c r="C23" s="4"/>
      <c r="D23" s="4"/>
      <c r="E23" s="4"/>
      <c r="F23" s="4"/>
      <c r="G23" s="4"/>
      <c r="H23" s="4"/>
      <c r="I23" s="4"/>
      <c r="J23" s="4"/>
      <c r="K23" s="4"/>
      <c r="L23" s="4"/>
      <c r="M23" s="4"/>
      <c r="N23" s="4"/>
      <c r="O23" s="4"/>
      <c r="P23" s="149"/>
    </row>
    <row r="24" spans="1:16">
      <c r="A24" s="142"/>
      <c r="B24" s="4"/>
      <c r="C24" s="4"/>
      <c r="D24" s="4"/>
      <c r="E24" s="4"/>
      <c r="F24" s="4"/>
      <c r="G24" s="4"/>
      <c r="H24" s="4"/>
      <c r="I24" s="4"/>
      <c r="J24" s="4"/>
      <c r="K24" s="4"/>
      <c r="L24" s="4"/>
      <c r="M24" s="4"/>
      <c r="N24" s="4"/>
      <c r="O24" s="4"/>
      <c r="P24" s="149"/>
    </row>
    <row r="25" spans="1:16">
      <c r="A25" s="142"/>
      <c r="B25" s="4"/>
      <c r="C25" s="4"/>
      <c r="D25" s="4"/>
      <c r="E25" s="4"/>
      <c r="F25" s="4"/>
      <c r="G25" s="4"/>
      <c r="H25" s="4"/>
      <c r="I25" s="4"/>
      <c r="J25" s="4"/>
      <c r="K25" s="4"/>
      <c r="L25" s="4"/>
      <c r="M25" s="4"/>
      <c r="N25" s="4"/>
      <c r="O25" s="4"/>
      <c r="P25" s="149"/>
    </row>
    <row r="26" spans="1:16">
      <c r="A26" s="142"/>
      <c r="B26" s="4"/>
      <c r="C26" s="4"/>
      <c r="D26" s="4"/>
      <c r="E26" s="4"/>
      <c r="F26" s="4"/>
      <c r="G26" s="4"/>
      <c r="H26" s="4"/>
      <c r="I26" s="4"/>
      <c r="J26" s="4"/>
      <c r="K26" s="4"/>
      <c r="L26" s="4"/>
      <c r="M26" s="4"/>
      <c r="N26" s="4"/>
      <c r="O26" s="4"/>
      <c r="P26" s="149"/>
    </row>
    <row r="27" spans="1:16">
      <c r="A27" s="142"/>
      <c r="B27" s="4"/>
      <c r="C27" s="4"/>
      <c r="D27" s="4"/>
      <c r="E27" s="4"/>
      <c r="F27" s="4"/>
      <c r="G27" s="4"/>
      <c r="H27" s="4"/>
      <c r="I27" s="4"/>
      <c r="J27" s="4"/>
      <c r="K27" s="4"/>
      <c r="L27" s="4"/>
      <c r="M27" s="4"/>
      <c r="N27" s="4"/>
      <c r="O27" s="4"/>
      <c r="P27" s="149"/>
    </row>
    <row r="28" spans="1:16">
      <c r="A28" s="142"/>
      <c r="B28" s="4"/>
      <c r="C28" s="4"/>
      <c r="D28" s="4"/>
      <c r="E28" s="4"/>
      <c r="F28" s="4"/>
      <c r="G28" s="4"/>
      <c r="H28" s="4"/>
      <c r="I28" s="4"/>
      <c r="J28" s="4"/>
      <c r="K28" s="4"/>
      <c r="L28" s="4"/>
      <c r="M28" s="4"/>
      <c r="N28" s="4"/>
      <c r="O28" s="4"/>
      <c r="P28" s="149"/>
    </row>
    <row r="29" spans="1:16">
      <c r="A29" s="142"/>
      <c r="B29" s="4"/>
      <c r="C29" s="4"/>
      <c r="D29" s="4"/>
      <c r="E29" s="4"/>
      <c r="F29" s="4"/>
      <c r="G29" s="4"/>
      <c r="H29" s="4"/>
      <c r="I29" s="4"/>
      <c r="J29" s="4"/>
      <c r="K29" s="4"/>
      <c r="L29" s="4"/>
      <c r="M29" s="4"/>
      <c r="N29" s="4"/>
      <c r="O29" s="4"/>
      <c r="P29" s="149"/>
    </row>
    <row r="30" spans="1:16">
      <c r="A30" s="142"/>
      <c r="B30" s="4"/>
      <c r="C30" s="4"/>
      <c r="D30" s="4"/>
      <c r="E30" s="4"/>
      <c r="F30" s="4"/>
      <c r="G30" s="4"/>
      <c r="H30" s="4"/>
      <c r="I30" s="4"/>
      <c r="J30" s="4"/>
      <c r="K30" s="4"/>
      <c r="L30" s="4"/>
      <c r="M30" s="4"/>
      <c r="N30" s="4"/>
      <c r="O30" s="4"/>
      <c r="P30" s="149"/>
    </row>
    <row r="31" spans="1:16">
      <c r="A31" s="142"/>
      <c r="B31" s="4"/>
      <c r="C31" s="4"/>
      <c r="D31" s="4"/>
      <c r="E31" s="4"/>
      <c r="F31" s="4"/>
      <c r="G31" s="4"/>
      <c r="H31" s="4"/>
      <c r="I31" s="4"/>
      <c r="J31" s="4"/>
      <c r="K31" s="4"/>
      <c r="L31" s="4"/>
      <c r="M31" s="4"/>
      <c r="N31" s="4"/>
      <c r="O31" s="4"/>
      <c r="P31" s="149"/>
    </row>
    <row r="32" spans="1:16">
      <c r="A32" s="142"/>
      <c r="B32" s="4"/>
      <c r="C32" s="4"/>
      <c r="D32" s="4"/>
      <c r="E32" s="4"/>
      <c r="F32" s="4"/>
      <c r="G32" s="4"/>
      <c r="H32" s="4"/>
      <c r="I32" s="4"/>
      <c r="J32" s="4"/>
      <c r="K32" s="4"/>
      <c r="L32" s="4"/>
      <c r="M32" s="4"/>
      <c r="N32" s="4"/>
      <c r="O32" s="4"/>
      <c r="P32" s="149"/>
    </row>
    <row r="33" spans="1:16">
      <c r="A33" s="142"/>
      <c r="B33" s="4"/>
      <c r="C33" s="4"/>
      <c r="D33" s="4"/>
      <c r="E33" s="4"/>
      <c r="F33" s="4"/>
      <c r="G33" s="4"/>
      <c r="H33" s="4"/>
      <c r="I33" s="4"/>
      <c r="J33" s="4"/>
      <c r="K33" s="4"/>
      <c r="L33" s="4"/>
      <c r="M33" s="4"/>
      <c r="N33" s="4"/>
      <c r="O33" s="4"/>
      <c r="P33" s="149"/>
    </row>
    <row r="34" spans="1:16">
      <c r="A34" s="142"/>
      <c r="B34" s="4"/>
      <c r="C34" s="4"/>
      <c r="D34" s="4"/>
      <c r="E34" s="4"/>
      <c r="F34" s="4"/>
      <c r="G34" s="4"/>
      <c r="H34" s="4"/>
      <c r="I34" s="4"/>
      <c r="J34" s="4"/>
      <c r="K34" s="4"/>
      <c r="L34" s="4"/>
      <c r="M34" s="4"/>
      <c r="N34" s="4"/>
      <c r="O34" s="4"/>
      <c r="P34" s="149"/>
    </row>
    <row r="35" spans="1:16">
      <c r="A35" s="142"/>
      <c r="B35" s="4"/>
      <c r="C35" s="4"/>
      <c r="D35" s="4"/>
      <c r="E35" s="4"/>
      <c r="F35" s="4"/>
      <c r="G35" s="4"/>
      <c r="H35" s="4"/>
      <c r="I35" s="4"/>
      <c r="J35" s="4"/>
      <c r="K35" s="4"/>
      <c r="L35" s="4"/>
      <c r="M35" s="4"/>
      <c r="N35" s="4"/>
      <c r="O35" s="4"/>
      <c r="P35" s="149"/>
    </row>
    <row r="36" spans="1:16">
      <c r="A36" s="142"/>
      <c r="B36" s="4"/>
      <c r="C36" s="4"/>
      <c r="D36" s="4"/>
      <c r="E36" s="4"/>
      <c r="F36" s="4"/>
      <c r="G36" s="4"/>
      <c r="H36" s="4"/>
      <c r="I36" s="4"/>
      <c r="J36" s="4"/>
      <c r="K36" s="4"/>
      <c r="L36" s="4"/>
      <c r="M36" s="4"/>
      <c r="N36" s="4"/>
      <c r="O36" s="4"/>
      <c r="P36" s="149"/>
    </row>
    <row r="37" spans="1:16">
      <c r="A37" s="142"/>
      <c r="B37" s="4"/>
      <c r="C37" s="4"/>
      <c r="D37" s="4"/>
      <c r="E37" s="4"/>
      <c r="F37" s="4"/>
      <c r="G37" s="4"/>
      <c r="H37" s="4"/>
      <c r="I37" s="4"/>
      <c r="J37" s="4"/>
      <c r="K37" s="4"/>
      <c r="L37" s="4"/>
      <c r="M37" s="4"/>
      <c r="N37" s="4"/>
      <c r="O37" s="4"/>
      <c r="P37" s="149"/>
    </row>
    <row r="38" spans="1:16">
      <c r="A38" s="142"/>
      <c r="B38" s="4"/>
      <c r="C38" s="4"/>
      <c r="D38" s="4"/>
      <c r="E38" s="4"/>
      <c r="F38" s="4"/>
      <c r="G38" s="4"/>
      <c r="H38" s="4"/>
      <c r="I38" s="4"/>
      <c r="J38" s="4"/>
      <c r="K38" s="4"/>
      <c r="L38" s="4"/>
      <c r="M38" s="4"/>
      <c r="N38" s="4"/>
      <c r="O38" s="4"/>
      <c r="P38" s="149"/>
    </row>
    <row r="39" spans="1:16">
      <c r="A39" s="142"/>
      <c r="B39" s="4"/>
      <c r="C39" s="4"/>
      <c r="D39" s="4"/>
      <c r="E39" s="4"/>
      <c r="F39" s="4"/>
      <c r="G39" s="4"/>
      <c r="H39" s="4"/>
      <c r="I39" s="4"/>
      <c r="J39" s="4"/>
      <c r="K39" s="4"/>
      <c r="L39" s="4"/>
      <c r="M39" s="4"/>
      <c r="N39" s="4"/>
      <c r="O39" s="4"/>
      <c r="P39" s="149"/>
    </row>
    <row r="40" spans="1:16">
      <c r="A40" s="142"/>
      <c r="B40" s="4"/>
      <c r="C40" s="4"/>
      <c r="D40" s="4"/>
      <c r="E40" s="4"/>
      <c r="F40" s="4"/>
      <c r="G40" s="4"/>
      <c r="H40" s="4"/>
      <c r="I40" s="4"/>
      <c r="J40" s="4"/>
      <c r="K40" s="4"/>
      <c r="L40" s="4"/>
      <c r="M40" s="4"/>
      <c r="N40" s="4"/>
      <c r="O40" s="4"/>
      <c r="P40" s="149"/>
    </row>
    <row r="41" spans="1:16">
      <c r="A41" s="142"/>
      <c r="B41" s="4"/>
      <c r="C41" s="4"/>
      <c r="D41" s="4"/>
      <c r="E41" s="4"/>
      <c r="F41" s="4"/>
      <c r="G41" s="4"/>
      <c r="H41" s="4"/>
      <c r="I41" s="4"/>
      <c r="J41" s="4"/>
      <c r="K41" s="4"/>
      <c r="L41" s="4"/>
      <c r="M41" s="4"/>
      <c r="N41" s="4"/>
      <c r="O41" s="4"/>
      <c r="P41" s="149"/>
    </row>
    <row r="42" spans="1:16">
      <c r="A42" s="142"/>
      <c r="B42" s="4"/>
      <c r="C42" s="4"/>
      <c r="D42" s="4"/>
      <c r="E42" s="4"/>
      <c r="F42" s="4"/>
      <c r="G42" s="4"/>
      <c r="H42" s="4"/>
      <c r="I42" s="4"/>
      <c r="J42" s="4"/>
      <c r="K42" s="4"/>
      <c r="L42" s="4"/>
      <c r="M42" s="4"/>
      <c r="N42" s="4"/>
      <c r="O42" s="4"/>
      <c r="P42" s="149"/>
    </row>
    <row r="43" spans="1:16">
      <c r="A43" s="142"/>
      <c r="B43" s="4"/>
      <c r="C43" s="4"/>
      <c r="D43" s="4"/>
      <c r="E43" s="4"/>
      <c r="F43" s="4"/>
      <c r="G43" s="4"/>
      <c r="H43" s="4"/>
      <c r="I43" s="4"/>
      <c r="J43" s="4"/>
      <c r="K43" s="4"/>
      <c r="L43" s="4"/>
      <c r="M43" s="4"/>
      <c r="N43" s="4"/>
      <c r="O43" s="4"/>
      <c r="P43" s="149"/>
    </row>
    <row r="44" spans="1:16">
      <c r="A44" s="142"/>
      <c r="B44" s="4"/>
      <c r="C44" s="4"/>
      <c r="D44" s="4"/>
      <c r="E44" s="4"/>
      <c r="F44" s="4"/>
      <c r="G44" s="4"/>
      <c r="H44" s="4"/>
      <c r="I44" s="4"/>
      <c r="J44" s="4"/>
      <c r="K44" s="4"/>
      <c r="L44" s="4"/>
      <c r="M44" s="4"/>
      <c r="N44" s="4"/>
      <c r="O44" s="4"/>
      <c r="P44" s="149"/>
    </row>
    <row r="45" spans="1:16">
      <c r="A45" s="142"/>
      <c r="B45" s="4"/>
      <c r="C45" s="4"/>
      <c r="D45" s="4"/>
      <c r="E45" s="4"/>
      <c r="F45" s="4"/>
      <c r="G45" s="4"/>
      <c r="H45" s="4"/>
      <c r="I45" s="4"/>
      <c r="J45" s="4"/>
      <c r="K45" s="4"/>
      <c r="L45" s="4"/>
      <c r="M45" s="4"/>
      <c r="N45" s="4"/>
      <c r="O45" s="4"/>
      <c r="P45" s="149"/>
    </row>
    <row r="46" spans="1:16">
      <c r="A46" s="142"/>
      <c r="B46" s="4"/>
      <c r="C46" s="4"/>
      <c r="D46" s="4"/>
      <c r="E46" s="4"/>
      <c r="F46" s="4"/>
      <c r="G46" s="4"/>
      <c r="H46" s="4"/>
      <c r="I46" s="4"/>
      <c r="J46" s="4"/>
      <c r="K46" s="4"/>
      <c r="L46" s="4"/>
      <c r="M46" s="4"/>
      <c r="N46" s="4"/>
      <c r="O46" s="4"/>
      <c r="P46" s="149"/>
    </row>
    <row r="47" spans="1:16">
      <c r="A47" s="142"/>
      <c r="B47" s="4"/>
      <c r="C47" s="4"/>
      <c r="D47" s="4"/>
      <c r="E47" s="4"/>
      <c r="F47" s="4"/>
      <c r="G47" s="4"/>
      <c r="H47" s="4"/>
      <c r="I47" s="4"/>
      <c r="J47" s="4"/>
      <c r="K47" s="4"/>
      <c r="L47" s="4"/>
      <c r="M47" s="4"/>
      <c r="N47" s="4"/>
      <c r="O47" s="4"/>
      <c r="P47" s="149"/>
    </row>
    <row r="48" spans="1:16">
      <c r="A48" s="142"/>
      <c r="B48" s="4"/>
      <c r="C48" s="4"/>
      <c r="D48" s="4"/>
      <c r="E48" s="4"/>
      <c r="F48" s="4"/>
      <c r="G48" s="4"/>
      <c r="H48" s="4"/>
      <c r="I48" s="4"/>
      <c r="J48" s="4"/>
      <c r="K48" s="4"/>
      <c r="L48" s="4"/>
      <c r="M48" s="4"/>
      <c r="N48" s="4"/>
      <c r="O48" s="4"/>
      <c r="P48" s="149"/>
    </row>
    <row r="49" spans="1:16">
      <c r="A49" s="142"/>
      <c r="B49" s="4"/>
      <c r="C49" s="4"/>
      <c r="D49" s="4"/>
      <c r="E49" s="4"/>
      <c r="F49" s="4"/>
      <c r="G49" s="4"/>
      <c r="H49" s="4"/>
      <c r="I49" s="4"/>
      <c r="J49" s="4"/>
      <c r="K49" s="4"/>
      <c r="L49" s="4"/>
      <c r="M49" s="4"/>
      <c r="N49" s="4"/>
      <c r="O49" s="4"/>
      <c r="P49" s="149"/>
    </row>
    <row r="50" spans="1:16">
      <c r="A50" s="142"/>
      <c r="B50" s="4"/>
      <c r="C50" s="4"/>
      <c r="D50" s="4"/>
      <c r="E50" s="4"/>
      <c r="F50" s="4"/>
      <c r="G50" s="4"/>
      <c r="H50" s="4"/>
      <c r="I50" s="4"/>
      <c r="J50" s="4"/>
      <c r="K50" s="4"/>
      <c r="L50" s="4"/>
      <c r="M50" s="4"/>
      <c r="N50" s="4"/>
      <c r="O50" s="4"/>
      <c r="P50" s="149"/>
    </row>
    <row r="51" spans="1:16">
      <c r="A51" s="142"/>
      <c r="B51" s="4"/>
      <c r="C51" s="4"/>
      <c r="D51" s="4"/>
      <c r="E51" s="4"/>
      <c r="F51" s="4"/>
      <c r="G51" s="4"/>
      <c r="H51" s="4"/>
      <c r="I51" s="4"/>
      <c r="J51" s="4"/>
      <c r="K51" s="4"/>
      <c r="L51" s="4"/>
      <c r="M51" s="4"/>
      <c r="N51" s="4"/>
      <c r="O51" s="4"/>
      <c r="P51" s="149"/>
    </row>
    <row r="52" spans="1:16">
      <c r="A52" s="142"/>
      <c r="B52" s="4"/>
      <c r="C52" s="4"/>
      <c r="D52" s="4"/>
      <c r="E52" s="4"/>
      <c r="F52" s="4"/>
      <c r="G52" s="4"/>
      <c r="H52" s="4"/>
      <c r="I52" s="4"/>
      <c r="J52" s="4"/>
      <c r="K52" s="4"/>
      <c r="L52" s="4"/>
      <c r="M52" s="4"/>
      <c r="N52" s="4"/>
      <c r="O52" s="4"/>
      <c r="P52" s="149"/>
    </row>
    <row r="53" spans="1:16">
      <c r="A53" s="142"/>
      <c r="B53" s="4"/>
      <c r="C53" s="4"/>
      <c r="D53" s="4"/>
      <c r="E53" s="4"/>
      <c r="F53" s="4"/>
      <c r="G53" s="4"/>
      <c r="H53" s="4"/>
      <c r="I53" s="4"/>
      <c r="J53" s="4"/>
      <c r="K53" s="4"/>
      <c r="L53" s="4"/>
      <c r="M53" s="4"/>
      <c r="N53" s="4"/>
      <c r="O53" s="4"/>
      <c r="P53" s="149"/>
    </row>
    <row r="54" spans="1:16">
      <c r="A54" s="142"/>
      <c r="B54" s="4"/>
      <c r="C54" s="4"/>
      <c r="D54" s="4"/>
      <c r="E54" s="4"/>
      <c r="F54" s="4"/>
      <c r="G54" s="4"/>
      <c r="H54" s="4"/>
      <c r="I54" s="4"/>
      <c r="J54" s="4"/>
      <c r="K54" s="4"/>
      <c r="L54" s="4"/>
      <c r="M54" s="4"/>
      <c r="N54" s="4"/>
      <c r="O54" s="4"/>
      <c r="P54" s="149"/>
    </row>
    <row r="55" spans="1:16">
      <c r="A55" s="142"/>
      <c r="B55" s="4"/>
      <c r="C55" s="4"/>
      <c r="D55" s="4"/>
      <c r="E55" s="4"/>
      <c r="F55" s="4"/>
      <c r="G55" s="4"/>
      <c r="H55" s="4"/>
      <c r="I55" s="4"/>
      <c r="J55" s="4"/>
      <c r="K55" s="4"/>
      <c r="L55" s="4"/>
      <c r="M55" s="4"/>
      <c r="N55" s="4"/>
      <c r="O55" s="4"/>
      <c r="P55" s="149"/>
    </row>
    <row r="56" spans="1:16">
      <c r="A56" s="142"/>
      <c r="B56" s="4"/>
      <c r="C56" s="4"/>
      <c r="D56" s="4"/>
      <c r="E56" s="4"/>
      <c r="F56" s="4"/>
      <c r="G56" s="4"/>
      <c r="H56" s="4"/>
      <c r="I56" s="4"/>
      <c r="J56" s="4"/>
      <c r="K56" s="4"/>
      <c r="L56" s="4"/>
      <c r="M56" s="4"/>
      <c r="N56" s="4"/>
      <c r="O56" s="4"/>
      <c r="P56" s="149"/>
    </row>
    <row r="57" spans="1:16">
      <c r="A57" s="142"/>
      <c r="B57" s="4"/>
      <c r="C57" s="4"/>
      <c r="D57" s="4"/>
      <c r="E57" s="4"/>
      <c r="F57" s="4"/>
      <c r="G57" s="4"/>
      <c r="H57" s="4"/>
      <c r="I57" s="4"/>
      <c r="J57" s="4"/>
      <c r="K57" s="4"/>
      <c r="L57" s="4"/>
      <c r="M57" s="4"/>
      <c r="N57" s="4"/>
      <c r="O57" s="4"/>
      <c r="P57" s="149"/>
    </row>
    <row r="58" spans="1:16">
      <c r="A58" s="142"/>
      <c r="B58" s="4"/>
      <c r="C58" s="4"/>
      <c r="D58" s="4"/>
      <c r="E58" s="4"/>
      <c r="F58" s="4"/>
      <c r="G58" s="4"/>
      <c r="H58" s="4"/>
      <c r="I58" s="4"/>
      <c r="J58" s="4"/>
      <c r="K58" s="4"/>
      <c r="L58" s="4"/>
      <c r="M58" s="4"/>
      <c r="N58" s="4"/>
      <c r="O58" s="4"/>
      <c r="P58" s="149"/>
    </row>
    <row r="59" spans="1:16">
      <c r="A59" s="142"/>
      <c r="B59" s="4"/>
      <c r="C59" s="4"/>
      <c r="D59" s="4"/>
      <c r="E59" s="4"/>
      <c r="F59" s="4"/>
      <c r="G59" s="4"/>
      <c r="H59" s="4"/>
      <c r="I59" s="4"/>
      <c r="J59" s="4"/>
      <c r="K59" s="4"/>
      <c r="L59" s="4"/>
      <c r="M59" s="4"/>
      <c r="N59" s="4"/>
      <c r="O59" s="4"/>
      <c r="P59" s="149"/>
    </row>
    <row r="60" spans="1:16">
      <c r="A60" s="142"/>
      <c r="B60" s="4"/>
      <c r="C60" s="4"/>
      <c r="D60" s="4"/>
      <c r="E60" s="4"/>
      <c r="F60" s="4"/>
      <c r="G60" s="4"/>
      <c r="H60" s="4"/>
      <c r="I60" s="4"/>
      <c r="J60" s="4"/>
      <c r="K60" s="4"/>
      <c r="L60" s="4"/>
      <c r="M60" s="4"/>
      <c r="N60" s="4"/>
      <c r="O60" s="4"/>
      <c r="P60" s="149"/>
    </row>
    <row r="61" spans="1:16">
      <c r="A61" s="142"/>
      <c r="B61" s="4"/>
      <c r="C61" s="4"/>
      <c r="D61" s="4"/>
      <c r="E61" s="4"/>
      <c r="F61" s="4"/>
      <c r="G61" s="4"/>
      <c r="H61" s="4"/>
      <c r="I61" s="4"/>
      <c r="J61" s="4"/>
      <c r="K61" s="4"/>
      <c r="L61" s="4"/>
      <c r="M61" s="4"/>
      <c r="N61" s="4"/>
      <c r="O61" s="4"/>
      <c r="P61" s="149"/>
    </row>
    <row r="62" spans="1:16">
      <c r="A62" s="142"/>
      <c r="B62" s="4"/>
      <c r="C62" s="4"/>
      <c r="D62" s="4"/>
      <c r="E62" s="4"/>
      <c r="F62" s="4"/>
      <c r="G62" s="4"/>
      <c r="H62" s="4"/>
      <c r="I62" s="4"/>
      <c r="J62" s="4"/>
      <c r="K62" s="4"/>
      <c r="L62" s="4"/>
      <c r="M62" s="4"/>
      <c r="N62" s="4"/>
      <c r="O62" s="4"/>
      <c r="P62" s="149"/>
    </row>
    <row r="63" spans="1:16">
      <c r="A63" s="142"/>
      <c r="B63" s="4"/>
      <c r="C63" s="4"/>
      <c r="D63" s="4"/>
      <c r="E63" s="4"/>
      <c r="F63" s="4"/>
      <c r="G63" s="4"/>
      <c r="H63" s="4"/>
      <c r="I63" s="4"/>
      <c r="J63" s="4"/>
      <c r="K63" s="4"/>
      <c r="L63" s="4"/>
      <c r="M63" s="4"/>
      <c r="N63" s="4"/>
      <c r="O63" s="4"/>
      <c r="P63" s="149"/>
    </row>
    <row r="64" spans="1:16">
      <c r="A64" s="142"/>
      <c r="B64" s="4"/>
      <c r="C64" s="4"/>
      <c r="D64" s="4"/>
      <c r="E64" s="4"/>
      <c r="F64" s="4"/>
      <c r="G64" s="4"/>
      <c r="H64" s="4"/>
      <c r="I64" s="4"/>
      <c r="J64" s="4"/>
      <c r="K64" s="4"/>
      <c r="L64" s="4"/>
      <c r="M64" s="4"/>
      <c r="N64" s="4"/>
      <c r="O64" s="4"/>
      <c r="P64" s="149"/>
    </row>
    <row r="65" spans="1:16">
      <c r="A65" s="142"/>
      <c r="B65" s="4"/>
      <c r="C65" s="4"/>
      <c r="D65" s="4"/>
      <c r="E65" s="4"/>
      <c r="F65" s="4"/>
      <c r="G65" s="4"/>
      <c r="H65" s="4"/>
      <c r="I65" s="4"/>
      <c r="J65" s="4"/>
      <c r="K65" s="4"/>
      <c r="L65" s="4"/>
      <c r="M65" s="4"/>
      <c r="N65" s="4"/>
      <c r="O65" s="4"/>
      <c r="P65" s="149"/>
    </row>
    <row r="66" spans="1:16">
      <c r="A66" s="142"/>
      <c r="B66" s="4"/>
      <c r="C66" s="4"/>
      <c r="D66" s="4"/>
      <c r="E66" s="4"/>
      <c r="F66" s="4"/>
      <c r="G66" s="4"/>
      <c r="H66" s="4"/>
      <c r="I66" s="4"/>
      <c r="J66" s="4"/>
      <c r="K66" s="4"/>
      <c r="L66" s="4"/>
      <c r="M66" s="4"/>
      <c r="N66" s="4"/>
      <c r="O66" s="4"/>
      <c r="P66" s="149"/>
    </row>
    <row r="67" spans="1:16">
      <c r="A67" s="142"/>
      <c r="B67" s="4"/>
      <c r="C67" s="4"/>
      <c r="D67" s="4"/>
      <c r="E67" s="4"/>
      <c r="F67" s="4"/>
      <c r="G67" s="4"/>
      <c r="H67" s="4"/>
      <c r="I67" s="4"/>
      <c r="J67" s="4"/>
      <c r="K67" s="4"/>
      <c r="L67" s="4"/>
      <c r="M67" s="4"/>
      <c r="N67" s="4"/>
      <c r="O67" s="4"/>
      <c r="P67" s="149"/>
    </row>
    <row r="68" spans="1:16">
      <c r="A68" s="142"/>
      <c r="B68" s="4"/>
      <c r="C68" s="4"/>
      <c r="D68" s="4"/>
      <c r="E68" s="4"/>
      <c r="F68" s="4"/>
      <c r="G68" s="4"/>
      <c r="H68" s="4"/>
      <c r="I68" s="4"/>
      <c r="J68" s="4"/>
      <c r="K68" s="4"/>
      <c r="L68" s="4"/>
      <c r="M68" s="4"/>
      <c r="N68" s="4"/>
      <c r="O68" s="4"/>
      <c r="P68" s="149"/>
    </row>
    <row r="69" spans="1:16">
      <c r="A69" s="142"/>
      <c r="B69" s="4"/>
      <c r="C69" s="4"/>
      <c r="D69" s="4"/>
      <c r="E69" s="4"/>
      <c r="F69" s="4"/>
      <c r="G69" s="4"/>
      <c r="H69" s="4"/>
      <c r="I69" s="4"/>
      <c r="J69" s="4"/>
      <c r="K69" s="4"/>
      <c r="L69" s="4"/>
      <c r="M69" s="4"/>
      <c r="N69" s="4"/>
      <c r="O69" s="4"/>
      <c r="P69" s="149"/>
    </row>
    <row r="70" spans="1:16">
      <c r="A70" s="142"/>
      <c r="B70" s="4"/>
      <c r="C70" s="4"/>
      <c r="D70" s="4"/>
      <c r="E70" s="4"/>
      <c r="F70" s="4"/>
      <c r="G70" s="4"/>
      <c r="H70" s="4"/>
      <c r="I70" s="4"/>
      <c r="J70" s="4"/>
      <c r="K70" s="4"/>
      <c r="L70" s="4"/>
      <c r="M70" s="4"/>
      <c r="N70" s="4"/>
      <c r="O70" s="4"/>
      <c r="P70" s="149"/>
    </row>
    <row r="71" spans="1:16">
      <c r="A71" s="142"/>
      <c r="B71" s="4"/>
      <c r="C71" s="4"/>
      <c r="D71" s="4"/>
      <c r="E71" s="4"/>
      <c r="F71" s="4"/>
      <c r="G71" s="4"/>
      <c r="H71" s="4"/>
      <c r="I71" s="4"/>
      <c r="J71" s="4"/>
      <c r="K71" s="4"/>
      <c r="L71" s="4"/>
      <c r="M71" s="4"/>
      <c r="N71" s="4"/>
      <c r="O71" s="4"/>
      <c r="P71" s="149"/>
    </row>
    <row r="72" spans="1:16">
      <c r="A72" s="142"/>
      <c r="B72" s="4"/>
      <c r="C72" s="4"/>
      <c r="D72" s="4"/>
      <c r="E72" s="4"/>
      <c r="F72" s="4"/>
      <c r="G72" s="4"/>
      <c r="H72" s="4"/>
      <c r="I72" s="4"/>
      <c r="J72" s="4"/>
      <c r="K72" s="4"/>
      <c r="L72" s="4"/>
      <c r="M72" s="4"/>
      <c r="N72" s="4"/>
      <c r="O72" s="4"/>
      <c r="P72" s="149"/>
    </row>
    <row r="73" spans="1:16">
      <c r="A73" s="142"/>
      <c r="B73" s="4"/>
      <c r="C73" s="4"/>
      <c r="D73" s="4"/>
      <c r="E73" s="4"/>
      <c r="F73" s="4"/>
      <c r="G73" s="4"/>
      <c r="H73" s="4"/>
      <c r="I73" s="4"/>
      <c r="J73" s="4"/>
      <c r="K73" s="4"/>
      <c r="L73" s="4"/>
      <c r="M73" s="4"/>
      <c r="N73" s="4"/>
      <c r="O73" s="4"/>
      <c r="P73" s="149"/>
    </row>
    <row r="74" spans="1:16">
      <c r="A74" s="142"/>
      <c r="B74" s="4"/>
      <c r="C74" s="4"/>
      <c r="D74" s="4"/>
      <c r="E74" s="4"/>
      <c r="F74" s="4"/>
      <c r="G74" s="4"/>
      <c r="H74" s="4"/>
      <c r="I74" s="4"/>
      <c r="J74" s="4"/>
      <c r="K74" s="4"/>
      <c r="L74" s="4"/>
      <c r="M74" s="4"/>
      <c r="N74" s="4"/>
      <c r="O74" s="4"/>
      <c r="P74" s="149"/>
    </row>
    <row r="75" spans="1:16">
      <c r="A75" s="142"/>
      <c r="B75" s="4"/>
      <c r="C75" s="4"/>
      <c r="D75" s="4"/>
      <c r="E75" s="4"/>
      <c r="F75" s="4"/>
      <c r="G75" s="4"/>
      <c r="H75" s="4"/>
      <c r="I75" s="4"/>
      <c r="J75" s="4"/>
      <c r="K75" s="4"/>
      <c r="L75" s="4"/>
      <c r="M75" s="4"/>
      <c r="N75" s="4"/>
      <c r="O75" s="4"/>
      <c r="P75" s="149"/>
    </row>
    <row r="76" spans="1:16">
      <c r="A76" s="142"/>
      <c r="B76" s="4"/>
      <c r="C76" s="4"/>
      <c r="D76" s="4"/>
      <c r="E76" s="4"/>
      <c r="F76" s="4"/>
      <c r="G76" s="4"/>
      <c r="H76" s="4"/>
      <c r="I76" s="4"/>
      <c r="J76" s="4"/>
      <c r="K76" s="4"/>
      <c r="L76" s="4"/>
      <c r="M76" s="4"/>
      <c r="N76" s="4"/>
      <c r="O76" s="4"/>
      <c r="P76" s="149"/>
    </row>
    <row r="77" spans="1:16">
      <c r="A77" s="142"/>
      <c r="B77" s="4"/>
      <c r="C77" s="4"/>
      <c r="D77" s="4"/>
      <c r="E77" s="4"/>
      <c r="F77" s="4"/>
      <c r="G77" s="4"/>
      <c r="H77" s="4"/>
      <c r="I77" s="4"/>
      <c r="J77" s="4"/>
      <c r="K77" s="4"/>
      <c r="L77" s="4"/>
      <c r="M77" s="4"/>
      <c r="N77" s="4"/>
      <c r="O77" s="4"/>
      <c r="P77" s="149"/>
    </row>
    <row r="78" spans="1:16">
      <c r="A78" s="142"/>
      <c r="B78" s="4"/>
      <c r="C78" s="4"/>
      <c r="D78" s="4"/>
      <c r="E78" s="4"/>
      <c r="F78" s="4"/>
      <c r="G78" s="4"/>
      <c r="H78" s="4"/>
      <c r="I78" s="4"/>
      <c r="J78" s="4"/>
      <c r="K78" s="4"/>
      <c r="L78" s="4"/>
      <c r="M78" s="4"/>
      <c r="N78" s="4"/>
      <c r="O78" s="4"/>
      <c r="P78" s="149"/>
    </row>
    <row r="79" spans="1:16">
      <c r="A79" s="142"/>
      <c r="B79" s="4"/>
      <c r="C79" s="4"/>
      <c r="D79" s="4"/>
      <c r="E79" s="4"/>
      <c r="F79" s="4"/>
      <c r="G79" s="4"/>
      <c r="H79" s="4"/>
      <c r="I79" s="4"/>
      <c r="J79" s="4"/>
      <c r="K79" s="4"/>
      <c r="L79" s="4"/>
      <c r="M79" s="4"/>
      <c r="N79" s="4"/>
      <c r="O79" s="4"/>
      <c r="P79" s="149"/>
    </row>
    <row r="80" spans="1:16">
      <c r="A80" s="142"/>
      <c r="B80" s="4"/>
      <c r="C80" s="4"/>
      <c r="D80" s="4"/>
      <c r="E80" s="4"/>
      <c r="F80" s="4"/>
      <c r="G80" s="4"/>
      <c r="H80" s="4"/>
      <c r="I80" s="4"/>
      <c r="J80" s="4"/>
      <c r="K80" s="4"/>
      <c r="L80" s="4"/>
      <c r="M80" s="4"/>
      <c r="N80" s="4"/>
      <c r="O80" s="4"/>
      <c r="P80" s="149"/>
    </row>
    <row r="81" spans="1:16">
      <c r="A81" s="142"/>
      <c r="B81" s="4"/>
      <c r="C81" s="4"/>
      <c r="D81" s="4"/>
      <c r="E81" s="4"/>
      <c r="F81" s="4"/>
      <c r="G81" s="4"/>
      <c r="H81" s="4"/>
      <c r="I81" s="4"/>
      <c r="J81" s="4"/>
      <c r="K81" s="4"/>
      <c r="L81" s="4"/>
      <c r="M81" s="4"/>
      <c r="N81" s="4"/>
      <c r="O81" s="4"/>
      <c r="P81" s="149"/>
    </row>
    <row r="82" spans="1:16">
      <c r="A82" s="142"/>
      <c r="B82" s="4"/>
      <c r="C82" s="4"/>
      <c r="D82" s="4"/>
      <c r="E82" s="4"/>
      <c r="F82" s="4"/>
      <c r="G82" s="4"/>
      <c r="H82" s="4"/>
      <c r="I82" s="4"/>
      <c r="J82" s="4"/>
      <c r="K82" s="4"/>
      <c r="L82" s="4"/>
      <c r="M82" s="4"/>
      <c r="N82" s="4"/>
      <c r="O82" s="4"/>
      <c r="P82" s="149"/>
    </row>
    <row r="83" spans="1:16">
      <c r="A83" s="142"/>
      <c r="B83" s="4"/>
      <c r="C83" s="4"/>
      <c r="D83" s="4"/>
      <c r="E83" s="4"/>
      <c r="F83" s="4"/>
      <c r="G83" s="4"/>
      <c r="H83" s="4"/>
      <c r="I83" s="4"/>
      <c r="J83" s="4"/>
      <c r="K83" s="4"/>
      <c r="L83" s="4"/>
      <c r="M83" s="4"/>
      <c r="N83" s="4"/>
      <c r="O83" s="4"/>
      <c r="P83" s="149"/>
    </row>
    <row r="84" spans="1:16">
      <c r="A84" s="142"/>
      <c r="B84" s="4"/>
      <c r="C84" s="4"/>
      <c r="D84" s="4"/>
      <c r="E84" s="4"/>
      <c r="F84" s="4"/>
      <c r="G84" s="4"/>
      <c r="H84" s="4"/>
      <c r="I84" s="4"/>
      <c r="J84" s="4"/>
      <c r="K84" s="4"/>
      <c r="L84" s="4"/>
      <c r="M84" s="4"/>
      <c r="N84" s="4"/>
      <c r="O84" s="4"/>
      <c r="P84" s="149"/>
    </row>
    <row r="85" spans="1:16">
      <c r="A85" s="142"/>
      <c r="B85" s="4"/>
      <c r="C85" s="4"/>
      <c r="D85" s="4"/>
      <c r="E85" s="4"/>
      <c r="F85" s="4"/>
      <c r="G85" s="4"/>
      <c r="H85" s="4"/>
      <c r="I85" s="4"/>
      <c r="J85" s="4"/>
      <c r="K85" s="4"/>
      <c r="L85" s="4"/>
      <c r="M85" s="4"/>
      <c r="N85" s="4"/>
      <c r="O85" s="4"/>
      <c r="P85" s="149"/>
    </row>
    <row r="86" spans="1:16">
      <c r="A86" s="142"/>
      <c r="B86" s="4"/>
      <c r="C86" s="4"/>
      <c r="D86" s="4"/>
      <c r="E86" s="4"/>
      <c r="F86" s="4"/>
      <c r="G86" s="4"/>
      <c r="H86" s="4"/>
      <c r="I86" s="4"/>
      <c r="J86" s="4"/>
      <c r="K86" s="4"/>
      <c r="L86" s="4"/>
      <c r="M86" s="4"/>
      <c r="N86" s="4"/>
      <c r="O86" s="4"/>
      <c r="P86" s="149"/>
    </row>
    <row r="87" spans="1:16">
      <c r="A87" s="142"/>
      <c r="B87" s="4"/>
      <c r="C87" s="4"/>
      <c r="D87" s="4"/>
      <c r="E87" s="4"/>
      <c r="F87" s="4"/>
      <c r="G87" s="4"/>
      <c r="H87" s="4"/>
      <c r="I87" s="4"/>
      <c r="J87" s="4"/>
      <c r="K87" s="4"/>
      <c r="L87" s="4"/>
      <c r="M87" s="4"/>
      <c r="N87" s="4"/>
      <c r="O87" s="4"/>
      <c r="P87" s="149"/>
    </row>
    <row r="88" spans="1:16">
      <c r="A88" s="142"/>
      <c r="B88" s="4"/>
      <c r="C88" s="4"/>
      <c r="D88" s="4"/>
      <c r="E88" s="4"/>
      <c r="F88" s="4"/>
      <c r="G88" s="4"/>
      <c r="H88" s="4"/>
      <c r="I88" s="4"/>
      <c r="J88" s="4"/>
      <c r="K88" s="4"/>
      <c r="L88" s="4"/>
      <c r="M88" s="4"/>
      <c r="N88" s="4"/>
      <c r="O88" s="4"/>
      <c r="P88" s="149"/>
    </row>
    <row r="89" spans="1:16">
      <c r="A89" s="142"/>
      <c r="B89" s="4"/>
      <c r="C89" s="4"/>
      <c r="D89" s="4"/>
      <c r="E89" s="4"/>
      <c r="F89" s="4"/>
      <c r="G89" s="4"/>
      <c r="H89" s="4"/>
      <c r="I89" s="4"/>
      <c r="J89" s="4"/>
      <c r="K89" s="4"/>
      <c r="L89" s="4"/>
      <c r="M89" s="4"/>
      <c r="N89" s="4"/>
      <c r="O89" s="4"/>
      <c r="P89" s="149"/>
    </row>
    <row r="90" spans="1:16">
      <c r="A90" s="142"/>
      <c r="B90" s="4"/>
      <c r="C90" s="4"/>
      <c r="D90" s="4"/>
      <c r="E90" s="4"/>
      <c r="F90" s="4"/>
      <c r="G90" s="4"/>
      <c r="H90" s="4"/>
      <c r="I90" s="4"/>
      <c r="J90" s="4"/>
      <c r="K90" s="4"/>
      <c r="L90" s="4"/>
      <c r="M90" s="4"/>
      <c r="N90" s="4"/>
      <c r="O90" s="4"/>
      <c r="P90" s="149"/>
    </row>
    <row r="91" spans="1:16">
      <c r="A91" s="142"/>
      <c r="B91" s="4"/>
      <c r="C91" s="4"/>
      <c r="D91" s="4"/>
      <c r="E91" s="4"/>
      <c r="F91" s="4"/>
      <c r="G91" s="4"/>
      <c r="H91" s="4"/>
      <c r="I91" s="4"/>
      <c r="J91" s="4"/>
      <c r="K91" s="4"/>
      <c r="L91" s="4"/>
      <c r="M91" s="4"/>
      <c r="N91" s="4"/>
      <c r="O91" s="4"/>
      <c r="P91" s="149"/>
    </row>
    <row r="92" spans="1:16">
      <c r="A92" s="142"/>
      <c r="B92" s="4"/>
      <c r="C92" s="4"/>
      <c r="D92" s="4"/>
      <c r="E92" s="4"/>
      <c r="F92" s="4"/>
      <c r="G92" s="4"/>
      <c r="H92" s="4"/>
      <c r="I92" s="4"/>
      <c r="J92" s="4"/>
      <c r="K92" s="4"/>
      <c r="L92" s="4"/>
      <c r="M92" s="4"/>
      <c r="N92" s="4"/>
      <c r="O92" s="4"/>
      <c r="P92" s="149"/>
    </row>
    <row r="93" spans="1:16">
      <c r="A93" s="142"/>
      <c r="B93" s="4"/>
      <c r="C93" s="4"/>
      <c r="D93" s="4"/>
      <c r="E93" s="4"/>
      <c r="F93" s="4"/>
      <c r="G93" s="4"/>
      <c r="H93" s="4"/>
      <c r="I93" s="4"/>
      <c r="J93" s="4"/>
      <c r="K93" s="4"/>
      <c r="L93" s="4"/>
      <c r="M93" s="4"/>
      <c r="N93" s="4"/>
      <c r="O93" s="4"/>
      <c r="P93" s="149"/>
    </row>
    <row r="94" spans="1:16">
      <c r="A94" s="142"/>
      <c r="B94" s="4"/>
      <c r="C94" s="4"/>
      <c r="D94" s="4"/>
      <c r="E94" s="4"/>
      <c r="F94" s="4"/>
      <c r="G94" s="4"/>
      <c r="H94" s="4"/>
      <c r="I94" s="4"/>
      <c r="J94" s="4"/>
      <c r="K94" s="4"/>
      <c r="L94" s="4"/>
      <c r="M94" s="4"/>
      <c r="N94" s="4"/>
      <c r="O94" s="4"/>
      <c r="P94" s="149"/>
    </row>
    <row r="95" spans="1:16">
      <c r="A95" s="142"/>
      <c r="B95" s="4"/>
      <c r="C95" s="4"/>
      <c r="D95" s="4"/>
      <c r="E95" s="4"/>
      <c r="F95" s="4"/>
      <c r="G95" s="4"/>
      <c r="H95" s="4"/>
      <c r="I95" s="4"/>
      <c r="J95" s="4"/>
      <c r="K95" s="4"/>
      <c r="L95" s="4"/>
      <c r="M95" s="4"/>
      <c r="N95" s="4"/>
      <c r="O95" s="4"/>
      <c r="P95" s="149"/>
    </row>
    <row r="96" spans="1:16">
      <c r="A96" s="142"/>
      <c r="B96" s="4"/>
      <c r="C96" s="4"/>
      <c r="D96" s="4"/>
      <c r="E96" s="4"/>
      <c r="F96" s="4"/>
      <c r="G96" s="4"/>
      <c r="H96" s="4"/>
      <c r="I96" s="4"/>
      <c r="J96" s="4"/>
      <c r="K96" s="4"/>
      <c r="L96" s="4"/>
      <c r="M96" s="4"/>
      <c r="N96" s="4"/>
      <c r="O96" s="4"/>
      <c r="P96" s="149"/>
    </row>
    <row r="97" spans="1:16">
      <c r="A97" s="142"/>
      <c r="B97" s="4"/>
      <c r="C97" s="4"/>
      <c r="D97" s="4"/>
      <c r="E97" s="4"/>
      <c r="F97" s="4"/>
      <c r="G97" s="4"/>
      <c r="H97" s="4"/>
      <c r="I97" s="4"/>
      <c r="J97" s="4"/>
      <c r="K97" s="4"/>
      <c r="L97" s="4"/>
      <c r="M97" s="4"/>
      <c r="N97" s="4"/>
      <c r="O97" s="4"/>
      <c r="P97" s="149"/>
    </row>
    <row r="98" spans="1:16">
      <c r="A98" s="142"/>
      <c r="B98" s="4"/>
      <c r="C98" s="4"/>
      <c r="D98" s="4"/>
      <c r="E98" s="4"/>
      <c r="F98" s="4"/>
      <c r="G98" s="4"/>
      <c r="H98" s="4"/>
      <c r="I98" s="4"/>
      <c r="J98" s="4"/>
      <c r="K98" s="4"/>
      <c r="L98" s="4"/>
      <c r="M98" s="4"/>
      <c r="N98" s="4"/>
      <c r="O98" s="4"/>
      <c r="P98" s="149"/>
    </row>
    <row r="99" spans="1:16">
      <c r="A99" s="142"/>
      <c r="B99" s="4"/>
      <c r="C99" s="4"/>
      <c r="D99" s="4"/>
      <c r="E99" s="4"/>
      <c r="F99" s="4"/>
      <c r="G99" s="4"/>
      <c r="H99" s="4"/>
      <c r="I99" s="4"/>
      <c r="J99" s="4"/>
      <c r="K99" s="4"/>
      <c r="L99" s="4"/>
      <c r="M99" s="4"/>
      <c r="N99" s="4"/>
      <c r="O99" s="4"/>
      <c r="P99" s="149"/>
    </row>
    <row r="100" spans="1:16">
      <c r="A100" s="142"/>
      <c r="B100" s="4"/>
      <c r="C100" s="4"/>
      <c r="D100" s="4"/>
      <c r="E100" s="4"/>
      <c r="F100" s="4"/>
      <c r="G100" s="4"/>
      <c r="H100" s="4"/>
      <c r="I100" s="4"/>
      <c r="J100" s="4"/>
      <c r="K100" s="4"/>
      <c r="L100" s="4"/>
      <c r="M100" s="4"/>
      <c r="N100" s="4"/>
      <c r="O100" s="4"/>
      <c r="P100" s="149"/>
    </row>
    <row r="101" spans="1:16">
      <c r="A101" s="142"/>
      <c r="B101" s="4"/>
      <c r="C101" s="4"/>
      <c r="D101" s="4"/>
      <c r="E101" s="4"/>
      <c r="F101" s="4"/>
      <c r="G101" s="4"/>
      <c r="H101" s="4"/>
      <c r="I101" s="4"/>
      <c r="J101" s="4"/>
      <c r="K101" s="4"/>
      <c r="L101" s="4"/>
      <c r="M101" s="4"/>
      <c r="N101" s="4"/>
      <c r="O101" s="4"/>
      <c r="P101" s="149"/>
    </row>
    <row r="102" spans="1:16">
      <c r="A102" s="142"/>
      <c r="B102" s="4"/>
      <c r="C102" s="4"/>
      <c r="D102" s="4"/>
      <c r="E102" s="4"/>
      <c r="F102" s="4"/>
      <c r="G102" s="4"/>
      <c r="H102" s="4"/>
      <c r="I102" s="4"/>
      <c r="J102" s="4"/>
      <c r="K102" s="4"/>
      <c r="L102" s="4"/>
      <c r="M102" s="4"/>
      <c r="N102" s="4"/>
      <c r="O102" s="4"/>
      <c r="P102" s="149"/>
    </row>
    <row r="103" spans="1:16">
      <c r="A103" s="142"/>
      <c r="B103" s="4"/>
      <c r="C103" s="4"/>
      <c r="D103" s="4"/>
      <c r="E103" s="4"/>
      <c r="F103" s="4"/>
      <c r="G103" s="4"/>
      <c r="H103" s="4"/>
      <c r="I103" s="4"/>
      <c r="J103" s="4"/>
      <c r="K103" s="4"/>
      <c r="L103" s="4"/>
      <c r="M103" s="4"/>
      <c r="N103" s="4"/>
      <c r="O103" s="4"/>
      <c r="P103" s="149"/>
    </row>
    <row r="104" spans="1:16">
      <c r="A104" s="142"/>
      <c r="B104" s="4"/>
      <c r="C104" s="4"/>
      <c r="D104" s="4"/>
      <c r="E104" s="4"/>
      <c r="F104" s="4"/>
      <c r="G104" s="4"/>
      <c r="H104" s="4"/>
      <c r="I104" s="4"/>
      <c r="J104" s="4"/>
      <c r="K104" s="4"/>
      <c r="L104" s="4"/>
      <c r="M104" s="4"/>
      <c r="N104" s="4"/>
      <c r="O104" s="4"/>
      <c r="P104" s="149"/>
    </row>
    <row r="105" spans="1:16">
      <c r="A105" s="142"/>
      <c r="B105" s="4"/>
      <c r="C105" s="4"/>
      <c r="D105" s="4"/>
      <c r="E105" s="4"/>
      <c r="F105" s="4"/>
      <c r="G105" s="4"/>
      <c r="H105" s="4"/>
      <c r="I105" s="4"/>
      <c r="J105" s="4"/>
      <c r="K105" s="4"/>
      <c r="L105" s="4"/>
      <c r="M105" s="4"/>
      <c r="N105" s="4"/>
      <c r="O105" s="4"/>
      <c r="P105" s="149"/>
    </row>
    <row r="106" spans="1:16">
      <c r="A106" s="142"/>
      <c r="B106" s="4"/>
      <c r="C106" s="4"/>
      <c r="D106" s="4"/>
      <c r="E106" s="4"/>
      <c r="F106" s="4"/>
      <c r="G106" s="4"/>
      <c r="H106" s="4"/>
      <c r="I106" s="4"/>
      <c r="J106" s="4"/>
      <c r="K106" s="4"/>
      <c r="L106" s="4"/>
      <c r="M106" s="4"/>
      <c r="N106" s="4"/>
      <c r="O106" s="4"/>
      <c r="P106" s="149"/>
    </row>
    <row r="107" spans="1:16">
      <c r="A107" s="142"/>
      <c r="B107" s="4"/>
      <c r="C107" s="4"/>
      <c r="D107" s="4"/>
      <c r="E107" s="4"/>
      <c r="F107" s="4"/>
      <c r="G107" s="4"/>
      <c r="H107" s="4"/>
      <c r="I107" s="4"/>
      <c r="J107" s="4"/>
      <c r="K107" s="4"/>
      <c r="L107" s="4"/>
      <c r="M107" s="4"/>
      <c r="N107" s="4"/>
      <c r="O107" s="4"/>
      <c r="P107" s="149"/>
    </row>
    <row r="108" spans="1:16">
      <c r="A108" s="142"/>
      <c r="B108" s="4"/>
      <c r="C108" s="4"/>
      <c r="D108" s="4"/>
      <c r="E108" s="4"/>
      <c r="F108" s="4"/>
      <c r="G108" s="4"/>
      <c r="H108" s="4"/>
      <c r="I108" s="4"/>
      <c r="J108" s="4"/>
      <c r="K108" s="4"/>
      <c r="L108" s="4"/>
      <c r="M108" s="4"/>
      <c r="N108" s="4"/>
      <c r="O108" s="4"/>
      <c r="P108" s="149"/>
    </row>
    <row r="109" spans="1:16">
      <c r="A109" s="142"/>
      <c r="B109" s="4"/>
      <c r="C109" s="4"/>
      <c r="D109" s="4"/>
      <c r="E109" s="4"/>
      <c r="F109" s="4"/>
      <c r="G109" s="4"/>
      <c r="H109" s="4"/>
      <c r="I109" s="4"/>
      <c r="J109" s="4"/>
      <c r="K109" s="4"/>
      <c r="L109" s="4"/>
      <c r="M109" s="4"/>
      <c r="N109" s="4"/>
      <c r="O109" s="4"/>
      <c r="P109" s="149"/>
    </row>
    <row r="110" spans="1:16">
      <c r="A110" s="142"/>
      <c r="B110" s="4"/>
      <c r="C110" s="4"/>
      <c r="D110" s="4"/>
      <c r="E110" s="4"/>
      <c r="F110" s="4"/>
      <c r="G110" s="4"/>
      <c r="H110" s="4"/>
      <c r="I110" s="4"/>
      <c r="J110" s="4"/>
      <c r="K110" s="4"/>
      <c r="L110" s="4"/>
      <c r="M110" s="4"/>
      <c r="N110" s="4"/>
      <c r="O110" s="4"/>
      <c r="P110" s="149"/>
    </row>
    <row r="111" spans="1:16">
      <c r="A111" s="142"/>
      <c r="B111" s="4"/>
      <c r="C111" s="4"/>
      <c r="D111" s="4"/>
      <c r="E111" s="4"/>
      <c r="F111" s="4"/>
      <c r="G111" s="4"/>
      <c r="H111" s="4"/>
      <c r="I111" s="4"/>
      <c r="J111" s="4"/>
      <c r="K111" s="4"/>
      <c r="L111" s="4"/>
      <c r="M111" s="4"/>
      <c r="N111" s="4"/>
      <c r="O111" s="4"/>
      <c r="P111" s="149"/>
    </row>
    <row r="112" spans="1:16">
      <c r="A112" s="142"/>
      <c r="B112" s="4"/>
      <c r="C112" s="4"/>
      <c r="D112" s="4"/>
      <c r="E112" s="4"/>
      <c r="F112" s="4"/>
      <c r="G112" s="4"/>
      <c r="H112" s="4"/>
      <c r="I112" s="4"/>
      <c r="J112" s="4"/>
      <c r="K112" s="4"/>
      <c r="L112" s="4"/>
      <c r="M112" s="4"/>
      <c r="N112" s="4"/>
      <c r="O112" s="4"/>
      <c r="P112" s="149"/>
    </row>
    <row r="113" spans="1:16">
      <c r="A113" s="142"/>
      <c r="B113" s="4"/>
      <c r="C113" s="4"/>
      <c r="D113" s="4"/>
      <c r="E113" s="4"/>
      <c r="F113" s="4"/>
      <c r="G113" s="4"/>
      <c r="H113" s="4"/>
      <c r="I113" s="4"/>
      <c r="J113" s="4"/>
      <c r="K113" s="4"/>
      <c r="L113" s="4"/>
      <c r="M113" s="4"/>
      <c r="N113" s="4"/>
      <c r="O113" s="4"/>
      <c r="P113" s="149"/>
    </row>
    <row r="114" spans="1:16">
      <c r="A114" s="142"/>
      <c r="B114" s="4"/>
      <c r="C114" s="4"/>
      <c r="D114" s="4"/>
      <c r="E114" s="4"/>
      <c r="F114" s="4"/>
      <c r="G114" s="4"/>
      <c r="H114" s="4"/>
      <c r="I114" s="4"/>
      <c r="J114" s="4"/>
      <c r="K114" s="4"/>
      <c r="L114" s="4"/>
      <c r="M114" s="4"/>
      <c r="N114" s="4"/>
      <c r="O114" s="4"/>
      <c r="P114" s="149"/>
    </row>
    <row r="115" spans="1:16">
      <c r="A115" s="142"/>
      <c r="B115" s="4"/>
      <c r="C115" s="4"/>
      <c r="D115" s="4"/>
      <c r="E115" s="4"/>
      <c r="F115" s="4"/>
      <c r="G115" s="4"/>
      <c r="H115" s="4"/>
      <c r="I115" s="4"/>
      <c r="J115" s="4"/>
      <c r="K115" s="4"/>
      <c r="L115" s="4"/>
      <c r="M115" s="4"/>
      <c r="N115" s="4"/>
      <c r="O115" s="4"/>
      <c r="P115" s="149"/>
    </row>
    <row r="116" spans="1:16">
      <c r="A116" s="142"/>
      <c r="B116" s="4"/>
      <c r="C116" s="4"/>
      <c r="D116" s="4"/>
      <c r="E116" s="4"/>
      <c r="F116" s="4"/>
      <c r="G116" s="4"/>
      <c r="H116" s="4"/>
      <c r="I116" s="4"/>
      <c r="J116" s="4"/>
      <c r="K116" s="4"/>
      <c r="L116" s="4"/>
      <c r="M116" s="4"/>
      <c r="N116" s="4"/>
      <c r="O116" s="4"/>
      <c r="P116" s="149"/>
    </row>
    <row r="117" spans="1:16">
      <c r="A117" s="142"/>
      <c r="B117" s="4"/>
      <c r="C117" s="4"/>
      <c r="D117" s="4"/>
      <c r="E117" s="4"/>
      <c r="F117" s="4"/>
      <c r="G117" s="4"/>
      <c r="H117" s="4"/>
      <c r="I117" s="4"/>
      <c r="J117" s="4"/>
      <c r="K117" s="4"/>
      <c r="L117" s="4"/>
      <c r="M117" s="4"/>
      <c r="N117" s="4"/>
      <c r="O117" s="4"/>
      <c r="P117" s="149"/>
    </row>
    <row r="118" spans="1:16">
      <c r="A118" s="142"/>
      <c r="B118" s="4"/>
      <c r="C118" s="4"/>
      <c r="D118" s="4"/>
      <c r="E118" s="4"/>
      <c r="F118" s="4"/>
      <c r="G118" s="4"/>
      <c r="H118" s="4"/>
      <c r="I118" s="4"/>
      <c r="J118" s="4"/>
      <c r="K118" s="4"/>
      <c r="L118" s="4"/>
      <c r="M118" s="4"/>
      <c r="N118" s="4"/>
      <c r="O118" s="4"/>
      <c r="P118" s="149"/>
    </row>
    <row r="119" spans="1:16">
      <c r="A119" s="142"/>
      <c r="B119" s="4"/>
      <c r="C119" s="4"/>
      <c r="D119" s="4"/>
      <c r="E119" s="4"/>
      <c r="F119" s="4"/>
      <c r="G119" s="4"/>
      <c r="H119" s="4"/>
      <c r="I119" s="4"/>
      <c r="J119" s="4"/>
      <c r="K119" s="4"/>
      <c r="L119" s="4"/>
      <c r="M119" s="4"/>
      <c r="N119" s="4"/>
      <c r="O119" s="4"/>
      <c r="P119" s="149"/>
    </row>
    <row r="120" spans="1:16">
      <c r="A120" s="142"/>
      <c r="B120" s="4"/>
      <c r="C120" s="4"/>
      <c r="D120" s="4"/>
      <c r="E120" s="4"/>
      <c r="F120" s="4"/>
      <c r="G120" s="4"/>
      <c r="H120" s="4"/>
      <c r="I120" s="4"/>
      <c r="J120" s="4"/>
      <c r="K120" s="4"/>
      <c r="L120" s="4"/>
      <c r="M120" s="4"/>
      <c r="N120" s="4"/>
      <c r="O120" s="4"/>
      <c r="P120" s="149"/>
    </row>
    <row r="121" spans="1:16">
      <c r="A121" s="142"/>
      <c r="B121" s="4"/>
      <c r="C121" s="4"/>
      <c r="D121" s="4"/>
      <c r="E121" s="4"/>
      <c r="F121" s="4"/>
      <c r="G121" s="4"/>
      <c r="H121" s="4"/>
      <c r="I121" s="4"/>
      <c r="J121" s="4"/>
      <c r="K121" s="4"/>
      <c r="L121" s="4"/>
      <c r="M121" s="4"/>
      <c r="N121" s="4"/>
      <c r="O121" s="4"/>
      <c r="P121" s="149"/>
    </row>
    <row r="122" spans="1:16">
      <c r="A122" s="142"/>
      <c r="B122" s="4"/>
      <c r="C122" s="4"/>
      <c r="D122" s="4"/>
      <c r="E122" s="4"/>
      <c r="F122" s="4"/>
      <c r="G122" s="4"/>
      <c r="H122" s="4"/>
      <c r="I122" s="4"/>
      <c r="J122" s="4"/>
      <c r="K122" s="4"/>
      <c r="L122" s="4"/>
      <c r="M122" s="4"/>
      <c r="N122" s="4"/>
      <c r="O122" s="4"/>
      <c r="P122" s="149"/>
    </row>
    <row r="123" spans="1:16">
      <c r="A123" s="142"/>
      <c r="B123" s="4"/>
      <c r="C123" s="4"/>
      <c r="D123" s="4"/>
      <c r="E123" s="4"/>
      <c r="F123" s="4"/>
      <c r="G123" s="4"/>
      <c r="H123" s="4"/>
      <c r="I123" s="4"/>
      <c r="J123" s="4"/>
      <c r="K123" s="4"/>
      <c r="L123" s="4"/>
      <c r="M123" s="4"/>
      <c r="N123" s="4"/>
      <c r="O123" s="4"/>
      <c r="P123" s="149"/>
    </row>
    <row r="124" spans="1:16">
      <c r="A124" s="142"/>
      <c r="B124" s="4"/>
      <c r="C124" s="4"/>
      <c r="D124" s="4"/>
      <c r="E124" s="4"/>
      <c r="F124" s="4"/>
      <c r="G124" s="4"/>
      <c r="H124" s="4"/>
      <c r="I124" s="4"/>
      <c r="J124" s="4"/>
      <c r="K124" s="4"/>
      <c r="L124" s="4"/>
      <c r="M124" s="4"/>
      <c r="N124" s="4"/>
      <c r="O124" s="4"/>
      <c r="P124" s="149"/>
    </row>
    <row r="125" spans="1:16">
      <c r="A125" s="142"/>
      <c r="B125" s="4"/>
      <c r="C125" s="4"/>
      <c r="D125" s="4"/>
      <c r="E125" s="4"/>
      <c r="F125" s="4"/>
      <c r="G125" s="4"/>
      <c r="H125" s="4"/>
      <c r="I125" s="4"/>
      <c r="J125" s="4"/>
      <c r="K125" s="4"/>
      <c r="L125" s="4"/>
      <c r="M125" s="4"/>
      <c r="N125" s="4"/>
      <c r="O125" s="4"/>
      <c r="P125" s="149"/>
    </row>
    <row r="126" spans="1:16">
      <c r="A126" s="142"/>
      <c r="B126" s="4"/>
      <c r="C126" s="4"/>
      <c r="D126" s="4"/>
      <c r="E126" s="4"/>
      <c r="F126" s="4"/>
      <c r="G126" s="4"/>
      <c r="H126" s="4"/>
      <c r="I126" s="4"/>
      <c r="J126" s="4"/>
      <c r="K126" s="4"/>
      <c r="L126" s="4"/>
      <c r="M126" s="4"/>
      <c r="N126" s="4"/>
      <c r="O126" s="4"/>
      <c r="P126" s="149"/>
    </row>
    <row r="127" spans="1:16">
      <c r="A127" s="142"/>
      <c r="B127" s="4"/>
      <c r="C127" s="4"/>
      <c r="D127" s="4"/>
      <c r="E127" s="4"/>
      <c r="F127" s="4"/>
      <c r="G127" s="4"/>
      <c r="H127" s="4"/>
      <c r="I127" s="4"/>
      <c r="J127" s="4"/>
      <c r="K127" s="4"/>
      <c r="L127" s="4"/>
      <c r="M127" s="4"/>
      <c r="N127" s="4"/>
      <c r="O127" s="4"/>
      <c r="P127" s="149"/>
    </row>
    <row r="128" spans="1:16">
      <c r="A128" s="142"/>
      <c r="B128" s="4"/>
      <c r="C128" s="4"/>
      <c r="D128" s="4"/>
      <c r="E128" s="4"/>
      <c r="F128" s="4"/>
      <c r="G128" s="4"/>
      <c r="H128" s="4"/>
      <c r="I128" s="4"/>
      <c r="J128" s="4"/>
      <c r="K128" s="4"/>
      <c r="L128" s="4"/>
      <c r="M128" s="4"/>
      <c r="N128" s="4"/>
      <c r="O128" s="4"/>
      <c r="P128" s="149"/>
    </row>
    <row r="129" spans="1:16">
      <c r="A129" s="142"/>
      <c r="B129" s="4"/>
      <c r="C129" s="4"/>
      <c r="D129" s="4"/>
      <c r="E129" s="4"/>
      <c r="F129" s="4"/>
      <c r="G129" s="4"/>
      <c r="H129" s="4"/>
      <c r="I129" s="4"/>
      <c r="J129" s="4"/>
      <c r="K129" s="4"/>
      <c r="L129" s="4"/>
      <c r="M129" s="4"/>
      <c r="N129" s="4"/>
      <c r="O129" s="4"/>
      <c r="P129" s="149"/>
    </row>
    <row r="130" spans="1:16">
      <c r="A130" s="142"/>
      <c r="B130" s="4"/>
      <c r="C130" s="4"/>
      <c r="D130" s="4"/>
      <c r="E130" s="4"/>
      <c r="F130" s="4"/>
      <c r="G130" s="4"/>
      <c r="H130" s="4"/>
      <c r="I130" s="4"/>
      <c r="J130" s="4"/>
      <c r="K130" s="4"/>
      <c r="L130" s="4"/>
      <c r="M130" s="4"/>
      <c r="N130" s="4"/>
      <c r="O130" s="4"/>
      <c r="P130" s="149"/>
    </row>
    <row r="131" spans="1:16">
      <c r="A131" s="142"/>
      <c r="B131" s="4"/>
      <c r="C131" s="4"/>
      <c r="D131" s="4"/>
      <c r="E131" s="4"/>
      <c r="F131" s="4"/>
      <c r="G131" s="4"/>
      <c r="H131" s="4"/>
      <c r="I131" s="4"/>
      <c r="J131" s="4"/>
      <c r="K131" s="4"/>
      <c r="L131" s="4"/>
      <c r="M131" s="4"/>
      <c r="N131" s="4"/>
      <c r="O131" s="4"/>
      <c r="P131" s="149"/>
    </row>
    <row r="132" spans="1:16">
      <c r="A132" s="142"/>
      <c r="B132" s="4"/>
      <c r="C132" s="4"/>
      <c r="D132" s="4"/>
      <c r="E132" s="4"/>
      <c r="F132" s="4"/>
      <c r="G132" s="4"/>
      <c r="H132" s="4"/>
      <c r="I132" s="4"/>
      <c r="J132" s="4"/>
      <c r="K132" s="4"/>
      <c r="L132" s="4"/>
      <c r="M132" s="4"/>
      <c r="N132" s="4"/>
      <c r="O132" s="4"/>
      <c r="P132" s="149"/>
    </row>
    <row r="133" spans="1:16">
      <c r="A133" s="142"/>
      <c r="B133" s="4"/>
      <c r="C133" s="4"/>
      <c r="D133" s="4"/>
      <c r="E133" s="4"/>
      <c r="F133" s="4"/>
      <c r="G133" s="4"/>
      <c r="H133" s="4"/>
      <c r="I133" s="4"/>
      <c r="J133" s="4"/>
      <c r="K133" s="4"/>
      <c r="L133" s="4"/>
      <c r="M133" s="4"/>
      <c r="N133" s="4"/>
      <c r="O133" s="4"/>
      <c r="P133" s="149"/>
    </row>
    <row r="134" spans="1:16">
      <c r="A134" s="142"/>
      <c r="B134" s="4"/>
      <c r="C134" s="4"/>
      <c r="D134" s="4"/>
      <c r="E134" s="4"/>
      <c r="F134" s="4"/>
      <c r="G134" s="4"/>
      <c r="H134" s="4"/>
      <c r="I134" s="4"/>
      <c r="J134" s="4"/>
      <c r="K134" s="4"/>
      <c r="L134" s="4"/>
      <c r="M134" s="4"/>
      <c r="N134" s="4"/>
      <c r="O134" s="4"/>
      <c r="P134" s="149"/>
    </row>
    <row r="135" spans="1:16">
      <c r="A135" s="142"/>
      <c r="B135" s="4"/>
      <c r="C135" s="4"/>
      <c r="D135" s="4"/>
      <c r="E135" s="4"/>
      <c r="F135" s="4"/>
      <c r="G135" s="4"/>
      <c r="H135" s="4"/>
      <c r="I135" s="4"/>
      <c r="J135" s="4"/>
      <c r="K135" s="4"/>
      <c r="L135" s="4"/>
      <c r="M135" s="4"/>
      <c r="N135" s="4"/>
      <c r="O135" s="4"/>
      <c r="P135" s="149"/>
    </row>
    <row r="136" spans="1:16">
      <c r="A136" s="142"/>
      <c r="B136" s="4"/>
      <c r="C136" s="4"/>
      <c r="D136" s="4"/>
      <c r="E136" s="4"/>
      <c r="F136" s="4"/>
      <c r="G136" s="4"/>
      <c r="H136" s="4"/>
      <c r="I136" s="4"/>
      <c r="J136" s="4"/>
      <c r="K136" s="4"/>
      <c r="L136" s="4"/>
      <c r="M136" s="4"/>
      <c r="N136" s="4"/>
      <c r="O136" s="4"/>
      <c r="P136" s="149"/>
    </row>
    <row r="137" spans="1:16">
      <c r="A137" s="142"/>
      <c r="B137" s="4"/>
      <c r="C137" s="4"/>
      <c r="D137" s="4"/>
      <c r="E137" s="4"/>
      <c r="F137" s="4"/>
      <c r="G137" s="4"/>
      <c r="H137" s="4"/>
      <c r="I137" s="4"/>
      <c r="J137" s="4"/>
      <c r="K137" s="4"/>
      <c r="L137" s="4"/>
      <c r="M137" s="4"/>
      <c r="N137" s="4"/>
      <c r="O137" s="4"/>
      <c r="P137" s="149"/>
    </row>
    <row r="138" spans="1:16">
      <c r="A138" s="142"/>
      <c r="B138" s="4"/>
      <c r="C138" s="4"/>
      <c r="D138" s="4"/>
      <c r="E138" s="4"/>
      <c r="F138" s="4"/>
      <c r="G138" s="4"/>
      <c r="H138" s="4"/>
      <c r="I138" s="4"/>
      <c r="J138" s="4"/>
      <c r="K138" s="4"/>
      <c r="L138" s="4"/>
      <c r="M138" s="4"/>
      <c r="N138" s="4"/>
      <c r="O138" s="4"/>
      <c r="P138" s="149"/>
    </row>
    <row r="139" spans="1:16">
      <c r="A139" s="142"/>
      <c r="B139" s="4"/>
      <c r="C139" s="4"/>
      <c r="D139" s="4"/>
      <c r="E139" s="4"/>
      <c r="F139" s="4"/>
      <c r="G139" s="4"/>
      <c r="H139" s="4"/>
      <c r="I139" s="4"/>
      <c r="J139" s="4"/>
      <c r="K139" s="4"/>
      <c r="L139" s="4"/>
      <c r="M139" s="4"/>
      <c r="N139" s="4"/>
      <c r="O139" s="4"/>
      <c r="P139" s="149"/>
    </row>
    <row r="140" spans="1:16">
      <c r="A140" s="142"/>
      <c r="B140" s="4"/>
      <c r="C140" s="4"/>
      <c r="D140" s="4"/>
      <c r="E140" s="4"/>
      <c r="F140" s="4"/>
      <c r="G140" s="4"/>
      <c r="H140" s="4"/>
      <c r="I140" s="4"/>
      <c r="J140" s="4"/>
      <c r="K140" s="4"/>
      <c r="L140" s="4"/>
      <c r="M140" s="4"/>
      <c r="N140" s="4"/>
      <c r="O140" s="4"/>
      <c r="P140" s="149"/>
    </row>
    <row r="141" spans="1:16">
      <c r="A141" s="142"/>
      <c r="B141" s="4"/>
      <c r="C141" s="4"/>
      <c r="D141" s="4"/>
      <c r="E141" s="4"/>
      <c r="F141" s="4"/>
      <c r="G141" s="4"/>
      <c r="H141" s="4"/>
      <c r="I141" s="4"/>
      <c r="J141" s="4"/>
      <c r="K141" s="4"/>
      <c r="L141" s="4"/>
      <c r="M141" s="4"/>
      <c r="N141" s="4"/>
      <c r="O141" s="4"/>
      <c r="P141" s="149"/>
    </row>
    <row r="142" spans="1:16">
      <c r="A142" s="142"/>
      <c r="B142" s="4"/>
      <c r="C142" s="4"/>
      <c r="D142" s="4"/>
      <c r="E142" s="4"/>
      <c r="F142" s="4"/>
      <c r="G142" s="4"/>
      <c r="H142" s="4"/>
      <c r="I142" s="4"/>
      <c r="J142" s="4"/>
      <c r="K142" s="4"/>
      <c r="L142" s="4"/>
      <c r="M142" s="4"/>
      <c r="N142" s="4"/>
      <c r="O142" s="4"/>
      <c r="P142" s="149"/>
    </row>
    <row r="143" spans="1:16">
      <c r="A143" s="142"/>
      <c r="B143" s="4"/>
      <c r="C143" s="4"/>
      <c r="D143" s="4"/>
      <c r="E143" s="4"/>
      <c r="F143" s="4"/>
      <c r="G143" s="4"/>
      <c r="H143" s="4"/>
      <c r="I143" s="4"/>
      <c r="J143" s="4"/>
      <c r="K143" s="4"/>
      <c r="L143" s="4"/>
      <c r="M143" s="4"/>
      <c r="N143" s="4"/>
      <c r="O143" s="4"/>
      <c r="P143" s="149"/>
    </row>
    <row r="144" spans="1:16">
      <c r="A144" s="142"/>
      <c r="B144" s="4"/>
      <c r="C144" s="4"/>
      <c r="D144" s="4"/>
      <c r="E144" s="4"/>
      <c r="F144" s="4"/>
      <c r="G144" s="4"/>
      <c r="H144" s="4"/>
      <c r="I144" s="4"/>
      <c r="J144" s="4"/>
      <c r="K144" s="4"/>
      <c r="L144" s="4"/>
      <c r="M144" s="4"/>
      <c r="N144" s="4"/>
      <c r="O144" s="4"/>
      <c r="P144" s="149"/>
    </row>
    <row r="145" spans="1:16">
      <c r="A145" s="142"/>
      <c r="B145" s="4"/>
      <c r="C145" s="4"/>
      <c r="D145" s="4"/>
      <c r="E145" s="4"/>
      <c r="F145" s="4"/>
      <c r="G145" s="4"/>
      <c r="H145" s="4"/>
      <c r="I145" s="4"/>
      <c r="J145" s="4"/>
      <c r="K145" s="4"/>
      <c r="L145" s="4"/>
      <c r="M145" s="4"/>
      <c r="N145" s="4"/>
      <c r="O145" s="4"/>
      <c r="P145" s="149"/>
    </row>
    <row r="146" spans="1:16">
      <c r="A146" s="142"/>
      <c r="B146" s="4"/>
      <c r="C146" s="4"/>
      <c r="D146" s="4"/>
      <c r="E146" s="4"/>
      <c r="F146" s="4"/>
      <c r="G146" s="4"/>
      <c r="H146" s="4"/>
      <c r="I146" s="4"/>
      <c r="J146" s="4"/>
      <c r="K146" s="4"/>
      <c r="L146" s="4"/>
      <c r="M146" s="4"/>
      <c r="N146" s="4"/>
      <c r="O146" s="4"/>
      <c r="P146" s="149"/>
    </row>
    <row r="147" spans="1:16">
      <c r="A147" s="142"/>
      <c r="B147" s="4"/>
      <c r="C147" s="4"/>
      <c r="D147" s="4"/>
      <c r="E147" s="4"/>
      <c r="F147" s="4"/>
      <c r="G147" s="4"/>
      <c r="H147" s="4"/>
      <c r="I147" s="4"/>
      <c r="J147" s="4"/>
      <c r="K147" s="4"/>
      <c r="L147" s="4"/>
      <c r="M147" s="4"/>
      <c r="N147" s="4"/>
      <c r="O147" s="4"/>
      <c r="P147" s="149"/>
    </row>
    <row r="148" spans="1:16">
      <c r="A148" s="142"/>
      <c r="B148" s="4"/>
      <c r="C148" s="4"/>
      <c r="D148" s="4"/>
      <c r="E148" s="4"/>
      <c r="F148" s="4"/>
      <c r="G148" s="4"/>
      <c r="H148" s="4"/>
      <c r="I148" s="4"/>
      <c r="J148" s="4"/>
      <c r="K148" s="4"/>
      <c r="L148" s="4"/>
      <c r="M148" s="4"/>
      <c r="N148" s="4"/>
      <c r="O148" s="4"/>
      <c r="P148" s="149"/>
    </row>
    <row r="149" spans="1:16">
      <c r="A149" s="142"/>
      <c r="B149" s="4"/>
      <c r="C149" s="4"/>
      <c r="D149" s="4"/>
      <c r="E149" s="4"/>
      <c r="F149" s="4"/>
      <c r="G149" s="4"/>
      <c r="H149" s="4"/>
      <c r="I149" s="4"/>
      <c r="J149" s="4"/>
      <c r="K149" s="4"/>
      <c r="L149" s="4"/>
      <c r="M149" s="4"/>
      <c r="N149" s="4"/>
      <c r="O149" s="4"/>
      <c r="P149" s="149"/>
    </row>
    <row r="150" spans="1:16">
      <c r="A150" s="142"/>
      <c r="B150" s="4"/>
      <c r="C150" s="4"/>
      <c r="D150" s="4"/>
      <c r="E150" s="4"/>
      <c r="F150" s="4"/>
      <c r="G150" s="4"/>
      <c r="H150" s="4"/>
      <c r="I150" s="4"/>
      <c r="J150" s="4"/>
      <c r="K150" s="4"/>
      <c r="L150" s="4"/>
      <c r="M150" s="4"/>
      <c r="N150" s="4"/>
      <c r="O150" s="4"/>
      <c r="P150" s="149"/>
    </row>
    <row r="151" spans="1:16">
      <c r="A151" s="142"/>
      <c r="B151" s="4"/>
      <c r="C151" s="4"/>
      <c r="D151" s="4"/>
      <c r="E151" s="4"/>
      <c r="F151" s="4"/>
      <c r="G151" s="4"/>
      <c r="H151" s="4"/>
      <c r="I151" s="4"/>
      <c r="J151" s="4"/>
      <c r="K151" s="4"/>
      <c r="L151" s="4"/>
      <c r="M151" s="4"/>
      <c r="N151" s="4"/>
      <c r="O151" s="4"/>
      <c r="P151" s="149"/>
    </row>
    <row r="152" spans="1:16">
      <c r="A152" s="142"/>
      <c r="B152" s="4"/>
      <c r="C152" s="4"/>
      <c r="D152" s="4"/>
      <c r="E152" s="4"/>
      <c r="F152" s="4"/>
      <c r="G152" s="4"/>
      <c r="H152" s="4"/>
      <c r="I152" s="4"/>
      <c r="J152" s="4"/>
      <c r="K152" s="4"/>
      <c r="L152" s="4"/>
      <c r="M152" s="4"/>
      <c r="N152" s="4"/>
      <c r="O152" s="4"/>
      <c r="P152" s="149"/>
    </row>
    <row r="153" spans="1:16">
      <c r="A153" s="142"/>
      <c r="B153" s="4"/>
      <c r="C153" s="4"/>
      <c r="D153" s="4"/>
      <c r="E153" s="4"/>
      <c r="F153" s="4"/>
      <c r="G153" s="4"/>
      <c r="H153" s="4"/>
      <c r="I153" s="4"/>
      <c r="J153" s="4"/>
      <c r="K153" s="4"/>
      <c r="L153" s="4"/>
      <c r="M153" s="4"/>
      <c r="N153" s="4"/>
      <c r="O153" s="4"/>
      <c r="P153" s="149"/>
    </row>
    <row r="154" spans="1:16">
      <c r="A154" s="142"/>
      <c r="B154" s="4"/>
      <c r="C154" s="4"/>
      <c r="D154" s="4"/>
      <c r="E154" s="4"/>
      <c r="F154" s="4"/>
      <c r="G154" s="4"/>
      <c r="H154" s="4"/>
      <c r="I154" s="4"/>
      <c r="J154" s="4"/>
      <c r="K154" s="4"/>
      <c r="L154" s="4"/>
      <c r="M154" s="4"/>
      <c r="N154" s="4"/>
      <c r="O154" s="4"/>
      <c r="P154" s="149"/>
    </row>
    <row r="155" spans="1:16">
      <c r="A155" s="142"/>
      <c r="B155" s="4"/>
      <c r="C155" s="4"/>
      <c r="D155" s="4"/>
      <c r="E155" s="4"/>
      <c r="F155" s="4"/>
      <c r="G155" s="4"/>
      <c r="H155" s="4"/>
      <c r="I155" s="4"/>
      <c r="J155" s="4"/>
      <c r="K155" s="4"/>
      <c r="L155" s="4"/>
      <c r="M155" s="4"/>
      <c r="N155" s="4"/>
      <c r="O155" s="4"/>
      <c r="P155" s="149"/>
    </row>
    <row r="156" spans="1:16">
      <c r="A156" s="142"/>
      <c r="B156" s="4"/>
      <c r="C156" s="4"/>
      <c r="D156" s="4"/>
      <c r="E156" s="4"/>
      <c r="F156" s="4"/>
      <c r="G156" s="4"/>
      <c r="H156" s="4"/>
      <c r="I156" s="4"/>
      <c r="J156" s="4"/>
      <c r="K156" s="4"/>
      <c r="L156" s="4"/>
      <c r="M156" s="4"/>
      <c r="N156" s="4"/>
      <c r="O156" s="4"/>
      <c r="P156" s="149"/>
    </row>
    <row r="157" spans="1:16">
      <c r="A157" s="142"/>
      <c r="B157" s="4"/>
      <c r="C157" s="4"/>
      <c r="D157" s="4"/>
      <c r="E157" s="4"/>
      <c r="F157" s="4"/>
      <c r="G157" s="4"/>
      <c r="H157" s="4"/>
      <c r="I157" s="4"/>
      <c r="J157" s="4"/>
      <c r="K157" s="4"/>
      <c r="L157" s="4"/>
      <c r="M157" s="4"/>
      <c r="N157" s="4"/>
      <c r="O157" s="4"/>
      <c r="P157" s="149"/>
    </row>
    <row r="158" spans="1:16">
      <c r="A158" s="142"/>
      <c r="B158" s="4"/>
      <c r="C158" s="4"/>
      <c r="D158" s="4"/>
      <c r="E158" s="4"/>
      <c r="F158" s="4"/>
      <c r="G158" s="4"/>
      <c r="H158" s="4"/>
      <c r="I158" s="4"/>
      <c r="J158" s="4"/>
      <c r="K158" s="4"/>
      <c r="L158" s="4"/>
      <c r="M158" s="4"/>
      <c r="N158" s="4"/>
      <c r="O158" s="4"/>
      <c r="P158" s="149"/>
    </row>
    <row r="159" spans="1:16">
      <c r="A159" s="142"/>
      <c r="B159" s="4"/>
      <c r="C159" s="4"/>
      <c r="D159" s="4"/>
      <c r="E159" s="4"/>
      <c r="F159" s="4"/>
      <c r="G159" s="4"/>
      <c r="H159" s="4"/>
      <c r="I159" s="4"/>
      <c r="J159" s="4"/>
      <c r="K159" s="4"/>
      <c r="L159" s="4"/>
      <c r="M159" s="4"/>
      <c r="N159" s="4"/>
      <c r="O159" s="4"/>
      <c r="P159" s="149"/>
    </row>
    <row r="160" spans="1:16">
      <c r="A160" s="142"/>
      <c r="B160" s="4"/>
      <c r="C160" s="4"/>
      <c r="D160" s="4"/>
      <c r="E160" s="4"/>
      <c r="F160" s="4"/>
      <c r="G160" s="4"/>
      <c r="H160" s="4"/>
      <c r="I160" s="4"/>
      <c r="J160" s="4"/>
      <c r="K160" s="4"/>
      <c r="L160" s="4"/>
      <c r="M160" s="4"/>
      <c r="N160" s="4"/>
      <c r="O160" s="4"/>
      <c r="P160" s="149"/>
    </row>
    <row r="161" spans="1:16">
      <c r="A161" s="142"/>
      <c r="B161" s="4"/>
      <c r="C161" s="4"/>
      <c r="D161" s="4"/>
      <c r="E161" s="4"/>
      <c r="F161" s="4"/>
      <c r="G161" s="4"/>
      <c r="H161" s="4"/>
      <c r="I161" s="4"/>
      <c r="J161" s="4"/>
      <c r="K161" s="4"/>
      <c r="L161" s="4"/>
      <c r="M161" s="4"/>
      <c r="N161" s="4"/>
      <c r="O161" s="4"/>
      <c r="P161" s="149"/>
    </row>
    <row r="162" spans="1:16">
      <c r="A162" s="142"/>
      <c r="B162" s="4"/>
      <c r="C162" s="4"/>
      <c r="D162" s="4"/>
      <c r="E162" s="4"/>
      <c r="F162" s="4"/>
      <c r="G162" s="4"/>
      <c r="H162" s="4"/>
      <c r="I162" s="4"/>
      <c r="J162" s="4"/>
      <c r="K162" s="4"/>
      <c r="L162" s="4"/>
      <c r="M162" s="4"/>
      <c r="N162" s="4"/>
      <c r="O162" s="4"/>
      <c r="P162" s="149"/>
    </row>
    <row r="163" spans="1:16">
      <c r="A163" s="142"/>
      <c r="B163" s="4"/>
      <c r="C163" s="4"/>
      <c r="D163" s="4"/>
      <c r="E163" s="4"/>
      <c r="F163" s="4"/>
      <c r="G163" s="4"/>
      <c r="H163" s="4"/>
      <c r="I163" s="4"/>
      <c r="J163" s="4"/>
      <c r="K163" s="4"/>
      <c r="L163" s="4"/>
      <c r="M163" s="4"/>
      <c r="N163" s="4"/>
      <c r="O163" s="4"/>
      <c r="P163" s="149"/>
    </row>
    <row r="164" spans="1:16">
      <c r="A164" s="142"/>
      <c r="B164" s="4"/>
      <c r="C164" s="4"/>
      <c r="D164" s="4"/>
      <c r="E164" s="4"/>
      <c r="F164" s="4"/>
      <c r="G164" s="4"/>
      <c r="H164" s="4"/>
      <c r="I164" s="4"/>
      <c r="J164" s="4"/>
      <c r="K164" s="4"/>
      <c r="L164" s="4"/>
      <c r="M164" s="4"/>
      <c r="N164" s="4"/>
      <c r="O164" s="4"/>
      <c r="P164" s="149"/>
    </row>
    <row r="165" spans="1:16">
      <c r="A165" s="142"/>
      <c r="B165" s="4"/>
      <c r="C165" s="4"/>
      <c r="D165" s="4"/>
      <c r="E165" s="4"/>
      <c r="F165" s="4"/>
      <c r="G165" s="4"/>
      <c r="H165" s="4"/>
      <c r="I165" s="4"/>
      <c r="J165" s="4"/>
      <c r="K165" s="4"/>
      <c r="L165" s="4"/>
      <c r="M165" s="4"/>
      <c r="N165" s="4"/>
      <c r="O165" s="4"/>
      <c r="P165" s="149"/>
    </row>
    <row r="166" spans="1:16">
      <c r="A166" s="142"/>
      <c r="B166" s="4"/>
      <c r="C166" s="4"/>
      <c r="D166" s="4"/>
      <c r="E166" s="4"/>
      <c r="F166" s="4"/>
      <c r="G166" s="4"/>
      <c r="H166" s="4"/>
      <c r="I166" s="4"/>
      <c r="J166" s="4"/>
      <c r="K166" s="4"/>
      <c r="L166" s="4"/>
      <c r="M166" s="4"/>
      <c r="N166" s="4"/>
      <c r="O166" s="4"/>
      <c r="P166" s="149"/>
    </row>
    <row r="167" spans="1:16">
      <c r="A167" s="142"/>
      <c r="B167" s="4"/>
      <c r="C167" s="4"/>
      <c r="D167" s="4"/>
      <c r="E167" s="4"/>
      <c r="F167" s="4"/>
      <c r="G167" s="4"/>
      <c r="H167" s="4"/>
      <c r="I167" s="4"/>
      <c r="J167" s="4"/>
      <c r="K167" s="4"/>
      <c r="L167" s="4"/>
      <c r="M167" s="4"/>
      <c r="N167" s="4"/>
      <c r="O167" s="4"/>
      <c r="P167" s="149"/>
    </row>
    <row r="168" spans="1:16">
      <c r="A168" s="142"/>
      <c r="B168" s="4"/>
      <c r="C168" s="4"/>
      <c r="D168" s="4"/>
      <c r="E168" s="4"/>
      <c r="F168" s="4"/>
      <c r="G168" s="4"/>
      <c r="H168" s="4"/>
      <c r="I168" s="4"/>
      <c r="J168" s="4"/>
      <c r="K168" s="4"/>
      <c r="L168" s="4"/>
      <c r="M168" s="4"/>
      <c r="N168" s="4"/>
      <c r="O168" s="4"/>
      <c r="P168" s="149"/>
    </row>
    <row r="169" spans="1:16">
      <c r="A169" s="142"/>
      <c r="B169" s="4"/>
      <c r="C169" s="4"/>
      <c r="D169" s="4"/>
      <c r="E169" s="4"/>
      <c r="F169" s="4"/>
      <c r="G169" s="4"/>
      <c r="H169" s="4"/>
      <c r="I169" s="4"/>
      <c r="J169" s="4"/>
      <c r="K169" s="4"/>
      <c r="L169" s="4"/>
      <c r="M169" s="4"/>
      <c r="N169" s="4"/>
      <c r="O169" s="4"/>
      <c r="P169" s="149"/>
    </row>
    <row r="170" spans="1:16">
      <c r="A170" s="142"/>
      <c r="B170" s="4"/>
      <c r="C170" s="4"/>
      <c r="D170" s="4"/>
      <c r="E170" s="4"/>
      <c r="F170" s="4"/>
      <c r="G170" s="4"/>
      <c r="H170" s="4"/>
      <c r="I170" s="4"/>
      <c r="J170" s="4"/>
      <c r="K170" s="4"/>
      <c r="L170" s="4"/>
      <c r="M170" s="4"/>
      <c r="N170" s="4"/>
      <c r="O170" s="4"/>
      <c r="P170" s="149"/>
    </row>
    <row r="171" spans="1:16">
      <c r="A171" s="142"/>
      <c r="B171" s="4"/>
      <c r="C171" s="4"/>
      <c r="D171" s="4"/>
      <c r="E171" s="4"/>
      <c r="F171" s="4"/>
      <c r="G171" s="4"/>
      <c r="H171" s="4"/>
      <c r="I171" s="4"/>
      <c r="J171" s="4"/>
      <c r="K171" s="4"/>
      <c r="L171" s="4"/>
      <c r="M171" s="4"/>
      <c r="N171" s="4"/>
      <c r="O171" s="4"/>
      <c r="P171" s="149"/>
    </row>
    <row r="172" spans="1:16">
      <c r="A172" s="142"/>
      <c r="B172" s="4"/>
      <c r="C172" s="4"/>
      <c r="D172" s="4"/>
      <c r="E172" s="4"/>
      <c r="F172" s="4"/>
      <c r="G172" s="4"/>
      <c r="H172" s="4"/>
      <c r="I172" s="4"/>
      <c r="J172" s="4"/>
      <c r="K172" s="4"/>
      <c r="L172" s="4"/>
      <c r="M172" s="4"/>
      <c r="N172" s="4"/>
      <c r="O172" s="4"/>
      <c r="P172" s="149"/>
    </row>
    <row r="173" spans="1:16">
      <c r="A173" s="142"/>
      <c r="B173" s="4"/>
      <c r="C173" s="4"/>
      <c r="D173" s="4"/>
      <c r="E173" s="4"/>
      <c r="F173" s="4"/>
      <c r="G173" s="4"/>
      <c r="H173" s="4"/>
      <c r="I173" s="4"/>
      <c r="J173" s="4"/>
      <c r="K173" s="4"/>
      <c r="L173" s="4"/>
      <c r="M173" s="4"/>
      <c r="N173" s="4"/>
      <c r="O173" s="4"/>
      <c r="P173" s="149"/>
    </row>
    <row r="174" spans="1:16">
      <c r="A174" s="142"/>
      <c r="B174" s="4"/>
      <c r="C174" s="4"/>
      <c r="D174" s="4"/>
      <c r="E174" s="4"/>
      <c r="F174" s="4"/>
      <c r="G174" s="4"/>
      <c r="H174" s="4"/>
      <c r="I174" s="4"/>
      <c r="J174" s="4"/>
      <c r="K174" s="4"/>
      <c r="L174" s="4"/>
      <c r="M174" s="4"/>
      <c r="N174" s="4"/>
      <c r="O174" s="4"/>
      <c r="P174" s="149"/>
    </row>
    <row r="175" spans="1:16">
      <c r="A175" s="142"/>
      <c r="B175" s="4"/>
      <c r="C175" s="4"/>
      <c r="D175" s="4"/>
      <c r="E175" s="4"/>
      <c r="F175" s="4"/>
      <c r="G175" s="4"/>
      <c r="H175" s="4"/>
      <c r="I175" s="4"/>
      <c r="J175" s="4"/>
      <c r="K175" s="4"/>
      <c r="L175" s="4"/>
      <c r="M175" s="4"/>
      <c r="N175" s="4"/>
      <c r="O175" s="4"/>
      <c r="P175" s="149"/>
    </row>
    <row r="176" spans="1:16">
      <c r="A176" s="142"/>
      <c r="B176" s="4"/>
      <c r="C176" s="4"/>
      <c r="D176" s="4"/>
      <c r="E176" s="4"/>
      <c r="F176" s="4"/>
      <c r="G176" s="4"/>
      <c r="H176" s="4"/>
      <c r="I176" s="4"/>
      <c r="J176" s="4"/>
      <c r="K176" s="4"/>
      <c r="L176" s="4"/>
      <c r="M176" s="4"/>
      <c r="N176" s="4"/>
      <c r="O176" s="4"/>
      <c r="P176" s="149"/>
    </row>
    <row r="177" spans="1:16">
      <c r="A177" s="142"/>
      <c r="B177" s="4"/>
      <c r="C177" s="4"/>
      <c r="D177" s="4"/>
      <c r="E177" s="4"/>
      <c r="F177" s="4"/>
      <c r="G177" s="4"/>
      <c r="H177" s="4"/>
      <c r="I177" s="4"/>
      <c r="J177" s="4"/>
      <c r="K177" s="4"/>
      <c r="L177" s="4"/>
      <c r="M177" s="4"/>
      <c r="N177" s="4"/>
      <c r="O177" s="4"/>
      <c r="P177" s="149"/>
    </row>
    <row r="178" spans="1:16">
      <c r="A178" s="142"/>
      <c r="B178" s="4"/>
      <c r="C178" s="4"/>
      <c r="D178" s="4"/>
      <c r="E178" s="4"/>
      <c r="F178" s="4"/>
      <c r="G178" s="4"/>
      <c r="H178" s="4"/>
      <c r="I178" s="4"/>
      <c r="J178" s="4"/>
      <c r="K178" s="4"/>
      <c r="L178" s="4"/>
      <c r="M178" s="4"/>
      <c r="N178" s="4"/>
      <c r="O178" s="4"/>
      <c r="P178" s="149"/>
    </row>
    <row r="179" spans="1:16">
      <c r="A179" s="142"/>
      <c r="B179" s="4"/>
      <c r="C179" s="4"/>
      <c r="D179" s="4"/>
      <c r="E179" s="4"/>
      <c r="F179" s="4"/>
      <c r="G179" s="4"/>
      <c r="H179" s="4"/>
      <c r="I179" s="4"/>
      <c r="J179" s="4"/>
      <c r="K179" s="4"/>
      <c r="L179" s="4"/>
      <c r="M179" s="4"/>
      <c r="N179" s="4"/>
      <c r="O179" s="4"/>
      <c r="P179" s="149"/>
    </row>
    <row r="180" spans="1:16">
      <c r="A180" s="142"/>
      <c r="B180" s="4"/>
      <c r="C180" s="4"/>
      <c r="D180" s="4"/>
      <c r="E180" s="4"/>
      <c r="F180" s="4"/>
      <c r="G180" s="4"/>
      <c r="H180" s="4"/>
      <c r="I180" s="4"/>
      <c r="J180" s="4"/>
      <c r="K180" s="4"/>
      <c r="L180" s="4"/>
      <c r="M180" s="4"/>
      <c r="N180" s="4"/>
      <c r="O180" s="4"/>
      <c r="P180" s="149"/>
    </row>
    <row r="181" spans="1:16">
      <c r="A181" s="142"/>
      <c r="B181" s="4"/>
      <c r="C181" s="4"/>
      <c r="D181" s="4"/>
      <c r="E181" s="4"/>
      <c r="F181" s="4"/>
      <c r="G181" s="4"/>
      <c r="H181" s="4"/>
      <c r="I181" s="4"/>
      <c r="J181" s="4"/>
      <c r="K181" s="4"/>
      <c r="L181" s="4"/>
      <c r="M181" s="4"/>
      <c r="N181" s="4"/>
      <c r="O181" s="4"/>
      <c r="P181" s="149"/>
    </row>
    <row r="182" spans="1:16">
      <c r="A182" s="142"/>
      <c r="B182" s="4"/>
      <c r="C182" s="4"/>
      <c r="D182" s="4"/>
      <c r="E182" s="4"/>
      <c r="F182" s="4"/>
      <c r="G182" s="4"/>
      <c r="H182" s="4"/>
      <c r="I182" s="4"/>
      <c r="J182" s="4"/>
      <c r="K182" s="4"/>
      <c r="L182" s="4"/>
      <c r="M182" s="4"/>
      <c r="N182" s="4"/>
      <c r="O182" s="4"/>
      <c r="P182" s="149"/>
    </row>
    <row r="183" spans="1:16">
      <c r="A183" s="142"/>
      <c r="B183" s="4"/>
      <c r="C183" s="4"/>
      <c r="D183" s="4"/>
      <c r="E183" s="4"/>
      <c r="F183" s="4"/>
      <c r="G183" s="4"/>
      <c r="H183" s="4"/>
      <c r="I183" s="4"/>
      <c r="J183" s="4"/>
      <c r="K183" s="4"/>
      <c r="L183" s="4"/>
      <c r="M183" s="4"/>
      <c r="N183" s="4"/>
      <c r="O183" s="4"/>
      <c r="P183" s="149"/>
    </row>
    <row r="184" spans="1:16">
      <c r="A184" s="142"/>
      <c r="B184" s="4"/>
      <c r="C184" s="4"/>
      <c r="D184" s="4"/>
      <c r="E184" s="4"/>
      <c r="F184" s="4"/>
      <c r="G184" s="4"/>
      <c r="H184" s="4"/>
      <c r="I184" s="4"/>
      <c r="J184" s="4"/>
      <c r="K184" s="4"/>
      <c r="L184" s="4"/>
      <c r="M184" s="4"/>
      <c r="N184" s="4"/>
      <c r="O184" s="4"/>
      <c r="P184" s="149"/>
    </row>
    <row r="185" spans="1:16">
      <c r="A185" s="142"/>
      <c r="B185" s="4"/>
      <c r="C185" s="4"/>
      <c r="D185" s="4"/>
      <c r="E185" s="4"/>
      <c r="F185" s="4"/>
      <c r="G185" s="4"/>
      <c r="H185" s="4"/>
      <c r="I185" s="4"/>
      <c r="J185" s="4"/>
      <c r="K185" s="4"/>
      <c r="L185" s="4"/>
      <c r="M185" s="4"/>
      <c r="N185" s="4"/>
      <c r="O185" s="4"/>
      <c r="P185" s="149"/>
    </row>
    <row r="186" spans="1:16">
      <c r="A186" s="142"/>
      <c r="B186" s="4"/>
      <c r="C186" s="4"/>
      <c r="D186" s="4"/>
      <c r="E186" s="4"/>
      <c r="F186" s="4"/>
      <c r="G186" s="4"/>
      <c r="H186" s="4"/>
      <c r="I186" s="4"/>
      <c r="J186" s="4"/>
      <c r="K186" s="4"/>
      <c r="L186" s="4"/>
      <c r="M186" s="4"/>
      <c r="N186" s="4"/>
      <c r="O186" s="4"/>
      <c r="P186" s="149"/>
    </row>
    <row r="187" spans="1:16">
      <c r="A187" s="142"/>
      <c r="B187" s="4"/>
      <c r="C187" s="4"/>
      <c r="D187" s="4"/>
      <c r="E187" s="4"/>
      <c r="F187" s="4"/>
      <c r="G187" s="4"/>
      <c r="H187" s="4"/>
      <c r="I187" s="4"/>
      <c r="J187" s="4"/>
      <c r="K187" s="4"/>
      <c r="L187" s="4"/>
      <c r="M187" s="4"/>
      <c r="N187" s="4"/>
      <c r="O187" s="4"/>
      <c r="P187" s="149"/>
    </row>
    <row r="188" spans="1:16">
      <c r="A188" s="142"/>
      <c r="B188" s="4"/>
      <c r="C188" s="4"/>
      <c r="D188" s="4"/>
      <c r="E188" s="4"/>
      <c r="F188" s="4"/>
      <c r="G188" s="4"/>
      <c r="H188" s="4"/>
      <c r="I188" s="4"/>
      <c r="J188" s="4"/>
      <c r="K188" s="4"/>
      <c r="L188" s="4"/>
      <c r="M188" s="4"/>
      <c r="N188" s="4"/>
      <c r="O188" s="4"/>
      <c r="P188" s="149"/>
    </row>
    <row r="189" spans="1:16">
      <c r="A189" s="142"/>
      <c r="B189" s="4"/>
      <c r="C189" s="4"/>
      <c r="D189" s="4"/>
      <c r="E189" s="4"/>
      <c r="F189" s="4"/>
      <c r="G189" s="4"/>
      <c r="H189" s="4"/>
      <c r="I189" s="4"/>
      <c r="J189" s="4"/>
      <c r="K189" s="4"/>
      <c r="L189" s="4"/>
      <c r="M189" s="4"/>
      <c r="N189" s="4"/>
      <c r="O189" s="4"/>
      <c r="P189" s="149"/>
    </row>
    <row r="190" spans="1:16">
      <c r="A190" s="142"/>
      <c r="B190" s="4"/>
      <c r="C190" s="4"/>
      <c r="D190" s="4"/>
      <c r="E190" s="4"/>
      <c r="F190" s="4"/>
      <c r="G190" s="4"/>
      <c r="H190" s="4"/>
      <c r="I190" s="4"/>
      <c r="J190" s="4"/>
      <c r="K190" s="4"/>
      <c r="L190" s="4"/>
      <c r="M190" s="4"/>
      <c r="N190" s="4"/>
      <c r="O190" s="4"/>
      <c r="P190" s="149"/>
    </row>
    <row r="191" spans="1:16">
      <c r="A191" s="142"/>
      <c r="B191" s="4"/>
      <c r="C191" s="4"/>
      <c r="D191" s="4"/>
      <c r="E191" s="4"/>
      <c r="F191" s="4"/>
      <c r="G191" s="4"/>
      <c r="H191" s="4"/>
      <c r="I191" s="4"/>
      <c r="J191" s="4"/>
      <c r="K191" s="4"/>
      <c r="L191" s="4"/>
      <c r="M191" s="4"/>
      <c r="N191" s="4"/>
      <c r="O191" s="4"/>
      <c r="P191" s="149"/>
    </row>
    <row r="192" spans="1:16">
      <c r="A192" s="142"/>
      <c r="B192" s="4"/>
      <c r="C192" s="4"/>
      <c r="D192" s="4"/>
      <c r="E192" s="4"/>
      <c r="F192" s="4"/>
      <c r="G192" s="4"/>
      <c r="H192" s="4"/>
      <c r="I192" s="4"/>
      <c r="J192" s="4"/>
      <c r="K192" s="4"/>
      <c r="L192" s="4"/>
      <c r="M192" s="4"/>
      <c r="N192" s="4"/>
      <c r="O192" s="4"/>
      <c r="P192" s="149"/>
    </row>
    <row r="193" spans="1:16">
      <c r="A193" s="142"/>
      <c r="B193" s="4"/>
      <c r="C193" s="4"/>
      <c r="D193" s="4"/>
      <c r="E193" s="4"/>
      <c r="F193" s="4"/>
      <c r="G193" s="4"/>
      <c r="H193" s="4"/>
      <c r="I193" s="4"/>
      <c r="J193" s="4"/>
      <c r="K193" s="4"/>
      <c r="L193" s="4"/>
      <c r="M193" s="4"/>
      <c r="N193" s="4"/>
      <c r="O193" s="4"/>
      <c r="P193" s="149"/>
    </row>
    <row r="194" spans="1:16">
      <c r="A194" s="142"/>
      <c r="B194" s="4"/>
      <c r="C194" s="4"/>
      <c r="D194" s="4"/>
      <c r="E194" s="4"/>
      <c r="F194" s="4"/>
      <c r="G194" s="4"/>
      <c r="H194" s="4"/>
      <c r="I194" s="4"/>
      <c r="J194" s="4"/>
      <c r="K194" s="4"/>
      <c r="L194" s="4"/>
      <c r="M194" s="4"/>
      <c r="N194" s="4"/>
      <c r="O194" s="4"/>
      <c r="P194" s="149"/>
    </row>
    <row r="195" spans="1:16">
      <c r="A195" s="142"/>
      <c r="B195" s="4"/>
      <c r="C195" s="4"/>
      <c r="D195" s="4"/>
      <c r="E195" s="4"/>
      <c r="F195" s="4"/>
      <c r="G195" s="4"/>
      <c r="H195" s="4"/>
      <c r="I195" s="4"/>
      <c r="J195" s="4"/>
      <c r="K195" s="4"/>
      <c r="L195" s="4"/>
      <c r="M195" s="4"/>
      <c r="N195" s="4"/>
      <c r="O195" s="4"/>
      <c r="P195" s="149"/>
    </row>
    <row r="196" spans="1:16">
      <c r="A196" s="142"/>
      <c r="B196" s="4"/>
      <c r="C196" s="4"/>
      <c r="D196" s="4"/>
      <c r="E196" s="4"/>
      <c r="F196" s="4"/>
      <c r="G196" s="4"/>
      <c r="H196" s="4"/>
      <c r="I196" s="4"/>
      <c r="J196" s="4"/>
      <c r="K196" s="4"/>
      <c r="L196" s="4"/>
      <c r="M196" s="4"/>
      <c r="N196" s="4"/>
      <c r="O196" s="4"/>
      <c r="P196" s="149"/>
    </row>
    <row r="197" spans="1:16">
      <c r="A197" s="142"/>
      <c r="B197" s="4"/>
      <c r="C197" s="4"/>
      <c r="D197" s="4"/>
      <c r="E197" s="4"/>
      <c r="F197" s="4"/>
      <c r="G197" s="4"/>
      <c r="H197" s="4"/>
      <c r="I197" s="4"/>
      <c r="J197" s="4"/>
      <c r="K197" s="4"/>
      <c r="L197" s="4"/>
      <c r="M197" s="4"/>
      <c r="N197" s="4"/>
      <c r="O197" s="4"/>
      <c r="P197" s="149"/>
    </row>
    <row r="198" spans="1:16">
      <c r="A198" s="142"/>
      <c r="B198" s="4"/>
      <c r="C198" s="4"/>
      <c r="D198" s="4"/>
      <c r="E198" s="4"/>
      <c r="F198" s="4"/>
      <c r="G198" s="4"/>
      <c r="H198" s="4"/>
      <c r="I198" s="4"/>
      <c r="J198" s="4"/>
      <c r="K198" s="4"/>
      <c r="L198" s="4"/>
      <c r="M198" s="4"/>
      <c r="N198" s="4"/>
      <c r="O198" s="4"/>
      <c r="P198" s="149"/>
    </row>
    <row r="199" spans="1:16">
      <c r="A199" s="142"/>
      <c r="B199" s="4"/>
      <c r="C199" s="4"/>
      <c r="D199" s="4"/>
      <c r="E199" s="4"/>
      <c r="F199" s="4"/>
      <c r="G199" s="4"/>
      <c r="H199" s="4"/>
      <c r="I199" s="4"/>
      <c r="J199" s="4"/>
      <c r="K199" s="4"/>
      <c r="L199" s="4"/>
      <c r="M199" s="4"/>
      <c r="N199" s="4"/>
      <c r="O199" s="4"/>
      <c r="P199" s="149"/>
    </row>
    <row r="200" spans="1:16">
      <c r="A200" s="142"/>
      <c r="B200" s="4"/>
      <c r="C200" s="4"/>
      <c r="D200" s="4"/>
      <c r="E200" s="4"/>
      <c r="F200" s="4"/>
      <c r="G200" s="4"/>
      <c r="H200" s="4"/>
      <c r="I200" s="4"/>
      <c r="J200" s="4"/>
      <c r="K200" s="4"/>
      <c r="L200" s="4"/>
      <c r="M200" s="4"/>
      <c r="N200" s="4"/>
      <c r="O200" s="4"/>
      <c r="P200" s="149"/>
    </row>
    <row r="201" spans="1:16">
      <c r="A201" s="142"/>
      <c r="B201" s="4"/>
      <c r="C201" s="4"/>
      <c r="D201" s="4"/>
      <c r="E201" s="4"/>
      <c r="F201" s="4"/>
      <c r="G201" s="4"/>
      <c r="H201" s="4"/>
      <c r="I201" s="4"/>
      <c r="J201" s="4"/>
      <c r="K201" s="4"/>
      <c r="L201" s="4"/>
      <c r="M201" s="4"/>
      <c r="N201" s="4"/>
      <c r="O201" s="4"/>
      <c r="P201" s="149"/>
    </row>
    <row r="202" spans="1:16">
      <c r="A202" s="142"/>
      <c r="B202" s="4"/>
      <c r="C202" s="4"/>
      <c r="D202" s="4"/>
      <c r="E202" s="4"/>
      <c r="F202" s="4"/>
      <c r="G202" s="4"/>
      <c r="H202" s="4"/>
      <c r="I202" s="4"/>
      <c r="J202" s="4"/>
      <c r="K202" s="4"/>
      <c r="L202" s="4"/>
      <c r="M202" s="4"/>
      <c r="N202" s="4"/>
      <c r="O202" s="4"/>
      <c r="P202" s="149"/>
    </row>
    <row r="203" spans="1:16">
      <c r="A203" s="142"/>
      <c r="B203" s="4"/>
      <c r="C203" s="4"/>
      <c r="D203" s="4"/>
      <c r="E203" s="4"/>
      <c r="F203" s="4"/>
      <c r="G203" s="4"/>
      <c r="H203" s="4"/>
      <c r="I203" s="4"/>
      <c r="J203" s="4"/>
      <c r="K203" s="4"/>
      <c r="L203" s="4"/>
      <c r="M203" s="4"/>
      <c r="N203" s="4"/>
      <c r="O203" s="4"/>
      <c r="P203" s="149"/>
    </row>
    <row r="204" spans="1:16">
      <c r="A204" s="142"/>
      <c r="B204" s="4"/>
      <c r="C204" s="4"/>
      <c r="D204" s="4"/>
      <c r="E204" s="4"/>
      <c r="F204" s="4"/>
      <c r="G204" s="4"/>
      <c r="H204" s="4"/>
      <c r="I204" s="4"/>
      <c r="J204" s="4"/>
      <c r="K204" s="4"/>
      <c r="L204" s="4"/>
      <c r="M204" s="4"/>
      <c r="N204" s="4"/>
      <c r="O204" s="4"/>
      <c r="P204" s="149"/>
    </row>
    <row r="205" spans="1:16">
      <c r="A205" s="142"/>
      <c r="B205" s="4"/>
      <c r="C205" s="4"/>
      <c r="D205" s="4"/>
      <c r="E205" s="4"/>
      <c r="F205" s="4"/>
      <c r="G205" s="4"/>
      <c r="H205" s="4"/>
      <c r="I205" s="4"/>
      <c r="J205" s="4"/>
      <c r="K205" s="4"/>
      <c r="L205" s="4"/>
      <c r="M205" s="4"/>
      <c r="N205" s="4"/>
      <c r="O205" s="4"/>
      <c r="P205" s="149"/>
    </row>
    <row r="206" spans="1:16">
      <c r="A206" s="142"/>
      <c r="B206" s="4"/>
      <c r="C206" s="4"/>
      <c r="D206" s="4"/>
      <c r="E206" s="4"/>
      <c r="F206" s="4"/>
      <c r="G206" s="4"/>
      <c r="H206" s="4"/>
      <c r="I206" s="4"/>
      <c r="J206" s="4"/>
      <c r="K206" s="4"/>
      <c r="L206" s="4"/>
      <c r="M206" s="4"/>
      <c r="N206" s="4"/>
      <c r="O206" s="4"/>
      <c r="P206" s="149"/>
    </row>
    <row r="207" spans="1:16">
      <c r="A207" s="142"/>
      <c r="B207" s="4"/>
      <c r="C207" s="4"/>
      <c r="D207" s="4"/>
      <c r="E207" s="4"/>
      <c r="F207" s="4"/>
      <c r="G207" s="4"/>
      <c r="H207" s="4"/>
      <c r="I207" s="4"/>
      <c r="J207" s="4"/>
      <c r="K207" s="4"/>
      <c r="L207" s="4"/>
      <c r="M207" s="4"/>
      <c r="N207" s="4"/>
      <c r="O207" s="4"/>
      <c r="P207" s="149"/>
    </row>
    <row r="208" spans="1:16">
      <c r="A208" s="142"/>
      <c r="B208" s="4"/>
      <c r="C208" s="4"/>
      <c r="D208" s="4"/>
      <c r="E208" s="4"/>
      <c r="F208" s="4"/>
      <c r="G208" s="4"/>
      <c r="H208" s="4"/>
      <c r="I208" s="4"/>
      <c r="J208" s="4"/>
      <c r="K208" s="4"/>
      <c r="L208" s="4"/>
      <c r="M208" s="4"/>
      <c r="N208" s="4"/>
      <c r="O208" s="4"/>
      <c r="P208" s="149"/>
    </row>
    <row r="209" spans="1:16">
      <c r="A209" s="142"/>
      <c r="B209" s="4"/>
      <c r="C209" s="4"/>
      <c r="D209" s="4"/>
      <c r="E209" s="4"/>
      <c r="F209" s="4"/>
      <c r="G209" s="4"/>
      <c r="H209" s="4"/>
      <c r="I209" s="4"/>
      <c r="J209" s="4"/>
      <c r="K209" s="4"/>
      <c r="L209" s="4"/>
      <c r="M209" s="4"/>
      <c r="N209" s="4"/>
      <c r="O209" s="4"/>
      <c r="P209" s="149"/>
    </row>
    <row r="210" spans="1:16">
      <c r="A210" s="142"/>
      <c r="B210" s="4"/>
      <c r="C210" s="4"/>
      <c r="D210" s="4"/>
      <c r="E210" s="4"/>
      <c r="F210" s="4"/>
      <c r="G210" s="4"/>
      <c r="H210" s="4"/>
      <c r="I210" s="4"/>
      <c r="J210" s="4"/>
      <c r="K210" s="4"/>
      <c r="L210" s="4"/>
      <c r="M210" s="4"/>
      <c r="N210" s="4"/>
      <c r="O210" s="4"/>
      <c r="P210" s="149"/>
    </row>
    <row r="211" spans="1:16">
      <c r="A211" s="142"/>
      <c r="B211" s="4"/>
      <c r="C211" s="4"/>
      <c r="D211" s="4"/>
      <c r="E211" s="4"/>
      <c r="F211" s="4"/>
      <c r="G211" s="4"/>
      <c r="H211" s="4"/>
      <c r="I211" s="4"/>
      <c r="J211" s="4"/>
      <c r="K211" s="4"/>
      <c r="L211" s="4"/>
      <c r="M211" s="4"/>
      <c r="N211" s="4"/>
      <c r="O211" s="4"/>
      <c r="P211" s="149"/>
    </row>
    <row r="212" spans="1:16">
      <c r="A212" s="142"/>
      <c r="B212" s="4"/>
      <c r="C212" s="4"/>
      <c r="D212" s="4"/>
      <c r="E212" s="4"/>
      <c r="F212" s="4"/>
      <c r="G212" s="4"/>
      <c r="H212" s="4"/>
      <c r="I212" s="4"/>
      <c r="J212" s="4"/>
      <c r="K212" s="4"/>
      <c r="L212" s="4"/>
      <c r="M212" s="4"/>
      <c r="N212" s="4"/>
      <c r="O212" s="4"/>
      <c r="P212" s="149"/>
    </row>
    <row r="213" spans="1:16">
      <c r="A213" s="142"/>
      <c r="B213" s="4"/>
      <c r="C213" s="4"/>
      <c r="D213" s="4"/>
      <c r="E213" s="4"/>
      <c r="F213" s="4"/>
      <c r="G213" s="4"/>
      <c r="H213" s="4"/>
      <c r="I213" s="4"/>
      <c r="J213" s="4"/>
      <c r="K213" s="4"/>
      <c r="L213" s="4"/>
      <c r="M213" s="4"/>
      <c r="N213" s="4"/>
      <c r="O213" s="4"/>
      <c r="P213" s="149"/>
    </row>
    <row r="214" spans="1:16">
      <c r="A214" s="142"/>
      <c r="B214" s="4"/>
      <c r="C214" s="4"/>
      <c r="D214" s="4"/>
      <c r="E214" s="4"/>
      <c r="F214" s="4"/>
      <c r="G214" s="4"/>
      <c r="H214" s="4"/>
      <c r="I214" s="4"/>
      <c r="J214" s="4"/>
      <c r="K214" s="4"/>
      <c r="L214" s="4"/>
      <c r="M214" s="4"/>
      <c r="N214" s="4"/>
      <c r="O214" s="4"/>
      <c r="P214" s="149"/>
    </row>
    <row r="215" spans="1:16">
      <c r="A215" s="142"/>
      <c r="B215" s="4"/>
      <c r="C215" s="4"/>
      <c r="D215" s="4"/>
      <c r="E215" s="4"/>
      <c r="F215" s="4"/>
      <c r="G215" s="4"/>
      <c r="H215" s="4"/>
      <c r="I215" s="4"/>
      <c r="J215" s="4"/>
      <c r="K215" s="4"/>
      <c r="L215" s="4"/>
      <c r="M215" s="4"/>
      <c r="N215" s="4"/>
      <c r="O215" s="4"/>
      <c r="P215" s="149"/>
    </row>
    <row r="216" spans="1:16">
      <c r="A216" s="142"/>
      <c r="B216" s="4"/>
      <c r="C216" s="4"/>
      <c r="D216" s="4"/>
      <c r="E216" s="4"/>
      <c r="F216" s="4"/>
      <c r="G216" s="4"/>
      <c r="H216" s="4"/>
      <c r="I216" s="4"/>
      <c r="J216" s="4"/>
      <c r="K216" s="4"/>
      <c r="L216" s="4"/>
      <c r="M216" s="4"/>
      <c r="N216" s="4"/>
      <c r="O216" s="4"/>
      <c r="P216" s="149"/>
    </row>
    <row r="217" spans="1:16">
      <c r="A217" s="142"/>
      <c r="B217" s="4"/>
      <c r="C217" s="4"/>
      <c r="D217" s="4"/>
      <c r="E217" s="4"/>
      <c r="F217" s="4"/>
      <c r="G217" s="4"/>
      <c r="H217" s="4"/>
      <c r="I217" s="4"/>
      <c r="J217" s="4"/>
      <c r="K217" s="4"/>
      <c r="L217" s="4"/>
      <c r="M217" s="4"/>
      <c r="N217" s="4"/>
      <c r="O217" s="4"/>
      <c r="P217" s="149"/>
    </row>
    <row r="218" spans="1:16">
      <c r="A218" s="142"/>
      <c r="B218" s="4"/>
      <c r="C218" s="4"/>
      <c r="D218" s="4"/>
      <c r="E218" s="4"/>
      <c r="F218" s="4"/>
      <c r="G218" s="4"/>
      <c r="H218" s="4"/>
      <c r="I218" s="4"/>
      <c r="J218" s="4"/>
      <c r="K218" s="4"/>
      <c r="L218" s="4"/>
      <c r="M218" s="4"/>
      <c r="N218" s="4"/>
      <c r="O218" s="4"/>
      <c r="P218" s="149"/>
    </row>
    <row r="219" spans="1:16">
      <c r="A219" s="142"/>
      <c r="B219" s="4"/>
      <c r="C219" s="4"/>
      <c r="D219" s="4"/>
      <c r="E219" s="4"/>
      <c r="F219" s="4"/>
      <c r="G219" s="4"/>
      <c r="H219" s="4"/>
      <c r="I219" s="4"/>
      <c r="J219" s="4"/>
      <c r="K219" s="4"/>
      <c r="L219" s="4"/>
      <c r="M219" s="4"/>
      <c r="N219" s="4"/>
      <c r="O219" s="4"/>
      <c r="P219" s="149"/>
    </row>
    <row r="220" spans="1:16">
      <c r="A220" s="142"/>
      <c r="B220" s="4"/>
      <c r="C220" s="4"/>
      <c r="D220" s="4"/>
      <c r="E220" s="4"/>
      <c r="F220" s="4"/>
      <c r="G220" s="4"/>
      <c r="H220" s="4"/>
      <c r="I220" s="4"/>
      <c r="J220" s="4"/>
      <c r="K220" s="4"/>
      <c r="L220" s="4"/>
      <c r="M220" s="4"/>
      <c r="N220" s="4"/>
      <c r="O220" s="4"/>
      <c r="P220" s="149"/>
    </row>
    <row r="221" spans="1:16">
      <c r="A221" s="142"/>
      <c r="B221" s="4"/>
      <c r="C221" s="4"/>
      <c r="D221" s="4"/>
      <c r="E221" s="4"/>
      <c r="F221" s="4"/>
      <c r="G221" s="4"/>
      <c r="H221" s="4"/>
      <c r="I221" s="4"/>
      <c r="J221" s="4"/>
      <c r="K221" s="4"/>
      <c r="L221" s="4"/>
      <c r="M221" s="4"/>
      <c r="N221" s="4"/>
      <c r="O221" s="4"/>
      <c r="P221" s="149"/>
    </row>
    <row r="222" spans="1:16">
      <c r="A222" s="142"/>
      <c r="B222" s="4"/>
      <c r="C222" s="4"/>
      <c r="D222" s="4"/>
      <c r="E222" s="4"/>
      <c r="F222" s="4"/>
      <c r="G222" s="4"/>
      <c r="H222" s="4"/>
      <c r="I222" s="4"/>
      <c r="J222" s="4"/>
      <c r="K222" s="4"/>
      <c r="L222" s="4"/>
      <c r="M222" s="4"/>
      <c r="N222" s="4"/>
      <c r="O222" s="4"/>
      <c r="P222" s="149"/>
    </row>
    <row r="223" spans="1:16">
      <c r="A223" s="142"/>
      <c r="B223" s="4"/>
      <c r="C223" s="4"/>
      <c r="D223" s="4"/>
      <c r="E223" s="4"/>
      <c r="F223" s="4"/>
      <c r="G223" s="4"/>
      <c r="H223" s="4"/>
      <c r="I223" s="4"/>
      <c r="J223" s="4"/>
      <c r="K223" s="4"/>
      <c r="L223" s="4"/>
      <c r="M223" s="4"/>
      <c r="N223" s="4"/>
      <c r="O223" s="4"/>
      <c r="P223" s="149"/>
    </row>
    <row r="224" spans="1:16">
      <c r="A224" s="142"/>
      <c r="B224" s="4"/>
      <c r="C224" s="4"/>
      <c r="D224" s="4"/>
      <c r="E224" s="4"/>
      <c r="F224" s="4"/>
      <c r="G224" s="4"/>
      <c r="H224" s="4"/>
      <c r="I224" s="4"/>
      <c r="J224" s="4"/>
      <c r="K224" s="4"/>
      <c r="L224" s="4"/>
      <c r="M224" s="4"/>
      <c r="N224" s="4"/>
      <c r="O224" s="4"/>
      <c r="P224" s="149"/>
    </row>
    <row r="225" spans="1:16">
      <c r="A225" s="142"/>
      <c r="B225" s="4"/>
      <c r="C225" s="4"/>
      <c r="D225" s="4"/>
      <c r="E225" s="4"/>
      <c r="F225" s="4"/>
      <c r="G225" s="4"/>
      <c r="H225" s="4"/>
      <c r="I225" s="4"/>
      <c r="J225" s="4"/>
      <c r="K225" s="4"/>
      <c r="L225" s="4"/>
      <c r="M225" s="4"/>
      <c r="N225" s="4"/>
      <c r="O225" s="4"/>
      <c r="P225" s="149"/>
    </row>
    <row r="226" spans="1:16">
      <c r="A226" s="142"/>
      <c r="B226" s="4"/>
      <c r="C226" s="4"/>
      <c r="D226" s="4"/>
      <c r="E226" s="4"/>
      <c r="F226" s="4"/>
      <c r="G226" s="4"/>
      <c r="H226" s="4"/>
      <c r="I226" s="4"/>
      <c r="J226" s="4"/>
      <c r="K226" s="4"/>
      <c r="L226" s="4"/>
      <c r="M226" s="4"/>
      <c r="N226" s="4"/>
      <c r="O226" s="4"/>
      <c r="P226" s="149"/>
    </row>
    <row r="227" spans="1:16">
      <c r="A227" s="142"/>
      <c r="B227" s="4"/>
      <c r="C227" s="4"/>
      <c r="D227" s="4"/>
      <c r="E227" s="4"/>
      <c r="F227" s="4"/>
      <c r="G227" s="4"/>
      <c r="H227" s="4"/>
      <c r="I227" s="4"/>
      <c r="J227" s="4"/>
      <c r="K227" s="4"/>
      <c r="L227" s="4"/>
      <c r="M227" s="4"/>
      <c r="N227" s="4"/>
      <c r="O227" s="4"/>
      <c r="P227" s="149"/>
    </row>
    <row r="228" spans="1:16">
      <c r="A228" s="142"/>
      <c r="B228" s="4"/>
      <c r="C228" s="4"/>
      <c r="D228" s="4"/>
      <c r="E228" s="4"/>
      <c r="F228" s="4"/>
      <c r="G228" s="4"/>
      <c r="H228" s="4"/>
      <c r="I228" s="4"/>
      <c r="J228" s="4"/>
      <c r="K228" s="4"/>
      <c r="L228" s="4"/>
      <c r="M228" s="4"/>
      <c r="N228" s="4"/>
      <c r="O228" s="4"/>
      <c r="P228" s="149"/>
    </row>
    <row r="229" spans="1:16">
      <c r="A229" s="142"/>
      <c r="B229" s="4"/>
      <c r="C229" s="4"/>
      <c r="D229" s="4"/>
      <c r="E229" s="4"/>
      <c r="F229" s="4"/>
      <c r="G229" s="4"/>
      <c r="H229" s="4"/>
      <c r="I229" s="4"/>
      <c r="J229" s="4"/>
      <c r="K229" s="4"/>
      <c r="L229" s="4"/>
      <c r="M229" s="4"/>
      <c r="N229" s="4"/>
      <c r="O229" s="4"/>
      <c r="P229" s="149"/>
    </row>
    <row r="230" spans="1:16">
      <c r="A230" s="142"/>
      <c r="B230" s="4"/>
      <c r="C230" s="4"/>
      <c r="D230" s="4"/>
      <c r="E230" s="4"/>
      <c r="F230" s="4"/>
      <c r="G230" s="4"/>
      <c r="H230" s="4"/>
      <c r="I230" s="4"/>
      <c r="J230" s="4"/>
      <c r="K230" s="4"/>
      <c r="L230" s="4"/>
      <c r="M230" s="4"/>
      <c r="N230" s="4"/>
      <c r="O230" s="4"/>
      <c r="P230" s="149"/>
    </row>
    <row r="231" spans="1:16">
      <c r="A231" s="142"/>
      <c r="B231" s="4"/>
      <c r="C231" s="4"/>
      <c r="D231" s="4"/>
      <c r="E231" s="4"/>
      <c r="F231" s="4"/>
      <c r="G231" s="4"/>
      <c r="H231" s="4"/>
      <c r="I231" s="4"/>
      <c r="J231" s="4"/>
      <c r="K231" s="4"/>
      <c r="L231" s="4"/>
      <c r="M231" s="4"/>
      <c r="N231" s="4"/>
      <c r="O231" s="4"/>
      <c r="P231" s="149"/>
    </row>
    <row r="232" spans="1:16">
      <c r="A232" s="142"/>
      <c r="B232" s="4"/>
      <c r="C232" s="4"/>
      <c r="D232" s="4"/>
      <c r="E232" s="4"/>
      <c r="F232" s="4"/>
      <c r="G232" s="4"/>
      <c r="H232" s="4"/>
      <c r="I232" s="4"/>
      <c r="J232" s="4"/>
      <c r="K232" s="4"/>
      <c r="L232" s="4"/>
      <c r="M232" s="4"/>
      <c r="N232" s="4"/>
      <c r="O232" s="4"/>
      <c r="P232" s="149"/>
    </row>
    <row r="233" spans="1:16">
      <c r="A233" s="142"/>
      <c r="B233" s="4"/>
      <c r="C233" s="4"/>
      <c r="D233" s="4"/>
      <c r="E233" s="4"/>
      <c r="F233" s="4"/>
      <c r="G233" s="4"/>
      <c r="H233" s="4"/>
      <c r="I233" s="4"/>
      <c r="J233" s="4"/>
      <c r="K233" s="4"/>
      <c r="L233" s="4"/>
      <c r="M233" s="4"/>
      <c r="N233" s="4"/>
      <c r="O233" s="4"/>
      <c r="P233" s="149"/>
    </row>
    <row r="234" spans="1:16">
      <c r="A234" s="142"/>
      <c r="B234" s="4"/>
      <c r="C234" s="4"/>
      <c r="D234" s="4"/>
      <c r="E234" s="4"/>
      <c r="F234" s="4"/>
      <c r="G234" s="4"/>
      <c r="H234" s="4"/>
      <c r="I234" s="4"/>
      <c r="J234" s="4"/>
      <c r="K234" s="4"/>
      <c r="L234" s="4"/>
      <c r="M234" s="4"/>
      <c r="N234" s="4"/>
      <c r="O234" s="4"/>
      <c r="P234" s="149"/>
    </row>
    <row r="235" spans="1:16">
      <c r="A235" s="142"/>
      <c r="B235" s="4"/>
      <c r="C235" s="4"/>
      <c r="D235" s="4"/>
      <c r="E235" s="4"/>
      <c r="F235" s="4"/>
      <c r="G235" s="4"/>
      <c r="H235" s="4"/>
      <c r="I235" s="4"/>
      <c r="J235" s="4"/>
      <c r="K235" s="4"/>
      <c r="L235" s="4"/>
      <c r="M235" s="4"/>
      <c r="N235" s="4"/>
      <c r="O235" s="4"/>
      <c r="P235" s="149"/>
    </row>
    <row r="236" spans="1:16">
      <c r="A236" s="142"/>
      <c r="B236" s="4"/>
      <c r="C236" s="4"/>
      <c r="D236" s="4"/>
      <c r="E236" s="4"/>
      <c r="F236" s="4"/>
      <c r="G236" s="4"/>
      <c r="H236" s="4"/>
      <c r="I236" s="4"/>
      <c r="J236" s="4"/>
      <c r="K236" s="4"/>
      <c r="L236" s="4"/>
      <c r="M236" s="4"/>
      <c r="N236" s="4"/>
      <c r="O236" s="4"/>
      <c r="P236" s="149"/>
    </row>
    <row r="237" spans="1:16">
      <c r="A237" s="142"/>
      <c r="B237" s="4"/>
      <c r="C237" s="4"/>
      <c r="D237" s="4"/>
      <c r="E237" s="4"/>
      <c r="F237" s="4"/>
      <c r="G237" s="4"/>
      <c r="H237" s="4"/>
      <c r="I237" s="4"/>
      <c r="J237" s="4"/>
      <c r="K237" s="4"/>
      <c r="L237" s="4"/>
      <c r="M237" s="4"/>
      <c r="N237" s="4"/>
      <c r="O237" s="4"/>
      <c r="P237" s="149"/>
    </row>
    <row r="238" spans="1:16">
      <c r="A238" s="142"/>
      <c r="B238" s="4"/>
      <c r="C238" s="4"/>
      <c r="D238" s="4"/>
      <c r="E238" s="4"/>
      <c r="F238" s="4"/>
      <c r="G238" s="4"/>
      <c r="H238" s="4"/>
      <c r="I238" s="4"/>
      <c r="J238" s="4"/>
      <c r="K238" s="4"/>
      <c r="L238" s="4"/>
      <c r="M238" s="4"/>
      <c r="N238" s="4"/>
      <c r="O238" s="4"/>
      <c r="P238" s="149"/>
    </row>
    <row r="239" spans="1:16">
      <c r="A239" s="142"/>
      <c r="B239" s="4"/>
      <c r="C239" s="4"/>
      <c r="D239" s="4"/>
      <c r="E239" s="4"/>
      <c r="F239" s="4"/>
      <c r="G239" s="4"/>
      <c r="H239" s="4"/>
      <c r="I239" s="4"/>
      <c r="J239" s="4"/>
      <c r="K239" s="4"/>
      <c r="L239" s="4"/>
      <c r="M239" s="4"/>
      <c r="N239" s="4"/>
      <c r="O239" s="4"/>
      <c r="P239" s="149"/>
    </row>
    <row r="240" spans="1:16">
      <c r="A240" s="142"/>
      <c r="B240" s="4"/>
      <c r="C240" s="4"/>
      <c r="D240" s="4"/>
      <c r="E240" s="4"/>
      <c r="F240" s="4"/>
      <c r="G240" s="4"/>
      <c r="H240" s="4"/>
      <c r="I240" s="4"/>
      <c r="J240" s="4"/>
      <c r="K240" s="4"/>
      <c r="L240" s="4"/>
      <c r="M240" s="4"/>
      <c r="N240" s="4"/>
      <c r="O240" s="4"/>
      <c r="P240" s="149"/>
    </row>
    <row r="241" spans="1:16">
      <c r="A241" s="142"/>
      <c r="B241" s="4"/>
      <c r="C241" s="4"/>
      <c r="D241" s="4"/>
      <c r="E241" s="4"/>
      <c r="F241" s="4"/>
      <c r="G241" s="4"/>
      <c r="H241" s="4"/>
      <c r="I241" s="4"/>
      <c r="J241" s="4"/>
      <c r="K241" s="4"/>
      <c r="L241" s="4"/>
      <c r="M241" s="4"/>
      <c r="N241" s="4"/>
      <c r="O241" s="4"/>
      <c r="P241" s="149"/>
    </row>
    <row r="242" spans="1:16">
      <c r="A242" s="142"/>
      <c r="B242" s="4"/>
      <c r="C242" s="4"/>
      <c r="D242" s="4"/>
      <c r="E242" s="4"/>
      <c r="F242" s="4"/>
      <c r="G242" s="4"/>
      <c r="H242" s="4"/>
      <c r="I242" s="4"/>
      <c r="J242" s="4"/>
      <c r="K242" s="4"/>
      <c r="L242" s="4"/>
      <c r="M242" s="4"/>
      <c r="N242" s="4"/>
      <c r="O242" s="4"/>
      <c r="P242" s="149"/>
    </row>
    <row r="243" spans="1:16">
      <c r="A243" s="142"/>
      <c r="B243" s="4"/>
      <c r="C243" s="4"/>
      <c r="D243" s="4"/>
      <c r="E243" s="4"/>
      <c r="F243" s="4"/>
      <c r="G243" s="4"/>
      <c r="H243" s="4"/>
      <c r="I243" s="4"/>
      <c r="J243" s="4"/>
      <c r="K243" s="4"/>
      <c r="L243" s="4"/>
      <c r="M243" s="4"/>
      <c r="N243" s="4"/>
      <c r="O243" s="4"/>
      <c r="P243" s="149"/>
    </row>
    <row r="244" spans="1:16">
      <c r="A244" s="142"/>
      <c r="B244" s="4"/>
      <c r="C244" s="4"/>
      <c r="D244" s="4"/>
      <c r="E244" s="4"/>
      <c r="F244" s="4"/>
      <c r="G244" s="4"/>
      <c r="H244" s="4"/>
      <c r="I244" s="4"/>
      <c r="J244" s="4"/>
      <c r="K244" s="4"/>
      <c r="L244" s="4"/>
      <c r="M244" s="4"/>
      <c r="N244" s="4"/>
      <c r="O244" s="4"/>
      <c r="P244" s="149"/>
    </row>
    <row r="245" spans="1:16">
      <c r="A245" s="142"/>
      <c r="B245" s="4"/>
      <c r="C245" s="4"/>
      <c r="D245" s="4"/>
      <c r="E245" s="4"/>
      <c r="F245" s="4"/>
      <c r="G245" s="4"/>
      <c r="H245" s="4"/>
      <c r="I245" s="4"/>
      <c r="J245" s="4"/>
      <c r="K245" s="4"/>
      <c r="L245" s="4"/>
      <c r="M245" s="4"/>
      <c r="N245" s="4"/>
      <c r="O245" s="4"/>
      <c r="P245" s="149"/>
    </row>
    <row r="246" spans="1:16">
      <c r="A246" s="142"/>
      <c r="B246" s="4"/>
      <c r="C246" s="4"/>
      <c r="D246" s="4"/>
      <c r="E246" s="4"/>
      <c r="F246" s="4"/>
      <c r="G246" s="4"/>
      <c r="H246" s="4"/>
      <c r="I246" s="4"/>
      <c r="J246" s="4"/>
      <c r="K246" s="4"/>
      <c r="L246" s="4"/>
      <c r="M246" s="4"/>
      <c r="N246" s="4"/>
      <c r="O246" s="4"/>
      <c r="P246" s="149"/>
    </row>
    <row r="247" spans="1:16">
      <c r="A247" s="142"/>
      <c r="B247" s="4"/>
      <c r="C247" s="4"/>
      <c r="D247" s="4"/>
      <c r="E247" s="4"/>
      <c r="F247" s="4"/>
      <c r="G247" s="4"/>
      <c r="H247" s="4"/>
      <c r="I247" s="4"/>
      <c r="J247" s="4"/>
      <c r="K247" s="4"/>
      <c r="L247" s="4"/>
      <c r="M247" s="4"/>
      <c r="N247" s="4"/>
      <c r="O247" s="4"/>
      <c r="P247" s="149"/>
    </row>
    <row r="248" spans="1:16">
      <c r="A248" s="142"/>
      <c r="B248" s="4"/>
      <c r="C248" s="4"/>
      <c r="D248" s="4"/>
      <c r="E248" s="4"/>
      <c r="F248" s="4"/>
      <c r="G248" s="4"/>
      <c r="H248" s="4"/>
      <c r="I248" s="4"/>
      <c r="J248" s="4"/>
      <c r="K248" s="4"/>
      <c r="L248" s="4"/>
      <c r="M248" s="4"/>
      <c r="N248" s="4"/>
      <c r="O248" s="4"/>
      <c r="P248" s="149"/>
    </row>
    <row r="249" spans="1:16">
      <c r="A249" s="142"/>
      <c r="B249" s="4"/>
      <c r="C249" s="4"/>
      <c r="D249" s="4"/>
      <c r="E249" s="4"/>
      <c r="F249" s="4"/>
      <c r="G249" s="4"/>
      <c r="H249" s="4"/>
      <c r="I249" s="4"/>
      <c r="J249" s="4"/>
      <c r="K249" s="4"/>
      <c r="L249" s="4"/>
      <c r="M249" s="4"/>
      <c r="N249" s="4"/>
      <c r="O249" s="4"/>
      <c r="P249" s="149"/>
    </row>
    <row r="250" spans="1:16">
      <c r="A250" s="142"/>
      <c r="B250" s="4"/>
      <c r="C250" s="4"/>
      <c r="D250" s="4"/>
      <c r="E250" s="4"/>
      <c r="F250" s="4"/>
      <c r="G250" s="4"/>
      <c r="H250" s="4"/>
      <c r="I250" s="4"/>
      <c r="J250" s="4"/>
      <c r="K250" s="4"/>
      <c r="L250" s="4"/>
      <c r="M250" s="4"/>
      <c r="N250" s="4"/>
      <c r="O250" s="4"/>
      <c r="P250" s="149"/>
    </row>
    <row r="251" spans="1:16">
      <c r="A251" s="142"/>
      <c r="B251" s="4"/>
      <c r="C251" s="4"/>
      <c r="D251" s="4"/>
      <c r="E251" s="4"/>
      <c r="F251" s="4"/>
      <c r="G251" s="4"/>
      <c r="H251" s="4"/>
      <c r="I251" s="4"/>
      <c r="J251" s="4"/>
      <c r="K251" s="4"/>
      <c r="L251" s="4"/>
      <c r="M251" s="4"/>
      <c r="N251" s="4"/>
      <c r="O251" s="4"/>
      <c r="P251" s="149"/>
    </row>
    <row r="252" spans="1:16">
      <c r="A252" s="142"/>
      <c r="B252" s="4"/>
      <c r="C252" s="4"/>
      <c r="D252" s="4"/>
      <c r="E252" s="4"/>
      <c r="F252" s="4"/>
      <c r="G252" s="4"/>
      <c r="H252" s="4"/>
      <c r="I252" s="4"/>
      <c r="J252" s="4"/>
      <c r="K252" s="4"/>
      <c r="L252" s="4"/>
      <c r="M252" s="4"/>
      <c r="N252" s="4"/>
      <c r="O252" s="4"/>
      <c r="P252" s="149"/>
    </row>
    <row r="253" spans="1:16">
      <c r="A253" s="142"/>
      <c r="B253" s="4"/>
      <c r="C253" s="4"/>
      <c r="D253" s="4"/>
      <c r="E253" s="4"/>
      <c r="F253" s="4"/>
      <c r="G253" s="4"/>
      <c r="H253" s="4"/>
      <c r="I253" s="4"/>
      <c r="J253" s="4"/>
      <c r="K253" s="4"/>
      <c r="L253" s="4"/>
      <c r="M253" s="4"/>
      <c r="N253" s="4"/>
      <c r="O253" s="4"/>
      <c r="P253" s="149"/>
    </row>
    <row r="254" spans="1:16">
      <c r="A254" s="142"/>
      <c r="B254" s="4"/>
      <c r="C254" s="4"/>
      <c r="D254" s="4"/>
      <c r="E254" s="4"/>
      <c r="F254" s="4"/>
      <c r="G254" s="4"/>
      <c r="H254" s="4"/>
      <c r="I254" s="4"/>
      <c r="J254" s="4"/>
      <c r="K254" s="4"/>
      <c r="L254" s="4"/>
      <c r="M254" s="4"/>
      <c r="N254" s="4"/>
      <c r="O254" s="4"/>
      <c r="P254" s="149"/>
    </row>
    <row r="255" spans="1:16">
      <c r="A255" s="142"/>
      <c r="B255" s="4"/>
      <c r="C255" s="4"/>
      <c r="D255" s="4"/>
      <c r="E255" s="4"/>
      <c r="F255" s="4"/>
      <c r="G255" s="4"/>
      <c r="H255" s="4"/>
      <c r="I255" s="4"/>
      <c r="J255" s="4"/>
      <c r="K255" s="4"/>
      <c r="L255" s="4"/>
      <c r="M255" s="4"/>
      <c r="N255" s="4"/>
      <c r="O255" s="4"/>
      <c r="P255" s="149"/>
    </row>
    <row r="256" spans="1:16">
      <c r="A256" s="142"/>
      <c r="B256" s="4"/>
      <c r="C256" s="4"/>
      <c r="D256" s="4"/>
      <c r="E256" s="4"/>
      <c r="F256" s="4"/>
      <c r="G256" s="4"/>
      <c r="H256" s="4"/>
      <c r="I256" s="4"/>
      <c r="J256" s="4"/>
      <c r="K256" s="4"/>
      <c r="L256" s="4"/>
      <c r="M256" s="4"/>
      <c r="N256" s="4"/>
      <c r="O256" s="4"/>
      <c r="P256" s="149"/>
    </row>
    <row r="257" spans="1:16">
      <c r="A257" s="142"/>
      <c r="B257" s="4"/>
      <c r="C257" s="4"/>
      <c r="D257" s="4"/>
      <c r="E257" s="4"/>
      <c r="F257" s="4"/>
      <c r="G257" s="4"/>
      <c r="H257" s="4"/>
      <c r="I257" s="4"/>
      <c r="J257" s="4"/>
      <c r="K257" s="4"/>
      <c r="L257" s="4"/>
      <c r="M257" s="4"/>
      <c r="N257" s="4"/>
      <c r="O257" s="4"/>
      <c r="P257" s="149"/>
    </row>
    <row r="258" spans="1:16">
      <c r="A258" s="142"/>
      <c r="B258" s="4"/>
      <c r="C258" s="4"/>
      <c r="D258" s="4"/>
      <c r="E258" s="4"/>
      <c r="F258" s="4"/>
      <c r="G258" s="4"/>
      <c r="H258" s="4"/>
      <c r="I258" s="4"/>
      <c r="J258" s="4"/>
      <c r="K258" s="4"/>
      <c r="L258" s="4"/>
      <c r="M258" s="4"/>
      <c r="N258" s="4"/>
      <c r="O258" s="4"/>
      <c r="P258" s="149"/>
    </row>
    <row r="259" spans="1:16">
      <c r="A259" s="142"/>
      <c r="B259" s="4"/>
      <c r="C259" s="4"/>
      <c r="D259" s="4"/>
      <c r="E259" s="4"/>
      <c r="F259" s="4"/>
      <c r="G259" s="4"/>
      <c r="H259" s="4"/>
      <c r="I259" s="4"/>
      <c r="J259" s="4"/>
      <c r="K259" s="4"/>
      <c r="L259" s="4"/>
      <c r="M259" s="4"/>
      <c r="N259" s="4"/>
      <c r="O259" s="4"/>
      <c r="P259" s="149"/>
    </row>
    <row r="260" spans="1:16">
      <c r="A260" s="142"/>
      <c r="B260" s="4"/>
      <c r="C260" s="4"/>
      <c r="D260" s="4"/>
      <c r="E260" s="4"/>
      <c r="F260" s="4"/>
      <c r="G260" s="4"/>
      <c r="H260" s="4"/>
      <c r="I260" s="4"/>
      <c r="J260" s="4"/>
      <c r="K260" s="4"/>
      <c r="L260" s="4"/>
      <c r="M260" s="4"/>
      <c r="N260" s="4"/>
      <c r="O260" s="4"/>
      <c r="P260" s="149"/>
    </row>
    <row r="261" spans="1:16">
      <c r="A261" s="142"/>
      <c r="B261" s="4"/>
      <c r="C261" s="4"/>
      <c r="D261" s="4"/>
      <c r="E261" s="4"/>
      <c r="F261" s="4"/>
      <c r="G261" s="4"/>
      <c r="H261" s="4"/>
      <c r="I261" s="4"/>
      <c r="J261" s="4"/>
      <c r="K261" s="4"/>
      <c r="L261" s="4"/>
      <c r="M261" s="4"/>
      <c r="N261" s="4"/>
      <c r="O261" s="4"/>
      <c r="P261" s="149"/>
    </row>
    <row r="262" spans="1:16">
      <c r="A262" s="142"/>
      <c r="B262" s="4"/>
      <c r="C262" s="4"/>
      <c r="D262" s="4"/>
      <c r="E262" s="4"/>
      <c r="F262" s="4"/>
      <c r="G262" s="4"/>
      <c r="H262" s="4"/>
      <c r="I262" s="4"/>
      <c r="J262" s="4"/>
      <c r="K262" s="4"/>
      <c r="L262" s="4"/>
      <c r="M262" s="4"/>
      <c r="N262" s="4"/>
      <c r="O262" s="4"/>
      <c r="P262" s="149"/>
    </row>
    <row r="263" spans="1:16">
      <c r="A263" s="142"/>
      <c r="B263" s="4"/>
      <c r="C263" s="4"/>
      <c r="D263" s="4"/>
      <c r="E263" s="4"/>
      <c r="F263" s="4"/>
      <c r="G263" s="4"/>
      <c r="H263" s="4"/>
      <c r="I263" s="4"/>
      <c r="J263" s="4"/>
      <c r="K263" s="4"/>
      <c r="L263" s="4"/>
      <c r="M263" s="4"/>
      <c r="N263" s="4"/>
      <c r="O263" s="4"/>
      <c r="P263" s="149"/>
    </row>
    <row r="264" spans="1:16">
      <c r="A264" s="142"/>
      <c r="B264" s="4"/>
      <c r="C264" s="4"/>
      <c r="D264" s="4"/>
      <c r="E264" s="4"/>
      <c r="F264" s="4"/>
      <c r="G264" s="4"/>
      <c r="H264" s="4"/>
      <c r="I264" s="4"/>
      <c r="J264" s="4"/>
      <c r="K264" s="4"/>
      <c r="L264" s="4"/>
      <c r="M264" s="4"/>
      <c r="N264" s="4"/>
      <c r="O264" s="4"/>
      <c r="P264" s="149"/>
    </row>
    <row r="265" spans="1:16">
      <c r="A265" s="142"/>
      <c r="B265" s="4"/>
      <c r="C265" s="4"/>
      <c r="D265" s="4"/>
      <c r="E265" s="4"/>
      <c r="F265" s="4"/>
      <c r="G265" s="4"/>
      <c r="H265" s="4"/>
      <c r="I265" s="4"/>
      <c r="J265" s="4"/>
      <c r="K265" s="4"/>
      <c r="L265" s="4"/>
      <c r="M265" s="4"/>
      <c r="N265" s="4"/>
      <c r="O265" s="4"/>
      <c r="P265" s="149"/>
    </row>
    <row r="266" spans="1:16">
      <c r="A266" s="142"/>
      <c r="B266" s="4"/>
      <c r="C266" s="4"/>
      <c r="D266" s="4"/>
      <c r="E266" s="4"/>
      <c r="F266" s="4"/>
      <c r="G266" s="4"/>
      <c r="H266" s="4"/>
      <c r="I266" s="4"/>
      <c r="J266" s="4"/>
      <c r="K266" s="4"/>
      <c r="L266" s="4"/>
      <c r="M266" s="4"/>
      <c r="N266" s="4"/>
      <c r="O266" s="4"/>
      <c r="P266" s="149"/>
    </row>
    <row r="267" spans="1:16">
      <c r="A267" s="142"/>
      <c r="B267" s="4"/>
      <c r="C267" s="4"/>
      <c r="D267" s="4"/>
      <c r="E267" s="4"/>
      <c r="F267" s="4"/>
      <c r="G267" s="4"/>
      <c r="H267" s="4"/>
      <c r="I267" s="4"/>
      <c r="J267" s="4"/>
      <c r="K267" s="4"/>
      <c r="L267" s="4"/>
      <c r="M267" s="4"/>
      <c r="N267" s="4"/>
      <c r="O267" s="4"/>
      <c r="P267" s="149"/>
    </row>
    <row r="268" spans="1:16">
      <c r="A268" s="142"/>
      <c r="B268" s="4"/>
      <c r="C268" s="4"/>
      <c r="D268" s="4"/>
      <c r="E268" s="4"/>
      <c r="F268" s="4"/>
      <c r="G268" s="4"/>
      <c r="H268" s="4"/>
      <c r="I268" s="4"/>
      <c r="J268" s="4"/>
      <c r="K268" s="4"/>
      <c r="L268" s="4"/>
      <c r="M268" s="4"/>
      <c r="N268" s="4"/>
      <c r="O268" s="4"/>
      <c r="P268" s="149"/>
    </row>
    <row r="269" spans="1:16">
      <c r="A269" s="142"/>
      <c r="B269" s="4"/>
      <c r="C269" s="4"/>
      <c r="D269" s="4"/>
      <c r="E269" s="4"/>
      <c r="F269" s="4"/>
      <c r="G269" s="4"/>
      <c r="H269" s="4"/>
      <c r="I269" s="4"/>
      <c r="J269" s="4"/>
      <c r="K269" s="4"/>
      <c r="L269" s="4"/>
      <c r="M269" s="4"/>
      <c r="N269" s="4"/>
      <c r="O269" s="4"/>
      <c r="P269" s="149"/>
    </row>
    <row r="270" spans="1:16">
      <c r="A270" s="142"/>
      <c r="B270" s="4"/>
      <c r="C270" s="4"/>
      <c r="D270" s="4"/>
      <c r="E270" s="4"/>
      <c r="F270" s="4"/>
      <c r="G270" s="4"/>
      <c r="H270" s="4"/>
      <c r="I270" s="4"/>
      <c r="J270" s="4"/>
      <c r="K270" s="4"/>
      <c r="L270" s="4"/>
      <c r="M270" s="4"/>
      <c r="N270" s="4"/>
      <c r="O270" s="4"/>
      <c r="P270" s="149"/>
    </row>
    <row r="271" spans="1:16">
      <c r="A271" s="142"/>
      <c r="B271" s="4"/>
      <c r="C271" s="4"/>
      <c r="D271" s="4"/>
      <c r="E271" s="4"/>
      <c r="F271" s="4"/>
      <c r="G271" s="4"/>
      <c r="H271" s="4"/>
      <c r="I271" s="4"/>
      <c r="J271" s="4"/>
      <c r="K271" s="4"/>
      <c r="L271" s="4"/>
      <c r="M271" s="4"/>
      <c r="N271" s="4"/>
      <c r="O271" s="4"/>
      <c r="P271" s="149"/>
    </row>
    <row r="272" spans="1:16">
      <c r="A272" s="142"/>
      <c r="B272" s="4"/>
      <c r="C272" s="4"/>
      <c r="D272" s="4"/>
      <c r="E272" s="4"/>
      <c r="F272" s="4"/>
      <c r="G272" s="4"/>
      <c r="H272" s="4"/>
      <c r="I272" s="4"/>
      <c r="J272" s="4"/>
      <c r="K272" s="4"/>
      <c r="L272" s="4"/>
      <c r="M272" s="4"/>
      <c r="N272" s="4"/>
      <c r="O272" s="4"/>
      <c r="P272" s="149"/>
    </row>
    <row r="273" spans="1:16">
      <c r="A273" s="142"/>
      <c r="B273" s="4"/>
      <c r="C273" s="4"/>
      <c r="D273" s="4"/>
      <c r="E273" s="4"/>
      <c r="F273" s="4"/>
      <c r="G273" s="4"/>
      <c r="H273" s="4"/>
      <c r="I273" s="4"/>
      <c r="J273" s="4"/>
      <c r="K273" s="4"/>
      <c r="L273" s="4"/>
      <c r="M273" s="4"/>
      <c r="N273" s="4"/>
      <c r="O273" s="4"/>
      <c r="P273" s="149"/>
    </row>
    <row r="274" spans="1:16">
      <c r="A274" s="142"/>
      <c r="B274" s="4"/>
      <c r="C274" s="4"/>
      <c r="D274" s="4"/>
      <c r="E274" s="4"/>
      <c r="F274" s="4"/>
      <c r="G274" s="4"/>
      <c r="H274" s="4"/>
      <c r="I274" s="4"/>
      <c r="J274" s="4"/>
      <c r="K274" s="4"/>
      <c r="L274" s="4"/>
      <c r="M274" s="4"/>
      <c r="N274" s="4"/>
      <c r="O274" s="4"/>
      <c r="P274" s="149"/>
    </row>
    <row r="275" spans="1:16">
      <c r="A275" s="142"/>
      <c r="B275" s="4"/>
      <c r="C275" s="4"/>
      <c r="D275" s="4"/>
      <c r="E275" s="4"/>
      <c r="F275" s="4"/>
      <c r="G275" s="4"/>
      <c r="H275" s="4"/>
      <c r="I275" s="4"/>
      <c r="J275" s="4"/>
      <c r="K275" s="4"/>
      <c r="L275" s="4"/>
      <c r="M275" s="4"/>
      <c r="N275" s="4"/>
      <c r="O275" s="4"/>
      <c r="P275" s="149"/>
    </row>
    <row r="276" spans="1:16">
      <c r="A276" s="142"/>
      <c r="B276" s="4"/>
      <c r="C276" s="4"/>
      <c r="D276" s="4"/>
      <c r="E276" s="4"/>
      <c r="F276" s="4"/>
      <c r="G276" s="4"/>
      <c r="H276" s="4"/>
      <c r="I276" s="4"/>
      <c r="J276" s="4"/>
      <c r="K276" s="4"/>
      <c r="L276" s="4"/>
      <c r="M276" s="4"/>
      <c r="N276" s="4"/>
      <c r="O276" s="4"/>
      <c r="P276" s="149"/>
    </row>
    <row r="277" spans="1:16">
      <c r="A277" s="142"/>
      <c r="B277" s="4"/>
      <c r="C277" s="4"/>
      <c r="D277" s="4"/>
      <c r="E277" s="4"/>
      <c r="F277" s="4"/>
      <c r="G277" s="4"/>
      <c r="H277" s="4"/>
      <c r="I277" s="4"/>
      <c r="J277" s="4"/>
      <c r="K277" s="4"/>
      <c r="L277" s="4"/>
      <c r="M277" s="4"/>
      <c r="N277" s="4"/>
      <c r="O277" s="4"/>
      <c r="P277" s="149"/>
    </row>
    <row r="278" spans="1:16">
      <c r="A278" s="142"/>
      <c r="B278" s="4"/>
      <c r="C278" s="4"/>
      <c r="D278" s="4"/>
      <c r="E278" s="4"/>
      <c r="F278" s="4"/>
      <c r="G278" s="4"/>
      <c r="H278" s="4"/>
      <c r="I278" s="4"/>
      <c r="J278" s="4"/>
      <c r="K278" s="4"/>
      <c r="L278" s="4"/>
      <c r="M278" s="4"/>
      <c r="N278" s="4"/>
      <c r="O278" s="4"/>
      <c r="P278" s="149"/>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enableFormatConditionsCalculation="0"/>
  <dimension ref="A1:O16"/>
  <sheetViews>
    <sheetView workbookViewId="0">
      <selection activeCell="B8" sqref="B8"/>
    </sheetView>
  </sheetViews>
  <sheetFormatPr baseColWidth="10" defaultColWidth="15.5" defaultRowHeight="14" x14ac:dyDescent="0"/>
  <cols>
    <col min="1" max="1" width="28.1640625" style="5" bestFit="1" customWidth="1"/>
    <col min="2" max="2" width="34.33203125" style="5" bestFit="1" customWidth="1"/>
    <col min="3" max="3" width="19.1640625" style="5" bestFit="1" customWidth="1"/>
    <col min="4" max="4" width="10" style="5" bestFit="1" customWidth="1"/>
    <col min="5" max="5" width="15" style="5" bestFit="1" customWidth="1"/>
    <col min="6" max="6" width="13.33203125" style="5" bestFit="1" customWidth="1"/>
    <col min="7" max="7" width="15.6640625" style="5" bestFit="1" customWidth="1"/>
    <col min="8" max="8" width="14" style="5" bestFit="1" customWidth="1"/>
    <col min="9" max="9" width="11" style="5" bestFit="1" customWidth="1"/>
    <col min="10" max="10" width="6.33203125" style="5" bestFit="1" customWidth="1"/>
    <col min="11" max="11" width="20.33203125" style="5" bestFit="1" customWidth="1"/>
    <col min="12" max="12" width="21.5" style="5" bestFit="1" customWidth="1"/>
    <col min="13" max="14" width="15.5" style="5"/>
    <col min="15" max="15" width="19.83203125" style="5" bestFit="1" customWidth="1"/>
    <col min="16" max="16384" width="15.5" style="5"/>
  </cols>
  <sheetData>
    <row r="1" spans="1:15" s="77" customFormat="1" ht="28">
      <c r="A1" s="199" t="s">
        <v>320</v>
      </c>
      <c r="B1" s="199" t="s">
        <v>351</v>
      </c>
      <c r="C1" s="199" t="s">
        <v>311</v>
      </c>
      <c r="D1" s="199" t="s">
        <v>265</v>
      </c>
      <c r="E1" s="199" t="s">
        <v>350</v>
      </c>
      <c r="F1" s="199" t="s">
        <v>352</v>
      </c>
      <c r="G1" s="199" t="s">
        <v>324</v>
      </c>
      <c r="H1" s="199" t="s">
        <v>354</v>
      </c>
      <c r="I1" s="199" t="s">
        <v>355</v>
      </c>
      <c r="J1" s="199" t="s">
        <v>349</v>
      </c>
      <c r="K1" s="199" t="s">
        <v>369</v>
      </c>
      <c r="L1" s="199" t="s">
        <v>356</v>
      </c>
    </row>
    <row r="2" spans="1:15">
      <c r="A2" s="5" t="s">
        <v>330</v>
      </c>
      <c r="B2" s="5" t="s">
        <v>305</v>
      </c>
      <c r="C2" s="5" t="s">
        <v>312</v>
      </c>
      <c r="D2" s="5" t="s">
        <v>310</v>
      </c>
      <c r="E2" s="5" t="s">
        <v>303</v>
      </c>
      <c r="F2" s="5">
        <f>MATCH(SpecimenColumnFinder[[#This Row],[DataType]],DataColumns[#Headers],0)</f>
        <v>8</v>
      </c>
      <c r="G2" s="5" t="e">
        <f>MATCH(SpecimenColumnFinder[[#This Row],[DataType]],DataColumns[ColumnType],0)</f>
        <v>#N/A</v>
      </c>
      <c r="H2" s="5">
        <f>IF(SpecimenColumnFinder[[#This Row],[REQUIRED]]="Optional",0,
IF(SpecimenColumnFinder[[#This Row],[VBV or Column]]="Value-By-Value",NumSpecimens,
1))</f>
        <v>0</v>
      </c>
      <c r="I2" s="5">
        <f>IF(ISERROR(SpecimenColumnFinder[[#This Row],[Data Values Column Number]]),
IF(ISERROR(INDEX(DataColumns[],SpecimenColumnNumber,SpecimenColumnFinder[[#This Row],[Data Columns Input Column]])),
0,
1),
COUNTA(INDIRECT(CONCATENATE("'Data Values'!C",SpecimenColumnFinder[[#This Row],[Data Values Column Number]]),FALSE))-1)</f>
        <v>0</v>
      </c>
      <c r="J2" s="200" t="str">
        <f>IF(SpecimenColumnFinder[[#This Row],[Num Given]]&lt;SpecimenColumnFinder[[#This Row],[Num Required]],
"MISSING",
"OK")</f>
        <v>OK</v>
      </c>
      <c r="K2" s="200"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2" s="200" t="e">
        <f>INDIRECT(SpecimenColumnFinder[[#This Row],[First Value Address]],FALSE)</f>
        <v>#N/A</v>
      </c>
    </row>
    <row r="3" spans="1:15">
      <c r="A3" s="5" t="s">
        <v>389</v>
      </c>
      <c r="B3" s="5" t="s">
        <v>153</v>
      </c>
      <c r="D3" s="5" t="s">
        <v>265</v>
      </c>
      <c r="E3" s="5" t="s">
        <v>303</v>
      </c>
      <c r="F3" s="200">
        <f>MATCH(SpecimenColumnFinder[[#This Row],[DataType]],DataColumns[#Headers],0)</f>
        <v>9</v>
      </c>
      <c r="G3" s="200">
        <f>MATCH(SpecimenColumnFinder[[#This Row],[DataType]],DataColumns[ColumnType],0)</f>
        <v>6</v>
      </c>
      <c r="H3" s="200">
        <f>IF(SpecimenColumnFinder[[#This Row],[REQUIRED]]="Optional",0,
IF(SpecimenColumnFinder[[#This Row],[VBV or Column]]="Value-By-Value",NumSpecimens,
1))</f>
        <v>1</v>
      </c>
      <c r="I3" s="200">
        <f>IF(ISERROR(SpecimenColumnFinder[[#This Row],[Data Values Column Number]]),
IF(ISERROR(INDEX(DataColumns[],SpecimenColumnNumber,SpecimenColumnFinder[[#This Row],[Data Columns Input Column]])),
0,
1),
COUNTA(INDIRECT(CONCATENATE("'Data Values'!C",SpecimenColumnFinder[[#This Row],[Data Values Column Number]]),FALSE))-1)</f>
        <v>10</v>
      </c>
      <c r="J3" s="200" t="str">
        <f>IF(SpecimenColumnFinder[[#This Row],[Num Given]]&lt;SpecimenColumnFinder[[#This Row],[Num Required]],
"MISSING",
"OK")</f>
        <v>OK</v>
      </c>
      <c r="K3" s="200"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Values'!R2C6</v>
      </c>
      <c r="L3" s="200" t="str">
        <f>INDIRECT(SpecimenColumnFinder[[#This Row],[First Value Address]],FALSE)</f>
        <v>HA</v>
      </c>
    </row>
    <row r="4" spans="1:15">
      <c r="A4" s="5" t="s">
        <v>298</v>
      </c>
      <c r="B4" s="5" t="s">
        <v>353</v>
      </c>
      <c r="D4" s="5" t="s">
        <v>265</v>
      </c>
      <c r="E4" s="5" t="s">
        <v>304</v>
      </c>
      <c r="F4" s="5" t="e">
        <f>MATCH(SpecimenColumnFinder[[#This Row],[DataType]],DataColumns[#Headers],0)</f>
        <v>#N/A</v>
      </c>
      <c r="G4" s="5">
        <f>MATCH(SpecimenColumnFinder[[#This Row],[DataType]],DataColumns[ColumnType],0)</f>
        <v>4</v>
      </c>
      <c r="H4" s="5">
        <f>IF(SpecimenColumnFinder[[#This Row],[REQUIRED]]="Optional",0,
IF(SpecimenColumnFinder[[#This Row],[VBV or Column]]="Value-By-Value",NumSpecimens,
1))</f>
        <v>1</v>
      </c>
      <c r="I4" s="5">
        <f>IF(ISERROR(SpecimenColumnFinder[[#This Row],[Data Values Column Number]]),
IF(ISERROR(INDEX(DataColumns[],SpecimenColumnNumber,SpecimenColumnFinder[[#This Row],[Data Columns Input Column]])),
0,
1),
COUNTA(INDIRECT(CONCATENATE("'Data Values'!C",SpecimenColumnFinder[[#This Row],[Data Values Column Number]]),FALSE))-1)</f>
        <v>10</v>
      </c>
      <c r="J4" s="200" t="str">
        <f>IF(SpecimenColumnFinder[[#This Row],[Num Given]]&lt;SpecimenColumnFinder[[#This Row],[Num Required]],
"MISSING",
"OK")</f>
        <v>OK</v>
      </c>
      <c r="K4" s="200"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Values'!R2C4</v>
      </c>
      <c r="L4" s="200">
        <f>INDIRECT(SpecimenColumnFinder[[#This Row],[First Value Address]],FALSE)</f>
        <v>41066</v>
      </c>
    </row>
    <row r="5" spans="1:15">
      <c r="A5" s="5" t="s">
        <v>299</v>
      </c>
      <c r="B5" s="5" t="s">
        <v>353</v>
      </c>
      <c r="D5" s="5" t="s">
        <v>265</v>
      </c>
      <c r="E5" s="5" t="s">
        <v>303</v>
      </c>
      <c r="F5" s="5">
        <f>MATCH(SpecimenColumnFinder[[#This Row],[DataType]],DataColumns[#Headers],0)</f>
        <v>7</v>
      </c>
      <c r="G5" s="5">
        <f>MATCH(SpecimenColumnFinder[[#This Row],[DataType]],DataColumns[ColumnType],0)</f>
        <v>5</v>
      </c>
      <c r="H5" s="5">
        <f>IF(SpecimenColumnFinder[[#This Row],[REQUIRED]]="Optional",0,
IF(SpecimenColumnFinder[[#This Row],[VBV or Column]]="Value-By-Value",NumSpecimens,
1))</f>
        <v>1</v>
      </c>
      <c r="I5" s="5">
        <f>IF(ISERROR(SpecimenColumnFinder[[#This Row],[Data Values Column Number]]),
IF(ISERROR(INDEX(DataColumns[],SpecimenColumnNumber,SpecimenColumnFinder[[#This Row],[Data Columns Input Column]])),
0,
1),
COUNTA(INDIRECT(CONCATENATE("'Data Values'!C",SpecimenColumnFinder[[#This Row],[Data Values Column Number]]),FALSE))-1)</f>
        <v>10</v>
      </c>
      <c r="J5" s="200" t="str">
        <f>IF(SpecimenColumnFinder[[#This Row],[Num Given]]&lt;SpecimenColumnFinder[[#This Row],[Num Required]],
"MISSING",
"OK")</f>
        <v>OK</v>
      </c>
      <c r="K5" s="200"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Values'!R2C5</v>
      </c>
      <c r="L5" s="200">
        <f>INDIRECT(SpecimenColumnFinder[[#This Row],[First Value Address]],FALSE)</f>
        <v>-7</v>
      </c>
    </row>
    <row r="6" spans="1:15">
      <c r="A6" s="5" t="s">
        <v>345</v>
      </c>
      <c r="B6" s="5" t="s">
        <v>347</v>
      </c>
      <c r="C6" s="5" t="s">
        <v>314</v>
      </c>
      <c r="D6" s="5" t="s">
        <v>310</v>
      </c>
      <c r="E6" s="5" t="s">
        <v>303</v>
      </c>
      <c r="F6" s="5">
        <f>MATCH(SpecimenColumnFinder[[#This Row],[DataType]],DataColumns[#Headers],0)</f>
        <v>5</v>
      </c>
      <c r="G6" s="5">
        <f>MATCH(SpecimenColumnFinder[[#This Row],[DataType]],DataColumns[ColumnType],0)</f>
        <v>3</v>
      </c>
      <c r="H6" s="5">
        <f>IF(SpecimenColumnFinder[[#This Row],[REQUIRED]]="Optional",0,
IF(SpecimenColumnFinder[[#This Row],[VBV or Column]]="Value-By-Value",NumSpecimens,
1))</f>
        <v>0</v>
      </c>
      <c r="I6" s="5">
        <f>IF(ISERROR(SpecimenColumnFinder[[#This Row],[Data Values Column Number]]),
IF(ISERROR(INDEX(DataColumns[],SpecimenColumnNumber,SpecimenColumnFinder[[#This Row],[Data Columns Input Column]])),
0,
1),
COUNTA(INDIRECT(CONCATENATE("'Data Values'!C",SpecimenColumnFinder[[#This Row],[Data Values Column Number]]),FALSE))-1)</f>
        <v>10</v>
      </c>
      <c r="J6" s="200" t="str">
        <f>IF(SpecimenColumnFinder[[#This Row],[Num Given]]&lt;SpecimenColumnFinder[[#This Row],[Num Required]],
"MISSING",
"OK")</f>
        <v>OK</v>
      </c>
      <c r="K6" s="200"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Values'!R2C3</v>
      </c>
      <c r="L6" s="200" t="str">
        <f>INDIRECT(SpecimenColumnFinder[[#This Row],[First Value Address]],FALSE)</f>
        <v>BKR 0- -10 cm</v>
      </c>
    </row>
    <row r="7" spans="1:15">
      <c r="A7" s="5" t="s">
        <v>346</v>
      </c>
      <c r="B7" s="5" t="s">
        <v>347</v>
      </c>
      <c r="C7" s="5" t="s">
        <v>348</v>
      </c>
      <c r="D7" s="5" t="s">
        <v>310</v>
      </c>
      <c r="E7" s="5" t="s">
        <v>303</v>
      </c>
      <c r="F7" s="5">
        <f>MATCH(SpecimenColumnFinder[[#This Row],[DataType]],DataColumns[#Headers],0)</f>
        <v>13</v>
      </c>
      <c r="G7" s="200" t="e">
        <f>MATCH(SpecimenColumnFinder[[#This Row],[DataType]],DataColumns[ColumnType],0)</f>
        <v>#N/A</v>
      </c>
      <c r="H7" s="200">
        <f>IF(SpecimenColumnFinder[[#This Row],[REQUIRED]]="Optional",0,
IF(SpecimenColumnFinder[[#This Row],[VBV or Column]]="Value-By-Value",NumSpecimens,
1))</f>
        <v>0</v>
      </c>
      <c r="I7" s="200">
        <f>IF(ISERROR(SpecimenColumnFinder[[#This Row],[Data Values Column Number]]),
IF(ISERROR(INDEX(DataColumns[],SpecimenColumnNumber,SpecimenColumnFinder[[#This Row],[Data Columns Input Column]])),
0,
1),
COUNTA(INDIRECT(CONCATENATE("'Data Values'!C",SpecimenColumnFinder[[#This Row],[Data Values Column Number]]),FALSE))-1)</f>
        <v>0</v>
      </c>
      <c r="J7" s="200" t="str">
        <f>IF(SpecimenColumnFinder[[#This Row],[Num Given]]&lt;SpecimenColumnFinder[[#This Row],[Num Required]],
"MISSING",
"OK")</f>
        <v>OK</v>
      </c>
      <c r="K7" s="200"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7" s="200" t="e">
        <f>INDIRECT(SpecimenColumnFinder[[#This Row],[First Value Address]],FALSE)</f>
        <v>#N/A</v>
      </c>
      <c r="O7" s="201"/>
    </row>
    <row r="8" spans="1:15">
      <c r="A8" s="5" t="s">
        <v>72</v>
      </c>
      <c r="B8" s="5" t="s">
        <v>347</v>
      </c>
      <c r="C8" s="5" t="s">
        <v>72</v>
      </c>
      <c r="D8" s="5" t="s">
        <v>310</v>
      </c>
      <c r="E8" s="5" t="s">
        <v>303</v>
      </c>
      <c r="F8" s="200">
        <f>MATCH(SpecimenColumnFinder[[#This Row],[DataType]],DataColumns[#Headers],0)</f>
        <v>6</v>
      </c>
      <c r="G8" s="200" t="e">
        <f>MATCH(SpecimenColumnFinder[[#This Row],[DataType]],DataColumns[ColumnType],0)</f>
        <v>#N/A</v>
      </c>
      <c r="H8" s="200">
        <f>IF(SpecimenColumnFinder[[#This Row],[REQUIRED]]="Optional",0,
IF(SpecimenColumnFinder[[#This Row],[VBV or Column]]="Value-By-Value",NumSpecimens,
1))</f>
        <v>0</v>
      </c>
      <c r="I8" s="200">
        <f>IF(ISERROR(SpecimenColumnFinder[[#This Row],[Data Values Column Number]]),
IF(ISERROR(INDEX(DataColumns[],SpecimenColumnNumber,SpecimenColumnFinder[[#This Row],[Data Columns Input Column]])),
0,
1),
COUNTA(INDIRECT(CONCATENATE("'Data Values'!C",SpecimenColumnFinder[[#This Row],[Data Values Column Number]]),FALSE))-1)</f>
        <v>0</v>
      </c>
      <c r="J8" s="200" t="str">
        <f>IF(SpecimenColumnFinder[[#This Row],[Num Given]]&lt;SpecimenColumnFinder[[#This Row],[Num Required]],
"MISSING",
"OK")</f>
        <v>OK</v>
      </c>
      <c r="K8" s="200"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8" s="200" t="e">
        <f>INDIRECT(SpecimenColumnFinder[[#This Row],[First Value Address]],FALSE)</f>
        <v>#N/A</v>
      </c>
    </row>
    <row r="9" spans="1:15">
      <c r="A9" s="5" t="s">
        <v>399</v>
      </c>
      <c r="B9" s="5" t="s">
        <v>308</v>
      </c>
      <c r="D9" s="5" t="s">
        <v>265</v>
      </c>
      <c r="E9" s="5" t="s">
        <v>304</v>
      </c>
      <c r="F9" s="5" t="e">
        <f>MATCH(SpecimenColumnFinder[[#This Row],[DataType]],DataColumns[#Headers],0)</f>
        <v>#N/A</v>
      </c>
      <c r="G9" s="5" t="e">
        <f>MATCH(SpecimenColumnFinder[[#This Row],[DataType]],DataColumns[ColumnType],0)</f>
        <v>#N/A</v>
      </c>
      <c r="H9" s="5">
        <f>IF(SpecimenColumnFinder[[#This Row],[REQUIRED]]="Optional",0,
IF(SpecimenColumnFinder[[#This Row],[VBV or Column]]="Value-By-Value",NumSpecimens,
1))</f>
        <v>1</v>
      </c>
      <c r="I9" s="5">
        <f>IF(ISERROR(SpecimenColumnFinder[[#This Row],[Data Values Column Number]]),
IF(ISERROR(INDEX(DataColumns[],SpecimenColumnNumber,SpecimenColumnFinder[[#This Row],[Data Columns Input Column]])),
0,
1),
COUNTA(INDIRECT(CONCATENATE("'Data Values'!C",SpecimenColumnFinder[[#This Row],[Data Values Column Number]]),FALSE))-1)</f>
        <v>0</v>
      </c>
      <c r="J9" s="200" t="str">
        <f>IF(SpecimenColumnFinder[[#This Row],[Num Given]]&lt;SpecimenColumnFinder[[#This Row],[Num Required]],
"MISSING",
"OK")</f>
        <v>MISSING</v>
      </c>
      <c r="K9" s="200"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9" s="200" t="e">
        <f>INDIRECT(SpecimenColumnFinder[[#This Row],[First Value Address]],FALSE)</f>
        <v>#REF!</v>
      </c>
    </row>
    <row r="10" spans="1:15">
      <c r="A10" s="5" t="s">
        <v>297</v>
      </c>
      <c r="B10" s="5" t="s">
        <v>308</v>
      </c>
      <c r="D10" s="5" t="s">
        <v>310</v>
      </c>
      <c r="E10" s="5" t="s">
        <v>304</v>
      </c>
      <c r="F10" s="200" t="e">
        <f>MATCH(SpecimenColumnFinder[[#This Row],[DataType]],DataColumns[#Headers],0)</f>
        <v>#N/A</v>
      </c>
      <c r="G10" s="200" t="e">
        <f>MATCH(SpecimenColumnFinder[[#This Row],[DataType]],DataColumns[ColumnType],0)</f>
        <v>#N/A</v>
      </c>
      <c r="H10" s="200">
        <f>IF(SpecimenColumnFinder[[#This Row],[REQUIRED]]="Optional",0,
IF(SpecimenColumnFinder[[#This Row],[VBV or Column]]="Value-By-Value",NumSpecimens,
1))</f>
        <v>0</v>
      </c>
      <c r="I10" s="200">
        <f>IF(ISERROR(SpecimenColumnFinder[[#This Row],[Data Values Column Number]]),
IF(ISERROR(INDEX(DataColumns[],SpecimenColumnNumber,SpecimenColumnFinder[[#This Row],[Data Columns Input Column]])),
0,
1),
COUNTA(INDIRECT(CONCATENATE("'Data Values'!C",SpecimenColumnFinder[[#This Row],[Data Values Column Number]]),FALSE))-1)</f>
        <v>0</v>
      </c>
      <c r="J10" s="200" t="str">
        <f>IF(SpecimenColumnFinder[[#This Row],[Num Given]]&lt;SpecimenColumnFinder[[#This Row],[Num Required]],
"MISSING",
"OK")</f>
        <v>OK</v>
      </c>
      <c r="K10" s="200"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0" s="200" t="e">
        <f>INDIRECT(SpecimenColumnFinder[[#This Row],[First Value Address]],FALSE)</f>
        <v>#REF!</v>
      </c>
    </row>
    <row r="11" spans="1:15">
      <c r="A11" s="5" t="s">
        <v>296</v>
      </c>
      <c r="B11" s="5" t="s">
        <v>308</v>
      </c>
      <c r="D11" s="5" t="s">
        <v>310</v>
      </c>
      <c r="E11" s="5" t="s">
        <v>304</v>
      </c>
      <c r="F11" s="5" t="e">
        <f>MATCH(SpecimenColumnFinder[[#This Row],[DataType]],DataColumns[#Headers],0)</f>
        <v>#N/A</v>
      </c>
      <c r="G11" s="5">
        <f>MATCH(SpecimenColumnFinder[[#This Row],[DataType]],DataColumns[ColumnType],0)</f>
        <v>1</v>
      </c>
      <c r="H11" s="5">
        <f>IF(SpecimenColumnFinder[[#This Row],[REQUIRED]]="Optional",0,
IF(SpecimenColumnFinder[[#This Row],[VBV or Column]]="Value-By-Value",NumSpecimens,
1))</f>
        <v>0</v>
      </c>
      <c r="I11" s="5">
        <f>IF(ISERROR(SpecimenColumnFinder[[#This Row],[Data Values Column Number]]),
IF(ISERROR(INDEX(DataColumns[],SpecimenColumnNumber,SpecimenColumnFinder[[#This Row],[Data Columns Input Column]])),
0,
1),
COUNTA(INDIRECT(CONCATENATE("'Data Values'!C",SpecimenColumnFinder[[#This Row],[Data Values Column Number]]),FALSE))-1)</f>
        <v>10</v>
      </c>
      <c r="J11" s="200" t="str">
        <f>IF(SpecimenColumnFinder[[#This Row],[Num Given]]&lt;SpecimenColumnFinder[[#This Row],[Num Required]],
"MISSING",
"OK")</f>
        <v>OK</v>
      </c>
      <c r="K11" s="200"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Values'!R2C1</v>
      </c>
      <c r="L11" s="200" t="str">
        <f>INDIRECT(SpecimenColumnFinder[[#This Row],[First Value Address]],FALSE)</f>
        <v>BKR 0- -10 cm &lt;150 um</v>
      </c>
    </row>
    <row r="12" spans="1:15">
      <c r="A12" s="5" t="s">
        <v>271</v>
      </c>
      <c r="B12" s="5" t="s">
        <v>308</v>
      </c>
      <c r="C12" s="5" t="s">
        <v>71</v>
      </c>
      <c r="D12" s="5" t="s">
        <v>310</v>
      </c>
      <c r="E12" s="5" t="s">
        <v>304</v>
      </c>
      <c r="F12" s="5" t="e">
        <f>MATCH(SpecimenColumnFinder[[#This Row],[DataType]],DataColumns[#Headers],0)</f>
        <v>#N/A</v>
      </c>
      <c r="G12" s="5" t="e">
        <f>MATCH(SpecimenColumnFinder[[#This Row],[DataType]],DataColumns[ColumnType],0)</f>
        <v>#N/A</v>
      </c>
      <c r="H12" s="5">
        <f>IF(SpecimenColumnFinder[[#This Row],[REQUIRED]]="Optional",0,
IF(SpecimenColumnFinder[[#This Row],[VBV or Column]]="Value-By-Value",NumSpecimens,
1))</f>
        <v>0</v>
      </c>
      <c r="I12"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2" s="200" t="str">
        <f>IF(SpecimenColumnFinder[[#This Row],[Num Given]]&lt;SpecimenColumnFinder[[#This Row],[Num Required]],
"MISSING",
"OK")</f>
        <v>OK</v>
      </c>
      <c r="K12" s="200"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2" s="200" t="e">
        <f>INDIRECT(SpecimenColumnFinder[[#This Row],[First Value Address]],FALSE)</f>
        <v>#REF!</v>
      </c>
    </row>
    <row r="13" spans="1:15">
      <c r="A13" s="5" t="s">
        <v>270</v>
      </c>
      <c r="B13" s="5" t="s">
        <v>418</v>
      </c>
      <c r="D13" s="5" t="s">
        <v>310</v>
      </c>
      <c r="E13" s="5" t="s">
        <v>304</v>
      </c>
      <c r="F13" s="5" t="e">
        <f>MATCH(SpecimenColumnFinder[[#This Row],[DataType]],DataColumns[#Headers],0)</f>
        <v>#N/A</v>
      </c>
      <c r="G13" s="5">
        <f>MATCH(SpecimenColumnFinder[[#This Row],[DataType]],DataColumns[ColumnType],0)</f>
        <v>2</v>
      </c>
      <c r="H13" s="5">
        <f>IF(SpecimenColumnFinder[[#This Row],[REQUIRED]]="Optional",0,
IF(SpecimenColumnFinder[[#This Row],[VBV or Column]]="Value-By-Value",NumSpecimens,
1))</f>
        <v>0</v>
      </c>
      <c r="I13" s="5">
        <f>IF(ISERROR(SpecimenColumnFinder[[#This Row],[Data Values Column Number]]),
IF(ISERROR(INDEX(DataColumns[],SpecimenColumnNumber,SpecimenColumnFinder[[#This Row],[Data Columns Input Column]])),
0,
1),
COUNTA(INDIRECT(CONCATENATE("'Data Values'!C",SpecimenColumnFinder[[#This Row],[Data Values Column Number]]),FALSE))-1)</f>
        <v>10</v>
      </c>
      <c r="J13" s="200" t="str">
        <f>IF(SpecimenColumnFinder[[#This Row],[Num Given]]&lt;SpecimenColumnFinder[[#This Row],[Num Required]],
"MISSING",
"OK")</f>
        <v>OK</v>
      </c>
      <c r="K13" s="200"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Values'!R2C2</v>
      </c>
      <c r="L13" s="200" t="str">
        <f>INDIRECT(SpecimenColumnFinder[[#This Row],[First Value Address]],FALSE)</f>
        <v>SLB0000AQ</v>
      </c>
    </row>
    <row r="14" spans="1:15">
      <c r="A14" s="5" t="s">
        <v>325</v>
      </c>
      <c r="B14" s="5" t="s">
        <v>88</v>
      </c>
      <c r="C14" s="5" t="s">
        <v>66</v>
      </c>
      <c r="D14" s="5" t="s">
        <v>265</v>
      </c>
      <c r="E14" s="5" t="s">
        <v>303</v>
      </c>
      <c r="F14" s="5">
        <f>MATCH(SpecimenColumnFinder[[#This Row],[DataType]],DataColumns[#Headers],0)</f>
        <v>12</v>
      </c>
      <c r="G14" s="5" t="e">
        <f>MATCH(SpecimenColumnFinder[[#This Row],[DataType]],DataColumns[ColumnType],0)</f>
        <v>#N/A</v>
      </c>
      <c r="H14" s="5">
        <f>IF(SpecimenColumnFinder[[#This Row],[REQUIRED]]="Optional",0,
IF(SpecimenColumnFinder[[#This Row],[VBV or Column]]="Value-By-Value",NumSpecimens,
1))</f>
        <v>1</v>
      </c>
      <c r="I14"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4" s="200" t="str">
        <f>IF(SpecimenColumnFinder[[#This Row],[Num Given]]&lt;SpecimenColumnFinder[[#This Row],[Num Required]],
"MISSING",
"OK")</f>
        <v>MISSING</v>
      </c>
      <c r="K14" s="200"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4" s="200" t="e">
        <f>INDIRECT(SpecimenColumnFinder[[#This Row],[First Value Address]],FALSE)</f>
        <v>#N/A</v>
      </c>
    </row>
    <row r="15" spans="1:15">
      <c r="A15" s="5" t="s">
        <v>267</v>
      </c>
      <c r="B15" s="5" t="s">
        <v>88</v>
      </c>
      <c r="C15" s="5" t="s">
        <v>74</v>
      </c>
      <c r="D15" s="5" t="s">
        <v>265</v>
      </c>
      <c r="E15" s="5" t="s">
        <v>303</v>
      </c>
      <c r="F15" s="5">
        <f>MATCH(SpecimenColumnFinder[[#This Row],[DataType]],DataColumns[#Headers],0)</f>
        <v>10</v>
      </c>
      <c r="G15" s="5" t="e">
        <f>MATCH(SpecimenColumnFinder[[#This Row],[DataType]],DataColumns[ColumnType],0)</f>
        <v>#N/A</v>
      </c>
      <c r="H15" s="5">
        <f>IF(SpecimenColumnFinder[[#This Row],[REQUIRED]]="Optional",0,
IF(SpecimenColumnFinder[[#This Row],[VBV or Column]]="Value-By-Value",NumSpecimens,
1))</f>
        <v>1</v>
      </c>
      <c r="I15"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5" s="200" t="str">
        <f>IF(SpecimenColumnFinder[[#This Row],[Num Given]]&lt;SpecimenColumnFinder[[#This Row],[Num Required]],
"MISSING",
"OK")</f>
        <v>MISSING</v>
      </c>
      <c r="K15" s="200"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5" s="200" t="e">
        <f>INDIRECT(SpecimenColumnFinder[[#This Row],[First Value Address]],FALSE)</f>
        <v>#N/A</v>
      </c>
    </row>
    <row r="16" spans="1:15">
      <c r="A16" s="5" t="s">
        <v>71</v>
      </c>
      <c r="B16" s="5" t="s">
        <v>88</v>
      </c>
      <c r="D16" s="5" t="s">
        <v>265</v>
      </c>
      <c r="E16" s="5" t="s">
        <v>303</v>
      </c>
      <c r="F16" s="5">
        <f>MATCH(SpecimenColumnFinder[[#This Row],[DataType]],DataColumns[#Headers],0)</f>
        <v>11</v>
      </c>
      <c r="G16" s="5" t="e">
        <f>MATCH(SpecimenColumnFinder[[#This Row],[DataType]],DataColumns[ColumnType],0)</f>
        <v>#N/A</v>
      </c>
      <c r="H16" s="5">
        <f>IF(SpecimenColumnFinder[[#This Row],[REQUIRED]]="Optional",0,
IF(SpecimenColumnFinder[[#This Row],[VBV or Column]]="Value-By-Value",NumSpecimens,
1))</f>
        <v>1</v>
      </c>
      <c r="I16"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6" s="200" t="str">
        <f>IF(SpecimenColumnFinder[[#This Row],[Num Given]]&lt;SpecimenColumnFinder[[#This Row],[Num Required]],
"MISSING",
"OK")</f>
        <v>MISSING</v>
      </c>
      <c r="K16" s="200"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6" s="200" t="e">
        <f>INDIRECT(SpecimenColumnFinder[[#This Row],[First Value Address]],FALSE)</f>
        <v>#N/A</v>
      </c>
    </row>
  </sheetData>
  <sortState ref="A2:A26">
    <sortCondition ref="A2:A26"/>
  </sortState>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dimension ref="A1:B1001"/>
  <sheetViews>
    <sheetView topLeftCell="A2" workbookViewId="0">
      <selection activeCell="B2" sqref="B2"/>
    </sheetView>
  </sheetViews>
  <sheetFormatPr baseColWidth="10" defaultColWidth="8.83203125" defaultRowHeight="14" x14ac:dyDescent="0"/>
  <cols>
    <col min="1" max="1" width="20.5" customWidth="1"/>
    <col min="2" max="2" width="17.83203125" customWidth="1"/>
  </cols>
  <sheetData>
    <row r="1" spans="1:2">
      <c r="A1" t="s">
        <v>644</v>
      </c>
      <c r="B1" t="s">
        <v>365</v>
      </c>
    </row>
    <row r="2" spans="1:2">
      <c r="A2">
        <f ca="1">IF(ROW()-1&gt;NumDataColumns,"",MAX(INDIRECT(CONCATENATE("R",ROW(ResultColumnLabels[#Headers]),"C",COLUMN(),":R",ROW()-1,"C",COLUMN()),FALSE))+1)</f>
        <v>1</v>
      </c>
      <c r="B2" t="str">
        <f ca="1">IF(ResultColumnLabels[[#This Row],[Data Value Number]]="","",INDEX(DataColumns[ColumnLabel],MATCH(ResultColumnLabels[[#This Row],[Data Value Number]],DataColumns[DVNum],0)))</f>
        <v>SiO2</v>
      </c>
    </row>
    <row r="3" spans="1:2">
      <c r="A3">
        <f ca="1">IF(ROW()-1&gt;NumDataColumns,"",MAX(INDIRECT(CONCATENATE("R",ROW(ResultColumnLabels[#Headers]),"C",COLUMN(),":R",ROW()-1,"C",COLUMN()),FALSE))+1)</f>
        <v>2</v>
      </c>
      <c r="B3" t="str">
        <f ca="1">IF(ResultColumnLabels[[#This Row],[Data Value Number]]="","",INDEX(DataColumns[ColumnLabel],MATCH(ResultColumnLabels[[#This Row],[Data Value Number]],DataColumns[DVNum],0)))</f>
        <v>Al</v>
      </c>
    </row>
    <row r="4" spans="1:2">
      <c r="A4">
        <f ca="1">IF(ROW()-1&gt;NumDataColumns,"",MAX(INDIRECT(CONCATENATE("R",ROW(ResultColumnLabels[#Headers]),"C",COLUMN(),":R",ROW()-1,"C",COLUMN()),FALSE))+1)</f>
        <v>3</v>
      </c>
      <c r="B4" t="str">
        <f ca="1">IF(ResultColumnLabels[[#This Row],[Data Value Number]]="","",INDEX(DataColumns[ColumnLabel],MATCH(ResultColumnLabels[[#This Row],[Data Value Number]],DataColumns[DVNum],0)))</f>
        <v>Al Analysis Method</v>
      </c>
    </row>
    <row r="5" spans="1:2">
      <c r="A5">
        <f ca="1">IF(ROW()-1&gt;NumDataColumns,"",MAX(INDIRECT(CONCATENATE("R",ROW(ResultColumnLabels[#Headers]),"C",COLUMN(),":R",ROW()-1,"C",COLUMN()),FALSE))+1)</f>
        <v>4</v>
      </c>
      <c r="B5" s="218" t="str">
        <f ca="1">IF(ResultColumnLabels[[#This Row],[Data Value Number]]="","",INDEX(DataColumns[ColumnLabel],MATCH(ResultColumnLabels[[#This Row],[Data Value Number]],DataColumns[DVNum],0)))</f>
        <v>Texture</v>
      </c>
    </row>
    <row r="6" spans="1:2">
      <c r="A6">
        <f ca="1">IF(ROW()-1&gt;NumDataColumns,"",MAX(INDIRECT(CONCATENATE("R",ROW(ResultColumnLabels[#Headers]),"C",COLUMN(),":R",ROW()-1,"C",COLUMN()),FALSE))+1)</f>
        <v>5</v>
      </c>
      <c r="B6" s="218" t="str">
        <f ca="1">IF(ResultColumnLabels[[#This Row],[Data Value Number]]="","",INDEX(DataColumns[ColumnLabel],MATCH(ResultColumnLabels[[#This Row],[Data Value Number]],DataColumns[DVNum],0)))</f>
        <v>Color</v>
      </c>
    </row>
    <row r="7" spans="1:2">
      <c r="A7" t="str">
        <f ca="1">IF(ROW()-1&gt;NumDataColumns,"",MAX(INDIRECT(CONCATENATE("R",ROW(ResultColumnLabels[#Headers]),"C",COLUMN(),":R",ROW()-1,"C",COLUMN()),FALSE))+1)</f>
        <v/>
      </c>
      <c r="B7" s="218" t="str">
        <f ca="1">IF(ResultColumnLabels[[#This Row],[Data Value Number]]="","",INDEX(DataColumns[ColumnLabel],MATCH(ResultColumnLabels[[#This Row],[Data Value Number]],DataColumns[DVNum],0)))</f>
        <v/>
      </c>
    </row>
    <row r="8" spans="1:2">
      <c r="A8" t="str">
        <f ca="1">IF(ROW()-1&gt;NumDataColumns,"",MAX(INDIRECT(CONCATENATE("R",ROW(ResultColumnLabels[#Headers]),"C",COLUMN(),":R",ROW()-1,"C",COLUMN()),FALSE))+1)</f>
        <v/>
      </c>
      <c r="B8" s="218" t="str">
        <f ca="1">IF(ResultColumnLabels[[#This Row],[Data Value Number]]="","",INDEX(DataColumns[ColumnLabel],MATCH(ResultColumnLabels[[#This Row],[Data Value Number]],DataColumns[DVNum],0)))</f>
        <v/>
      </c>
    </row>
    <row r="9" spans="1:2">
      <c r="A9" t="str">
        <f ca="1">IF(ROW()-1&gt;NumDataColumns,"",MAX(INDIRECT(CONCATENATE("R",ROW(ResultColumnLabels[#Headers]),"C",COLUMN(),":R",ROW()-1,"C",COLUMN()),FALSE))+1)</f>
        <v/>
      </c>
      <c r="B9" s="218" t="str">
        <f ca="1">IF(ResultColumnLabels[[#This Row],[Data Value Number]]="","",INDEX(DataColumns[ColumnLabel],MATCH(ResultColumnLabels[[#This Row],[Data Value Number]],DataColumns[DVNum],0)))</f>
        <v/>
      </c>
    </row>
    <row r="10" spans="1:2">
      <c r="A10" t="str">
        <f ca="1">IF(ROW()-1&gt;NumDataColumns,"",MAX(INDIRECT(CONCATENATE("R",ROW(ResultColumnLabels[#Headers]),"C",COLUMN(),":R",ROW()-1,"C",COLUMN()),FALSE))+1)</f>
        <v/>
      </c>
      <c r="B10" s="218" t="str">
        <f ca="1">IF(ResultColumnLabels[[#This Row],[Data Value Number]]="","",INDEX(DataColumns[ColumnLabel],MATCH(ResultColumnLabels[[#This Row],[Data Value Number]],DataColumns[DVNum],0)))</f>
        <v/>
      </c>
    </row>
    <row r="11" spans="1:2">
      <c r="A11" t="str">
        <f ca="1">IF(ROW()-1&gt;NumDataColumns,"",MAX(INDIRECT(CONCATENATE("R",ROW(ResultColumnLabels[#Headers]),"C",COLUMN(),":R",ROW()-1,"C",COLUMN()),FALSE))+1)</f>
        <v/>
      </c>
      <c r="B11" s="218" t="str">
        <f ca="1">IF(ResultColumnLabels[[#This Row],[Data Value Number]]="","",INDEX(DataColumns[ColumnLabel],MATCH(ResultColumnLabels[[#This Row],[Data Value Number]],DataColumns[DVNum],0)))</f>
        <v/>
      </c>
    </row>
    <row r="12" spans="1:2">
      <c r="A12" t="str">
        <f ca="1">IF(ROW()-1&gt;NumDataColumns,"",MAX(INDIRECT(CONCATENATE("R",ROW(ResultColumnLabels[#Headers]),"C",COLUMN(),":R",ROW()-1,"C",COLUMN()),FALSE))+1)</f>
        <v/>
      </c>
      <c r="B12" s="218" t="str">
        <f ca="1">IF(ResultColumnLabels[[#This Row],[Data Value Number]]="","",INDEX(DataColumns[ColumnLabel],MATCH(ResultColumnLabels[[#This Row],[Data Value Number]],DataColumns[DVNum],0)))</f>
        <v/>
      </c>
    </row>
    <row r="13" spans="1:2">
      <c r="A13" t="str">
        <f ca="1">IF(ROW()-1&gt;NumDataColumns,"",MAX(INDIRECT(CONCATENATE("R",ROW(ResultColumnLabels[#Headers]),"C",COLUMN(),":R",ROW()-1,"C",COLUMN()),FALSE))+1)</f>
        <v/>
      </c>
      <c r="B13" s="218" t="str">
        <f ca="1">IF(ResultColumnLabels[[#This Row],[Data Value Number]]="","",INDEX(DataColumns[ColumnLabel],MATCH(ResultColumnLabels[[#This Row],[Data Value Number]],DataColumns[DVNum],0)))</f>
        <v/>
      </c>
    </row>
    <row r="14" spans="1:2">
      <c r="A14" t="str">
        <f ca="1">IF(ROW()-1&gt;NumDataColumns,"",MAX(INDIRECT(CONCATENATE("R",ROW(ResultColumnLabels[#Headers]),"C",COLUMN(),":R",ROW()-1,"C",COLUMN()),FALSE))+1)</f>
        <v/>
      </c>
      <c r="B14" s="218" t="str">
        <f ca="1">IF(ResultColumnLabels[[#This Row],[Data Value Number]]="","",INDEX(DataColumns[ColumnLabel],MATCH(ResultColumnLabels[[#This Row],[Data Value Number]],DataColumns[DVNum],0)))</f>
        <v/>
      </c>
    </row>
    <row r="15" spans="1:2">
      <c r="A15" t="str">
        <f ca="1">IF(ROW()-1&gt;NumDataColumns,"",MAX(INDIRECT(CONCATENATE("R",ROW(ResultColumnLabels[#Headers]),"C",COLUMN(),":R",ROW()-1,"C",COLUMN()),FALSE))+1)</f>
        <v/>
      </c>
      <c r="B15" s="218" t="str">
        <f ca="1">IF(ResultColumnLabels[[#This Row],[Data Value Number]]="","",INDEX(DataColumns[ColumnLabel],MATCH(ResultColumnLabels[[#This Row],[Data Value Number]],DataColumns[DVNum],0)))</f>
        <v/>
      </c>
    </row>
    <row r="16" spans="1:2">
      <c r="A16" t="str">
        <f ca="1">IF(ROW()-1&gt;NumDataColumns,"",MAX(INDIRECT(CONCATENATE("R",ROW(ResultColumnLabels[#Headers]),"C",COLUMN(),":R",ROW()-1,"C",COLUMN()),FALSE))+1)</f>
        <v/>
      </c>
      <c r="B16" s="218" t="str">
        <f ca="1">IF(ResultColumnLabels[[#This Row],[Data Value Number]]="","",INDEX(DataColumns[ColumnLabel],MATCH(ResultColumnLabels[[#This Row],[Data Value Number]],DataColumns[DVNum],0)))</f>
        <v/>
      </c>
    </row>
    <row r="17" spans="1:2">
      <c r="A17" t="str">
        <f ca="1">IF(ROW()-1&gt;NumDataColumns,"",MAX(INDIRECT(CONCATENATE("R",ROW(ResultColumnLabels[#Headers]),"C",COLUMN(),":R",ROW()-1,"C",COLUMN()),FALSE))+1)</f>
        <v/>
      </c>
      <c r="B17" s="218" t="str">
        <f ca="1">IF(ResultColumnLabels[[#This Row],[Data Value Number]]="","",INDEX(DataColumns[ColumnLabel],MATCH(ResultColumnLabels[[#This Row],[Data Value Number]],DataColumns[DVNum],0)))</f>
        <v/>
      </c>
    </row>
    <row r="18" spans="1:2">
      <c r="A18" t="str">
        <f ca="1">IF(ROW()-1&gt;NumDataColumns,"",MAX(INDIRECT(CONCATENATE("R",ROW(ResultColumnLabels[#Headers]),"C",COLUMN(),":R",ROW()-1,"C",COLUMN()),FALSE))+1)</f>
        <v/>
      </c>
      <c r="B18" s="218" t="str">
        <f ca="1">IF(ResultColumnLabels[[#This Row],[Data Value Number]]="","",INDEX(DataColumns[ColumnLabel],MATCH(ResultColumnLabels[[#This Row],[Data Value Number]],DataColumns[DVNum],0)))</f>
        <v/>
      </c>
    </row>
    <row r="19" spans="1:2">
      <c r="A19" t="str">
        <f ca="1">IF(ROW()-1&gt;NumDataColumns,"",MAX(INDIRECT(CONCATENATE("R",ROW(ResultColumnLabels[#Headers]),"C",COLUMN(),":R",ROW()-1,"C",COLUMN()),FALSE))+1)</f>
        <v/>
      </c>
      <c r="B19" s="218" t="str">
        <f ca="1">IF(ResultColumnLabels[[#This Row],[Data Value Number]]="","",INDEX(DataColumns[ColumnLabel],MATCH(ResultColumnLabels[[#This Row],[Data Value Number]],DataColumns[DVNum],0)))</f>
        <v/>
      </c>
    </row>
    <row r="20" spans="1:2">
      <c r="A20" t="str">
        <f ca="1">IF(ROW()-1&gt;NumDataColumns,"",MAX(INDIRECT(CONCATENATE("R",ROW(ResultColumnLabels[#Headers]),"C",COLUMN(),":R",ROW()-1,"C",COLUMN()),FALSE))+1)</f>
        <v/>
      </c>
      <c r="B20" s="218" t="str">
        <f ca="1">IF(ResultColumnLabels[[#This Row],[Data Value Number]]="","",INDEX(DataColumns[ColumnLabel],MATCH(ResultColumnLabels[[#This Row],[Data Value Number]],DataColumns[DVNum],0)))</f>
        <v/>
      </c>
    </row>
    <row r="21" spans="1:2">
      <c r="A21" t="str">
        <f ca="1">IF(ROW()-1&gt;NumDataColumns,"",MAX(INDIRECT(CONCATENATE("R",ROW(ResultColumnLabels[#Headers]),"C",COLUMN(),":R",ROW()-1,"C",COLUMN()),FALSE))+1)</f>
        <v/>
      </c>
      <c r="B21" s="218" t="str">
        <f ca="1">IF(ResultColumnLabels[[#This Row],[Data Value Number]]="","",INDEX(DataColumns[ColumnLabel],MATCH(ResultColumnLabels[[#This Row],[Data Value Number]],DataColumns[DVNum],0)))</f>
        <v/>
      </c>
    </row>
    <row r="22" spans="1:2">
      <c r="A22" t="str">
        <f ca="1">IF(ROW()-1&gt;NumDataColumns,"",MAX(INDIRECT(CONCATENATE("R",ROW(ResultColumnLabels[#Headers]),"C",COLUMN(),":R",ROW()-1,"C",COLUMN()),FALSE))+1)</f>
        <v/>
      </c>
      <c r="B22" s="218" t="str">
        <f ca="1">IF(ResultColumnLabels[[#This Row],[Data Value Number]]="","",INDEX(DataColumns[ColumnLabel],MATCH(ResultColumnLabels[[#This Row],[Data Value Number]],DataColumns[DVNum],0)))</f>
        <v/>
      </c>
    </row>
    <row r="23" spans="1:2">
      <c r="A23" t="str">
        <f ca="1">IF(ROW()-1&gt;NumDataColumns,"",MAX(INDIRECT(CONCATENATE("R",ROW(ResultColumnLabels[#Headers]),"C",COLUMN(),":R",ROW()-1,"C",COLUMN()),FALSE))+1)</f>
        <v/>
      </c>
      <c r="B23" s="218" t="str">
        <f ca="1">IF(ResultColumnLabels[[#This Row],[Data Value Number]]="","",INDEX(DataColumns[ColumnLabel],MATCH(ResultColumnLabels[[#This Row],[Data Value Number]],DataColumns[DVNum],0)))</f>
        <v/>
      </c>
    </row>
    <row r="24" spans="1:2">
      <c r="A24" t="str">
        <f ca="1">IF(ROW()-1&gt;NumDataColumns,"",MAX(INDIRECT(CONCATENATE("R",ROW(ResultColumnLabels[#Headers]),"C",COLUMN(),":R",ROW()-1,"C",COLUMN()),FALSE))+1)</f>
        <v/>
      </c>
      <c r="B24" s="218" t="str">
        <f ca="1">IF(ResultColumnLabels[[#This Row],[Data Value Number]]="","",INDEX(DataColumns[ColumnLabel],MATCH(ResultColumnLabels[[#This Row],[Data Value Number]],DataColumns[DVNum],0)))</f>
        <v/>
      </c>
    </row>
    <row r="25" spans="1:2">
      <c r="A25" t="str">
        <f ca="1">IF(ROW()-1&gt;NumDataColumns,"",MAX(INDIRECT(CONCATENATE("R",ROW(ResultColumnLabels[#Headers]),"C",COLUMN(),":R",ROW()-1,"C",COLUMN()),FALSE))+1)</f>
        <v/>
      </c>
      <c r="B25" s="218" t="str">
        <f ca="1">IF(ResultColumnLabels[[#This Row],[Data Value Number]]="","",INDEX(DataColumns[ColumnLabel],MATCH(ResultColumnLabels[[#This Row],[Data Value Number]],DataColumns[DVNum],0)))</f>
        <v/>
      </c>
    </row>
    <row r="26" spans="1:2">
      <c r="A26" t="str">
        <f ca="1">IF(ROW()-1&gt;NumDataColumns,"",MAX(INDIRECT(CONCATENATE("R",ROW(ResultColumnLabels[#Headers]),"C",COLUMN(),":R",ROW()-1,"C",COLUMN()),FALSE))+1)</f>
        <v/>
      </c>
      <c r="B26" s="218" t="str">
        <f ca="1">IF(ResultColumnLabels[[#This Row],[Data Value Number]]="","",INDEX(DataColumns[ColumnLabel],MATCH(ResultColumnLabels[[#This Row],[Data Value Number]],DataColumns[DVNum],0)))</f>
        <v/>
      </c>
    </row>
    <row r="27" spans="1:2">
      <c r="A27" t="str">
        <f ca="1">IF(ROW()-1&gt;NumDataColumns,"",MAX(INDIRECT(CONCATENATE("R",ROW(ResultColumnLabels[#Headers]),"C",COLUMN(),":R",ROW()-1,"C",COLUMN()),FALSE))+1)</f>
        <v/>
      </c>
      <c r="B27" s="218" t="str">
        <f ca="1">IF(ResultColumnLabels[[#This Row],[Data Value Number]]="","",INDEX(DataColumns[ColumnLabel],MATCH(ResultColumnLabels[[#This Row],[Data Value Number]],DataColumns[DVNum],0)))</f>
        <v/>
      </c>
    </row>
    <row r="28" spans="1:2">
      <c r="A28" t="str">
        <f ca="1">IF(ROW()-1&gt;NumDataColumns,"",MAX(INDIRECT(CONCATENATE("R",ROW(ResultColumnLabels[#Headers]),"C",COLUMN(),":R",ROW()-1,"C",COLUMN()),FALSE))+1)</f>
        <v/>
      </c>
      <c r="B28" s="218" t="str">
        <f ca="1">IF(ResultColumnLabels[[#This Row],[Data Value Number]]="","",INDEX(DataColumns[ColumnLabel],MATCH(ResultColumnLabels[[#This Row],[Data Value Number]],DataColumns[DVNum],0)))</f>
        <v/>
      </c>
    </row>
    <row r="29" spans="1:2">
      <c r="A29" t="str">
        <f ca="1">IF(ROW()-1&gt;NumDataColumns,"",MAX(INDIRECT(CONCATENATE("R",ROW(ResultColumnLabels[#Headers]),"C",COLUMN(),":R",ROW()-1,"C",COLUMN()),FALSE))+1)</f>
        <v/>
      </c>
      <c r="B29" s="218" t="str">
        <f ca="1">IF(ResultColumnLabels[[#This Row],[Data Value Number]]="","",INDEX(DataColumns[ColumnLabel],MATCH(ResultColumnLabels[[#This Row],[Data Value Number]],DataColumns[DVNum],0)))</f>
        <v/>
      </c>
    </row>
    <row r="30" spans="1:2">
      <c r="A30" t="str">
        <f ca="1">IF(ROW()-1&gt;NumDataColumns,"",MAX(INDIRECT(CONCATENATE("R",ROW(ResultColumnLabels[#Headers]),"C",COLUMN(),":R",ROW()-1,"C",COLUMN()),FALSE))+1)</f>
        <v/>
      </c>
      <c r="B30" s="218" t="str">
        <f ca="1">IF(ResultColumnLabels[[#This Row],[Data Value Number]]="","",INDEX(DataColumns[ColumnLabel],MATCH(ResultColumnLabels[[#This Row],[Data Value Number]],DataColumns[DVNum],0)))</f>
        <v/>
      </c>
    </row>
    <row r="31" spans="1:2">
      <c r="A31" t="str">
        <f ca="1">IF(ROW()-1&gt;NumDataColumns,"",MAX(INDIRECT(CONCATENATE("R",ROW(ResultColumnLabels[#Headers]),"C",COLUMN(),":R",ROW()-1,"C",COLUMN()),FALSE))+1)</f>
        <v/>
      </c>
      <c r="B31" s="218" t="str">
        <f ca="1">IF(ResultColumnLabels[[#This Row],[Data Value Number]]="","",INDEX(DataColumns[ColumnLabel],MATCH(ResultColumnLabels[[#This Row],[Data Value Number]],DataColumns[DVNum],0)))</f>
        <v/>
      </c>
    </row>
    <row r="32" spans="1:2">
      <c r="A32" t="str">
        <f ca="1">IF(ROW()-1&gt;NumDataColumns,"",MAX(INDIRECT(CONCATENATE("R",ROW(ResultColumnLabels[#Headers]),"C",COLUMN(),":R",ROW()-1,"C",COLUMN()),FALSE))+1)</f>
        <v/>
      </c>
      <c r="B32" s="218" t="str">
        <f ca="1">IF(ResultColumnLabels[[#This Row],[Data Value Number]]="","",INDEX(DataColumns[ColumnLabel],MATCH(ResultColumnLabels[[#This Row],[Data Value Number]],DataColumns[DVNum],0)))</f>
        <v/>
      </c>
    </row>
    <row r="33" spans="1:2">
      <c r="A33" t="str">
        <f ca="1">IF(ROW()-1&gt;NumDataColumns,"",MAX(INDIRECT(CONCATENATE("R",ROW(ResultColumnLabels[#Headers]),"C",COLUMN(),":R",ROW()-1,"C",COLUMN()),FALSE))+1)</f>
        <v/>
      </c>
      <c r="B33" s="218" t="str">
        <f ca="1">IF(ResultColumnLabels[[#This Row],[Data Value Number]]="","",INDEX(DataColumns[ColumnLabel],MATCH(ResultColumnLabels[[#This Row],[Data Value Number]],DataColumns[DVNum],0)))</f>
        <v/>
      </c>
    </row>
    <row r="34" spans="1:2">
      <c r="A34" t="str">
        <f ca="1">IF(ROW()-1&gt;NumDataColumns,"",MAX(INDIRECT(CONCATENATE("R",ROW(ResultColumnLabels[#Headers]),"C",COLUMN(),":R",ROW()-1,"C",COLUMN()),FALSE))+1)</f>
        <v/>
      </c>
      <c r="B34" s="218" t="str">
        <f ca="1">IF(ResultColumnLabels[[#This Row],[Data Value Number]]="","",INDEX(DataColumns[ColumnLabel],MATCH(ResultColumnLabels[[#This Row],[Data Value Number]],DataColumns[DVNum],0)))</f>
        <v/>
      </c>
    </row>
    <row r="35" spans="1:2">
      <c r="A35" t="str">
        <f ca="1">IF(ROW()-1&gt;NumDataColumns,"",MAX(INDIRECT(CONCATENATE("R",ROW(ResultColumnLabels[#Headers]),"C",COLUMN(),":R",ROW()-1,"C",COLUMN()),FALSE))+1)</f>
        <v/>
      </c>
      <c r="B35" s="218" t="str">
        <f ca="1">IF(ResultColumnLabels[[#This Row],[Data Value Number]]="","",INDEX(DataColumns[ColumnLabel],MATCH(ResultColumnLabels[[#This Row],[Data Value Number]],DataColumns[DVNum],0)))</f>
        <v/>
      </c>
    </row>
    <row r="36" spans="1:2">
      <c r="A36" t="str">
        <f ca="1">IF(ROW()-1&gt;NumDataColumns,"",MAX(INDIRECT(CONCATENATE("R",ROW(ResultColumnLabels[#Headers]),"C",COLUMN(),":R",ROW()-1,"C",COLUMN()),FALSE))+1)</f>
        <v/>
      </c>
      <c r="B36" s="218" t="str">
        <f ca="1">IF(ResultColumnLabels[[#This Row],[Data Value Number]]="","",INDEX(DataColumns[ColumnLabel],MATCH(ResultColumnLabels[[#This Row],[Data Value Number]],DataColumns[DVNum],0)))</f>
        <v/>
      </c>
    </row>
    <row r="37" spans="1:2">
      <c r="A37" t="str">
        <f ca="1">IF(ROW()-1&gt;NumDataColumns,"",MAX(INDIRECT(CONCATENATE("R",ROW(ResultColumnLabels[#Headers]),"C",COLUMN(),":R",ROW()-1,"C",COLUMN()),FALSE))+1)</f>
        <v/>
      </c>
      <c r="B37" s="218" t="str">
        <f ca="1">IF(ResultColumnLabels[[#This Row],[Data Value Number]]="","",INDEX(DataColumns[ColumnLabel],MATCH(ResultColumnLabels[[#This Row],[Data Value Number]],DataColumns[DVNum],0)))</f>
        <v/>
      </c>
    </row>
    <row r="38" spans="1:2">
      <c r="A38" t="str">
        <f ca="1">IF(ROW()-1&gt;NumDataColumns,"",MAX(INDIRECT(CONCATENATE("R",ROW(ResultColumnLabels[#Headers]),"C",COLUMN(),":R",ROW()-1,"C",COLUMN()),FALSE))+1)</f>
        <v/>
      </c>
      <c r="B38" s="218" t="str">
        <f ca="1">IF(ResultColumnLabels[[#This Row],[Data Value Number]]="","",INDEX(DataColumns[ColumnLabel],MATCH(ResultColumnLabels[[#This Row],[Data Value Number]],DataColumns[DVNum],0)))</f>
        <v/>
      </c>
    </row>
    <row r="39" spans="1:2">
      <c r="A39" t="str">
        <f ca="1">IF(ROW()-1&gt;NumDataColumns,"",MAX(INDIRECT(CONCATENATE("R",ROW(ResultColumnLabels[#Headers]),"C",COLUMN(),":R",ROW()-1,"C",COLUMN()),FALSE))+1)</f>
        <v/>
      </c>
      <c r="B39" s="218" t="str">
        <f ca="1">IF(ResultColumnLabels[[#This Row],[Data Value Number]]="","",INDEX(DataColumns[ColumnLabel],MATCH(ResultColumnLabels[[#This Row],[Data Value Number]],DataColumns[DVNum],0)))</f>
        <v/>
      </c>
    </row>
    <row r="40" spans="1:2">
      <c r="A40" t="str">
        <f ca="1">IF(ROW()-1&gt;NumDataColumns,"",MAX(INDIRECT(CONCATENATE("R",ROW(ResultColumnLabels[#Headers]),"C",COLUMN(),":R",ROW()-1,"C",COLUMN()),FALSE))+1)</f>
        <v/>
      </c>
      <c r="B40" s="218" t="str">
        <f ca="1">IF(ResultColumnLabels[[#This Row],[Data Value Number]]="","",INDEX(DataColumns[ColumnLabel],MATCH(ResultColumnLabels[[#This Row],[Data Value Number]],DataColumns[DVNum],0)))</f>
        <v/>
      </c>
    </row>
    <row r="41" spans="1:2">
      <c r="A41" t="str">
        <f ca="1">IF(ROW()-1&gt;NumDataColumns,"",MAX(INDIRECT(CONCATENATE("R",ROW(ResultColumnLabels[#Headers]),"C",COLUMN(),":R",ROW()-1,"C",COLUMN()),FALSE))+1)</f>
        <v/>
      </c>
      <c r="B41" s="218" t="str">
        <f ca="1">IF(ResultColumnLabels[[#This Row],[Data Value Number]]="","",INDEX(DataColumns[ColumnLabel],MATCH(ResultColumnLabels[[#This Row],[Data Value Number]],DataColumns[DVNum],0)))</f>
        <v/>
      </c>
    </row>
    <row r="42" spans="1:2">
      <c r="A42" t="str">
        <f ca="1">IF(ROW()-1&gt;NumDataColumns,"",MAX(INDIRECT(CONCATENATE("R",ROW(ResultColumnLabels[#Headers]),"C",COLUMN(),":R",ROW()-1,"C",COLUMN()),FALSE))+1)</f>
        <v/>
      </c>
      <c r="B42" s="218" t="str">
        <f ca="1">IF(ResultColumnLabels[[#This Row],[Data Value Number]]="","",INDEX(DataColumns[ColumnLabel],MATCH(ResultColumnLabels[[#This Row],[Data Value Number]],DataColumns[DVNum],0)))</f>
        <v/>
      </c>
    </row>
    <row r="43" spans="1:2">
      <c r="A43" t="str">
        <f ca="1">IF(ROW()-1&gt;NumDataColumns,"",MAX(INDIRECT(CONCATENATE("R",ROW(ResultColumnLabels[#Headers]),"C",COLUMN(),":R",ROW()-1,"C",COLUMN()),FALSE))+1)</f>
        <v/>
      </c>
      <c r="B43" s="218" t="str">
        <f ca="1">IF(ResultColumnLabels[[#This Row],[Data Value Number]]="","",INDEX(DataColumns[ColumnLabel],MATCH(ResultColumnLabels[[#This Row],[Data Value Number]],DataColumns[DVNum],0)))</f>
        <v/>
      </c>
    </row>
    <row r="44" spans="1:2">
      <c r="A44" t="str">
        <f ca="1">IF(ROW()-1&gt;NumDataColumns,"",MAX(INDIRECT(CONCATENATE("R",ROW(ResultColumnLabels[#Headers]),"C",COLUMN(),":R",ROW()-1,"C",COLUMN()),FALSE))+1)</f>
        <v/>
      </c>
      <c r="B44" s="218" t="str">
        <f ca="1">IF(ResultColumnLabels[[#This Row],[Data Value Number]]="","",INDEX(DataColumns[ColumnLabel],MATCH(ResultColumnLabels[[#This Row],[Data Value Number]],DataColumns[DVNum],0)))</f>
        <v/>
      </c>
    </row>
    <row r="45" spans="1:2">
      <c r="A45" t="str">
        <f ca="1">IF(ROW()-1&gt;NumDataColumns,"",MAX(INDIRECT(CONCATENATE("R",ROW(ResultColumnLabels[#Headers]),"C",COLUMN(),":R",ROW()-1,"C",COLUMN()),FALSE))+1)</f>
        <v/>
      </c>
      <c r="B45" s="218" t="str">
        <f ca="1">IF(ResultColumnLabels[[#This Row],[Data Value Number]]="","",INDEX(DataColumns[ColumnLabel],MATCH(ResultColumnLabels[[#This Row],[Data Value Number]],DataColumns[DVNum],0)))</f>
        <v/>
      </c>
    </row>
    <row r="46" spans="1:2">
      <c r="A46" t="str">
        <f ca="1">IF(ROW()-1&gt;NumDataColumns,"",MAX(INDIRECT(CONCATENATE("R",ROW(ResultColumnLabels[#Headers]),"C",COLUMN(),":R",ROW()-1,"C",COLUMN()),FALSE))+1)</f>
        <v/>
      </c>
      <c r="B46" s="218" t="str">
        <f ca="1">IF(ResultColumnLabels[[#This Row],[Data Value Number]]="","",INDEX(DataColumns[ColumnLabel],MATCH(ResultColumnLabels[[#This Row],[Data Value Number]],DataColumns[DVNum],0)))</f>
        <v/>
      </c>
    </row>
    <row r="47" spans="1:2">
      <c r="A47" t="str">
        <f ca="1">IF(ROW()-1&gt;NumDataColumns,"",MAX(INDIRECT(CONCATENATE("R",ROW(ResultColumnLabels[#Headers]),"C",COLUMN(),":R",ROW()-1,"C",COLUMN()),FALSE))+1)</f>
        <v/>
      </c>
      <c r="B47" s="218" t="str">
        <f ca="1">IF(ResultColumnLabels[[#This Row],[Data Value Number]]="","",INDEX(DataColumns[ColumnLabel],MATCH(ResultColumnLabels[[#This Row],[Data Value Number]],DataColumns[DVNum],0)))</f>
        <v/>
      </c>
    </row>
    <row r="48" spans="1:2">
      <c r="A48" t="str">
        <f ca="1">IF(ROW()-1&gt;NumDataColumns,"",MAX(INDIRECT(CONCATENATE("R",ROW(ResultColumnLabels[#Headers]),"C",COLUMN(),":R",ROW()-1,"C",COLUMN()),FALSE))+1)</f>
        <v/>
      </c>
      <c r="B48" s="218" t="str">
        <f ca="1">IF(ResultColumnLabels[[#This Row],[Data Value Number]]="","",INDEX(DataColumns[ColumnLabel],MATCH(ResultColumnLabels[[#This Row],[Data Value Number]],DataColumns[DVNum],0)))</f>
        <v/>
      </c>
    </row>
    <row r="49" spans="1:2">
      <c r="A49" t="str">
        <f ca="1">IF(ROW()-1&gt;NumDataColumns,"",MAX(INDIRECT(CONCATENATE("R",ROW(ResultColumnLabels[#Headers]),"C",COLUMN(),":R",ROW()-1,"C",COLUMN()),FALSE))+1)</f>
        <v/>
      </c>
      <c r="B49" s="218" t="str">
        <f ca="1">IF(ResultColumnLabels[[#This Row],[Data Value Number]]="","",INDEX(DataColumns[ColumnLabel],MATCH(ResultColumnLabels[[#This Row],[Data Value Number]],DataColumns[DVNum],0)))</f>
        <v/>
      </c>
    </row>
    <row r="50" spans="1:2">
      <c r="A50" t="str">
        <f ca="1">IF(ROW()-1&gt;NumDataColumns,"",MAX(INDIRECT(CONCATENATE("R",ROW(ResultColumnLabels[#Headers]),"C",COLUMN(),":R",ROW()-1,"C",COLUMN()),FALSE))+1)</f>
        <v/>
      </c>
      <c r="B50" s="218" t="str">
        <f ca="1">IF(ResultColumnLabels[[#This Row],[Data Value Number]]="","",INDEX(DataColumns[ColumnLabel],MATCH(ResultColumnLabels[[#This Row],[Data Value Number]],DataColumns[DVNum],0)))</f>
        <v/>
      </c>
    </row>
    <row r="51" spans="1:2">
      <c r="A51" t="str">
        <f ca="1">IF(ROW()-1&gt;NumDataColumns,"",MAX(INDIRECT(CONCATENATE("R",ROW(ResultColumnLabels[#Headers]),"C",COLUMN(),":R",ROW()-1,"C",COLUMN()),FALSE))+1)</f>
        <v/>
      </c>
      <c r="B51" s="218" t="str">
        <f ca="1">IF(ResultColumnLabels[[#This Row],[Data Value Number]]="","",INDEX(DataColumns[ColumnLabel],MATCH(ResultColumnLabels[[#This Row],[Data Value Number]],DataColumns[DVNum],0)))</f>
        <v/>
      </c>
    </row>
    <row r="52" spans="1:2">
      <c r="A52" t="str">
        <f ca="1">IF(ROW()-1&gt;NumDataColumns,"",MAX(INDIRECT(CONCATENATE("R",ROW(ResultColumnLabels[#Headers]),"C",COLUMN(),":R",ROW()-1,"C",COLUMN()),FALSE))+1)</f>
        <v/>
      </c>
      <c r="B52" s="218" t="str">
        <f ca="1">IF(ResultColumnLabels[[#This Row],[Data Value Number]]="","",INDEX(DataColumns[ColumnLabel],MATCH(ResultColumnLabels[[#This Row],[Data Value Number]],DataColumns[DVNum],0)))</f>
        <v/>
      </c>
    </row>
    <row r="53" spans="1:2">
      <c r="A53" t="str">
        <f ca="1">IF(ROW()-1&gt;NumDataColumns,"",MAX(INDIRECT(CONCATENATE("R",ROW(ResultColumnLabels[#Headers]),"C",COLUMN(),":R",ROW()-1,"C",COLUMN()),FALSE))+1)</f>
        <v/>
      </c>
      <c r="B53" s="218" t="str">
        <f ca="1">IF(ResultColumnLabels[[#This Row],[Data Value Number]]="","",INDEX(DataColumns[ColumnLabel],MATCH(ResultColumnLabels[[#This Row],[Data Value Number]],DataColumns[DVNum],0)))</f>
        <v/>
      </c>
    </row>
    <row r="54" spans="1:2">
      <c r="A54" t="str">
        <f ca="1">IF(ROW()-1&gt;NumDataColumns,"",MAX(INDIRECT(CONCATENATE("R",ROW(ResultColumnLabels[#Headers]),"C",COLUMN(),":R",ROW()-1,"C",COLUMN()),FALSE))+1)</f>
        <v/>
      </c>
      <c r="B54" s="218" t="str">
        <f ca="1">IF(ResultColumnLabels[[#This Row],[Data Value Number]]="","",INDEX(DataColumns[ColumnLabel],MATCH(ResultColumnLabels[[#This Row],[Data Value Number]],DataColumns[DVNum],0)))</f>
        <v/>
      </c>
    </row>
    <row r="55" spans="1:2">
      <c r="A55" t="str">
        <f ca="1">IF(ROW()-1&gt;NumDataColumns,"",MAX(INDIRECT(CONCATENATE("R",ROW(ResultColumnLabels[#Headers]),"C",COLUMN(),":R",ROW()-1,"C",COLUMN()),FALSE))+1)</f>
        <v/>
      </c>
      <c r="B55" s="218" t="str">
        <f ca="1">IF(ResultColumnLabels[[#This Row],[Data Value Number]]="","",INDEX(DataColumns[ColumnLabel],MATCH(ResultColumnLabels[[#This Row],[Data Value Number]],DataColumns[DVNum],0)))</f>
        <v/>
      </c>
    </row>
    <row r="56" spans="1:2">
      <c r="A56" t="str">
        <f ca="1">IF(ROW()-1&gt;NumDataColumns,"",MAX(INDIRECT(CONCATENATE("R",ROW(ResultColumnLabels[#Headers]),"C",COLUMN(),":R",ROW()-1,"C",COLUMN()),FALSE))+1)</f>
        <v/>
      </c>
      <c r="B56" s="218" t="str">
        <f ca="1">IF(ResultColumnLabels[[#This Row],[Data Value Number]]="","",INDEX(DataColumns[ColumnLabel],MATCH(ResultColumnLabels[[#This Row],[Data Value Number]],DataColumns[DVNum],0)))</f>
        <v/>
      </c>
    </row>
    <row r="57" spans="1:2">
      <c r="A57" t="str">
        <f ca="1">IF(ROW()-1&gt;NumDataColumns,"",MAX(INDIRECT(CONCATENATE("R",ROW(ResultColumnLabels[#Headers]),"C",COLUMN(),":R",ROW()-1,"C",COLUMN()),FALSE))+1)</f>
        <v/>
      </c>
      <c r="B57" s="218" t="str">
        <f ca="1">IF(ResultColumnLabels[[#This Row],[Data Value Number]]="","",INDEX(DataColumns[ColumnLabel],MATCH(ResultColumnLabels[[#This Row],[Data Value Number]],DataColumns[DVNum],0)))</f>
        <v/>
      </c>
    </row>
    <row r="58" spans="1:2">
      <c r="A58" t="str">
        <f ca="1">IF(ROW()-1&gt;NumDataColumns,"",MAX(INDIRECT(CONCATENATE("R",ROW(ResultColumnLabels[#Headers]),"C",COLUMN(),":R",ROW()-1,"C",COLUMN()),FALSE))+1)</f>
        <v/>
      </c>
      <c r="B58" s="218" t="str">
        <f ca="1">IF(ResultColumnLabels[[#This Row],[Data Value Number]]="","",INDEX(DataColumns[ColumnLabel],MATCH(ResultColumnLabels[[#This Row],[Data Value Number]],DataColumns[DVNum],0)))</f>
        <v/>
      </c>
    </row>
    <row r="59" spans="1:2">
      <c r="A59" t="str">
        <f ca="1">IF(ROW()-1&gt;NumDataColumns,"",MAX(INDIRECT(CONCATENATE("R",ROW(ResultColumnLabels[#Headers]),"C",COLUMN(),":R",ROW()-1,"C",COLUMN()),FALSE))+1)</f>
        <v/>
      </c>
      <c r="B59" s="218" t="str">
        <f ca="1">IF(ResultColumnLabels[[#This Row],[Data Value Number]]="","",INDEX(DataColumns[ColumnLabel],MATCH(ResultColumnLabels[[#This Row],[Data Value Number]],DataColumns[DVNum],0)))</f>
        <v/>
      </c>
    </row>
    <row r="60" spans="1:2">
      <c r="A60" t="str">
        <f ca="1">IF(ROW()-1&gt;NumDataColumns,"",MAX(INDIRECT(CONCATENATE("R",ROW(ResultColumnLabels[#Headers]),"C",COLUMN(),":R",ROW()-1,"C",COLUMN()),FALSE))+1)</f>
        <v/>
      </c>
      <c r="B60" s="218" t="str">
        <f ca="1">IF(ResultColumnLabels[[#This Row],[Data Value Number]]="","",INDEX(DataColumns[ColumnLabel],MATCH(ResultColumnLabels[[#This Row],[Data Value Number]],DataColumns[DVNum],0)))</f>
        <v/>
      </c>
    </row>
    <row r="61" spans="1:2">
      <c r="A61" t="str">
        <f ca="1">IF(ROW()-1&gt;NumDataColumns,"",MAX(INDIRECT(CONCATENATE("R",ROW(ResultColumnLabels[#Headers]),"C",COLUMN(),":R",ROW()-1,"C",COLUMN()),FALSE))+1)</f>
        <v/>
      </c>
      <c r="B61" s="218" t="str">
        <f ca="1">IF(ResultColumnLabels[[#This Row],[Data Value Number]]="","",INDEX(DataColumns[ColumnLabel],MATCH(ResultColumnLabels[[#This Row],[Data Value Number]],DataColumns[DVNum],0)))</f>
        <v/>
      </c>
    </row>
    <row r="62" spans="1:2">
      <c r="A62" t="str">
        <f ca="1">IF(ROW()-1&gt;NumDataColumns,"",MAX(INDIRECT(CONCATENATE("R",ROW(ResultColumnLabels[#Headers]),"C",COLUMN(),":R",ROW()-1,"C",COLUMN()),FALSE))+1)</f>
        <v/>
      </c>
      <c r="B62" s="218" t="str">
        <f ca="1">IF(ResultColumnLabels[[#This Row],[Data Value Number]]="","",INDEX(DataColumns[ColumnLabel],MATCH(ResultColumnLabels[[#This Row],[Data Value Number]],DataColumns[DVNum],0)))</f>
        <v/>
      </c>
    </row>
    <row r="63" spans="1:2">
      <c r="A63" t="str">
        <f ca="1">IF(ROW()-1&gt;NumDataColumns,"",MAX(INDIRECT(CONCATENATE("R",ROW(ResultColumnLabels[#Headers]),"C",COLUMN(),":R",ROW()-1,"C",COLUMN()),FALSE))+1)</f>
        <v/>
      </c>
      <c r="B63" s="218" t="str">
        <f ca="1">IF(ResultColumnLabels[[#This Row],[Data Value Number]]="","",INDEX(DataColumns[ColumnLabel],MATCH(ResultColumnLabels[[#This Row],[Data Value Number]],DataColumns[DVNum],0)))</f>
        <v/>
      </c>
    </row>
    <row r="64" spans="1:2">
      <c r="A64" t="str">
        <f ca="1">IF(ROW()-1&gt;NumDataColumns,"",MAX(INDIRECT(CONCATENATE("R",ROW(ResultColumnLabels[#Headers]),"C",COLUMN(),":R",ROW()-1,"C",COLUMN()),FALSE))+1)</f>
        <v/>
      </c>
      <c r="B64" s="218" t="str">
        <f ca="1">IF(ResultColumnLabels[[#This Row],[Data Value Number]]="","",INDEX(DataColumns[ColumnLabel],MATCH(ResultColumnLabels[[#This Row],[Data Value Number]],DataColumns[DVNum],0)))</f>
        <v/>
      </c>
    </row>
    <row r="65" spans="1:2">
      <c r="A65" t="str">
        <f ca="1">IF(ROW()-1&gt;NumDataColumns,"",MAX(INDIRECT(CONCATENATE("R",ROW(ResultColumnLabels[#Headers]),"C",COLUMN(),":R",ROW()-1,"C",COLUMN()),FALSE))+1)</f>
        <v/>
      </c>
      <c r="B65" s="218" t="str">
        <f ca="1">IF(ResultColumnLabels[[#This Row],[Data Value Number]]="","",INDEX(DataColumns[ColumnLabel],MATCH(ResultColumnLabels[[#This Row],[Data Value Number]],DataColumns[DVNum],0)))</f>
        <v/>
      </c>
    </row>
    <row r="66" spans="1:2">
      <c r="A66" t="str">
        <f ca="1">IF(ROW()-1&gt;NumDataColumns,"",MAX(INDIRECT(CONCATENATE("R",ROW(ResultColumnLabels[#Headers]),"C",COLUMN(),":R",ROW()-1,"C",COLUMN()),FALSE))+1)</f>
        <v/>
      </c>
      <c r="B66" s="218" t="str">
        <f ca="1">IF(ResultColumnLabels[[#This Row],[Data Value Number]]="","",INDEX(DataColumns[ColumnLabel],MATCH(ResultColumnLabels[[#This Row],[Data Value Number]],DataColumns[DVNum],0)))</f>
        <v/>
      </c>
    </row>
    <row r="67" spans="1:2">
      <c r="A67" t="str">
        <f ca="1">IF(ROW()-1&gt;NumDataColumns,"",MAX(INDIRECT(CONCATENATE("R",ROW(ResultColumnLabels[#Headers]),"C",COLUMN(),":R",ROW()-1,"C",COLUMN()),FALSE))+1)</f>
        <v/>
      </c>
      <c r="B67" s="218" t="str">
        <f ca="1">IF(ResultColumnLabels[[#This Row],[Data Value Number]]="","",INDEX(DataColumns[ColumnLabel],MATCH(ResultColumnLabels[[#This Row],[Data Value Number]],DataColumns[DVNum],0)))</f>
        <v/>
      </c>
    </row>
    <row r="68" spans="1:2">
      <c r="A68" t="str">
        <f ca="1">IF(ROW()-1&gt;NumDataColumns,"",MAX(INDIRECT(CONCATENATE("R",ROW(ResultColumnLabels[#Headers]),"C",COLUMN(),":R",ROW()-1,"C",COLUMN()),FALSE))+1)</f>
        <v/>
      </c>
      <c r="B68" s="218" t="str">
        <f ca="1">IF(ResultColumnLabels[[#This Row],[Data Value Number]]="","",INDEX(DataColumns[ColumnLabel],MATCH(ResultColumnLabels[[#This Row],[Data Value Number]],DataColumns[DVNum],0)))</f>
        <v/>
      </c>
    </row>
    <row r="69" spans="1:2">
      <c r="A69" t="str">
        <f ca="1">IF(ROW()-1&gt;NumDataColumns,"",MAX(INDIRECT(CONCATENATE("R",ROW(ResultColumnLabels[#Headers]),"C",COLUMN(),":R",ROW()-1,"C",COLUMN()),FALSE))+1)</f>
        <v/>
      </c>
      <c r="B69" s="218" t="str">
        <f ca="1">IF(ResultColumnLabels[[#This Row],[Data Value Number]]="","",INDEX(DataColumns[ColumnLabel],MATCH(ResultColumnLabels[[#This Row],[Data Value Number]],DataColumns[DVNum],0)))</f>
        <v/>
      </c>
    </row>
    <row r="70" spans="1:2">
      <c r="A70" t="str">
        <f ca="1">IF(ROW()-1&gt;NumDataColumns,"",MAX(INDIRECT(CONCATENATE("R",ROW(ResultColumnLabels[#Headers]),"C",COLUMN(),":R",ROW()-1,"C",COLUMN()),FALSE))+1)</f>
        <v/>
      </c>
      <c r="B70" s="218" t="str">
        <f ca="1">IF(ResultColumnLabels[[#This Row],[Data Value Number]]="","",INDEX(DataColumns[ColumnLabel],MATCH(ResultColumnLabels[[#This Row],[Data Value Number]],DataColumns[DVNum],0)))</f>
        <v/>
      </c>
    </row>
    <row r="71" spans="1:2">
      <c r="A71" t="str">
        <f ca="1">IF(ROW()-1&gt;NumDataColumns,"",MAX(INDIRECT(CONCATENATE("R",ROW(ResultColumnLabels[#Headers]),"C",COLUMN(),":R",ROW()-1,"C",COLUMN()),FALSE))+1)</f>
        <v/>
      </c>
      <c r="B71" s="218" t="str">
        <f ca="1">IF(ResultColumnLabels[[#This Row],[Data Value Number]]="","",INDEX(DataColumns[ColumnLabel],MATCH(ResultColumnLabels[[#This Row],[Data Value Number]],DataColumns[DVNum],0)))</f>
        <v/>
      </c>
    </row>
    <row r="72" spans="1:2">
      <c r="A72" t="str">
        <f ca="1">IF(ROW()-1&gt;NumDataColumns,"",MAX(INDIRECT(CONCATENATE("R",ROW(ResultColumnLabels[#Headers]),"C",COLUMN(),":R",ROW()-1,"C",COLUMN()),FALSE))+1)</f>
        <v/>
      </c>
      <c r="B72" s="218" t="str">
        <f ca="1">IF(ResultColumnLabels[[#This Row],[Data Value Number]]="","",INDEX(DataColumns[ColumnLabel],MATCH(ResultColumnLabels[[#This Row],[Data Value Number]],DataColumns[DVNum],0)))</f>
        <v/>
      </c>
    </row>
    <row r="73" spans="1:2">
      <c r="A73" t="str">
        <f ca="1">IF(ROW()-1&gt;NumDataColumns,"",MAX(INDIRECT(CONCATENATE("R",ROW(ResultColumnLabels[#Headers]),"C",COLUMN(),":R",ROW()-1,"C",COLUMN()),FALSE))+1)</f>
        <v/>
      </c>
      <c r="B73" s="218" t="str">
        <f ca="1">IF(ResultColumnLabels[[#This Row],[Data Value Number]]="","",INDEX(DataColumns[ColumnLabel],MATCH(ResultColumnLabels[[#This Row],[Data Value Number]],DataColumns[DVNum],0)))</f>
        <v/>
      </c>
    </row>
    <row r="74" spans="1:2">
      <c r="A74" t="str">
        <f ca="1">IF(ROW()-1&gt;NumDataColumns,"",MAX(INDIRECT(CONCATENATE("R",ROW(ResultColumnLabels[#Headers]),"C",COLUMN(),":R",ROW()-1,"C",COLUMN()),FALSE))+1)</f>
        <v/>
      </c>
      <c r="B74" s="218" t="str">
        <f ca="1">IF(ResultColumnLabels[[#This Row],[Data Value Number]]="","",INDEX(DataColumns[ColumnLabel],MATCH(ResultColumnLabels[[#This Row],[Data Value Number]],DataColumns[DVNum],0)))</f>
        <v/>
      </c>
    </row>
    <row r="75" spans="1:2">
      <c r="A75" t="str">
        <f ca="1">IF(ROW()-1&gt;NumDataColumns,"",MAX(INDIRECT(CONCATENATE("R",ROW(ResultColumnLabels[#Headers]),"C",COLUMN(),":R",ROW()-1,"C",COLUMN()),FALSE))+1)</f>
        <v/>
      </c>
      <c r="B75" s="218" t="str">
        <f ca="1">IF(ResultColumnLabels[[#This Row],[Data Value Number]]="","",INDEX(DataColumns[ColumnLabel],MATCH(ResultColumnLabels[[#This Row],[Data Value Number]],DataColumns[DVNum],0)))</f>
        <v/>
      </c>
    </row>
    <row r="76" spans="1:2">
      <c r="A76" t="str">
        <f ca="1">IF(ROW()-1&gt;NumDataColumns,"",MAX(INDIRECT(CONCATENATE("R",ROW(ResultColumnLabels[#Headers]),"C",COLUMN(),":R",ROW()-1,"C",COLUMN()),FALSE))+1)</f>
        <v/>
      </c>
      <c r="B76" s="218" t="str">
        <f ca="1">IF(ResultColumnLabels[[#This Row],[Data Value Number]]="","",INDEX(DataColumns[ColumnLabel],MATCH(ResultColumnLabels[[#This Row],[Data Value Number]],DataColumns[DVNum],0)))</f>
        <v/>
      </c>
    </row>
    <row r="77" spans="1:2">
      <c r="A77" t="str">
        <f ca="1">IF(ROW()-1&gt;NumDataColumns,"",MAX(INDIRECT(CONCATENATE("R",ROW(ResultColumnLabels[#Headers]),"C",COLUMN(),":R",ROW()-1,"C",COLUMN()),FALSE))+1)</f>
        <v/>
      </c>
      <c r="B77" s="218" t="str">
        <f ca="1">IF(ResultColumnLabels[[#This Row],[Data Value Number]]="","",INDEX(DataColumns[ColumnLabel],MATCH(ResultColumnLabels[[#This Row],[Data Value Number]],DataColumns[DVNum],0)))</f>
        <v/>
      </c>
    </row>
    <row r="78" spans="1:2">
      <c r="A78" t="str">
        <f ca="1">IF(ROW()-1&gt;NumDataColumns,"",MAX(INDIRECT(CONCATENATE("R",ROW(ResultColumnLabels[#Headers]),"C",COLUMN(),":R",ROW()-1,"C",COLUMN()),FALSE))+1)</f>
        <v/>
      </c>
      <c r="B78" s="218" t="str">
        <f ca="1">IF(ResultColumnLabels[[#This Row],[Data Value Number]]="","",INDEX(DataColumns[ColumnLabel],MATCH(ResultColumnLabels[[#This Row],[Data Value Number]],DataColumns[DVNum],0)))</f>
        <v/>
      </c>
    </row>
    <row r="79" spans="1:2">
      <c r="A79" t="str">
        <f ca="1">IF(ROW()-1&gt;NumDataColumns,"",MAX(INDIRECT(CONCATENATE("R",ROW(ResultColumnLabels[#Headers]),"C",COLUMN(),":R",ROW()-1,"C",COLUMN()),FALSE))+1)</f>
        <v/>
      </c>
      <c r="B79" s="218" t="str">
        <f ca="1">IF(ResultColumnLabels[[#This Row],[Data Value Number]]="","",INDEX(DataColumns[ColumnLabel],MATCH(ResultColumnLabels[[#This Row],[Data Value Number]],DataColumns[DVNum],0)))</f>
        <v/>
      </c>
    </row>
    <row r="80" spans="1:2">
      <c r="A80" t="str">
        <f ca="1">IF(ROW()-1&gt;NumDataColumns,"",MAX(INDIRECT(CONCATENATE("R",ROW(ResultColumnLabels[#Headers]),"C",COLUMN(),":R",ROW()-1,"C",COLUMN()),FALSE))+1)</f>
        <v/>
      </c>
      <c r="B80" s="218" t="str">
        <f ca="1">IF(ResultColumnLabels[[#This Row],[Data Value Number]]="","",INDEX(DataColumns[ColumnLabel],MATCH(ResultColumnLabels[[#This Row],[Data Value Number]],DataColumns[DVNum],0)))</f>
        <v/>
      </c>
    </row>
    <row r="81" spans="1:2">
      <c r="A81" t="str">
        <f ca="1">IF(ROW()-1&gt;NumDataColumns,"",MAX(INDIRECT(CONCATENATE("R",ROW(ResultColumnLabels[#Headers]),"C",COLUMN(),":R",ROW()-1,"C",COLUMN()),FALSE))+1)</f>
        <v/>
      </c>
      <c r="B81" s="218" t="str">
        <f ca="1">IF(ResultColumnLabels[[#This Row],[Data Value Number]]="","",INDEX(DataColumns[ColumnLabel],MATCH(ResultColumnLabels[[#This Row],[Data Value Number]],DataColumns[DVNum],0)))</f>
        <v/>
      </c>
    </row>
    <row r="82" spans="1:2">
      <c r="A82" t="str">
        <f ca="1">IF(ROW()-1&gt;NumDataColumns,"",MAX(INDIRECT(CONCATENATE("R",ROW(ResultColumnLabels[#Headers]),"C",COLUMN(),":R",ROW()-1,"C",COLUMN()),FALSE))+1)</f>
        <v/>
      </c>
      <c r="B82" s="218" t="str">
        <f ca="1">IF(ResultColumnLabels[[#This Row],[Data Value Number]]="","",INDEX(DataColumns[ColumnLabel],MATCH(ResultColumnLabels[[#This Row],[Data Value Number]],DataColumns[DVNum],0)))</f>
        <v/>
      </c>
    </row>
    <row r="83" spans="1:2">
      <c r="A83" t="str">
        <f ca="1">IF(ROW()-1&gt;NumDataColumns,"",MAX(INDIRECT(CONCATENATE("R",ROW(ResultColumnLabels[#Headers]),"C",COLUMN(),":R",ROW()-1,"C",COLUMN()),FALSE))+1)</f>
        <v/>
      </c>
      <c r="B83" s="218" t="str">
        <f ca="1">IF(ResultColumnLabels[[#This Row],[Data Value Number]]="","",INDEX(DataColumns[ColumnLabel],MATCH(ResultColumnLabels[[#This Row],[Data Value Number]],DataColumns[DVNum],0)))</f>
        <v/>
      </c>
    </row>
    <row r="84" spans="1:2">
      <c r="A84" t="str">
        <f ca="1">IF(ROW()-1&gt;NumDataColumns,"",MAX(INDIRECT(CONCATENATE("R",ROW(ResultColumnLabels[#Headers]),"C",COLUMN(),":R",ROW()-1,"C",COLUMN()),FALSE))+1)</f>
        <v/>
      </c>
      <c r="B84" s="218" t="str">
        <f ca="1">IF(ResultColumnLabels[[#This Row],[Data Value Number]]="","",INDEX(DataColumns[ColumnLabel],MATCH(ResultColumnLabels[[#This Row],[Data Value Number]],DataColumns[DVNum],0)))</f>
        <v/>
      </c>
    </row>
    <row r="85" spans="1:2">
      <c r="A85" t="str">
        <f ca="1">IF(ROW()-1&gt;NumDataColumns,"",MAX(INDIRECT(CONCATENATE("R",ROW(ResultColumnLabels[#Headers]),"C",COLUMN(),":R",ROW()-1,"C",COLUMN()),FALSE))+1)</f>
        <v/>
      </c>
      <c r="B85" s="218" t="str">
        <f ca="1">IF(ResultColumnLabels[[#This Row],[Data Value Number]]="","",INDEX(DataColumns[ColumnLabel],MATCH(ResultColumnLabels[[#This Row],[Data Value Number]],DataColumns[DVNum],0)))</f>
        <v/>
      </c>
    </row>
    <row r="86" spans="1:2">
      <c r="A86" t="str">
        <f ca="1">IF(ROW()-1&gt;NumDataColumns,"",MAX(INDIRECT(CONCATENATE("R",ROW(ResultColumnLabels[#Headers]),"C",COLUMN(),":R",ROW()-1,"C",COLUMN()),FALSE))+1)</f>
        <v/>
      </c>
      <c r="B86" s="218" t="str">
        <f ca="1">IF(ResultColumnLabels[[#This Row],[Data Value Number]]="","",INDEX(DataColumns[ColumnLabel],MATCH(ResultColumnLabels[[#This Row],[Data Value Number]],DataColumns[DVNum],0)))</f>
        <v/>
      </c>
    </row>
    <row r="87" spans="1:2">
      <c r="A87" t="str">
        <f ca="1">IF(ROW()-1&gt;NumDataColumns,"",MAX(INDIRECT(CONCATENATE("R",ROW(ResultColumnLabels[#Headers]),"C",COLUMN(),":R",ROW()-1,"C",COLUMN()),FALSE))+1)</f>
        <v/>
      </c>
      <c r="B87" s="218" t="str">
        <f ca="1">IF(ResultColumnLabels[[#This Row],[Data Value Number]]="","",INDEX(DataColumns[ColumnLabel],MATCH(ResultColumnLabels[[#This Row],[Data Value Number]],DataColumns[DVNum],0)))</f>
        <v/>
      </c>
    </row>
    <row r="88" spans="1:2">
      <c r="A88" t="str">
        <f ca="1">IF(ROW()-1&gt;NumDataColumns,"",MAX(INDIRECT(CONCATENATE("R",ROW(ResultColumnLabels[#Headers]),"C",COLUMN(),":R",ROW()-1,"C",COLUMN()),FALSE))+1)</f>
        <v/>
      </c>
      <c r="B88" s="218" t="str">
        <f ca="1">IF(ResultColumnLabels[[#This Row],[Data Value Number]]="","",INDEX(DataColumns[ColumnLabel],MATCH(ResultColumnLabels[[#This Row],[Data Value Number]],DataColumns[DVNum],0)))</f>
        <v/>
      </c>
    </row>
    <row r="89" spans="1:2">
      <c r="A89" t="str">
        <f ca="1">IF(ROW()-1&gt;NumDataColumns,"",MAX(INDIRECT(CONCATENATE("R",ROW(ResultColumnLabels[#Headers]),"C",COLUMN(),":R",ROW()-1,"C",COLUMN()),FALSE))+1)</f>
        <v/>
      </c>
      <c r="B89" s="218" t="str">
        <f ca="1">IF(ResultColumnLabels[[#This Row],[Data Value Number]]="","",INDEX(DataColumns[ColumnLabel],MATCH(ResultColumnLabels[[#This Row],[Data Value Number]],DataColumns[DVNum],0)))</f>
        <v/>
      </c>
    </row>
    <row r="90" spans="1:2">
      <c r="A90" t="str">
        <f ca="1">IF(ROW()-1&gt;NumDataColumns,"",MAX(INDIRECT(CONCATENATE("R",ROW(ResultColumnLabels[#Headers]),"C",COLUMN(),":R",ROW()-1,"C",COLUMN()),FALSE))+1)</f>
        <v/>
      </c>
      <c r="B90" s="218" t="str">
        <f ca="1">IF(ResultColumnLabels[[#This Row],[Data Value Number]]="","",INDEX(DataColumns[ColumnLabel],MATCH(ResultColumnLabels[[#This Row],[Data Value Number]],DataColumns[DVNum],0)))</f>
        <v/>
      </c>
    </row>
    <row r="91" spans="1:2">
      <c r="A91" t="str">
        <f ca="1">IF(ROW()-1&gt;NumDataColumns,"",MAX(INDIRECT(CONCATENATE("R",ROW(ResultColumnLabels[#Headers]),"C",COLUMN(),":R",ROW()-1,"C",COLUMN()),FALSE))+1)</f>
        <v/>
      </c>
      <c r="B91" s="218" t="str">
        <f ca="1">IF(ResultColumnLabels[[#This Row],[Data Value Number]]="","",INDEX(DataColumns[ColumnLabel],MATCH(ResultColumnLabels[[#This Row],[Data Value Number]],DataColumns[DVNum],0)))</f>
        <v/>
      </c>
    </row>
    <row r="92" spans="1:2">
      <c r="A92" t="str">
        <f ca="1">IF(ROW()-1&gt;NumDataColumns,"",MAX(INDIRECT(CONCATENATE("R",ROW(ResultColumnLabels[#Headers]),"C",COLUMN(),":R",ROW()-1,"C",COLUMN()),FALSE))+1)</f>
        <v/>
      </c>
      <c r="B92" s="218" t="str">
        <f ca="1">IF(ResultColumnLabels[[#This Row],[Data Value Number]]="","",INDEX(DataColumns[ColumnLabel],MATCH(ResultColumnLabels[[#This Row],[Data Value Number]],DataColumns[DVNum],0)))</f>
        <v/>
      </c>
    </row>
    <row r="93" spans="1:2">
      <c r="A93" t="str">
        <f ca="1">IF(ROW()-1&gt;NumDataColumns,"",MAX(INDIRECT(CONCATENATE("R",ROW(ResultColumnLabels[#Headers]),"C",COLUMN(),":R",ROW()-1,"C",COLUMN()),FALSE))+1)</f>
        <v/>
      </c>
      <c r="B93" s="218" t="str">
        <f ca="1">IF(ResultColumnLabels[[#This Row],[Data Value Number]]="","",INDEX(DataColumns[ColumnLabel],MATCH(ResultColumnLabels[[#This Row],[Data Value Number]],DataColumns[DVNum],0)))</f>
        <v/>
      </c>
    </row>
    <row r="94" spans="1:2">
      <c r="A94" t="str">
        <f ca="1">IF(ROW()-1&gt;NumDataColumns,"",MAX(INDIRECT(CONCATENATE("R",ROW(ResultColumnLabels[#Headers]),"C",COLUMN(),":R",ROW()-1,"C",COLUMN()),FALSE))+1)</f>
        <v/>
      </c>
      <c r="B94" s="218" t="str">
        <f ca="1">IF(ResultColumnLabels[[#This Row],[Data Value Number]]="","",INDEX(DataColumns[ColumnLabel],MATCH(ResultColumnLabels[[#This Row],[Data Value Number]],DataColumns[DVNum],0)))</f>
        <v/>
      </c>
    </row>
    <row r="95" spans="1:2">
      <c r="A95" t="str">
        <f ca="1">IF(ROW()-1&gt;NumDataColumns,"",MAX(INDIRECT(CONCATENATE("R",ROW(ResultColumnLabels[#Headers]),"C",COLUMN(),":R",ROW()-1,"C",COLUMN()),FALSE))+1)</f>
        <v/>
      </c>
      <c r="B95" s="218" t="str">
        <f ca="1">IF(ResultColumnLabels[[#This Row],[Data Value Number]]="","",INDEX(DataColumns[ColumnLabel],MATCH(ResultColumnLabels[[#This Row],[Data Value Number]],DataColumns[DVNum],0)))</f>
        <v/>
      </c>
    </row>
    <row r="96" spans="1:2">
      <c r="A96" t="str">
        <f ca="1">IF(ROW()-1&gt;NumDataColumns,"",MAX(INDIRECT(CONCATENATE("R",ROW(ResultColumnLabels[#Headers]),"C",COLUMN(),":R",ROW()-1,"C",COLUMN()),FALSE))+1)</f>
        <v/>
      </c>
      <c r="B96" s="218" t="str">
        <f ca="1">IF(ResultColumnLabels[[#This Row],[Data Value Number]]="","",INDEX(DataColumns[ColumnLabel],MATCH(ResultColumnLabels[[#This Row],[Data Value Number]],DataColumns[DVNum],0)))</f>
        <v/>
      </c>
    </row>
    <row r="97" spans="1:2">
      <c r="A97" t="str">
        <f ca="1">IF(ROW()-1&gt;NumDataColumns,"",MAX(INDIRECT(CONCATENATE("R",ROW(ResultColumnLabels[#Headers]),"C",COLUMN(),":R",ROW()-1,"C",COLUMN()),FALSE))+1)</f>
        <v/>
      </c>
      <c r="B97" s="218" t="str">
        <f ca="1">IF(ResultColumnLabels[[#This Row],[Data Value Number]]="","",INDEX(DataColumns[ColumnLabel],MATCH(ResultColumnLabels[[#This Row],[Data Value Number]],DataColumns[DVNum],0)))</f>
        <v/>
      </c>
    </row>
    <row r="98" spans="1:2">
      <c r="A98" t="str">
        <f ca="1">IF(ROW()-1&gt;NumDataColumns,"",MAX(INDIRECT(CONCATENATE("R",ROW(ResultColumnLabels[#Headers]),"C",COLUMN(),":R",ROW()-1,"C",COLUMN()),FALSE))+1)</f>
        <v/>
      </c>
      <c r="B98" s="218" t="str">
        <f ca="1">IF(ResultColumnLabels[[#This Row],[Data Value Number]]="","",INDEX(DataColumns[ColumnLabel],MATCH(ResultColumnLabels[[#This Row],[Data Value Number]],DataColumns[DVNum],0)))</f>
        <v/>
      </c>
    </row>
    <row r="99" spans="1:2">
      <c r="A99" t="str">
        <f ca="1">IF(ROW()-1&gt;NumDataColumns,"",MAX(INDIRECT(CONCATENATE("R",ROW(ResultColumnLabels[#Headers]),"C",COLUMN(),":R",ROW()-1,"C",COLUMN()),FALSE))+1)</f>
        <v/>
      </c>
      <c r="B99" s="218" t="str">
        <f ca="1">IF(ResultColumnLabels[[#This Row],[Data Value Number]]="","",INDEX(DataColumns[ColumnLabel],MATCH(ResultColumnLabels[[#This Row],[Data Value Number]],DataColumns[DVNum],0)))</f>
        <v/>
      </c>
    </row>
    <row r="100" spans="1:2">
      <c r="A100" t="str">
        <f ca="1">IF(ROW()-1&gt;NumDataColumns,"",MAX(INDIRECT(CONCATENATE("R",ROW(ResultColumnLabels[#Headers]),"C",COLUMN(),":R",ROW()-1,"C",COLUMN()),FALSE))+1)</f>
        <v/>
      </c>
      <c r="B100" s="218" t="str">
        <f ca="1">IF(ResultColumnLabels[[#This Row],[Data Value Number]]="","",INDEX(DataColumns[ColumnLabel],MATCH(ResultColumnLabels[[#This Row],[Data Value Number]],DataColumns[DVNum],0)))</f>
        <v/>
      </c>
    </row>
    <row r="101" spans="1:2">
      <c r="A101" t="str">
        <f ca="1">IF(ROW()-1&gt;NumDataColumns,"",MAX(INDIRECT(CONCATENATE("R",ROW(ResultColumnLabels[#Headers]),"C",COLUMN(),":R",ROW()-1,"C",COLUMN()),FALSE))+1)</f>
        <v/>
      </c>
      <c r="B101" s="218" t="str">
        <f ca="1">IF(ResultColumnLabels[[#This Row],[Data Value Number]]="","",INDEX(DataColumns[ColumnLabel],MATCH(ResultColumnLabels[[#This Row],[Data Value Number]],DataColumns[DVNum],0)))</f>
        <v/>
      </c>
    </row>
    <row r="102" spans="1:2">
      <c r="A102" t="str">
        <f ca="1">IF(ROW()-1&gt;NumDataColumns,"",MAX(INDIRECT(CONCATENATE("R",ROW(ResultColumnLabels[#Headers]),"C",COLUMN(),":R",ROW()-1,"C",COLUMN()),FALSE))+1)</f>
        <v/>
      </c>
      <c r="B102" s="218" t="str">
        <f ca="1">IF(ResultColumnLabels[[#This Row],[Data Value Number]]="","",INDEX(DataColumns[ColumnLabel],MATCH(ResultColumnLabels[[#This Row],[Data Value Number]],DataColumns[DVNum],0)))</f>
        <v/>
      </c>
    </row>
    <row r="103" spans="1:2">
      <c r="A103" t="str">
        <f ca="1">IF(ROW()-1&gt;NumDataColumns,"",MAX(INDIRECT(CONCATENATE("R",ROW(ResultColumnLabels[#Headers]),"C",COLUMN(),":R",ROW()-1,"C",COLUMN()),FALSE))+1)</f>
        <v/>
      </c>
      <c r="B103" s="218" t="str">
        <f ca="1">IF(ResultColumnLabels[[#This Row],[Data Value Number]]="","",INDEX(DataColumns[ColumnLabel],MATCH(ResultColumnLabels[[#This Row],[Data Value Number]],DataColumns[DVNum],0)))</f>
        <v/>
      </c>
    </row>
    <row r="104" spans="1:2">
      <c r="A104" t="str">
        <f ca="1">IF(ROW()-1&gt;NumDataColumns,"",MAX(INDIRECT(CONCATENATE("R",ROW(ResultColumnLabels[#Headers]),"C",COLUMN(),":R",ROW()-1,"C",COLUMN()),FALSE))+1)</f>
        <v/>
      </c>
      <c r="B104" s="218" t="str">
        <f ca="1">IF(ResultColumnLabels[[#This Row],[Data Value Number]]="","",INDEX(DataColumns[ColumnLabel],MATCH(ResultColumnLabels[[#This Row],[Data Value Number]],DataColumns[DVNum],0)))</f>
        <v/>
      </c>
    </row>
    <row r="105" spans="1:2">
      <c r="A105" t="str">
        <f ca="1">IF(ROW()-1&gt;NumDataColumns,"",MAX(INDIRECT(CONCATENATE("R",ROW(ResultColumnLabels[#Headers]),"C",COLUMN(),":R",ROW()-1,"C",COLUMN()),FALSE))+1)</f>
        <v/>
      </c>
      <c r="B105" s="218" t="str">
        <f ca="1">IF(ResultColumnLabels[[#This Row],[Data Value Number]]="","",INDEX(DataColumns[ColumnLabel],MATCH(ResultColumnLabels[[#This Row],[Data Value Number]],DataColumns[DVNum],0)))</f>
        <v/>
      </c>
    </row>
    <row r="106" spans="1:2">
      <c r="A106" t="str">
        <f ca="1">IF(ROW()-1&gt;NumDataColumns,"",MAX(INDIRECT(CONCATENATE("R",ROW(ResultColumnLabels[#Headers]),"C",COLUMN(),":R",ROW()-1,"C",COLUMN()),FALSE))+1)</f>
        <v/>
      </c>
      <c r="B106" s="218" t="str">
        <f ca="1">IF(ResultColumnLabels[[#This Row],[Data Value Number]]="","",INDEX(DataColumns[ColumnLabel],MATCH(ResultColumnLabels[[#This Row],[Data Value Number]],DataColumns[DVNum],0)))</f>
        <v/>
      </c>
    </row>
    <row r="107" spans="1:2">
      <c r="A107" t="str">
        <f ca="1">IF(ROW()-1&gt;NumDataColumns,"",MAX(INDIRECT(CONCATENATE("R",ROW(ResultColumnLabels[#Headers]),"C",COLUMN(),":R",ROW()-1,"C",COLUMN()),FALSE))+1)</f>
        <v/>
      </c>
      <c r="B107" s="218" t="str">
        <f ca="1">IF(ResultColumnLabels[[#This Row],[Data Value Number]]="","",INDEX(DataColumns[ColumnLabel],MATCH(ResultColumnLabels[[#This Row],[Data Value Number]],DataColumns[DVNum],0)))</f>
        <v/>
      </c>
    </row>
    <row r="108" spans="1:2">
      <c r="A108" t="str">
        <f ca="1">IF(ROW()-1&gt;NumDataColumns,"",MAX(INDIRECT(CONCATENATE("R",ROW(ResultColumnLabels[#Headers]),"C",COLUMN(),":R",ROW()-1,"C",COLUMN()),FALSE))+1)</f>
        <v/>
      </c>
      <c r="B108" s="218" t="str">
        <f ca="1">IF(ResultColumnLabels[[#This Row],[Data Value Number]]="","",INDEX(DataColumns[ColumnLabel],MATCH(ResultColumnLabels[[#This Row],[Data Value Number]],DataColumns[DVNum],0)))</f>
        <v/>
      </c>
    </row>
    <row r="109" spans="1:2">
      <c r="A109" t="str">
        <f ca="1">IF(ROW()-1&gt;NumDataColumns,"",MAX(INDIRECT(CONCATENATE("R",ROW(ResultColumnLabels[#Headers]),"C",COLUMN(),":R",ROW()-1,"C",COLUMN()),FALSE))+1)</f>
        <v/>
      </c>
      <c r="B109" s="218" t="str">
        <f ca="1">IF(ResultColumnLabels[[#This Row],[Data Value Number]]="","",INDEX(DataColumns[ColumnLabel],MATCH(ResultColumnLabels[[#This Row],[Data Value Number]],DataColumns[DVNum],0)))</f>
        <v/>
      </c>
    </row>
    <row r="110" spans="1:2">
      <c r="A110" t="str">
        <f ca="1">IF(ROW()-1&gt;NumDataColumns,"",MAX(INDIRECT(CONCATENATE("R",ROW(ResultColumnLabels[#Headers]),"C",COLUMN(),":R",ROW()-1,"C",COLUMN()),FALSE))+1)</f>
        <v/>
      </c>
      <c r="B110" s="218" t="str">
        <f ca="1">IF(ResultColumnLabels[[#This Row],[Data Value Number]]="","",INDEX(DataColumns[ColumnLabel],MATCH(ResultColumnLabels[[#This Row],[Data Value Number]],DataColumns[DVNum],0)))</f>
        <v/>
      </c>
    </row>
    <row r="111" spans="1:2">
      <c r="A111" t="str">
        <f ca="1">IF(ROW()-1&gt;NumDataColumns,"",MAX(INDIRECT(CONCATENATE("R",ROW(ResultColumnLabels[#Headers]),"C",COLUMN(),":R",ROW()-1,"C",COLUMN()),FALSE))+1)</f>
        <v/>
      </c>
      <c r="B111" s="218" t="str">
        <f ca="1">IF(ResultColumnLabels[[#This Row],[Data Value Number]]="","",INDEX(DataColumns[ColumnLabel],MATCH(ResultColumnLabels[[#This Row],[Data Value Number]],DataColumns[DVNum],0)))</f>
        <v/>
      </c>
    </row>
    <row r="112" spans="1:2">
      <c r="A112" t="str">
        <f ca="1">IF(ROW()-1&gt;NumDataColumns,"",MAX(INDIRECT(CONCATENATE("R",ROW(ResultColumnLabels[#Headers]),"C",COLUMN(),":R",ROW()-1,"C",COLUMN()),FALSE))+1)</f>
        <v/>
      </c>
      <c r="B112" s="218" t="str">
        <f ca="1">IF(ResultColumnLabels[[#This Row],[Data Value Number]]="","",INDEX(DataColumns[ColumnLabel],MATCH(ResultColumnLabels[[#This Row],[Data Value Number]],DataColumns[DVNum],0)))</f>
        <v/>
      </c>
    </row>
    <row r="113" spans="1:2">
      <c r="A113" t="str">
        <f ca="1">IF(ROW()-1&gt;NumDataColumns,"",MAX(INDIRECT(CONCATENATE("R",ROW(ResultColumnLabels[#Headers]),"C",COLUMN(),":R",ROW()-1,"C",COLUMN()),FALSE))+1)</f>
        <v/>
      </c>
      <c r="B113" s="218" t="str">
        <f ca="1">IF(ResultColumnLabels[[#This Row],[Data Value Number]]="","",INDEX(DataColumns[ColumnLabel],MATCH(ResultColumnLabels[[#This Row],[Data Value Number]],DataColumns[DVNum],0)))</f>
        <v/>
      </c>
    </row>
    <row r="114" spans="1:2">
      <c r="A114" t="str">
        <f ca="1">IF(ROW()-1&gt;NumDataColumns,"",MAX(INDIRECT(CONCATENATE("R",ROW(ResultColumnLabels[#Headers]),"C",COLUMN(),":R",ROW()-1,"C",COLUMN()),FALSE))+1)</f>
        <v/>
      </c>
      <c r="B114" s="218" t="str">
        <f ca="1">IF(ResultColumnLabels[[#This Row],[Data Value Number]]="","",INDEX(DataColumns[ColumnLabel],MATCH(ResultColumnLabels[[#This Row],[Data Value Number]],DataColumns[DVNum],0)))</f>
        <v/>
      </c>
    </row>
    <row r="115" spans="1:2">
      <c r="A115" t="str">
        <f ca="1">IF(ROW()-1&gt;NumDataColumns,"",MAX(INDIRECT(CONCATENATE("R",ROW(ResultColumnLabels[#Headers]),"C",COLUMN(),":R",ROW()-1,"C",COLUMN()),FALSE))+1)</f>
        <v/>
      </c>
      <c r="B115" s="218" t="str">
        <f ca="1">IF(ResultColumnLabels[[#This Row],[Data Value Number]]="","",INDEX(DataColumns[ColumnLabel],MATCH(ResultColumnLabels[[#This Row],[Data Value Number]],DataColumns[DVNum],0)))</f>
        <v/>
      </c>
    </row>
    <row r="116" spans="1:2">
      <c r="A116" t="str">
        <f ca="1">IF(ROW()-1&gt;NumDataColumns,"",MAX(INDIRECT(CONCATENATE("R",ROW(ResultColumnLabels[#Headers]),"C",COLUMN(),":R",ROW()-1,"C",COLUMN()),FALSE))+1)</f>
        <v/>
      </c>
      <c r="B116" s="218" t="str">
        <f ca="1">IF(ResultColumnLabels[[#This Row],[Data Value Number]]="","",INDEX(DataColumns[ColumnLabel],MATCH(ResultColumnLabels[[#This Row],[Data Value Number]],DataColumns[DVNum],0)))</f>
        <v/>
      </c>
    </row>
    <row r="117" spans="1:2">
      <c r="A117" s="218" t="str">
        <f ca="1">IF(ROW()-1&gt;NumDataColumns,"",MAX(INDIRECT(CONCATENATE("R",ROW(ResultColumnLabels[#Headers]),"C",COLUMN(),":R",ROW()-1,"C",COLUMN()),FALSE))+1)</f>
        <v/>
      </c>
      <c r="B117" s="218" t="str">
        <f ca="1">IF(ResultColumnLabels[[#This Row],[Data Value Number]]="","",INDEX(DataColumns[ColumnLabel],MATCH(ResultColumnLabels[[#This Row],[Data Value Number]],DataColumns[DVNum],0)))</f>
        <v/>
      </c>
    </row>
    <row r="118" spans="1:2">
      <c r="A118" s="218" t="str">
        <f ca="1">IF(ROW()-1&gt;NumDataColumns,"",MAX(INDIRECT(CONCATENATE("R",ROW(ResultColumnLabels[#Headers]),"C",COLUMN(),":R",ROW()-1,"C",COLUMN()),FALSE))+1)</f>
        <v/>
      </c>
      <c r="B118" s="218" t="str">
        <f ca="1">IF(ResultColumnLabels[[#This Row],[Data Value Number]]="","",INDEX(DataColumns[ColumnLabel],MATCH(ResultColumnLabels[[#This Row],[Data Value Number]],DataColumns[DVNum],0)))</f>
        <v/>
      </c>
    </row>
    <row r="119" spans="1:2">
      <c r="A119" s="218" t="str">
        <f ca="1">IF(ROW()-1&gt;NumDataColumns,"",MAX(INDIRECT(CONCATENATE("R",ROW(ResultColumnLabels[#Headers]),"C",COLUMN(),":R",ROW()-1,"C",COLUMN()),FALSE))+1)</f>
        <v/>
      </c>
      <c r="B119" s="218" t="str">
        <f ca="1">IF(ResultColumnLabels[[#This Row],[Data Value Number]]="","",INDEX(DataColumns[ColumnLabel],MATCH(ResultColumnLabels[[#This Row],[Data Value Number]],DataColumns[DVNum],0)))</f>
        <v/>
      </c>
    </row>
    <row r="120" spans="1:2">
      <c r="A120" s="218" t="str">
        <f ca="1">IF(ROW()-1&gt;NumDataColumns,"",MAX(INDIRECT(CONCATENATE("R",ROW(ResultColumnLabels[#Headers]),"C",COLUMN(),":R",ROW()-1,"C",COLUMN()),FALSE))+1)</f>
        <v/>
      </c>
      <c r="B120" s="218" t="str">
        <f ca="1">IF(ResultColumnLabels[[#This Row],[Data Value Number]]="","",INDEX(DataColumns[ColumnLabel],MATCH(ResultColumnLabels[[#This Row],[Data Value Number]],DataColumns[DVNum],0)))</f>
        <v/>
      </c>
    </row>
    <row r="121" spans="1:2">
      <c r="A121" s="218" t="str">
        <f ca="1">IF(ROW()-1&gt;NumDataColumns,"",MAX(INDIRECT(CONCATENATE("R",ROW(ResultColumnLabels[#Headers]),"C",COLUMN(),":R",ROW()-1,"C",COLUMN()),FALSE))+1)</f>
        <v/>
      </c>
      <c r="B121" s="218" t="str">
        <f ca="1">IF(ResultColumnLabels[[#This Row],[Data Value Number]]="","",INDEX(DataColumns[ColumnLabel],MATCH(ResultColumnLabels[[#This Row],[Data Value Number]],DataColumns[DVNum],0)))</f>
        <v/>
      </c>
    </row>
    <row r="122" spans="1:2">
      <c r="A122" s="218" t="str">
        <f ca="1">IF(ROW()-1&gt;NumDataColumns,"",MAX(INDIRECT(CONCATENATE("R",ROW(ResultColumnLabels[#Headers]),"C",COLUMN(),":R",ROW()-1,"C",COLUMN()),FALSE))+1)</f>
        <v/>
      </c>
      <c r="B122" s="218" t="str">
        <f ca="1">IF(ResultColumnLabels[[#This Row],[Data Value Number]]="","",INDEX(DataColumns[ColumnLabel],MATCH(ResultColumnLabels[[#This Row],[Data Value Number]],DataColumns[DVNum],0)))</f>
        <v/>
      </c>
    </row>
    <row r="123" spans="1:2">
      <c r="A123" s="218" t="str">
        <f ca="1">IF(ROW()-1&gt;NumDataColumns,"",MAX(INDIRECT(CONCATENATE("R",ROW(ResultColumnLabels[#Headers]),"C",COLUMN(),":R",ROW()-1,"C",COLUMN()),FALSE))+1)</f>
        <v/>
      </c>
      <c r="B123" s="218" t="str">
        <f ca="1">IF(ResultColumnLabels[[#This Row],[Data Value Number]]="","",INDEX(DataColumns[ColumnLabel],MATCH(ResultColumnLabels[[#This Row],[Data Value Number]],DataColumns[DVNum],0)))</f>
        <v/>
      </c>
    </row>
    <row r="124" spans="1:2">
      <c r="A124" s="218" t="str">
        <f ca="1">IF(ROW()-1&gt;NumDataColumns,"",MAX(INDIRECT(CONCATENATE("R",ROW(ResultColumnLabels[#Headers]),"C",COLUMN(),":R",ROW()-1,"C",COLUMN()),FALSE))+1)</f>
        <v/>
      </c>
      <c r="B124" s="218" t="str">
        <f ca="1">IF(ResultColumnLabels[[#This Row],[Data Value Number]]="","",INDEX(DataColumns[ColumnLabel],MATCH(ResultColumnLabels[[#This Row],[Data Value Number]],DataColumns[DVNum],0)))</f>
        <v/>
      </c>
    </row>
    <row r="125" spans="1:2">
      <c r="A125" s="218" t="str">
        <f ca="1">IF(ROW()-1&gt;NumDataColumns,"",MAX(INDIRECT(CONCATENATE("R",ROW(ResultColumnLabels[#Headers]),"C",COLUMN(),":R",ROW()-1,"C",COLUMN()),FALSE))+1)</f>
        <v/>
      </c>
      <c r="B125" s="218" t="str">
        <f ca="1">IF(ResultColumnLabels[[#This Row],[Data Value Number]]="","",INDEX(DataColumns[ColumnLabel],MATCH(ResultColumnLabels[[#This Row],[Data Value Number]],DataColumns[DVNum],0)))</f>
        <v/>
      </c>
    </row>
    <row r="126" spans="1:2">
      <c r="A126" s="218" t="str">
        <f ca="1">IF(ROW()-1&gt;NumDataColumns,"",MAX(INDIRECT(CONCATENATE("R",ROW(ResultColumnLabels[#Headers]),"C",COLUMN(),":R",ROW()-1,"C",COLUMN()),FALSE))+1)</f>
        <v/>
      </c>
      <c r="B126" s="218" t="str">
        <f ca="1">IF(ResultColumnLabels[[#This Row],[Data Value Number]]="","",INDEX(DataColumns[ColumnLabel],MATCH(ResultColumnLabels[[#This Row],[Data Value Number]],DataColumns[DVNum],0)))</f>
        <v/>
      </c>
    </row>
    <row r="127" spans="1:2">
      <c r="A127" s="218" t="str">
        <f ca="1">IF(ROW()-1&gt;NumDataColumns,"",MAX(INDIRECT(CONCATENATE("R",ROW(ResultColumnLabels[#Headers]),"C",COLUMN(),":R",ROW()-1,"C",COLUMN()),FALSE))+1)</f>
        <v/>
      </c>
      <c r="B127" s="218" t="str">
        <f ca="1">IF(ResultColumnLabels[[#This Row],[Data Value Number]]="","",INDEX(DataColumns[ColumnLabel],MATCH(ResultColumnLabels[[#This Row],[Data Value Number]],DataColumns[DVNum],0)))</f>
        <v/>
      </c>
    </row>
    <row r="128" spans="1:2">
      <c r="A128" s="218" t="str">
        <f ca="1">IF(ROW()-1&gt;NumDataColumns,"",MAX(INDIRECT(CONCATENATE("R",ROW(ResultColumnLabels[#Headers]),"C",COLUMN(),":R",ROW()-1,"C",COLUMN()),FALSE))+1)</f>
        <v/>
      </c>
      <c r="B128" s="218" t="str">
        <f ca="1">IF(ResultColumnLabels[[#This Row],[Data Value Number]]="","",INDEX(DataColumns[ColumnLabel],MATCH(ResultColumnLabels[[#This Row],[Data Value Number]],DataColumns[DVNum],0)))</f>
        <v/>
      </c>
    </row>
    <row r="129" spans="1:2">
      <c r="A129" s="218" t="str">
        <f ca="1">IF(ROW()-1&gt;NumDataColumns,"",MAX(INDIRECT(CONCATENATE("R",ROW(ResultColumnLabels[#Headers]),"C",COLUMN(),":R",ROW()-1,"C",COLUMN()),FALSE))+1)</f>
        <v/>
      </c>
      <c r="B129" s="218" t="str">
        <f ca="1">IF(ResultColumnLabels[[#This Row],[Data Value Number]]="","",INDEX(DataColumns[ColumnLabel],MATCH(ResultColumnLabels[[#This Row],[Data Value Number]],DataColumns[DVNum],0)))</f>
        <v/>
      </c>
    </row>
    <row r="130" spans="1:2">
      <c r="A130" s="218" t="str">
        <f ca="1">IF(ROW()-1&gt;NumDataColumns,"",MAX(INDIRECT(CONCATENATE("R",ROW(ResultColumnLabels[#Headers]),"C",COLUMN(),":R",ROW()-1,"C",COLUMN()),FALSE))+1)</f>
        <v/>
      </c>
      <c r="B130" s="218" t="str">
        <f ca="1">IF(ResultColumnLabels[[#This Row],[Data Value Number]]="","",INDEX(DataColumns[ColumnLabel],MATCH(ResultColumnLabels[[#This Row],[Data Value Number]],DataColumns[DVNum],0)))</f>
        <v/>
      </c>
    </row>
    <row r="131" spans="1:2">
      <c r="A131" s="218" t="str">
        <f ca="1">IF(ROW()-1&gt;NumDataColumns,"",MAX(INDIRECT(CONCATENATE("R",ROW(ResultColumnLabels[#Headers]),"C",COLUMN(),":R",ROW()-1,"C",COLUMN()),FALSE))+1)</f>
        <v/>
      </c>
      <c r="B131" s="218" t="str">
        <f ca="1">IF(ResultColumnLabels[[#This Row],[Data Value Number]]="","",INDEX(DataColumns[ColumnLabel],MATCH(ResultColumnLabels[[#This Row],[Data Value Number]],DataColumns[DVNum],0)))</f>
        <v/>
      </c>
    </row>
    <row r="132" spans="1:2">
      <c r="A132" s="218" t="str">
        <f ca="1">IF(ROW()-1&gt;NumDataColumns,"",MAX(INDIRECT(CONCATENATE("R",ROW(ResultColumnLabels[#Headers]),"C",COLUMN(),":R",ROW()-1,"C",COLUMN()),FALSE))+1)</f>
        <v/>
      </c>
      <c r="B132" s="218" t="str">
        <f ca="1">IF(ResultColumnLabels[[#This Row],[Data Value Number]]="","",INDEX(DataColumns[ColumnLabel],MATCH(ResultColumnLabels[[#This Row],[Data Value Number]],DataColumns[DVNum],0)))</f>
        <v/>
      </c>
    </row>
    <row r="133" spans="1:2">
      <c r="A133" s="218" t="str">
        <f ca="1">IF(ROW()-1&gt;NumDataColumns,"",MAX(INDIRECT(CONCATENATE("R",ROW(ResultColumnLabels[#Headers]),"C",COLUMN(),":R",ROW()-1,"C",COLUMN()),FALSE))+1)</f>
        <v/>
      </c>
      <c r="B133" s="218" t="str">
        <f ca="1">IF(ResultColumnLabels[[#This Row],[Data Value Number]]="","",INDEX(DataColumns[ColumnLabel],MATCH(ResultColumnLabels[[#This Row],[Data Value Number]],DataColumns[DVNum],0)))</f>
        <v/>
      </c>
    </row>
    <row r="134" spans="1:2">
      <c r="A134" s="218" t="str">
        <f ca="1">IF(ROW()-1&gt;NumDataColumns,"",MAX(INDIRECT(CONCATENATE("R",ROW(ResultColumnLabels[#Headers]),"C",COLUMN(),":R",ROW()-1,"C",COLUMN()),FALSE))+1)</f>
        <v/>
      </c>
      <c r="B134" s="218" t="str">
        <f ca="1">IF(ResultColumnLabels[[#This Row],[Data Value Number]]="","",INDEX(DataColumns[ColumnLabel],MATCH(ResultColumnLabels[[#This Row],[Data Value Number]],DataColumns[DVNum],0)))</f>
        <v/>
      </c>
    </row>
    <row r="135" spans="1:2">
      <c r="A135" s="218" t="str">
        <f ca="1">IF(ROW()-1&gt;NumDataColumns,"",MAX(INDIRECT(CONCATENATE("R",ROW(ResultColumnLabels[#Headers]),"C",COLUMN(),":R",ROW()-1,"C",COLUMN()),FALSE))+1)</f>
        <v/>
      </c>
      <c r="B135" s="218" t="str">
        <f ca="1">IF(ResultColumnLabels[[#This Row],[Data Value Number]]="","",INDEX(DataColumns[ColumnLabel],MATCH(ResultColumnLabels[[#This Row],[Data Value Number]],DataColumns[DVNum],0)))</f>
        <v/>
      </c>
    </row>
    <row r="136" spans="1:2">
      <c r="A136" s="218" t="str">
        <f ca="1">IF(ROW()-1&gt;NumDataColumns,"",MAX(INDIRECT(CONCATENATE("R",ROW(ResultColumnLabels[#Headers]),"C",COLUMN(),":R",ROW()-1,"C",COLUMN()),FALSE))+1)</f>
        <v/>
      </c>
      <c r="B136" s="218" t="str">
        <f ca="1">IF(ResultColumnLabels[[#This Row],[Data Value Number]]="","",INDEX(DataColumns[ColumnLabel],MATCH(ResultColumnLabels[[#This Row],[Data Value Number]],DataColumns[DVNum],0)))</f>
        <v/>
      </c>
    </row>
    <row r="137" spans="1:2">
      <c r="A137" s="218" t="str">
        <f ca="1">IF(ROW()-1&gt;NumDataColumns,"",MAX(INDIRECT(CONCATENATE("R",ROW(ResultColumnLabels[#Headers]),"C",COLUMN(),":R",ROW()-1,"C",COLUMN()),FALSE))+1)</f>
        <v/>
      </c>
      <c r="B137" s="218" t="str">
        <f ca="1">IF(ResultColumnLabels[[#This Row],[Data Value Number]]="","",INDEX(DataColumns[ColumnLabel],MATCH(ResultColumnLabels[[#This Row],[Data Value Number]],DataColumns[DVNum],0)))</f>
        <v/>
      </c>
    </row>
    <row r="138" spans="1:2">
      <c r="A138" s="218" t="str">
        <f ca="1">IF(ROW()-1&gt;NumDataColumns,"",MAX(INDIRECT(CONCATENATE("R",ROW(ResultColumnLabels[#Headers]),"C",COLUMN(),":R",ROW()-1,"C",COLUMN()),FALSE))+1)</f>
        <v/>
      </c>
      <c r="B138" s="218" t="str">
        <f ca="1">IF(ResultColumnLabels[[#This Row],[Data Value Number]]="","",INDEX(DataColumns[ColumnLabel],MATCH(ResultColumnLabels[[#This Row],[Data Value Number]],DataColumns[DVNum],0)))</f>
        <v/>
      </c>
    </row>
    <row r="139" spans="1:2">
      <c r="A139" s="218" t="str">
        <f ca="1">IF(ROW()-1&gt;NumDataColumns,"",MAX(INDIRECT(CONCATENATE("R",ROW(ResultColumnLabels[#Headers]),"C",COLUMN(),":R",ROW()-1,"C",COLUMN()),FALSE))+1)</f>
        <v/>
      </c>
      <c r="B139" s="218" t="str">
        <f ca="1">IF(ResultColumnLabels[[#This Row],[Data Value Number]]="","",INDEX(DataColumns[ColumnLabel],MATCH(ResultColumnLabels[[#This Row],[Data Value Number]],DataColumns[DVNum],0)))</f>
        <v/>
      </c>
    </row>
    <row r="140" spans="1:2">
      <c r="A140" s="218" t="str">
        <f ca="1">IF(ROW()-1&gt;NumDataColumns,"",MAX(INDIRECT(CONCATENATE("R",ROW(ResultColumnLabels[#Headers]),"C",COLUMN(),":R",ROW()-1,"C",COLUMN()),FALSE))+1)</f>
        <v/>
      </c>
      <c r="B140" s="218" t="str">
        <f ca="1">IF(ResultColumnLabels[[#This Row],[Data Value Number]]="","",INDEX(DataColumns[ColumnLabel],MATCH(ResultColumnLabels[[#This Row],[Data Value Number]],DataColumns[DVNum],0)))</f>
        <v/>
      </c>
    </row>
    <row r="141" spans="1:2">
      <c r="A141" s="218" t="str">
        <f ca="1">IF(ROW()-1&gt;NumDataColumns,"",MAX(INDIRECT(CONCATENATE("R",ROW(ResultColumnLabels[#Headers]),"C",COLUMN(),":R",ROW()-1,"C",COLUMN()),FALSE))+1)</f>
        <v/>
      </c>
      <c r="B141" s="218" t="str">
        <f ca="1">IF(ResultColumnLabels[[#This Row],[Data Value Number]]="","",INDEX(DataColumns[ColumnLabel],MATCH(ResultColumnLabels[[#This Row],[Data Value Number]],DataColumns[DVNum],0)))</f>
        <v/>
      </c>
    </row>
    <row r="142" spans="1:2">
      <c r="A142" s="218" t="str">
        <f ca="1">IF(ROW()-1&gt;NumDataColumns,"",MAX(INDIRECT(CONCATENATE("R",ROW(ResultColumnLabels[#Headers]),"C",COLUMN(),":R",ROW()-1,"C",COLUMN()),FALSE))+1)</f>
        <v/>
      </c>
      <c r="B142" s="218" t="str">
        <f ca="1">IF(ResultColumnLabels[[#This Row],[Data Value Number]]="","",INDEX(DataColumns[ColumnLabel],MATCH(ResultColumnLabels[[#This Row],[Data Value Number]],DataColumns[DVNum],0)))</f>
        <v/>
      </c>
    </row>
    <row r="143" spans="1:2">
      <c r="A143" s="218" t="str">
        <f ca="1">IF(ROW()-1&gt;NumDataColumns,"",MAX(INDIRECT(CONCATENATE("R",ROW(ResultColumnLabels[#Headers]),"C",COLUMN(),":R",ROW()-1,"C",COLUMN()),FALSE))+1)</f>
        <v/>
      </c>
      <c r="B143" s="218" t="str">
        <f ca="1">IF(ResultColumnLabels[[#This Row],[Data Value Number]]="","",INDEX(DataColumns[ColumnLabel],MATCH(ResultColumnLabels[[#This Row],[Data Value Number]],DataColumns[DVNum],0)))</f>
        <v/>
      </c>
    </row>
    <row r="144" spans="1:2">
      <c r="A144" s="218" t="str">
        <f ca="1">IF(ROW()-1&gt;NumDataColumns,"",MAX(INDIRECT(CONCATENATE("R",ROW(ResultColumnLabels[#Headers]),"C",COLUMN(),":R",ROW()-1,"C",COLUMN()),FALSE))+1)</f>
        <v/>
      </c>
      <c r="B144" s="218" t="str">
        <f ca="1">IF(ResultColumnLabels[[#This Row],[Data Value Number]]="","",INDEX(DataColumns[ColumnLabel],MATCH(ResultColumnLabels[[#This Row],[Data Value Number]],DataColumns[DVNum],0)))</f>
        <v/>
      </c>
    </row>
    <row r="145" spans="1:2">
      <c r="A145" s="218" t="str">
        <f ca="1">IF(ROW()-1&gt;NumDataColumns,"",MAX(INDIRECT(CONCATENATE("R",ROW(ResultColumnLabels[#Headers]),"C",COLUMN(),":R",ROW()-1,"C",COLUMN()),FALSE))+1)</f>
        <v/>
      </c>
      <c r="B145" s="218" t="str">
        <f ca="1">IF(ResultColumnLabels[[#This Row],[Data Value Number]]="","",INDEX(DataColumns[ColumnLabel],MATCH(ResultColumnLabels[[#This Row],[Data Value Number]],DataColumns[DVNum],0)))</f>
        <v/>
      </c>
    </row>
    <row r="146" spans="1:2">
      <c r="A146" s="218" t="str">
        <f ca="1">IF(ROW()-1&gt;NumDataColumns,"",MAX(INDIRECT(CONCATENATE("R",ROW(ResultColumnLabels[#Headers]),"C",COLUMN(),":R",ROW()-1,"C",COLUMN()),FALSE))+1)</f>
        <v/>
      </c>
      <c r="B146" s="218" t="str">
        <f ca="1">IF(ResultColumnLabels[[#This Row],[Data Value Number]]="","",INDEX(DataColumns[ColumnLabel],MATCH(ResultColumnLabels[[#This Row],[Data Value Number]],DataColumns[DVNum],0)))</f>
        <v/>
      </c>
    </row>
    <row r="147" spans="1:2">
      <c r="A147" s="218" t="str">
        <f ca="1">IF(ROW()-1&gt;NumDataColumns,"",MAX(INDIRECT(CONCATENATE("R",ROW(ResultColumnLabels[#Headers]),"C",COLUMN(),":R",ROW()-1,"C",COLUMN()),FALSE))+1)</f>
        <v/>
      </c>
      <c r="B147" s="218" t="str">
        <f ca="1">IF(ResultColumnLabels[[#This Row],[Data Value Number]]="","",INDEX(DataColumns[ColumnLabel],MATCH(ResultColumnLabels[[#This Row],[Data Value Number]],DataColumns[DVNum],0)))</f>
        <v/>
      </c>
    </row>
    <row r="148" spans="1:2">
      <c r="A148" s="218" t="str">
        <f ca="1">IF(ROW()-1&gt;NumDataColumns,"",MAX(INDIRECT(CONCATENATE("R",ROW(ResultColumnLabels[#Headers]),"C",COLUMN(),":R",ROW()-1,"C",COLUMN()),FALSE))+1)</f>
        <v/>
      </c>
      <c r="B148" s="218" t="str">
        <f ca="1">IF(ResultColumnLabels[[#This Row],[Data Value Number]]="","",INDEX(DataColumns[ColumnLabel],MATCH(ResultColumnLabels[[#This Row],[Data Value Number]],DataColumns[DVNum],0)))</f>
        <v/>
      </c>
    </row>
    <row r="149" spans="1:2">
      <c r="A149" s="218" t="str">
        <f ca="1">IF(ROW()-1&gt;NumDataColumns,"",MAX(INDIRECT(CONCATENATE("R",ROW(ResultColumnLabels[#Headers]),"C",COLUMN(),":R",ROW()-1,"C",COLUMN()),FALSE))+1)</f>
        <v/>
      </c>
      <c r="B149" s="218" t="str">
        <f ca="1">IF(ResultColumnLabels[[#This Row],[Data Value Number]]="","",INDEX(DataColumns[ColumnLabel],MATCH(ResultColumnLabels[[#This Row],[Data Value Number]],DataColumns[DVNum],0)))</f>
        <v/>
      </c>
    </row>
    <row r="150" spans="1:2">
      <c r="A150" s="218" t="str">
        <f ca="1">IF(ROW()-1&gt;NumDataColumns,"",MAX(INDIRECT(CONCATENATE("R",ROW(ResultColumnLabels[#Headers]),"C",COLUMN(),":R",ROW()-1,"C",COLUMN()),FALSE))+1)</f>
        <v/>
      </c>
      <c r="B150" s="218" t="str">
        <f ca="1">IF(ResultColumnLabels[[#This Row],[Data Value Number]]="","",INDEX(DataColumns[ColumnLabel],MATCH(ResultColumnLabels[[#This Row],[Data Value Number]],DataColumns[DVNum],0)))</f>
        <v/>
      </c>
    </row>
    <row r="151" spans="1:2">
      <c r="A151" s="218" t="str">
        <f ca="1">IF(ROW()-1&gt;NumDataColumns,"",MAX(INDIRECT(CONCATENATE("R",ROW(ResultColumnLabels[#Headers]),"C",COLUMN(),":R",ROW()-1,"C",COLUMN()),FALSE))+1)</f>
        <v/>
      </c>
      <c r="B151" s="218" t="str">
        <f ca="1">IF(ResultColumnLabels[[#This Row],[Data Value Number]]="","",INDEX(DataColumns[ColumnLabel],MATCH(ResultColumnLabels[[#This Row],[Data Value Number]],DataColumns[DVNum],0)))</f>
        <v/>
      </c>
    </row>
    <row r="152" spans="1:2">
      <c r="A152" s="218" t="str">
        <f ca="1">IF(ROW()-1&gt;NumDataColumns,"",MAX(INDIRECT(CONCATENATE("R",ROW(ResultColumnLabels[#Headers]),"C",COLUMN(),":R",ROW()-1,"C",COLUMN()),FALSE))+1)</f>
        <v/>
      </c>
      <c r="B152" s="218" t="str">
        <f ca="1">IF(ResultColumnLabels[[#This Row],[Data Value Number]]="","",INDEX(DataColumns[ColumnLabel],MATCH(ResultColumnLabels[[#This Row],[Data Value Number]],DataColumns[DVNum],0)))</f>
        <v/>
      </c>
    </row>
    <row r="153" spans="1:2">
      <c r="A153" s="218" t="str">
        <f ca="1">IF(ROW()-1&gt;NumDataColumns,"",MAX(INDIRECT(CONCATENATE("R",ROW(ResultColumnLabels[#Headers]),"C",COLUMN(),":R",ROW()-1,"C",COLUMN()),FALSE))+1)</f>
        <v/>
      </c>
      <c r="B153" s="218" t="str">
        <f ca="1">IF(ResultColumnLabels[[#This Row],[Data Value Number]]="","",INDEX(DataColumns[ColumnLabel],MATCH(ResultColumnLabels[[#This Row],[Data Value Number]],DataColumns[DVNum],0)))</f>
        <v/>
      </c>
    </row>
    <row r="154" spans="1:2">
      <c r="A154" s="218" t="str">
        <f ca="1">IF(ROW()-1&gt;NumDataColumns,"",MAX(INDIRECT(CONCATENATE("R",ROW(ResultColumnLabels[#Headers]),"C",COLUMN(),":R",ROW()-1,"C",COLUMN()),FALSE))+1)</f>
        <v/>
      </c>
      <c r="B154" s="218" t="str">
        <f ca="1">IF(ResultColumnLabels[[#This Row],[Data Value Number]]="","",INDEX(DataColumns[ColumnLabel],MATCH(ResultColumnLabels[[#This Row],[Data Value Number]],DataColumns[DVNum],0)))</f>
        <v/>
      </c>
    </row>
    <row r="155" spans="1:2">
      <c r="A155" s="218" t="str">
        <f ca="1">IF(ROW()-1&gt;NumDataColumns,"",MAX(INDIRECT(CONCATENATE("R",ROW(ResultColumnLabels[#Headers]),"C",COLUMN(),":R",ROW()-1,"C",COLUMN()),FALSE))+1)</f>
        <v/>
      </c>
      <c r="B155" s="218" t="str">
        <f ca="1">IF(ResultColumnLabels[[#This Row],[Data Value Number]]="","",INDEX(DataColumns[ColumnLabel],MATCH(ResultColumnLabels[[#This Row],[Data Value Number]],DataColumns[DVNum],0)))</f>
        <v/>
      </c>
    </row>
    <row r="156" spans="1:2">
      <c r="A156" s="218" t="str">
        <f ca="1">IF(ROW()-1&gt;NumDataColumns,"",MAX(INDIRECT(CONCATENATE("R",ROW(ResultColumnLabels[#Headers]),"C",COLUMN(),":R",ROW()-1,"C",COLUMN()),FALSE))+1)</f>
        <v/>
      </c>
      <c r="B156" s="218" t="str">
        <f ca="1">IF(ResultColumnLabels[[#This Row],[Data Value Number]]="","",INDEX(DataColumns[ColumnLabel],MATCH(ResultColumnLabels[[#This Row],[Data Value Number]],DataColumns[DVNum],0)))</f>
        <v/>
      </c>
    </row>
    <row r="157" spans="1:2">
      <c r="A157" s="218" t="str">
        <f ca="1">IF(ROW()-1&gt;NumDataColumns,"",MAX(INDIRECT(CONCATENATE("R",ROW(ResultColumnLabels[#Headers]),"C",COLUMN(),":R",ROW()-1,"C",COLUMN()),FALSE))+1)</f>
        <v/>
      </c>
      <c r="B157" s="218" t="str">
        <f ca="1">IF(ResultColumnLabels[[#This Row],[Data Value Number]]="","",INDEX(DataColumns[ColumnLabel],MATCH(ResultColumnLabels[[#This Row],[Data Value Number]],DataColumns[DVNum],0)))</f>
        <v/>
      </c>
    </row>
    <row r="158" spans="1:2">
      <c r="A158" s="218" t="str">
        <f ca="1">IF(ROW()-1&gt;NumDataColumns,"",MAX(INDIRECT(CONCATENATE("R",ROW(ResultColumnLabels[#Headers]),"C",COLUMN(),":R",ROW()-1,"C",COLUMN()),FALSE))+1)</f>
        <v/>
      </c>
      <c r="B158" s="218" t="str">
        <f ca="1">IF(ResultColumnLabels[[#This Row],[Data Value Number]]="","",INDEX(DataColumns[ColumnLabel],MATCH(ResultColumnLabels[[#This Row],[Data Value Number]],DataColumns[DVNum],0)))</f>
        <v/>
      </c>
    </row>
    <row r="159" spans="1:2">
      <c r="A159" s="218" t="str">
        <f ca="1">IF(ROW()-1&gt;NumDataColumns,"",MAX(INDIRECT(CONCATENATE("R",ROW(ResultColumnLabels[#Headers]),"C",COLUMN(),":R",ROW()-1,"C",COLUMN()),FALSE))+1)</f>
        <v/>
      </c>
      <c r="B159" s="218" t="str">
        <f ca="1">IF(ResultColumnLabels[[#This Row],[Data Value Number]]="","",INDEX(DataColumns[ColumnLabel],MATCH(ResultColumnLabels[[#This Row],[Data Value Number]],DataColumns[DVNum],0)))</f>
        <v/>
      </c>
    </row>
    <row r="160" spans="1:2">
      <c r="A160" s="218" t="str">
        <f ca="1">IF(ROW()-1&gt;NumDataColumns,"",MAX(INDIRECT(CONCATENATE("R",ROW(ResultColumnLabels[#Headers]),"C",COLUMN(),":R",ROW()-1,"C",COLUMN()),FALSE))+1)</f>
        <v/>
      </c>
      <c r="B160" s="218" t="str">
        <f ca="1">IF(ResultColumnLabels[[#This Row],[Data Value Number]]="","",INDEX(DataColumns[ColumnLabel],MATCH(ResultColumnLabels[[#This Row],[Data Value Number]],DataColumns[DVNum],0)))</f>
        <v/>
      </c>
    </row>
    <row r="161" spans="1:2">
      <c r="A161" s="218" t="str">
        <f ca="1">IF(ROW()-1&gt;NumDataColumns,"",MAX(INDIRECT(CONCATENATE("R",ROW(ResultColumnLabels[#Headers]),"C",COLUMN(),":R",ROW()-1,"C",COLUMN()),FALSE))+1)</f>
        <v/>
      </c>
      <c r="B161" s="218" t="str">
        <f ca="1">IF(ResultColumnLabels[[#This Row],[Data Value Number]]="","",INDEX(DataColumns[ColumnLabel],MATCH(ResultColumnLabels[[#This Row],[Data Value Number]],DataColumns[DVNum],0)))</f>
        <v/>
      </c>
    </row>
    <row r="162" spans="1:2">
      <c r="A162" s="218" t="str">
        <f ca="1">IF(ROW()-1&gt;NumDataColumns,"",MAX(INDIRECT(CONCATENATE("R",ROW(ResultColumnLabels[#Headers]),"C",COLUMN(),":R",ROW()-1,"C",COLUMN()),FALSE))+1)</f>
        <v/>
      </c>
      <c r="B162" s="218" t="str">
        <f ca="1">IF(ResultColumnLabels[[#This Row],[Data Value Number]]="","",INDEX(DataColumns[ColumnLabel],MATCH(ResultColumnLabels[[#This Row],[Data Value Number]],DataColumns[DVNum],0)))</f>
        <v/>
      </c>
    </row>
    <row r="163" spans="1:2">
      <c r="A163" s="218" t="str">
        <f ca="1">IF(ROW()-1&gt;NumDataColumns,"",MAX(INDIRECT(CONCATENATE("R",ROW(ResultColumnLabels[#Headers]),"C",COLUMN(),":R",ROW()-1,"C",COLUMN()),FALSE))+1)</f>
        <v/>
      </c>
      <c r="B163" s="218" t="str">
        <f ca="1">IF(ResultColumnLabels[[#This Row],[Data Value Number]]="","",INDEX(DataColumns[ColumnLabel],MATCH(ResultColumnLabels[[#This Row],[Data Value Number]],DataColumns[DVNum],0)))</f>
        <v/>
      </c>
    </row>
    <row r="164" spans="1:2">
      <c r="A164" s="218" t="str">
        <f ca="1">IF(ROW()-1&gt;NumDataColumns,"",MAX(INDIRECT(CONCATENATE("R",ROW(ResultColumnLabels[#Headers]),"C",COLUMN(),":R",ROW()-1,"C",COLUMN()),FALSE))+1)</f>
        <v/>
      </c>
      <c r="B164" s="218" t="str">
        <f ca="1">IF(ResultColumnLabels[[#This Row],[Data Value Number]]="","",INDEX(DataColumns[ColumnLabel],MATCH(ResultColumnLabels[[#This Row],[Data Value Number]],DataColumns[DVNum],0)))</f>
        <v/>
      </c>
    </row>
    <row r="165" spans="1:2">
      <c r="A165" s="218" t="str">
        <f ca="1">IF(ROW()-1&gt;NumDataColumns,"",MAX(INDIRECT(CONCATENATE("R",ROW(ResultColumnLabels[#Headers]),"C",COLUMN(),":R",ROW()-1,"C",COLUMN()),FALSE))+1)</f>
        <v/>
      </c>
      <c r="B165" s="218" t="str">
        <f ca="1">IF(ResultColumnLabels[[#This Row],[Data Value Number]]="","",INDEX(DataColumns[ColumnLabel],MATCH(ResultColumnLabels[[#This Row],[Data Value Number]],DataColumns[DVNum],0)))</f>
        <v/>
      </c>
    </row>
    <row r="166" spans="1:2">
      <c r="A166" s="218" t="str">
        <f ca="1">IF(ROW()-1&gt;NumDataColumns,"",MAX(INDIRECT(CONCATENATE("R",ROW(ResultColumnLabels[#Headers]),"C",COLUMN(),":R",ROW()-1,"C",COLUMN()),FALSE))+1)</f>
        <v/>
      </c>
      <c r="B166" s="218" t="str">
        <f ca="1">IF(ResultColumnLabels[[#This Row],[Data Value Number]]="","",INDEX(DataColumns[ColumnLabel],MATCH(ResultColumnLabels[[#This Row],[Data Value Number]],DataColumns[DVNum],0)))</f>
        <v/>
      </c>
    </row>
    <row r="167" spans="1:2">
      <c r="A167" s="218" t="str">
        <f ca="1">IF(ROW()-1&gt;NumDataColumns,"",MAX(INDIRECT(CONCATENATE("R",ROW(ResultColumnLabels[#Headers]),"C",COLUMN(),":R",ROW()-1,"C",COLUMN()),FALSE))+1)</f>
        <v/>
      </c>
      <c r="B167" s="218" t="str">
        <f ca="1">IF(ResultColumnLabels[[#This Row],[Data Value Number]]="","",INDEX(DataColumns[ColumnLabel],MATCH(ResultColumnLabels[[#This Row],[Data Value Number]],DataColumns[DVNum],0)))</f>
        <v/>
      </c>
    </row>
    <row r="168" spans="1:2">
      <c r="A168" s="218" t="str">
        <f ca="1">IF(ROW()-1&gt;NumDataColumns,"",MAX(INDIRECT(CONCATENATE("R",ROW(ResultColumnLabels[#Headers]),"C",COLUMN(),":R",ROW()-1,"C",COLUMN()),FALSE))+1)</f>
        <v/>
      </c>
      <c r="B168" s="218" t="str">
        <f ca="1">IF(ResultColumnLabels[[#This Row],[Data Value Number]]="","",INDEX(DataColumns[ColumnLabel],MATCH(ResultColumnLabels[[#This Row],[Data Value Number]],DataColumns[DVNum],0)))</f>
        <v/>
      </c>
    </row>
    <row r="169" spans="1:2">
      <c r="A169" s="218" t="str">
        <f ca="1">IF(ROW()-1&gt;NumDataColumns,"",MAX(INDIRECT(CONCATENATE("R",ROW(ResultColumnLabels[#Headers]),"C",COLUMN(),":R",ROW()-1,"C",COLUMN()),FALSE))+1)</f>
        <v/>
      </c>
      <c r="B169" s="218" t="str">
        <f ca="1">IF(ResultColumnLabels[[#This Row],[Data Value Number]]="","",INDEX(DataColumns[ColumnLabel],MATCH(ResultColumnLabels[[#This Row],[Data Value Number]],DataColumns[DVNum],0)))</f>
        <v/>
      </c>
    </row>
    <row r="170" spans="1:2">
      <c r="A170" s="218" t="str">
        <f ca="1">IF(ROW()-1&gt;NumDataColumns,"",MAX(INDIRECT(CONCATENATE("R",ROW(ResultColumnLabels[#Headers]),"C",COLUMN(),":R",ROW()-1,"C",COLUMN()),FALSE))+1)</f>
        <v/>
      </c>
      <c r="B170" s="218" t="str">
        <f ca="1">IF(ResultColumnLabels[[#This Row],[Data Value Number]]="","",INDEX(DataColumns[ColumnLabel],MATCH(ResultColumnLabels[[#This Row],[Data Value Number]],DataColumns[DVNum],0)))</f>
        <v/>
      </c>
    </row>
    <row r="171" spans="1:2">
      <c r="A171" s="218" t="str">
        <f ca="1">IF(ROW()-1&gt;NumDataColumns,"",MAX(INDIRECT(CONCATENATE("R",ROW(ResultColumnLabels[#Headers]),"C",COLUMN(),":R",ROW()-1,"C",COLUMN()),FALSE))+1)</f>
        <v/>
      </c>
      <c r="B171" s="218" t="str">
        <f ca="1">IF(ResultColumnLabels[[#This Row],[Data Value Number]]="","",INDEX(DataColumns[ColumnLabel],MATCH(ResultColumnLabels[[#This Row],[Data Value Number]],DataColumns[DVNum],0)))</f>
        <v/>
      </c>
    </row>
    <row r="172" spans="1:2">
      <c r="A172" s="218" t="str">
        <f ca="1">IF(ROW()-1&gt;NumDataColumns,"",MAX(INDIRECT(CONCATENATE("R",ROW(ResultColumnLabels[#Headers]),"C",COLUMN(),":R",ROW()-1,"C",COLUMN()),FALSE))+1)</f>
        <v/>
      </c>
      <c r="B172" s="218" t="str">
        <f ca="1">IF(ResultColumnLabels[[#This Row],[Data Value Number]]="","",INDEX(DataColumns[ColumnLabel],MATCH(ResultColumnLabels[[#This Row],[Data Value Number]],DataColumns[DVNum],0)))</f>
        <v/>
      </c>
    </row>
    <row r="173" spans="1:2">
      <c r="A173" s="218" t="str">
        <f ca="1">IF(ROW()-1&gt;NumDataColumns,"",MAX(INDIRECT(CONCATENATE("R",ROW(ResultColumnLabels[#Headers]),"C",COLUMN(),":R",ROW()-1,"C",COLUMN()),FALSE))+1)</f>
        <v/>
      </c>
      <c r="B173" s="218" t="str">
        <f ca="1">IF(ResultColumnLabels[[#This Row],[Data Value Number]]="","",INDEX(DataColumns[ColumnLabel],MATCH(ResultColumnLabels[[#This Row],[Data Value Number]],DataColumns[DVNum],0)))</f>
        <v/>
      </c>
    </row>
    <row r="174" spans="1:2">
      <c r="A174" s="218" t="str">
        <f ca="1">IF(ROW()-1&gt;NumDataColumns,"",MAX(INDIRECT(CONCATENATE("R",ROW(ResultColumnLabels[#Headers]),"C",COLUMN(),":R",ROW()-1,"C",COLUMN()),FALSE))+1)</f>
        <v/>
      </c>
      <c r="B174" s="218" t="str">
        <f ca="1">IF(ResultColumnLabels[[#This Row],[Data Value Number]]="","",INDEX(DataColumns[ColumnLabel],MATCH(ResultColumnLabels[[#This Row],[Data Value Number]],DataColumns[DVNum],0)))</f>
        <v/>
      </c>
    </row>
    <row r="175" spans="1:2">
      <c r="A175" s="218" t="str">
        <f ca="1">IF(ROW()-1&gt;NumDataColumns,"",MAX(INDIRECT(CONCATENATE("R",ROW(ResultColumnLabels[#Headers]),"C",COLUMN(),":R",ROW()-1,"C",COLUMN()),FALSE))+1)</f>
        <v/>
      </c>
      <c r="B175" s="218" t="str">
        <f ca="1">IF(ResultColumnLabels[[#This Row],[Data Value Number]]="","",INDEX(DataColumns[ColumnLabel],MATCH(ResultColumnLabels[[#This Row],[Data Value Number]],DataColumns[DVNum],0)))</f>
        <v/>
      </c>
    </row>
    <row r="176" spans="1:2">
      <c r="A176" s="218" t="str">
        <f ca="1">IF(ROW()-1&gt;NumDataColumns,"",MAX(INDIRECT(CONCATENATE("R",ROW(ResultColumnLabels[#Headers]),"C",COLUMN(),":R",ROW()-1,"C",COLUMN()),FALSE))+1)</f>
        <v/>
      </c>
      <c r="B176" s="218" t="str">
        <f ca="1">IF(ResultColumnLabels[[#This Row],[Data Value Number]]="","",INDEX(DataColumns[ColumnLabel],MATCH(ResultColumnLabels[[#This Row],[Data Value Number]],DataColumns[DVNum],0)))</f>
        <v/>
      </c>
    </row>
    <row r="177" spans="1:2">
      <c r="A177" s="218" t="str">
        <f ca="1">IF(ROW()-1&gt;NumDataColumns,"",MAX(INDIRECT(CONCATENATE("R",ROW(ResultColumnLabels[#Headers]),"C",COLUMN(),":R",ROW()-1,"C",COLUMN()),FALSE))+1)</f>
        <v/>
      </c>
      <c r="B177" s="218" t="str">
        <f ca="1">IF(ResultColumnLabels[[#This Row],[Data Value Number]]="","",INDEX(DataColumns[ColumnLabel],MATCH(ResultColumnLabels[[#This Row],[Data Value Number]],DataColumns[DVNum],0)))</f>
        <v/>
      </c>
    </row>
    <row r="178" spans="1:2">
      <c r="A178" s="218" t="str">
        <f ca="1">IF(ROW()-1&gt;NumDataColumns,"",MAX(INDIRECT(CONCATENATE("R",ROW(ResultColumnLabels[#Headers]),"C",COLUMN(),":R",ROW()-1,"C",COLUMN()),FALSE))+1)</f>
        <v/>
      </c>
      <c r="B178" s="218" t="str">
        <f ca="1">IF(ResultColumnLabels[[#This Row],[Data Value Number]]="","",INDEX(DataColumns[ColumnLabel],MATCH(ResultColumnLabels[[#This Row],[Data Value Number]],DataColumns[DVNum],0)))</f>
        <v/>
      </c>
    </row>
    <row r="179" spans="1:2">
      <c r="A179" s="218" t="str">
        <f ca="1">IF(ROW()-1&gt;NumDataColumns,"",MAX(INDIRECT(CONCATENATE("R",ROW(ResultColumnLabels[#Headers]),"C",COLUMN(),":R",ROW()-1,"C",COLUMN()),FALSE))+1)</f>
        <v/>
      </c>
      <c r="B179" s="218" t="str">
        <f ca="1">IF(ResultColumnLabels[[#This Row],[Data Value Number]]="","",INDEX(DataColumns[ColumnLabel],MATCH(ResultColumnLabels[[#This Row],[Data Value Number]],DataColumns[DVNum],0)))</f>
        <v/>
      </c>
    </row>
    <row r="180" spans="1:2">
      <c r="A180" s="218" t="str">
        <f ca="1">IF(ROW()-1&gt;NumDataColumns,"",MAX(INDIRECT(CONCATENATE("R",ROW(ResultColumnLabels[#Headers]),"C",COLUMN(),":R",ROW()-1,"C",COLUMN()),FALSE))+1)</f>
        <v/>
      </c>
      <c r="B180" s="218" t="str">
        <f ca="1">IF(ResultColumnLabels[[#This Row],[Data Value Number]]="","",INDEX(DataColumns[ColumnLabel],MATCH(ResultColumnLabels[[#This Row],[Data Value Number]],DataColumns[DVNum],0)))</f>
        <v/>
      </c>
    </row>
    <row r="181" spans="1:2">
      <c r="A181" s="218" t="str">
        <f ca="1">IF(ROW()-1&gt;NumDataColumns,"",MAX(INDIRECT(CONCATENATE("R",ROW(ResultColumnLabels[#Headers]),"C",COLUMN(),":R",ROW()-1,"C",COLUMN()),FALSE))+1)</f>
        <v/>
      </c>
      <c r="B181" s="218" t="str">
        <f ca="1">IF(ResultColumnLabels[[#This Row],[Data Value Number]]="","",INDEX(DataColumns[ColumnLabel],MATCH(ResultColumnLabels[[#This Row],[Data Value Number]],DataColumns[DVNum],0)))</f>
        <v/>
      </c>
    </row>
    <row r="182" spans="1:2">
      <c r="A182" s="218" t="str">
        <f ca="1">IF(ROW()-1&gt;NumDataColumns,"",MAX(INDIRECT(CONCATENATE("R",ROW(ResultColumnLabels[#Headers]),"C",COLUMN(),":R",ROW()-1,"C",COLUMN()),FALSE))+1)</f>
        <v/>
      </c>
      <c r="B182" s="218" t="str">
        <f ca="1">IF(ResultColumnLabels[[#This Row],[Data Value Number]]="","",INDEX(DataColumns[ColumnLabel],MATCH(ResultColumnLabels[[#This Row],[Data Value Number]],DataColumns[DVNum],0)))</f>
        <v/>
      </c>
    </row>
    <row r="183" spans="1:2">
      <c r="A183" s="218" t="str">
        <f ca="1">IF(ROW()-1&gt;NumDataColumns,"",MAX(INDIRECT(CONCATENATE("R",ROW(ResultColumnLabels[#Headers]),"C",COLUMN(),":R",ROW()-1,"C",COLUMN()),FALSE))+1)</f>
        <v/>
      </c>
      <c r="B183" s="218" t="str">
        <f ca="1">IF(ResultColumnLabels[[#This Row],[Data Value Number]]="","",INDEX(DataColumns[ColumnLabel],MATCH(ResultColumnLabels[[#This Row],[Data Value Number]],DataColumns[DVNum],0)))</f>
        <v/>
      </c>
    </row>
    <row r="184" spans="1:2">
      <c r="A184" s="218" t="str">
        <f ca="1">IF(ROW()-1&gt;NumDataColumns,"",MAX(INDIRECT(CONCATENATE("R",ROW(ResultColumnLabels[#Headers]),"C",COLUMN(),":R",ROW()-1,"C",COLUMN()),FALSE))+1)</f>
        <v/>
      </c>
      <c r="B184" s="218" t="str">
        <f ca="1">IF(ResultColumnLabels[[#This Row],[Data Value Number]]="","",INDEX(DataColumns[ColumnLabel],MATCH(ResultColumnLabels[[#This Row],[Data Value Number]],DataColumns[DVNum],0)))</f>
        <v/>
      </c>
    </row>
    <row r="185" spans="1:2">
      <c r="A185" s="218" t="str">
        <f ca="1">IF(ROW()-1&gt;NumDataColumns,"",MAX(INDIRECT(CONCATENATE("R",ROW(ResultColumnLabels[#Headers]),"C",COLUMN(),":R",ROW()-1,"C",COLUMN()),FALSE))+1)</f>
        <v/>
      </c>
      <c r="B185" s="218" t="str">
        <f ca="1">IF(ResultColumnLabels[[#This Row],[Data Value Number]]="","",INDEX(DataColumns[ColumnLabel],MATCH(ResultColumnLabels[[#This Row],[Data Value Number]],DataColumns[DVNum],0)))</f>
        <v/>
      </c>
    </row>
    <row r="186" spans="1:2">
      <c r="A186" s="218" t="str">
        <f ca="1">IF(ROW()-1&gt;NumDataColumns,"",MAX(INDIRECT(CONCATENATE("R",ROW(ResultColumnLabels[#Headers]),"C",COLUMN(),":R",ROW()-1,"C",COLUMN()),FALSE))+1)</f>
        <v/>
      </c>
      <c r="B186" s="218" t="str">
        <f ca="1">IF(ResultColumnLabels[[#This Row],[Data Value Number]]="","",INDEX(DataColumns[ColumnLabel],MATCH(ResultColumnLabels[[#This Row],[Data Value Number]],DataColumns[DVNum],0)))</f>
        <v/>
      </c>
    </row>
    <row r="187" spans="1:2">
      <c r="A187" s="218" t="str">
        <f ca="1">IF(ROW()-1&gt;NumDataColumns,"",MAX(INDIRECT(CONCATENATE("R",ROW(ResultColumnLabels[#Headers]),"C",COLUMN(),":R",ROW()-1,"C",COLUMN()),FALSE))+1)</f>
        <v/>
      </c>
      <c r="B187" s="218" t="str">
        <f ca="1">IF(ResultColumnLabels[[#This Row],[Data Value Number]]="","",INDEX(DataColumns[ColumnLabel],MATCH(ResultColumnLabels[[#This Row],[Data Value Number]],DataColumns[DVNum],0)))</f>
        <v/>
      </c>
    </row>
    <row r="188" spans="1:2">
      <c r="A188" s="218" t="str">
        <f ca="1">IF(ROW()-1&gt;NumDataColumns,"",MAX(INDIRECT(CONCATENATE("R",ROW(ResultColumnLabels[#Headers]),"C",COLUMN(),":R",ROW()-1,"C",COLUMN()),FALSE))+1)</f>
        <v/>
      </c>
      <c r="B188" s="218" t="str">
        <f ca="1">IF(ResultColumnLabels[[#This Row],[Data Value Number]]="","",INDEX(DataColumns[ColumnLabel],MATCH(ResultColumnLabels[[#This Row],[Data Value Number]],DataColumns[DVNum],0)))</f>
        <v/>
      </c>
    </row>
    <row r="189" spans="1:2">
      <c r="A189" s="218" t="str">
        <f ca="1">IF(ROW()-1&gt;NumDataColumns,"",MAX(INDIRECT(CONCATENATE("R",ROW(ResultColumnLabels[#Headers]),"C",COLUMN(),":R",ROW()-1,"C",COLUMN()),FALSE))+1)</f>
        <v/>
      </c>
      <c r="B189" s="218" t="str">
        <f ca="1">IF(ResultColumnLabels[[#This Row],[Data Value Number]]="","",INDEX(DataColumns[ColumnLabel],MATCH(ResultColumnLabels[[#This Row],[Data Value Number]],DataColumns[DVNum],0)))</f>
        <v/>
      </c>
    </row>
    <row r="190" spans="1:2">
      <c r="A190" s="218" t="str">
        <f ca="1">IF(ROW()-1&gt;NumDataColumns,"",MAX(INDIRECT(CONCATENATE("R",ROW(ResultColumnLabels[#Headers]),"C",COLUMN(),":R",ROW()-1,"C",COLUMN()),FALSE))+1)</f>
        <v/>
      </c>
      <c r="B190" s="218" t="str">
        <f ca="1">IF(ResultColumnLabels[[#This Row],[Data Value Number]]="","",INDEX(DataColumns[ColumnLabel],MATCH(ResultColumnLabels[[#This Row],[Data Value Number]],DataColumns[DVNum],0)))</f>
        <v/>
      </c>
    </row>
    <row r="191" spans="1:2">
      <c r="A191" s="218" t="str">
        <f ca="1">IF(ROW()-1&gt;NumDataColumns,"",MAX(INDIRECT(CONCATENATE("R",ROW(ResultColumnLabels[#Headers]),"C",COLUMN(),":R",ROW()-1,"C",COLUMN()),FALSE))+1)</f>
        <v/>
      </c>
      <c r="B191" s="218" t="str">
        <f ca="1">IF(ResultColumnLabels[[#This Row],[Data Value Number]]="","",INDEX(DataColumns[ColumnLabel],MATCH(ResultColumnLabels[[#This Row],[Data Value Number]],DataColumns[DVNum],0)))</f>
        <v/>
      </c>
    </row>
    <row r="192" spans="1:2">
      <c r="A192" s="218" t="str">
        <f ca="1">IF(ROW()-1&gt;NumDataColumns,"",MAX(INDIRECT(CONCATENATE("R",ROW(ResultColumnLabels[#Headers]),"C",COLUMN(),":R",ROW()-1,"C",COLUMN()),FALSE))+1)</f>
        <v/>
      </c>
      <c r="B192" s="218" t="str">
        <f ca="1">IF(ResultColumnLabels[[#This Row],[Data Value Number]]="","",INDEX(DataColumns[ColumnLabel],MATCH(ResultColumnLabels[[#This Row],[Data Value Number]],DataColumns[DVNum],0)))</f>
        <v/>
      </c>
    </row>
    <row r="193" spans="1:2">
      <c r="A193" s="218" t="str">
        <f ca="1">IF(ROW()-1&gt;NumDataColumns,"",MAX(INDIRECT(CONCATENATE("R",ROW(ResultColumnLabels[#Headers]),"C",COLUMN(),":R",ROW()-1,"C",COLUMN()),FALSE))+1)</f>
        <v/>
      </c>
      <c r="B193" s="218" t="str">
        <f ca="1">IF(ResultColumnLabels[[#This Row],[Data Value Number]]="","",INDEX(DataColumns[ColumnLabel],MATCH(ResultColumnLabels[[#This Row],[Data Value Number]],DataColumns[DVNum],0)))</f>
        <v/>
      </c>
    </row>
    <row r="194" spans="1:2">
      <c r="A194" s="218" t="str">
        <f ca="1">IF(ROW()-1&gt;NumDataColumns,"",MAX(INDIRECT(CONCATENATE("R",ROW(ResultColumnLabels[#Headers]),"C",COLUMN(),":R",ROW()-1,"C",COLUMN()),FALSE))+1)</f>
        <v/>
      </c>
      <c r="B194" s="218" t="str">
        <f ca="1">IF(ResultColumnLabels[[#This Row],[Data Value Number]]="","",INDEX(DataColumns[ColumnLabel],MATCH(ResultColumnLabels[[#This Row],[Data Value Number]],DataColumns[DVNum],0)))</f>
        <v/>
      </c>
    </row>
    <row r="195" spans="1:2">
      <c r="A195" s="218" t="str">
        <f ca="1">IF(ROW()-1&gt;NumDataColumns,"",MAX(INDIRECT(CONCATENATE("R",ROW(ResultColumnLabels[#Headers]),"C",COLUMN(),":R",ROW()-1,"C",COLUMN()),FALSE))+1)</f>
        <v/>
      </c>
      <c r="B195" s="218" t="str">
        <f ca="1">IF(ResultColumnLabels[[#This Row],[Data Value Number]]="","",INDEX(DataColumns[ColumnLabel],MATCH(ResultColumnLabels[[#This Row],[Data Value Number]],DataColumns[DVNum],0)))</f>
        <v/>
      </c>
    </row>
    <row r="196" spans="1:2">
      <c r="A196" s="218" t="str">
        <f ca="1">IF(ROW()-1&gt;NumDataColumns,"",MAX(INDIRECT(CONCATENATE("R",ROW(ResultColumnLabels[#Headers]),"C",COLUMN(),":R",ROW()-1,"C",COLUMN()),FALSE))+1)</f>
        <v/>
      </c>
      <c r="B196" s="218" t="str">
        <f ca="1">IF(ResultColumnLabels[[#This Row],[Data Value Number]]="","",INDEX(DataColumns[ColumnLabel],MATCH(ResultColumnLabels[[#This Row],[Data Value Number]],DataColumns[DVNum],0)))</f>
        <v/>
      </c>
    </row>
    <row r="197" spans="1:2">
      <c r="A197" s="218" t="str">
        <f ca="1">IF(ROW()-1&gt;NumDataColumns,"",MAX(INDIRECT(CONCATENATE("R",ROW(ResultColumnLabels[#Headers]),"C",COLUMN(),":R",ROW()-1,"C",COLUMN()),FALSE))+1)</f>
        <v/>
      </c>
      <c r="B197" s="218" t="str">
        <f ca="1">IF(ResultColumnLabels[[#This Row],[Data Value Number]]="","",INDEX(DataColumns[ColumnLabel],MATCH(ResultColumnLabels[[#This Row],[Data Value Number]],DataColumns[DVNum],0)))</f>
        <v/>
      </c>
    </row>
    <row r="198" spans="1:2">
      <c r="A198" s="218" t="str">
        <f ca="1">IF(ROW()-1&gt;NumDataColumns,"",MAX(INDIRECT(CONCATENATE("R",ROW(ResultColumnLabels[#Headers]),"C",COLUMN(),":R",ROW()-1,"C",COLUMN()),FALSE))+1)</f>
        <v/>
      </c>
      <c r="B198" s="218" t="str">
        <f ca="1">IF(ResultColumnLabels[[#This Row],[Data Value Number]]="","",INDEX(DataColumns[ColumnLabel],MATCH(ResultColumnLabels[[#This Row],[Data Value Number]],DataColumns[DVNum],0)))</f>
        <v/>
      </c>
    </row>
    <row r="199" spans="1:2">
      <c r="A199" s="218" t="str">
        <f ca="1">IF(ROW()-1&gt;NumDataColumns,"",MAX(INDIRECT(CONCATENATE("R",ROW(ResultColumnLabels[#Headers]),"C",COLUMN(),":R",ROW()-1,"C",COLUMN()),FALSE))+1)</f>
        <v/>
      </c>
      <c r="B199" s="218" t="str">
        <f ca="1">IF(ResultColumnLabels[[#This Row],[Data Value Number]]="","",INDEX(DataColumns[ColumnLabel],MATCH(ResultColumnLabels[[#This Row],[Data Value Number]],DataColumns[DVNum],0)))</f>
        <v/>
      </c>
    </row>
    <row r="200" spans="1:2">
      <c r="A200" s="218" t="str">
        <f ca="1">IF(ROW()-1&gt;NumDataColumns,"",MAX(INDIRECT(CONCATENATE("R",ROW(ResultColumnLabels[#Headers]),"C",COLUMN(),":R",ROW()-1,"C",COLUMN()),FALSE))+1)</f>
        <v/>
      </c>
      <c r="B200" s="218" t="str">
        <f ca="1">IF(ResultColumnLabels[[#This Row],[Data Value Number]]="","",INDEX(DataColumns[ColumnLabel],MATCH(ResultColumnLabels[[#This Row],[Data Value Number]],DataColumns[DVNum],0)))</f>
        <v/>
      </c>
    </row>
    <row r="201" spans="1:2">
      <c r="A201" s="218" t="str">
        <f ca="1">IF(ROW()-1&gt;NumDataColumns,"",MAX(INDIRECT(CONCATENATE("R",ROW(ResultColumnLabels[#Headers]),"C",COLUMN(),":R",ROW()-1,"C",COLUMN()),FALSE))+1)</f>
        <v/>
      </c>
      <c r="B201" s="218" t="str">
        <f ca="1">IF(ResultColumnLabels[[#This Row],[Data Value Number]]="","",INDEX(DataColumns[ColumnLabel],MATCH(ResultColumnLabels[[#This Row],[Data Value Number]],DataColumns[DVNum],0)))</f>
        <v/>
      </c>
    </row>
    <row r="202" spans="1:2">
      <c r="A202" s="218" t="str">
        <f ca="1">IF(ROW()-1&gt;NumDataColumns,"",MAX(INDIRECT(CONCATENATE("R",ROW(ResultColumnLabels[#Headers]),"C",COLUMN(),":R",ROW()-1,"C",COLUMN()),FALSE))+1)</f>
        <v/>
      </c>
      <c r="B202" s="218" t="str">
        <f ca="1">IF(ResultColumnLabels[[#This Row],[Data Value Number]]="","",INDEX(DataColumns[ColumnLabel],MATCH(ResultColumnLabels[[#This Row],[Data Value Number]],DataColumns[DVNum],0)))</f>
        <v/>
      </c>
    </row>
    <row r="203" spans="1:2">
      <c r="A203" s="218" t="str">
        <f ca="1">IF(ROW()-1&gt;NumDataColumns,"",MAX(INDIRECT(CONCATENATE("R",ROW(ResultColumnLabels[#Headers]),"C",COLUMN(),":R",ROW()-1,"C",COLUMN()),FALSE))+1)</f>
        <v/>
      </c>
      <c r="B203" s="218" t="str">
        <f ca="1">IF(ResultColumnLabels[[#This Row],[Data Value Number]]="","",INDEX(DataColumns[ColumnLabel],MATCH(ResultColumnLabels[[#This Row],[Data Value Number]],DataColumns[DVNum],0)))</f>
        <v/>
      </c>
    </row>
    <row r="204" spans="1:2">
      <c r="A204" s="218" t="str">
        <f ca="1">IF(ROW()-1&gt;NumDataColumns,"",MAX(INDIRECT(CONCATENATE("R",ROW(ResultColumnLabels[#Headers]),"C",COLUMN(),":R",ROW()-1,"C",COLUMN()),FALSE))+1)</f>
        <v/>
      </c>
      <c r="B204" s="218" t="str">
        <f ca="1">IF(ResultColumnLabels[[#This Row],[Data Value Number]]="","",INDEX(DataColumns[ColumnLabel],MATCH(ResultColumnLabels[[#This Row],[Data Value Number]],DataColumns[DVNum],0)))</f>
        <v/>
      </c>
    </row>
    <row r="205" spans="1:2">
      <c r="A205" s="218" t="str">
        <f ca="1">IF(ROW()-1&gt;NumDataColumns,"",MAX(INDIRECT(CONCATENATE("R",ROW(ResultColumnLabels[#Headers]),"C",COLUMN(),":R",ROW()-1,"C",COLUMN()),FALSE))+1)</f>
        <v/>
      </c>
      <c r="B205" s="218" t="str">
        <f ca="1">IF(ResultColumnLabels[[#This Row],[Data Value Number]]="","",INDEX(DataColumns[ColumnLabel],MATCH(ResultColumnLabels[[#This Row],[Data Value Number]],DataColumns[DVNum],0)))</f>
        <v/>
      </c>
    </row>
    <row r="206" spans="1:2">
      <c r="A206" s="218" t="str">
        <f ca="1">IF(ROW()-1&gt;NumDataColumns,"",MAX(INDIRECT(CONCATENATE("R",ROW(ResultColumnLabels[#Headers]),"C",COLUMN(),":R",ROW()-1,"C",COLUMN()),FALSE))+1)</f>
        <v/>
      </c>
      <c r="B206" s="218" t="str">
        <f ca="1">IF(ResultColumnLabels[[#This Row],[Data Value Number]]="","",INDEX(DataColumns[ColumnLabel],MATCH(ResultColumnLabels[[#This Row],[Data Value Number]],DataColumns[DVNum],0)))</f>
        <v/>
      </c>
    </row>
    <row r="207" spans="1:2">
      <c r="A207" s="218" t="str">
        <f ca="1">IF(ROW()-1&gt;NumDataColumns,"",MAX(INDIRECT(CONCATENATE("R",ROW(ResultColumnLabels[#Headers]),"C",COLUMN(),":R",ROW()-1,"C",COLUMN()),FALSE))+1)</f>
        <v/>
      </c>
      <c r="B207" s="218" t="str">
        <f ca="1">IF(ResultColumnLabels[[#This Row],[Data Value Number]]="","",INDEX(DataColumns[ColumnLabel],MATCH(ResultColumnLabels[[#This Row],[Data Value Number]],DataColumns[DVNum],0)))</f>
        <v/>
      </c>
    </row>
    <row r="208" spans="1:2">
      <c r="A208" s="218" t="str">
        <f ca="1">IF(ROW()-1&gt;NumDataColumns,"",MAX(INDIRECT(CONCATENATE("R",ROW(ResultColumnLabels[#Headers]),"C",COLUMN(),":R",ROW()-1,"C",COLUMN()),FALSE))+1)</f>
        <v/>
      </c>
      <c r="B208" s="218" t="str">
        <f ca="1">IF(ResultColumnLabels[[#This Row],[Data Value Number]]="","",INDEX(DataColumns[ColumnLabel],MATCH(ResultColumnLabels[[#This Row],[Data Value Number]],DataColumns[DVNum],0)))</f>
        <v/>
      </c>
    </row>
    <row r="209" spans="1:2">
      <c r="A209" s="218" t="str">
        <f ca="1">IF(ROW()-1&gt;NumDataColumns,"",MAX(INDIRECT(CONCATENATE("R",ROW(ResultColumnLabels[#Headers]),"C",COLUMN(),":R",ROW()-1,"C",COLUMN()),FALSE))+1)</f>
        <v/>
      </c>
      <c r="B209" s="218" t="str">
        <f ca="1">IF(ResultColumnLabels[[#This Row],[Data Value Number]]="","",INDEX(DataColumns[ColumnLabel],MATCH(ResultColumnLabels[[#This Row],[Data Value Number]],DataColumns[DVNum],0)))</f>
        <v/>
      </c>
    </row>
    <row r="210" spans="1:2">
      <c r="A210" s="218" t="str">
        <f ca="1">IF(ROW()-1&gt;NumDataColumns,"",MAX(INDIRECT(CONCATENATE("R",ROW(ResultColumnLabels[#Headers]),"C",COLUMN(),":R",ROW()-1,"C",COLUMN()),FALSE))+1)</f>
        <v/>
      </c>
      <c r="B210" s="218" t="str">
        <f ca="1">IF(ResultColumnLabels[[#This Row],[Data Value Number]]="","",INDEX(DataColumns[ColumnLabel],MATCH(ResultColumnLabels[[#This Row],[Data Value Number]],DataColumns[DVNum],0)))</f>
        <v/>
      </c>
    </row>
    <row r="211" spans="1:2">
      <c r="A211" s="218" t="str">
        <f ca="1">IF(ROW()-1&gt;NumDataColumns,"",MAX(INDIRECT(CONCATENATE("R",ROW(ResultColumnLabels[#Headers]),"C",COLUMN(),":R",ROW()-1,"C",COLUMN()),FALSE))+1)</f>
        <v/>
      </c>
      <c r="B211" s="218" t="str">
        <f ca="1">IF(ResultColumnLabels[[#This Row],[Data Value Number]]="","",INDEX(DataColumns[ColumnLabel],MATCH(ResultColumnLabels[[#This Row],[Data Value Number]],DataColumns[DVNum],0)))</f>
        <v/>
      </c>
    </row>
    <row r="212" spans="1:2">
      <c r="A212" s="218" t="str">
        <f ca="1">IF(ROW()-1&gt;NumDataColumns,"",MAX(INDIRECT(CONCATENATE("R",ROW(ResultColumnLabels[#Headers]),"C",COLUMN(),":R",ROW()-1,"C",COLUMN()),FALSE))+1)</f>
        <v/>
      </c>
      <c r="B212" s="218" t="str">
        <f ca="1">IF(ResultColumnLabels[[#This Row],[Data Value Number]]="","",INDEX(DataColumns[ColumnLabel],MATCH(ResultColumnLabels[[#This Row],[Data Value Number]],DataColumns[DVNum],0)))</f>
        <v/>
      </c>
    </row>
    <row r="213" spans="1:2">
      <c r="A213" s="218" t="str">
        <f ca="1">IF(ROW()-1&gt;NumDataColumns,"",MAX(INDIRECT(CONCATENATE("R",ROW(ResultColumnLabels[#Headers]),"C",COLUMN(),":R",ROW()-1,"C",COLUMN()),FALSE))+1)</f>
        <v/>
      </c>
      <c r="B213" s="218" t="str">
        <f ca="1">IF(ResultColumnLabels[[#This Row],[Data Value Number]]="","",INDEX(DataColumns[ColumnLabel],MATCH(ResultColumnLabels[[#This Row],[Data Value Number]],DataColumns[DVNum],0)))</f>
        <v/>
      </c>
    </row>
    <row r="214" spans="1:2">
      <c r="A214" s="218" t="str">
        <f ca="1">IF(ROW()-1&gt;NumDataColumns,"",MAX(INDIRECT(CONCATENATE("R",ROW(ResultColumnLabels[#Headers]),"C",COLUMN(),":R",ROW()-1,"C",COLUMN()),FALSE))+1)</f>
        <v/>
      </c>
      <c r="B214" s="218" t="str">
        <f ca="1">IF(ResultColumnLabels[[#This Row],[Data Value Number]]="","",INDEX(DataColumns[ColumnLabel],MATCH(ResultColumnLabels[[#This Row],[Data Value Number]],DataColumns[DVNum],0)))</f>
        <v/>
      </c>
    </row>
    <row r="215" spans="1:2">
      <c r="A215" s="218" t="str">
        <f ca="1">IF(ROW()-1&gt;NumDataColumns,"",MAX(INDIRECT(CONCATENATE("R",ROW(ResultColumnLabels[#Headers]),"C",COLUMN(),":R",ROW()-1,"C",COLUMN()),FALSE))+1)</f>
        <v/>
      </c>
      <c r="B215" s="218" t="str">
        <f ca="1">IF(ResultColumnLabels[[#This Row],[Data Value Number]]="","",INDEX(DataColumns[ColumnLabel],MATCH(ResultColumnLabels[[#This Row],[Data Value Number]],DataColumns[DVNum],0)))</f>
        <v/>
      </c>
    </row>
    <row r="216" spans="1:2">
      <c r="A216" s="218" t="str">
        <f ca="1">IF(ROW()-1&gt;NumDataColumns,"",MAX(INDIRECT(CONCATENATE("R",ROW(ResultColumnLabels[#Headers]),"C",COLUMN(),":R",ROW()-1,"C",COLUMN()),FALSE))+1)</f>
        <v/>
      </c>
      <c r="B216" s="218" t="str">
        <f ca="1">IF(ResultColumnLabels[[#This Row],[Data Value Number]]="","",INDEX(DataColumns[ColumnLabel],MATCH(ResultColumnLabels[[#This Row],[Data Value Number]],DataColumns[DVNum],0)))</f>
        <v/>
      </c>
    </row>
    <row r="217" spans="1:2">
      <c r="A217" s="218" t="str">
        <f ca="1">IF(ROW()-1&gt;NumDataColumns,"",MAX(INDIRECT(CONCATENATE("R",ROW(ResultColumnLabels[#Headers]),"C",COLUMN(),":R",ROW()-1,"C",COLUMN()),FALSE))+1)</f>
        <v/>
      </c>
      <c r="B217" s="218" t="str">
        <f ca="1">IF(ResultColumnLabels[[#This Row],[Data Value Number]]="","",INDEX(DataColumns[ColumnLabel],MATCH(ResultColumnLabels[[#This Row],[Data Value Number]],DataColumns[DVNum],0)))</f>
        <v/>
      </c>
    </row>
    <row r="218" spans="1:2">
      <c r="A218" s="218" t="str">
        <f ca="1">IF(ROW()-1&gt;NumDataColumns,"",MAX(INDIRECT(CONCATENATE("R",ROW(ResultColumnLabels[#Headers]),"C",COLUMN(),":R",ROW()-1,"C",COLUMN()),FALSE))+1)</f>
        <v/>
      </c>
      <c r="B218" s="218" t="str">
        <f ca="1">IF(ResultColumnLabels[[#This Row],[Data Value Number]]="","",INDEX(DataColumns[ColumnLabel],MATCH(ResultColumnLabels[[#This Row],[Data Value Number]],DataColumns[DVNum],0)))</f>
        <v/>
      </c>
    </row>
    <row r="219" spans="1:2">
      <c r="A219" s="218" t="str">
        <f ca="1">IF(ROW()-1&gt;NumDataColumns,"",MAX(INDIRECT(CONCATENATE("R",ROW(ResultColumnLabels[#Headers]),"C",COLUMN(),":R",ROW()-1,"C",COLUMN()),FALSE))+1)</f>
        <v/>
      </c>
      <c r="B219" s="218" t="str">
        <f ca="1">IF(ResultColumnLabels[[#This Row],[Data Value Number]]="","",INDEX(DataColumns[ColumnLabel],MATCH(ResultColumnLabels[[#This Row],[Data Value Number]],DataColumns[DVNum],0)))</f>
        <v/>
      </c>
    </row>
    <row r="220" spans="1:2">
      <c r="A220" s="218" t="str">
        <f ca="1">IF(ROW()-1&gt;NumDataColumns,"",MAX(INDIRECT(CONCATENATE("R",ROW(ResultColumnLabels[#Headers]),"C",COLUMN(),":R",ROW()-1,"C",COLUMN()),FALSE))+1)</f>
        <v/>
      </c>
      <c r="B220" s="218" t="str">
        <f ca="1">IF(ResultColumnLabels[[#This Row],[Data Value Number]]="","",INDEX(DataColumns[ColumnLabel],MATCH(ResultColumnLabels[[#This Row],[Data Value Number]],DataColumns[DVNum],0)))</f>
        <v/>
      </c>
    </row>
    <row r="221" spans="1:2">
      <c r="A221" s="218" t="str">
        <f ca="1">IF(ROW()-1&gt;NumDataColumns,"",MAX(INDIRECT(CONCATENATE("R",ROW(ResultColumnLabels[#Headers]),"C",COLUMN(),":R",ROW()-1,"C",COLUMN()),FALSE))+1)</f>
        <v/>
      </c>
      <c r="B221" s="218" t="str">
        <f ca="1">IF(ResultColumnLabels[[#This Row],[Data Value Number]]="","",INDEX(DataColumns[ColumnLabel],MATCH(ResultColumnLabels[[#This Row],[Data Value Number]],DataColumns[DVNum],0)))</f>
        <v/>
      </c>
    </row>
    <row r="222" spans="1:2">
      <c r="A222" s="218" t="str">
        <f ca="1">IF(ROW()-1&gt;NumDataColumns,"",MAX(INDIRECT(CONCATENATE("R",ROW(ResultColumnLabels[#Headers]),"C",COLUMN(),":R",ROW()-1,"C",COLUMN()),FALSE))+1)</f>
        <v/>
      </c>
      <c r="B222" s="218" t="str">
        <f ca="1">IF(ResultColumnLabels[[#This Row],[Data Value Number]]="","",INDEX(DataColumns[ColumnLabel],MATCH(ResultColumnLabels[[#This Row],[Data Value Number]],DataColumns[DVNum],0)))</f>
        <v/>
      </c>
    </row>
    <row r="223" spans="1:2">
      <c r="A223" s="218" t="str">
        <f ca="1">IF(ROW()-1&gt;NumDataColumns,"",MAX(INDIRECT(CONCATENATE("R",ROW(ResultColumnLabels[#Headers]),"C",COLUMN(),":R",ROW()-1,"C",COLUMN()),FALSE))+1)</f>
        <v/>
      </c>
      <c r="B223" s="218" t="str">
        <f ca="1">IF(ResultColumnLabels[[#This Row],[Data Value Number]]="","",INDEX(DataColumns[ColumnLabel],MATCH(ResultColumnLabels[[#This Row],[Data Value Number]],DataColumns[DVNum],0)))</f>
        <v/>
      </c>
    </row>
    <row r="224" spans="1:2">
      <c r="A224" s="218" t="str">
        <f ca="1">IF(ROW()-1&gt;NumDataColumns,"",MAX(INDIRECT(CONCATENATE("R",ROW(ResultColumnLabels[#Headers]),"C",COLUMN(),":R",ROW()-1,"C",COLUMN()),FALSE))+1)</f>
        <v/>
      </c>
      <c r="B224" s="218" t="str">
        <f ca="1">IF(ResultColumnLabels[[#This Row],[Data Value Number]]="","",INDEX(DataColumns[ColumnLabel],MATCH(ResultColumnLabels[[#This Row],[Data Value Number]],DataColumns[DVNum],0)))</f>
        <v/>
      </c>
    </row>
    <row r="225" spans="1:2">
      <c r="A225" s="218" t="str">
        <f ca="1">IF(ROW()-1&gt;NumDataColumns,"",MAX(INDIRECT(CONCATENATE("R",ROW(ResultColumnLabels[#Headers]),"C",COLUMN(),":R",ROW()-1,"C",COLUMN()),FALSE))+1)</f>
        <v/>
      </c>
      <c r="B225" s="218" t="str">
        <f ca="1">IF(ResultColumnLabels[[#This Row],[Data Value Number]]="","",INDEX(DataColumns[ColumnLabel],MATCH(ResultColumnLabels[[#This Row],[Data Value Number]],DataColumns[DVNum],0)))</f>
        <v/>
      </c>
    </row>
    <row r="226" spans="1:2">
      <c r="A226" s="218" t="str">
        <f ca="1">IF(ROW()-1&gt;NumDataColumns,"",MAX(INDIRECT(CONCATENATE("R",ROW(ResultColumnLabels[#Headers]),"C",COLUMN(),":R",ROW()-1,"C",COLUMN()),FALSE))+1)</f>
        <v/>
      </c>
      <c r="B226" s="218" t="str">
        <f ca="1">IF(ResultColumnLabels[[#This Row],[Data Value Number]]="","",INDEX(DataColumns[ColumnLabel],MATCH(ResultColumnLabels[[#This Row],[Data Value Number]],DataColumns[DVNum],0)))</f>
        <v/>
      </c>
    </row>
    <row r="227" spans="1:2">
      <c r="A227" s="218" t="str">
        <f ca="1">IF(ROW()-1&gt;NumDataColumns,"",MAX(INDIRECT(CONCATENATE("R",ROW(ResultColumnLabels[#Headers]),"C",COLUMN(),":R",ROW()-1,"C",COLUMN()),FALSE))+1)</f>
        <v/>
      </c>
      <c r="B227" s="218" t="str">
        <f ca="1">IF(ResultColumnLabels[[#This Row],[Data Value Number]]="","",INDEX(DataColumns[ColumnLabel],MATCH(ResultColumnLabels[[#This Row],[Data Value Number]],DataColumns[DVNum],0)))</f>
        <v/>
      </c>
    </row>
    <row r="228" spans="1:2">
      <c r="A228" s="218" t="str">
        <f ca="1">IF(ROW()-1&gt;NumDataColumns,"",MAX(INDIRECT(CONCATENATE("R",ROW(ResultColumnLabels[#Headers]),"C",COLUMN(),":R",ROW()-1,"C",COLUMN()),FALSE))+1)</f>
        <v/>
      </c>
      <c r="B228" s="218" t="str">
        <f ca="1">IF(ResultColumnLabels[[#This Row],[Data Value Number]]="","",INDEX(DataColumns[ColumnLabel],MATCH(ResultColumnLabels[[#This Row],[Data Value Number]],DataColumns[DVNum],0)))</f>
        <v/>
      </c>
    </row>
    <row r="229" spans="1:2">
      <c r="A229" s="218" t="str">
        <f ca="1">IF(ROW()-1&gt;NumDataColumns,"",MAX(INDIRECT(CONCATENATE("R",ROW(ResultColumnLabels[#Headers]),"C",COLUMN(),":R",ROW()-1,"C",COLUMN()),FALSE))+1)</f>
        <v/>
      </c>
      <c r="B229" s="218" t="str">
        <f ca="1">IF(ResultColumnLabels[[#This Row],[Data Value Number]]="","",INDEX(DataColumns[ColumnLabel],MATCH(ResultColumnLabels[[#This Row],[Data Value Number]],DataColumns[DVNum],0)))</f>
        <v/>
      </c>
    </row>
    <row r="230" spans="1:2">
      <c r="A230" s="218" t="str">
        <f ca="1">IF(ROW()-1&gt;NumDataColumns,"",MAX(INDIRECT(CONCATENATE("R",ROW(ResultColumnLabels[#Headers]),"C",COLUMN(),":R",ROW()-1,"C",COLUMN()),FALSE))+1)</f>
        <v/>
      </c>
      <c r="B230" s="218" t="str">
        <f ca="1">IF(ResultColumnLabels[[#This Row],[Data Value Number]]="","",INDEX(DataColumns[ColumnLabel],MATCH(ResultColumnLabels[[#This Row],[Data Value Number]],DataColumns[DVNum],0)))</f>
        <v/>
      </c>
    </row>
    <row r="231" spans="1:2">
      <c r="A231" s="218" t="str">
        <f ca="1">IF(ROW()-1&gt;NumDataColumns,"",MAX(INDIRECT(CONCATENATE("R",ROW(ResultColumnLabels[#Headers]),"C",COLUMN(),":R",ROW()-1,"C",COLUMN()),FALSE))+1)</f>
        <v/>
      </c>
      <c r="B231" s="218" t="str">
        <f ca="1">IF(ResultColumnLabels[[#This Row],[Data Value Number]]="","",INDEX(DataColumns[ColumnLabel],MATCH(ResultColumnLabels[[#This Row],[Data Value Number]],DataColumns[DVNum],0)))</f>
        <v/>
      </c>
    </row>
    <row r="232" spans="1:2">
      <c r="A232" s="218" t="str">
        <f ca="1">IF(ROW()-1&gt;NumDataColumns,"",MAX(INDIRECT(CONCATENATE("R",ROW(ResultColumnLabels[#Headers]),"C",COLUMN(),":R",ROW()-1,"C",COLUMN()),FALSE))+1)</f>
        <v/>
      </c>
      <c r="B232" s="218" t="str">
        <f ca="1">IF(ResultColumnLabels[[#This Row],[Data Value Number]]="","",INDEX(DataColumns[ColumnLabel],MATCH(ResultColumnLabels[[#This Row],[Data Value Number]],DataColumns[DVNum],0)))</f>
        <v/>
      </c>
    </row>
    <row r="233" spans="1:2">
      <c r="A233" s="218" t="str">
        <f ca="1">IF(ROW()-1&gt;NumDataColumns,"",MAX(INDIRECT(CONCATENATE("R",ROW(ResultColumnLabels[#Headers]),"C",COLUMN(),":R",ROW()-1,"C",COLUMN()),FALSE))+1)</f>
        <v/>
      </c>
      <c r="B233" s="218" t="str">
        <f ca="1">IF(ResultColumnLabels[[#This Row],[Data Value Number]]="","",INDEX(DataColumns[ColumnLabel],MATCH(ResultColumnLabels[[#This Row],[Data Value Number]],DataColumns[DVNum],0)))</f>
        <v/>
      </c>
    </row>
    <row r="234" spans="1:2">
      <c r="A234" s="218" t="str">
        <f ca="1">IF(ROW()-1&gt;NumDataColumns,"",MAX(INDIRECT(CONCATENATE("R",ROW(ResultColumnLabels[#Headers]),"C",COLUMN(),":R",ROW()-1,"C",COLUMN()),FALSE))+1)</f>
        <v/>
      </c>
      <c r="B234" s="218" t="str">
        <f ca="1">IF(ResultColumnLabels[[#This Row],[Data Value Number]]="","",INDEX(DataColumns[ColumnLabel],MATCH(ResultColumnLabels[[#This Row],[Data Value Number]],DataColumns[DVNum],0)))</f>
        <v/>
      </c>
    </row>
    <row r="235" spans="1:2">
      <c r="A235" s="218" t="str">
        <f ca="1">IF(ROW()-1&gt;NumDataColumns,"",MAX(INDIRECT(CONCATENATE("R",ROW(ResultColumnLabels[#Headers]),"C",COLUMN(),":R",ROW()-1,"C",COLUMN()),FALSE))+1)</f>
        <v/>
      </c>
      <c r="B235" s="218" t="str">
        <f ca="1">IF(ResultColumnLabels[[#This Row],[Data Value Number]]="","",INDEX(DataColumns[ColumnLabel],MATCH(ResultColumnLabels[[#This Row],[Data Value Number]],DataColumns[DVNum],0)))</f>
        <v/>
      </c>
    </row>
    <row r="236" spans="1:2">
      <c r="A236" s="218" t="str">
        <f ca="1">IF(ROW()-1&gt;NumDataColumns,"",MAX(INDIRECT(CONCATENATE("R",ROW(ResultColumnLabels[#Headers]),"C",COLUMN(),":R",ROW()-1,"C",COLUMN()),FALSE))+1)</f>
        <v/>
      </c>
      <c r="B236" s="218" t="str">
        <f ca="1">IF(ResultColumnLabels[[#This Row],[Data Value Number]]="","",INDEX(DataColumns[ColumnLabel],MATCH(ResultColumnLabels[[#This Row],[Data Value Number]],DataColumns[DVNum],0)))</f>
        <v/>
      </c>
    </row>
    <row r="237" spans="1:2">
      <c r="A237" s="218" t="str">
        <f ca="1">IF(ROW()-1&gt;NumDataColumns,"",MAX(INDIRECT(CONCATENATE("R",ROW(ResultColumnLabels[#Headers]),"C",COLUMN(),":R",ROW()-1,"C",COLUMN()),FALSE))+1)</f>
        <v/>
      </c>
      <c r="B237" s="218" t="str">
        <f ca="1">IF(ResultColumnLabels[[#This Row],[Data Value Number]]="","",INDEX(DataColumns[ColumnLabel],MATCH(ResultColumnLabels[[#This Row],[Data Value Number]],DataColumns[DVNum],0)))</f>
        <v/>
      </c>
    </row>
    <row r="238" spans="1:2">
      <c r="A238" s="218" t="str">
        <f ca="1">IF(ROW()-1&gt;NumDataColumns,"",MAX(INDIRECT(CONCATENATE("R",ROW(ResultColumnLabels[#Headers]),"C",COLUMN(),":R",ROW()-1,"C",COLUMN()),FALSE))+1)</f>
        <v/>
      </c>
      <c r="B238" s="218" t="str">
        <f ca="1">IF(ResultColumnLabels[[#This Row],[Data Value Number]]="","",INDEX(DataColumns[ColumnLabel],MATCH(ResultColumnLabels[[#This Row],[Data Value Number]],DataColumns[DVNum],0)))</f>
        <v/>
      </c>
    </row>
    <row r="239" spans="1:2">
      <c r="A239" s="218" t="str">
        <f ca="1">IF(ROW()-1&gt;NumDataColumns,"",MAX(INDIRECT(CONCATENATE("R",ROW(ResultColumnLabels[#Headers]),"C",COLUMN(),":R",ROW()-1,"C",COLUMN()),FALSE))+1)</f>
        <v/>
      </c>
      <c r="B239" s="218" t="str">
        <f ca="1">IF(ResultColumnLabels[[#This Row],[Data Value Number]]="","",INDEX(DataColumns[ColumnLabel],MATCH(ResultColumnLabels[[#This Row],[Data Value Number]],DataColumns[DVNum],0)))</f>
        <v/>
      </c>
    </row>
    <row r="240" spans="1:2">
      <c r="A240" s="218" t="str">
        <f ca="1">IF(ROW()-1&gt;NumDataColumns,"",MAX(INDIRECT(CONCATENATE("R",ROW(ResultColumnLabels[#Headers]),"C",COLUMN(),":R",ROW()-1,"C",COLUMN()),FALSE))+1)</f>
        <v/>
      </c>
      <c r="B240" s="218" t="str">
        <f ca="1">IF(ResultColumnLabels[[#This Row],[Data Value Number]]="","",INDEX(DataColumns[ColumnLabel],MATCH(ResultColumnLabels[[#This Row],[Data Value Number]],DataColumns[DVNum],0)))</f>
        <v/>
      </c>
    </row>
    <row r="241" spans="1:2">
      <c r="A241" s="218" t="str">
        <f ca="1">IF(ROW()-1&gt;NumDataColumns,"",MAX(INDIRECT(CONCATENATE("R",ROW(ResultColumnLabels[#Headers]),"C",COLUMN(),":R",ROW()-1,"C",COLUMN()),FALSE))+1)</f>
        <v/>
      </c>
      <c r="B241" s="218" t="str">
        <f ca="1">IF(ResultColumnLabels[[#This Row],[Data Value Number]]="","",INDEX(DataColumns[ColumnLabel],MATCH(ResultColumnLabels[[#This Row],[Data Value Number]],DataColumns[DVNum],0)))</f>
        <v/>
      </c>
    </row>
    <row r="242" spans="1:2">
      <c r="A242" s="218" t="str">
        <f ca="1">IF(ROW()-1&gt;NumDataColumns,"",MAX(INDIRECT(CONCATENATE("R",ROW(ResultColumnLabels[#Headers]),"C",COLUMN(),":R",ROW()-1,"C",COLUMN()),FALSE))+1)</f>
        <v/>
      </c>
      <c r="B242" s="218" t="str">
        <f ca="1">IF(ResultColumnLabels[[#This Row],[Data Value Number]]="","",INDEX(DataColumns[ColumnLabel],MATCH(ResultColumnLabels[[#This Row],[Data Value Number]],DataColumns[DVNum],0)))</f>
        <v/>
      </c>
    </row>
    <row r="243" spans="1:2">
      <c r="A243" s="218" t="str">
        <f ca="1">IF(ROW()-1&gt;NumDataColumns,"",MAX(INDIRECT(CONCATENATE("R",ROW(ResultColumnLabels[#Headers]),"C",COLUMN(),":R",ROW()-1,"C",COLUMN()),FALSE))+1)</f>
        <v/>
      </c>
      <c r="B243" s="218" t="str">
        <f ca="1">IF(ResultColumnLabels[[#This Row],[Data Value Number]]="","",INDEX(DataColumns[ColumnLabel],MATCH(ResultColumnLabels[[#This Row],[Data Value Number]],DataColumns[DVNum],0)))</f>
        <v/>
      </c>
    </row>
    <row r="244" spans="1:2">
      <c r="A244" s="218" t="str">
        <f ca="1">IF(ROW()-1&gt;NumDataColumns,"",MAX(INDIRECT(CONCATENATE("R",ROW(ResultColumnLabels[#Headers]),"C",COLUMN(),":R",ROW()-1,"C",COLUMN()),FALSE))+1)</f>
        <v/>
      </c>
      <c r="B244" s="218" t="str">
        <f ca="1">IF(ResultColumnLabels[[#This Row],[Data Value Number]]="","",INDEX(DataColumns[ColumnLabel],MATCH(ResultColumnLabels[[#This Row],[Data Value Number]],DataColumns[DVNum],0)))</f>
        <v/>
      </c>
    </row>
    <row r="245" spans="1:2">
      <c r="A245" s="218" t="str">
        <f ca="1">IF(ROW()-1&gt;NumDataColumns,"",MAX(INDIRECT(CONCATENATE("R",ROW(ResultColumnLabels[#Headers]),"C",COLUMN(),":R",ROW()-1,"C",COLUMN()),FALSE))+1)</f>
        <v/>
      </c>
      <c r="B245" s="218" t="str">
        <f ca="1">IF(ResultColumnLabels[[#This Row],[Data Value Number]]="","",INDEX(DataColumns[ColumnLabel],MATCH(ResultColumnLabels[[#This Row],[Data Value Number]],DataColumns[DVNum],0)))</f>
        <v/>
      </c>
    </row>
    <row r="246" spans="1:2">
      <c r="A246" s="218" t="str">
        <f ca="1">IF(ROW()-1&gt;NumDataColumns,"",MAX(INDIRECT(CONCATENATE("R",ROW(ResultColumnLabels[#Headers]),"C",COLUMN(),":R",ROW()-1,"C",COLUMN()),FALSE))+1)</f>
        <v/>
      </c>
      <c r="B246" s="218" t="str">
        <f ca="1">IF(ResultColumnLabels[[#This Row],[Data Value Number]]="","",INDEX(DataColumns[ColumnLabel],MATCH(ResultColumnLabels[[#This Row],[Data Value Number]],DataColumns[DVNum],0)))</f>
        <v/>
      </c>
    </row>
    <row r="247" spans="1:2">
      <c r="A247" s="218" t="str">
        <f ca="1">IF(ROW()-1&gt;NumDataColumns,"",MAX(INDIRECT(CONCATENATE("R",ROW(ResultColumnLabels[#Headers]),"C",COLUMN(),":R",ROW()-1,"C",COLUMN()),FALSE))+1)</f>
        <v/>
      </c>
      <c r="B247" s="218" t="str">
        <f ca="1">IF(ResultColumnLabels[[#This Row],[Data Value Number]]="","",INDEX(DataColumns[ColumnLabel],MATCH(ResultColumnLabels[[#This Row],[Data Value Number]],DataColumns[DVNum],0)))</f>
        <v/>
      </c>
    </row>
    <row r="248" spans="1:2">
      <c r="A248" s="218" t="str">
        <f ca="1">IF(ROW()-1&gt;NumDataColumns,"",MAX(INDIRECT(CONCATENATE("R",ROW(ResultColumnLabels[#Headers]),"C",COLUMN(),":R",ROW()-1,"C",COLUMN()),FALSE))+1)</f>
        <v/>
      </c>
      <c r="B248" s="218" t="str">
        <f ca="1">IF(ResultColumnLabels[[#This Row],[Data Value Number]]="","",INDEX(DataColumns[ColumnLabel],MATCH(ResultColumnLabels[[#This Row],[Data Value Number]],DataColumns[DVNum],0)))</f>
        <v/>
      </c>
    </row>
    <row r="249" spans="1:2">
      <c r="A249" s="218" t="str">
        <f ca="1">IF(ROW()-1&gt;NumDataColumns,"",MAX(INDIRECT(CONCATENATE("R",ROW(ResultColumnLabels[#Headers]),"C",COLUMN(),":R",ROW()-1,"C",COLUMN()),FALSE))+1)</f>
        <v/>
      </c>
      <c r="B249" s="218" t="str">
        <f ca="1">IF(ResultColumnLabels[[#This Row],[Data Value Number]]="","",INDEX(DataColumns[ColumnLabel],MATCH(ResultColumnLabels[[#This Row],[Data Value Number]],DataColumns[DVNum],0)))</f>
        <v/>
      </c>
    </row>
    <row r="250" spans="1:2">
      <c r="A250" s="218" t="str">
        <f ca="1">IF(ROW()-1&gt;NumDataColumns,"",MAX(INDIRECT(CONCATENATE("R",ROW(ResultColumnLabels[#Headers]),"C",COLUMN(),":R",ROW()-1,"C",COLUMN()),FALSE))+1)</f>
        <v/>
      </c>
      <c r="B250" s="218" t="str">
        <f ca="1">IF(ResultColumnLabels[[#This Row],[Data Value Number]]="","",INDEX(DataColumns[ColumnLabel],MATCH(ResultColumnLabels[[#This Row],[Data Value Number]],DataColumns[DVNum],0)))</f>
        <v/>
      </c>
    </row>
    <row r="251" spans="1:2">
      <c r="A251" s="218" t="str">
        <f ca="1">IF(ROW()-1&gt;NumDataColumns,"",MAX(INDIRECT(CONCATENATE("R",ROW(ResultColumnLabels[#Headers]),"C",COLUMN(),":R",ROW()-1,"C",COLUMN()),FALSE))+1)</f>
        <v/>
      </c>
      <c r="B251" s="218" t="str">
        <f ca="1">IF(ResultColumnLabels[[#This Row],[Data Value Number]]="","",INDEX(DataColumns[ColumnLabel],MATCH(ResultColumnLabels[[#This Row],[Data Value Number]],DataColumns[DVNum],0)))</f>
        <v/>
      </c>
    </row>
    <row r="252" spans="1:2">
      <c r="A252" s="218" t="str">
        <f ca="1">IF(ROW()-1&gt;NumDataColumns,"",MAX(INDIRECT(CONCATENATE("R",ROW(ResultColumnLabels[#Headers]),"C",COLUMN(),":R",ROW()-1,"C",COLUMN()),FALSE))+1)</f>
        <v/>
      </c>
      <c r="B252" s="218" t="str">
        <f ca="1">IF(ResultColumnLabels[[#This Row],[Data Value Number]]="","",INDEX(DataColumns[ColumnLabel],MATCH(ResultColumnLabels[[#This Row],[Data Value Number]],DataColumns[DVNum],0)))</f>
        <v/>
      </c>
    </row>
    <row r="253" spans="1:2">
      <c r="A253" s="218" t="str">
        <f ca="1">IF(ROW()-1&gt;NumDataColumns,"",MAX(INDIRECT(CONCATENATE("R",ROW(ResultColumnLabels[#Headers]),"C",COLUMN(),":R",ROW()-1,"C",COLUMN()),FALSE))+1)</f>
        <v/>
      </c>
      <c r="B253" s="218" t="str">
        <f ca="1">IF(ResultColumnLabels[[#This Row],[Data Value Number]]="","",INDEX(DataColumns[ColumnLabel],MATCH(ResultColumnLabels[[#This Row],[Data Value Number]],DataColumns[DVNum],0)))</f>
        <v/>
      </c>
    </row>
    <row r="254" spans="1:2">
      <c r="A254" s="218" t="str">
        <f ca="1">IF(ROW()-1&gt;NumDataColumns,"",MAX(INDIRECT(CONCATENATE("R",ROW(ResultColumnLabels[#Headers]),"C",COLUMN(),":R",ROW()-1,"C",COLUMN()),FALSE))+1)</f>
        <v/>
      </c>
      <c r="B254" s="218" t="str">
        <f ca="1">IF(ResultColumnLabels[[#This Row],[Data Value Number]]="","",INDEX(DataColumns[ColumnLabel],MATCH(ResultColumnLabels[[#This Row],[Data Value Number]],DataColumns[DVNum],0)))</f>
        <v/>
      </c>
    </row>
    <row r="255" spans="1:2">
      <c r="A255" s="218" t="str">
        <f ca="1">IF(ROW()-1&gt;NumDataColumns,"",MAX(INDIRECT(CONCATENATE("R",ROW(ResultColumnLabels[#Headers]),"C",COLUMN(),":R",ROW()-1,"C",COLUMN()),FALSE))+1)</f>
        <v/>
      </c>
      <c r="B255" s="218" t="str">
        <f ca="1">IF(ResultColumnLabels[[#This Row],[Data Value Number]]="","",INDEX(DataColumns[ColumnLabel],MATCH(ResultColumnLabels[[#This Row],[Data Value Number]],DataColumns[DVNum],0)))</f>
        <v/>
      </c>
    </row>
    <row r="256" spans="1:2">
      <c r="A256" s="218" t="str">
        <f ca="1">IF(ROW()-1&gt;NumDataColumns,"",MAX(INDIRECT(CONCATENATE("R",ROW(ResultColumnLabels[#Headers]),"C",COLUMN(),":R",ROW()-1,"C",COLUMN()),FALSE))+1)</f>
        <v/>
      </c>
      <c r="B256" s="218" t="str">
        <f ca="1">IF(ResultColumnLabels[[#This Row],[Data Value Number]]="","",INDEX(DataColumns[ColumnLabel],MATCH(ResultColumnLabels[[#This Row],[Data Value Number]],DataColumns[DVNum],0)))</f>
        <v/>
      </c>
    </row>
    <row r="257" spans="1:2">
      <c r="A257" s="218" t="str">
        <f ca="1">IF(ROW()-1&gt;NumDataColumns,"",MAX(INDIRECT(CONCATENATE("R",ROW(ResultColumnLabels[#Headers]),"C",COLUMN(),":R",ROW()-1,"C",COLUMN()),FALSE))+1)</f>
        <v/>
      </c>
      <c r="B257" s="218" t="str">
        <f ca="1">IF(ResultColumnLabels[[#This Row],[Data Value Number]]="","",INDEX(DataColumns[ColumnLabel],MATCH(ResultColumnLabels[[#This Row],[Data Value Number]],DataColumns[DVNum],0)))</f>
        <v/>
      </c>
    </row>
    <row r="258" spans="1:2">
      <c r="A258" s="218" t="str">
        <f ca="1">IF(ROW()-1&gt;NumDataColumns,"",MAX(INDIRECT(CONCATENATE("R",ROW(ResultColumnLabels[#Headers]),"C",COLUMN(),":R",ROW()-1,"C",COLUMN()),FALSE))+1)</f>
        <v/>
      </c>
      <c r="B258" s="218" t="str">
        <f ca="1">IF(ResultColumnLabels[[#This Row],[Data Value Number]]="","",INDEX(DataColumns[ColumnLabel],MATCH(ResultColumnLabels[[#This Row],[Data Value Number]],DataColumns[DVNum],0)))</f>
        <v/>
      </c>
    </row>
    <row r="259" spans="1:2">
      <c r="A259" s="218" t="str">
        <f ca="1">IF(ROW()-1&gt;NumDataColumns,"",MAX(INDIRECT(CONCATENATE("R",ROW(ResultColumnLabels[#Headers]),"C",COLUMN(),":R",ROW()-1,"C",COLUMN()),FALSE))+1)</f>
        <v/>
      </c>
      <c r="B259" s="218" t="str">
        <f ca="1">IF(ResultColumnLabels[[#This Row],[Data Value Number]]="","",INDEX(DataColumns[ColumnLabel],MATCH(ResultColumnLabels[[#This Row],[Data Value Number]],DataColumns[DVNum],0)))</f>
        <v/>
      </c>
    </row>
    <row r="260" spans="1:2">
      <c r="A260" s="218" t="str">
        <f ca="1">IF(ROW()-1&gt;NumDataColumns,"",MAX(INDIRECT(CONCATENATE("R",ROW(ResultColumnLabels[#Headers]),"C",COLUMN(),":R",ROW()-1,"C",COLUMN()),FALSE))+1)</f>
        <v/>
      </c>
      <c r="B260" s="218" t="str">
        <f ca="1">IF(ResultColumnLabels[[#This Row],[Data Value Number]]="","",INDEX(DataColumns[ColumnLabel],MATCH(ResultColumnLabels[[#This Row],[Data Value Number]],DataColumns[DVNum],0)))</f>
        <v/>
      </c>
    </row>
    <row r="261" spans="1:2">
      <c r="A261" s="218" t="str">
        <f ca="1">IF(ROW()-1&gt;NumDataColumns,"",MAX(INDIRECT(CONCATENATE("R",ROW(ResultColumnLabels[#Headers]),"C",COLUMN(),":R",ROW()-1,"C",COLUMN()),FALSE))+1)</f>
        <v/>
      </c>
      <c r="B261" s="218" t="str">
        <f ca="1">IF(ResultColumnLabels[[#This Row],[Data Value Number]]="","",INDEX(DataColumns[ColumnLabel],MATCH(ResultColumnLabels[[#This Row],[Data Value Number]],DataColumns[DVNum],0)))</f>
        <v/>
      </c>
    </row>
    <row r="262" spans="1:2">
      <c r="A262" s="218" t="str">
        <f ca="1">IF(ROW()-1&gt;NumDataColumns,"",MAX(INDIRECT(CONCATENATE("R",ROW(ResultColumnLabels[#Headers]),"C",COLUMN(),":R",ROW()-1,"C",COLUMN()),FALSE))+1)</f>
        <v/>
      </c>
      <c r="B262" s="218" t="str">
        <f ca="1">IF(ResultColumnLabels[[#This Row],[Data Value Number]]="","",INDEX(DataColumns[ColumnLabel],MATCH(ResultColumnLabels[[#This Row],[Data Value Number]],DataColumns[DVNum],0)))</f>
        <v/>
      </c>
    </row>
    <row r="263" spans="1:2">
      <c r="A263" s="218" t="str">
        <f ca="1">IF(ROW()-1&gt;NumDataColumns,"",MAX(INDIRECT(CONCATENATE("R",ROW(ResultColumnLabels[#Headers]),"C",COLUMN(),":R",ROW()-1,"C",COLUMN()),FALSE))+1)</f>
        <v/>
      </c>
      <c r="B263" s="218" t="str">
        <f ca="1">IF(ResultColumnLabels[[#This Row],[Data Value Number]]="","",INDEX(DataColumns[ColumnLabel],MATCH(ResultColumnLabels[[#This Row],[Data Value Number]],DataColumns[DVNum],0)))</f>
        <v/>
      </c>
    </row>
    <row r="264" spans="1:2">
      <c r="A264" s="218" t="str">
        <f ca="1">IF(ROW()-1&gt;NumDataColumns,"",MAX(INDIRECT(CONCATENATE("R",ROW(ResultColumnLabels[#Headers]),"C",COLUMN(),":R",ROW()-1,"C",COLUMN()),FALSE))+1)</f>
        <v/>
      </c>
      <c r="B264" s="218" t="str">
        <f ca="1">IF(ResultColumnLabels[[#This Row],[Data Value Number]]="","",INDEX(DataColumns[ColumnLabel],MATCH(ResultColumnLabels[[#This Row],[Data Value Number]],DataColumns[DVNum],0)))</f>
        <v/>
      </c>
    </row>
    <row r="265" spans="1:2">
      <c r="A265" s="218" t="str">
        <f ca="1">IF(ROW()-1&gt;NumDataColumns,"",MAX(INDIRECT(CONCATENATE("R",ROW(ResultColumnLabels[#Headers]),"C",COLUMN(),":R",ROW()-1,"C",COLUMN()),FALSE))+1)</f>
        <v/>
      </c>
      <c r="B265" s="218" t="str">
        <f ca="1">IF(ResultColumnLabels[[#This Row],[Data Value Number]]="","",INDEX(DataColumns[ColumnLabel],MATCH(ResultColumnLabels[[#This Row],[Data Value Number]],DataColumns[DVNum],0)))</f>
        <v/>
      </c>
    </row>
    <row r="266" spans="1:2">
      <c r="A266" s="218" t="str">
        <f ca="1">IF(ROW()-1&gt;NumDataColumns,"",MAX(INDIRECT(CONCATENATE("R",ROW(ResultColumnLabels[#Headers]),"C",COLUMN(),":R",ROW()-1,"C",COLUMN()),FALSE))+1)</f>
        <v/>
      </c>
      <c r="B266" s="218" t="str">
        <f ca="1">IF(ResultColumnLabels[[#This Row],[Data Value Number]]="","",INDEX(DataColumns[ColumnLabel],MATCH(ResultColumnLabels[[#This Row],[Data Value Number]],DataColumns[DVNum],0)))</f>
        <v/>
      </c>
    </row>
    <row r="267" spans="1:2">
      <c r="A267" s="218" t="str">
        <f ca="1">IF(ROW()-1&gt;NumDataColumns,"",MAX(INDIRECT(CONCATENATE("R",ROW(ResultColumnLabels[#Headers]),"C",COLUMN(),":R",ROW()-1,"C",COLUMN()),FALSE))+1)</f>
        <v/>
      </c>
      <c r="B267" s="218" t="str">
        <f ca="1">IF(ResultColumnLabels[[#This Row],[Data Value Number]]="","",INDEX(DataColumns[ColumnLabel],MATCH(ResultColumnLabels[[#This Row],[Data Value Number]],DataColumns[DVNum],0)))</f>
        <v/>
      </c>
    </row>
    <row r="268" spans="1:2">
      <c r="A268" s="218" t="str">
        <f ca="1">IF(ROW()-1&gt;NumDataColumns,"",MAX(INDIRECT(CONCATENATE("R",ROW(ResultColumnLabels[#Headers]),"C",COLUMN(),":R",ROW()-1,"C",COLUMN()),FALSE))+1)</f>
        <v/>
      </c>
      <c r="B268" s="218" t="str">
        <f ca="1">IF(ResultColumnLabels[[#This Row],[Data Value Number]]="","",INDEX(DataColumns[ColumnLabel],MATCH(ResultColumnLabels[[#This Row],[Data Value Number]],DataColumns[DVNum],0)))</f>
        <v/>
      </c>
    </row>
    <row r="269" spans="1:2">
      <c r="A269" s="218" t="str">
        <f ca="1">IF(ROW()-1&gt;NumDataColumns,"",MAX(INDIRECT(CONCATENATE("R",ROW(ResultColumnLabels[#Headers]),"C",COLUMN(),":R",ROW()-1,"C",COLUMN()),FALSE))+1)</f>
        <v/>
      </c>
      <c r="B269" s="218" t="str">
        <f ca="1">IF(ResultColumnLabels[[#This Row],[Data Value Number]]="","",INDEX(DataColumns[ColumnLabel],MATCH(ResultColumnLabels[[#This Row],[Data Value Number]],DataColumns[DVNum],0)))</f>
        <v/>
      </c>
    </row>
    <row r="270" spans="1:2">
      <c r="A270" s="218" t="str">
        <f ca="1">IF(ROW()-1&gt;NumDataColumns,"",MAX(INDIRECT(CONCATENATE("R",ROW(ResultColumnLabels[#Headers]),"C",COLUMN(),":R",ROW()-1,"C",COLUMN()),FALSE))+1)</f>
        <v/>
      </c>
      <c r="B270" s="218" t="str">
        <f ca="1">IF(ResultColumnLabels[[#This Row],[Data Value Number]]="","",INDEX(DataColumns[ColumnLabel],MATCH(ResultColumnLabels[[#This Row],[Data Value Number]],DataColumns[DVNum],0)))</f>
        <v/>
      </c>
    </row>
    <row r="271" spans="1:2">
      <c r="A271" s="218" t="str">
        <f ca="1">IF(ROW()-1&gt;NumDataColumns,"",MAX(INDIRECT(CONCATENATE("R",ROW(ResultColumnLabels[#Headers]),"C",COLUMN(),":R",ROW()-1,"C",COLUMN()),FALSE))+1)</f>
        <v/>
      </c>
      <c r="B271" s="218" t="str">
        <f ca="1">IF(ResultColumnLabels[[#This Row],[Data Value Number]]="","",INDEX(DataColumns[ColumnLabel],MATCH(ResultColumnLabels[[#This Row],[Data Value Number]],DataColumns[DVNum],0)))</f>
        <v/>
      </c>
    </row>
    <row r="272" spans="1:2">
      <c r="A272" s="218" t="str">
        <f ca="1">IF(ROW()-1&gt;NumDataColumns,"",MAX(INDIRECT(CONCATENATE("R",ROW(ResultColumnLabels[#Headers]),"C",COLUMN(),":R",ROW()-1,"C",COLUMN()),FALSE))+1)</f>
        <v/>
      </c>
      <c r="B272" s="218" t="str">
        <f ca="1">IF(ResultColumnLabels[[#This Row],[Data Value Number]]="","",INDEX(DataColumns[ColumnLabel],MATCH(ResultColumnLabels[[#This Row],[Data Value Number]],DataColumns[DVNum],0)))</f>
        <v/>
      </c>
    </row>
    <row r="273" spans="1:2">
      <c r="A273" s="218" t="str">
        <f ca="1">IF(ROW()-1&gt;NumDataColumns,"",MAX(INDIRECT(CONCATENATE("R",ROW(ResultColumnLabels[#Headers]),"C",COLUMN(),":R",ROW()-1,"C",COLUMN()),FALSE))+1)</f>
        <v/>
      </c>
      <c r="B273" s="218" t="str">
        <f ca="1">IF(ResultColumnLabels[[#This Row],[Data Value Number]]="","",INDEX(DataColumns[ColumnLabel],MATCH(ResultColumnLabels[[#This Row],[Data Value Number]],DataColumns[DVNum],0)))</f>
        <v/>
      </c>
    </row>
    <row r="274" spans="1:2">
      <c r="A274" s="218" t="str">
        <f ca="1">IF(ROW()-1&gt;NumDataColumns,"",MAX(INDIRECT(CONCATENATE("R",ROW(ResultColumnLabels[#Headers]),"C",COLUMN(),":R",ROW()-1,"C",COLUMN()),FALSE))+1)</f>
        <v/>
      </c>
      <c r="B274" s="218" t="str">
        <f ca="1">IF(ResultColumnLabels[[#This Row],[Data Value Number]]="","",INDEX(DataColumns[ColumnLabel],MATCH(ResultColumnLabels[[#This Row],[Data Value Number]],DataColumns[DVNum],0)))</f>
        <v/>
      </c>
    </row>
    <row r="275" spans="1:2">
      <c r="A275" s="218" t="str">
        <f ca="1">IF(ROW()-1&gt;NumDataColumns,"",MAX(INDIRECT(CONCATENATE("R",ROW(ResultColumnLabels[#Headers]),"C",COLUMN(),":R",ROW()-1,"C",COLUMN()),FALSE))+1)</f>
        <v/>
      </c>
      <c r="B275" s="218" t="str">
        <f ca="1">IF(ResultColumnLabels[[#This Row],[Data Value Number]]="","",INDEX(DataColumns[ColumnLabel],MATCH(ResultColumnLabels[[#This Row],[Data Value Number]],DataColumns[DVNum],0)))</f>
        <v/>
      </c>
    </row>
    <row r="276" spans="1:2">
      <c r="A276" s="218" t="str">
        <f ca="1">IF(ROW()-1&gt;NumDataColumns,"",MAX(INDIRECT(CONCATENATE("R",ROW(ResultColumnLabels[#Headers]),"C",COLUMN(),":R",ROW()-1,"C",COLUMN()),FALSE))+1)</f>
        <v/>
      </c>
      <c r="B276" s="218" t="str">
        <f ca="1">IF(ResultColumnLabels[[#This Row],[Data Value Number]]="","",INDEX(DataColumns[ColumnLabel],MATCH(ResultColumnLabels[[#This Row],[Data Value Number]],DataColumns[DVNum],0)))</f>
        <v/>
      </c>
    </row>
    <row r="277" spans="1:2">
      <c r="A277" s="218" t="str">
        <f ca="1">IF(ROW()-1&gt;NumDataColumns,"",MAX(INDIRECT(CONCATENATE("R",ROW(ResultColumnLabels[#Headers]),"C",COLUMN(),":R",ROW()-1,"C",COLUMN()),FALSE))+1)</f>
        <v/>
      </c>
      <c r="B277" s="218" t="str">
        <f ca="1">IF(ResultColumnLabels[[#This Row],[Data Value Number]]="","",INDEX(DataColumns[ColumnLabel],MATCH(ResultColumnLabels[[#This Row],[Data Value Number]],DataColumns[DVNum],0)))</f>
        <v/>
      </c>
    </row>
    <row r="278" spans="1:2">
      <c r="A278" s="218" t="str">
        <f ca="1">IF(ROW()-1&gt;NumDataColumns,"",MAX(INDIRECT(CONCATENATE("R",ROW(ResultColumnLabels[#Headers]),"C",COLUMN(),":R",ROW()-1,"C",COLUMN()),FALSE))+1)</f>
        <v/>
      </c>
      <c r="B278" s="218" t="str">
        <f ca="1">IF(ResultColumnLabels[[#This Row],[Data Value Number]]="","",INDEX(DataColumns[ColumnLabel],MATCH(ResultColumnLabels[[#This Row],[Data Value Number]],DataColumns[DVNum],0)))</f>
        <v/>
      </c>
    </row>
    <row r="279" spans="1:2">
      <c r="A279" s="218" t="str">
        <f ca="1">IF(ROW()-1&gt;NumDataColumns,"",MAX(INDIRECT(CONCATENATE("R",ROW(ResultColumnLabels[#Headers]),"C",COLUMN(),":R",ROW()-1,"C",COLUMN()),FALSE))+1)</f>
        <v/>
      </c>
      <c r="B279" s="218" t="str">
        <f ca="1">IF(ResultColumnLabels[[#This Row],[Data Value Number]]="","",INDEX(DataColumns[ColumnLabel],MATCH(ResultColumnLabels[[#This Row],[Data Value Number]],DataColumns[DVNum],0)))</f>
        <v/>
      </c>
    </row>
    <row r="280" spans="1:2">
      <c r="A280" s="218" t="str">
        <f ca="1">IF(ROW()-1&gt;NumDataColumns,"",MAX(INDIRECT(CONCATENATE("R",ROW(ResultColumnLabels[#Headers]),"C",COLUMN(),":R",ROW()-1,"C",COLUMN()),FALSE))+1)</f>
        <v/>
      </c>
      <c r="B280" s="218" t="str">
        <f ca="1">IF(ResultColumnLabels[[#This Row],[Data Value Number]]="","",INDEX(DataColumns[ColumnLabel],MATCH(ResultColumnLabels[[#This Row],[Data Value Number]],DataColumns[DVNum],0)))</f>
        <v/>
      </c>
    </row>
    <row r="281" spans="1:2">
      <c r="A281" s="218" t="str">
        <f ca="1">IF(ROW()-1&gt;NumDataColumns,"",MAX(INDIRECT(CONCATENATE("R",ROW(ResultColumnLabels[#Headers]),"C",COLUMN(),":R",ROW()-1,"C",COLUMN()),FALSE))+1)</f>
        <v/>
      </c>
      <c r="B281" s="218" t="str">
        <f ca="1">IF(ResultColumnLabels[[#This Row],[Data Value Number]]="","",INDEX(DataColumns[ColumnLabel],MATCH(ResultColumnLabels[[#This Row],[Data Value Number]],DataColumns[DVNum],0)))</f>
        <v/>
      </c>
    </row>
    <row r="282" spans="1:2">
      <c r="A282" s="218" t="str">
        <f ca="1">IF(ROW()-1&gt;NumDataColumns,"",MAX(INDIRECT(CONCATENATE("R",ROW(ResultColumnLabels[#Headers]),"C",COLUMN(),":R",ROW()-1,"C",COLUMN()),FALSE))+1)</f>
        <v/>
      </c>
      <c r="B282" s="218" t="str">
        <f ca="1">IF(ResultColumnLabels[[#This Row],[Data Value Number]]="","",INDEX(DataColumns[ColumnLabel],MATCH(ResultColumnLabels[[#This Row],[Data Value Number]],DataColumns[DVNum],0)))</f>
        <v/>
      </c>
    </row>
    <row r="283" spans="1:2">
      <c r="A283" s="218" t="str">
        <f ca="1">IF(ROW()-1&gt;NumDataColumns,"",MAX(INDIRECT(CONCATENATE("R",ROW(ResultColumnLabels[#Headers]),"C",COLUMN(),":R",ROW()-1,"C",COLUMN()),FALSE))+1)</f>
        <v/>
      </c>
      <c r="B283" s="218" t="str">
        <f ca="1">IF(ResultColumnLabels[[#This Row],[Data Value Number]]="","",INDEX(DataColumns[ColumnLabel],MATCH(ResultColumnLabels[[#This Row],[Data Value Number]],DataColumns[DVNum],0)))</f>
        <v/>
      </c>
    </row>
    <row r="284" spans="1:2">
      <c r="A284" s="218" t="str">
        <f ca="1">IF(ROW()-1&gt;NumDataColumns,"",MAX(INDIRECT(CONCATENATE("R",ROW(ResultColumnLabels[#Headers]),"C",COLUMN(),":R",ROW()-1,"C",COLUMN()),FALSE))+1)</f>
        <v/>
      </c>
      <c r="B284" s="218" t="str">
        <f ca="1">IF(ResultColumnLabels[[#This Row],[Data Value Number]]="","",INDEX(DataColumns[ColumnLabel],MATCH(ResultColumnLabels[[#This Row],[Data Value Number]],DataColumns[DVNum],0)))</f>
        <v/>
      </c>
    </row>
    <row r="285" spans="1:2">
      <c r="A285" s="218" t="str">
        <f ca="1">IF(ROW()-1&gt;NumDataColumns,"",MAX(INDIRECT(CONCATENATE("R",ROW(ResultColumnLabels[#Headers]),"C",COLUMN(),":R",ROW()-1,"C",COLUMN()),FALSE))+1)</f>
        <v/>
      </c>
      <c r="B285" s="218" t="str">
        <f ca="1">IF(ResultColumnLabels[[#This Row],[Data Value Number]]="","",INDEX(DataColumns[ColumnLabel],MATCH(ResultColumnLabels[[#This Row],[Data Value Number]],DataColumns[DVNum],0)))</f>
        <v/>
      </c>
    </row>
    <row r="286" spans="1:2">
      <c r="A286" s="218" t="str">
        <f ca="1">IF(ROW()-1&gt;NumDataColumns,"",MAX(INDIRECT(CONCATENATE("R",ROW(ResultColumnLabels[#Headers]),"C",COLUMN(),":R",ROW()-1,"C",COLUMN()),FALSE))+1)</f>
        <v/>
      </c>
      <c r="B286" s="218" t="str">
        <f ca="1">IF(ResultColumnLabels[[#This Row],[Data Value Number]]="","",INDEX(DataColumns[ColumnLabel],MATCH(ResultColumnLabels[[#This Row],[Data Value Number]],DataColumns[DVNum],0)))</f>
        <v/>
      </c>
    </row>
    <row r="287" spans="1:2">
      <c r="A287" s="218" t="str">
        <f ca="1">IF(ROW()-1&gt;NumDataColumns,"",MAX(INDIRECT(CONCATENATE("R",ROW(ResultColumnLabels[#Headers]),"C",COLUMN(),":R",ROW()-1,"C",COLUMN()),FALSE))+1)</f>
        <v/>
      </c>
      <c r="B287" s="218" t="str">
        <f ca="1">IF(ResultColumnLabels[[#This Row],[Data Value Number]]="","",INDEX(DataColumns[ColumnLabel],MATCH(ResultColumnLabels[[#This Row],[Data Value Number]],DataColumns[DVNum],0)))</f>
        <v/>
      </c>
    </row>
    <row r="288" spans="1:2">
      <c r="A288" s="218" t="str">
        <f ca="1">IF(ROW()-1&gt;NumDataColumns,"",MAX(INDIRECT(CONCATENATE("R",ROW(ResultColumnLabels[#Headers]),"C",COLUMN(),":R",ROW()-1,"C",COLUMN()),FALSE))+1)</f>
        <v/>
      </c>
      <c r="B288" s="218" t="str">
        <f ca="1">IF(ResultColumnLabels[[#This Row],[Data Value Number]]="","",INDEX(DataColumns[ColumnLabel],MATCH(ResultColumnLabels[[#This Row],[Data Value Number]],DataColumns[DVNum],0)))</f>
        <v/>
      </c>
    </row>
    <row r="289" spans="1:2">
      <c r="A289" s="218" t="str">
        <f ca="1">IF(ROW()-1&gt;NumDataColumns,"",MAX(INDIRECT(CONCATENATE("R",ROW(ResultColumnLabels[#Headers]),"C",COLUMN(),":R",ROW()-1,"C",COLUMN()),FALSE))+1)</f>
        <v/>
      </c>
      <c r="B289" s="218" t="str">
        <f ca="1">IF(ResultColumnLabels[[#This Row],[Data Value Number]]="","",INDEX(DataColumns[ColumnLabel],MATCH(ResultColumnLabels[[#This Row],[Data Value Number]],DataColumns[DVNum],0)))</f>
        <v/>
      </c>
    </row>
    <row r="290" spans="1:2">
      <c r="A290" s="218" t="str">
        <f ca="1">IF(ROW()-1&gt;NumDataColumns,"",MAX(INDIRECT(CONCATENATE("R",ROW(ResultColumnLabels[#Headers]),"C",COLUMN(),":R",ROW()-1,"C",COLUMN()),FALSE))+1)</f>
        <v/>
      </c>
      <c r="B290" s="218" t="str">
        <f ca="1">IF(ResultColumnLabels[[#This Row],[Data Value Number]]="","",INDEX(DataColumns[ColumnLabel],MATCH(ResultColumnLabels[[#This Row],[Data Value Number]],DataColumns[DVNum],0)))</f>
        <v/>
      </c>
    </row>
    <row r="291" spans="1:2">
      <c r="A291" s="218" t="str">
        <f ca="1">IF(ROW()-1&gt;NumDataColumns,"",MAX(INDIRECT(CONCATENATE("R",ROW(ResultColumnLabels[#Headers]),"C",COLUMN(),":R",ROW()-1,"C",COLUMN()),FALSE))+1)</f>
        <v/>
      </c>
      <c r="B291" s="218" t="str">
        <f ca="1">IF(ResultColumnLabels[[#This Row],[Data Value Number]]="","",INDEX(DataColumns[ColumnLabel],MATCH(ResultColumnLabels[[#This Row],[Data Value Number]],DataColumns[DVNum],0)))</f>
        <v/>
      </c>
    </row>
    <row r="292" spans="1:2">
      <c r="A292" s="218" t="str">
        <f ca="1">IF(ROW()-1&gt;NumDataColumns,"",MAX(INDIRECT(CONCATENATE("R",ROW(ResultColumnLabels[#Headers]),"C",COLUMN(),":R",ROW()-1,"C",COLUMN()),FALSE))+1)</f>
        <v/>
      </c>
      <c r="B292" s="218" t="str">
        <f ca="1">IF(ResultColumnLabels[[#This Row],[Data Value Number]]="","",INDEX(DataColumns[ColumnLabel],MATCH(ResultColumnLabels[[#This Row],[Data Value Number]],DataColumns[DVNum],0)))</f>
        <v/>
      </c>
    </row>
    <row r="293" spans="1:2">
      <c r="A293" s="218" t="str">
        <f ca="1">IF(ROW()-1&gt;NumDataColumns,"",MAX(INDIRECT(CONCATENATE("R",ROW(ResultColumnLabels[#Headers]),"C",COLUMN(),":R",ROW()-1,"C",COLUMN()),FALSE))+1)</f>
        <v/>
      </c>
      <c r="B293" s="218" t="str">
        <f ca="1">IF(ResultColumnLabels[[#This Row],[Data Value Number]]="","",INDEX(DataColumns[ColumnLabel],MATCH(ResultColumnLabels[[#This Row],[Data Value Number]],DataColumns[DVNum],0)))</f>
        <v/>
      </c>
    </row>
    <row r="294" spans="1:2">
      <c r="A294" s="218" t="str">
        <f ca="1">IF(ROW()-1&gt;NumDataColumns,"",MAX(INDIRECT(CONCATENATE("R",ROW(ResultColumnLabels[#Headers]),"C",COLUMN(),":R",ROW()-1,"C",COLUMN()),FALSE))+1)</f>
        <v/>
      </c>
      <c r="B294" s="218" t="str">
        <f ca="1">IF(ResultColumnLabels[[#This Row],[Data Value Number]]="","",INDEX(DataColumns[ColumnLabel],MATCH(ResultColumnLabels[[#This Row],[Data Value Number]],DataColumns[DVNum],0)))</f>
        <v/>
      </c>
    </row>
    <row r="295" spans="1:2">
      <c r="A295" s="218" t="str">
        <f ca="1">IF(ROW()-1&gt;NumDataColumns,"",MAX(INDIRECT(CONCATENATE("R",ROW(ResultColumnLabels[#Headers]),"C",COLUMN(),":R",ROW()-1,"C",COLUMN()),FALSE))+1)</f>
        <v/>
      </c>
      <c r="B295" s="218" t="str">
        <f ca="1">IF(ResultColumnLabels[[#This Row],[Data Value Number]]="","",INDEX(DataColumns[ColumnLabel],MATCH(ResultColumnLabels[[#This Row],[Data Value Number]],DataColumns[DVNum],0)))</f>
        <v/>
      </c>
    </row>
    <row r="296" spans="1:2">
      <c r="A296" s="218" t="str">
        <f ca="1">IF(ROW()-1&gt;NumDataColumns,"",MAX(INDIRECT(CONCATENATE("R",ROW(ResultColumnLabels[#Headers]),"C",COLUMN(),":R",ROW()-1,"C",COLUMN()),FALSE))+1)</f>
        <v/>
      </c>
      <c r="B296" s="218" t="str">
        <f ca="1">IF(ResultColumnLabels[[#This Row],[Data Value Number]]="","",INDEX(DataColumns[ColumnLabel],MATCH(ResultColumnLabels[[#This Row],[Data Value Number]],DataColumns[DVNum],0)))</f>
        <v/>
      </c>
    </row>
    <row r="297" spans="1:2">
      <c r="A297" s="218" t="str">
        <f ca="1">IF(ROW()-1&gt;NumDataColumns,"",MAX(INDIRECT(CONCATENATE("R",ROW(ResultColumnLabels[#Headers]),"C",COLUMN(),":R",ROW()-1,"C",COLUMN()),FALSE))+1)</f>
        <v/>
      </c>
      <c r="B297" s="218" t="str">
        <f ca="1">IF(ResultColumnLabels[[#This Row],[Data Value Number]]="","",INDEX(DataColumns[ColumnLabel],MATCH(ResultColumnLabels[[#This Row],[Data Value Number]],DataColumns[DVNum],0)))</f>
        <v/>
      </c>
    </row>
    <row r="298" spans="1:2">
      <c r="A298" s="218" t="str">
        <f ca="1">IF(ROW()-1&gt;NumDataColumns,"",MAX(INDIRECT(CONCATENATE("R",ROW(ResultColumnLabels[#Headers]),"C",COLUMN(),":R",ROW()-1,"C",COLUMN()),FALSE))+1)</f>
        <v/>
      </c>
      <c r="B298" s="218" t="str">
        <f ca="1">IF(ResultColumnLabels[[#This Row],[Data Value Number]]="","",INDEX(DataColumns[ColumnLabel],MATCH(ResultColumnLabels[[#This Row],[Data Value Number]],DataColumns[DVNum],0)))</f>
        <v/>
      </c>
    </row>
    <row r="299" spans="1:2">
      <c r="A299" s="218" t="str">
        <f ca="1">IF(ROW()-1&gt;NumDataColumns,"",MAX(INDIRECT(CONCATENATE("R",ROW(ResultColumnLabels[#Headers]),"C",COLUMN(),":R",ROW()-1,"C",COLUMN()),FALSE))+1)</f>
        <v/>
      </c>
      <c r="B299" s="218" t="str">
        <f ca="1">IF(ResultColumnLabels[[#This Row],[Data Value Number]]="","",INDEX(DataColumns[ColumnLabel],MATCH(ResultColumnLabels[[#This Row],[Data Value Number]],DataColumns[DVNum],0)))</f>
        <v/>
      </c>
    </row>
    <row r="300" spans="1:2">
      <c r="A300" s="218" t="str">
        <f ca="1">IF(ROW()-1&gt;NumDataColumns,"",MAX(INDIRECT(CONCATENATE("R",ROW(ResultColumnLabels[#Headers]),"C",COLUMN(),":R",ROW()-1,"C",COLUMN()),FALSE))+1)</f>
        <v/>
      </c>
      <c r="B300" s="218" t="str">
        <f ca="1">IF(ResultColumnLabels[[#This Row],[Data Value Number]]="","",INDEX(DataColumns[ColumnLabel],MATCH(ResultColumnLabels[[#This Row],[Data Value Number]],DataColumns[DVNum],0)))</f>
        <v/>
      </c>
    </row>
    <row r="301" spans="1:2">
      <c r="A301" s="218" t="str">
        <f ca="1">IF(ROW()-1&gt;NumDataColumns,"",MAX(INDIRECT(CONCATENATE("R",ROW(ResultColumnLabels[#Headers]),"C",COLUMN(),":R",ROW()-1,"C",COLUMN()),FALSE))+1)</f>
        <v/>
      </c>
      <c r="B301" s="218" t="str">
        <f ca="1">IF(ResultColumnLabels[[#This Row],[Data Value Number]]="","",INDEX(DataColumns[ColumnLabel],MATCH(ResultColumnLabels[[#This Row],[Data Value Number]],DataColumns[DVNum],0)))</f>
        <v/>
      </c>
    </row>
    <row r="302" spans="1:2">
      <c r="A302" s="218" t="str">
        <f ca="1">IF(ROW()-1&gt;NumDataColumns,"",MAX(INDIRECT(CONCATENATE("R",ROW(ResultColumnLabels[#Headers]),"C",COLUMN(),":R",ROW()-1,"C",COLUMN()),FALSE))+1)</f>
        <v/>
      </c>
      <c r="B302" s="218" t="str">
        <f ca="1">IF(ResultColumnLabels[[#This Row],[Data Value Number]]="","",INDEX(DataColumns[ColumnLabel],MATCH(ResultColumnLabels[[#This Row],[Data Value Number]],DataColumns[DVNum],0)))</f>
        <v/>
      </c>
    </row>
    <row r="303" spans="1:2">
      <c r="A303" s="218" t="str">
        <f ca="1">IF(ROW()-1&gt;NumDataColumns,"",MAX(INDIRECT(CONCATENATE("R",ROW(ResultColumnLabels[#Headers]),"C",COLUMN(),":R",ROW()-1,"C",COLUMN()),FALSE))+1)</f>
        <v/>
      </c>
      <c r="B303" s="218" t="str">
        <f ca="1">IF(ResultColumnLabels[[#This Row],[Data Value Number]]="","",INDEX(DataColumns[ColumnLabel],MATCH(ResultColumnLabels[[#This Row],[Data Value Number]],DataColumns[DVNum],0)))</f>
        <v/>
      </c>
    </row>
    <row r="304" spans="1:2">
      <c r="A304" s="218" t="str">
        <f ca="1">IF(ROW()-1&gt;NumDataColumns,"",MAX(INDIRECT(CONCATENATE("R",ROW(ResultColumnLabels[#Headers]),"C",COLUMN(),":R",ROW()-1,"C",COLUMN()),FALSE))+1)</f>
        <v/>
      </c>
      <c r="B304" s="218" t="str">
        <f ca="1">IF(ResultColumnLabels[[#This Row],[Data Value Number]]="","",INDEX(DataColumns[ColumnLabel],MATCH(ResultColumnLabels[[#This Row],[Data Value Number]],DataColumns[DVNum],0)))</f>
        <v/>
      </c>
    </row>
    <row r="305" spans="1:2">
      <c r="A305" s="218" t="str">
        <f ca="1">IF(ROW()-1&gt;NumDataColumns,"",MAX(INDIRECT(CONCATENATE("R",ROW(ResultColumnLabels[#Headers]),"C",COLUMN(),":R",ROW()-1,"C",COLUMN()),FALSE))+1)</f>
        <v/>
      </c>
      <c r="B305" s="218" t="str">
        <f ca="1">IF(ResultColumnLabels[[#This Row],[Data Value Number]]="","",INDEX(DataColumns[ColumnLabel],MATCH(ResultColumnLabels[[#This Row],[Data Value Number]],DataColumns[DVNum],0)))</f>
        <v/>
      </c>
    </row>
    <row r="306" spans="1:2">
      <c r="A306" s="218" t="str">
        <f ca="1">IF(ROW()-1&gt;NumDataColumns,"",MAX(INDIRECT(CONCATENATE("R",ROW(ResultColumnLabels[#Headers]),"C",COLUMN(),":R",ROW()-1,"C",COLUMN()),FALSE))+1)</f>
        <v/>
      </c>
      <c r="B306" s="218" t="str">
        <f ca="1">IF(ResultColumnLabels[[#This Row],[Data Value Number]]="","",INDEX(DataColumns[ColumnLabel],MATCH(ResultColumnLabels[[#This Row],[Data Value Number]],DataColumns[DVNum],0)))</f>
        <v/>
      </c>
    </row>
    <row r="307" spans="1:2">
      <c r="A307" s="218" t="str">
        <f ca="1">IF(ROW()-1&gt;NumDataColumns,"",MAX(INDIRECT(CONCATENATE("R",ROW(ResultColumnLabels[#Headers]),"C",COLUMN(),":R",ROW()-1,"C",COLUMN()),FALSE))+1)</f>
        <v/>
      </c>
      <c r="B307" s="218" t="str">
        <f ca="1">IF(ResultColumnLabels[[#This Row],[Data Value Number]]="","",INDEX(DataColumns[ColumnLabel],MATCH(ResultColumnLabels[[#This Row],[Data Value Number]],DataColumns[DVNum],0)))</f>
        <v/>
      </c>
    </row>
    <row r="308" spans="1:2">
      <c r="A308" s="218" t="str">
        <f ca="1">IF(ROW()-1&gt;NumDataColumns,"",MAX(INDIRECT(CONCATENATE("R",ROW(ResultColumnLabels[#Headers]),"C",COLUMN(),":R",ROW()-1,"C",COLUMN()),FALSE))+1)</f>
        <v/>
      </c>
      <c r="B308" s="218" t="str">
        <f ca="1">IF(ResultColumnLabels[[#This Row],[Data Value Number]]="","",INDEX(DataColumns[ColumnLabel],MATCH(ResultColumnLabels[[#This Row],[Data Value Number]],DataColumns[DVNum],0)))</f>
        <v/>
      </c>
    </row>
    <row r="309" spans="1:2">
      <c r="A309" s="218" t="str">
        <f ca="1">IF(ROW()-1&gt;NumDataColumns,"",MAX(INDIRECT(CONCATENATE("R",ROW(ResultColumnLabels[#Headers]),"C",COLUMN(),":R",ROW()-1,"C",COLUMN()),FALSE))+1)</f>
        <v/>
      </c>
      <c r="B309" s="218" t="str">
        <f ca="1">IF(ResultColumnLabels[[#This Row],[Data Value Number]]="","",INDEX(DataColumns[ColumnLabel],MATCH(ResultColumnLabels[[#This Row],[Data Value Number]],DataColumns[DVNum],0)))</f>
        <v/>
      </c>
    </row>
    <row r="310" spans="1:2">
      <c r="A310" s="218" t="str">
        <f ca="1">IF(ROW()-1&gt;NumDataColumns,"",MAX(INDIRECT(CONCATENATE("R",ROW(ResultColumnLabels[#Headers]),"C",COLUMN(),":R",ROW()-1,"C",COLUMN()),FALSE))+1)</f>
        <v/>
      </c>
      <c r="B310" s="218" t="str">
        <f ca="1">IF(ResultColumnLabels[[#This Row],[Data Value Number]]="","",INDEX(DataColumns[ColumnLabel],MATCH(ResultColumnLabels[[#This Row],[Data Value Number]],DataColumns[DVNum],0)))</f>
        <v/>
      </c>
    </row>
    <row r="311" spans="1:2">
      <c r="A311" s="218" t="str">
        <f ca="1">IF(ROW()-1&gt;NumDataColumns,"",MAX(INDIRECT(CONCATENATE("R",ROW(ResultColumnLabels[#Headers]),"C",COLUMN(),":R",ROW()-1,"C",COLUMN()),FALSE))+1)</f>
        <v/>
      </c>
      <c r="B311" s="218" t="str">
        <f ca="1">IF(ResultColumnLabels[[#This Row],[Data Value Number]]="","",INDEX(DataColumns[ColumnLabel],MATCH(ResultColumnLabels[[#This Row],[Data Value Number]],DataColumns[DVNum],0)))</f>
        <v/>
      </c>
    </row>
    <row r="312" spans="1:2">
      <c r="A312" s="218" t="str">
        <f ca="1">IF(ROW()-1&gt;NumDataColumns,"",MAX(INDIRECT(CONCATENATE("R",ROW(ResultColumnLabels[#Headers]),"C",COLUMN(),":R",ROW()-1,"C",COLUMN()),FALSE))+1)</f>
        <v/>
      </c>
      <c r="B312" s="218" t="str">
        <f ca="1">IF(ResultColumnLabels[[#This Row],[Data Value Number]]="","",INDEX(DataColumns[ColumnLabel],MATCH(ResultColumnLabels[[#This Row],[Data Value Number]],DataColumns[DVNum],0)))</f>
        <v/>
      </c>
    </row>
    <row r="313" spans="1:2">
      <c r="A313" s="218" t="str">
        <f ca="1">IF(ROW()-1&gt;NumDataColumns,"",MAX(INDIRECT(CONCATENATE("R",ROW(ResultColumnLabels[#Headers]),"C",COLUMN(),":R",ROW()-1,"C",COLUMN()),FALSE))+1)</f>
        <v/>
      </c>
      <c r="B313" s="218" t="str">
        <f ca="1">IF(ResultColumnLabels[[#This Row],[Data Value Number]]="","",INDEX(DataColumns[ColumnLabel],MATCH(ResultColumnLabels[[#This Row],[Data Value Number]],DataColumns[DVNum],0)))</f>
        <v/>
      </c>
    </row>
    <row r="314" spans="1:2">
      <c r="A314" s="218" t="str">
        <f ca="1">IF(ROW()-1&gt;NumDataColumns,"",MAX(INDIRECT(CONCATENATE("R",ROW(ResultColumnLabels[#Headers]),"C",COLUMN(),":R",ROW()-1,"C",COLUMN()),FALSE))+1)</f>
        <v/>
      </c>
      <c r="B314" s="218" t="str">
        <f ca="1">IF(ResultColumnLabels[[#This Row],[Data Value Number]]="","",INDEX(DataColumns[ColumnLabel],MATCH(ResultColumnLabels[[#This Row],[Data Value Number]],DataColumns[DVNum],0)))</f>
        <v/>
      </c>
    </row>
    <row r="315" spans="1:2">
      <c r="A315" s="218" t="str">
        <f ca="1">IF(ROW()-1&gt;NumDataColumns,"",MAX(INDIRECT(CONCATENATE("R",ROW(ResultColumnLabels[#Headers]),"C",COLUMN(),":R",ROW()-1,"C",COLUMN()),FALSE))+1)</f>
        <v/>
      </c>
      <c r="B315" s="218" t="str">
        <f ca="1">IF(ResultColumnLabels[[#This Row],[Data Value Number]]="","",INDEX(DataColumns[ColumnLabel],MATCH(ResultColumnLabels[[#This Row],[Data Value Number]],DataColumns[DVNum],0)))</f>
        <v/>
      </c>
    </row>
    <row r="316" spans="1:2">
      <c r="A316" s="218" t="str">
        <f ca="1">IF(ROW()-1&gt;NumDataColumns,"",MAX(INDIRECT(CONCATENATE("R",ROW(ResultColumnLabels[#Headers]),"C",COLUMN(),":R",ROW()-1,"C",COLUMN()),FALSE))+1)</f>
        <v/>
      </c>
      <c r="B316" s="218" t="str">
        <f ca="1">IF(ResultColumnLabels[[#This Row],[Data Value Number]]="","",INDEX(DataColumns[ColumnLabel],MATCH(ResultColumnLabels[[#This Row],[Data Value Number]],DataColumns[DVNum],0)))</f>
        <v/>
      </c>
    </row>
    <row r="317" spans="1:2">
      <c r="A317" s="218" t="str">
        <f ca="1">IF(ROW()-1&gt;NumDataColumns,"",MAX(INDIRECT(CONCATENATE("R",ROW(ResultColumnLabels[#Headers]),"C",COLUMN(),":R",ROW()-1,"C",COLUMN()),FALSE))+1)</f>
        <v/>
      </c>
      <c r="B317" s="218" t="str">
        <f ca="1">IF(ResultColumnLabels[[#This Row],[Data Value Number]]="","",INDEX(DataColumns[ColumnLabel],MATCH(ResultColumnLabels[[#This Row],[Data Value Number]],DataColumns[DVNum],0)))</f>
        <v/>
      </c>
    </row>
    <row r="318" spans="1:2">
      <c r="A318" s="218" t="str">
        <f ca="1">IF(ROW()-1&gt;NumDataColumns,"",MAX(INDIRECT(CONCATENATE("R",ROW(ResultColumnLabels[#Headers]),"C",COLUMN(),":R",ROW()-1,"C",COLUMN()),FALSE))+1)</f>
        <v/>
      </c>
      <c r="B318" s="218" t="str">
        <f ca="1">IF(ResultColumnLabels[[#This Row],[Data Value Number]]="","",INDEX(DataColumns[ColumnLabel],MATCH(ResultColumnLabels[[#This Row],[Data Value Number]],DataColumns[DVNum],0)))</f>
        <v/>
      </c>
    </row>
    <row r="319" spans="1:2">
      <c r="A319" s="218" t="str">
        <f ca="1">IF(ROW()-1&gt;NumDataColumns,"",MAX(INDIRECT(CONCATENATE("R",ROW(ResultColumnLabels[#Headers]),"C",COLUMN(),":R",ROW()-1,"C",COLUMN()),FALSE))+1)</f>
        <v/>
      </c>
      <c r="B319" s="218" t="str">
        <f ca="1">IF(ResultColumnLabels[[#This Row],[Data Value Number]]="","",INDEX(DataColumns[ColumnLabel],MATCH(ResultColumnLabels[[#This Row],[Data Value Number]],DataColumns[DVNum],0)))</f>
        <v/>
      </c>
    </row>
    <row r="320" spans="1:2">
      <c r="A320" s="218" t="str">
        <f ca="1">IF(ROW()-1&gt;NumDataColumns,"",MAX(INDIRECT(CONCATENATE("R",ROW(ResultColumnLabels[#Headers]),"C",COLUMN(),":R",ROW()-1,"C",COLUMN()),FALSE))+1)</f>
        <v/>
      </c>
      <c r="B320" s="218" t="str">
        <f ca="1">IF(ResultColumnLabels[[#This Row],[Data Value Number]]="","",INDEX(DataColumns[ColumnLabel],MATCH(ResultColumnLabels[[#This Row],[Data Value Number]],DataColumns[DVNum],0)))</f>
        <v/>
      </c>
    </row>
    <row r="321" spans="1:2">
      <c r="A321" s="218" t="str">
        <f ca="1">IF(ROW()-1&gt;NumDataColumns,"",MAX(INDIRECT(CONCATENATE("R",ROW(ResultColumnLabels[#Headers]),"C",COLUMN(),":R",ROW()-1,"C",COLUMN()),FALSE))+1)</f>
        <v/>
      </c>
      <c r="B321" s="218" t="str">
        <f ca="1">IF(ResultColumnLabels[[#This Row],[Data Value Number]]="","",INDEX(DataColumns[ColumnLabel],MATCH(ResultColumnLabels[[#This Row],[Data Value Number]],DataColumns[DVNum],0)))</f>
        <v/>
      </c>
    </row>
    <row r="322" spans="1:2">
      <c r="A322" s="218" t="str">
        <f ca="1">IF(ROW()-1&gt;NumDataColumns,"",MAX(INDIRECT(CONCATENATE("R",ROW(ResultColumnLabels[#Headers]),"C",COLUMN(),":R",ROW()-1,"C",COLUMN()),FALSE))+1)</f>
        <v/>
      </c>
      <c r="B322" s="218" t="str">
        <f ca="1">IF(ResultColumnLabels[[#This Row],[Data Value Number]]="","",INDEX(DataColumns[ColumnLabel],MATCH(ResultColumnLabels[[#This Row],[Data Value Number]],DataColumns[DVNum],0)))</f>
        <v/>
      </c>
    </row>
    <row r="323" spans="1:2">
      <c r="A323" s="218" t="str">
        <f ca="1">IF(ROW()-1&gt;NumDataColumns,"",MAX(INDIRECT(CONCATENATE("R",ROW(ResultColumnLabels[#Headers]),"C",COLUMN(),":R",ROW()-1,"C",COLUMN()),FALSE))+1)</f>
        <v/>
      </c>
      <c r="B323" s="218" t="str">
        <f ca="1">IF(ResultColumnLabels[[#This Row],[Data Value Number]]="","",INDEX(DataColumns[ColumnLabel],MATCH(ResultColumnLabels[[#This Row],[Data Value Number]],DataColumns[DVNum],0)))</f>
        <v/>
      </c>
    </row>
    <row r="324" spans="1:2">
      <c r="A324" s="218" t="str">
        <f ca="1">IF(ROW()-1&gt;NumDataColumns,"",MAX(INDIRECT(CONCATENATE("R",ROW(ResultColumnLabels[#Headers]),"C",COLUMN(),":R",ROW()-1,"C",COLUMN()),FALSE))+1)</f>
        <v/>
      </c>
      <c r="B324" s="218" t="str">
        <f ca="1">IF(ResultColumnLabels[[#This Row],[Data Value Number]]="","",INDEX(DataColumns[ColumnLabel],MATCH(ResultColumnLabels[[#This Row],[Data Value Number]],DataColumns[DVNum],0)))</f>
        <v/>
      </c>
    </row>
    <row r="325" spans="1:2">
      <c r="A325" s="218" t="str">
        <f ca="1">IF(ROW()-1&gt;NumDataColumns,"",MAX(INDIRECT(CONCATENATE("R",ROW(ResultColumnLabels[#Headers]),"C",COLUMN(),":R",ROW()-1,"C",COLUMN()),FALSE))+1)</f>
        <v/>
      </c>
      <c r="B325" s="218" t="str">
        <f ca="1">IF(ResultColumnLabels[[#This Row],[Data Value Number]]="","",INDEX(DataColumns[ColumnLabel],MATCH(ResultColumnLabels[[#This Row],[Data Value Number]],DataColumns[DVNum],0)))</f>
        <v/>
      </c>
    </row>
    <row r="326" spans="1:2">
      <c r="A326" s="218" t="str">
        <f ca="1">IF(ROW()-1&gt;NumDataColumns,"",MAX(INDIRECT(CONCATENATE("R",ROW(ResultColumnLabels[#Headers]),"C",COLUMN(),":R",ROW()-1,"C",COLUMN()),FALSE))+1)</f>
        <v/>
      </c>
      <c r="B326" s="218" t="str">
        <f ca="1">IF(ResultColumnLabels[[#This Row],[Data Value Number]]="","",INDEX(DataColumns[ColumnLabel],MATCH(ResultColumnLabels[[#This Row],[Data Value Number]],DataColumns[DVNum],0)))</f>
        <v/>
      </c>
    </row>
    <row r="327" spans="1:2">
      <c r="A327" s="218" t="str">
        <f ca="1">IF(ROW()-1&gt;NumDataColumns,"",MAX(INDIRECT(CONCATENATE("R",ROW(ResultColumnLabels[#Headers]),"C",COLUMN(),":R",ROW()-1,"C",COLUMN()),FALSE))+1)</f>
        <v/>
      </c>
      <c r="B327" s="218" t="str">
        <f ca="1">IF(ResultColumnLabels[[#This Row],[Data Value Number]]="","",INDEX(DataColumns[ColumnLabel],MATCH(ResultColumnLabels[[#This Row],[Data Value Number]],DataColumns[DVNum],0)))</f>
        <v/>
      </c>
    </row>
    <row r="328" spans="1:2">
      <c r="A328" s="218" t="str">
        <f ca="1">IF(ROW()-1&gt;NumDataColumns,"",MAX(INDIRECT(CONCATENATE("R",ROW(ResultColumnLabels[#Headers]),"C",COLUMN(),":R",ROW()-1,"C",COLUMN()),FALSE))+1)</f>
        <v/>
      </c>
      <c r="B328" s="218" t="str">
        <f ca="1">IF(ResultColumnLabels[[#This Row],[Data Value Number]]="","",INDEX(DataColumns[ColumnLabel],MATCH(ResultColumnLabels[[#This Row],[Data Value Number]],DataColumns[DVNum],0)))</f>
        <v/>
      </c>
    </row>
    <row r="329" spans="1:2">
      <c r="A329" s="218" t="str">
        <f ca="1">IF(ROW()-1&gt;NumDataColumns,"",MAX(INDIRECT(CONCATENATE("R",ROW(ResultColumnLabels[#Headers]),"C",COLUMN(),":R",ROW()-1,"C",COLUMN()),FALSE))+1)</f>
        <v/>
      </c>
      <c r="B329" s="218" t="str">
        <f ca="1">IF(ResultColumnLabels[[#This Row],[Data Value Number]]="","",INDEX(DataColumns[ColumnLabel],MATCH(ResultColumnLabels[[#This Row],[Data Value Number]],DataColumns[DVNum],0)))</f>
        <v/>
      </c>
    </row>
    <row r="330" spans="1:2">
      <c r="A330" s="218" t="str">
        <f ca="1">IF(ROW()-1&gt;NumDataColumns,"",MAX(INDIRECT(CONCATENATE("R",ROW(ResultColumnLabels[#Headers]),"C",COLUMN(),":R",ROW()-1,"C",COLUMN()),FALSE))+1)</f>
        <v/>
      </c>
      <c r="B330" s="218" t="str">
        <f ca="1">IF(ResultColumnLabels[[#This Row],[Data Value Number]]="","",INDEX(DataColumns[ColumnLabel],MATCH(ResultColumnLabels[[#This Row],[Data Value Number]],DataColumns[DVNum],0)))</f>
        <v/>
      </c>
    </row>
    <row r="331" spans="1:2">
      <c r="A331" s="218" t="str">
        <f ca="1">IF(ROW()-1&gt;NumDataColumns,"",MAX(INDIRECT(CONCATENATE("R",ROW(ResultColumnLabels[#Headers]),"C",COLUMN(),":R",ROW()-1,"C",COLUMN()),FALSE))+1)</f>
        <v/>
      </c>
      <c r="B331" s="218" t="str">
        <f ca="1">IF(ResultColumnLabels[[#This Row],[Data Value Number]]="","",INDEX(DataColumns[ColumnLabel],MATCH(ResultColumnLabels[[#This Row],[Data Value Number]],DataColumns[DVNum],0)))</f>
        <v/>
      </c>
    </row>
    <row r="332" spans="1:2">
      <c r="A332" s="218" t="str">
        <f ca="1">IF(ROW()-1&gt;NumDataColumns,"",MAX(INDIRECT(CONCATENATE("R",ROW(ResultColumnLabels[#Headers]),"C",COLUMN(),":R",ROW()-1,"C",COLUMN()),FALSE))+1)</f>
        <v/>
      </c>
      <c r="B332" s="218" t="str">
        <f ca="1">IF(ResultColumnLabels[[#This Row],[Data Value Number]]="","",INDEX(DataColumns[ColumnLabel],MATCH(ResultColumnLabels[[#This Row],[Data Value Number]],DataColumns[DVNum],0)))</f>
        <v/>
      </c>
    </row>
    <row r="333" spans="1:2">
      <c r="A333" s="218" t="str">
        <f ca="1">IF(ROW()-1&gt;NumDataColumns,"",MAX(INDIRECT(CONCATENATE("R",ROW(ResultColumnLabels[#Headers]),"C",COLUMN(),":R",ROW()-1,"C",COLUMN()),FALSE))+1)</f>
        <v/>
      </c>
      <c r="B333" s="218" t="str">
        <f ca="1">IF(ResultColumnLabels[[#This Row],[Data Value Number]]="","",INDEX(DataColumns[ColumnLabel],MATCH(ResultColumnLabels[[#This Row],[Data Value Number]],DataColumns[DVNum],0)))</f>
        <v/>
      </c>
    </row>
    <row r="334" spans="1:2">
      <c r="A334" s="218" t="str">
        <f ca="1">IF(ROW()-1&gt;NumDataColumns,"",MAX(INDIRECT(CONCATENATE("R",ROW(ResultColumnLabels[#Headers]),"C",COLUMN(),":R",ROW()-1,"C",COLUMN()),FALSE))+1)</f>
        <v/>
      </c>
      <c r="B334" s="218" t="str">
        <f ca="1">IF(ResultColumnLabels[[#This Row],[Data Value Number]]="","",INDEX(DataColumns[ColumnLabel],MATCH(ResultColumnLabels[[#This Row],[Data Value Number]],DataColumns[DVNum],0)))</f>
        <v/>
      </c>
    </row>
    <row r="335" spans="1:2">
      <c r="A335" s="218" t="str">
        <f ca="1">IF(ROW()-1&gt;NumDataColumns,"",MAX(INDIRECT(CONCATENATE("R",ROW(ResultColumnLabels[#Headers]),"C",COLUMN(),":R",ROW()-1,"C",COLUMN()),FALSE))+1)</f>
        <v/>
      </c>
      <c r="B335" s="218" t="str">
        <f ca="1">IF(ResultColumnLabels[[#This Row],[Data Value Number]]="","",INDEX(DataColumns[ColumnLabel],MATCH(ResultColumnLabels[[#This Row],[Data Value Number]],DataColumns[DVNum],0)))</f>
        <v/>
      </c>
    </row>
    <row r="336" spans="1:2">
      <c r="A336" s="218" t="str">
        <f ca="1">IF(ROW()-1&gt;NumDataColumns,"",MAX(INDIRECT(CONCATENATE("R",ROW(ResultColumnLabels[#Headers]),"C",COLUMN(),":R",ROW()-1,"C",COLUMN()),FALSE))+1)</f>
        <v/>
      </c>
      <c r="B336" s="218" t="str">
        <f ca="1">IF(ResultColumnLabels[[#This Row],[Data Value Number]]="","",INDEX(DataColumns[ColumnLabel],MATCH(ResultColumnLabels[[#This Row],[Data Value Number]],DataColumns[DVNum],0)))</f>
        <v/>
      </c>
    </row>
    <row r="337" spans="1:2">
      <c r="A337" s="218" t="str">
        <f ca="1">IF(ROW()-1&gt;NumDataColumns,"",MAX(INDIRECT(CONCATENATE("R",ROW(ResultColumnLabels[#Headers]),"C",COLUMN(),":R",ROW()-1,"C",COLUMN()),FALSE))+1)</f>
        <v/>
      </c>
      <c r="B337" s="218" t="str">
        <f ca="1">IF(ResultColumnLabels[[#This Row],[Data Value Number]]="","",INDEX(DataColumns[ColumnLabel],MATCH(ResultColumnLabels[[#This Row],[Data Value Number]],DataColumns[DVNum],0)))</f>
        <v/>
      </c>
    </row>
    <row r="338" spans="1:2">
      <c r="A338" s="218" t="str">
        <f ca="1">IF(ROW()-1&gt;NumDataColumns,"",MAX(INDIRECT(CONCATENATE("R",ROW(ResultColumnLabels[#Headers]),"C",COLUMN(),":R",ROW()-1,"C",COLUMN()),FALSE))+1)</f>
        <v/>
      </c>
      <c r="B338" s="218" t="str">
        <f ca="1">IF(ResultColumnLabels[[#This Row],[Data Value Number]]="","",INDEX(DataColumns[ColumnLabel],MATCH(ResultColumnLabels[[#This Row],[Data Value Number]],DataColumns[DVNum],0)))</f>
        <v/>
      </c>
    </row>
    <row r="339" spans="1:2">
      <c r="A339" s="218" t="str">
        <f ca="1">IF(ROW()-1&gt;NumDataColumns,"",MAX(INDIRECT(CONCATENATE("R",ROW(ResultColumnLabels[#Headers]),"C",COLUMN(),":R",ROW()-1,"C",COLUMN()),FALSE))+1)</f>
        <v/>
      </c>
      <c r="B339" s="218" t="str">
        <f ca="1">IF(ResultColumnLabels[[#This Row],[Data Value Number]]="","",INDEX(DataColumns[ColumnLabel],MATCH(ResultColumnLabels[[#This Row],[Data Value Number]],DataColumns[DVNum],0)))</f>
        <v/>
      </c>
    </row>
    <row r="340" spans="1:2">
      <c r="A340" s="218" t="str">
        <f ca="1">IF(ROW()-1&gt;NumDataColumns,"",MAX(INDIRECT(CONCATENATE("R",ROW(ResultColumnLabels[#Headers]),"C",COLUMN(),":R",ROW()-1,"C",COLUMN()),FALSE))+1)</f>
        <v/>
      </c>
      <c r="B340" s="218" t="str">
        <f ca="1">IF(ResultColumnLabels[[#This Row],[Data Value Number]]="","",INDEX(DataColumns[ColumnLabel],MATCH(ResultColumnLabels[[#This Row],[Data Value Number]],DataColumns[DVNum],0)))</f>
        <v/>
      </c>
    </row>
    <row r="341" spans="1:2">
      <c r="A341" s="218" t="str">
        <f ca="1">IF(ROW()-1&gt;NumDataColumns,"",MAX(INDIRECT(CONCATENATE("R",ROW(ResultColumnLabels[#Headers]),"C",COLUMN(),":R",ROW()-1,"C",COLUMN()),FALSE))+1)</f>
        <v/>
      </c>
      <c r="B341" s="218" t="str">
        <f ca="1">IF(ResultColumnLabels[[#This Row],[Data Value Number]]="","",INDEX(DataColumns[ColumnLabel],MATCH(ResultColumnLabels[[#This Row],[Data Value Number]],DataColumns[DVNum],0)))</f>
        <v/>
      </c>
    </row>
    <row r="342" spans="1:2">
      <c r="A342" s="218" t="str">
        <f ca="1">IF(ROW()-1&gt;NumDataColumns,"",MAX(INDIRECT(CONCATENATE("R",ROW(ResultColumnLabels[#Headers]),"C",COLUMN(),":R",ROW()-1,"C",COLUMN()),FALSE))+1)</f>
        <v/>
      </c>
      <c r="B342" s="218" t="str">
        <f ca="1">IF(ResultColumnLabels[[#This Row],[Data Value Number]]="","",INDEX(DataColumns[ColumnLabel],MATCH(ResultColumnLabels[[#This Row],[Data Value Number]],DataColumns[DVNum],0)))</f>
        <v/>
      </c>
    </row>
    <row r="343" spans="1:2">
      <c r="A343" s="218" t="str">
        <f ca="1">IF(ROW()-1&gt;NumDataColumns,"",MAX(INDIRECT(CONCATENATE("R",ROW(ResultColumnLabels[#Headers]),"C",COLUMN(),":R",ROW()-1,"C",COLUMN()),FALSE))+1)</f>
        <v/>
      </c>
      <c r="B343" s="218" t="str">
        <f ca="1">IF(ResultColumnLabels[[#This Row],[Data Value Number]]="","",INDEX(DataColumns[ColumnLabel],MATCH(ResultColumnLabels[[#This Row],[Data Value Number]],DataColumns[DVNum],0)))</f>
        <v/>
      </c>
    </row>
    <row r="344" spans="1:2">
      <c r="A344" s="218" t="str">
        <f ca="1">IF(ROW()-1&gt;NumDataColumns,"",MAX(INDIRECT(CONCATENATE("R",ROW(ResultColumnLabels[#Headers]),"C",COLUMN(),":R",ROW()-1,"C",COLUMN()),FALSE))+1)</f>
        <v/>
      </c>
      <c r="B344" s="218" t="str">
        <f ca="1">IF(ResultColumnLabels[[#This Row],[Data Value Number]]="","",INDEX(DataColumns[ColumnLabel],MATCH(ResultColumnLabels[[#This Row],[Data Value Number]],DataColumns[DVNum],0)))</f>
        <v/>
      </c>
    </row>
    <row r="345" spans="1:2">
      <c r="A345" s="218" t="str">
        <f ca="1">IF(ROW()-1&gt;NumDataColumns,"",MAX(INDIRECT(CONCATENATE("R",ROW(ResultColumnLabels[#Headers]),"C",COLUMN(),":R",ROW()-1,"C",COLUMN()),FALSE))+1)</f>
        <v/>
      </c>
      <c r="B345" s="218" t="str">
        <f ca="1">IF(ResultColumnLabels[[#This Row],[Data Value Number]]="","",INDEX(DataColumns[ColumnLabel],MATCH(ResultColumnLabels[[#This Row],[Data Value Number]],DataColumns[DVNum],0)))</f>
        <v/>
      </c>
    </row>
    <row r="346" spans="1:2">
      <c r="A346" s="218" t="str">
        <f ca="1">IF(ROW()-1&gt;NumDataColumns,"",MAX(INDIRECT(CONCATENATE("R",ROW(ResultColumnLabels[#Headers]),"C",COLUMN(),":R",ROW()-1,"C",COLUMN()),FALSE))+1)</f>
        <v/>
      </c>
      <c r="B346" s="218" t="str">
        <f ca="1">IF(ResultColumnLabels[[#This Row],[Data Value Number]]="","",INDEX(DataColumns[ColumnLabel],MATCH(ResultColumnLabels[[#This Row],[Data Value Number]],DataColumns[DVNum],0)))</f>
        <v/>
      </c>
    </row>
    <row r="347" spans="1:2">
      <c r="A347" s="218" t="str">
        <f ca="1">IF(ROW()-1&gt;NumDataColumns,"",MAX(INDIRECT(CONCATENATE("R",ROW(ResultColumnLabels[#Headers]),"C",COLUMN(),":R",ROW()-1,"C",COLUMN()),FALSE))+1)</f>
        <v/>
      </c>
      <c r="B347" s="218" t="str">
        <f ca="1">IF(ResultColumnLabels[[#This Row],[Data Value Number]]="","",INDEX(DataColumns[ColumnLabel],MATCH(ResultColumnLabels[[#This Row],[Data Value Number]],DataColumns[DVNum],0)))</f>
        <v/>
      </c>
    </row>
    <row r="348" spans="1:2">
      <c r="A348" s="218" t="str">
        <f ca="1">IF(ROW()-1&gt;NumDataColumns,"",MAX(INDIRECT(CONCATENATE("R",ROW(ResultColumnLabels[#Headers]),"C",COLUMN(),":R",ROW()-1,"C",COLUMN()),FALSE))+1)</f>
        <v/>
      </c>
      <c r="B348" s="218" t="str">
        <f ca="1">IF(ResultColumnLabels[[#This Row],[Data Value Number]]="","",INDEX(DataColumns[ColumnLabel],MATCH(ResultColumnLabels[[#This Row],[Data Value Number]],DataColumns[DVNum],0)))</f>
        <v/>
      </c>
    </row>
    <row r="349" spans="1:2">
      <c r="A349" s="218" t="str">
        <f ca="1">IF(ROW()-1&gt;NumDataColumns,"",MAX(INDIRECT(CONCATENATE("R",ROW(ResultColumnLabels[#Headers]),"C",COLUMN(),":R",ROW()-1,"C",COLUMN()),FALSE))+1)</f>
        <v/>
      </c>
      <c r="B349" s="218" t="str">
        <f ca="1">IF(ResultColumnLabels[[#This Row],[Data Value Number]]="","",INDEX(DataColumns[ColumnLabel],MATCH(ResultColumnLabels[[#This Row],[Data Value Number]],DataColumns[DVNum],0)))</f>
        <v/>
      </c>
    </row>
    <row r="350" spans="1:2">
      <c r="A350" s="218" t="str">
        <f ca="1">IF(ROW()-1&gt;NumDataColumns,"",MAX(INDIRECT(CONCATENATE("R",ROW(ResultColumnLabels[#Headers]),"C",COLUMN(),":R",ROW()-1,"C",COLUMN()),FALSE))+1)</f>
        <v/>
      </c>
      <c r="B350" s="218" t="str">
        <f ca="1">IF(ResultColumnLabels[[#This Row],[Data Value Number]]="","",INDEX(DataColumns[ColumnLabel],MATCH(ResultColumnLabels[[#This Row],[Data Value Number]],DataColumns[DVNum],0)))</f>
        <v/>
      </c>
    </row>
    <row r="351" spans="1:2">
      <c r="A351" s="218" t="str">
        <f ca="1">IF(ROW()-1&gt;NumDataColumns,"",MAX(INDIRECT(CONCATENATE("R",ROW(ResultColumnLabels[#Headers]),"C",COLUMN(),":R",ROW()-1,"C",COLUMN()),FALSE))+1)</f>
        <v/>
      </c>
      <c r="B351" s="218" t="str">
        <f ca="1">IF(ResultColumnLabels[[#This Row],[Data Value Number]]="","",INDEX(DataColumns[ColumnLabel],MATCH(ResultColumnLabels[[#This Row],[Data Value Number]],DataColumns[DVNum],0)))</f>
        <v/>
      </c>
    </row>
    <row r="352" spans="1:2">
      <c r="A352" s="218" t="str">
        <f ca="1">IF(ROW()-1&gt;NumDataColumns,"",MAX(INDIRECT(CONCATENATE("R",ROW(ResultColumnLabels[#Headers]),"C",COLUMN(),":R",ROW()-1,"C",COLUMN()),FALSE))+1)</f>
        <v/>
      </c>
      <c r="B352" s="218" t="str">
        <f ca="1">IF(ResultColumnLabels[[#This Row],[Data Value Number]]="","",INDEX(DataColumns[ColumnLabel],MATCH(ResultColumnLabels[[#This Row],[Data Value Number]],DataColumns[DVNum],0)))</f>
        <v/>
      </c>
    </row>
    <row r="353" spans="1:2">
      <c r="A353" s="218" t="str">
        <f ca="1">IF(ROW()-1&gt;NumDataColumns,"",MAX(INDIRECT(CONCATENATE("R",ROW(ResultColumnLabels[#Headers]),"C",COLUMN(),":R",ROW()-1,"C",COLUMN()),FALSE))+1)</f>
        <v/>
      </c>
      <c r="B353" s="218" t="str">
        <f ca="1">IF(ResultColumnLabels[[#This Row],[Data Value Number]]="","",INDEX(DataColumns[ColumnLabel],MATCH(ResultColumnLabels[[#This Row],[Data Value Number]],DataColumns[DVNum],0)))</f>
        <v/>
      </c>
    </row>
    <row r="354" spans="1:2">
      <c r="A354" s="218" t="str">
        <f ca="1">IF(ROW()-1&gt;NumDataColumns,"",MAX(INDIRECT(CONCATENATE("R",ROW(ResultColumnLabels[#Headers]),"C",COLUMN(),":R",ROW()-1,"C",COLUMN()),FALSE))+1)</f>
        <v/>
      </c>
      <c r="B354" s="218" t="str">
        <f ca="1">IF(ResultColumnLabels[[#This Row],[Data Value Number]]="","",INDEX(DataColumns[ColumnLabel],MATCH(ResultColumnLabels[[#This Row],[Data Value Number]],DataColumns[DVNum],0)))</f>
        <v/>
      </c>
    </row>
    <row r="355" spans="1:2">
      <c r="A355" s="218" t="str">
        <f ca="1">IF(ROW()-1&gt;NumDataColumns,"",MAX(INDIRECT(CONCATENATE("R",ROW(ResultColumnLabels[#Headers]),"C",COLUMN(),":R",ROW()-1,"C",COLUMN()),FALSE))+1)</f>
        <v/>
      </c>
      <c r="B355" s="218" t="str">
        <f ca="1">IF(ResultColumnLabels[[#This Row],[Data Value Number]]="","",INDEX(DataColumns[ColumnLabel],MATCH(ResultColumnLabels[[#This Row],[Data Value Number]],DataColumns[DVNum],0)))</f>
        <v/>
      </c>
    </row>
    <row r="356" spans="1:2">
      <c r="A356" s="218" t="str">
        <f ca="1">IF(ROW()-1&gt;NumDataColumns,"",MAX(INDIRECT(CONCATENATE("R",ROW(ResultColumnLabels[#Headers]),"C",COLUMN(),":R",ROW()-1,"C",COLUMN()),FALSE))+1)</f>
        <v/>
      </c>
      <c r="B356" s="218" t="str">
        <f ca="1">IF(ResultColumnLabels[[#This Row],[Data Value Number]]="","",INDEX(DataColumns[ColumnLabel],MATCH(ResultColumnLabels[[#This Row],[Data Value Number]],DataColumns[DVNum],0)))</f>
        <v/>
      </c>
    </row>
    <row r="357" spans="1:2">
      <c r="A357" s="218" t="str">
        <f ca="1">IF(ROW()-1&gt;NumDataColumns,"",MAX(INDIRECT(CONCATENATE("R",ROW(ResultColumnLabels[#Headers]),"C",COLUMN(),":R",ROW()-1,"C",COLUMN()),FALSE))+1)</f>
        <v/>
      </c>
      <c r="B357" s="218" t="str">
        <f ca="1">IF(ResultColumnLabels[[#This Row],[Data Value Number]]="","",INDEX(DataColumns[ColumnLabel],MATCH(ResultColumnLabels[[#This Row],[Data Value Number]],DataColumns[DVNum],0)))</f>
        <v/>
      </c>
    </row>
    <row r="358" spans="1:2">
      <c r="A358" s="218" t="str">
        <f ca="1">IF(ROW()-1&gt;NumDataColumns,"",MAX(INDIRECT(CONCATENATE("R",ROW(ResultColumnLabels[#Headers]),"C",COLUMN(),":R",ROW()-1,"C",COLUMN()),FALSE))+1)</f>
        <v/>
      </c>
      <c r="B358" s="218" t="str">
        <f ca="1">IF(ResultColumnLabels[[#This Row],[Data Value Number]]="","",INDEX(DataColumns[ColumnLabel],MATCH(ResultColumnLabels[[#This Row],[Data Value Number]],DataColumns[DVNum],0)))</f>
        <v/>
      </c>
    </row>
    <row r="359" spans="1:2">
      <c r="A359" s="218" t="str">
        <f ca="1">IF(ROW()-1&gt;NumDataColumns,"",MAX(INDIRECT(CONCATENATE("R",ROW(ResultColumnLabels[#Headers]),"C",COLUMN(),":R",ROW()-1,"C",COLUMN()),FALSE))+1)</f>
        <v/>
      </c>
      <c r="B359" s="218" t="str">
        <f ca="1">IF(ResultColumnLabels[[#This Row],[Data Value Number]]="","",INDEX(DataColumns[ColumnLabel],MATCH(ResultColumnLabels[[#This Row],[Data Value Number]],DataColumns[DVNum],0)))</f>
        <v/>
      </c>
    </row>
    <row r="360" spans="1:2">
      <c r="A360" s="218" t="str">
        <f ca="1">IF(ROW()-1&gt;NumDataColumns,"",MAX(INDIRECT(CONCATENATE("R",ROW(ResultColumnLabels[#Headers]),"C",COLUMN(),":R",ROW()-1,"C",COLUMN()),FALSE))+1)</f>
        <v/>
      </c>
      <c r="B360" s="218" t="str">
        <f ca="1">IF(ResultColumnLabels[[#This Row],[Data Value Number]]="","",INDEX(DataColumns[ColumnLabel],MATCH(ResultColumnLabels[[#This Row],[Data Value Number]],DataColumns[DVNum],0)))</f>
        <v/>
      </c>
    </row>
    <row r="361" spans="1:2">
      <c r="A361" s="218" t="str">
        <f ca="1">IF(ROW()-1&gt;NumDataColumns,"",MAX(INDIRECT(CONCATENATE("R",ROW(ResultColumnLabels[#Headers]),"C",COLUMN(),":R",ROW()-1,"C",COLUMN()),FALSE))+1)</f>
        <v/>
      </c>
      <c r="B361" s="218" t="str">
        <f ca="1">IF(ResultColumnLabels[[#This Row],[Data Value Number]]="","",INDEX(DataColumns[ColumnLabel],MATCH(ResultColumnLabels[[#This Row],[Data Value Number]],DataColumns[DVNum],0)))</f>
        <v/>
      </c>
    </row>
    <row r="362" spans="1:2">
      <c r="A362" s="218" t="str">
        <f ca="1">IF(ROW()-1&gt;NumDataColumns,"",MAX(INDIRECT(CONCATENATE("R",ROW(ResultColumnLabels[#Headers]),"C",COLUMN(),":R",ROW()-1,"C",COLUMN()),FALSE))+1)</f>
        <v/>
      </c>
      <c r="B362" s="218" t="str">
        <f ca="1">IF(ResultColumnLabels[[#This Row],[Data Value Number]]="","",INDEX(DataColumns[ColumnLabel],MATCH(ResultColumnLabels[[#This Row],[Data Value Number]],DataColumns[DVNum],0)))</f>
        <v/>
      </c>
    </row>
    <row r="363" spans="1:2">
      <c r="A363" s="218" t="str">
        <f ca="1">IF(ROW()-1&gt;NumDataColumns,"",MAX(INDIRECT(CONCATENATE("R",ROW(ResultColumnLabels[#Headers]),"C",COLUMN(),":R",ROW()-1,"C",COLUMN()),FALSE))+1)</f>
        <v/>
      </c>
      <c r="B363" s="218" t="str">
        <f ca="1">IF(ResultColumnLabels[[#This Row],[Data Value Number]]="","",INDEX(DataColumns[ColumnLabel],MATCH(ResultColumnLabels[[#This Row],[Data Value Number]],DataColumns[DVNum],0)))</f>
        <v/>
      </c>
    </row>
    <row r="364" spans="1:2">
      <c r="A364" s="218" t="str">
        <f ca="1">IF(ROW()-1&gt;NumDataColumns,"",MAX(INDIRECT(CONCATENATE("R",ROW(ResultColumnLabels[#Headers]),"C",COLUMN(),":R",ROW()-1,"C",COLUMN()),FALSE))+1)</f>
        <v/>
      </c>
      <c r="B364" s="218" t="str">
        <f ca="1">IF(ResultColumnLabels[[#This Row],[Data Value Number]]="","",INDEX(DataColumns[ColumnLabel],MATCH(ResultColumnLabels[[#This Row],[Data Value Number]],DataColumns[DVNum],0)))</f>
        <v/>
      </c>
    </row>
    <row r="365" spans="1:2">
      <c r="A365" s="218" t="str">
        <f ca="1">IF(ROW()-1&gt;NumDataColumns,"",MAX(INDIRECT(CONCATENATE("R",ROW(ResultColumnLabels[#Headers]),"C",COLUMN(),":R",ROW()-1,"C",COLUMN()),FALSE))+1)</f>
        <v/>
      </c>
      <c r="B365" s="218" t="str">
        <f ca="1">IF(ResultColumnLabels[[#This Row],[Data Value Number]]="","",INDEX(DataColumns[ColumnLabel],MATCH(ResultColumnLabels[[#This Row],[Data Value Number]],DataColumns[DVNum],0)))</f>
        <v/>
      </c>
    </row>
    <row r="366" spans="1:2">
      <c r="A366" s="218" t="str">
        <f ca="1">IF(ROW()-1&gt;NumDataColumns,"",MAX(INDIRECT(CONCATENATE("R",ROW(ResultColumnLabels[#Headers]),"C",COLUMN(),":R",ROW()-1,"C",COLUMN()),FALSE))+1)</f>
        <v/>
      </c>
      <c r="B366" s="218" t="str">
        <f ca="1">IF(ResultColumnLabels[[#This Row],[Data Value Number]]="","",INDEX(DataColumns[ColumnLabel],MATCH(ResultColumnLabels[[#This Row],[Data Value Number]],DataColumns[DVNum],0)))</f>
        <v/>
      </c>
    </row>
    <row r="367" spans="1:2">
      <c r="A367" s="218" t="str">
        <f ca="1">IF(ROW()-1&gt;NumDataColumns,"",MAX(INDIRECT(CONCATENATE("R",ROW(ResultColumnLabels[#Headers]),"C",COLUMN(),":R",ROW()-1,"C",COLUMN()),FALSE))+1)</f>
        <v/>
      </c>
      <c r="B367" s="218" t="str">
        <f ca="1">IF(ResultColumnLabels[[#This Row],[Data Value Number]]="","",INDEX(DataColumns[ColumnLabel],MATCH(ResultColumnLabels[[#This Row],[Data Value Number]],DataColumns[DVNum],0)))</f>
        <v/>
      </c>
    </row>
    <row r="368" spans="1:2">
      <c r="A368" s="218" t="str">
        <f ca="1">IF(ROW()-1&gt;NumDataColumns,"",MAX(INDIRECT(CONCATENATE("R",ROW(ResultColumnLabels[#Headers]),"C",COLUMN(),":R",ROW()-1,"C",COLUMN()),FALSE))+1)</f>
        <v/>
      </c>
      <c r="B368" s="218" t="str">
        <f ca="1">IF(ResultColumnLabels[[#This Row],[Data Value Number]]="","",INDEX(DataColumns[ColumnLabel],MATCH(ResultColumnLabels[[#This Row],[Data Value Number]],DataColumns[DVNum],0)))</f>
        <v/>
      </c>
    </row>
    <row r="369" spans="1:2">
      <c r="A369" s="218" t="str">
        <f ca="1">IF(ROW()-1&gt;NumDataColumns,"",MAX(INDIRECT(CONCATENATE("R",ROW(ResultColumnLabels[#Headers]),"C",COLUMN(),":R",ROW()-1,"C",COLUMN()),FALSE))+1)</f>
        <v/>
      </c>
      <c r="B369" s="218" t="str">
        <f ca="1">IF(ResultColumnLabels[[#This Row],[Data Value Number]]="","",INDEX(DataColumns[ColumnLabel],MATCH(ResultColumnLabels[[#This Row],[Data Value Number]],DataColumns[DVNum],0)))</f>
        <v/>
      </c>
    </row>
    <row r="370" spans="1:2">
      <c r="A370" s="218" t="str">
        <f ca="1">IF(ROW()-1&gt;NumDataColumns,"",MAX(INDIRECT(CONCATENATE("R",ROW(ResultColumnLabels[#Headers]),"C",COLUMN(),":R",ROW()-1,"C",COLUMN()),FALSE))+1)</f>
        <v/>
      </c>
      <c r="B370" s="218" t="str">
        <f ca="1">IF(ResultColumnLabels[[#This Row],[Data Value Number]]="","",INDEX(DataColumns[ColumnLabel],MATCH(ResultColumnLabels[[#This Row],[Data Value Number]],DataColumns[DVNum],0)))</f>
        <v/>
      </c>
    </row>
    <row r="371" spans="1:2">
      <c r="A371" s="218" t="str">
        <f ca="1">IF(ROW()-1&gt;NumDataColumns,"",MAX(INDIRECT(CONCATENATE("R",ROW(ResultColumnLabels[#Headers]),"C",COLUMN(),":R",ROW()-1,"C",COLUMN()),FALSE))+1)</f>
        <v/>
      </c>
      <c r="B371" s="218" t="str">
        <f ca="1">IF(ResultColumnLabels[[#This Row],[Data Value Number]]="","",INDEX(DataColumns[ColumnLabel],MATCH(ResultColumnLabels[[#This Row],[Data Value Number]],DataColumns[DVNum],0)))</f>
        <v/>
      </c>
    </row>
    <row r="372" spans="1:2">
      <c r="A372" s="218" t="str">
        <f ca="1">IF(ROW()-1&gt;NumDataColumns,"",MAX(INDIRECT(CONCATENATE("R",ROW(ResultColumnLabels[#Headers]),"C",COLUMN(),":R",ROW()-1,"C",COLUMN()),FALSE))+1)</f>
        <v/>
      </c>
      <c r="B372" s="218" t="str">
        <f ca="1">IF(ResultColumnLabels[[#This Row],[Data Value Number]]="","",INDEX(DataColumns[ColumnLabel],MATCH(ResultColumnLabels[[#This Row],[Data Value Number]],DataColumns[DVNum],0)))</f>
        <v/>
      </c>
    </row>
    <row r="373" spans="1:2">
      <c r="A373" s="218" t="str">
        <f ca="1">IF(ROW()-1&gt;NumDataColumns,"",MAX(INDIRECT(CONCATENATE("R",ROW(ResultColumnLabels[#Headers]),"C",COLUMN(),":R",ROW()-1,"C",COLUMN()),FALSE))+1)</f>
        <v/>
      </c>
      <c r="B373" s="218" t="str">
        <f ca="1">IF(ResultColumnLabels[[#This Row],[Data Value Number]]="","",INDEX(DataColumns[ColumnLabel],MATCH(ResultColumnLabels[[#This Row],[Data Value Number]],DataColumns[DVNum],0)))</f>
        <v/>
      </c>
    </row>
    <row r="374" spans="1:2">
      <c r="A374" s="218" t="str">
        <f ca="1">IF(ROW()-1&gt;NumDataColumns,"",MAX(INDIRECT(CONCATENATE("R",ROW(ResultColumnLabels[#Headers]),"C",COLUMN(),":R",ROW()-1,"C",COLUMN()),FALSE))+1)</f>
        <v/>
      </c>
      <c r="B374" s="218" t="str">
        <f ca="1">IF(ResultColumnLabels[[#This Row],[Data Value Number]]="","",INDEX(DataColumns[ColumnLabel],MATCH(ResultColumnLabels[[#This Row],[Data Value Number]],DataColumns[DVNum],0)))</f>
        <v/>
      </c>
    </row>
    <row r="375" spans="1:2">
      <c r="A375" s="218" t="str">
        <f ca="1">IF(ROW()-1&gt;NumDataColumns,"",MAX(INDIRECT(CONCATENATE("R",ROW(ResultColumnLabels[#Headers]),"C",COLUMN(),":R",ROW()-1,"C",COLUMN()),FALSE))+1)</f>
        <v/>
      </c>
      <c r="B375" s="218" t="str">
        <f ca="1">IF(ResultColumnLabels[[#This Row],[Data Value Number]]="","",INDEX(DataColumns[ColumnLabel],MATCH(ResultColumnLabels[[#This Row],[Data Value Number]],DataColumns[DVNum],0)))</f>
        <v/>
      </c>
    </row>
    <row r="376" spans="1:2">
      <c r="A376" s="218" t="str">
        <f ca="1">IF(ROW()-1&gt;NumDataColumns,"",MAX(INDIRECT(CONCATENATE("R",ROW(ResultColumnLabels[#Headers]),"C",COLUMN(),":R",ROW()-1,"C",COLUMN()),FALSE))+1)</f>
        <v/>
      </c>
      <c r="B376" s="218" t="str">
        <f ca="1">IF(ResultColumnLabels[[#This Row],[Data Value Number]]="","",INDEX(DataColumns[ColumnLabel],MATCH(ResultColumnLabels[[#This Row],[Data Value Number]],DataColumns[DVNum],0)))</f>
        <v/>
      </c>
    </row>
    <row r="377" spans="1:2">
      <c r="A377" s="218" t="str">
        <f ca="1">IF(ROW()-1&gt;NumDataColumns,"",MAX(INDIRECT(CONCATENATE("R",ROW(ResultColumnLabels[#Headers]),"C",COLUMN(),":R",ROW()-1,"C",COLUMN()),FALSE))+1)</f>
        <v/>
      </c>
      <c r="B377" s="218" t="str">
        <f ca="1">IF(ResultColumnLabels[[#This Row],[Data Value Number]]="","",INDEX(DataColumns[ColumnLabel],MATCH(ResultColumnLabels[[#This Row],[Data Value Number]],DataColumns[DVNum],0)))</f>
        <v/>
      </c>
    </row>
    <row r="378" spans="1:2">
      <c r="A378" s="218" t="str">
        <f ca="1">IF(ROW()-1&gt;NumDataColumns,"",MAX(INDIRECT(CONCATENATE("R",ROW(ResultColumnLabels[#Headers]),"C",COLUMN(),":R",ROW()-1,"C",COLUMN()),FALSE))+1)</f>
        <v/>
      </c>
      <c r="B378" s="218" t="str">
        <f ca="1">IF(ResultColumnLabels[[#This Row],[Data Value Number]]="","",INDEX(DataColumns[ColumnLabel],MATCH(ResultColumnLabels[[#This Row],[Data Value Number]],DataColumns[DVNum],0)))</f>
        <v/>
      </c>
    </row>
    <row r="379" spans="1:2">
      <c r="A379" s="218" t="str">
        <f ca="1">IF(ROW()-1&gt;NumDataColumns,"",MAX(INDIRECT(CONCATENATE("R",ROW(ResultColumnLabels[#Headers]),"C",COLUMN(),":R",ROW()-1,"C",COLUMN()),FALSE))+1)</f>
        <v/>
      </c>
      <c r="B379" s="218" t="str">
        <f ca="1">IF(ResultColumnLabels[[#This Row],[Data Value Number]]="","",INDEX(DataColumns[ColumnLabel],MATCH(ResultColumnLabels[[#This Row],[Data Value Number]],DataColumns[DVNum],0)))</f>
        <v/>
      </c>
    </row>
    <row r="380" spans="1:2">
      <c r="A380" s="218" t="str">
        <f ca="1">IF(ROW()-1&gt;NumDataColumns,"",MAX(INDIRECT(CONCATENATE("R",ROW(ResultColumnLabels[#Headers]),"C",COLUMN(),":R",ROW()-1,"C",COLUMN()),FALSE))+1)</f>
        <v/>
      </c>
      <c r="B380" s="218" t="str">
        <f ca="1">IF(ResultColumnLabels[[#This Row],[Data Value Number]]="","",INDEX(DataColumns[ColumnLabel],MATCH(ResultColumnLabels[[#This Row],[Data Value Number]],DataColumns[DVNum],0)))</f>
        <v/>
      </c>
    </row>
    <row r="381" spans="1:2">
      <c r="A381" s="218" t="str">
        <f ca="1">IF(ROW()-1&gt;NumDataColumns,"",MAX(INDIRECT(CONCATENATE("R",ROW(ResultColumnLabels[#Headers]),"C",COLUMN(),":R",ROW()-1,"C",COLUMN()),FALSE))+1)</f>
        <v/>
      </c>
      <c r="B381" s="218" t="str">
        <f ca="1">IF(ResultColumnLabels[[#This Row],[Data Value Number]]="","",INDEX(DataColumns[ColumnLabel],MATCH(ResultColumnLabels[[#This Row],[Data Value Number]],DataColumns[DVNum],0)))</f>
        <v/>
      </c>
    </row>
    <row r="382" spans="1:2">
      <c r="A382" s="218" t="str">
        <f ca="1">IF(ROW()-1&gt;NumDataColumns,"",MAX(INDIRECT(CONCATENATE("R",ROW(ResultColumnLabels[#Headers]),"C",COLUMN(),":R",ROW()-1,"C",COLUMN()),FALSE))+1)</f>
        <v/>
      </c>
      <c r="B382" s="218" t="str">
        <f ca="1">IF(ResultColumnLabels[[#This Row],[Data Value Number]]="","",INDEX(DataColumns[ColumnLabel],MATCH(ResultColumnLabels[[#This Row],[Data Value Number]],DataColumns[DVNum],0)))</f>
        <v/>
      </c>
    </row>
    <row r="383" spans="1:2">
      <c r="A383" s="218" t="str">
        <f ca="1">IF(ROW()-1&gt;NumDataColumns,"",MAX(INDIRECT(CONCATENATE("R",ROW(ResultColumnLabels[#Headers]),"C",COLUMN(),":R",ROW()-1,"C",COLUMN()),FALSE))+1)</f>
        <v/>
      </c>
      <c r="B383" s="218" t="str">
        <f ca="1">IF(ResultColumnLabels[[#This Row],[Data Value Number]]="","",INDEX(DataColumns[ColumnLabel],MATCH(ResultColumnLabels[[#This Row],[Data Value Number]],DataColumns[DVNum],0)))</f>
        <v/>
      </c>
    </row>
    <row r="384" spans="1:2">
      <c r="A384" s="218" t="str">
        <f ca="1">IF(ROW()-1&gt;NumDataColumns,"",MAX(INDIRECT(CONCATENATE("R",ROW(ResultColumnLabels[#Headers]),"C",COLUMN(),":R",ROW()-1,"C",COLUMN()),FALSE))+1)</f>
        <v/>
      </c>
      <c r="B384" s="218" t="str">
        <f ca="1">IF(ResultColumnLabels[[#This Row],[Data Value Number]]="","",INDEX(DataColumns[ColumnLabel],MATCH(ResultColumnLabels[[#This Row],[Data Value Number]],DataColumns[DVNum],0)))</f>
        <v/>
      </c>
    </row>
    <row r="385" spans="1:2">
      <c r="A385" s="218" t="str">
        <f ca="1">IF(ROW()-1&gt;NumDataColumns,"",MAX(INDIRECT(CONCATENATE("R",ROW(ResultColumnLabels[#Headers]),"C",COLUMN(),":R",ROW()-1,"C",COLUMN()),FALSE))+1)</f>
        <v/>
      </c>
      <c r="B385" s="218" t="str">
        <f ca="1">IF(ResultColumnLabels[[#This Row],[Data Value Number]]="","",INDEX(DataColumns[ColumnLabel],MATCH(ResultColumnLabels[[#This Row],[Data Value Number]],DataColumns[DVNum],0)))</f>
        <v/>
      </c>
    </row>
    <row r="386" spans="1:2">
      <c r="A386" s="218" t="str">
        <f ca="1">IF(ROW()-1&gt;NumDataColumns,"",MAX(INDIRECT(CONCATENATE("R",ROW(ResultColumnLabels[#Headers]),"C",COLUMN(),":R",ROW()-1,"C",COLUMN()),FALSE))+1)</f>
        <v/>
      </c>
      <c r="B386" s="218" t="str">
        <f ca="1">IF(ResultColumnLabels[[#This Row],[Data Value Number]]="","",INDEX(DataColumns[ColumnLabel],MATCH(ResultColumnLabels[[#This Row],[Data Value Number]],DataColumns[DVNum],0)))</f>
        <v/>
      </c>
    </row>
    <row r="387" spans="1:2">
      <c r="A387" s="218" t="str">
        <f ca="1">IF(ROW()-1&gt;NumDataColumns,"",MAX(INDIRECT(CONCATENATE("R",ROW(ResultColumnLabels[#Headers]),"C",COLUMN(),":R",ROW()-1,"C",COLUMN()),FALSE))+1)</f>
        <v/>
      </c>
      <c r="B387" s="218" t="str">
        <f ca="1">IF(ResultColumnLabels[[#This Row],[Data Value Number]]="","",INDEX(DataColumns[ColumnLabel],MATCH(ResultColumnLabels[[#This Row],[Data Value Number]],DataColumns[DVNum],0)))</f>
        <v/>
      </c>
    </row>
    <row r="388" spans="1:2">
      <c r="A388" s="218" t="str">
        <f ca="1">IF(ROW()-1&gt;NumDataColumns,"",MAX(INDIRECT(CONCATENATE("R",ROW(ResultColumnLabels[#Headers]),"C",COLUMN(),":R",ROW()-1,"C",COLUMN()),FALSE))+1)</f>
        <v/>
      </c>
      <c r="B388" s="218" t="str">
        <f ca="1">IF(ResultColumnLabels[[#This Row],[Data Value Number]]="","",INDEX(DataColumns[ColumnLabel],MATCH(ResultColumnLabels[[#This Row],[Data Value Number]],DataColumns[DVNum],0)))</f>
        <v/>
      </c>
    </row>
    <row r="389" spans="1:2">
      <c r="A389" s="218" t="str">
        <f ca="1">IF(ROW()-1&gt;NumDataColumns,"",MAX(INDIRECT(CONCATENATE("R",ROW(ResultColumnLabels[#Headers]),"C",COLUMN(),":R",ROW()-1,"C",COLUMN()),FALSE))+1)</f>
        <v/>
      </c>
      <c r="B389" s="218" t="str">
        <f ca="1">IF(ResultColumnLabels[[#This Row],[Data Value Number]]="","",INDEX(DataColumns[ColumnLabel],MATCH(ResultColumnLabels[[#This Row],[Data Value Number]],DataColumns[DVNum],0)))</f>
        <v/>
      </c>
    </row>
    <row r="390" spans="1:2">
      <c r="A390" s="218" t="str">
        <f ca="1">IF(ROW()-1&gt;NumDataColumns,"",MAX(INDIRECT(CONCATENATE("R",ROW(ResultColumnLabels[#Headers]),"C",COLUMN(),":R",ROW()-1,"C",COLUMN()),FALSE))+1)</f>
        <v/>
      </c>
      <c r="B390" s="218" t="str">
        <f ca="1">IF(ResultColumnLabels[[#This Row],[Data Value Number]]="","",INDEX(DataColumns[ColumnLabel],MATCH(ResultColumnLabels[[#This Row],[Data Value Number]],DataColumns[DVNum],0)))</f>
        <v/>
      </c>
    </row>
    <row r="391" spans="1:2">
      <c r="A391" s="218" t="str">
        <f ca="1">IF(ROW()-1&gt;NumDataColumns,"",MAX(INDIRECT(CONCATENATE("R",ROW(ResultColumnLabels[#Headers]),"C",COLUMN(),":R",ROW()-1,"C",COLUMN()),FALSE))+1)</f>
        <v/>
      </c>
      <c r="B391" s="218" t="str">
        <f ca="1">IF(ResultColumnLabels[[#This Row],[Data Value Number]]="","",INDEX(DataColumns[ColumnLabel],MATCH(ResultColumnLabels[[#This Row],[Data Value Number]],DataColumns[DVNum],0)))</f>
        <v/>
      </c>
    </row>
    <row r="392" spans="1:2">
      <c r="A392" s="218" t="str">
        <f ca="1">IF(ROW()-1&gt;NumDataColumns,"",MAX(INDIRECT(CONCATENATE("R",ROW(ResultColumnLabels[#Headers]),"C",COLUMN(),":R",ROW()-1,"C",COLUMN()),FALSE))+1)</f>
        <v/>
      </c>
      <c r="B392" s="218" t="str">
        <f ca="1">IF(ResultColumnLabels[[#This Row],[Data Value Number]]="","",INDEX(DataColumns[ColumnLabel],MATCH(ResultColumnLabels[[#This Row],[Data Value Number]],DataColumns[DVNum],0)))</f>
        <v/>
      </c>
    </row>
    <row r="393" spans="1:2">
      <c r="A393" s="218" t="str">
        <f ca="1">IF(ROW()-1&gt;NumDataColumns,"",MAX(INDIRECT(CONCATENATE("R",ROW(ResultColumnLabels[#Headers]),"C",COLUMN(),":R",ROW()-1,"C",COLUMN()),FALSE))+1)</f>
        <v/>
      </c>
      <c r="B393" s="218" t="str">
        <f ca="1">IF(ResultColumnLabels[[#This Row],[Data Value Number]]="","",INDEX(DataColumns[ColumnLabel],MATCH(ResultColumnLabels[[#This Row],[Data Value Number]],DataColumns[DVNum],0)))</f>
        <v/>
      </c>
    </row>
    <row r="394" spans="1:2">
      <c r="A394" s="218" t="str">
        <f ca="1">IF(ROW()-1&gt;NumDataColumns,"",MAX(INDIRECT(CONCATENATE("R",ROW(ResultColumnLabels[#Headers]),"C",COLUMN(),":R",ROW()-1,"C",COLUMN()),FALSE))+1)</f>
        <v/>
      </c>
      <c r="B394" s="218" t="str">
        <f ca="1">IF(ResultColumnLabels[[#This Row],[Data Value Number]]="","",INDEX(DataColumns[ColumnLabel],MATCH(ResultColumnLabels[[#This Row],[Data Value Number]],DataColumns[DVNum],0)))</f>
        <v/>
      </c>
    </row>
    <row r="395" spans="1:2">
      <c r="A395" s="218" t="str">
        <f ca="1">IF(ROW()-1&gt;NumDataColumns,"",MAX(INDIRECT(CONCATENATE("R",ROW(ResultColumnLabels[#Headers]),"C",COLUMN(),":R",ROW()-1,"C",COLUMN()),FALSE))+1)</f>
        <v/>
      </c>
      <c r="B395" s="218" t="str">
        <f ca="1">IF(ResultColumnLabels[[#This Row],[Data Value Number]]="","",INDEX(DataColumns[ColumnLabel],MATCH(ResultColumnLabels[[#This Row],[Data Value Number]],DataColumns[DVNum],0)))</f>
        <v/>
      </c>
    </row>
    <row r="396" spans="1:2">
      <c r="A396" s="218" t="str">
        <f ca="1">IF(ROW()-1&gt;NumDataColumns,"",MAX(INDIRECT(CONCATENATE("R",ROW(ResultColumnLabels[#Headers]),"C",COLUMN(),":R",ROW()-1,"C",COLUMN()),FALSE))+1)</f>
        <v/>
      </c>
      <c r="B396" s="218" t="str">
        <f ca="1">IF(ResultColumnLabels[[#This Row],[Data Value Number]]="","",INDEX(DataColumns[ColumnLabel],MATCH(ResultColumnLabels[[#This Row],[Data Value Number]],DataColumns[DVNum],0)))</f>
        <v/>
      </c>
    </row>
    <row r="397" spans="1:2">
      <c r="A397" s="218" t="str">
        <f ca="1">IF(ROW()-1&gt;NumDataColumns,"",MAX(INDIRECT(CONCATENATE("R",ROW(ResultColumnLabels[#Headers]),"C",COLUMN(),":R",ROW()-1,"C",COLUMN()),FALSE))+1)</f>
        <v/>
      </c>
      <c r="B397" s="218" t="str">
        <f ca="1">IF(ResultColumnLabels[[#This Row],[Data Value Number]]="","",INDEX(DataColumns[ColumnLabel],MATCH(ResultColumnLabels[[#This Row],[Data Value Number]],DataColumns[DVNum],0)))</f>
        <v/>
      </c>
    </row>
    <row r="398" spans="1:2">
      <c r="A398" s="218" t="str">
        <f ca="1">IF(ROW()-1&gt;NumDataColumns,"",MAX(INDIRECT(CONCATENATE("R",ROW(ResultColumnLabels[#Headers]),"C",COLUMN(),":R",ROW()-1,"C",COLUMN()),FALSE))+1)</f>
        <v/>
      </c>
      <c r="B398" s="218" t="str">
        <f ca="1">IF(ResultColumnLabels[[#This Row],[Data Value Number]]="","",INDEX(DataColumns[ColumnLabel],MATCH(ResultColumnLabels[[#This Row],[Data Value Number]],DataColumns[DVNum],0)))</f>
        <v/>
      </c>
    </row>
    <row r="399" spans="1:2">
      <c r="A399" s="218" t="str">
        <f ca="1">IF(ROW()-1&gt;NumDataColumns,"",MAX(INDIRECT(CONCATENATE("R",ROW(ResultColumnLabels[#Headers]),"C",COLUMN(),":R",ROW()-1,"C",COLUMN()),FALSE))+1)</f>
        <v/>
      </c>
      <c r="B399" s="218" t="str">
        <f ca="1">IF(ResultColumnLabels[[#This Row],[Data Value Number]]="","",INDEX(DataColumns[ColumnLabel],MATCH(ResultColumnLabels[[#This Row],[Data Value Number]],DataColumns[DVNum],0)))</f>
        <v/>
      </c>
    </row>
    <row r="400" spans="1:2">
      <c r="A400" s="218" t="str">
        <f ca="1">IF(ROW()-1&gt;NumDataColumns,"",MAX(INDIRECT(CONCATENATE("R",ROW(ResultColumnLabels[#Headers]),"C",COLUMN(),":R",ROW()-1,"C",COLUMN()),FALSE))+1)</f>
        <v/>
      </c>
      <c r="B400" s="218" t="str">
        <f ca="1">IF(ResultColumnLabels[[#This Row],[Data Value Number]]="","",INDEX(DataColumns[ColumnLabel],MATCH(ResultColumnLabels[[#This Row],[Data Value Number]],DataColumns[DVNum],0)))</f>
        <v/>
      </c>
    </row>
    <row r="401" spans="1:2">
      <c r="A401" s="218" t="str">
        <f ca="1">IF(ROW()-1&gt;NumDataColumns,"",MAX(INDIRECT(CONCATENATE("R",ROW(ResultColumnLabels[#Headers]),"C",COLUMN(),":R",ROW()-1,"C",COLUMN()),FALSE))+1)</f>
        <v/>
      </c>
      <c r="B401" s="218" t="str">
        <f ca="1">IF(ResultColumnLabels[[#This Row],[Data Value Number]]="","",INDEX(DataColumns[ColumnLabel],MATCH(ResultColumnLabels[[#This Row],[Data Value Number]],DataColumns[DVNum],0)))</f>
        <v/>
      </c>
    </row>
    <row r="402" spans="1:2">
      <c r="A402" s="218" t="str">
        <f ca="1">IF(ROW()-1&gt;NumDataColumns,"",MAX(INDIRECT(CONCATENATE("R",ROW(ResultColumnLabels[#Headers]),"C",COLUMN(),":R",ROW()-1,"C",COLUMN()),FALSE))+1)</f>
        <v/>
      </c>
      <c r="B402" s="218" t="str">
        <f ca="1">IF(ResultColumnLabels[[#This Row],[Data Value Number]]="","",INDEX(DataColumns[ColumnLabel],MATCH(ResultColumnLabels[[#This Row],[Data Value Number]],DataColumns[DVNum],0)))</f>
        <v/>
      </c>
    </row>
    <row r="403" spans="1:2">
      <c r="A403" s="218" t="str">
        <f ca="1">IF(ROW()-1&gt;NumDataColumns,"",MAX(INDIRECT(CONCATENATE("R",ROW(ResultColumnLabels[#Headers]),"C",COLUMN(),":R",ROW()-1,"C",COLUMN()),FALSE))+1)</f>
        <v/>
      </c>
      <c r="B403" s="218" t="str">
        <f ca="1">IF(ResultColumnLabels[[#This Row],[Data Value Number]]="","",INDEX(DataColumns[ColumnLabel],MATCH(ResultColumnLabels[[#This Row],[Data Value Number]],DataColumns[DVNum],0)))</f>
        <v/>
      </c>
    </row>
    <row r="404" spans="1:2">
      <c r="A404" s="218" t="str">
        <f ca="1">IF(ROW()-1&gt;NumDataColumns,"",MAX(INDIRECT(CONCATENATE("R",ROW(ResultColumnLabels[#Headers]),"C",COLUMN(),":R",ROW()-1,"C",COLUMN()),FALSE))+1)</f>
        <v/>
      </c>
      <c r="B404" s="218" t="str">
        <f ca="1">IF(ResultColumnLabels[[#This Row],[Data Value Number]]="","",INDEX(DataColumns[ColumnLabel],MATCH(ResultColumnLabels[[#This Row],[Data Value Number]],DataColumns[DVNum],0)))</f>
        <v/>
      </c>
    </row>
    <row r="405" spans="1:2">
      <c r="A405" s="218" t="str">
        <f ca="1">IF(ROW()-1&gt;NumDataColumns,"",MAX(INDIRECT(CONCATENATE("R",ROW(ResultColumnLabels[#Headers]),"C",COLUMN(),":R",ROW()-1,"C",COLUMN()),FALSE))+1)</f>
        <v/>
      </c>
      <c r="B405" s="218" t="str">
        <f ca="1">IF(ResultColumnLabels[[#This Row],[Data Value Number]]="","",INDEX(DataColumns[ColumnLabel],MATCH(ResultColumnLabels[[#This Row],[Data Value Number]],DataColumns[DVNum],0)))</f>
        <v/>
      </c>
    </row>
    <row r="406" spans="1:2">
      <c r="A406" s="218" t="str">
        <f ca="1">IF(ROW()-1&gt;NumDataColumns,"",MAX(INDIRECT(CONCATENATE("R",ROW(ResultColumnLabels[#Headers]),"C",COLUMN(),":R",ROW()-1,"C",COLUMN()),FALSE))+1)</f>
        <v/>
      </c>
      <c r="B406" s="218" t="str">
        <f ca="1">IF(ResultColumnLabels[[#This Row],[Data Value Number]]="","",INDEX(DataColumns[ColumnLabel],MATCH(ResultColumnLabels[[#This Row],[Data Value Number]],DataColumns[DVNum],0)))</f>
        <v/>
      </c>
    </row>
    <row r="407" spans="1:2">
      <c r="A407" s="218" t="str">
        <f ca="1">IF(ROW()-1&gt;NumDataColumns,"",MAX(INDIRECT(CONCATENATE("R",ROW(ResultColumnLabels[#Headers]),"C",COLUMN(),":R",ROW()-1,"C",COLUMN()),FALSE))+1)</f>
        <v/>
      </c>
      <c r="B407" s="218" t="str">
        <f ca="1">IF(ResultColumnLabels[[#This Row],[Data Value Number]]="","",INDEX(DataColumns[ColumnLabel],MATCH(ResultColumnLabels[[#This Row],[Data Value Number]],DataColumns[DVNum],0)))</f>
        <v/>
      </c>
    </row>
    <row r="408" spans="1:2">
      <c r="A408" s="218" t="str">
        <f ca="1">IF(ROW()-1&gt;NumDataColumns,"",MAX(INDIRECT(CONCATENATE("R",ROW(ResultColumnLabels[#Headers]),"C",COLUMN(),":R",ROW()-1,"C",COLUMN()),FALSE))+1)</f>
        <v/>
      </c>
      <c r="B408" s="218" t="str">
        <f ca="1">IF(ResultColumnLabels[[#This Row],[Data Value Number]]="","",INDEX(DataColumns[ColumnLabel],MATCH(ResultColumnLabels[[#This Row],[Data Value Number]],DataColumns[DVNum],0)))</f>
        <v/>
      </c>
    </row>
    <row r="409" spans="1:2">
      <c r="A409" s="218" t="str">
        <f ca="1">IF(ROW()-1&gt;NumDataColumns,"",MAX(INDIRECT(CONCATENATE("R",ROW(ResultColumnLabels[#Headers]),"C",COLUMN(),":R",ROW()-1,"C",COLUMN()),FALSE))+1)</f>
        <v/>
      </c>
      <c r="B409" s="218" t="str">
        <f ca="1">IF(ResultColumnLabels[[#This Row],[Data Value Number]]="","",INDEX(DataColumns[ColumnLabel],MATCH(ResultColumnLabels[[#This Row],[Data Value Number]],DataColumns[DVNum],0)))</f>
        <v/>
      </c>
    </row>
    <row r="410" spans="1:2">
      <c r="A410" s="218" t="str">
        <f ca="1">IF(ROW()-1&gt;NumDataColumns,"",MAX(INDIRECT(CONCATENATE("R",ROW(ResultColumnLabels[#Headers]),"C",COLUMN(),":R",ROW()-1,"C",COLUMN()),FALSE))+1)</f>
        <v/>
      </c>
      <c r="B410" s="218" t="str">
        <f ca="1">IF(ResultColumnLabels[[#This Row],[Data Value Number]]="","",INDEX(DataColumns[ColumnLabel],MATCH(ResultColumnLabels[[#This Row],[Data Value Number]],DataColumns[DVNum],0)))</f>
        <v/>
      </c>
    </row>
    <row r="411" spans="1:2">
      <c r="A411" s="218" t="str">
        <f ca="1">IF(ROW()-1&gt;NumDataColumns,"",MAX(INDIRECT(CONCATENATE("R",ROW(ResultColumnLabels[#Headers]),"C",COLUMN(),":R",ROW()-1,"C",COLUMN()),FALSE))+1)</f>
        <v/>
      </c>
      <c r="B411" s="218" t="str">
        <f ca="1">IF(ResultColumnLabels[[#This Row],[Data Value Number]]="","",INDEX(DataColumns[ColumnLabel],MATCH(ResultColumnLabels[[#This Row],[Data Value Number]],DataColumns[DVNum],0)))</f>
        <v/>
      </c>
    </row>
    <row r="412" spans="1:2">
      <c r="A412" s="218" t="str">
        <f ca="1">IF(ROW()-1&gt;NumDataColumns,"",MAX(INDIRECT(CONCATENATE("R",ROW(ResultColumnLabels[#Headers]),"C",COLUMN(),":R",ROW()-1,"C",COLUMN()),FALSE))+1)</f>
        <v/>
      </c>
      <c r="B412" s="218" t="str">
        <f ca="1">IF(ResultColumnLabels[[#This Row],[Data Value Number]]="","",INDEX(DataColumns[ColumnLabel],MATCH(ResultColumnLabels[[#This Row],[Data Value Number]],DataColumns[DVNum],0)))</f>
        <v/>
      </c>
    </row>
    <row r="413" spans="1:2">
      <c r="A413" s="218" t="str">
        <f ca="1">IF(ROW()-1&gt;NumDataColumns,"",MAX(INDIRECT(CONCATENATE("R",ROW(ResultColumnLabels[#Headers]),"C",COLUMN(),":R",ROW()-1,"C",COLUMN()),FALSE))+1)</f>
        <v/>
      </c>
      <c r="B413" s="218" t="str">
        <f ca="1">IF(ResultColumnLabels[[#This Row],[Data Value Number]]="","",INDEX(DataColumns[ColumnLabel],MATCH(ResultColumnLabels[[#This Row],[Data Value Number]],DataColumns[DVNum],0)))</f>
        <v/>
      </c>
    </row>
    <row r="414" spans="1:2">
      <c r="A414" s="218" t="str">
        <f ca="1">IF(ROW()-1&gt;NumDataColumns,"",MAX(INDIRECT(CONCATENATE("R",ROW(ResultColumnLabels[#Headers]),"C",COLUMN(),":R",ROW()-1,"C",COLUMN()),FALSE))+1)</f>
        <v/>
      </c>
      <c r="B414" s="218" t="str">
        <f ca="1">IF(ResultColumnLabels[[#This Row],[Data Value Number]]="","",INDEX(DataColumns[ColumnLabel],MATCH(ResultColumnLabels[[#This Row],[Data Value Number]],DataColumns[DVNum],0)))</f>
        <v/>
      </c>
    </row>
    <row r="415" spans="1:2">
      <c r="A415" s="218" t="str">
        <f ca="1">IF(ROW()-1&gt;NumDataColumns,"",MAX(INDIRECT(CONCATENATE("R",ROW(ResultColumnLabels[#Headers]),"C",COLUMN(),":R",ROW()-1,"C",COLUMN()),FALSE))+1)</f>
        <v/>
      </c>
      <c r="B415" s="218" t="str">
        <f ca="1">IF(ResultColumnLabels[[#This Row],[Data Value Number]]="","",INDEX(DataColumns[ColumnLabel],MATCH(ResultColumnLabels[[#This Row],[Data Value Number]],DataColumns[DVNum],0)))</f>
        <v/>
      </c>
    </row>
    <row r="416" spans="1:2">
      <c r="A416" s="218" t="str">
        <f ca="1">IF(ROW()-1&gt;NumDataColumns,"",MAX(INDIRECT(CONCATENATE("R",ROW(ResultColumnLabels[#Headers]),"C",COLUMN(),":R",ROW()-1,"C",COLUMN()),FALSE))+1)</f>
        <v/>
      </c>
      <c r="B416" s="218" t="str">
        <f ca="1">IF(ResultColumnLabels[[#This Row],[Data Value Number]]="","",INDEX(DataColumns[ColumnLabel],MATCH(ResultColumnLabels[[#This Row],[Data Value Number]],DataColumns[DVNum],0)))</f>
        <v/>
      </c>
    </row>
    <row r="417" spans="1:2">
      <c r="A417" s="218" t="str">
        <f ca="1">IF(ROW()-1&gt;NumDataColumns,"",MAX(INDIRECT(CONCATENATE("R",ROW(ResultColumnLabels[#Headers]),"C",COLUMN(),":R",ROW()-1,"C",COLUMN()),FALSE))+1)</f>
        <v/>
      </c>
      <c r="B417" s="218" t="str">
        <f ca="1">IF(ResultColumnLabels[[#This Row],[Data Value Number]]="","",INDEX(DataColumns[ColumnLabel],MATCH(ResultColumnLabels[[#This Row],[Data Value Number]],DataColumns[DVNum],0)))</f>
        <v/>
      </c>
    </row>
    <row r="418" spans="1:2">
      <c r="A418" s="218" t="str">
        <f ca="1">IF(ROW()-1&gt;NumDataColumns,"",MAX(INDIRECT(CONCATENATE("R",ROW(ResultColumnLabels[#Headers]),"C",COLUMN(),":R",ROW()-1,"C",COLUMN()),FALSE))+1)</f>
        <v/>
      </c>
      <c r="B418" s="218" t="str">
        <f ca="1">IF(ResultColumnLabels[[#This Row],[Data Value Number]]="","",INDEX(DataColumns[ColumnLabel],MATCH(ResultColumnLabels[[#This Row],[Data Value Number]],DataColumns[DVNum],0)))</f>
        <v/>
      </c>
    </row>
    <row r="419" spans="1:2">
      <c r="A419" s="218" t="str">
        <f ca="1">IF(ROW()-1&gt;NumDataColumns,"",MAX(INDIRECT(CONCATENATE("R",ROW(ResultColumnLabels[#Headers]),"C",COLUMN(),":R",ROW()-1,"C",COLUMN()),FALSE))+1)</f>
        <v/>
      </c>
      <c r="B419" s="218" t="str">
        <f ca="1">IF(ResultColumnLabels[[#This Row],[Data Value Number]]="","",INDEX(DataColumns[ColumnLabel],MATCH(ResultColumnLabels[[#This Row],[Data Value Number]],DataColumns[DVNum],0)))</f>
        <v/>
      </c>
    </row>
    <row r="420" spans="1:2">
      <c r="A420" s="218" t="str">
        <f ca="1">IF(ROW()-1&gt;NumDataColumns,"",MAX(INDIRECT(CONCATENATE("R",ROW(ResultColumnLabels[#Headers]),"C",COLUMN(),":R",ROW()-1,"C",COLUMN()),FALSE))+1)</f>
        <v/>
      </c>
      <c r="B420" s="218" t="str">
        <f ca="1">IF(ResultColumnLabels[[#This Row],[Data Value Number]]="","",INDEX(DataColumns[ColumnLabel],MATCH(ResultColumnLabels[[#This Row],[Data Value Number]],DataColumns[DVNum],0)))</f>
        <v/>
      </c>
    </row>
    <row r="421" spans="1:2">
      <c r="A421" s="218" t="str">
        <f ca="1">IF(ROW()-1&gt;NumDataColumns,"",MAX(INDIRECT(CONCATENATE("R",ROW(ResultColumnLabels[#Headers]),"C",COLUMN(),":R",ROW()-1,"C",COLUMN()),FALSE))+1)</f>
        <v/>
      </c>
      <c r="B421" s="218" t="str">
        <f ca="1">IF(ResultColumnLabels[[#This Row],[Data Value Number]]="","",INDEX(DataColumns[ColumnLabel],MATCH(ResultColumnLabels[[#This Row],[Data Value Number]],DataColumns[DVNum],0)))</f>
        <v/>
      </c>
    </row>
    <row r="422" spans="1:2">
      <c r="A422" s="218" t="str">
        <f ca="1">IF(ROW()-1&gt;NumDataColumns,"",MAX(INDIRECT(CONCATENATE("R",ROW(ResultColumnLabels[#Headers]),"C",COLUMN(),":R",ROW()-1,"C",COLUMN()),FALSE))+1)</f>
        <v/>
      </c>
      <c r="B422" s="218" t="str">
        <f ca="1">IF(ResultColumnLabels[[#This Row],[Data Value Number]]="","",INDEX(DataColumns[ColumnLabel],MATCH(ResultColumnLabels[[#This Row],[Data Value Number]],DataColumns[DVNum],0)))</f>
        <v/>
      </c>
    </row>
    <row r="423" spans="1:2">
      <c r="A423" s="218" t="str">
        <f ca="1">IF(ROW()-1&gt;NumDataColumns,"",MAX(INDIRECT(CONCATENATE("R",ROW(ResultColumnLabels[#Headers]),"C",COLUMN(),":R",ROW()-1,"C",COLUMN()),FALSE))+1)</f>
        <v/>
      </c>
      <c r="B423" s="218" t="str">
        <f ca="1">IF(ResultColumnLabels[[#This Row],[Data Value Number]]="","",INDEX(DataColumns[ColumnLabel],MATCH(ResultColumnLabels[[#This Row],[Data Value Number]],DataColumns[DVNum],0)))</f>
        <v/>
      </c>
    </row>
    <row r="424" spans="1:2">
      <c r="A424" s="218" t="str">
        <f ca="1">IF(ROW()-1&gt;NumDataColumns,"",MAX(INDIRECT(CONCATENATE("R",ROW(ResultColumnLabels[#Headers]),"C",COLUMN(),":R",ROW()-1,"C",COLUMN()),FALSE))+1)</f>
        <v/>
      </c>
      <c r="B424" s="218" t="str">
        <f ca="1">IF(ResultColumnLabels[[#This Row],[Data Value Number]]="","",INDEX(DataColumns[ColumnLabel],MATCH(ResultColumnLabels[[#This Row],[Data Value Number]],DataColumns[DVNum],0)))</f>
        <v/>
      </c>
    </row>
    <row r="425" spans="1:2">
      <c r="A425" s="218" t="str">
        <f ca="1">IF(ROW()-1&gt;NumDataColumns,"",MAX(INDIRECT(CONCATENATE("R",ROW(ResultColumnLabels[#Headers]),"C",COLUMN(),":R",ROW()-1,"C",COLUMN()),FALSE))+1)</f>
        <v/>
      </c>
      <c r="B425" s="218" t="str">
        <f ca="1">IF(ResultColumnLabels[[#This Row],[Data Value Number]]="","",INDEX(DataColumns[ColumnLabel],MATCH(ResultColumnLabels[[#This Row],[Data Value Number]],DataColumns[DVNum],0)))</f>
        <v/>
      </c>
    </row>
    <row r="426" spans="1:2">
      <c r="A426" s="218" t="str">
        <f ca="1">IF(ROW()-1&gt;NumDataColumns,"",MAX(INDIRECT(CONCATENATE("R",ROW(ResultColumnLabels[#Headers]),"C",COLUMN(),":R",ROW()-1,"C",COLUMN()),FALSE))+1)</f>
        <v/>
      </c>
      <c r="B426" s="218" t="str">
        <f ca="1">IF(ResultColumnLabels[[#This Row],[Data Value Number]]="","",INDEX(DataColumns[ColumnLabel],MATCH(ResultColumnLabels[[#This Row],[Data Value Number]],DataColumns[DVNum],0)))</f>
        <v/>
      </c>
    </row>
    <row r="427" spans="1:2">
      <c r="A427" s="218" t="str">
        <f ca="1">IF(ROW()-1&gt;NumDataColumns,"",MAX(INDIRECT(CONCATENATE("R",ROW(ResultColumnLabels[#Headers]),"C",COLUMN(),":R",ROW()-1,"C",COLUMN()),FALSE))+1)</f>
        <v/>
      </c>
      <c r="B427" s="218" t="str">
        <f ca="1">IF(ResultColumnLabels[[#This Row],[Data Value Number]]="","",INDEX(DataColumns[ColumnLabel],MATCH(ResultColumnLabels[[#This Row],[Data Value Number]],DataColumns[DVNum],0)))</f>
        <v/>
      </c>
    </row>
    <row r="428" spans="1:2">
      <c r="A428" s="218" t="str">
        <f ca="1">IF(ROW()-1&gt;NumDataColumns,"",MAX(INDIRECT(CONCATENATE("R",ROW(ResultColumnLabels[#Headers]),"C",COLUMN(),":R",ROW()-1,"C",COLUMN()),FALSE))+1)</f>
        <v/>
      </c>
      <c r="B428" s="218" t="str">
        <f ca="1">IF(ResultColumnLabels[[#This Row],[Data Value Number]]="","",INDEX(DataColumns[ColumnLabel],MATCH(ResultColumnLabels[[#This Row],[Data Value Number]],DataColumns[DVNum],0)))</f>
        <v/>
      </c>
    </row>
    <row r="429" spans="1:2">
      <c r="A429" s="218" t="str">
        <f ca="1">IF(ROW()-1&gt;NumDataColumns,"",MAX(INDIRECT(CONCATENATE("R",ROW(ResultColumnLabels[#Headers]),"C",COLUMN(),":R",ROW()-1,"C",COLUMN()),FALSE))+1)</f>
        <v/>
      </c>
      <c r="B429" s="218" t="str">
        <f ca="1">IF(ResultColumnLabels[[#This Row],[Data Value Number]]="","",INDEX(DataColumns[ColumnLabel],MATCH(ResultColumnLabels[[#This Row],[Data Value Number]],DataColumns[DVNum],0)))</f>
        <v/>
      </c>
    </row>
    <row r="430" spans="1:2">
      <c r="A430" s="218" t="str">
        <f ca="1">IF(ROW()-1&gt;NumDataColumns,"",MAX(INDIRECT(CONCATENATE("R",ROW(ResultColumnLabels[#Headers]),"C",COLUMN(),":R",ROW()-1,"C",COLUMN()),FALSE))+1)</f>
        <v/>
      </c>
      <c r="B430" s="218" t="str">
        <f ca="1">IF(ResultColumnLabels[[#This Row],[Data Value Number]]="","",INDEX(DataColumns[ColumnLabel],MATCH(ResultColumnLabels[[#This Row],[Data Value Number]],DataColumns[DVNum],0)))</f>
        <v/>
      </c>
    </row>
    <row r="431" spans="1:2">
      <c r="A431" s="218" t="str">
        <f ca="1">IF(ROW()-1&gt;NumDataColumns,"",MAX(INDIRECT(CONCATENATE("R",ROW(ResultColumnLabels[#Headers]),"C",COLUMN(),":R",ROW()-1,"C",COLUMN()),FALSE))+1)</f>
        <v/>
      </c>
      <c r="B431" s="218" t="str">
        <f ca="1">IF(ResultColumnLabels[[#This Row],[Data Value Number]]="","",INDEX(DataColumns[ColumnLabel],MATCH(ResultColumnLabels[[#This Row],[Data Value Number]],DataColumns[DVNum],0)))</f>
        <v/>
      </c>
    </row>
    <row r="432" spans="1:2">
      <c r="A432" s="218" t="str">
        <f ca="1">IF(ROW()-1&gt;NumDataColumns,"",MAX(INDIRECT(CONCATENATE("R",ROW(ResultColumnLabels[#Headers]),"C",COLUMN(),":R",ROW()-1,"C",COLUMN()),FALSE))+1)</f>
        <v/>
      </c>
      <c r="B432" s="218" t="str">
        <f ca="1">IF(ResultColumnLabels[[#This Row],[Data Value Number]]="","",INDEX(DataColumns[ColumnLabel],MATCH(ResultColumnLabels[[#This Row],[Data Value Number]],DataColumns[DVNum],0)))</f>
        <v/>
      </c>
    </row>
    <row r="433" spans="1:2">
      <c r="A433" s="218" t="str">
        <f ca="1">IF(ROW()-1&gt;NumDataColumns,"",MAX(INDIRECT(CONCATENATE("R",ROW(ResultColumnLabels[#Headers]),"C",COLUMN(),":R",ROW()-1,"C",COLUMN()),FALSE))+1)</f>
        <v/>
      </c>
      <c r="B433" s="218" t="str">
        <f ca="1">IF(ResultColumnLabels[[#This Row],[Data Value Number]]="","",INDEX(DataColumns[ColumnLabel],MATCH(ResultColumnLabels[[#This Row],[Data Value Number]],DataColumns[DVNum],0)))</f>
        <v/>
      </c>
    </row>
    <row r="434" spans="1:2">
      <c r="A434" s="218" t="str">
        <f ca="1">IF(ROW()-1&gt;NumDataColumns,"",MAX(INDIRECT(CONCATENATE("R",ROW(ResultColumnLabels[#Headers]),"C",COLUMN(),":R",ROW()-1,"C",COLUMN()),FALSE))+1)</f>
        <v/>
      </c>
      <c r="B434" s="218" t="str">
        <f ca="1">IF(ResultColumnLabels[[#This Row],[Data Value Number]]="","",INDEX(DataColumns[ColumnLabel],MATCH(ResultColumnLabels[[#This Row],[Data Value Number]],DataColumns[DVNum],0)))</f>
        <v/>
      </c>
    </row>
    <row r="435" spans="1:2">
      <c r="A435" s="218" t="str">
        <f ca="1">IF(ROW()-1&gt;NumDataColumns,"",MAX(INDIRECT(CONCATENATE("R",ROW(ResultColumnLabels[#Headers]),"C",COLUMN(),":R",ROW()-1,"C",COLUMN()),FALSE))+1)</f>
        <v/>
      </c>
      <c r="B435" s="218" t="str">
        <f ca="1">IF(ResultColumnLabels[[#This Row],[Data Value Number]]="","",INDEX(DataColumns[ColumnLabel],MATCH(ResultColumnLabels[[#This Row],[Data Value Number]],DataColumns[DVNum],0)))</f>
        <v/>
      </c>
    </row>
    <row r="436" spans="1:2">
      <c r="A436" s="218" t="str">
        <f ca="1">IF(ROW()-1&gt;NumDataColumns,"",MAX(INDIRECT(CONCATENATE("R",ROW(ResultColumnLabels[#Headers]),"C",COLUMN(),":R",ROW()-1,"C",COLUMN()),FALSE))+1)</f>
        <v/>
      </c>
      <c r="B436" s="218" t="str">
        <f ca="1">IF(ResultColumnLabels[[#This Row],[Data Value Number]]="","",INDEX(DataColumns[ColumnLabel],MATCH(ResultColumnLabels[[#This Row],[Data Value Number]],DataColumns[DVNum],0)))</f>
        <v/>
      </c>
    </row>
    <row r="437" spans="1:2">
      <c r="A437" s="218" t="str">
        <f ca="1">IF(ROW()-1&gt;NumDataColumns,"",MAX(INDIRECT(CONCATENATE("R",ROW(ResultColumnLabels[#Headers]),"C",COLUMN(),":R",ROW()-1,"C",COLUMN()),FALSE))+1)</f>
        <v/>
      </c>
      <c r="B437" s="218" t="str">
        <f ca="1">IF(ResultColumnLabels[[#This Row],[Data Value Number]]="","",INDEX(DataColumns[ColumnLabel],MATCH(ResultColumnLabels[[#This Row],[Data Value Number]],DataColumns[DVNum],0)))</f>
        <v/>
      </c>
    </row>
    <row r="438" spans="1:2">
      <c r="A438" s="218" t="str">
        <f ca="1">IF(ROW()-1&gt;NumDataColumns,"",MAX(INDIRECT(CONCATENATE("R",ROW(ResultColumnLabels[#Headers]),"C",COLUMN(),":R",ROW()-1,"C",COLUMN()),FALSE))+1)</f>
        <v/>
      </c>
      <c r="B438" s="218" t="str">
        <f ca="1">IF(ResultColumnLabels[[#This Row],[Data Value Number]]="","",INDEX(DataColumns[ColumnLabel],MATCH(ResultColumnLabels[[#This Row],[Data Value Number]],DataColumns[DVNum],0)))</f>
        <v/>
      </c>
    </row>
    <row r="439" spans="1:2">
      <c r="A439" s="218" t="str">
        <f ca="1">IF(ROW()-1&gt;NumDataColumns,"",MAX(INDIRECT(CONCATENATE("R",ROW(ResultColumnLabels[#Headers]),"C",COLUMN(),":R",ROW()-1,"C",COLUMN()),FALSE))+1)</f>
        <v/>
      </c>
      <c r="B439" s="218" t="str">
        <f ca="1">IF(ResultColumnLabels[[#This Row],[Data Value Number]]="","",INDEX(DataColumns[ColumnLabel],MATCH(ResultColumnLabels[[#This Row],[Data Value Number]],DataColumns[DVNum],0)))</f>
        <v/>
      </c>
    </row>
    <row r="440" spans="1:2">
      <c r="A440" s="218" t="str">
        <f ca="1">IF(ROW()-1&gt;NumDataColumns,"",MAX(INDIRECT(CONCATENATE("R",ROW(ResultColumnLabels[#Headers]),"C",COLUMN(),":R",ROW()-1,"C",COLUMN()),FALSE))+1)</f>
        <v/>
      </c>
      <c r="B440" s="218" t="str">
        <f ca="1">IF(ResultColumnLabels[[#This Row],[Data Value Number]]="","",INDEX(DataColumns[ColumnLabel],MATCH(ResultColumnLabels[[#This Row],[Data Value Number]],DataColumns[DVNum],0)))</f>
        <v/>
      </c>
    </row>
    <row r="441" spans="1:2">
      <c r="A441" s="218" t="str">
        <f ca="1">IF(ROW()-1&gt;NumDataColumns,"",MAX(INDIRECT(CONCATENATE("R",ROW(ResultColumnLabels[#Headers]),"C",COLUMN(),":R",ROW()-1,"C",COLUMN()),FALSE))+1)</f>
        <v/>
      </c>
      <c r="B441" s="218" t="str">
        <f ca="1">IF(ResultColumnLabels[[#This Row],[Data Value Number]]="","",INDEX(DataColumns[ColumnLabel],MATCH(ResultColumnLabels[[#This Row],[Data Value Number]],DataColumns[DVNum],0)))</f>
        <v/>
      </c>
    </row>
    <row r="442" spans="1:2">
      <c r="A442" s="218" t="str">
        <f ca="1">IF(ROW()-1&gt;NumDataColumns,"",MAX(INDIRECT(CONCATENATE("R",ROW(ResultColumnLabels[#Headers]),"C",COLUMN(),":R",ROW()-1,"C",COLUMN()),FALSE))+1)</f>
        <v/>
      </c>
      <c r="B442" s="218" t="str">
        <f ca="1">IF(ResultColumnLabels[[#This Row],[Data Value Number]]="","",INDEX(DataColumns[ColumnLabel],MATCH(ResultColumnLabels[[#This Row],[Data Value Number]],DataColumns[DVNum],0)))</f>
        <v/>
      </c>
    </row>
    <row r="443" spans="1:2">
      <c r="A443" s="218" t="str">
        <f ca="1">IF(ROW()-1&gt;NumDataColumns,"",MAX(INDIRECT(CONCATENATE("R",ROW(ResultColumnLabels[#Headers]),"C",COLUMN(),":R",ROW()-1,"C",COLUMN()),FALSE))+1)</f>
        <v/>
      </c>
      <c r="B443" s="218" t="str">
        <f ca="1">IF(ResultColumnLabels[[#This Row],[Data Value Number]]="","",INDEX(DataColumns[ColumnLabel],MATCH(ResultColumnLabels[[#This Row],[Data Value Number]],DataColumns[DVNum],0)))</f>
        <v/>
      </c>
    </row>
    <row r="444" spans="1:2">
      <c r="A444" s="218" t="str">
        <f ca="1">IF(ROW()-1&gt;NumDataColumns,"",MAX(INDIRECT(CONCATENATE("R",ROW(ResultColumnLabels[#Headers]),"C",COLUMN(),":R",ROW()-1,"C",COLUMN()),FALSE))+1)</f>
        <v/>
      </c>
      <c r="B444" s="218" t="str">
        <f ca="1">IF(ResultColumnLabels[[#This Row],[Data Value Number]]="","",INDEX(DataColumns[ColumnLabel],MATCH(ResultColumnLabels[[#This Row],[Data Value Number]],DataColumns[DVNum],0)))</f>
        <v/>
      </c>
    </row>
    <row r="445" spans="1:2">
      <c r="A445" s="218" t="str">
        <f ca="1">IF(ROW()-1&gt;NumDataColumns,"",MAX(INDIRECT(CONCATENATE("R",ROW(ResultColumnLabels[#Headers]),"C",COLUMN(),":R",ROW()-1,"C",COLUMN()),FALSE))+1)</f>
        <v/>
      </c>
      <c r="B445" s="218" t="str">
        <f ca="1">IF(ResultColumnLabels[[#This Row],[Data Value Number]]="","",INDEX(DataColumns[ColumnLabel],MATCH(ResultColumnLabels[[#This Row],[Data Value Number]],DataColumns[DVNum],0)))</f>
        <v/>
      </c>
    </row>
    <row r="446" spans="1:2">
      <c r="A446" s="218" t="str">
        <f ca="1">IF(ROW()-1&gt;NumDataColumns,"",MAX(INDIRECT(CONCATENATE("R",ROW(ResultColumnLabels[#Headers]),"C",COLUMN(),":R",ROW()-1,"C",COLUMN()),FALSE))+1)</f>
        <v/>
      </c>
      <c r="B446" s="218" t="str">
        <f ca="1">IF(ResultColumnLabels[[#This Row],[Data Value Number]]="","",INDEX(DataColumns[ColumnLabel],MATCH(ResultColumnLabels[[#This Row],[Data Value Number]],DataColumns[DVNum],0)))</f>
        <v/>
      </c>
    </row>
    <row r="447" spans="1:2">
      <c r="A447" s="218" t="str">
        <f ca="1">IF(ROW()-1&gt;NumDataColumns,"",MAX(INDIRECT(CONCATENATE("R",ROW(ResultColumnLabels[#Headers]),"C",COLUMN(),":R",ROW()-1,"C",COLUMN()),FALSE))+1)</f>
        <v/>
      </c>
      <c r="B447" s="218" t="str">
        <f ca="1">IF(ResultColumnLabels[[#This Row],[Data Value Number]]="","",INDEX(DataColumns[ColumnLabel],MATCH(ResultColumnLabels[[#This Row],[Data Value Number]],DataColumns[DVNum],0)))</f>
        <v/>
      </c>
    </row>
    <row r="448" spans="1:2">
      <c r="A448" s="218" t="str">
        <f ca="1">IF(ROW()-1&gt;NumDataColumns,"",MAX(INDIRECT(CONCATENATE("R",ROW(ResultColumnLabels[#Headers]),"C",COLUMN(),":R",ROW()-1,"C",COLUMN()),FALSE))+1)</f>
        <v/>
      </c>
      <c r="B448" s="218" t="str">
        <f ca="1">IF(ResultColumnLabels[[#This Row],[Data Value Number]]="","",INDEX(DataColumns[ColumnLabel],MATCH(ResultColumnLabels[[#This Row],[Data Value Number]],DataColumns[DVNum],0)))</f>
        <v/>
      </c>
    </row>
    <row r="449" spans="1:2">
      <c r="A449" s="218" t="str">
        <f ca="1">IF(ROW()-1&gt;NumDataColumns,"",MAX(INDIRECT(CONCATENATE("R",ROW(ResultColumnLabels[#Headers]),"C",COLUMN(),":R",ROW()-1,"C",COLUMN()),FALSE))+1)</f>
        <v/>
      </c>
      <c r="B449" s="218" t="str">
        <f ca="1">IF(ResultColumnLabels[[#This Row],[Data Value Number]]="","",INDEX(DataColumns[ColumnLabel],MATCH(ResultColumnLabels[[#This Row],[Data Value Number]],DataColumns[DVNum],0)))</f>
        <v/>
      </c>
    </row>
    <row r="450" spans="1:2">
      <c r="A450" s="218" t="str">
        <f ca="1">IF(ROW()-1&gt;NumDataColumns,"",MAX(INDIRECT(CONCATENATE("R",ROW(ResultColumnLabels[#Headers]),"C",COLUMN(),":R",ROW()-1,"C",COLUMN()),FALSE))+1)</f>
        <v/>
      </c>
      <c r="B450" s="218" t="str">
        <f ca="1">IF(ResultColumnLabels[[#This Row],[Data Value Number]]="","",INDEX(DataColumns[ColumnLabel],MATCH(ResultColumnLabels[[#This Row],[Data Value Number]],DataColumns[DVNum],0)))</f>
        <v/>
      </c>
    </row>
    <row r="451" spans="1:2">
      <c r="A451" s="218" t="str">
        <f ca="1">IF(ROW()-1&gt;NumDataColumns,"",MAX(INDIRECT(CONCATENATE("R",ROW(ResultColumnLabels[#Headers]),"C",COLUMN(),":R",ROW()-1,"C",COLUMN()),FALSE))+1)</f>
        <v/>
      </c>
      <c r="B451" s="218" t="str">
        <f ca="1">IF(ResultColumnLabels[[#This Row],[Data Value Number]]="","",INDEX(DataColumns[ColumnLabel],MATCH(ResultColumnLabels[[#This Row],[Data Value Number]],DataColumns[DVNum],0)))</f>
        <v/>
      </c>
    </row>
    <row r="452" spans="1:2">
      <c r="A452" s="218" t="str">
        <f ca="1">IF(ROW()-1&gt;NumDataColumns,"",MAX(INDIRECT(CONCATENATE("R",ROW(ResultColumnLabels[#Headers]),"C",COLUMN(),":R",ROW()-1,"C",COLUMN()),FALSE))+1)</f>
        <v/>
      </c>
      <c r="B452" s="218" t="str">
        <f ca="1">IF(ResultColumnLabels[[#This Row],[Data Value Number]]="","",INDEX(DataColumns[ColumnLabel],MATCH(ResultColumnLabels[[#This Row],[Data Value Number]],DataColumns[DVNum],0)))</f>
        <v/>
      </c>
    </row>
    <row r="453" spans="1:2">
      <c r="A453" s="218" t="str">
        <f ca="1">IF(ROW()-1&gt;NumDataColumns,"",MAX(INDIRECT(CONCATENATE("R",ROW(ResultColumnLabels[#Headers]),"C",COLUMN(),":R",ROW()-1,"C",COLUMN()),FALSE))+1)</f>
        <v/>
      </c>
      <c r="B453" s="218" t="str">
        <f ca="1">IF(ResultColumnLabels[[#This Row],[Data Value Number]]="","",INDEX(DataColumns[ColumnLabel],MATCH(ResultColumnLabels[[#This Row],[Data Value Number]],DataColumns[DVNum],0)))</f>
        <v/>
      </c>
    </row>
    <row r="454" spans="1:2">
      <c r="A454" s="218" t="str">
        <f ca="1">IF(ROW()-1&gt;NumDataColumns,"",MAX(INDIRECT(CONCATENATE("R",ROW(ResultColumnLabels[#Headers]),"C",COLUMN(),":R",ROW()-1,"C",COLUMN()),FALSE))+1)</f>
        <v/>
      </c>
      <c r="B454" s="218" t="str">
        <f ca="1">IF(ResultColumnLabels[[#This Row],[Data Value Number]]="","",INDEX(DataColumns[ColumnLabel],MATCH(ResultColumnLabels[[#This Row],[Data Value Number]],DataColumns[DVNum],0)))</f>
        <v/>
      </c>
    </row>
    <row r="455" spans="1:2">
      <c r="A455" s="218" t="str">
        <f ca="1">IF(ROW()-1&gt;NumDataColumns,"",MAX(INDIRECT(CONCATENATE("R",ROW(ResultColumnLabels[#Headers]),"C",COLUMN(),":R",ROW()-1,"C",COLUMN()),FALSE))+1)</f>
        <v/>
      </c>
      <c r="B455" s="218" t="str">
        <f ca="1">IF(ResultColumnLabels[[#This Row],[Data Value Number]]="","",INDEX(DataColumns[ColumnLabel],MATCH(ResultColumnLabels[[#This Row],[Data Value Number]],DataColumns[DVNum],0)))</f>
        <v/>
      </c>
    </row>
    <row r="456" spans="1:2">
      <c r="A456" s="218" t="str">
        <f ca="1">IF(ROW()-1&gt;NumDataColumns,"",MAX(INDIRECT(CONCATENATE("R",ROW(ResultColumnLabels[#Headers]),"C",COLUMN(),":R",ROW()-1,"C",COLUMN()),FALSE))+1)</f>
        <v/>
      </c>
      <c r="B456" s="218" t="str">
        <f ca="1">IF(ResultColumnLabels[[#This Row],[Data Value Number]]="","",INDEX(DataColumns[ColumnLabel],MATCH(ResultColumnLabels[[#This Row],[Data Value Number]],DataColumns[DVNum],0)))</f>
        <v/>
      </c>
    </row>
    <row r="457" spans="1:2">
      <c r="A457" s="218" t="str">
        <f ca="1">IF(ROW()-1&gt;NumDataColumns,"",MAX(INDIRECT(CONCATENATE("R",ROW(ResultColumnLabels[#Headers]),"C",COLUMN(),":R",ROW()-1,"C",COLUMN()),FALSE))+1)</f>
        <v/>
      </c>
      <c r="B457" s="218" t="str">
        <f ca="1">IF(ResultColumnLabels[[#This Row],[Data Value Number]]="","",INDEX(DataColumns[ColumnLabel],MATCH(ResultColumnLabels[[#This Row],[Data Value Number]],DataColumns[DVNum],0)))</f>
        <v/>
      </c>
    </row>
    <row r="458" spans="1:2">
      <c r="A458" s="218" t="str">
        <f ca="1">IF(ROW()-1&gt;NumDataColumns,"",MAX(INDIRECT(CONCATENATE("R",ROW(ResultColumnLabels[#Headers]),"C",COLUMN(),":R",ROW()-1,"C",COLUMN()),FALSE))+1)</f>
        <v/>
      </c>
      <c r="B458" s="218" t="str">
        <f ca="1">IF(ResultColumnLabels[[#This Row],[Data Value Number]]="","",INDEX(DataColumns[ColumnLabel],MATCH(ResultColumnLabels[[#This Row],[Data Value Number]],DataColumns[DVNum],0)))</f>
        <v/>
      </c>
    </row>
    <row r="459" spans="1:2">
      <c r="A459" s="218" t="str">
        <f ca="1">IF(ROW()-1&gt;NumDataColumns,"",MAX(INDIRECT(CONCATENATE("R",ROW(ResultColumnLabels[#Headers]),"C",COLUMN(),":R",ROW()-1,"C",COLUMN()),FALSE))+1)</f>
        <v/>
      </c>
      <c r="B459" s="218" t="str">
        <f ca="1">IF(ResultColumnLabels[[#This Row],[Data Value Number]]="","",INDEX(DataColumns[ColumnLabel],MATCH(ResultColumnLabels[[#This Row],[Data Value Number]],DataColumns[DVNum],0)))</f>
        <v/>
      </c>
    </row>
    <row r="460" spans="1:2">
      <c r="A460" s="218" t="str">
        <f ca="1">IF(ROW()-1&gt;NumDataColumns,"",MAX(INDIRECT(CONCATENATE("R",ROW(ResultColumnLabels[#Headers]),"C",COLUMN(),":R",ROW()-1,"C",COLUMN()),FALSE))+1)</f>
        <v/>
      </c>
      <c r="B460" s="218" t="str">
        <f ca="1">IF(ResultColumnLabels[[#This Row],[Data Value Number]]="","",INDEX(DataColumns[ColumnLabel],MATCH(ResultColumnLabels[[#This Row],[Data Value Number]],DataColumns[DVNum],0)))</f>
        <v/>
      </c>
    </row>
    <row r="461" spans="1:2">
      <c r="A461" s="218" t="str">
        <f ca="1">IF(ROW()-1&gt;NumDataColumns,"",MAX(INDIRECT(CONCATENATE("R",ROW(ResultColumnLabels[#Headers]),"C",COLUMN(),":R",ROW()-1,"C",COLUMN()),FALSE))+1)</f>
        <v/>
      </c>
      <c r="B461" s="218" t="str">
        <f ca="1">IF(ResultColumnLabels[[#This Row],[Data Value Number]]="","",INDEX(DataColumns[ColumnLabel],MATCH(ResultColumnLabels[[#This Row],[Data Value Number]],DataColumns[DVNum],0)))</f>
        <v/>
      </c>
    </row>
    <row r="462" spans="1:2">
      <c r="A462" s="218" t="str">
        <f ca="1">IF(ROW()-1&gt;NumDataColumns,"",MAX(INDIRECT(CONCATENATE("R",ROW(ResultColumnLabels[#Headers]),"C",COLUMN(),":R",ROW()-1,"C",COLUMN()),FALSE))+1)</f>
        <v/>
      </c>
      <c r="B462" s="218" t="str">
        <f ca="1">IF(ResultColumnLabels[[#This Row],[Data Value Number]]="","",INDEX(DataColumns[ColumnLabel],MATCH(ResultColumnLabels[[#This Row],[Data Value Number]],DataColumns[DVNum],0)))</f>
        <v/>
      </c>
    </row>
    <row r="463" spans="1:2">
      <c r="A463" s="218" t="str">
        <f ca="1">IF(ROW()-1&gt;NumDataColumns,"",MAX(INDIRECT(CONCATENATE("R",ROW(ResultColumnLabels[#Headers]),"C",COLUMN(),":R",ROW()-1,"C",COLUMN()),FALSE))+1)</f>
        <v/>
      </c>
      <c r="B463" s="218" t="str">
        <f ca="1">IF(ResultColumnLabels[[#This Row],[Data Value Number]]="","",INDEX(DataColumns[ColumnLabel],MATCH(ResultColumnLabels[[#This Row],[Data Value Number]],DataColumns[DVNum],0)))</f>
        <v/>
      </c>
    </row>
    <row r="464" spans="1:2">
      <c r="A464" s="218" t="str">
        <f ca="1">IF(ROW()-1&gt;NumDataColumns,"",MAX(INDIRECT(CONCATENATE("R",ROW(ResultColumnLabels[#Headers]),"C",COLUMN(),":R",ROW()-1,"C",COLUMN()),FALSE))+1)</f>
        <v/>
      </c>
      <c r="B464" s="218" t="str">
        <f ca="1">IF(ResultColumnLabels[[#This Row],[Data Value Number]]="","",INDEX(DataColumns[ColumnLabel],MATCH(ResultColumnLabels[[#This Row],[Data Value Number]],DataColumns[DVNum],0)))</f>
        <v/>
      </c>
    </row>
    <row r="465" spans="1:2">
      <c r="A465" s="218" t="str">
        <f ca="1">IF(ROW()-1&gt;NumDataColumns,"",MAX(INDIRECT(CONCATENATE("R",ROW(ResultColumnLabels[#Headers]),"C",COLUMN(),":R",ROW()-1,"C",COLUMN()),FALSE))+1)</f>
        <v/>
      </c>
      <c r="B465" s="218" t="str">
        <f ca="1">IF(ResultColumnLabels[[#This Row],[Data Value Number]]="","",INDEX(DataColumns[ColumnLabel],MATCH(ResultColumnLabels[[#This Row],[Data Value Number]],DataColumns[DVNum],0)))</f>
        <v/>
      </c>
    </row>
    <row r="466" spans="1:2">
      <c r="A466" s="218" t="str">
        <f ca="1">IF(ROW()-1&gt;NumDataColumns,"",MAX(INDIRECT(CONCATENATE("R",ROW(ResultColumnLabels[#Headers]),"C",COLUMN(),":R",ROW()-1,"C",COLUMN()),FALSE))+1)</f>
        <v/>
      </c>
      <c r="B466" s="218" t="str">
        <f ca="1">IF(ResultColumnLabels[[#This Row],[Data Value Number]]="","",INDEX(DataColumns[ColumnLabel],MATCH(ResultColumnLabels[[#This Row],[Data Value Number]],DataColumns[DVNum],0)))</f>
        <v/>
      </c>
    </row>
    <row r="467" spans="1:2">
      <c r="A467" s="218" t="str">
        <f ca="1">IF(ROW()-1&gt;NumDataColumns,"",MAX(INDIRECT(CONCATENATE("R",ROW(ResultColumnLabels[#Headers]),"C",COLUMN(),":R",ROW()-1,"C",COLUMN()),FALSE))+1)</f>
        <v/>
      </c>
      <c r="B467" s="218" t="str">
        <f ca="1">IF(ResultColumnLabels[[#This Row],[Data Value Number]]="","",INDEX(DataColumns[ColumnLabel],MATCH(ResultColumnLabels[[#This Row],[Data Value Number]],DataColumns[DVNum],0)))</f>
        <v/>
      </c>
    </row>
    <row r="468" spans="1:2">
      <c r="A468" s="218" t="str">
        <f ca="1">IF(ROW()-1&gt;NumDataColumns,"",MAX(INDIRECT(CONCATENATE("R",ROW(ResultColumnLabels[#Headers]),"C",COLUMN(),":R",ROW()-1,"C",COLUMN()),FALSE))+1)</f>
        <v/>
      </c>
      <c r="B468" s="218" t="str">
        <f ca="1">IF(ResultColumnLabels[[#This Row],[Data Value Number]]="","",INDEX(DataColumns[ColumnLabel],MATCH(ResultColumnLabels[[#This Row],[Data Value Number]],DataColumns[DVNum],0)))</f>
        <v/>
      </c>
    </row>
    <row r="469" spans="1:2">
      <c r="A469" s="218" t="str">
        <f ca="1">IF(ROW()-1&gt;NumDataColumns,"",MAX(INDIRECT(CONCATENATE("R",ROW(ResultColumnLabels[#Headers]),"C",COLUMN(),":R",ROW()-1,"C",COLUMN()),FALSE))+1)</f>
        <v/>
      </c>
      <c r="B469" s="218" t="str">
        <f ca="1">IF(ResultColumnLabels[[#This Row],[Data Value Number]]="","",INDEX(DataColumns[ColumnLabel],MATCH(ResultColumnLabels[[#This Row],[Data Value Number]],DataColumns[DVNum],0)))</f>
        <v/>
      </c>
    </row>
    <row r="470" spans="1:2">
      <c r="A470" s="218" t="str">
        <f ca="1">IF(ROW()-1&gt;NumDataColumns,"",MAX(INDIRECT(CONCATENATE("R",ROW(ResultColumnLabels[#Headers]),"C",COLUMN(),":R",ROW()-1,"C",COLUMN()),FALSE))+1)</f>
        <v/>
      </c>
      <c r="B470" s="218" t="str">
        <f ca="1">IF(ResultColumnLabels[[#This Row],[Data Value Number]]="","",INDEX(DataColumns[ColumnLabel],MATCH(ResultColumnLabels[[#This Row],[Data Value Number]],DataColumns[DVNum],0)))</f>
        <v/>
      </c>
    </row>
    <row r="471" spans="1:2">
      <c r="A471" s="218" t="str">
        <f ca="1">IF(ROW()-1&gt;NumDataColumns,"",MAX(INDIRECT(CONCATENATE("R",ROW(ResultColumnLabels[#Headers]),"C",COLUMN(),":R",ROW()-1,"C",COLUMN()),FALSE))+1)</f>
        <v/>
      </c>
      <c r="B471" s="218" t="str">
        <f ca="1">IF(ResultColumnLabels[[#This Row],[Data Value Number]]="","",INDEX(DataColumns[ColumnLabel],MATCH(ResultColumnLabels[[#This Row],[Data Value Number]],DataColumns[DVNum],0)))</f>
        <v/>
      </c>
    </row>
    <row r="472" spans="1:2">
      <c r="A472" s="218" t="str">
        <f ca="1">IF(ROW()-1&gt;NumDataColumns,"",MAX(INDIRECT(CONCATENATE("R",ROW(ResultColumnLabels[#Headers]),"C",COLUMN(),":R",ROW()-1,"C",COLUMN()),FALSE))+1)</f>
        <v/>
      </c>
      <c r="B472" s="218" t="str">
        <f ca="1">IF(ResultColumnLabels[[#This Row],[Data Value Number]]="","",INDEX(DataColumns[ColumnLabel],MATCH(ResultColumnLabels[[#This Row],[Data Value Number]],DataColumns[DVNum],0)))</f>
        <v/>
      </c>
    </row>
    <row r="473" spans="1:2">
      <c r="A473" s="218" t="str">
        <f ca="1">IF(ROW()-1&gt;NumDataColumns,"",MAX(INDIRECT(CONCATENATE("R",ROW(ResultColumnLabels[#Headers]),"C",COLUMN(),":R",ROW()-1,"C",COLUMN()),FALSE))+1)</f>
        <v/>
      </c>
      <c r="B473" s="218" t="str">
        <f ca="1">IF(ResultColumnLabels[[#This Row],[Data Value Number]]="","",INDEX(DataColumns[ColumnLabel],MATCH(ResultColumnLabels[[#This Row],[Data Value Number]],DataColumns[DVNum],0)))</f>
        <v/>
      </c>
    </row>
    <row r="474" spans="1:2">
      <c r="A474" s="218" t="str">
        <f ca="1">IF(ROW()-1&gt;NumDataColumns,"",MAX(INDIRECT(CONCATENATE("R",ROW(ResultColumnLabels[#Headers]),"C",COLUMN(),":R",ROW()-1,"C",COLUMN()),FALSE))+1)</f>
        <v/>
      </c>
      <c r="B474" s="218" t="str">
        <f ca="1">IF(ResultColumnLabels[[#This Row],[Data Value Number]]="","",INDEX(DataColumns[ColumnLabel],MATCH(ResultColumnLabels[[#This Row],[Data Value Number]],DataColumns[DVNum],0)))</f>
        <v/>
      </c>
    </row>
    <row r="475" spans="1:2">
      <c r="A475" s="218" t="str">
        <f ca="1">IF(ROW()-1&gt;NumDataColumns,"",MAX(INDIRECT(CONCATENATE("R",ROW(ResultColumnLabels[#Headers]),"C",COLUMN(),":R",ROW()-1,"C",COLUMN()),FALSE))+1)</f>
        <v/>
      </c>
      <c r="B475" s="218" t="str">
        <f ca="1">IF(ResultColumnLabels[[#This Row],[Data Value Number]]="","",INDEX(DataColumns[ColumnLabel],MATCH(ResultColumnLabels[[#This Row],[Data Value Number]],DataColumns[DVNum],0)))</f>
        <v/>
      </c>
    </row>
    <row r="476" spans="1:2">
      <c r="A476" s="218" t="str">
        <f ca="1">IF(ROW()-1&gt;NumDataColumns,"",MAX(INDIRECT(CONCATENATE("R",ROW(ResultColumnLabels[#Headers]),"C",COLUMN(),":R",ROW()-1,"C",COLUMN()),FALSE))+1)</f>
        <v/>
      </c>
      <c r="B476" s="218" t="str">
        <f ca="1">IF(ResultColumnLabels[[#This Row],[Data Value Number]]="","",INDEX(DataColumns[ColumnLabel],MATCH(ResultColumnLabels[[#This Row],[Data Value Number]],DataColumns[DVNum],0)))</f>
        <v/>
      </c>
    </row>
    <row r="477" spans="1:2">
      <c r="A477" s="218" t="str">
        <f ca="1">IF(ROW()-1&gt;NumDataColumns,"",MAX(INDIRECT(CONCATENATE("R",ROW(ResultColumnLabels[#Headers]),"C",COLUMN(),":R",ROW()-1,"C",COLUMN()),FALSE))+1)</f>
        <v/>
      </c>
      <c r="B477" s="218" t="str">
        <f ca="1">IF(ResultColumnLabels[[#This Row],[Data Value Number]]="","",INDEX(DataColumns[ColumnLabel],MATCH(ResultColumnLabels[[#This Row],[Data Value Number]],DataColumns[DVNum],0)))</f>
        <v/>
      </c>
    </row>
    <row r="478" spans="1:2">
      <c r="A478" s="218" t="str">
        <f ca="1">IF(ROW()-1&gt;NumDataColumns,"",MAX(INDIRECT(CONCATENATE("R",ROW(ResultColumnLabels[#Headers]),"C",COLUMN(),":R",ROW()-1,"C",COLUMN()),FALSE))+1)</f>
        <v/>
      </c>
      <c r="B478" s="218" t="str">
        <f ca="1">IF(ResultColumnLabels[[#This Row],[Data Value Number]]="","",INDEX(DataColumns[ColumnLabel],MATCH(ResultColumnLabels[[#This Row],[Data Value Number]],DataColumns[DVNum],0)))</f>
        <v/>
      </c>
    </row>
    <row r="479" spans="1:2">
      <c r="A479" s="218" t="str">
        <f ca="1">IF(ROW()-1&gt;NumDataColumns,"",MAX(INDIRECT(CONCATENATE("R",ROW(ResultColumnLabels[#Headers]),"C",COLUMN(),":R",ROW()-1,"C",COLUMN()),FALSE))+1)</f>
        <v/>
      </c>
      <c r="B479" s="218" t="str">
        <f ca="1">IF(ResultColumnLabels[[#This Row],[Data Value Number]]="","",INDEX(DataColumns[ColumnLabel],MATCH(ResultColumnLabels[[#This Row],[Data Value Number]],DataColumns[DVNum],0)))</f>
        <v/>
      </c>
    </row>
    <row r="480" spans="1:2">
      <c r="A480" s="218" t="str">
        <f ca="1">IF(ROW()-1&gt;NumDataColumns,"",MAX(INDIRECT(CONCATENATE("R",ROW(ResultColumnLabels[#Headers]),"C",COLUMN(),":R",ROW()-1,"C",COLUMN()),FALSE))+1)</f>
        <v/>
      </c>
      <c r="B480" s="218" t="str">
        <f ca="1">IF(ResultColumnLabels[[#This Row],[Data Value Number]]="","",INDEX(DataColumns[ColumnLabel],MATCH(ResultColumnLabels[[#This Row],[Data Value Number]],DataColumns[DVNum],0)))</f>
        <v/>
      </c>
    </row>
    <row r="481" spans="1:2">
      <c r="A481" s="218" t="str">
        <f ca="1">IF(ROW()-1&gt;NumDataColumns,"",MAX(INDIRECT(CONCATENATE("R",ROW(ResultColumnLabels[#Headers]),"C",COLUMN(),":R",ROW()-1,"C",COLUMN()),FALSE))+1)</f>
        <v/>
      </c>
      <c r="B481" s="218" t="str">
        <f ca="1">IF(ResultColumnLabels[[#This Row],[Data Value Number]]="","",INDEX(DataColumns[ColumnLabel],MATCH(ResultColumnLabels[[#This Row],[Data Value Number]],DataColumns[DVNum],0)))</f>
        <v/>
      </c>
    </row>
    <row r="482" spans="1:2">
      <c r="A482" s="218" t="str">
        <f ca="1">IF(ROW()-1&gt;NumDataColumns,"",MAX(INDIRECT(CONCATENATE("R",ROW(ResultColumnLabels[#Headers]),"C",COLUMN(),":R",ROW()-1,"C",COLUMN()),FALSE))+1)</f>
        <v/>
      </c>
      <c r="B482" s="218" t="str">
        <f ca="1">IF(ResultColumnLabels[[#This Row],[Data Value Number]]="","",INDEX(DataColumns[ColumnLabel],MATCH(ResultColumnLabels[[#This Row],[Data Value Number]],DataColumns[DVNum],0)))</f>
        <v/>
      </c>
    </row>
    <row r="483" spans="1:2">
      <c r="A483" s="218" t="str">
        <f ca="1">IF(ROW()-1&gt;NumDataColumns,"",MAX(INDIRECT(CONCATENATE("R",ROW(ResultColumnLabels[#Headers]),"C",COLUMN(),":R",ROW()-1,"C",COLUMN()),FALSE))+1)</f>
        <v/>
      </c>
      <c r="B483" s="218" t="str">
        <f ca="1">IF(ResultColumnLabels[[#This Row],[Data Value Number]]="","",INDEX(DataColumns[ColumnLabel],MATCH(ResultColumnLabels[[#This Row],[Data Value Number]],DataColumns[DVNum],0)))</f>
        <v/>
      </c>
    </row>
    <row r="484" spans="1:2">
      <c r="A484" s="218" t="str">
        <f ca="1">IF(ROW()-1&gt;NumDataColumns,"",MAX(INDIRECT(CONCATENATE("R",ROW(ResultColumnLabels[#Headers]),"C",COLUMN(),":R",ROW()-1,"C",COLUMN()),FALSE))+1)</f>
        <v/>
      </c>
      <c r="B484" s="218" t="str">
        <f ca="1">IF(ResultColumnLabels[[#This Row],[Data Value Number]]="","",INDEX(DataColumns[ColumnLabel],MATCH(ResultColumnLabels[[#This Row],[Data Value Number]],DataColumns[DVNum],0)))</f>
        <v/>
      </c>
    </row>
    <row r="485" spans="1:2">
      <c r="A485" s="218" t="str">
        <f ca="1">IF(ROW()-1&gt;NumDataColumns,"",MAX(INDIRECT(CONCATENATE("R",ROW(ResultColumnLabels[#Headers]),"C",COLUMN(),":R",ROW()-1,"C",COLUMN()),FALSE))+1)</f>
        <v/>
      </c>
      <c r="B485" s="218" t="str">
        <f ca="1">IF(ResultColumnLabels[[#This Row],[Data Value Number]]="","",INDEX(DataColumns[ColumnLabel],MATCH(ResultColumnLabels[[#This Row],[Data Value Number]],DataColumns[DVNum],0)))</f>
        <v/>
      </c>
    </row>
    <row r="486" spans="1:2">
      <c r="A486" s="218" t="str">
        <f ca="1">IF(ROW()-1&gt;NumDataColumns,"",MAX(INDIRECT(CONCATENATE("R",ROW(ResultColumnLabels[#Headers]),"C",COLUMN(),":R",ROW()-1,"C",COLUMN()),FALSE))+1)</f>
        <v/>
      </c>
      <c r="B486" s="218" t="str">
        <f ca="1">IF(ResultColumnLabels[[#This Row],[Data Value Number]]="","",INDEX(DataColumns[ColumnLabel],MATCH(ResultColumnLabels[[#This Row],[Data Value Number]],DataColumns[DVNum],0)))</f>
        <v/>
      </c>
    </row>
    <row r="487" spans="1:2">
      <c r="A487" s="218" t="str">
        <f ca="1">IF(ROW()-1&gt;NumDataColumns,"",MAX(INDIRECT(CONCATENATE("R",ROW(ResultColumnLabels[#Headers]),"C",COLUMN(),":R",ROW()-1,"C",COLUMN()),FALSE))+1)</f>
        <v/>
      </c>
      <c r="B487" s="218" t="str">
        <f ca="1">IF(ResultColumnLabels[[#This Row],[Data Value Number]]="","",INDEX(DataColumns[ColumnLabel],MATCH(ResultColumnLabels[[#This Row],[Data Value Number]],DataColumns[DVNum],0)))</f>
        <v/>
      </c>
    </row>
    <row r="488" spans="1:2">
      <c r="A488" s="218" t="str">
        <f ca="1">IF(ROW()-1&gt;NumDataColumns,"",MAX(INDIRECT(CONCATENATE("R",ROW(ResultColumnLabels[#Headers]),"C",COLUMN(),":R",ROW()-1,"C",COLUMN()),FALSE))+1)</f>
        <v/>
      </c>
      <c r="B488" s="218" t="str">
        <f ca="1">IF(ResultColumnLabels[[#This Row],[Data Value Number]]="","",INDEX(DataColumns[ColumnLabel],MATCH(ResultColumnLabels[[#This Row],[Data Value Number]],DataColumns[DVNum],0)))</f>
        <v/>
      </c>
    </row>
    <row r="489" spans="1:2">
      <c r="A489" s="218" t="str">
        <f ca="1">IF(ROW()-1&gt;NumDataColumns,"",MAX(INDIRECT(CONCATENATE("R",ROW(ResultColumnLabels[#Headers]),"C",COLUMN(),":R",ROW()-1,"C",COLUMN()),FALSE))+1)</f>
        <v/>
      </c>
      <c r="B489" s="218" t="str">
        <f ca="1">IF(ResultColumnLabels[[#This Row],[Data Value Number]]="","",INDEX(DataColumns[ColumnLabel],MATCH(ResultColumnLabels[[#This Row],[Data Value Number]],DataColumns[DVNum],0)))</f>
        <v/>
      </c>
    </row>
    <row r="490" spans="1:2">
      <c r="A490" s="218" t="str">
        <f ca="1">IF(ROW()-1&gt;NumDataColumns,"",MAX(INDIRECT(CONCATENATE("R",ROW(ResultColumnLabels[#Headers]),"C",COLUMN(),":R",ROW()-1,"C",COLUMN()),FALSE))+1)</f>
        <v/>
      </c>
      <c r="B490" s="218" t="str">
        <f ca="1">IF(ResultColumnLabels[[#This Row],[Data Value Number]]="","",INDEX(DataColumns[ColumnLabel],MATCH(ResultColumnLabels[[#This Row],[Data Value Number]],DataColumns[DVNum],0)))</f>
        <v/>
      </c>
    </row>
    <row r="491" spans="1:2">
      <c r="A491" s="218" t="str">
        <f ca="1">IF(ROW()-1&gt;NumDataColumns,"",MAX(INDIRECT(CONCATENATE("R",ROW(ResultColumnLabels[#Headers]),"C",COLUMN(),":R",ROW()-1,"C",COLUMN()),FALSE))+1)</f>
        <v/>
      </c>
      <c r="B491" s="218" t="str">
        <f ca="1">IF(ResultColumnLabels[[#This Row],[Data Value Number]]="","",INDEX(DataColumns[ColumnLabel],MATCH(ResultColumnLabels[[#This Row],[Data Value Number]],DataColumns[DVNum],0)))</f>
        <v/>
      </c>
    </row>
    <row r="492" spans="1:2">
      <c r="A492" s="218" t="str">
        <f ca="1">IF(ROW()-1&gt;NumDataColumns,"",MAX(INDIRECT(CONCATENATE("R",ROW(ResultColumnLabels[#Headers]),"C",COLUMN(),":R",ROW()-1,"C",COLUMN()),FALSE))+1)</f>
        <v/>
      </c>
      <c r="B492" s="218" t="str">
        <f ca="1">IF(ResultColumnLabels[[#This Row],[Data Value Number]]="","",INDEX(DataColumns[ColumnLabel],MATCH(ResultColumnLabels[[#This Row],[Data Value Number]],DataColumns[DVNum],0)))</f>
        <v/>
      </c>
    </row>
    <row r="493" spans="1:2">
      <c r="A493" s="218" t="str">
        <f ca="1">IF(ROW()-1&gt;NumDataColumns,"",MAX(INDIRECT(CONCATENATE("R",ROW(ResultColumnLabels[#Headers]),"C",COLUMN(),":R",ROW()-1,"C",COLUMN()),FALSE))+1)</f>
        <v/>
      </c>
      <c r="B493" s="218" t="str">
        <f ca="1">IF(ResultColumnLabels[[#This Row],[Data Value Number]]="","",INDEX(DataColumns[ColumnLabel],MATCH(ResultColumnLabels[[#This Row],[Data Value Number]],DataColumns[DVNum],0)))</f>
        <v/>
      </c>
    </row>
    <row r="494" spans="1:2">
      <c r="A494" s="218" t="str">
        <f ca="1">IF(ROW()-1&gt;NumDataColumns,"",MAX(INDIRECT(CONCATENATE("R",ROW(ResultColumnLabels[#Headers]),"C",COLUMN(),":R",ROW()-1,"C",COLUMN()),FALSE))+1)</f>
        <v/>
      </c>
      <c r="B494" s="218" t="str">
        <f ca="1">IF(ResultColumnLabels[[#This Row],[Data Value Number]]="","",INDEX(DataColumns[ColumnLabel],MATCH(ResultColumnLabels[[#This Row],[Data Value Number]],DataColumns[DVNum],0)))</f>
        <v/>
      </c>
    </row>
    <row r="495" spans="1:2">
      <c r="A495" s="218" t="str">
        <f ca="1">IF(ROW()-1&gt;NumDataColumns,"",MAX(INDIRECT(CONCATENATE("R",ROW(ResultColumnLabels[#Headers]),"C",COLUMN(),":R",ROW()-1,"C",COLUMN()),FALSE))+1)</f>
        <v/>
      </c>
      <c r="B495" s="218" t="str">
        <f ca="1">IF(ResultColumnLabels[[#This Row],[Data Value Number]]="","",INDEX(DataColumns[ColumnLabel],MATCH(ResultColumnLabels[[#This Row],[Data Value Number]],DataColumns[DVNum],0)))</f>
        <v/>
      </c>
    </row>
    <row r="496" spans="1:2">
      <c r="A496" s="218" t="str">
        <f ca="1">IF(ROW()-1&gt;NumDataColumns,"",MAX(INDIRECT(CONCATENATE("R",ROW(ResultColumnLabels[#Headers]),"C",COLUMN(),":R",ROW()-1,"C",COLUMN()),FALSE))+1)</f>
        <v/>
      </c>
      <c r="B496" s="218" t="str">
        <f ca="1">IF(ResultColumnLabels[[#This Row],[Data Value Number]]="","",INDEX(DataColumns[ColumnLabel],MATCH(ResultColumnLabels[[#This Row],[Data Value Number]],DataColumns[DVNum],0)))</f>
        <v/>
      </c>
    </row>
    <row r="497" spans="1:2">
      <c r="A497" s="218" t="str">
        <f ca="1">IF(ROW()-1&gt;NumDataColumns,"",MAX(INDIRECT(CONCATENATE("R",ROW(ResultColumnLabels[#Headers]),"C",COLUMN(),":R",ROW()-1,"C",COLUMN()),FALSE))+1)</f>
        <v/>
      </c>
      <c r="B497" s="218" t="str">
        <f ca="1">IF(ResultColumnLabels[[#This Row],[Data Value Number]]="","",INDEX(DataColumns[ColumnLabel],MATCH(ResultColumnLabels[[#This Row],[Data Value Number]],DataColumns[DVNum],0)))</f>
        <v/>
      </c>
    </row>
    <row r="498" spans="1:2">
      <c r="A498" s="218" t="str">
        <f ca="1">IF(ROW()-1&gt;NumDataColumns,"",MAX(INDIRECT(CONCATENATE("R",ROW(ResultColumnLabels[#Headers]),"C",COLUMN(),":R",ROW()-1,"C",COLUMN()),FALSE))+1)</f>
        <v/>
      </c>
      <c r="B498" s="218" t="str">
        <f ca="1">IF(ResultColumnLabels[[#This Row],[Data Value Number]]="","",INDEX(DataColumns[ColumnLabel],MATCH(ResultColumnLabels[[#This Row],[Data Value Number]],DataColumns[DVNum],0)))</f>
        <v/>
      </c>
    </row>
    <row r="499" spans="1:2">
      <c r="A499" s="218" t="str">
        <f ca="1">IF(ROW()-1&gt;NumDataColumns,"",MAX(INDIRECT(CONCATENATE("R",ROW(ResultColumnLabels[#Headers]),"C",COLUMN(),":R",ROW()-1,"C",COLUMN()),FALSE))+1)</f>
        <v/>
      </c>
      <c r="B499" s="218" t="str">
        <f ca="1">IF(ResultColumnLabels[[#This Row],[Data Value Number]]="","",INDEX(DataColumns[ColumnLabel],MATCH(ResultColumnLabels[[#This Row],[Data Value Number]],DataColumns[DVNum],0)))</f>
        <v/>
      </c>
    </row>
    <row r="500" spans="1:2">
      <c r="A500" s="218" t="str">
        <f ca="1">IF(ROW()-1&gt;NumDataColumns,"",MAX(INDIRECT(CONCATENATE("R",ROW(ResultColumnLabels[#Headers]),"C",COLUMN(),":R",ROW()-1,"C",COLUMN()),FALSE))+1)</f>
        <v/>
      </c>
      <c r="B500" s="218" t="str">
        <f ca="1">IF(ResultColumnLabels[[#This Row],[Data Value Number]]="","",INDEX(DataColumns[ColumnLabel],MATCH(ResultColumnLabels[[#This Row],[Data Value Number]],DataColumns[DVNum],0)))</f>
        <v/>
      </c>
    </row>
    <row r="501" spans="1:2">
      <c r="A501" s="218" t="str">
        <f ca="1">IF(ROW()-1&gt;NumDataColumns,"",MAX(INDIRECT(CONCATENATE("R",ROW(ResultColumnLabels[#Headers]),"C",COLUMN(),":R",ROW()-1,"C",COLUMN()),FALSE))+1)</f>
        <v/>
      </c>
      <c r="B501" s="218" t="str">
        <f ca="1">IF(ResultColumnLabels[[#This Row],[Data Value Number]]="","",INDEX(DataColumns[ColumnLabel],MATCH(ResultColumnLabels[[#This Row],[Data Value Number]],DataColumns[DVNum],0)))</f>
        <v/>
      </c>
    </row>
    <row r="502" spans="1:2">
      <c r="A502" s="218" t="str">
        <f ca="1">IF(ROW()-1&gt;NumDataColumns,"",MAX(INDIRECT(CONCATENATE("R",ROW(ResultColumnLabels[#Headers]),"C",COLUMN(),":R",ROW()-1,"C",COLUMN()),FALSE))+1)</f>
        <v/>
      </c>
      <c r="B502" s="218" t="str">
        <f ca="1">IF(ResultColumnLabels[[#This Row],[Data Value Number]]="","",INDEX(DataColumns[ColumnLabel],MATCH(ResultColumnLabels[[#This Row],[Data Value Number]],DataColumns[DVNum],0)))</f>
        <v/>
      </c>
    </row>
    <row r="503" spans="1:2">
      <c r="A503" s="218" t="str">
        <f ca="1">IF(ROW()-1&gt;NumDataColumns,"",MAX(INDIRECT(CONCATENATE("R",ROW(ResultColumnLabels[#Headers]),"C",COLUMN(),":R",ROW()-1,"C",COLUMN()),FALSE))+1)</f>
        <v/>
      </c>
      <c r="B503" s="218" t="str">
        <f ca="1">IF(ResultColumnLabels[[#This Row],[Data Value Number]]="","",INDEX(DataColumns[ColumnLabel],MATCH(ResultColumnLabels[[#This Row],[Data Value Number]],DataColumns[DVNum],0)))</f>
        <v/>
      </c>
    </row>
    <row r="504" spans="1:2">
      <c r="A504" s="218" t="str">
        <f ca="1">IF(ROW()-1&gt;NumDataColumns,"",MAX(INDIRECT(CONCATENATE("R",ROW(ResultColumnLabels[#Headers]),"C",COLUMN(),":R",ROW()-1,"C",COLUMN()),FALSE))+1)</f>
        <v/>
      </c>
      <c r="B504" s="218" t="str">
        <f ca="1">IF(ResultColumnLabels[[#This Row],[Data Value Number]]="","",INDEX(DataColumns[ColumnLabel],MATCH(ResultColumnLabels[[#This Row],[Data Value Number]],DataColumns[DVNum],0)))</f>
        <v/>
      </c>
    </row>
    <row r="505" spans="1:2">
      <c r="A505" s="218" t="str">
        <f ca="1">IF(ROW()-1&gt;NumDataColumns,"",MAX(INDIRECT(CONCATENATE("R",ROW(ResultColumnLabels[#Headers]),"C",COLUMN(),":R",ROW()-1,"C",COLUMN()),FALSE))+1)</f>
        <v/>
      </c>
      <c r="B505" s="218" t="str">
        <f ca="1">IF(ResultColumnLabels[[#This Row],[Data Value Number]]="","",INDEX(DataColumns[ColumnLabel],MATCH(ResultColumnLabels[[#This Row],[Data Value Number]],DataColumns[DVNum],0)))</f>
        <v/>
      </c>
    </row>
    <row r="506" spans="1:2">
      <c r="A506" s="218" t="str">
        <f ca="1">IF(ROW()-1&gt;NumDataColumns,"",MAX(INDIRECT(CONCATENATE("R",ROW(ResultColumnLabels[#Headers]),"C",COLUMN(),":R",ROW()-1,"C",COLUMN()),FALSE))+1)</f>
        <v/>
      </c>
      <c r="B506" s="218" t="str">
        <f ca="1">IF(ResultColumnLabels[[#This Row],[Data Value Number]]="","",INDEX(DataColumns[ColumnLabel],MATCH(ResultColumnLabels[[#This Row],[Data Value Number]],DataColumns[DVNum],0)))</f>
        <v/>
      </c>
    </row>
    <row r="507" spans="1:2">
      <c r="A507" s="218" t="str">
        <f ca="1">IF(ROW()-1&gt;NumDataColumns,"",MAX(INDIRECT(CONCATENATE("R",ROW(ResultColumnLabels[#Headers]),"C",COLUMN(),":R",ROW()-1,"C",COLUMN()),FALSE))+1)</f>
        <v/>
      </c>
      <c r="B507" s="218" t="str">
        <f ca="1">IF(ResultColumnLabels[[#This Row],[Data Value Number]]="","",INDEX(DataColumns[ColumnLabel],MATCH(ResultColumnLabels[[#This Row],[Data Value Number]],DataColumns[DVNum],0)))</f>
        <v/>
      </c>
    </row>
    <row r="508" spans="1:2">
      <c r="A508" s="218" t="str">
        <f ca="1">IF(ROW()-1&gt;NumDataColumns,"",MAX(INDIRECT(CONCATENATE("R",ROW(ResultColumnLabels[#Headers]),"C",COLUMN(),":R",ROW()-1,"C",COLUMN()),FALSE))+1)</f>
        <v/>
      </c>
      <c r="B508" s="218" t="str">
        <f ca="1">IF(ResultColumnLabels[[#This Row],[Data Value Number]]="","",INDEX(DataColumns[ColumnLabel],MATCH(ResultColumnLabels[[#This Row],[Data Value Number]],DataColumns[DVNum],0)))</f>
        <v/>
      </c>
    </row>
    <row r="509" spans="1:2">
      <c r="A509" s="218" t="str">
        <f ca="1">IF(ROW()-1&gt;NumDataColumns,"",MAX(INDIRECT(CONCATENATE("R",ROW(ResultColumnLabels[#Headers]),"C",COLUMN(),":R",ROW()-1,"C",COLUMN()),FALSE))+1)</f>
        <v/>
      </c>
      <c r="B509" s="218" t="str">
        <f ca="1">IF(ResultColumnLabels[[#This Row],[Data Value Number]]="","",INDEX(DataColumns[ColumnLabel],MATCH(ResultColumnLabels[[#This Row],[Data Value Number]],DataColumns[DVNum],0)))</f>
        <v/>
      </c>
    </row>
    <row r="510" spans="1:2">
      <c r="A510" s="218" t="str">
        <f ca="1">IF(ROW()-1&gt;NumDataColumns,"",MAX(INDIRECT(CONCATENATE("R",ROW(ResultColumnLabels[#Headers]),"C",COLUMN(),":R",ROW()-1,"C",COLUMN()),FALSE))+1)</f>
        <v/>
      </c>
      <c r="B510" s="218" t="str">
        <f ca="1">IF(ResultColumnLabels[[#This Row],[Data Value Number]]="","",INDEX(DataColumns[ColumnLabel],MATCH(ResultColumnLabels[[#This Row],[Data Value Number]],DataColumns[DVNum],0)))</f>
        <v/>
      </c>
    </row>
    <row r="511" spans="1:2">
      <c r="A511" s="218" t="str">
        <f ca="1">IF(ROW()-1&gt;NumDataColumns,"",MAX(INDIRECT(CONCATENATE("R",ROW(ResultColumnLabels[#Headers]),"C",COLUMN(),":R",ROW()-1,"C",COLUMN()),FALSE))+1)</f>
        <v/>
      </c>
      <c r="B511" s="218" t="str">
        <f ca="1">IF(ResultColumnLabels[[#This Row],[Data Value Number]]="","",INDEX(DataColumns[ColumnLabel],MATCH(ResultColumnLabels[[#This Row],[Data Value Number]],DataColumns[DVNum],0)))</f>
        <v/>
      </c>
    </row>
    <row r="512" spans="1:2">
      <c r="A512" s="218" t="str">
        <f ca="1">IF(ROW()-1&gt;NumDataColumns,"",MAX(INDIRECT(CONCATENATE("R",ROW(ResultColumnLabels[#Headers]),"C",COLUMN(),":R",ROW()-1,"C",COLUMN()),FALSE))+1)</f>
        <v/>
      </c>
      <c r="B512" s="218" t="str">
        <f ca="1">IF(ResultColumnLabels[[#This Row],[Data Value Number]]="","",INDEX(DataColumns[ColumnLabel],MATCH(ResultColumnLabels[[#This Row],[Data Value Number]],DataColumns[DVNum],0)))</f>
        <v/>
      </c>
    </row>
    <row r="513" spans="1:2">
      <c r="A513" s="218" t="str">
        <f ca="1">IF(ROW()-1&gt;NumDataColumns,"",MAX(INDIRECT(CONCATENATE("R",ROW(ResultColumnLabels[#Headers]),"C",COLUMN(),":R",ROW()-1,"C",COLUMN()),FALSE))+1)</f>
        <v/>
      </c>
      <c r="B513" s="218" t="str">
        <f ca="1">IF(ResultColumnLabels[[#This Row],[Data Value Number]]="","",INDEX(DataColumns[ColumnLabel],MATCH(ResultColumnLabels[[#This Row],[Data Value Number]],DataColumns[DVNum],0)))</f>
        <v/>
      </c>
    </row>
    <row r="514" spans="1:2">
      <c r="A514" s="218" t="str">
        <f ca="1">IF(ROW()-1&gt;NumDataColumns,"",MAX(INDIRECT(CONCATENATE("R",ROW(ResultColumnLabels[#Headers]),"C",COLUMN(),":R",ROW()-1,"C",COLUMN()),FALSE))+1)</f>
        <v/>
      </c>
      <c r="B514" s="218" t="str">
        <f ca="1">IF(ResultColumnLabels[[#This Row],[Data Value Number]]="","",INDEX(DataColumns[ColumnLabel],MATCH(ResultColumnLabels[[#This Row],[Data Value Number]],DataColumns[DVNum],0)))</f>
        <v/>
      </c>
    </row>
    <row r="515" spans="1:2">
      <c r="A515" s="218" t="str">
        <f ca="1">IF(ROW()-1&gt;NumDataColumns,"",MAX(INDIRECT(CONCATENATE("R",ROW(ResultColumnLabels[#Headers]),"C",COLUMN(),":R",ROW()-1,"C",COLUMN()),FALSE))+1)</f>
        <v/>
      </c>
      <c r="B515" s="218" t="str">
        <f ca="1">IF(ResultColumnLabels[[#This Row],[Data Value Number]]="","",INDEX(DataColumns[ColumnLabel],MATCH(ResultColumnLabels[[#This Row],[Data Value Number]],DataColumns[DVNum],0)))</f>
        <v/>
      </c>
    </row>
    <row r="516" spans="1:2">
      <c r="A516" s="218" t="str">
        <f ca="1">IF(ROW()-1&gt;NumDataColumns,"",MAX(INDIRECT(CONCATENATE("R",ROW(ResultColumnLabels[#Headers]),"C",COLUMN(),":R",ROW()-1,"C",COLUMN()),FALSE))+1)</f>
        <v/>
      </c>
      <c r="B516" s="218" t="str">
        <f ca="1">IF(ResultColumnLabels[[#This Row],[Data Value Number]]="","",INDEX(DataColumns[ColumnLabel],MATCH(ResultColumnLabels[[#This Row],[Data Value Number]],DataColumns[DVNum],0)))</f>
        <v/>
      </c>
    </row>
    <row r="517" spans="1:2">
      <c r="A517" s="218" t="str">
        <f ca="1">IF(ROW()-1&gt;NumDataColumns,"",MAX(INDIRECT(CONCATENATE("R",ROW(ResultColumnLabels[#Headers]),"C",COLUMN(),":R",ROW()-1,"C",COLUMN()),FALSE))+1)</f>
        <v/>
      </c>
      <c r="B517" s="218" t="str">
        <f ca="1">IF(ResultColumnLabels[[#This Row],[Data Value Number]]="","",INDEX(DataColumns[ColumnLabel],MATCH(ResultColumnLabels[[#This Row],[Data Value Number]],DataColumns[DVNum],0)))</f>
        <v/>
      </c>
    </row>
    <row r="518" spans="1:2">
      <c r="A518" s="218" t="str">
        <f ca="1">IF(ROW()-1&gt;NumDataColumns,"",MAX(INDIRECT(CONCATENATE("R",ROW(ResultColumnLabels[#Headers]),"C",COLUMN(),":R",ROW()-1,"C",COLUMN()),FALSE))+1)</f>
        <v/>
      </c>
      <c r="B518" s="218" t="str">
        <f ca="1">IF(ResultColumnLabels[[#This Row],[Data Value Number]]="","",INDEX(DataColumns[ColumnLabel],MATCH(ResultColumnLabels[[#This Row],[Data Value Number]],DataColumns[DVNum],0)))</f>
        <v/>
      </c>
    </row>
    <row r="519" spans="1:2">
      <c r="A519" s="218" t="str">
        <f ca="1">IF(ROW()-1&gt;NumDataColumns,"",MAX(INDIRECT(CONCATENATE("R",ROW(ResultColumnLabels[#Headers]),"C",COLUMN(),":R",ROW()-1,"C",COLUMN()),FALSE))+1)</f>
        <v/>
      </c>
      <c r="B519" s="218" t="str">
        <f ca="1">IF(ResultColumnLabels[[#This Row],[Data Value Number]]="","",INDEX(DataColumns[ColumnLabel],MATCH(ResultColumnLabels[[#This Row],[Data Value Number]],DataColumns[DVNum],0)))</f>
        <v/>
      </c>
    </row>
    <row r="520" spans="1:2">
      <c r="A520" s="218" t="str">
        <f ca="1">IF(ROW()-1&gt;NumDataColumns,"",MAX(INDIRECT(CONCATENATE("R",ROW(ResultColumnLabels[#Headers]),"C",COLUMN(),":R",ROW()-1,"C",COLUMN()),FALSE))+1)</f>
        <v/>
      </c>
      <c r="B520" s="218" t="str">
        <f ca="1">IF(ResultColumnLabels[[#This Row],[Data Value Number]]="","",INDEX(DataColumns[ColumnLabel],MATCH(ResultColumnLabels[[#This Row],[Data Value Number]],DataColumns[DVNum],0)))</f>
        <v/>
      </c>
    </row>
    <row r="521" spans="1:2">
      <c r="A521" s="218" t="str">
        <f ca="1">IF(ROW()-1&gt;NumDataColumns,"",MAX(INDIRECT(CONCATENATE("R",ROW(ResultColumnLabels[#Headers]),"C",COLUMN(),":R",ROW()-1,"C",COLUMN()),FALSE))+1)</f>
        <v/>
      </c>
      <c r="B521" s="218" t="str">
        <f ca="1">IF(ResultColumnLabels[[#This Row],[Data Value Number]]="","",INDEX(DataColumns[ColumnLabel],MATCH(ResultColumnLabels[[#This Row],[Data Value Number]],DataColumns[DVNum],0)))</f>
        <v/>
      </c>
    </row>
    <row r="522" spans="1:2">
      <c r="A522" s="218" t="str">
        <f ca="1">IF(ROW()-1&gt;NumDataColumns,"",MAX(INDIRECT(CONCATENATE("R",ROW(ResultColumnLabels[#Headers]),"C",COLUMN(),":R",ROW()-1,"C",COLUMN()),FALSE))+1)</f>
        <v/>
      </c>
      <c r="B522" s="218" t="str">
        <f ca="1">IF(ResultColumnLabels[[#This Row],[Data Value Number]]="","",INDEX(DataColumns[ColumnLabel],MATCH(ResultColumnLabels[[#This Row],[Data Value Number]],DataColumns[DVNum],0)))</f>
        <v/>
      </c>
    </row>
    <row r="523" spans="1:2">
      <c r="A523" s="218" t="str">
        <f ca="1">IF(ROW()-1&gt;NumDataColumns,"",MAX(INDIRECT(CONCATENATE("R",ROW(ResultColumnLabels[#Headers]),"C",COLUMN(),":R",ROW()-1,"C",COLUMN()),FALSE))+1)</f>
        <v/>
      </c>
      <c r="B523" s="218" t="str">
        <f ca="1">IF(ResultColumnLabels[[#This Row],[Data Value Number]]="","",INDEX(DataColumns[ColumnLabel],MATCH(ResultColumnLabels[[#This Row],[Data Value Number]],DataColumns[DVNum],0)))</f>
        <v/>
      </c>
    </row>
    <row r="524" spans="1:2">
      <c r="A524" s="218" t="str">
        <f ca="1">IF(ROW()-1&gt;NumDataColumns,"",MAX(INDIRECT(CONCATENATE("R",ROW(ResultColumnLabels[#Headers]),"C",COLUMN(),":R",ROW()-1,"C",COLUMN()),FALSE))+1)</f>
        <v/>
      </c>
      <c r="B524" s="218" t="str">
        <f ca="1">IF(ResultColumnLabels[[#This Row],[Data Value Number]]="","",INDEX(DataColumns[ColumnLabel],MATCH(ResultColumnLabels[[#This Row],[Data Value Number]],DataColumns[DVNum],0)))</f>
        <v/>
      </c>
    </row>
    <row r="525" spans="1:2">
      <c r="A525" s="218" t="str">
        <f ca="1">IF(ROW()-1&gt;NumDataColumns,"",MAX(INDIRECT(CONCATENATE("R",ROW(ResultColumnLabels[#Headers]),"C",COLUMN(),":R",ROW()-1,"C",COLUMN()),FALSE))+1)</f>
        <v/>
      </c>
      <c r="B525" s="218" t="str">
        <f ca="1">IF(ResultColumnLabels[[#This Row],[Data Value Number]]="","",INDEX(DataColumns[ColumnLabel],MATCH(ResultColumnLabels[[#This Row],[Data Value Number]],DataColumns[DVNum],0)))</f>
        <v/>
      </c>
    </row>
    <row r="526" spans="1:2">
      <c r="A526" s="218" t="str">
        <f ca="1">IF(ROW()-1&gt;NumDataColumns,"",MAX(INDIRECT(CONCATENATE("R",ROW(ResultColumnLabels[#Headers]),"C",COLUMN(),":R",ROW()-1,"C",COLUMN()),FALSE))+1)</f>
        <v/>
      </c>
      <c r="B526" s="218" t="str">
        <f ca="1">IF(ResultColumnLabels[[#This Row],[Data Value Number]]="","",INDEX(DataColumns[ColumnLabel],MATCH(ResultColumnLabels[[#This Row],[Data Value Number]],DataColumns[DVNum],0)))</f>
        <v/>
      </c>
    </row>
    <row r="527" spans="1:2">
      <c r="A527" s="218" t="str">
        <f ca="1">IF(ROW()-1&gt;NumDataColumns,"",MAX(INDIRECT(CONCATENATE("R",ROW(ResultColumnLabels[#Headers]),"C",COLUMN(),":R",ROW()-1,"C",COLUMN()),FALSE))+1)</f>
        <v/>
      </c>
      <c r="B527" s="218" t="str">
        <f ca="1">IF(ResultColumnLabels[[#This Row],[Data Value Number]]="","",INDEX(DataColumns[ColumnLabel],MATCH(ResultColumnLabels[[#This Row],[Data Value Number]],DataColumns[DVNum],0)))</f>
        <v/>
      </c>
    </row>
    <row r="528" spans="1:2">
      <c r="A528" s="218" t="str">
        <f ca="1">IF(ROW()-1&gt;NumDataColumns,"",MAX(INDIRECT(CONCATENATE("R",ROW(ResultColumnLabels[#Headers]),"C",COLUMN(),":R",ROW()-1,"C",COLUMN()),FALSE))+1)</f>
        <v/>
      </c>
      <c r="B528" s="218" t="str">
        <f ca="1">IF(ResultColumnLabels[[#This Row],[Data Value Number]]="","",INDEX(DataColumns[ColumnLabel],MATCH(ResultColumnLabels[[#This Row],[Data Value Number]],DataColumns[DVNum],0)))</f>
        <v/>
      </c>
    </row>
    <row r="529" spans="1:2">
      <c r="A529" s="218" t="str">
        <f ca="1">IF(ROW()-1&gt;NumDataColumns,"",MAX(INDIRECT(CONCATENATE("R",ROW(ResultColumnLabels[#Headers]),"C",COLUMN(),":R",ROW()-1,"C",COLUMN()),FALSE))+1)</f>
        <v/>
      </c>
      <c r="B529" s="218" t="str">
        <f ca="1">IF(ResultColumnLabels[[#This Row],[Data Value Number]]="","",INDEX(DataColumns[ColumnLabel],MATCH(ResultColumnLabels[[#This Row],[Data Value Number]],DataColumns[DVNum],0)))</f>
        <v/>
      </c>
    </row>
    <row r="530" spans="1:2">
      <c r="A530" s="218" t="str">
        <f ca="1">IF(ROW()-1&gt;NumDataColumns,"",MAX(INDIRECT(CONCATENATE("R",ROW(ResultColumnLabels[#Headers]),"C",COLUMN(),":R",ROW()-1,"C",COLUMN()),FALSE))+1)</f>
        <v/>
      </c>
      <c r="B530" s="218" t="str">
        <f ca="1">IF(ResultColumnLabels[[#This Row],[Data Value Number]]="","",INDEX(DataColumns[ColumnLabel],MATCH(ResultColumnLabels[[#This Row],[Data Value Number]],DataColumns[DVNum],0)))</f>
        <v/>
      </c>
    </row>
    <row r="531" spans="1:2">
      <c r="A531" s="218" t="str">
        <f ca="1">IF(ROW()-1&gt;NumDataColumns,"",MAX(INDIRECT(CONCATENATE("R",ROW(ResultColumnLabels[#Headers]),"C",COLUMN(),":R",ROW()-1,"C",COLUMN()),FALSE))+1)</f>
        <v/>
      </c>
      <c r="B531" s="218" t="str">
        <f ca="1">IF(ResultColumnLabels[[#This Row],[Data Value Number]]="","",INDEX(DataColumns[ColumnLabel],MATCH(ResultColumnLabels[[#This Row],[Data Value Number]],DataColumns[DVNum],0)))</f>
        <v/>
      </c>
    </row>
    <row r="532" spans="1:2">
      <c r="A532" s="218" t="str">
        <f ca="1">IF(ROW()-1&gt;NumDataColumns,"",MAX(INDIRECT(CONCATENATE("R",ROW(ResultColumnLabels[#Headers]),"C",COLUMN(),":R",ROW()-1,"C",COLUMN()),FALSE))+1)</f>
        <v/>
      </c>
      <c r="B532" s="218" t="str">
        <f ca="1">IF(ResultColumnLabels[[#This Row],[Data Value Number]]="","",INDEX(DataColumns[ColumnLabel],MATCH(ResultColumnLabels[[#This Row],[Data Value Number]],DataColumns[DVNum],0)))</f>
        <v/>
      </c>
    </row>
    <row r="533" spans="1:2">
      <c r="A533" s="218" t="str">
        <f ca="1">IF(ROW()-1&gt;NumDataColumns,"",MAX(INDIRECT(CONCATENATE("R",ROW(ResultColumnLabels[#Headers]),"C",COLUMN(),":R",ROW()-1,"C",COLUMN()),FALSE))+1)</f>
        <v/>
      </c>
      <c r="B533" s="218" t="str">
        <f ca="1">IF(ResultColumnLabels[[#This Row],[Data Value Number]]="","",INDEX(DataColumns[ColumnLabel],MATCH(ResultColumnLabels[[#This Row],[Data Value Number]],DataColumns[DVNum],0)))</f>
        <v/>
      </c>
    </row>
    <row r="534" spans="1:2">
      <c r="A534" s="218" t="str">
        <f ca="1">IF(ROW()-1&gt;NumDataColumns,"",MAX(INDIRECT(CONCATENATE("R",ROW(ResultColumnLabels[#Headers]),"C",COLUMN(),":R",ROW()-1,"C",COLUMN()),FALSE))+1)</f>
        <v/>
      </c>
      <c r="B534" s="218" t="str">
        <f ca="1">IF(ResultColumnLabels[[#This Row],[Data Value Number]]="","",INDEX(DataColumns[ColumnLabel],MATCH(ResultColumnLabels[[#This Row],[Data Value Number]],DataColumns[DVNum],0)))</f>
        <v/>
      </c>
    </row>
    <row r="535" spans="1:2">
      <c r="A535" s="218" t="str">
        <f ca="1">IF(ROW()-1&gt;NumDataColumns,"",MAX(INDIRECT(CONCATENATE("R",ROW(ResultColumnLabels[#Headers]),"C",COLUMN(),":R",ROW()-1,"C",COLUMN()),FALSE))+1)</f>
        <v/>
      </c>
      <c r="B535" s="218" t="str">
        <f ca="1">IF(ResultColumnLabels[[#This Row],[Data Value Number]]="","",INDEX(DataColumns[ColumnLabel],MATCH(ResultColumnLabels[[#This Row],[Data Value Number]],DataColumns[DVNum],0)))</f>
        <v/>
      </c>
    </row>
    <row r="536" spans="1:2">
      <c r="A536" s="218" t="str">
        <f ca="1">IF(ROW()-1&gt;NumDataColumns,"",MAX(INDIRECT(CONCATENATE("R",ROW(ResultColumnLabels[#Headers]),"C",COLUMN(),":R",ROW()-1,"C",COLUMN()),FALSE))+1)</f>
        <v/>
      </c>
      <c r="B536" s="218" t="str">
        <f ca="1">IF(ResultColumnLabels[[#This Row],[Data Value Number]]="","",INDEX(DataColumns[ColumnLabel],MATCH(ResultColumnLabels[[#This Row],[Data Value Number]],DataColumns[DVNum],0)))</f>
        <v/>
      </c>
    </row>
    <row r="537" spans="1:2">
      <c r="A537" s="218" t="str">
        <f ca="1">IF(ROW()-1&gt;NumDataColumns,"",MAX(INDIRECT(CONCATENATE("R",ROW(ResultColumnLabels[#Headers]),"C",COLUMN(),":R",ROW()-1,"C",COLUMN()),FALSE))+1)</f>
        <v/>
      </c>
      <c r="B537" s="218" t="str">
        <f ca="1">IF(ResultColumnLabels[[#This Row],[Data Value Number]]="","",INDEX(DataColumns[ColumnLabel],MATCH(ResultColumnLabels[[#This Row],[Data Value Number]],DataColumns[DVNum],0)))</f>
        <v/>
      </c>
    </row>
    <row r="538" spans="1:2">
      <c r="A538" s="218" t="str">
        <f ca="1">IF(ROW()-1&gt;NumDataColumns,"",MAX(INDIRECT(CONCATENATE("R",ROW(ResultColumnLabels[#Headers]),"C",COLUMN(),":R",ROW()-1,"C",COLUMN()),FALSE))+1)</f>
        <v/>
      </c>
      <c r="B538" s="218" t="str">
        <f ca="1">IF(ResultColumnLabels[[#This Row],[Data Value Number]]="","",INDEX(DataColumns[ColumnLabel],MATCH(ResultColumnLabels[[#This Row],[Data Value Number]],DataColumns[DVNum],0)))</f>
        <v/>
      </c>
    </row>
    <row r="539" spans="1:2">
      <c r="A539" s="218" t="str">
        <f ca="1">IF(ROW()-1&gt;NumDataColumns,"",MAX(INDIRECT(CONCATENATE("R",ROW(ResultColumnLabels[#Headers]),"C",COLUMN(),":R",ROW()-1,"C",COLUMN()),FALSE))+1)</f>
        <v/>
      </c>
      <c r="B539" s="218" t="str">
        <f ca="1">IF(ResultColumnLabels[[#This Row],[Data Value Number]]="","",INDEX(DataColumns[ColumnLabel],MATCH(ResultColumnLabels[[#This Row],[Data Value Number]],DataColumns[DVNum],0)))</f>
        <v/>
      </c>
    </row>
    <row r="540" spans="1:2">
      <c r="A540" s="218" t="str">
        <f ca="1">IF(ROW()-1&gt;NumDataColumns,"",MAX(INDIRECT(CONCATENATE("R",ROW(ResultColumnLabels[#Headers]),"C",COLUMN(),":R",ROW()-1,"C",COLUMN()),FALSE))+1)</f>
        <v/>
      </c>
      <c r="B540" s="218" t="str">
        <f ca="1">IF(ResultColumnLabels[[#This Row],[Data Value Number]]="","",INDEX(DataColumns[ColumnLabel],MATCH(ResultColumnLabels[[#This Row],[Data Value Number]],DataColumns[DVNum],0)))</f>
        <v/>
      </c>
    </row>
    <row r="541" spans="1:2">
      <c r="A541" s="218" t="str">
        <f ca="1">IF(ROW()-1&gt;NumDataColumns,"",MAX(INDIRECT(CONCATENATE("R",ROW(ResultColumnLabels[#Headers]),"C",COLUMN(),":R",ROW()-1,"C",COLUMN()),FALSE))+1)</f>
        <v/>
      </c>
      <c r="B541" s="218" t="str">
        <f ca="1">IF(ResultColumnLabels[[#This Row],[Data Value Number]]="","",INDEX(DataColumns[ColumnLabel],MATCH(ResultColumnLabels[[#This Row],[Data Value Number]],DataColumns[DVNum],0)))</f>
        <v/>
      </c>
    </row>
    <row r="542" spans="1:2">
      <c r="A542" s="218" t="str">
        <f ca="1">IF(ROW()-1&gt;NumDataColumns,"",MAX(INDIRECT(CONCATENATE("R",ROW(ResultColumnLabels[#Headers]),"C",COLUMN(),":R",ROW()-1,"C",COLUMN()),FALSE))+1)</f>
        <v/>
      </c>
      <c r="B542" s="218" t="str">
        <f ca="1">IF(ResultColumnLabels[[#This Row],[Data Value Number]]="","",INDEX(DataColumns[ColumnLabel],MATCH(ResultColumnLabels[[#This Row],[Data Value Number]],DataColumns[DVNum],0)))</f>
        <v/>
      </c>
    </row>
    <row r="543" spans="1:2">
      <c r="A543" s="218" t="str">
        <f ca="1">IF(ROW()-1&gt;NumDataColumns,"",MAX(INDIRECT(CONCATENATE("R",ROW(ResultColumnLabels[#Headers]),"C",COLUMN(),":R",ROW()-1,"C",COLUMN()),FALSE))+1)</f>
        <v/>
      </c>
      <c r="B543" s="218" t="str">
        <f ca="1">IF(ResultColumnLabels[[#This Row],[Data Value Number]]="","",INDEX(DataColumns[ColumnLabel],MATCH(ResultColumnLabels[[#This Row],[Data Value Number]],DataColumns[DVNum],0)))</f>
        <v/>
      </c>
    </row>
    <row r="544" spans="1:2">
      <c r="A544" s="218" t="str">
        <f ca="1">IF(ROW()-1&gt;NumDataColumns,"",MAX(INDIRECT(CONCATENATE("R",ROW(ResultColumnLabels[#Headers]),"C",COLUMN(),":R",ROW()-1,"C",COLUMN()),FALSE))+1)</f>
        <v/>
      </c>
      <c r="B544" s="218" t="str">
        <f ca="1">IF(ResultColumnLabels[[#This Row],[Data Value Number]]="","",INDEX(DataColumns[ColumnLabel],MATCH(ResultColumnLabels[[#This Row],[Data Value Number]],DataColumns[DVNum],0)))</f>
        <v/>
      </c>
    </row>
    <row r="545" spans="1:2">
      <c r="A545" s="218" t="str">
        <f ca="1">IF(ROW()-1&gt;NumDataColumns,"",MAX(INDIRECT(CONCATENATE("R",ROW(ResultColumnLabels[#Headers]),"C",COLUMN(),":R",ROW()-1,"C",COLUMN()),FALSE))+1)</f>
        <v/>
      </c>
      <c r="B545" s="218" t="str">
        <f ca="1">IF(ResultColumnLabels[[#This Row],[Data Value Number]]="","",INDEX(DataColumns[ColumnLabel],MATCH(ResultColumnLabels[[#This Row],[Data Value Number]],DataColumns[DVNum],0)))</f>
        <v/>
      </c>
    </row>
    <row r="546" spans="1:2">
      <c r="A546" s="218" t="str">
        <f ca="1">IF(ROW()-1&gt;NumDataColumns,"",MAX(INDIRECT(CONCATENATE("R",ROW(ResultColumnLabels[#Headers]),"C",COLUMN(),":R",ROW()-1,"C",COLUMN()),FALSE))+1)</f>
        <v/>
      </c>
      <c r="B546" s="218" t="str">
        <f ca="1">IF(ResultColumnLabels[[#This Row],[Data Value Number]]="","",INDEX(DataColumns[ColumnLabel],MATCH(ResultColumnLabels[[#This Row],[Data Value Number]],DataColumns[DVNum],0)))</f>
        <v/>
      </c>
    </row>
    <row r="547" spans="1:2">
      <c r="A547" s="218" t="str">
        <f ca="1">IF(ROW()-1&gt;NumDataColumns,"",MAX(INDIRECT(CONCATENATE("R",ROW(ResultColumnLabels[#Headers]),"C",COLUMN(),":R",ROW()-1,"C",COLUMN()),FALSE))+1)</f>
        <v/>
      </c>
      <c r="B547" s="218" t="str">
        <f ca="1">IF(ResultColumnLabels[[#This Row],[Data Value Number]]="","",INDEX(DataColumns[ColumnLabel],MATCH(ResultColumnLabels[[#This Row],[Data Value Number]],DataColumns[DVNum],0)))</f>
        <v/>
      </c>
    </row>
    <row r="548" spans="1:2">
      <c r="A548" s="218" t="str">
        <f ca="1">IF(ROW()-1&gt;NumDataColumns,"",MAX(INDIRECT(CONCATENATE("R",ROW(ResultColumnLabels[#Headers]),"C",COLUMN(),":R",ROW()-1,"C",COLUMN()),FALSE))+1)</f>
        <v/>
      </c>
      <c r="B548" s="218" t="str">
        <f ca="1">IF(ResultColumnLabels[[#This Row],[Data Value Number]]="","",INDEX(DataColumns[ColumnLabel],MATCH(ResultColumnLabels[[#This Row],[Data Value Number]],DataColumns[DVNum],0)))</f>
        <v/>
      </c>
    </row>
    <row r="549" spans="1:2">
      <c r="A549" s="218" t="str">
        <f ca="1">IF(ROW()-1&gt;NumDataColumns,"",MAX(INDIRECT(CONCATENATE("R",ROW(ResultColumnLabels[#Headers]),"C",COLUMN(),":R",ROW()-1,"C",COLUMN()),FALSE))+1)</f>
        <v/>
      </c>
      <c r="B549" s="218" t="str">
        <f ca="1">IF(ResultColumnLabels[[#This Row],[Data Value Number]]="","",INDEX(DataColumns[ColumnLabel],MATCH(ResultColumnLabels[[#This Row],[Data Value Number]],DataColumns[DVNum],0)))</f>
        <v/>
      </c>
    </row>
    <row r="550" spans="1:2">
      <c r="A550" s="218" t="str">
        <f ca="1">IF(ROW()-1&gt;NumDataColumns,"",MAX(INDIRECT(CONCATENATE("R",ROW(ResultColumnLabels[#Headers]),"C",COLUMN(),":R",ROW()-1,"C",COLUMN()),FALSE))+1)</f>
        <v/>
      </c>
      <c r="B550" s="218" t="str">
        <f ca="1">IF(ResultColumnLabels[[#This Row],[Data Value Number]]="","",INDEX(DataColumns[ColumnLabel],MATCH(ResultColumnLabels[[#This Row],[Data Value Number]],DataColumns[DVNum],0)))</f>
        <v/>
      </c>
    </row>
    <row r="551" spans="1:2">
      <c r="A551" s="218" t="str">
        <f ca="1">IF(ROW()-1&gt;NumDataColumns,"",MAX(INDIRECT(CONCATENATE("R",ROW(ResultColumnLabels[#Headers]),"C",COLUMN(),":R",ROW()-1,"C",COLUMN()),FALSE))+1)</f>
        <v/>
      </c>
      <c r="B551" s="218" t="str">
        <f ca="1">IF(ResultColumnLabels[[#This Row],[Data Value Number]]="","",INDEX(DataColumns[ColumnLabel],MATCH(ResultColumnLabels[[#This Row],[Data Value Number]],DataColumns[DVNum],0)))</f>
        <v/>
      </c>
    </row>
    <row r="552" spans="1:2">
      <c r="A552" s="218" t="str">
        <f ca="1">IF(ROW()-1&gt;NumDataColumns,"",MAX(INDIRECT(CONCATENATE("R",ROW(ResultColumnLabels[#Headers]),"C",COLUMN(),":R",ROW()-1,"C",COLUMN()),FALSE))+1)</f>
        <v/>
      </c>
      <c r="B552" s="218" t="str">
        <f ca="1">IF(ResultColumnLabels[[#This Row],[Data Value Number]]="","",INDEX(DataColumns[ColumnLabel],MATCH(ResultColumnLabels[[#This Row],[Data Value Number]],DataColumns[DVNum],0)))</f>
        <v/>
      </c>
    </row>
    <row r="553" spans="1:2">
      <c r="A553" s="218" t="str">
        <f ca="1">IF(ROW()-1&gt;NumDataColumns,"",MAX(INDIRECT(CONCATENATE("R",ROW(ResultColumnLabels[#Headers]),"C",COLUMN(),":R",ROW()-1,"C",COLUMN()),FALSE))+1)</f>
        <v/>
      </c>
      <c r="B553" s="218" t="str">
        <f ca="1">IF(ResultColumnLabels[[#This Row],[Data Value Number]]="","",INDEX(DataColumns[ColumnLabel],MATCH(ResultColumnLabels[[#This Row],[Data Value Number]],DataColumns[DVNum],0)))</f>
        <v/>
      </c>
    </row>
    <row r="554" spans="1:2">
      <c r="A554" s="218" t="str">
        <f ca="1">IF(ROW()-1&gt;NumDataColumns,"",MAX(INDIRECT(CONCATENATE("R",ROW(ResultColumnLabels[#Headers]),"C",COLUMN(),":R",ROW()-1,"C",COLUMN()),FALSE))+1)</f>
        <v/>
      </c>
      <c r="B554" s="218" t="str">
        <f ca="1">IF(ResultColumnLabels[[#This Row],[Data Value Number]]="","",INDEX(DataColumns[ColumnLabel],MATCH(ResultColumnLabels[[#This Row],[Data Value Number]],DataColumns[DVNum],0)))</f>
        <v/>
      </c>
    </row>
    <row r="555" spans="1:2">
      <c r="A555" s="218" t="str">
        <f ca="1">IF(ROW()-1&gt;NumDataColumns,"",MAX(INDIRECT(CONCATENATE("R",ROW(ResultColumnLabels[#Headers]),"C",COLUMN(),":R",ROW()-1,"C",COLUMN()),FALSE))+1)</f>
        <v/>
      </c>
      <c r="B555" s="218" t="str">
        <f ca="1">IF(ResultColumnLabels[[#This Row],[Data Value Number]]="","",INDEX(DataColumns[ColumnLabel],MATCH(ResultColumnLabels[[#This Row],[Data Value Number]],DataColumns[DVNum],0)))</f>
        <v/>
      </c>
    </row>
    <row r="556" spans="1:2">
      <c r="A556" s="218" t="str">
        <f ca="1">IF(ROW()-1&gt;NumDataColumns,"",MAX(INDIRECT(CONCATENATE("R",ROW(ResultColumnLabels[#Headers]),"C",COLUMN(),":R",ROW()-1,"C",COLUMN()),FALSE))+1)</f>
        <v/>
      </c>
      <c r="B556" s="218" t="str">
        <f ca="1">IF(ResultColumnLabels[[#This Row],[Data Value Number]]="","",INDEX(DataColumns[ColumnLabel],MATCH(ResultColumnLabels[[#This Row],[Data Value Number]],DataColumns[DVNum],0)))</f>
        <v/>
      </c>
    </row>
    <row r="557" spans="1:2">
      <c r="A557" s="218" t="str">
        <f ca="1">IF(ROW()-1&gt;NumDataColumns,"",MAX(INDIRECT(CONCATENATE("R",ROW(ResultColumnLabels[#Headers]),"C",COLUMN(),":R",ROW()-1,"C",COLUMN()),FALSE))+1)</f>
        <v/>
      </c>
      <c r="B557" s="218" t="str">
        <f ca="1">IF(ResultColumnLabels[[#This Row],[Data Value Number]]="","",INDEX(DataColumns[ColumnLabel],MATCH(ResultColumnLabels[[#This Row],[Data Value Number]],DataColumns[DVNum],0)))</f>
        <v/>
      </c>
    </row>
    <row r="558" spans="1:2">
      <c r="A558" s="218" t="str">
        <f ca="1">IF(ROW()-1&gt;NumDataColumns,"",MAX(INDIRECT(CONCATENATE("R",ROW(ResultColumnLabels[#Headers]),"C",COLUMN(),":R",ROW()-1,"C",COLUMN()),FALSE))+1)</f>
        <v/>
      </c>
      <c r="B558" s="218" t="str">
        <f ca="1">IF(ResultColumnLabels[[#This Row],[Data Value Number]]="","",INDEX(DataColumns[ColumnLabel],MATCH(ResultColumnLabels[[#This Row],[Data Value Number]],DataColumns[DVNum],0)))</f>
        <v/>
      </c>
    </row>
    <row r="559" spans="1:2">
      <c r="A559" s="218" t="str">
        <f ca="1">IF(ROW()-1&gt;NumDataColumns,"",MAX(INDIRECT(CONCATENATE("R",ROW(ResultColumnLabels[#Headers]),"C",COLUMN(),":R",ROW()-1,"C",COLUMN()),FALSE))+1)</f>
        <v/>
      </c>
      <c r="B559" s="218" t="str">
        <f ca="1">IF(ResultColumnLabels[[#This Row],[Data Value Number]]="","",INDEX(DataColumns[ColumnLabel],MATCH(ResultColumnLabels[[#This Row],[Data Value Number]],DataColumns[DVNum],0)))</f>
        <v/>
      </c>
    </row>
    <row r="560" spans="1:2">
      <c r="A560" s="218" t="str">
        <f ca="1">IF(ROW()-1&gt;NumDataColumns,"",MAX(INDIRECT(CONCATENATE("R",ROW(ResultColumnLabels[#Headers]),"C",COLUMN(),":R",ROW()-1,"C",COLUMN()),FALSE))+1)</f>
        <v/>
      </c>
      <c r="B560" s="218" t="str">
        <f ca="1">IF(ResultColumnLabels[[#This Row],[Data Value Number]]="","",INDEX(DataColumns[ColumnLabel],MATCH(ResultColumnLabels[[#This Row],[Data Value Number]],DataColumns[DVNum],0)))</f>
        <v/>
      </c>
    </row>
    <row r="561" spans="1:2">
      <c r="A561" s="218" t="str">
        <f ca="1">IF(ROW()-1&gt;NumDataColumns,"",MAX(INDIRECT(CONCATENATE("R",ROW(ResultColumnLabels[#Headers]),"C",COLUMN(),":R",ROW()-1,"C",COLUMN()),FALSE))+1)</f>
        <v/>
      </c>
      <c r="B561" s="218" t="str">
        <f ca="1">IF(ResultColumnLabels[[#This Row],[Data Value Number]]="","",INDEX(DataColumns[ColumnLabel],MATCH(ResultColumnLabels[[#This Row],[Data Value Number]],DataColumns[DVNum],0)))</f>
        <v/>
      </c>
    </row>
    <row r="562" spans="1:2">
      <c r="A562" s="218" t="str">
        <f ca="1">IF(ROW()-1&gt;NumDataColumns,"",MAX(INDIRECT(CONCATENATE("R",ROW(ResultColumnLabels[#Headers]),"C",COLUMN(),":R",ROW()-1,"C",COLUMN()),FALSE))+1)</f>
        <v/>
      </c>
      <c r="B562" s="218" t="str">
        <f ca="1">IF(ResultColumnLabels[[#This Row],[Data Value Number]]="","",INDEX(DataColumns[ColumnLabel],MATCH(ResultColumnLabels[[#This Row],[Data Value Number]],DataColumns[DVNum],0)))</f>
        <v/>
      </c>
    </row>
    <row r="563" spans="1:2">
      <c r="A563" s="218" t="str">
        <f ca="1">IF(ROW()-1&gt;NumDataColumns,"",MAX(INDIRECT(CONCATENATE("R",ROW(ResultColumnLabels[#Headers]),"C",COLUMN(),":R",ROW()-1,"C",COLUMN()),FALSE))+1)</f>
        <v/>
      </c>
      <c r="B563" s="218" t="str">
        <f ca="1">IF(ResultColumnLabels[[#This Row],[Data Value Number]]="","",INDEX(DataColumns[ColumnLabel],MATCH(ResultColumnLabels[[#This Row],[Data Value Number]],DataColumns[DVNum],0)))</f>
        <v/>
      </c>
    </row>
    <row r="564" spans="1:2">
      <c r="A564" s="218" t="str">
        <f ca="1">IF(ROW()-1&gt;NumDataColumns,"",MAX(INDIRECT(CONCATENATE("R",ROW(ResultColumnLabels[#Headers]),"C",COLUMN(),":R",ROW()-1,"C",COLUMN()),FALSE))+1)</f>
        <v/>
      </c>
      <c r="B564" s="218" t="str">
        <f ca="1">IF(ResultColumnLabels[[#This Row],[Data Value Number]]="","",INDEX(DataColumns[ColumnLabel],MATCH(ResultColumnLabels[[#This Row],[Data Value Number]],DataColumns[DVNum],0)))</f>
        <v/>
      </c>
    </row>
    <row r="565" spans="1:2">
      <c r="A565" s="218" t="str">
        <f ca="1">IF(ROW()-1&gt;NumDataColumns,"",MAX(INDIRECT(CONCATENATE("R",ROW(ResultColumnLabels[#Headers]),"C",COLUMN(),":R",ROW()-1,"C",COLUMN()),FALSE))+1)</f>
        <v/>
      </c>
      <c r="B565" s="218" t="str">
        <f ca="1">IF(ResultColumnLabels[[#This Row],[Data Value Number]]="","",INDEX(DataColumns[ColumnLabel],MATCH(ResultColumnLabels[[#This Row],[Data Value Number]],DataColumns[DVNum],0)))</f>
        <v/>
      </c>
    </row>
    <row r="566" spans="1:2">
      <c r="A566" s="218" t="str">
        <f ca="1">IF(ROW()-1&gt;NumDataColumns,"",MAX(INDIRECT(CONCATENATE("R",ROW(ResultColumnLabels[#Headers]),"C",COLUMN(),":R",ROW()-1,"C",COLUMN()),FALSE))+1)</f>
        <v/>
      </c>
      <c r="B566" s="218" t="str">
        <f ca="1">IF(ResultColumnLabels[[#This Row],[Data Value Number]]="","",INDEX(DataColumns[ColumnLabel],MATCH(ResultColumnLabels[[#This Row],[Data Value Number]],DataColumns[DVNum],0)))</f>
        <v/>
      </c>
    </row>
    <row r="567" spans="1:2">
      <c r="A567" s="218" t="str">
        <f ca="1">IF(ROW()-1&gt;NumDataColumns,"",MAX(INDIRECT(CONCATENATE("R",ROW(ResultColumnLabels[#Headers]),"C",COLUMN(),":R",ROW()-1,"C",COLUMN()),FALSE))+1)</f>
        <v/>
      </c>
      <c r="B567" s="218" t="str">
        <f ca="1">IF(ResultColumnLabels[[#This Row],[Data Value Number]]="","",INDEX(DataColumns[ColumnLabel],MATCH(ResultColumnLabels[[#This Row],[Data Value Number]],DataColumns[DVNum],0)))</f>
        <v/>
      </c>
    </row>
    <row r="568" spans="1:2">
      <c r="A568" s="218" t="str">
        <f ca="1">IF(ROW()-1&gt;NumDataColumns,"",MAX(INDIRECT(CONCATENATE("R",ROW(ResultColumnLabels[#Headers]),"C",COLUMN(),":R",ROW()-1,"C",COLUMN()),FALSE))+1)</f>
        <v/>
      </c>
      <c r="B568" s="218" t="str">
        <f ca="1">IF(ResultColumnLabels[[#This Row],[Data Value Number]]="","",INDEX(DataColumns[ColumnLabel],MATCH(ResultColumnLabels[[#This Row],[Data Value Number]],DataColumns[DVNum],0)))</f>
        <v/>
      </c>
    </row>
    <row r="569" spans="1:2">
      <c r="A569" s="218" t="str">
        <f ca="1">IF(ROW()-1&gt;NumDataColumns,"",MAX(INDIRECT(CONCATENATE("R",ROW(ResultColumnLabels[#Headers]),"C",COLUMN(),":R",ROW()-1,"C",COLUMN()),FALSE))+1)</f>
        <v/>
      </c>
      <c r="B569" s="218" t="str">
        <f ca="1">IF(ResultColumnLabels[[#This Row],[Data Value Number]]="","",INDEX(DataColumns[ColumnLabel],MATCH(ResultColumnLabels[[#This Row],[Data Value Number]],DataColumns[DVNum],0)))</f>
        <v/>
      </c>
    </row>
    <row r="570" spans="1:2">
      <c r="A570" s="218" t="str">
        <f ca="1">IF(ROW()-1&gt;NumDataColumns,"",MAX(INDIRECT(CONCATENATE("R",ROW(ResultColumnLabels[#Headers]),"C",COLUMN(),":R",ROW()-1,"C",COLUMN()),FALSE))+1)</f>
        <v/>
      </c>
      <c r="B570" s="218" t="str">
        <f ca="1">IF(ResultColumnLabels[[#This Row],[Data Value Number]]="","",INDEX(DataColumns[ColumnLabel],MATCH(ResultColumnLabels[[#This Row],[Data Value Number]],DataColumns[DVNum],0)))</f>
        <v/>
      </c>
    </row>
    <row r="571" spans="1:2">
      <c r="A571" s="218" t="str">
        <f ca="1">IF(ROW()-1&gt;NumDataColumns,"",MAX(INDIRECT(CONCATENATE("R",ROW(ResultColumnLabels[#Headers]),"C",COLUMN(),":R",ROW()-1,"C",COLUMN()),FALSE))+1)</f>
        <v/>
      </c>
      <c r="B571" s="218" t="str">
        <f ca="1">IF(ResultColumnLabels[[#This Row],[Data Value Number]]="","",INDEX(DataColumns[ColumnLabel],MATCH(ResultColumnLabels[[#This Row],[Data Value Number]],DataColumns[DVNum],0)))</f>
        <v/>
      </c>
    </row>
    <row r="572" spans="1:2">
      <c r="A572" s="218" t="str">
        <f ca="1">IF(ROW()-1&gt;NumDataColumns,"",MAX(INDIRECT(CONCATENATE("R",ROW(ResultColumnLabels[#Headers]),"C",COLUMN(),":R",ROW()-1,"C",COLUMN()),FALSE))+1)</f>
        <v/>
      </c>
      <c r="B572" s="218" t="str">
        <f ca="1">IF(ResultColumnLabels[[#This Row],[Data Value Number]]="","",INDEX(DataColumns[ColumnLabel],MATCH(ResultColumnLabels[[#This Row],[Data Value Number]],DataColumns[DVNum],0)))</f>
        <v/>
      </c>
    </row>
    <row r="573" spans="1:2">
      <c r="A573" s="218" t="str">
        <f ca="1">IF(ROW()-1&gt;NumDataColumns,"",MAX(INDIRECT(CONCATENATE("R",ROW(ResultColumnLabels[#Headers]),"C",COLUMN(),":R",ROW()-1,"C",COLUMN()),FALSE))+1)</f>
        <v/>
      </c>
      <c r="B573" s="218" t="str">
        <f ca="1">IF(ResultColumnLabels[[#This Row],[Data Value Number]]="","",INDEX(DataColumns[ColumnLabel],MATCH(ResultColumnLabels[[#This Row],[Data Value Number]],DataColumns[DVNum],0)))</f>
        <v/>
      </c>
    </row>
    <row r="574" spans="1:2">
      <c r="A574" s="218" t="str">
        <f ca="1">IF(ROW()-1&gt;NumDataColumns,"",MAX(INDIRECT(CONCATENATE("R",ROW(ResultColumnLabels[#Headers]),"C",COLUMN(),":R",ROW()-1,"C",COLUMN()),FALSE))+1)</f>
        <v/>
      </c>
      <c r="B574" s="218" t="str">
        <f ca="1">IF(ResultColumnLabels[[#This Row],[Data Value Number]]="","",INDEX(DataColumns[ColumnLabel],MATCH(ResultColumnLabels[[#This Row],[Data Value Number]],DataColumns[DVNum],0)))</f>
        <v/>
      </c>
    </row>
    <row r="575" spans="1:2">
      <c r="A575" s="218" t="str">
        <f ca="1">IF(ROW()-1&gt;NumDataColumns,"",MAX(INDIRECT(CONCATENATE("R",ROW(ResultColumnLabels[#Headers]),"C",COLUMN(),":R",ROW()-1,"C",COLUMN()),FALSE))+1)</f>
        <v/>
      </c>
      <c r="B575" s="218" t="str">
        <f ca="1">IF(ResultColumnLabels[[#This Row],[Data Value Number]]="","",INDEX(DataColumns[ColumnLabel],MATCH(ResultColumnLabels[[#This Row],[Data Value Number]],DataColumns[DVNum],0)))</f>
        <v/>
      </c>
    </row>
    <row r="576" spans="1:2">
      <c r="A576" s="218" t="str">
        <f ca="1">IF(ROW()-1&gt;NumDataColumns,"",MAX(INDIRECT(CONCATENATE("R",ROW(ResultColumnLabels[#Headers]),"C",COLUMN(),":R",ROW()-1,"C",COLUMN()),FALSE))+1)</f>
        <v/>
      </c>
      <c r="B576" s="218" t="str">
        <f ca="1">IF(ResultColumnLabels[[#This Row],[Data Value Number]]="","",INDEX(DataColumns[ColumnLabel],MATCH(ResultColumnLabels[[#This Row],[Data Value Number]],DataColumns[DVNum],0)))</f>
        <v/>
      </c>
    </row>
    <row r="577" spans="1:2">
      <c r="A577" s="218" t="str">
        <f ca="1">IF(ROW()-1&gt;NumDataColumns,"",MAX(INDIRECT(CONCATENATE("R",ROW(ResultColumnLabels[#Headers]),"C",COLUMN(),":R",ROW()-1,"C",COLUMN()),FALSE))+1)</f>
        <v/>
      </c>
      <c r="B577" s="218" t="str">
        <f ca="1">IF(ResultColumnLabels[[#This Row],[Data Value Number]]="","",INDEX(DataColumns[ColumnLabel],MATCH(ResultColumnLabels[[#This Row],[Data Value Number]],DataColumns[DVNum],0)))</f>
        <v/>
      </c>
    </row>
    <row r="578" spans="1:2">
      <c r="A578" s="218" t="str">
        <f ca="1">IF(ROW()-1&gt;NumDataColumns,"",MAX(INDIRECT(CONCATENATE("R",ROW(ResultColumnLabels[#Headers]),"C",COLUMN(),":R",ROW()-1,"C",COLUMN()),FALSE))+1)</f>
        <v/>
      </c>
      <c r="B578" s="218" t="str">
        <f ca="1">IF(ResultColumnLabels[[#This Row],[Data Value Number]]="","",INDEX(DataColumns[ColumnLabel],MATCH(ResultColumnLabels[[#This Row],[Data Value Number]],DataColumns[DVNum],0)))</f>
        <v/>
      </c>
    </row>
    <row r="579" spans="1:2">
      <c r="A579" s="218" t="str">
        <f ca="1">IF(ROW()-1&gt;NumDataColumns,"",MAX(INDIRECT(CONCATENATE("R",ROW(ResultColumnLabels[#Headers]),"C",COLUMN(),":R",ROW()-1,"C",COLUMN()),FALSE))+1)</f>
        <v/>
      </c>
      <c r="B579" s="218" t="str">
        <f ca="1">IF(ResultColumnLabels[[#This Row],[Data Value Number]]="","",INDEX(DataColumns[ColumnLabel],MATCH(ResultColumnLabels[[#This Row],[Data Value Number]],DataColumns[DVNum],0)))</f>
        <v/>
      </c>
    </row>
    <row r="580" spans="1:2">
      <c r="A580" s="218" t="str">
        <f ca="1">IF(ROW()-1&gt;NumDataColumns,"",MAX(INDIRECT(CONCATENATE("R",ROW(ResultColumnLabels[#Headers]),"C",COLUMN(),":R",ROW()-1,"C",COLUMN()),FALSE))+1)</f>
        <v/>
      </c>
      <c r="B580" s="218" t="str">
        <f ca="1">IF(ResultColumnLabels[[#This Row],[Data Value Number]]="","",INDEX(DataColumns[ColumnLabel],MATCH(ResultColumnLabels[[#This Row],[Data Value Number]],DataColumns[DVNum],0)))</f>
        <v/>
      </c>
    </row>
    <row r="581" spans="1:2">
      <c r="A581" s="218" t="str">
        <f ca="1">IF(ROW()-1&gt;NumDataColumns,"",MAX(INDIRECT(CONCATENATE("R",ROW(ResultColumnLabels[#Headers]),"C",COLUMN(),":R",ROW()-1,"C",COLUMN()),FALSE))+1)</f>
        <v/>
      </c>
      <c r="B581" s="218" t="str">
        <f ca="1">IF(ResultColumnLabels[[#This Row],[Data Value Number]]="","",INDEX(DataColumns[ColumnLabel],MATCH(ResultColumnLabels[[#This Row],[Data Value Number]],DataColumns[DVNum],0)))</f>
        <v/>
      </c>
    </row>
    <row r="582" spans="1:2">
      <c r="A582" s="218" t="str">
        <f ca="1">IF(ROW()-1&gt;NumDataColumns,"",MAX(INDIRECT(CONCATENATE("R",ROW(ResultColumnLabels[#Headers]),"C",COLUMN(),":R",ROW()-1,"C",COLUMN()),FALSE))+1)</f>
        <v/>
      </c>
      <c r="B582" s="218" t="str">
        <f ca="1">IF(ResultColumnLabels[[#This Row],[Data Value Number]]="","",INDEX(DataColumns[ColumnLabel],MATCH(ResultColumnLabels[[#This Row],[Data Value Number]],DataColumns[DVNum],0)))</f>
        <v/>
      </c>
    </row>
    <row r="583" spans="1:2">
      <c r="A583" s="218" t="str">
        <f ca="1">IF(ROW()-1&gt;NumDataColumns,"",MAX(INDIRECT(CONCATENATE("R",ROW(ResultColumnLabels[#Headers]),"C",COLUMN(),":R",ROW()-1,"C",COLUMN()),FALSE))+1)</f>
        <v/>
      </c>
      <c r="B583" s="218" t="str">
        <f ca="1">IF(ResultColumnLabels[[#This Row],[Data Value Number]]="","",INDEX(DataColumns[ColumnLabel],MATCH(ResultColumnLabels[[#This Row],[Data Value Number]],DataColumns[DVNum],0)))</f>
        <v/>
      </c>
    </row>
    <row r="584" spans="1:2">
      <c r="A584" s="218" t="str">
        <f ca="1">IF(ROW()-1&gt;NumDataColumns,"",MAX(INDIRECT(CONCATENATE("R",ROW(ResultColumnLabels[#Headers]),"C",COLUMN(),":R",ROW()-1,"C",COLUMN()),FALSE))+1)</f>
        <v/>
      </c>
      <c r="B584" s="218" t="str">
        <f ca="1">IF(ResultColumnLabels[[#This Row],[Data Value Number]]="","",INDEX(DataColumns[ColumnLabel],MATCH(ResultColumnLabels[[#This Row],[Data Value Number]],DataColumns[DVNum],0)))</f>
        <v/>
      </c>
    </row>
    <row r="585" spans="1:2">
      <c r="A585" s="218" t="str">
        <f ca="1">IF(ROW()-1&gt;NumDataColumns,"",MAX(INDIRECT(CONCATENATE("R",ROW(ResultColumnLabels[#Headers]),"C",COLUMN(),":R",ROW()-1,"C",COLUMN()),FALSE))+1)</f>
        <v/>
      </c>
      <c r="B585" s="218" t="str">
        <f ca="1">IF(ResultColumnLabels[[#This Row],[Data Value Number]]="","",INDEX(DataColumns[ColumnLabel],MATCH(ResultColumnLabels[[#This Row],[Data Value Number]],DataColumns[DVNum],0)))</f>
        <v/>
      </c>
    </row>
    <row r="586" spans="1:2">
      <c r="A586" s="218" t="str">
        <f ca="1">IF(ROW()-1&gt;NumDataColumns,"",MAX(INDIRECT(CONCATENATE("R",ROW(ResultColumnLabels[#Headers]),"C",COLUMN(),":R",ROW()-1,"C",COLUMN()),FALSE))+1)</f>
        <v/>
      </c>
      <c r="B586" s="218" t="str">
        <f ca="1">IF(ResultColumnLabels[[#This Row],[Data Value Number]]="","",INDEX(DataColumns[ColumnLabel],MATCH(ResultColumnLabels[[#This Row],[Data Value Number]],DataColumns[DVNum],0)))</f>
        <v/>
      </c>
    </row>
    <row r="587" spans="1:2">
      <c r="A587" s="218" t="str">
        <f ca="1">IF(ROW()-1&gt;NumDataColumns,"",MAX(INDIRECT(CONCATENATE("R",ROW(ResultColumnLabels[#Headers]),"C",COLUMN(),":R",ROW()-1,"C",COLUMN()),FALSE))+1)</f>
        <v/>
      </c>
      <c r="B587" s="218" t="str">
        <f ca="1">IF(ResultColumnLabels[[#This Row],[Data Value Number]]="","",INDEX(DataColumns[ColumnLabel],MATCH(ResultColumnLabels[[#This Row],[Data Value Number]],DataColumns[DVNum],0)))</f>
        <v/>
      </c>
    </row>
    <row r="588" spans="1:2">
      <c r="A588" s="218" t="str">
        <f ca="1">IF(ROW()-1&gt;NumDataColumns,"",MAX(INDIRECT(CONCATENATE("R",ROW(ResultColumnLabels[#Headers]),"C",COLUMN(),":R",ROW()-1,"C",COLUMN()),FALSE))+1)</f>
        <v/>
      </c>
      <c r="B588" s="218" t="str">
        <f ca="1">IF(ResultColumnLabels[[#This Row],[Data Value Number]]="","",INDEX(DataColumns[ColumnLabel],MATCH(ResultColumnLabels[[#This Row],[Data Value Number]],DataColumns[DVNum],0)))</f>
        <v/>
      </c>
    </row>
    <row r="589" spans="1:2">
      <c r="A589" s="218" t="str">
        <f ca="1">IF(ROW()-1&gt;NumDataColumns,"",MAX(INDIRECT(CONCATENATE("R",ROW(ResultColumnLabels[#Headers]),"C",COLUMN(),":R",ROW()-1,"C",COLUMN()),FALSE))+1)</f>
        <v/>
      </c>
      <c r="B589" s="218" t="str">
        <f ca="1">IF(ResultColumnLabels[[#This Row],[Data Value Number]]="","",INDEX(DataColumns[ColumnLabel],MATCH(ResultColumnLabels[[#This Row],[Data Value Number]],DataColumns[DVNum],0)))</f>
        <v/>
      </c>
    </row>
    <row r="590" spans="1:2">
      <c r="A590" s="218" t="str">
        <f ca="1">IF(ROW()-1&gt;NumDataColumns,"",MAX(INDIRECT(CONCATENATE("R",ROW(ResultColumnLabels[#Headers]),"C",COLUMN(),":R",ROW()-1,"C",COLUMN()),FALSE))+1)</f>
        <v/>
      </c>
      <c r="B590" s="218" t="str">
        <f ca="1">IF(ResultColumnLabels[[#This Row],[Data Value Number]]="","",INDEX(DataColumns[ColumnLabel],MATCH(ResultColumnLabels[[#This Row],[Data Value Number]],DataColumns[DVNum],0)))</f>
        <v/>
      </c>
    </row>
    <row r="591" spans="1:2">
      <c r="A591" s="218" t="str">
        <f ca="1">IF(ROW()-1&gt;NumDataColumns,"",MAX(INDIRECT(CONCATENATE("R",ROW(ResultColumnLabels[#Headers]),"C",COLUMN(),":R",ROW()-1,"C",COLUMN()),FALSE))+1)</f>
        <v/>
      </c>
      <c r="B591" s="218" t="str">
        <f ca="1">IF(ResultColumnLabels[[#This Row],[Data Value Number]]="","",INDEX(DataColumns[ColumnLabel],MATCH(ResultColumnLabels[[#This Row],[Data Value Number]],DataColumns[DVNum],0)))</f>
        <v/>
      </c>
    </row>
    <row r="592" spans="1:2">
      <c r="A592" s="218" t="str">
        <f ca="1">IF(ROW()-1&gt;NumDataColumns,"",MAX(INDIRECT(CONCATENATE("R",ROW(ResultColumnLabels[#Headers]),"C",COLUMN(),":R",ROW()-1,"C",COLUMN()),FALSE))+1)</f>
        <v/>
      </c>
      <c r="B592" s="218" t="str">
        <f ca="1">IF(ResultColumnLabels[[#This Row],[Data Value Number]]="","",INDEX(DataColumns[ColumnLabel],MATCH(ResultColumnLabels[[#This Row],[Data Value Number]],DataColumns[DVNum],0)))</f>
        <v/>
      </c>
    </row>
    <row r="593" spans="1:2">
      <c r="A593" s="218" t="str">
        <f ca="1">IF(ROW()-1&gt;NumDataColumns,"",MAX(INDIRECT(CONCATENATE("R",ROW(ResultColumnLabels[#Headers]),"C",COLUMN(),":R",ROW()-1,"C",COLUMN()),FALSE))+1)</f>
        <v/>
      </c>
      <c r="B593" s="218" t="str">
        <f ca="1">IF(ResultColumnLabels[[#This Row],[Data Value Number]]="","",INDEX(DataColumns[ColumnLabel],MATCH(ResultColumnLabels[[#This Row],[Data Value Number]],DataColumns[DVNum],0)))</f>
        <v/>
      </c>
    </row>
    <row r="594" spans="1:2">
      <c r="A594" s="218" t="str">
        <f ca="1">IF(ROW()-1&gt;NumDataColumns,"",MAX(INDIRECT(CONCATENATE("R",ROW(ResultColumnLabels[#Headers]),"C",COLUMN(),":R",ROW()-1,"C",COLUMN()),FALSE))+1)</f>
        <v/>
      </c>
      <c r="B594" s="218" t="str">
        <f ca="1">IF(ResultColumnLabels[[#This Row],[Data Value Number]]="","",INDEX(DataColumns[ColumnLabel],MATCH(ResultColumnLabels[[#This Row],[Data Value Number]],DataColumns[DVNum],0)))</f>
        <v/>
      </c>
    </row>
    <row r="595" spans="1:2">
      <c r="A595" s="218" t="str">
        <f ca="1">IF(ROW()-1&gt;NumDataColumns,"",MAX(INDIRECT(CONCATENATE("R",ROW(ResultColumnLabels[#Headers]),"C",COLUMN(),":R",ROW()-1,"C",COLUMN()),FALSE))+1)</f>
        <v/>
      </c>
      <c r="B595" s="218" t="str">
        <f ca="1">IF(ResultColumnLabels[[#This Row],[Data Value Number]]="","",INDEX(DataColumns[ColumnLabel],MATCH(ResultColumnLabels[[#This Row],[Data Value Number]],DataColumns[DVNum],0)))</f>
        <v/>
      </c>
    </row>
    <row r="596" spans="1:2">
      <c r="A596" s="218" t="str">
        <f ca="1">IF(ROW()-1&gt;NumDataColumns,"",MAX(INDIRECT(CONCATENATE("R",ROW(ResultColumnLabels[#Headers]),"C",COLUMN(),":R",ROW()-1,"C",COLUMN()),FALSE))+1)</f>
        <v/>
      </c>
      <c r="B596" s="218" t="str">
        <f ca="1">IF(ResultColumnLabels[[#This Row],[Data Value Number]]="","",INDEX(DataColumns[ColumnLabel],MATCH(ResultColumnLabels[[#This Row],[Data Value Number]],DataColumns[DVNum],0)))</f>
        <v/>
      </c>
    </row>
    <row r="597" spans="1:2">
      <c r="A597" s="218" t="str">
        <f ca="1">IF(ROW()-1&gt;NumDataColumns,"",MAX(INDIRECT(CONCATENATE("R",ROW(ResultColumnLabels[#Headers]),"C",COLUMN(),":R",ROW()-1,"C",COLUMN()),FALSE))+1)</f>
        <v/>
      </c>
      <c r="B597" s="218" t="str">
        <f ca="1">IF(ResultColumnLabels[[#This Row],[Data Value Number]]="","",INDEX(DataColumns[ColumnLabel],MATCH(ResultColumnLabels[[#This Row],[Data Value Number]],DataColumns[DVNum],0)))</f>
        <v/>
      </c>
    </row>
    <row r="598" spans="1:2">
      <c r="A598" s="218" t="str">
        <f ca="1">IF(ROW()-1&gt;NumDataColumns,"",MAX(INDIRECT(CONCATENATE("R",ROW(ResultColumnLabels[#Headers]),"C",COLUMN(),":R",ROW()-1,"C",COLUMN()),FALSE))+1)</f>
        <v/>
      </c>
      <c r="B598" s="218" t="str">
        <f ca="1">IF(ResultColumnLabels[[#This Row],[Data Value Number]]="","",INDEX(DataColumns[ColumnLabel],MATCH(ResultColumnLabels[[#This Row],[Data Value Number]],DataColumns[DVNum],0)))</f>
        <v/>
      </c>
    </row>
    <row r="599" spans="1:2">
      <c r="A599" s="218" t="str">
        <f ca="1">IF(ROW()-1&gt;NumDataColumns,"",MAX(INDIRECT(CONCATENATE("R",ROW(ResultColumnLabels[#Headers]),"C",COLUMN(),":R",ROW()-1,"C",COLUMN()),FALSE))+1)</f>
        <v/>
      </c>
      <c r="B599" s="218" t="str">
        <f ca="1">IF(ResultColumnLabels[[#This Row],[Data Value Number]]="","",INDEX(DataColumns[ColumnLabel],MATCH(ResultColumnLabels[[#This Row],[Data Value Number]],DataColumns[DVNum],0)))</f>
        <v/>
      </c>
    </row>
    <row r="600" spans="1:2">
      <c r="A600" s="218" t="str">
        <f ca="1">IF(ROW()-1&gt;NumDataColumns,"",MAX(INDIRECT(CONCATENATE("R",ROW(ResultColumnLabels[#Headers]),"C",COLUMN(),":R",ROW()-1,"C",COLUMN()),FALSE))+1)</f>
        <v/>
      </c>
      <c r="B600" s="218" t="str">
        <f ca="1">IF(ResultColumnLabels[[#This Row],[Data Value Number]]="","",INDEX(DataColumns[ColumnLabel],MATCH(ResultColumnLabels[[#This Row],[Data Value Number]],DataColumns[DVNum],0)))</f>
        <v/>
      </c>
    </row>
    <row r="601" spans="1:2">
      <c r="A601" s="218" t="str">
        <f ca="1">IF(ROW()-1&gt;NumDataColumns,"",MAX(INDIRECT(CONCATENATE("R",ROW(ResultColumnLabels[#Headers]),"C",COLUMN(),":R",ROW()-1,"C",COLUMN()),FALSE))+1)</f>
        <v/>
      </c>
      <c r="B601" s="218" t="str">
        <f ca="1">IF(ResultColumnLabels[[#This Row],[Data Value Number]]="","",INDEX(DataColumns[ColumnLabel],MATCH(ResultColumnLabels[[#This Row],[Data Value Number]],DataColumns[DVNum],0)))</f>
        <v/>
      </c>
    </row>
    <row r="602" spans="1:2">
      <c r="A602" s="218" t="str">
        <f ca="1">IF(ROW()-1&gt;NumDataColumns,"",MAX(INDIRECT(CONCATENATE("R",ROW(ResultColumnLabels[#Headers]),"C",COLUMN(),":R",ROW()-1,"C",COLUMN()),FALSE))+1)</f>
        <v/>
      </c>
      <c r="B602" s="218" t="str">
        <f ca="1">IF(ResultColumnLabels[[#This Row],[Data Value Number]]="","",INDEX(DataColumns[ColumnLabel],MATCH(ResultColumnLabels[[#This Row],[Data Value Number]],DataColumns[DVNum],0)))</f>
        <v/>
      </c>
    </row>
    <row r="603" spans="1:2">
      <c r="A603" s="218" t="str">
        <f ca="1">IF(ROW()-1&gt;NumDataColumns,"",MAX(INDIRECT(CONCATENATE("R",ROW(ResultColumnLabels[#Headers]),"C",COLUMN(),":R",ROW()-1,"C",COLUMN()),FALSE))+1)</f>
        <v/>
      </c>
      <c r="B603" s="218" t="str">
        <f ca="1">IF(ResultColumnLabels[[#This Row],[Data Value Number]]="","",INDEX(DataColumns[ColumnLabel],MATCH(ResultColumnLabels[[#This Row],[Data Value Number]],DataColumns[DVNum],0)))</f>
        <v/>
      </c>
    </row>
    <row r="604" spans="1:2">
      <c r="A604" s="218" t="str">
        <f ca="1">IF(ROW()-1&gt;NumDataColumns,"",MAX(INDIRECT(CONCATENATE("R",ROW(ResultColumnLabels[#Headers]),"C",COLUMN(),":R",ROW()-1,"C",COLUMN()),FALSE))+1)</f>
        <v/>
      </c>
      <c r="B604" s="218" t="str">
        <f ca="1">IF(ResultColumnLabels[[#This Row],[Data Value Number]]="","",INDEX(DataColumns[ColumnLabel],MATCH(ResultColumnLabels[[#This Row],[Data Value Number]],DataColumns[DVNum],0)))</f>
        <v/>
      </c>
    </row>
    <row r="605" spans="1:2">
      <c r="A605" s="218" t="str">
        <f ca="1">IF(ROW()-1&gt;NumDataColumns,"",MAX(INDIRECT(CONCATENATE("R",ROW(ResultColumnLabels[#Headers]),"C",COLUMN(),":R",ROW()-1,"C",COLUMN()),FALSE))+1)</f>
        <v/>
      </c>
      <c r="B605" s="218" t="str">
        <f ca="1">IF(ResultColumnLabels[[#This Row],[Data Value Number]]="","",INDEX(DataColumns[ColumnLabel],MATCH(ResultColumnLabels[[#This Row],[Data Value Number]],DataColumns[DVNum],0)))</f>
        <v/>
      </c>
    </row>
    <row r="606" spans="1:2">
      <c r="A606" s="218" t="str">
        <f ca="1">IF(ROW()-1&gt;NumDataColumns,"",MAX(INDIRECT(CONCATENATE("R",ROW(ResultColumnLabels[#Headers]),"C",COLUMN(),":R",ROW()-1,"C",COLUMN()),FALSE))+1)</f>
        <v/>
      </c>
      <c r="B606" s="218" t="str">
        <f ca="1">IF(ResultColumnLabels[[#This Row],[Data Value Number]]="","",INDEX(DataColumns[ColumnLabel],MATCH(ResultColumnLabels[[#This Row],[Data Value Number]],DataColumns[DVNum],0)))</f>
        <v/>
      </c>
    </row>
    <row r="607" spans="1:2">
      <c r="A607" s="218" t="str">
        <f ca="1">IF(ROW()-1&gt;NumDataColumns,"",MAX(INDIRECT(CONCATENATE("R",ROW(ResultColumnLabels[#Headers]),"C",COLUMN(),":R",ROW()-1,"C",COLUMN()),FALSE))+1)</f>
        <v/>
      </c>
      <c r="B607" s="218" t="str">
        <f ca="1">IF(ResultColumnLabels[[#This Row],[Data Value Number]]="","",INDEX(DataColumns[ColumnLabel],MATCH(ResultColumnLabels[[#This Row],[Data Value Number]],DataColumns[DVNum],0)))</f>
        <v/>
      </c>
    </row>
    <row r="608" spans="1:2">
      <c r="A608" s="218" t="str">
        <f ca="1">IF(ROW()-1&gt;NumDataColumns,"",MAX(INDIRECT(CONCATENATE("R",ROW(ResultColumnLabels[#Headers]),"C",COLUMN(),":R",ROW()-1,"C",COLUMN()),FALSE))+1)</f>
        <v/>
      </c>
      <c r="B608" s="218" t="str">
        <f ca="1">IF(ResultColumnLabels[[#This Row],[Data Value Number]]="","",INDEX(DataColumns[ColumnLabel],MATCH(ResultColumnLabels[[#This Row],[Data Value Number]],DataColumns[DVNum],0)))</f>
        <v/>
      </c>
    </row>
    <row r="609" spans="1:2">
      <c r="A609" s="218" t="str">
        <f ca="1">IF(ROW()-1&gt;NumDataColumns,"",MAX(INDIRECT(CONCATENATE("R",ROW(ResultColumnLabels[#Headers]),"C",COLUMN(),":R",ROW()-1,"C",COLUMN()),FALSE))+1)</f>
        <v/>
      </c>
      <c r="B609" s="218" t="str">
        <f ca="1">IF(ResultColumnLabels[[#This Row],[Data Value Number]]="","",INDEX(DataColumns[ColumnLabel],MATCH(ResultColumnLabels[[#This Row],[Data Value Number]],DataColumns[DVNum],0)))</f>
        <v/>
      </c>
    </row>
    <row r="610" spans="1:2">
      <c r="A610" s="218" t="str">
        <f ca="1">IF(ROW()-1&gt;NumDataColumns,"",MAX(INDIRECT(CONCATENATE("R",ROW(ResultColumnLabels[#Headers]),"C",COLUMN(),":R",ROW()-1,"C",COLUMN()),FALSE))+1)</f>
        <v/>
      </c>
      <c r="B610" s="218" t="str">
        <f ca="1">IF(ResultColumnLabels[[#This Row],[Data Value Number]]="","",INDEX(DataColumns[ColumnLabel],MATCH(ResultColumnLabels[[#This Row],[Data Value Number]],DataColumns[DVNum],0)))</f>
        <v/>
      </c>
    </row>
    <row r="611" spans="1:2">
      <c r="A611" s="218" t="str">
        <f ca="1">IF(ROW()-1&gt;NumDataColumns,"",MAX(INDIRECT(CONCATENATE("R",ROW(ResultColumnLabels[#Headers]),"C",COLUMN(),":R",ROW()-1,"C",COLUMN()),FALSE))+1)</f>
        <v/>
      </c>
      <c r="B611" s="218" t="str">
        <f ca="1">IF(ResultColumnLabels[[#This Row],[Data Value Number]]="","",INDEX(DataColumns[ColumnLabel],MATCH(ResultColumnLabels[[#This Row],[Data Value Number]],DataColumns[DVNum],0)))</f>
        <v/>
      </c>
    </row>
    <row r="612" spans="1:2">
      <c r="A612" s="218" t="str">
        <f ca="1">IF(ROW()-1&gt;NumDataColumns,"",MAX(INDIRECT(CONCATENATE("R",ROW(ResultColumnLabels[#Headers]),"C",COLUMN(),":R",ROW()-1,"C",COLUMN()),FALSE))+1)</f>
        <v/>
      </c>
      <c r="B612" s="218" t="str">
        <f ca="1">IF(ResultColumnLabels[[#This Row],[Data Value Number]]="","",INDEX(DataColumns[ColumnLabel],MATCH(ResultColumnLabels[[#This Row],[Data Value Number]],DataColumns[DVNum],0)))</f>
        <v/>
      </c>
    </row>
    <row r="613" spans="1:2">
      <c r="A613" s="218" t="str">
        <f ca="1">IF(ROW()-1&gt;NumDataColumns,"",MAX(INDIRECT(CONCATENATE("R",ROW(ResultColumnLabels[#Headers]),"C",COLUMN(),":R",ROW()-1,"C",COLUMN()),FALSE))+1)</f>
        <v/>
      </c>
      <c r="B613" s="218" t="str">
        <f ca="1">IF(ResultColumnLabels[[#This Row],[Data Value Number]]="","",INDEX(DataColumns[ColumnLabel],MATCH(ResultColumnLabels[[#This Row],[Data Value Number]],DataColumns[DVNum],0)))</f>
        <v/>
      </c>
    </row>
    <row r="614" spans="1:2">
      <c r="A614" s="218" t="str">
        <f ca="1">IF(ROW()-1&gt;NumDataColumns,"",MAX(INDIRECT(CONCATENATE("R",ROW(ResultColumnLabels[#Headers]),"C",COLUMN(),":R",ROW()-1,"C",COLUMN()),FALSE))+1)</f>
        <v/>
      </c>
      <c r="B614" s="218" t="str">
        <f ca="1">IF(ResultColumnLabels[[#This Row],[Data Value Number]]="","",INDEX(DataColumns[ColumnLabel],MATCH(ResultColumnLabels[[#This Row],[Data Value Number]],DataColumns[DVNum],0)))</f>
        <v/>
      </c>
    </row>
    <row r="615" spans="1:2">
      <c r="A615" s="218" t="str">
        <f ca="1">IF(ROW()-1&gt;NumDataColumns,"",MAX(INDIRECT(CONCATENATE("R",ROW(ResultColumnLabels[#Headers]),"C",COLUMN(),":R",ROW()-1,"C",COLUMN()),FALSE))+1)</f>
        <v/>
      </c>
      <c r="B615" s="218" t="str">
        <f ca="1">IF(ResultColumnLabels[[#This Row],[Data Value Number]]="","",INDEX(DataColumns[ColumnLabel],MATCH(ResultColumnLabels[[#This Row],[Data Value Number]],DataColumns[DVNum],0)))</f>
        <v/>
      </c>
    </row>
    <row r="616" spans="1:2">
      <c r="A616" s="218" t="str">
        <f ca="1">IF(ROW()-1&gt;NumDataColumns,"",MAX(INDIRECT(CONCATENATE("R",ROW(ResultColumnLabels[#Headers]),"C",COLUMN(),":R",ROW()-1,"C",COLUMN()),FALSE))+1)</f>
        <v/>
      </c>
      <c r="B616" s="218" t="str">
        <f ca="1">IF(ResultColumnLabels[[#This Row],[Data Value Number]]="","",INDEX(DataColumns[ColumnLabel],MATCH(ResultColumnLabels[[#This Row],[Data Value Number]],DataColumns[DVNum],0)))</f>
        <v/>
      </c>
    </row>
    <row r="617" spans="1:2">
      <c r="A617" s="218" t="str">
        <f ca="1">IF(ROW()-1&gt;NumDataColumns,"",MAX(INDIRECT(CONCATENATE("R",ROW(ResultColumnLabels[#Headers]),"C",COLUMN(),":R",ROW()-1,"C",COLUMN()),FALSE))+1)</f>
        <v/>
      </c>
      <c r="B617" s="218" t="str">
        <f ca="1">IF(ResultColumnLabels[[#This Row],[Data Value Number]]="","",INDEX(DataColumns[ColumnLabel],MATCH(ResultColumnLabels[[#This Row],[Data Value Number]],DataColumns[DVNum],0)))</f>
        <v/>
      </c>
    </row>
    <row r="618" spans="1:2">
      <c r="A618" s="218" t="str">
        <f ca="1">IF(ROW()-1&gt;NumDataColumns,"",MAX(INDIRECT(CONCATENATE("R",ROW(ResultColumnLabels[#Headers]),"C",COLUMN(),":R",ROW()-1,"C",COLUMN()),FALSE))+1)</f>
        <v/>
      </c>
      <c r="B618" s="218" t="str">
        <f ca="1">IF(ResultColumnLabels[[#This Row],[Data Value Number]]="","",INDEX(DataColumns[ColumnLabel],MATCH(ResultColumnLabels[[#This Row],[Data Value Number]],DataColumns[DVNum],0)))</f>
        <v/>
      </c>
    </row>
    <row r="619" spans="1:2">
      <c r="A619" s="218" t="str">
        <f ca="1">IF(ROW()-1&gt;NumDataColumns,"",MAX(INDIRECT(CONCATENATE("R",ROW(ResultColumnLabels[#Headers]),"C",COLUMN(),":R",ROW()-1,"C",COLUMN()),FALSE))+1)</f>
        <v/>
      </c>
      <c r="B619" s="218" t="str">
        <f ca="1">IF(ResultColumnLabels[[#This Row],[Data Value Number]]="","",INDEX(DataColumns[ColumnLabel],MATCH(ResultColumnLabels[[#This Row],[Data Value Number]],DataColumns[DVNum],0)))</f>
        <v/>
      </c>
    </row>
    <row r="620" spans="1:2">
      <c r="A620" s="218" t="str">
        <f ca="1">IF(ROW()-1&gt;NumDataColumns,"",MAX(INDIRECT(CONCATENATE("R",ROW(ResultColumnLabels[#Headers]),"C",COLUMN(),":R",ROW()-1,"C",COLUMN()),FALSE))+1)</f>
        <v/>
      </c>
      <c r="B620" s="218" t="str">
        <f ca="1">IF(ResultColumnLabels[[#This Row],[Data Value Number]]="","",INDEX(DataColumns[ColumnLabel],MATCH(ResultColumnLabels[[#This Row],[Data Value Number]],DataColumns[DVNum],0)))</f>
        <v/>
      </c>
    </row>
    <row r="621" spans="1:2">
      <c r="A621" s="218" t="str">
        <f ca="1">IF(ROW()-1&gt;NumDataColumns,"",MAX(INDIRECT(CONCATENATE("R",ROW(ResultColumnLabels[#Headers]),"C",COLUMN(),":R",ROW()-1,"C",COLUMN()),FALSE))+1)</f>
        <v/>
      </c>
      <c r="B621" s="218" t="str">
        <f ca="1">IF(ResultColumnLabels[[#This Row],[Data Value Number]]="","",INDEX(DataColumns[ColumnLabel],MATCH(ResultColumnLabels[[#This Row],[Data Value Number]],DataColumns[DVNum],0)))</f>
        <v/>
      </c>
    </row>
    <row r="622" spans="1:2">
      <c r="A622" s="218" t="str">
        <f ca="1">IF(ROW()-1&gt;NumDataColumns,"",MAX(INDIRECT(CONCATENATE("R",ROW(ResultColumnLabels[#Headers]),"C",COLUMN(),":R",ROW()-1,"C",COLUMN()),FALSE))+1)</f>
        <v/>
      </c>
      <c r="B622" s="218" t="str">
        <f ca="1">IF(ResultColumnLabels[[#This Row],[Data Value Number]]="","",INDEX(DataColumns[ColumnLabel],MATCH(ResultColumnLabels[[#This Row],[Data Value Number]],DataColumns[DVNum],0)))</f>
        <v/>
      </c>
    </row>
    <row r="623" spans="1:2">
      <c r="A623" s="218" t="str">
        <f ca="1">IF(ROW()-1&gt;NumDataColumns,"",MAX(INDIRECT(CONCATENATE("R",ROW(ResultColumnLabels[#Headers]),"C",COLUMN(),":R",ROW()-1,"C",COLUMN()),FALSE))+1)</f>
        <v/>
      </c>
      <c r="B623" s="218" t="str">
        <f ca="1">IF(ResultColumnLabels[[#This Row],[Data Value Number]]="","",INDEX(DataColumns[ColumnLabel],MATCH(ResultColumnLabels[[#This Row],[Data Value Number]],DataColumns[DVNum],0)))</f>
        <v/>
      </c>
    </row>
    <row r="624" spans="1:2">
      <c r="A624" s="218" t="str">
        <f ca="1">IF(ROW()-1&gt;NumDataColumns,"",MAX(INDIRECT(CONCATENATE("R",ROW(ResultColumnLabels[#Headers]),"C",COLUMN(),":R",ROW()-1,"C",COLUMN()),FALSE))+1)</f>
        <v/>
      </c>
      <c r="B624" s="218" t="str">
        <f ca="1">IF(ResultColumnLabels[[#This Row],[Data Value Number]]="","",INDEX(DataColumns[ColumnLabel],MATCH(ResultColumnLabels[[#This Row],[Data Value Number]],DataColumns[DVNum],0)))</f>
        <v/>
      </c>
    </row>
    <row r="625" spans="1:2">
      <c r="A625" s="218" t="str">
        <f ca="1">IF(ROW()-1&gt;NumDataColumns,"",MAX(INDIRECT(CONCATENATE("R",ROW(ResultColumnLabels[#Headers]),"C",COLUMN(),":R",ROW()-1,"C",COLUMN()),FALSE))+1)</f>
        <v/>
      </c>
      <c r="B625" s="218" t="str">
        <f ca="1">IF(ResultColumnLabels[[#This Row],[Data Value Number]]="","",INDEX(DataColumns[ColumnLabel],MATCH(ResultColumnLabels[[#This Row],[Data Value Number]],DataColumns[DVNum],0)))</f>
        <v/>
      </c>
    </row>
    <row r="626" spans="1:2">
      <c r="A626" s="218" t="str">
        <f ca="1">IF(ROW()-1&gt;NumDataColumns,"",MAX(INDIRECT(CONCATENATE("R",ROW(ResultColumnLabels[#Headers]),"C",COLUMN(),":R",ROW()-1,"C",COLUMN()),FALSE))+1)</f>
        <v/>
      </c>
      <c r="B626" s="218" t="str">
        <f ca="1">IF(ResultColumnLabels[[#This Row],[Data Value Number]]="","",INDEX(DataColumns[ColumnLabel],MATCH(ResultColumnLabels[[#This Row],[Data Value Number]],DataColumns[DVNum],0)))</f>
        <v/>
      </c>
    </row>
    <row r="627" spans="1:2">
      <c r="A627" s="218" t="str">
        <f ca="1">IF(ROW()-1&gt;NumDataColumns,"",MAX(INDIRECT(CONCATENATE("R",ROW(ResultColumnLabels[#Headers]),"C",COLUMN(),":R",ROW()-1,"C",COLUMN()),FALSE))+1)</f>
        <v/>
      </c>
      <c r="B627" s="218" t="str">
        <f ca="1">IF(ResultColumnLabels[[#This Row],[Data Value Number]]="","",INDEX(DataColumns[ColumnLabel],MATCH(ResultColumnLabels[[#This Row],[Data Value Number]],DataColumns[DVNum],0)))</f>
        <v/>
      </c>
    </row>
    <row r="628" spans="1:2">
      <c r="A628" s="218" t="str">
        <f ca="1">IF(ROW()-1&gt;NumDataColumns,"",MAX(INDIRECT(CONCATENATE("R",ROW(ResultColumnLabels[#Headers]),"C",COLUMN(),":R",ROW()-1,"C",COLUMN()),FALSE))+1)</f>
        <v/>
      </c>
      <c r="B628" s="218" t="str">
        <f ca="1">IF(ResultColumnLabels[[#This Row],[Data Value Number]]="","",INDEX(DataColumns[ColumnLabel],MATCH(ResultColumnLabels[[#This Row],[Data Value Number]],DataColumns[DVNum],0)))</f>
        <v/>
      </c>
    </row>
    <row r="629" spans="1:2">
      <c r="A629" s="218" t="str">
        <f ca="1">IF(ROW()-1&gt;NumDataColumns,"",MAX(INDIRECT(CONCATENATE("R",ROW(ResultColumnLabels[#Headers]),"C",COLUMN(),":R",ROW()-1,"C",COLUMN()),FALSE))+1)</f>
        <v/>
      </c>
      <c r="B629" s="218" t="str">
        <f ca="1">IF(ResultColumnLabels[[#This Row],[Data Value Number]]="","",INDEX(DataColumns[ColumnLabel],MATCH(ResultColumnLabels[[#This Row],[Data Value Number]],DataColumns[DVNum],0)))</f>
        <v/>
      </c>
    </row>
    <row r="630" spans="1:2">
      <c r="A630" s="218" t="str">
        <f ca="1">IF(ROW()-1&gt;NumDataColumns,"",MAX(INDIRECT(CONCATENATE("R",ROW(ResultColumnLabels[#Headers]),"C",COLUMN(),":R",ROW()-1,"C",COLUMN()),FALSE))+1)</f>
        <v/>
      </c>
      <c r="B630" s="218" t="str">
        <f ca="1">IF(ResultColumnLabels[[#This Row],[Data Value Number]]="","",INDEX(DataColumns[ColumnLabel],MATCH(ResultColumnLabels[[#This Row],[Data Value Number]],DataColumns[DVNum],0)))</f>
        <v/>
      </c>
    </row>
    <row r="631" spans="1:2">
      <c r="A631" s="218" t="str">
        <f ca="1">IF(ROW()-1&gt;NumDataColumns,"",MAX(INDIRECT(CONCATENATE("R",ROW(ResultColumnLabels[#Headers]),"C",COLUMN(),":R",ROW()-1,"C",COLUMN()),FALSE))+1)</f>
        <v/>
      </c>
      <c r="B631" s="218" t="str">
        <f ca="1">IF(ResultColumnLabels[[#This Row],[Data Value Number]]="","",INDEX(DataColumns[ColumnLabel],MATCH(ResultColumnLabels[[#This Row],[Data Value Number]],DataColumns[DVNum],0)))</f>
        <v/>
      </c>
    </row>
    <row r="632" spans="1:2">
      <c r="A632" s="218" t="str">
        <f ca="1">IF(ROW()-1&gt;NumDataColumns,"",MAX(INDIRECT(CONCATENATE("R",ROW(ResultColumnLabels[#Headers]),"C",COLUMN(),":R",ROW()-1,"C",COLUMN()),FALSE))+1)</f>
        <v/>
      </c>
      <c r="B632" s="218" t="str">
        <f ca="1">IF(ResultColumnLabels[[#This Row],[Data Value Number]]="","",INDEX(DataColumns[ColumnLabel],MATCH(ResultColumnLabels[[#This Row],[Data Value Number]],DataColumns[DVNum],0)))</f>
        <v/>
      </c>
    </row>
    <row r="633" spans="1:2">
      <c r="A633" s="218" t="str">
        <f ca="1">IF(ROW()-1&gt;NumDataColumns,"",MAX(INDIRECT(CONCATENATE("R",ROW(ResultColumnLabels[#Headers]),"C",COLUMN(),":R",ROW()-1,"C",COLUMN()),FALSE))+1)</f>
        <v/>
      </c>
      <c r="B633" s="218" t="str">
        <f ca="1">IF(ResultColumnLabels[[#This Row],[Data Value Number]]="","",INDEX(DataColumns[ColumnLabel],MATCH(ResultColumnLabels[[#This Row],[Data Value Number]],DataColumns[DVNum],0)))</f>
        <v/>
      </c>
    </row>
    <row r="634" spans="1:2">
      <c r="A634" s="218" t="str">
        <f ca="1">IF(ROW()-1&gt;NumDataColumns,"",MAX(INDIRECT(CONCATENATE("R",ROW(ResultColumnLabels[#Headers]),"C",COLUMN(),":R",ROW()-1,"C",COLUMN()),FALSE))+1)</f>
        <v/>
      </c>
      <c r="B634" s="218" t="str">
        <f ca="1">IF(ResultColumnLabels[[#This Row],[Data Value Number]]="","",INDEX(DataColumns[ColumnLabel],MATCH(ResultColumnLabels[[#This Row],[Data Value Number]],DataColumns[DVNum],0)))</f>
        <v/>
      </c>
    </row>
    <row r="635" spans="1:2">
      <c r="A635" s="218" t="str">
        <f ca="1">IF(ROW()-1&gt;NumDataColumns,"",MAX(INDIRECT(CONCATENATE("R",ROW(ResultColumnLabels[#Headers]),"C",COLUMN(),":R",ROW()-1,"C",COLUMN()),FALSE))+1)</f>
        <v/>
      </c>
      <c r="B635" s="218" t="str">
        <f ca="1">IF(ResultColumnLabels[[#This Row],[Data Value Number]]="","",INDEX(DataColumns[ColumnLabel],MATCH(ResultColumnLabels[[#This Row],[Data Value Number]],DataColumns[DVNum],0)))</f>
        <v/>
      </c>
    </row>
    <row r="636" spans="1:2">
      <c r="A636" s="218" t="str">
        <f ca="1">IF(ROW()-1&gt;NumDataColumns,"",MAX(INDIRECT(CONCATENATE("R",ROW(ResultColumnLabels[#Headers]),"C",COLUMN(),":R",ROW()-1,"C",COLUMN()),FALSE))+1)</f>
        <v/>
      </c>
      <c r="B636" s="218" t="str">
        <f ca="1">IF(ResultColumnLabels[[#This Row],[Data Value Number]]="","",INDEX(DataColumns[ColumnLabel],MATCH(ResultColumnLabels[[#This Row],[Data Value Number]],DataColumns[DVNum],0)))</f>
        <v/>
      </c>
    </row>
    <row r="637" spans="1:2">
      <c r="A637" s="218" t="str">
        <f ca="1">IF(ROW()-1&gt;NumDataColumns,"",MAX(INDIRECT(CONCATENATE("R",ROW(ResultColumnLabels[#Headers]),"C",COLUMN(),":R",ROW()-1,"C",COLUMN()),FALSE))+1)</f>
        <v/>
      </c>
      <c r="B637" s="218" t="str">
        <f ca="1">IF(ResultColumnLabels[[#This Row],[Data Value Number]]="","",INDEX(DataColumns[ColumnLabel],MATCH(ResultColumnLabels[[#This Row],[Data Value Number]],DataColumns[DVNum],0)))</f>
        <v/>
      </c>
    </row>
    <row r="638" spans="1:2">
      <c r="A638" s="218" t="str">
        <f ca="1">IF(ROW()-1&gt;NumDataColumns,"",MAX(INDIRECT(CONCATENATE("R",ROW(ResultColumnLabels[#Headers]),"C",COLUMN(),":R",ROW()-1,"C",COLUMN()),FALSE))+1)</f>
        <v/>
      </c>
      <c r="B638" s="218" t="str">
        <f ca="1">IF(ResultColumnLabels[[#This Row],[Data Value Number]]="","",INDEX(DataColumns[ColumnLabel],MATCH(ResultColumnLabels[[#This Row],[Data Value Number]],DataColumns[DVNum],0)))</f>
        <v/>
      </c>
    </row>
    <row r="639" spans="1:2">
      <c r="A639" s="218" t="str">
        <f ca="1">IF(ROW()-1&gt;NumDataColumns,"",MAX(INDIRECT(CONCATENATE("R",ROW(ResultColumnLabels[#Headers]),"C",COLUMN(),":R",ROW()-1,"C",COLUMN()),FALSE))+1)</f>
        <v/>
      </c>
      <c r="B639" s="218" t="str">
        <f ca="1">IF(ResultColumnLabels[[#This Row],[Data Value Number]]="","",INDEX(DataColumns[ColumnLabel],MATCH(ResultColumnLabels[[#This Row],[Data Value Number]],DataColumns[DVNum],0)))</f>
        <v/>
      </c>
    </row>
    <row r="640" spans="1:2">
      <c r="A640" s="218" t="str">
        <f ca="1">IF(ROW()-1&gt;NumDataColumns,"",MAX(INDIRECT(CONCATENATE("R",ROW(ResultColumnLabels[#Headers]),"C",COLUMN(),":R",ROW()-1,"C",COLUMN()),FALSE))+1)</f>
        <v/>
      </c>
      <c r="B640" s="218" t="str">
        <f ca="1">IF(ResultColumnLabels[[#This Row],[Data Value Number]]="","",INDEX(DataColumns[ColumnLabel],MATCH(ResultColumnLabels[[#This Row],[Data Value Number]],DataColumns[DVNum],0)))</f>
        <v/>
      </c>
    </row>
    <row r="641" spans="1:2">
      <c r="A641" s="218" t="str">
        <f ca="1">IF(ROW()-1&gt;NumDataColumns,"",MAX(INDIRECT(CONCATENATE("R",ROW(ResultColumnLabels[#Headers]),"C",COLUMN(),":R",ROW()-1,"C",COLUMN()),FALSE))+1)</f>
        <v/>
      </c>
      <c r="B641" s="218" t="str">
        <f ca="1">IF(ResultColumnLabels[[#This Row],[Data Value Number]]="","",INDEX(DataColumns[ColumnLabel],MATCH(ResultColumnLabels[[#This Row],[Data Value Number]],DataColumns[DVNum],0)))</f>
        <v/>
      </c>
    </row>
    <row r="642" spans="1:2">
      <c r="A642" s="218" t="str">
        <f ca="1">IF(ROW()-1&gt;NumDataColumns,"",MAX(INDIRECT(CONCATENATE("R",ROW(ResultColumnLabels[#Headers]),"C",COLUMN(),":R",ROW()-1,"C",COLUMN()),FALSE))+1)</f>
        <v/>
      </c>
      <c r="B642" s="218" t="str">
        <f ca="1">IF(ResultColumnLabels[[#This Row],[Data Value Number]]="","",INDEX(DataColumns[ColumnLabel],MATCH(ResultColumnLabels[[#This Row],[Data Value Number]],DataColumns[DVNum],0)))</f>
        <v/>
      </c>
    </row>
    <row r="643" spans="1:2">
      <c r="A643" s="218" t="str">
        <f ca="1">IF(ROW()-1&gt;NumDataColumns,"",MAX(INDIRECT(CONCATENATE("R",ROW(ResultColumnLabels[#Headers]),"C",COLUMN(),":R",ROW()-1,"C",COLUMN()),FALSE))+1)</f>
        <v/>
      </c>
      <c r="B643" s="218" t="str">
        <f ca="1">IF(ResultColumnLabels[[#This Row],[Data Value Number]]="","",INDEX(DataColumns[ColumnLabel],MATCH(ResultColumnLabels[[#This Row],[Data Value Number]],DataColumns[DVNum],0)))</f>
        <v/>
      </c>
    </row>
    <row r="644" spans="1:2">
      <c r="A644" s="218" t="str">
        <f ca="1">IF(ROW()-1&gt;NumDataColumns,"",MAX(INDIRECT(CONCATENATE("R",ROW(ResultColumnLabels[#Headers]),"C",COLUMN(),":R",ROW()-1,"C",COLUMN()),FALSE))+1)</f>
        <v/>
      </c>
      <c r="B644" s="218" t="str">
        <f ca="1">IF(ResultColumnLabels[[#This Row],[Data Value Number]]="","",INDEX(DataColumns[ColumnLabel],MATCH(ResultColumnLabels[[#This Row],[Data Value Number]],DataColumns[DVNum],0)))</f>
        <v/>
      </c>
    </row>
    <row r="645" spans="1:2">
      <c r="A645" s="218" t="str">
        <f ca="1">IF(ROW()-1&gt;NumDataColumns,"",MAX(INDIRECT(CONCATENATE("R",ROW(ResultColumnLabels[#Headers]),"C",COLUMN(),":R",ROW()-1,"C",COLUMN()),FALSE))+1)</f>
        <v/>
      </c>
      <c r="B645" s="218" t="str">
        <f ca="1">IF(ResultColumnLabels[[#This Row],[Data Value Number]]="","",INDEX(DataColumns[ColumnLabel],MATCH(ResultColumnLabels[[#This Row],[Data Value Number]],DataColumns[DVNum],0)))</f>
        <v/>
      </c>
    </row>
    <row r="646" spans="1:2">
      <c r="A646" s="218" t="str">
        <f ca="1">IF(ROW()-1&gt;NumDataColumns,"",MAX(INDIRECT(CONCATENATE("R",ROW(ResultColumnLabels[#Headers]),"C",COLUMN(),":R",ROW()-1,"C",COLUMN()),FALSE))+1)</f>
        <v/>
      </c>
      <c r="B646" s="218" t="str">
        <f ca="1">IF(ResultColumnLabels[[#This Row],[Data Value Number]]="","",INDEX(DataColumns[ColumnLabel],MATCH(ResultColumnLabels[[#This Row],[Data Value Number]],DataColumns[DVNum],0)))</f>
        <v/>
      </c>
    </row>
    <row r="647" spans="1:2">
      <c r="A647" s="218" t="str">
        <f ca="1">IF(ROW()-1&gt;NumDataColumns,"",MAX(INDIRECT(CONCATENATE("R",ROW(ResultColumnLabels[#Headers]),"C",COLUMN(),":R",ROW()-1,"C",COLUMN()),FALSE))+1)</f>
        <v/>
      </c>
      <c r="B647" s="218" t="str">
        <f ca="1">IF(ResultColumnLabels[[#This Row],[Data Value Number]]="","",INDEX(DataColumns[ColumnLabel],MATCH(ResultColumnLabels[[#This Row],[Data Value Number]],DataColumns[DVNum],0)))</f>
        <v/>
      </c>
    </row>
    <row r="648" spans="1:2">
      <c r="A648" s="218" t="str">
        <f ca="1">IF(ROW()-1&gt;NumDataColumns,"",MAX(INDIRECT(CONCATENATE("R",ROW(ResultColumnLabels[#Headers]),"C",COLUMN(),":R",ROW()-1,"C",COLUMN()),FALSE))+1)</f>
        <v/>
      </c>
      <c r="B648" s="218" t="str">
        <f ca="1">IF(ResultColumnLabels[[#This Row],[Data Value Number]]="","",INDEX(DataColumns[ColumnLabel],MATCH(ResultColumnLabels[[#This Row],[Data Value Number]],DataColumns[DVNum],0)))</f>
        <v/>
      </c>
    </row>
    <row r="649" spans="1:2">
      <c r="A649" s="218" t="str">
        <f ca="1">IF(ROW()-1&gt;NumDataColumns,"",MAX(INDIRECT(CONCATENATE("R",ROW(ResultColumnLabels[#Headers]),"C",COLUMN(),":R",ROW()-1,"C",COLUMN()),FALSE))+1)</f>
        <v/>
      </c>
      <c r="B649" s="218" t="str">
        <f ca="1">IF(ResultColumnLabels[[#This Row],[Data Value Number]]="","",INDEX(DataColumns[ColumnLabel],MATCH(ResultColumnLabels[[#This Row],[Data Value Number]],DataColumns[DVNum],0)))</f>
        <v/>
      </c>
    </row>
    <row r="650" spans="1:2">
      <c r="A650" s="218" t="str">
        <f ca="1">IF(ROW()-1&gt;NumDataColumns,"",MAX(INDIRECT(CONCATENATE("R",ROW(ResultColumnLabels[#Headers]),"C",COLUMN(),":R",ROW()-1,"C",COLUMN()),FALSE))+1)</f>
        <v/>
      </c>
      <c r="B650" s="218" t="str">
        <f ca="1">IF(ResultColumnLabels[[#This Row],[Data Value Number]]="","",INDEX(DataColumns[ColumnLabel],MATCH(ResultColumnLabels[[#This Row],[Data Value Number]],DataColumns[DVNum],0)))</f>
        <v/>
      </c>
    </row>
    <row r="651" spans="1:2">
      <c r="A651" s="218" t="str">
        <f ca="1">IF(ROW()-1&gt;NumDataColumns,"",MAX(INDIRECT(CONCATENATE("R",ROW(ResultColumnLabels[#Headers]),"C",COLUMN(),":R",ROW()-1,"C",COLUMN()),FALSE))+1)</f>
        <v/>
      </c>
      <c r="B651" s="218" t="str">
        <f ca="1">IF(ResultColumnLabels[[#This Row],[Data Value Number]]="","",INDEX(DataColumns[ColumnLabel],MATCH(ResultColumnLabels[[#This Row],[Data Value Number]],DataColumns[DVNum],0)))</f>
        <v/>
      </c>
    </row>
    <row r="652" spans="1:2">
      <c r="A652" s="218" t="str">
        <f ca="1">IF(ROW()-1&gt;NumDataColumns,"",MAX(INDIRECT(CONCATENATE("R",ROW(ResultColumnLabels[#Headers]),"C",COLUMN(),":R",ROW()-1,"C",COLUMN()),FALSE))+1)</f>
        <v/>
      </c>
      <c r="B652" s="218" t="str">
        <f ca="1">IF(ResultColumnLabels[[#This Row],[Data Value Number]]="","",INDEX(DataColumns[ColumnLabel],MATCH(ResultColumnLabels[[#This Row],[Data Value Number]],DataColumns[DVNum],0)))</f>
        <v/>
      </c>
    </row>
    <row r="653" spans="1:2">
      <c r="A653" s="218" t="str">
        <f ca="1">IF(ROW()-1&gt;NumDataColumns,"",MAX(INDIRECT(CONCATENATE("R",ROW(ResultColumnLabels[#Headers]),"C",COLUMN(),":R",ROW()-1,"C",COLUMN()),FALSE))+1)</f>
        <v/>
      </c>
      <c r="B653" s="218" t="str">
        <f ca="1">IF(ResultColumnLabels[[#This Row],[Data Value Number]]="","",INDEX(DataColumns[ColumnLabel],MATCH(ResultColumnLabels[[#This Row],[Data Value Number]],DataColumns[DVNum],0)))</f>
        <v/>
      </c>
    </row>
    <row r="654" spans="1:2">
      <c r="A654" s="218" t="str">
        <f ca="1">IF(ROW()-1&gt;NumDataColumns,"",MAX(INDIRECT(CONCATENATE("R",ROW(ResultColumnLabels[#Headers]),"C",COLUMN(),":R",ROW()-1,"C",COLUMN()),FALSE))+1)</f>
        <v/>
      </c>
      <c r="B654" s="218" t="str">
        <f ca="1">IF(ResultColumnLabels[[#This Row],[Data Value Number]]="","",INDEX(DataColumns[ColumnLabel],MATCH(ResultColumnLabels[[#This Row],[Data Value Number]],DataColumns[DVNum],0)))</f>
        <v/>
      </c>
    </row>
    <row r="655" spans="1:2">
      <c r="A655" s="218" t="str">
        <f ca="1">IF(ROW()-1&gt;NumDataColumns,"",MAX(INDIRECT(CONCATENATE("R",ROW(ResultColumnLabels[#Headers]),"C",COLUMN(),":R",ROW()-1,"C",COLUMN()),FALSE))+1)</f>
        <v/>
      </c>
      <c r="B655" s="218" t="str">
        <f ca="1">IF(ResultColumnLabels[[#This Row],[Data Value Number]]="","",INDEX(DataColumns[ColumnLabel],MATCH(ResultColumnLabels[[#This Row],[Data Value Number]],DataColumns[DVNum],0)))</f>
        <v/>
      </c>
    </row>
    <row r="656" spans="1:2">
      <c r="A656" s="218" t="str">
        <f ca="1">IF(ROW()-1&gt;NumDataColumns,"",MAX(INDIRECT(CONCATENATE("R",ROW(ResultColumnLabels[#Headers]),"C",COLUMN(),":R",ROW()-1,"C",COLUMN()),FALSE))+1)</f>
        <v/>
      </c>
      <c r="B656" s="218" t="str">
        <f ca="1">IF(ResultColumnLabels[[#This Row],[Data Value Number]]="","",INDEX(DataColumns[ColumnLabel],MATCH(ResultColumnLabels[[#This Row],[Data Value Number]],DataColumns[DVNum],0)))</f>
        <v/>
      </c>
    </row>
    <row r="657" spans="1:2">
      <c r="A657" s="218" t="str">
        <f ca="1">IF(ROW()-1&gt;NumDataColumns,"",MAX(INDIRECT(CONCATENATE("R",ROW(ResultColumnLabels[#Headers]),"C",COLUMN(),":R",ROW()-1,"C",COLUMN()),FALSE))+1)</f>
        <v/>
      </c>
      <c r="B657" s="218" t="str">
        <f ca="1">IF(ResultColumnLabels[[#This Row],[Data Value Number]]="","",INDEX(DataColumns[ColumnLabel],MATCH(ResultColumnLabels[[#This Row],[Data Value Number]],DataColumns[DVNum],0)))</f>
        <v/>
      </c>
    </row>
    <row r="658" spans="1:2">
      <c r="A658" s="218" t="str">
        <f ca="1">IF(ROW()-1&gt;NumDataColumns,"",MAX(INDIRECT(CONCATENATE("R",ROW(ResultColumnLabels[#Headers]),"C",COLUMN(),":R",ROW()-1,"C",COLUMN()),FALSE))+1)</f>
        <v/>
      </c>
      <c r="B658" s="218" t="str">
        <f ca="1">IF(ResultColumnLabels[[#This Row],[Data Value Number]]="","",INDEX(DataColumns[ColumnLabel],MATCH(ResultColumnLabels[[#This Row],[Data Value Number]],DataColumns[DVNum],0)))</f>
        <v/>
      </c>
    </row>
    <row r="659" spans="1:2">
      <c r="A659" s="218" t="str">
        <f ca="1">IF(ROW()-1&gt;NumDataColumns,"",MAX(INDIRECT(CONCATENATE("R",ROW(ResultColumnLabels[#Headers]),"C",COLUMN(),":R",ROW()-1,"C",COLUMN()),FALSE))+1)</f>
        <v/>
      </c>
      <c r="B659" s="218" t="str">
        <f ca="1">IF(ResultColumnLabels[[#This Row],[Data Value Number]]="","",INDEX(DataColumns[ColumnLabel],MATCH(ResultColumnLabels[[#This Row],[Data Value Number]],DataColumns[DVNum],0)))</f>
        <v/>
      </c>
    </row>
    <row r="660" spans="1:2">
      <c r="A660" s="218" t="str">
        <f ca="1">IF(ROW()-1&gt;NumDataColumns,"",MAX(INDIRECT(CONCATENATE("R",ROW(ResultColumnLabels[#Headers]),"C",COLUMN(),":R",ROW()-1,"C",COLUMN()),FALSE))+1)</f>
        <v/>
      </c>
      <c r="B660" s="218" t="str">
        <f ca="1">IF(ResultColumnLabels[[#This Row],[Data Value Number]]="","",INDEX(DataColumns[ColumnLabel],MATCH(ResultColumnLabels[[#This Row],[Data Value Number]],DataColumns[DVNum],0)))</f>
        <v/>
      </c>
    </row>
    <row r="661" spans="1:2">
      <c r="A661" s="218" t="str">
        <f ca="1">IF(ROW()-1&gt;NumDataColumns,"",MAX(INDIRECT(CONCATENATE("R",ROW(ResultColumnLabels[#Headers]),"C",COLUMN(),":R",ROW()-1,"C",COLUMN()),FALSE))+1)</f>
        <v/>
      </c>
      <c r="B661" s="218" t="str">
        <f ca="1">IF(ResultColumnLabels[[#This Row],[Data Value Number]]="","",INDEX(DataColumns[ColumnLabel],MATCH(ResultColumnLabels[[#This Row],[Data Value Number]],DataColumns[DVNum],0)))</f>
        <v/>
      </c>
    </row>
    <row r="662" spans="1:2">
      <c r="A662" s="218" t="str">
        <f ca="1">IF(ROW()-1&gt;NumDataColumns,"",MAX(INDIRECT(CONCATENATE("R",ROW(ResultColumnLabels[#Headers]),"C",COLUMN(),":R",ROW()-1,"C",COLUMN()),FALSE))+1)</f>
        <v/>
      </c>
      <c r="B662" s="218" t="str">
        <f ca="1">IF(ResultColumnLabels[[#This Row],[Data Value Number]]="","",INDEX(DataColumns[ColumnLabel],MATCH(ResultColumnLabels[[#This Row],[Data Value Number]],DataColumns[DVNum],0)))</f>
        <v/>
      </c>
    </row>
    <row r="663" spans="1:2">
      <c r="A663" s="218" t="str">
        <f ca="1">IF(ROW()-1&gt;NumDataColumns,"",MAX(INDIRECT(CONCATENATE("R",ROW(ResultColumnLabels[#Headers]),"C",COLUMN(),":R",ROW()-1,"C",COLUMN()),FALSE))+1)</f>
        <v/>
      </c>
      <c r="B663" s="218" t="str">
        <f ca="1">IF(ResultColumnLabels[[#This Row],[Data Value Number]]="","",INDEX(DataColumns[ColumnLabel],MATCH(ResultColumnLabels[[#This Row],[Data Value Number]],DataColumns[DVNum],0)))</f>
        <v/>
      </c>
    </row>
    <row r="664" spans="1:2">
      <c r="A664" s="218" t="str">
        <f ca="1">IF(ROW()-1&gt;NumDataColumns,"",MAX(INDIRECT(CONCATENATE("R",ROW(ResultColumnLabels[#Headers]),"C",COLUMN(),":R",ROW()-1,"C",COLUMN()),FALSE))+1)</f>
        <v/>
      </c>
      <c r="B664" s="218" t="str">
        <f ca="1">IF(ResultColumnLabels[[#This Row],[Data Value Number]]="","",INDEX(DataColumns[ColumnLabel],MATCH(ResultColumnLabels[[#This Row],[Data Value Number]],DataColumns[DVNum],0)))</f>
        <v/>
      </c>
    </row>
    <row r="665" spans="1:2">
      <c r="A665" s="218" t="str">
        <f ca="1">IF(ROW()-1&gt;NumDataColumns,"",MAX(INDIRECT(CONCATENATE("R",ROW(ResultColumnLabels[#Headers]),"C",COLUMN(),":R",ROW()-1,"C",COLUMN()),FALSE))+1)</f>
        <v/>
      </c>
      <c r="B665" s="218" t="str">
        <f ca="1">IF(ResultColumnLabels[[#This Row],[Data Value Number]]="","",INDEX(DataColumns[ColumnLabel],MATCH(ResultColumnLabels[[#This Row],[Data Value Number]],DataColumns[DVNum],0)))</f>
        <v/>
      </c>
    </row>
    <row r="666" spans="1:2">
      <c r="A666" s="218" t="str">
        <f ca="1">IF(ROW()-1&gt;NumDataColumns,"",MAX(INDIRECT(CONCATENATE("R",ROW(ResultColumnLabels[#Headers]),"C",COLUMN(),":R",ROW()-1,"C",COLUMN()),FALSE))+1)</f>
        <v/>
      </c>
      <c r="B666" s="218" t="str">
        <f ca="1">IF(ResultColumnLabels[[#This Row],[Data Value Number]]="","",INDEX(DataColumns[ColumnLabel],MATCH(ResultColumnLabels[[#This Row],[Data Value Number]],DataColumns[DVNum],0)))</f>
        <v/>
      </c>
    </row>
    <row r="667" spans="1:2">
      <c r="A667" s="218" t="str">
        <f ca="1">IF(ROW()-1&gt;NumDataColumns,"",MAX(INDIRECT(CONCATENATE("R",ROW(ResultColumnLabels[#Headers]),"C",COLUMN(),":R",ROW()-1,"C",COLUMN()),FALSE))+1)</f>
        <v/>
      </c>
      <c r="B667" s="218" t="str">
        <f ca="1">IF(ResultColumnLabels[[#This Row],[Data Value Number]]="","",INDEX(DataColumns[ColumnLabel],MATCH(ResultColumnLabels[[#This Row],[Data Value Number]],DataColumns[DVNum],0)))</f>
        <v/>
      </c>
    </row>
    <row r="668" spans="1:2">
      <c r="A668" s="218" t="str">
        <f ca="1">IF(ROW()-1&gt;NumDataColumns,"",MAX(INDIRECT(CONCATENATE("R",ROW(ResultColumnLabels[#Headers]),"C",COLUMN(),":R",ROW()-1,"C",COLUMN()),FALSE))+1)</f>
        <v/>
      </c>
      <c r="B668" s="218" t="str">
        <f ca="1">IF(ResultColumnLabels[[#This Row],[Data Value Number]]="","",INDEX(DataColumns[ColumnLabel],MATCH(ResultColumnLabels[[#This Row],[Data Value Number]],DataColumns[DVNum],0)))</f>
        <v/>
      </c>
    </row>
    <row r="669" spans="1:2">
      <c r="A669" s="218" t="str">
        <f ca="1">IF(ROW()-1&gt;NumDataColumns,"",MAX(INDIRECT(CONCATENATE("R",ROW(ResultColumnLabels[#Headers]),"C",COLUMN(),":R",ROW()-1,"C",COLUMN()),FALSE))+1)</f>
        <v/>
      </c>
      <c r="B669" s="218" t="str">
        <f ca="1">IF(ResultColumnLabels[[#This Row],[Data Value Number]]="","",INDEX(DataColumns[ColumnLabel],MATCH(ResultColumnLabels[[#This Row],[Data Value Number]],DataColumns[DVNum],0)))</f>
        <v/>
      </c>
    </row>
    <row r="670" spans="1:2">
      <c r="A670" s="218" t="str">
        <f ca="1">IF(ROW()-1&gt;NumDataColumns,"",MAX(INDIRECT(CONCATENATE("R",ROW(ResultColumnLabels[#Headers]),"C",COLUMN(),":R",ROW()-1,"C",COLUMN()),FALSE))+1)</f>
        <v/>
      </c>
      <c r="B670" s="218" t="str">
        <f ca="1">IF(ResultColumnLabels[[#This Row],[Data Value Number]]="","",INDEX(DataColumns[ColumnLabel],MATCH(ResultColumnLabels[[#This Row],[Data Value Number]],DataColumns[DVNum],0)))</f>
        <v/>
      </c>
    </row>
    <row r="671" spans="1:2">
      <c r="A671" s="218" t="str">
        <f ca="1">IF(ROW()-1&gt;NumDataColumns,"",MAX(INDIRECT(CONCATENATE("R",ROW(ResultColumnLabels[#Headers]),"C",COLUMN(),":R",ROW()-1,"C",COLUMN()),FALSE))+1)</f>
        <v/>
      </c>
      <c r="B671" s="218" t="str">
        <f ca="1">IF(ResultColumnLabels[[#This Row],[Data Value Number]]="","",INDEX(DataColumns[ColumnLabel],MATCH(ResultColumnLabels[[#This Row],[Data Value Number]],DataColumns[DVNum],0)))</f>
        <v/>
      </c>
    </row>
    <row r="672" spans="1:2">
      <c r="A672" s="218" t="str">
        <f ca="1">IF(ROW()-1&gt;NumDataColumns,"",MAX(INDIRECT(CONCATENATE("R",ROW(ResultColumnLabels[#Headers]),"C",COLUMN(),":R",ROW()-1,"C",COLUMN()),FALSE))+1)</f>
        <v/>
      </c>
      <c r="B672" s="218" t="str">
        <f ca="1">IF(ResultColumnLabels[[#This Row],[Data Value Number]]="","",INDEX(DataColumns[ColumnLabel],MATCH(ResultColumnLabels[[#This Row],[Data Value Number]],DataColumns[DVNum],0)))</f>
        <v/>
      </c>
    </row>
    <row r="673" spans="1:2">
      <c r="A673" s="218" t="str">
        <f ca="1">IF(ROW()-1&gt;NumDataColumns,"",MAX(INDIRECT(CONCATENATE("R",ROW(ResultColumnLabels[#Headers]),"C",COLUMN(),":R",ROW()-1,"C",COLUMN()),FALSE))+1)</f>
        <v/>
      </c>
      <c r="B673" s="218" t="str">
        <f ca="1">IF(ResultColumnLabels[[#This Row],[Data Value Number]]="","",INDEX(DataColumns[ColumnLabel],MATCH(ResultColumnLabels[[#This Row],[Data Value Number]],DataColumns[DVNum],0)))</f>
        <v/>
      </c>
    </row>
    <row r="674" spans="1:2">
      <c r="A674" s="218" t="str">
        <f ca="1">IF(ROW()-1&gt;NumDataColumns,"",MAX(INDIRECT(CONCATENATE("R",ROW(ResultColumnLabels[#Headers]),"C",COLUMN(),":R",ROW()-1,"C",COLUMN()),FALSE))+1)</f>
        <v/>
      </c>
      <c r="B674" s="218" t="str">
        <f ca="1">IF(ResultColumnLabels[[#This Row],[Data Value Number]]="","",INDEX(DataColumns[ColumnLabel],MATCH(ResultColumnLabels[[#This Row],[Data Value Number]],DataColumns[DVNum],0)))</f>
        <v/>
      </c>
    </row>
    <row r="675" spans="1:2">
      <c r="A675" s="218" t="str">
        <f ca="1">IF(ROW()-1&gt;NumDataColumns,"",MAX(INDIRECT(CONCATENATE("R",ROW(ResultColumnLabels[#Headers]),"C",COLUMN(),":R",ROW()-1,"C",COLUMN()),FALSE))+1)</f>
        <v/>
      </c>
      <c r="B675" s="218" t="str">
        <f ca="1">IF(ResultColumnLabels[[#This Row],[Data Value Number]]="","",INDEX(DataColumns[ColumnLabel],MATCH(ResultColumnLabels[[#This Row],[Data Value Number]],DataColumns[DVNum],0)))</f>
        <v/>
      </c>
    </row>
    <row r="676" spans="1:2">
      <c r="A676" s="218" t="str">
        <f ca="1">IF(ROW()-1&gt;NumDataColumns,"",MAX(INDIRECT(CONCATENATE("R",ROW(ResultColumnLabels[#Headers]),"C",COLUMN(),":R",ROW()-1,"C",COLUMN()),FALSE))+1)</f>
        <v/>
      </c>
      <c r="B676" s="218" t="str">
        <f ca="1">IF(ResultColumnLabels[[#This Row],[Data Value Number]]="","",INDEX(DataColumns[ColumnLabel],MATCH(ResultColumnLabels[[#This Row],[Data Value Number]],DataColumns[DVNum],0)))</f>
        <v/>
      </c>
    </row>
    <row r="677" spans="1:2">
      <c r="A677" s="218" t="str">
        <f ca="1">IF(ROW()-1&gt;NumDataColumns,"",MAX(INDIRECT(CONCATENATE("R",ROW(ResultColumnLabels[#Headers]),"C",COLUMN(),":R",ROW()-1,"C",COLUMN()),FALSE))+1)</f>
        <v/>
      </c>
      <c r="B677" s="218" t="str">
        <f ca="1">IF(ResultColumnLabels[[#This Row],[Data Value Number]]="","",INDEX(DataColumns[ColumnLabel],MATCH(ResultColumnLabels[[#This Row],[Data Value Number]],DataColumns[DVNum],0)))</f>
        <v/>
      </c>
    </row>
    <row r="678" spans="1:2">
      <c r="A678" s="218" t="str">
        <f ca="1">IF(ROW()-1&gt;NumDataColumns,"",MAX(INDIRECT(CONCATENATE("R",ROW(ResultColumnLabels[#Headers]),"C",COLUMN(),":R",ROW()-1,"C",COLUMN()),FALSE))+1)</f>
        <v/>
      </c>
      <c r="B678" s="218" t="str">
        <f ca="1">IF(ResultColumnLabels[[#This Row],[Data Value Number]]="","",INDEX(DataColumns[ColumnLabel],MATCH(ResultColumnLabels[[#This Row],[Data Value Number]],DataColumns[DVNum],0)))</f>
        <v/>
      </c>
    </row>
    <row r="679" spans="1:2">
      <c r="A679" s="218" t="str">
        <f ca="1">IF(ROW()-1&gt;NumDataColumns,"",MAX(INDIRECT(CONCATENATE("R",ROW(ResultColumnLabels[#Headers]),"C",COLUMN(),":R",ROW()-1,"C",COLUMN()),FALSE))+1)</f>
        <v/>
      </c>
      <c r="B679" s="218" t="str">
        <f ca="1">IF(ResultColumnLabels[[#This Row],[Data Value Number]]="","",INDEX(DataColumns[ColumnLabel],MATCH(ResultColumnLabels[[#This Row],[Data Value Number]],DataColumns[DVNum],0)))</f>
        <v/>
      </c>
    </row>
    <row r="680" spans="1:2">
      <c r="A680" s="218" t="str">
        <f ca="1">IF(ROW()-1&gt;NumDataColumns,"",MAX(INDIRECT(CONCATENATE("R",ROW(ResultColumnLabels[#Headers]),"C",COLUMN(),":R",ROW()-1,"C",COLUMN()),FALSE))+1)</f>
        <v/>
      </c>
      <c r="B680" s="218" t="str">
        <f ca="1">IF(ResultColumnLabels[[#This Row],[Data Value Number]]="","",INDEX(DataColumns[ColumnLabel],MATCH(ResultColumnLabels[[#This Row],[Data Value Number]],DataColumns[DVNum],0)))</f>
        <v/>
      </c>
    </row>
    <row r="681" spans="1:2">
      <c r="A681" s="218" t="str">
        <f ca="1">IF(ROW()-1&gt;NumDataColumns,"",MAX(INDIRECT(CONCATENATE("R",ROW(ResultColumnLabels[#Headers]),"C",COLUMN(),":R",ROW()-1,"C",COLUMN()),FALSE))+1)</f>
        <v/>
      </c>
      <c r="B681" s="218" t="str">
        <f ca="1">IF(ResultColumnLabels[[#This Row],[Data Value Number]]="","",INDEX(DataColumns[ColumnLabel],MATCH(ResultColumnLabels[[#This Row],[Data Value Number]],DataColumns[DVNum],0)))</f>
        <v/>
      </c>
    </row>
    <row r="682" spans="1:2">
      <c r="A682" s="218" t="str">
        <f ca="1">IF(ROW()-1&gt;NumDataColumns,"",MAX(INDIRECT(CONCATENATE("R",ROW(ResultColumnLabels[#Headers]),"C",COLUMN(),":R",ROW()-1,"C",COLUMN()),FALSE))+1)</f>
        <v/>
      </c>
      <c r="B682" s="218" t="str">
        <f ca="1">IF(ResultColumnLabels[[#This Row],[Data Value Number]]="","",INDEX(DataColumns[ColumnLabel],MATCH(ResultColumnLabels[[#This Row],[Data Value Number]],DataColumns[DVNum],0)))</f>
        <v/>
      </c>
    </row>
    <row r="683" spans="1:2">
      <c r="A683" s="218" t="str">
        <f ca="1">IF(ROW()-1&gt;NumDataColumns,"",MAX(INDIRECT(CONCATENATE("R",ROW(ResultColumnLabels[#Headers]),"C",COLUMN(),":R",ROW()-1,"C",COLUMN()),FALSE))+1)</f>
        <v/>
      </c>
      <c r="B683" s="218" t="str">
        <f ca="1">IF(ResultColumnLabels[[#This Row],[Data Value Number]]="","",INDEX(DataColumns[ColumnLabel],MATCH(ResultColumnLabels[[#This Row],[Data Value Number]],DataColumns[DVNum],0)))</f>
        <v/>
      </c>
    </row>
    <row r="684" spans="1:2">
      <c r="A684" s="218" t="str">
        <f ca="1">IF(ROW()-1&gt;NumDataColumns,"",MAX(INDIRECT(CONCATENATE("R",ROW(ResultColumnLabels[#Headers]),"C",COLUMN(),":R",ROW()-1,"C",COLUMN()),FALSE))+1)</f>
        <v/>
      </c>
      <c r="B684" s="218" t="str">
        <f ca="1">IF(ResultColumnLabels[[#This Row],[Data Value Number]]="","",INDEX(DataColumns[ColumnLabel],MATCH(ResultColumnLabels[[#This Row],[Data Value Number]],DataColumns[DVNum],0)))</f>
        <v/>
      </c>
    </row>
    <row r="685" spans="1:2">
      <c r="A685" s="218" t="str">
        <f ca="1">IF(ROW()-1&gt;NumDataColumns,"",MAX(INDIRECT(CONCATENATE("R",ROW(ResultColumnLabels[#Headers]),"C",COLUMN(),":R",ROW()-1,"C",COLUMN()),FALSE))+1)</f>
        <v/>
      </c>
      <c r="B685" s="218" t="str">
        <f ca="1">IF(ResultColumnLabels[[#This Row],[Data Value Number]]="","",INDEX(DataColumns[ColumnLabel],MATCH(ResultColumnLabels[[#This Row],[Data Value Number]],DataColumns[DVNum],0)))</f>
        <v/>
      </c>
    </row>
    <row r="686" spans="1:2">
      <c r="A686" s="218" t="str">
        <f ca="1">IF(ROW()-1&gt;NumDataColumns,"",MAX(INDIRECT(CONCATENATE("R",ROW(ResultColumnLabels[#Headers]),"C",COLUMN(),":R",ROW()-1,"C",COLUMN()),FALSE))+1)</f>
        <v/>
      </c>
      <c r="B686" s="218" t="str">
        <f ca="1">IF(ResultColumnLabels[[#This Row],[Data Value Number]]="","",INDEX(DataColumns[ColumnLabel],MATCH(ResultColumnLabels[[#This Row],[Data Value Number]],DataColumns[DVNum],0)))</f>
        <v/>
      </c>
    </row>
    <row r="687" spans="1:2">
      <c r="A687" s="218" t="str">
        <f ca="1">IF(ROW()-1&gt;NumDataColumns,"",MAX(INDIRECT(CONCATENATE("R",ROW(ResultColumnLabels[#Headers]),"C",COLUMN(),":R",ROW()-1,"C",COLUMN()),FALSE))+1)</f>
        <v/>
      </c>
      <c r="B687" s="218" t="str">
        <f ca="1">IF(ResultColumnLabels[[#This Row],[Data Value Number]]="","",INDEX(DataColumns[ColumnLabel],MATCH(ResultColumnLabels[[#This Row],[Data Value Number]],DataColumns[DVNum],0)))</f>
        <v/>
      </c>
    </row>
    <row r="688" spans="1:2">
      <c r="A688" s="218" t="str">
        <f ca="1">IF(ROW()-1&gt;NumDataColumns,"",MAX(INDIRECT(CONCATENATE("R",ROW(ResultColumnLabels[#Headers]),"C",COLUMN(),":R",ROW()-1,"C",COLUMN()),FALSE))+1)</f>
        <v/>
      </c>
      <c r="B688" s="218" t="str">
        <f ca="1">IF(ResultColumnLabels[[#This Row],[Data Value Number]]="","",INDEX(DataColumns[ColumnLabel],MATCH(ResultColumnLabels[[#This Row],[Data Value Number]],DataColumns[DVNum],0)))</f>
        <v/>
      </c>
    </row>
    <row r="689" spans="1:2">
      <c r="A689" s="218" t="str">
        <f ca="1">IF(ROW()-1&gt;NumDataColumns,"",MAX(INDIRECT(CONCATENATE("R",ROW(ResultColumnLabels[#Headers]),"C",COLUMN(),":R",ROW()-1,"C",COLUMN()),FALSE))+1)</f>
        <v/>
      </c>
      <c r="B689" s="218" t="str">
        <f ca="1">IF(ResultColumnLabels[[#This Row],[Data Value Number]]="","",INDEX(DataColumns[ColumnLabel],MATCH(ResultColumnLabels[[#This Row],[Data Value Number]],DataColumns[DVNum],0)))</f>
        <v/>
      </c>
    </row>
    <row r="690" spans="1:2">
      <c r="A690" s="218" t="str">
        <f ca="1">IF(ROW()-1&gt;NumDataColumns,"",MAX(INDIRECT(CONCATENATE("R",ROW(ResultColumnLabels[#Headers]),"C",COLUMN(),":R",ROW()-1,"C",COLUMN()),FALSE))+1)</f>
        <v/>
      </c>
      <c r="B690" s="218" t="str">
        <f ca="1">IF(ResultColumnLabels[[#This Row],[Data Value Number]]="","",INDEX(DataColumns[ColumnLabel],MATCH(ResultColumnLabels[[#This Row],[Data Value Number]],DataColumns[DVNum],0)))</f>
        <v/>
      </c>
    </row>
    <row r="691" spans="1:2">
      <c r="A691" s="218" t="str">
        <f ca="1">IF(ROW()-1&gt;NumDataColumns,"",MAX(INDIRECT(CONCATENATE("R",ROW(ResultColumnLabels[#Headers]),"C",COLUMN(),":R",ROW()-1,"C",COLUMN()),FALSE))+1)</f>
        <v/>
      </c>
      <c r="B691" s="218" t="str">
        <f ca="1">IF(ResultColumnLabels[[#This Row],[Data Value Number]]="","",INDEX(DataColumns[ColumnLabel],MATCH(ResultColumnLabels[[#This Row],[Data Value Number]],DataColumns[DVNum],0)))</f>
        <v/>
      </c>
    </row>
    <row r="692" spans="1:2">
      <c r="A692" s="218" t="str">
        <f ca="1">IF(ROW()-1&gt;NumDataColumns,"",MAX(INDIRECT(CONCATENATE("R",ROW(ResultColumnLabels[#Headers]),"C",COLUMN(),":R",ROW()-1,"C",COLUMN()),FALSE))+1)</f>
        <v/>
      </c>
      <c r="B692" s="218" t="str">
        <f ca="1">IF(ResultColumnLabels[[#This Row],[Data Value Number]]="","",INDEX(DataColumns[ColumnLabel],MATCH(ResultColumnLabels[[#This Row],[Data Value Number]],DataColumns[DVNum],0)))</f>
        <v/>
      </c>
    </row>
    <row r="693" spans="1:2">
      <c r="A693" s="218" t="str">
        <f ca="1">IF(ROW()-1&gt;NumDataColumns,"",MAX(INDIRECT(CONCATENATE("R",ROW(ResultColumnLabels[#Headers]),"C",COLUMN(),":R",ROW()-1,"C",COLUMN()),FALSE))+1)</f>
        <v/>
      </c>
      <c r="B693" s="218" t="str">
        <f ca="1">IF(ResultColumnLabels[[#This Row],[Data Value Number]]="","",INDEX(DataColumns[ColumnLabel],MATCH(ResultColumnLabels[[#This Row],[Data Value Number]],DataColumns[DVNum],0)))</f>
        <v/>
      </c>
    </row>
    <row r="694" spans="1:2">
      <c r="A694" s="218" t="str">
        <f ca="1">IF(ROW()-1&gt;NumDataColumns,"",MAX(INDIRECT(CONCATENATE("R",ROW(ResultColumnLabels[#Headers]),"C",COLUMN(),":R",ROW()-1,"C",COLUMN()),FALSE))+1)</f>
        <v/>
      </c>
      <c r="B694" s="218" t="str">
        <f ca="1">IF(ResultColumnLabels[[#This Row],[Data Value Number]]="","",INDEX(DataColumns[ColumnLabel],MATCH(ResultColumnLabels[[#This Row],[Data Value Number]],DataColumns[DVNum],0)))</f>
        <v/>
      </c>
    </row>
    <row r="695" spans="1:2">
      <c r="A695" s="218" t="str">
        <f ca="1">IF(ROW()-1&gt;NumDataColumns,"",MAX(INDIRECT(CONCATENATE("R",ROW(ResultColumnLabels[#Headers]),"C",COLUMN(),":R",ROW()-1,"C",COLUMN()),FALSE))+1)</f>
        <v/>
      </c>
      <c r="B695" s="218" t="str">
        <f ca="1">IF(ResultColumnLabels[[#This Row],[Data Value Number]]="","",INDEX(DataColumns[ColumnLabel],MATCH(ResultColumnLabels[[#This Row],[Data Value Number]],DataColumns[DVNum],0)))</f>
        <v/>
      </c>
    </row>
    <row r="696" spans="1:2">
      <c r="A696" s="218" t="str">
        <f ca="1">IF(ROW()-1&gt;NumDataColumns,"",MAX(INDIRECT(CONCATENATE("R",ROW(ResultColumnLabels[#Headers]),"C",COLUMN(),":R",ROW()-1,"C",COLUMN()),FALSE))+1)</f>
        <v/>
      </c>
      <c r="B696" s="218" t="str">
        <f ca="1">IF(ResultColumnLabels[[#This Row],[Data Value Number]]="","",INDEX(DataColumns[ColumnLabel],MATCH(ResultColumnLabels[[#This Row],[Data Value Number]],DataColumns[DVNum],0)))</f>
        <v/>
      </c>
    </row>
    <row r="697" spans="1:2">
      <c r="A697" s="218" t="str">
        <f ca="1">IF(ROW()-1&gt;NumDataColumns,"",MAX(INDIRECT(CONCATENATE("R",ROW(ResultColumnLabels[#Headers]),"C",COLUMN(),":R",ROW()-1,"C",COLUMN()),FALSE))+1)</f>
        <v/>
      </c>
      <c r="B697" s="218" t="str">
        <f ca="1">IF(ResultColumnLabels[[#This Row],[Data Value Number]]="","",INDEX(DataColumns[ColumnLabel],MATCH(ResultColumnLabels[[#This Row],[Data Value Number]],DataColumns[DVNum],0)))</f>
        <v/>
      </c>
    </row>
    <row r="698" spans="1:2">
      <c r="A698" s="218" t="str">
        <f ca="1">IF(ROW()-1&gt;NumDataColumns,"",MAX(INDIRECT(CONCATENATE("R",ROW(ResultColumnLabels[#Headers]),"C",COLUMN(),":R",ROW()-1,"C",COLUMN()),FALSE))+1)</f>
        <v/>
      </c>
      <c r="B698" s="218" t="str">
        <f ca="1">IF(ResultColumnLabels[[#This Row],[Data Value Number]]="","",INDEX(DataColumns[ColumnLabel],MATCH(ResultColumnLabels[[#This Row],[Data Value Number]],DataColumns[DVNum],0)))</f>
        <v/>
      </c>
    </row>
    <row r="699" spans="1:2">
      <c r="A699" s="218" t="str">
        <f ca="1">IF(ROW()-1&gt;NumDataColumns,"",MAX(INDIRECT(CONCATENATE("R",ROW(ResultColumnLabels[#Headers]),"C",COLUMN(),":R",ROW()-1,"C",COLUMN()),FALSE))+1)</f>
        <v/>
      </c>
      <c r="B699" s="218" t="str">
        <f ca="1">IF(ResultColumnLabels[[#This Row],[Data Value Number]]="","",INDEX(DataColumns[ColumnLabel],MATCH(ResultColumnLabels[[#This Row],[Data Value Number]],DataColumns[DVNum],0)))</f>
        <v/>
      </c>
    </row>
    <row r="700" spans="1:2">
      <c r="A700" s="218" t="str">
        <f ca="1">IF(ROW()-1&gt;NumDataColumns,"",MAX(INDIRECT(CONCATENATE("R",ROW(ResultColumnLabels[#Headers]),"C",COLUMN(),":R",ROW()-1,"C",COLUMN()),FALSE))+1)</f>
        <v/>
      </c>
      <c r="B700" s="218" t="str">
        <f ca="1">IF(ResultColumnLabels[[#This Row],[Data Value Number]]="","",INDEX(DataColumns[ColumnLabel],MATCH(ResultColumnLabels[[#This Row],[Data Value Number]],DataColumns[DVNum],0)))</f>
        <v/>
      </c>
    </row>
    <row r="701" spans="1:2">
      <c r="A701" s="218" t="str">
        <f ca="1">IF(ROW()-1&gt;NumDataColumns,"",MAX(INDIRECT(CONCATENATE("R",ROW(ResultColumnLabels[#Headers]),"C",COLUMN(),":R",ROW()-1,"C",COLUMN()),FALSE))+1)</f>
        <v/>
      </c>
      <c r="B701" s="218" t="str">
        <f ca="1">IF(ResultColumnLabels[[#This Row],[Data Value Number]]="","",INDEX(DataColumns[ColumnLabel],MATCH(ResultColumnLabels[[#This Row],[Data Value Number]],DataColumns[DVNum],0)))</f>
        <v/>
      </c>
    </row>
    <row r="702" spans="1:2">
      <c r="A702" s="218" t="str">
        <f ca="1">IF(ROW()-1&gt;NumDataColumns,"",MAX(INDIRECT(CONCATENATE("R",ROW(ResultColumnLabels[#Headers]),"C",COLUMN(),":R",ROW()-1,"C",COLUMN()),FALSE))+1)</f>
        <v/>
      </c>
      <c r="B702" s="218" t="str">
        <f ca="1">IF(ResultColumnLabels[[#This Row],[Data Value Number]]="","",INDEX(DataColumns[ColumnLabel],MATCH(ResultColumnLabels[[#This Row],[Data Value Number]],DataColumns[DVNum],0)))</f>
        <v/>
      </c>
    </row>
    <row r="703" spans="1:2">
      <c r="A703" s="218" t="str">
        <f ca="1">IF(ROW()-1&gt;NumDataColumns,"",MAX(INDIRECT(CONCATENATE("R",ROW(ResultColumnLabels[#Headers]),"C",COLUMN(),":R",ROW()-1,"C",COLUMN()),FALSE))+1)</f>
        <v/>
      </c>
      <c r="B703" s="218" t="str">
        <f ca="1">IF(ResultColumnLabels[[#This Row],[Data Value Number]]="","",INDEX(DataColumns[ColumnLabel],MATCH(ResultColumnLabels[[#This Row],[Data Value Number]],DataColumns[DVNum],0)))</f>
        <v/>
      </c>
    </row>
    <row r="704" spans="1:2">
      <c r="A704" s="218" t="str">
        <f ca="1">IF(ROW()-1&gt;NumDataColumns,"",MAX(INDIRECT(CONCATENATE("R",ROW(ResultColumnLabels[#Headers]),"C",COLUMN(),":R",ROW()-1,"C",COLUMN()),FALSE))+1)</f>
        <v/>
      </c>
      <c r="B704" s="218" t="str">
        <f ca="1">IF(ResultColumnLabels[[#This Row],[Data Value Number]]="","",INDEX(DataColumns[ColumnLabel],MATCH(ResultColumnLabels[[#This Row],[Data Value Number]],DataColumns[DVNum],0)))</f>
        <v/>
      </c>
    </row>
    <row r="705" spans="1:2">
      <c r="A705" s="218" t="str">
        <f ca="1">IF(ROW()-1&gt;NumDataColumns,"",MAX(INDIRECT(CONCATENATE("R",ROW(ResultColumnLabels[#Headers]),"C",COLUMN(),":R",ROW()-1,"C",COLUMN()),FALSE))+1)</f>
        <v/>
      </c>
      <c r="B705" s="218" t="str">
        <f ca="1">IF(ResultColumnLabels[[#This Row],[Data Value Number]]="","",INDEX(DataColumns[ColumnLabel],MATCH(ResultColumnLabels[[#This Row],[Data Value Number]],DataColumns[DVNum],0)))</f>
        <v/>
      </c>
    </row>
    <row r="706" spans="1:2">
      <c r="A706" s="218" t="str">
        <f ca="1">IF(ROW()-1&gt;NumDataColumns,"",MAX(INDIRECT(CONCATENATE("R",ROW(ResultColumnLabels[#Headers]),"C",COLUMN(),":R",ROW()-1,"C",COLUMN()),FALSE))+1)</f>
        <v/>
      </c>
      <c r="B706" s="218" t="str">
        <f ca="1">IF(ResultColumnLabels[[#This Row],[Data Value Number]]="","",INDEX(DataColumns[ColumnLabel],MATCH(ResultColumnLabels[[#This Row],[Data Value Number]],DataColumns[DVNum],0)))</f>
        <v/>
      </c>
    </row>
    <row r="707" spans="1:2">
      <c r="A707" s="218" t="str">
        <f ca="1">IF(ROW()-1&gt;NumDataColumns,"",MAX(INDIRECT(CONCATENATE("R",ROW(ResultColumnLabels[#Headers]),"C",COLUMN(),":R",ROW()-1,"C",COLUMN()),FALSE))+1)</f>
        <v/>
      </c>
      <c r="B707" s="218" t="str">
        <f ca="1">IF(ResultColumnLabels[[#This Row],[Data Value Number]]="","",INDEX(DataColumns[ColumnLabel],MATCH(ResultColumnLabels[[#This Row],[Data Value Number]],DataColumns[DVNum],0)))</f>
        <v/>
      </c>
    </row>
    <row r="708" spans="1:2">
      <c r="A708" s="218" t="str">
        <f ca="1">IF(ROW()-1&gt;NumDataColumns,"",MAX(INDIRECT(CONCATENATE("R",ROW(ResultColumnLabels[#Headers]),"C",COLUMN(),":R",ROW()-1,"C",COLUMN()),FALSE))+1)</f>
        <v/>
      </c>
      <c r="B708" s="218" t="str">
        <f ca="1">IF(ResultColumnLabels[[#This Row],[Data Value Number]]="","",INDEX(DataColumns[ColumnLabel],MATCH(ResultColumnLabels[[#This Row],[Data Value Number]],DataColumns[DVNum],0)))</f>
        <v/>
      </c>
    </row>
    <row r="709" spans="1:2">
      <c r="A709" s="218" t="str">
        <f ca="1">IF(ROW()-1&gt;NumDataColumns,"",MAX(INDIRECT(CONCATENATE("R",ROW(ResultColumnLabels[#Headers]),"C",COLUMN(),":R",ROW()-1,"C",COLUMN()),FALSE))+1)</f>
        <v/>
      </c>
      <c r="B709" s="218" t="str">
        <f ca="1">IF(ResultColumnLabels[[#This Row],[Data Value Number]]="","",INDEX(DataColumns[ColumnLabel],MATCH(ResultColumnLabels[[#This Row],[Data Value Number]],DataColumns[DVNum],0)))</f>
        <v/>
      </c>
    </row>
    <row r="710" spans="1:2">
      <c r="A710" s="218" t="str">
        <f ca="1">IF(ROW()-1&gt;NumDataColumns,"",MAX(INDIRECT(CONCATENATE("R",ROW(ResultColumnLabels[#Headers]),"C",COLUMN(),":R",ROW()-1,"C",COLUMN()),FALSE))+1)</f>
        <v/>
      </c>
      <c r="B710" s="218" t="str">
        <f ca="1">IF(ResultColumnLabels[[#This Row],[Data Value Number]]="","",INDEX(DataColumns[ColumnLabel],MATCH(ResultColumnLabels[[#This Row],[Data Value Number]],DataColumns[DVNum],0)))</f>
        <v/>
      </c>
    </row>
    <row r="711" spans="1:2">
      <c r="A711" s="218" t="str">
        <f ca="1">IF(ROW()-1&gt;NumDataColumns,"",MAX(INDIRECT(CONCATENATE("R",ROW(ResultColumnLabels[#Headers]),"C",COLUMN(),":R",ROW()-1,"C",COLUMN()),FALSE))+1)</f>
        <v/>
      </c>
      <c r="B711" s="218" t="str">
        <f ca="1">IF(ResultColumnLabels[[#This Row],[Data Value Number]]="","",INDEX(DataColumns[ColumnLabel],MATCH(ResultColumnLabels[[#This Row],[Data Value Number]],DataColumns[DVNum],0)))</f>
        <v/>
      </c>
    </row>
    <row r="712" spans="1:2">
      <c r="A712" s="218" t="str">
        <f ca="1">IF(ROW()-1&gt;NumDataColumns,"",MAX(INDIRECT(CONCATENATE("R",ROW(ResultColumnLabels[#Headers]),"C",COLUMN(),":R",ROW()-1,"C",COLUMN()),FALSE))+1)</f>
        <v/>
      </c>
      <c r="B712" s="218" t="str">
        <f ca="1">IF(ResultColumnLabels[[#This Row],[Data Value Number]]="","",INDEX(DataColumns[ColumnLabel],MATCH(ResultColumnLabels[[#This Row],[Data Value Number]],DataColumns[DVNum],0)))</f>
        <v/>
      </c>
    </row>
    <row r="713" spans="1:2">
      <c r="A713" s="218" t="str">
        <f ca="1">IF(ROW()-1&gt;NumDataColumns,"",MAX(INDIRECT(CONCATENATE("R",ROW(ResultColumnLabels[#Headers]),"C",COLUMN(),":R",ROW()-1,"C",COLUMN()),FALSE))+1)</f>
        <v/>
      </c>
      <c r="B713" s="218" t="str">
        <f ca="1">IF(ResultColumnLabels[[#This Row],[Data Value Number]]="","",INDEX(DataColumns[ColumnLabel],MATCH(ResultColumnLabels[[#This Row],[Data Value Number]],DataColumns[DVNum],0)))</f>
        <v/>
      </c>
    </row>
    <row r="714" spans="1:2">
      <c r="A714" s="218" t="str">
        <f ca="1">IF(ROW()-1&gt;NumDataColumns,"",MAX(INDIRECT(CONCATENATE("R",ROW(ResultColumnLabels[#Headers]),"C",COLUMN(),":R",ROW()-1,"C",COLUMN()),FALSE))+1)</f>
        <v/>
      </c>
      <c r="B714" s="218" t="str">
        <f ca="1">IF(ResultColumnLabels[[#This Row],[Data Value Number]]="","",INDEX(DataColumns[ColumnLabel],MATCH(ResultColumnLabels[[#This Row],[Data Value Number]],DataColumns[DVNum],0)))</f>
        <v/>
      </c>
    </row>
    <row r="715" spans="1:2">
      <c r="A715" s="218" t="str">
        <f ca="1">IF(ROW()-1&gt;NumDataColumns,"",MAX(INDIRECT(CONCATENATE("R",ROW(ResultColumnLabels[#Headers]),"C",COLUMN(),":R",ROW()-1,"C",COLUMN()),FALSE))+1)</f>
        <v/>
      </c>
      <c r="B715" s="218" t="str">
        <f ca="1">IF(ResultColumnLabels[[#This Row],[Data Value Number]]="","",INDEX(DataColumns[ColumnLabel],MATCH(ResultColumnLabels[[#This Row],[Data Value Number]],DataColumns[DVNum],0)))</f>
        <v/>
      </c>
    </row>
    <row r="716" spans="1:2">
      <c r="A716" s="218" t="str">
        <f ca="1">IF(ROW()-1&gt;NumDataColumns,"",MAX(INDIRECT(CONCATENATE("R",ROW(ResultColumnLabels[#Headers]),"C",COLUMN(),":R",ROW()-1,"C",COLUMN()),FALSE))+1)</f>
        <v/>
      </c>
      <c r="B716" s="218" t="str">
        <f ca="1">IF(ResultColumnLabels[[#This Row],[Data Value Number]]="","",INDEX(DataColumns[ColumnLabel],MATCH(ResultColumnLabels[[#This Row],[Data Value Number]],DataColumns[DVNum],0)))</f>
        <v/>
      </c>
    </row>
    <row r="717" spans="1:2">
      <c r="A717" s="218" t="str">
        <f ca="1">IF(ROW()-1&gt;NumDataColumns,"",MAX(INDIRECT(CONCATENATE("R",ROW(ResultColumnLabels[#Headers]),"C",COLUMN(),":R",ROW()-1,"C",COLUMN()),FALSE))+1)</f>
        <v/>
      </c>
      <c r="B717" s="218" t="str">
        <f ca="1">IF(ResultColumnLabels[[#This Row],[Data Value Number]]="","",INDEX(DataColumns[ColumnLabel],MATCH(ResultColumnLabels[[#This Row],[Data Value Number]],DataColumns[DVNum],0)))</f>
        <v/>
      </c>
    </row>
    <row r="718" spans="1:2">
      <c r="A718" s="218" t="str">
        <f ca="1">IF(ROW()-1&gt;NumDataColumns,"",MAX(INDIRECT(CONCATENATE("R",ROW(ResultColumnLabels[#Headers]),"C",COLUMN(),":R",ROW()-1,"C",COLUMN()),FALSE))+1)</f>
        <v/>
      </c>
      <c r="B718" s="218" t="str">
        <f ca="1">IF(ResultColumnLabels[[#This Row],[Data Value Number]]="","",INDEX(DataColumns[ColumnLabel],MATCH(ResultColumnLabels[[#This Row],[Data Value Number]],DataColumns[DVNum],0)))</f>
        <v/>
      </c>
    </row>
    <row r="719" spans="1:2">
      <c r="A719" s="218" t="str">
        <f ca="1">IF(ROW()-1&gt;NumDataColumns,"",MAX(INDIRECT(CONCATENATE("R",ROW(ResultColumnLabels[#Headers]),"C",COLUMN(),":R",ROW()-1,"C",COLUMN()),FALSE))+1)</f>
        <v/>
      </c>
      <c r="B719" s="218" t="str">
        <f ca="1">IF(ResultColumnLabels[[#This Row],[Data Value Number]]="","",INDEX(DataColumns[ColumnLabel],MATCH(ResultColumnLabels[[#This Row],[Data Value Number]],DataColumns[DVNum],0)))</f>
        <v/>
      </c>
    </row>
    <row r="720" spans="1:2">
      <c r="A720" s="218" t="str">
        <f ca="1">IF(ROW()-1&gt;NumDataColumns,"",MAX(INDIRECT(CONCATENATE("R",ROW(ResultColumnLabels[#Headers]),"C",COLUMN(),":R",ROW()-1,"C",COLUMN()),FALSE))+1)</f>
        <v/>
      </c>
      <c r="B720" s="218" t="str">
        <f ca="1">IF(ResultColumnLabels[[#This Row],[Data Value Number]]="","",INDEX(DataColumns[ColumnLabel],MATCH(ResultColumnLabels[[#This Row],[Data Value Number]],DataColumns[DVNum],0)))</f>
        <v/>
      </c>
    </row>
    <row r="721" spans="1:2">
      <c r="A721" s="218" t="str">
        <f ca="1">IF(ROW()-1&gt;NumDataColumns,"",MAX(INDIRECT(CONCATENATE("R",ROW(ResultColumnLabels[#Headers]),"C",COLUMN(),":R",ROW()-1,"C",COLUMN()),FALSE))+1)</f>
        <v/>
      </c>
      <c r="B721" s="218" t="str">
        <f ca="1">IF(ResultColumnLabels[[#This Row],[Data Value Number]]="","",INDEX(DataColumns[ColumnLabel],MATCH(ResultColumnLabels[[#This Row],[Data Value Number]],DataColumns[DVNum],0)))</f>
        <v/>
      </c>
    </row>
    <row r="722" spans="1:2">
      <c r="A722" s="218" t="str">
        <f ca="1">IF(ROW()-1&gt;NumDataColumns,"",MAX(INDIRECT(CONCATENATE("R",ROW(ResultColumnLabels[#Headers]),"C",COLUMN(),":R",ROW()-1,"C",COLUMN()),FALSE))+1)</f>
        <v/>
      </c>
      <c r="B722" s="218" t="str">
        <f ca="1">IF(ResultColumnLabels[[#This Row],[Data Value Number]]="","",INDEX(DataColumns[ColumnLabel],MATCH(ResultColumnLabels[[#This Row],[Data Value Number]],DataColumns[DVNum],0)))</f>
        <v/>
      </c>
    </row>
    <row r="723" spans="1:2">
      <c r="A723" s="218" t="str">
        <f ca="1">IF(ROW()-1&gt;NumDataColumns,"",MAX(INDIRECT(CONCATENATE("R",ROW(ResultColumnLabels[#Headers]),"C",COLUMN(),":R",ROW()-1,"C",COLUMN()),FALSE))+1)</f>
        <v/>
      </c>
      <c r="B723" s="218" t="str">
        <f ca="1">IF(ResultColumnLabels[[#This Row],[Data Value Number]]="","",INDEX(DataColumns[ColumnLabel],MATCH(ResultColumnLabels[[#This Row],[Data Value Number]],DataColumns[DVNum],0)))</f>
        <v/>
      </c>
    </row>
    <row r="724" spans="1:2">
      <c r="A724" s="218" t="str">
        <f ca="1">IF(ROW()-1&gt;NumDataColumns,"",MAX(INDIRECT(CONCATENATE("R",ROW(ResultColumnLabels[#Headers]),"C",COLUMN(),":R",ROW()-1,"C",COLUMN()),FALSE))+1)</f>
        <v/>
      </c>
      <c r="B724" s="218" t="str">
        <f ca="1">IF(ResultColumnLabels[[#This Row],[Data Value Number]]="","",INDEX(DataColumns[ColumnLabel],MATCH(ResultColumnLabels[[#This Row],[Data Value Number]],DataColumns[DVNum],0)))</f>
        <v/>
      </c>
    </row>
    <row r="725" spans="1:2">
      <c r="A725" s="218" t="str">
        <f ca="1">IF(ROW()-1&gt;NumDataColumns,"",MAX(INDIRECT(CONCATENATE("R",ROW(ResultColumnLabels[#Headers]),"C",COLUMN(),":R",ROW()-1,"C",COLUMN()),FALSE))+1)</f>
        <v/>
      </c>
      <c r="B725" s="218" t="str">
        <f ca="1">IF(ResultColumnLabels[[#This Row],[Data Value Number]]="","",INDEX(DataColumns[ColumnLabel],MATCH(ResultColumnLabels[[#This Row],[Data Value Number]],DataColumns[DVNum],0)))</f>
        <v/>
      </c>
    </row>
    <row r="726" spans="1:2">
      <c r="A726" s="218" t="str">
        <f ca="1">IF(ROW()-1&gt;NumDataColumns,"",MAX(INDIRECT(CONCATENATE("R",ROW(ResultColumnLabels[#Headers]),"C",COLUMN(),":R",ROW()-1,"C",COLUMN()),FALSE))+1)</f>
        <v/>
      </c>
      <c r="B726" s="218" t="str">
        <f ca="1">IF(ResultColumnLabels[[#This Row],[Data Value Number]]="","",INDEX(DataColumns[ColumnLabel],MATCH(ResultColumnLabels[[#This Row],[Data Value Number]],DataColumns[DVNum],0)))</f>
        <v/>
      </c>
    </row>
    <row r="727" spans="1:2">
      <c r="A727" s="218" t="str">
        <f ca="1">IF(ROW()-1&gt;NumDataColumns,"",MAX(INDIRECT(CONCATENATE("R",ROW(ResultColumnLabels[#Headers]),"C",COLUMN(),":R",ROW()-1,"C",COLUMN()),FALSE))+1)</f>
        <v/>
      </c>
      <c r="B727" s="218" t="str">
        <f ca="1">IF(ResultColumnLabels[[#This Row],[Data Value Number]]="","",INDEX(DataColumns[ColumnLabel],MATCH(ResultColumnLabels[[#This Row],[Data Value Number]],DataColumns[DVNum],0)))</f>
        <v/>
      </c>
    </row>
    <row r="728" spans="1:2">
      <c r="A728" s="218" t="str">
        <f ca="1">IF(ROW()-1&gt;NumDataColumns,"",MAX(INDIRECT(CONCATENATE("R",ROW(ResultColumnLabels[#Headers]),"C",COLUMN(),":R",ROW()-1,"C",COLUMN()),FALSE))+1)</f>
        <v/>
      </c>
      <c r="B728" s="218" t="str">
        <f ca="1">IF(ResultColumnLabels[[#This Row],[Data Value Number]]="","",INDEX(DataColumns[ColumnLabel],MATCH(ResultColumnLabels[[#This Row],[Data Value Number]],DataColumns[DVNum],0)))</f>
        <v/>
      </c>
    </row>
    <row r="729" spans="1:2">
      <c r="A729" s="218" t="str">
        <f ca="1">IF(ROW()-1&gt;NumDataColumns,"",MAX(INDIRECT(CONCATENATE("R",ROW(ResultColumnLabels[#Headers]),"C",COLUMN(),":R",ROW()-1,"C",COLUMN()),FALSE))+1)</f>
        <v/>
      </c>
      <c r="B729" s="218" t="str">
        <f ca="1">IF(ResultColumnLabels[[#This Row],[Data Value Number]]="","",INDEX(DataColumns[ColumnLabel],MATCH(ResultColumnLabels[[#This Row],[Data Value Number]],DataColumns[DVNum],0)))</f>
        <v/>
      </c>
    </row>
    <row r="730" spans="1:2">
      <c r="A730" s="218" t="str">
        <f ca="1">IF(ROW()-1&gt;NumDataColumns,"",MAX(INDIRECT(CONCATENATE("R",ROW(ResultColumnLabels[#Headers]),"C",COLUMN(),":R",ROW()-1,"C",COLUMN()),FALSE))+1)</f>
        <v/>
      </c>
      <c r="B730" s="218" t="str">
        <f ca="1">IF(ResultColumnLabels[[#This Row],[Data Value Number]]="","",INDEX(DataColumns[ColumnLabel],MATCH(ResultColumnLabels[[#This Row],[Data Value Number]],DataColumns[DVNum],0)))</f>
        <v/>
      </c>
    </row>
    <row r="731" spans="1:2">
      <c r="A731" s="218" t="str">
        <f ca="1">IF(ROW()-1&gt;NumDataColumns,"",MAX(INDIRECT(CONCATENATE("R",ROW(ResultColumnLabels[#Headers]),"C",COLUMN(),":R",ROW()-1,"C",COLUMN()),FALSE))+1)</f>
        <v/>
      </c>
      <c r="B731" s="218" t="str">
        <f ca="1">IF(ResultColumnLabels[[#This Row],[Data Value Number]]="","",INDEX(DataColumns[ColumnLabel],MATCH(ResultColumnLabels[[#This Row],[Data Value Number]],DataColumns[DVNum],0)))</f>
        <v/>
      </c>
    </row>
    <row r="732" spans="1:2">
      <c r="A732" s="218" t="str">
        <f ca="1">IF(ROW()-1&gt;NumDataColumns,"",MAX(INDIRECT(CONCATENATE("R",ROW(ResultColumnLabels[#Headers]),"C",COLUMN(),":R",ROW()-1,"C",COLUMN()),FALSE))+1)</f>
        <v/>
      </c>
      <c r="B732" s="218" t="str">
        <f ca="1">IF(ResultColumnLabels[[#This Row],[Data Value Number]]="","",INDEX(DataColumns[ColumnLabel],MATCH(ResultColumnLabels[[#This Row],[Data Value Number]],DataColumns[DVNum],0)))</f>
        <v/>
      </c>
    </row>
    <row r="733" spans="1:2">
      <c r="A733" s="218" t="str">
        <f ca="1">IF(ROW()-1&gt;NumDataColumns,"",MAX(INDIRECT(CONCATENATE("R",ROW(ResultColumnLabels[#Headers]),"C",COLUMN(),":R",ROW()-1,"C",COLUMN()),FALSE))+1)</f>
        <v/>
      </c>
      <c r="B733" s="218" t="str">
        <f ca="1">IF(ResultColumnLabels[[#This Row],[Data Value Number]]="","",INDEX(DataColumns[ColumnLabel],MATCH(ResultColumnLabels[[#This Row],[Data Value Number]],DataColumns[DVNum],0)))</f>
        <v/>
      </c>
    </row>
    <row r="734" spans="1:2">
      <c r="A734" s="218" t="str">
        <f ca="1">IF(ROW()-1&gt;NumDataColumns,"",MAX(INDIRECT(CONCATENATE("R",ROW(ResultColumnLabels[#Headers]),"C",COLUMN(),":R",ROW()-1,"C",COLUMN()),FALSE))+1)</f>
        <v/>
      </c>
      <c r="B734" s="218" t="str">
        <f ca="1">IF(ResultColumnLabels[[#This Row],[Data Value Number]]="","",INDEX(DataColumns[ColumnLabel],MATCH(ResultColumnLabels[[#This Row],[Data Value Number]],DataColumns[DVNum],0)))</f>
        <v/>
      </c>
    </row>
    <row r="735" spans="1:2">
      <c r="A735" s="218" t="str">
        <f ca="1">IF(ROW()-1&gt;NumDataColumns,"",MAX(INDIRECT(CONCATENATE("R",ROW(ResultColumnLabels[#Headers]),"C",COLUMN(),":R",ROW()-1,"C",COLUMN()),FALSE))+1)</f>
        <v/>
      </c>
      <c r="B735" s="218" t="str">
        <f ca="1">IF(ResultColumnLabels[[#This Row],[Data Value Number]]="","",INDEX(DataColumns[ColumnLabel],MATCH(ResultColumnLabels[[#This Row],[Data Value Number]],DataColumns[DVNum],0)))</f>
        <v/>
      </c>
    </row>
    <row r="736" spans="1:2">
      <c r="A736" s="218" t="str">
        <f ca="1">IF(ROW()-1&gt;NumDataColumns,"",MAX(INDIRECT(CONCATENATE("R",ROW(ResultColumnLabels[#Headers]),"C",COLUMN(),":R",ROW()-1,"C",COLUMN()),FALSE))+1)</f>
        <v/>
      </c>
      <c r="B736" s="218" t="str">
        <f ca="1">IF(ResultColumnLabels[[#This Row],[Data Value Number]]="","",INDEX(DataColumns[ColumnLabel],MATCH(ResultColumnLabels[[#This Row],[Data Value Number]],DataColumns[DVNum],0)))</f>
        <v/>
      </c>
    </row>
    <row r="737" spans="1:2">
      <c r="A737" s="218" t="str">
        <f ca="1">IF(ROW()-1&gt;NumDataColumns,"",MAX(INDIRECT(CONCATENATE("R",ROW(ResultColumnLabels[#Headers]),"C",COLUMN(),":R",ROW()-1,"C",COLUMN()),FALSE))+1)</f>
        <v/>
      </c>
      <c r="B737" s="218" t="str">
        <f ca="1">IF(ResultColumnLabels[[#This Row],[Data Value Number]]="","",INDEX(DataColumns[ColumnLabel],MATCH(ResultColumnLabels[[#This Row],[Data Value Number]],DataColumns[DVNum],0)))</f>
        <v/>
      </c>
    </row>
    <row r="738" spans="1:2">
      <c r="A738" s="218" t="str">
        <f ca="1">IF(ROW()-1&gt;NumDataColumns,"",MAX(INDIRECT(CONCATENATE("R",ROW(ResultColumnLabels[#Headers]),"C",COLUMN(),":R",ROW()-1,"C",COLUMN()),FALSE))+1)</f>
        <v/>
      </c>
      <c r="B738" s="218" t="str">
        <f ca="1">IF(ResultColumnLabels[[#This Row],[Data Value Number]]="","",INDEX(DataColumns[ColumnLabel],MATCH(ResultColumnLabels[[#This Row],[Data Value Number]],DataColumns[DVNum],0)))</f>
        <v/>
      </c>
    </row>
    <row r="739" spans="1:2">
      <c r="A739" s="218" t="str">
        <f ca="1">IF(ROW()-1&gt;NumDataColumns,"",MAX(INDIRECT(CONCATENATE("R",ROW(ResultColumnLabels[#Headers]),"C",COLUMN(),":R",ROW()-1,"C",COLUMN()),FALSE))+1)</f>
        <v/>
      </c>
      <c r="B739" s="218" t="str">
        <f ca="1">IF(ResultColumnLabels[[#This Row],[Data Value Number]]="","",INDEX(DataColumns[ColumnLabel],MATCH(ResultColumnLabels[[#This Row],[Data Value Number]],DataColumns[DVNum],0)))</f>
        <v/>
      </c>
    </row>
    <row r="740" spans="1:2">
      <c r="A740" s="218" t="str">
        <f ca="1">IF(ROW()-1&gt;NumDataColumns,"",MAX(INDIRECT(CONCATENATE("R",ROW(ResultColumnLabels[#Headers]),"C",COLUMN(),":R",ROW()-1,"C",COLUMN()),FALSE))+1)</f>
        <v/>
      </c>
      <c r="B740" s="218" t="str">
        <f ca="1">IF(ResultColumnLabels[[#This Row],[Data Value Number]]="","",INDEX(DataColumns[ColumnLabel],MATCH(ResultColumnLabels[[#This Row],[Data Value Number]],DataColumns[DVNum],0)))</f>
        <v/>
      </c>
    </row>
    <row r="741" spans="1:2">
      <c r="A741" s="218" t="str">
        <f ca="1">IF(ROW()-1&gt;NumDataColumns,"",MAX(INDIRECT(CONCATENATE("R",ROW(ResultColumnLabels[#Headers]),"C",COLUMN(),":R",ROW()-1,"C",COLUMN()),FALSE))+1)</f>
        <v/>
      </c>
      <c r="B741" s="218" t="str">
        <f ca="1">IF(ResultColumnLabels[[#This Row],[Data Value Number]]="","",INDEX(DataColumns[ColumnLabel],MATCH(ResultColumnLabels[[#This Row],[Data Value Number]],DataColumns[DVNum],0)))</f>
        <v/>
      </c>
    </row>
    <row r="742" spans="1:2">
      <c r="A742" s="218" t="str">
        <f ca="1">IF(ROW()-1&gt;NumDataColumns,"",MAX(INDIRECT(CONCATENATE("R",ROW(ResultColumnLabels[#Headers]),"C",COLUMN(),":R",ROW()-1,"C",COLUMN()),FALSE))+1)</f>
        <v/>
      </c>
      <c r="B742" s="218" t="str">
        <f ca="1">IF(ResultColumnLabels[[#This Row],[Data Value Number]]="","",INDEX(DataColumns[ColumnLabel],MATCH(ResultColumnLabels[[#This Row],[Data Value Number]],DataColumns[DVNum],0)))</f>
        <v/>
      </c>
    </row>
    <row r="743" spans="1:2">
      <c r="A743" s="218" t="str">
        <f ca="1">IF(ROW()-1&gt;NumDataColumns,"",MAX(INDIRECT(CONCATENATE("R",ROW(ResultColumnLabels[#Headers]),"C",COLUMN(),":R",ROW()-1,"C",COLUMN()),FALSE))+1)</f>
        <v/>
      </c>
      <c r="B743" s="218" t="str">
        <f ca="1">IF(ResultColumnLabels[[#This Row],[Data Value Number]]="","",INDEX(DataColumns[ColumnLabel],MATCH(ResultColumnLabels[[#This Row],[Data Value Number]],DataColumns[DVNum],0)))</f>
        <v/>
      </c>
    </row>
    <row r="744" spans="1:2">
      <c r="A744" s="218" t="str">
        <f ca="1">IF(ROW()-1&gt;NumDataColumns,"",MAX(INDIRECT(CONCATENATE("R",ROW(ResultColumnLabels[#Headers]),"C",COLUMN(),":R",ROW()-1,"C",COLUMN()),FALSE))+1)</f>
        <v/>
      </c>
      <c r="B744" s="218" t="str">
        <f ca="1">IF(ResultColumnLabels[[#This Row],[Data Value Number]]="","",INDEX(DataColumns[ColumnLabel],MATCH(ResultColumnLabels[[#This Row],[Data Value Number]],DataColumns[DVNum],0)))</f>
        <v/>
      </c>
    </row>
    <row r="745" spans="1:2">
      <c r="A745" s="218" t="str">
        <f ca="1">IF(ROW()-1&gt;NumDataColumns,"",MAX(INDIRECT(CONCATENATE("R",ROW(ResultColumnLabels[#Headers]),"C",COLUMN(),":R",ROW()-1,"C",COLUMN()),FALSE))+1)</f>
        <v/>
      </c>
      <c r="B745" s="218" t="str">
        <f ca="1">IF(ResultColumnLabels[[#This Row],[Data Value Number]]="","",INDEX(DataColumns[ColumnLabel],MATCH(ResultColumnLabels[[#This Row],[Data Value Number]],DataColumns[DVNum],0)))</f>
        <v/>
      </c>
    </row>
    <row r="746" spans="1:2">
      <c r="A746" s="218" t="str">
        <f ca="1">IF(ROW()-1&gt;NumDataColumns,"",MAX(INDIRECT(CONCATENATE("R",ROW(ResultColumnLabels[#Headers]),"C",COLUMN(),":R",ROW()-1,"C",COLUMN()),FALSE))+1)</f>
        <v/>
      </c>
      <c r="B746" s="218" t="str">
        <f ca="1">IF(ResultColumnLabels[[#This Row],[Data Value Number]]="","",INDEX(DataColumns[ColumnLabel],MATCH(ResultColumnLabels[[#This Row],[Data Value Number]],DataColumns[DVNum],0)))</f>
        <v/>
      </c>
    </row>
    <row r="747" spans="1:2">
      <c r="A747" s="218" t="str">
        <f ca="1">IF(ROW()-1&gt;NumDataColumns,"",MAX(INDIRECT(CONCATENATE("R",ROW(ResultColumnLabels[#Headers]),"C",COLUMN(),":R",ROW()-1,"C",COLUMN()),FALSE))+1)</f>
        <v/>
      </c>
      <c r="B747" s="218" t="str">
        <f ca="1">IF(ResultColumnLabels[[#This Row],[Data Value Number]]="","",INDEX(DataColumns[ColumnLabel],MATCH(ResultColumnLabels[[#This Row],[Data Value Number]],DataColumns[DVNum],0)))</f>
        <v/>
      </c>
    </row>
    <row r="748" spans="1:2">
      <c r="A748" s="218" t="str">
        <f ca="1">IF(ROW()-1&gt;NumDataColumns,"",MAX(INDIRECT(CONCATENATE("R",ROW(ResultColumnLabels[#Headers]),"C",COLUMN(),":R",ROW()-1,"C",COLUMN()),FALSE))+1)</f>
        <v/>
      </c>
      <c r="B748" s="218" t="str">
        <f ca="1">IF(ResultColumnLabels[[#This Row],[Data Value Number]]="","",INDEX(DataColumns[ColumnLabel],MATCH(ResultColumnLabels[[#This Row],[Data Value Number]],DataColumns[DVNum],0)))</f>
        <v/>
      </c>
    </row>
    <row r="749" spans="1:2">
      <c r="A749" s="218" t="str">
        <f ca="1">IF(ROW()-1&gt;NumDataColumns,"",MAX(INDIRECT(CONCATENATE("R",ROW(ResultColumnLabels[#Headers]),"C",COLUMN(),":R",ROW()-1,"C",COLUMN()),FALSE))+1)</f>
        <v/>
      </c>
      <c r="B749" s="218" t="str">
        <f ca="1">IF(ResultColumnLabels[[#This Row],[Data Value Number]]="","",INDEX(DataColumns[ColumnLabel],MATCH(ResultColumnLabels[[#This Row],[Data Value Number]],DataColumns[DVNum],0)))</f>
        <v/>
      </c>
    </row>
    <row r="750" spans="1:2">
      <c r="A750" s="218" t="str">
        <f ca="1">IF(ROW()-1&gt;NumDataColumns,"",MAX(INDIRECT(CONCATENATE("R",ROW(ResultColumnLabels[#Headers]),"C",COLUMN(),":R",ROW()-1,"C",COLUMN()),FALSE))+1)</f>
        <v/>
      </c>
      <c r="B750" s="218" t="str">
        <f ca="1">IF(ResultColumnLabels[[#This Row],[Data Value Number]]="","",INDEX(DataColumns[ColumnLabel],MATCH(ResultColumnLabels[[#This Row],[Data Value Number]],DataColumns[DVNum],0)))</f>
        <v/>
      </c>
    </row>
    <row r="751" spans="1:2">
      <c r="A751" s="218" t="str">
        <f ca="1">IF(ROW()-1&gt;NumDataColumns,"",MAX(INDIRECT(CONCATENATE("R",ROW(ResultColumnLabels[#Headers]),"C",COLUMN(),":R",ROW()-1,"C",COLUMN()),FALSE))+1)</f>
        <v/>
      </c>
      <c r="B751" s="218" t="str">
        <f ca="1">IF(ResultColumnLabels[[#This Row],[Data Value Number]]="","",INDEX(DataColumns[ColumnLabel],MATCH(ResultColumnLabels[[#This Row],[Data Value Number]],DataColumns[DVNum],0)))</f>
        <v/>
      </c>
    </row>
    <row r="752" spans="1:2">
      <c r="A752" s="218" t="str">
        <f ca="1">IF(ROW()-1&gt;NumDataColumns,"",MAX(INDIRECT(CONCATENATE("R",ROW(ResultColumnLabels[#Headers]),"C",COLUMN(),":R",ROW()-1,"C",COLUMN()),FALSE))+1)</f>
        <v/>
      </c>
      <c r="B752" s="218" t="str">
        <f ca="1">IF(ResultColumnLabels[[#This Row],[Data Value Number]]="","",INDEX(DataColumns[ColumnLabel],MATCH(ResultColumnLabels[[#This Row],[Data Value Number]],DataColumns[DVNum],0)))</f>
        <v/>
      </c>
    </row>
    <row r="753" spans="1:2">
      <c r="A753" s="218" t="str">
        <f ca="1">IF(ROW()-1&gt;NumDataColumns,"",MAX(INDIRECT(CONCATENATE("R",ROW(ResultColumnLabels[#Headers]),"C",COLUMN(),":R",ROW()-1,"C",COLUMN()),FALSE))+1)</f>
        <v/>
      </c>
      <c r="B753" s="218" t="str">
        <f ca="1">IF(ResultColumnLabels[[#This Row],[Data Value Number]]="","",INDEX(DataColumns[ColumnLabel],MATCH(ResultColumnLabels[[#This Row],[Data Value Number]],DataColumns[DVNum],0)))</f>
        <v/>
      </c>
    </row>
    <row r="754" spans="1:2">
      <c r="A754" s="218" t="str">
        <f ca="1">IF(ROW()-1&gt;NumDataColumns,"",MAX(INDIRECT(CONCATENATE("R",ROW(ResultColumnLabels[#Headers]),"C",COLUMN(),":R",ROW()-1,"C",COLUMN()),FALSE))+1)</f>
        <v/>
      </c>
      <c r="B754" s="218" t="str">
        <f ca="1">IF(ResultColumnLabels[[#This Row],[Data Value Number]]="","",INDEX(DataColumns[ColumnLabel],MATCH(ResultColumnLabels[[#This Row],[Data Value Number]],DataColumns[DVNum],0)))</f>
        <v/>
      </c>
    </row>
    <row r="755" spans="1:2">
      <c r="A755" s="218" t="str">
        <f ca="1">IF(ROW()-1&gt;NumDataColumns,"",MAX(INDIRECT(CONCATENATE("R",ROW(ResultColumnLabels[#Headers]),"C",COLUMN(),":R",ROW()-1,"C",COLUMN()),FALSE))+1)</f>
        <v/>
      </c>
      <c r="B755" s="218" t="str">
        <f ca="1">IF(ResultColumnLabels[[#This Row],[Data Value Number]]="","",INDEX(DataColumns[ColumnLabel],MATCH(ResultColumnLabels[[#This Row],[Data Value Number]],DataColumns[DVNum],0)))</f>
        <v/>
      </c>
    </row>
    <row r="756" spans="1:2">
      <c r="A756" s="218" t="str">
        <f ca="1">IF(ROW()-1&gt;NumDataColumns,"",MAX(INDIRECT(CONCATENATE("R",ROW(ResultColumnLabels[#Headers]),"C",COLUMN(),":R",ROW()-1,"C",COLUMN()),FALSE))+1)</f>
        <v/>
      </c>
      <c r="B756" s="218" t="str">
        <f ca="1">IF(ResultColumnLabels[[#This Row],[Data Value Number]]="","",INDEX(DataColumns[ColumnLabel],MATCH(ResultColumnLabels[[#This Row],[Data Value Number]],DataColumns[DVNum],0)))</f>
        <v/>
      </c>
    </row>
    <row r="757" spans="1:2">
      <c r="A757" s="218" t="str">
        <f ca="1">IF(ROW()-1&gt;NumDataColumns,"",MAX(INDIRECT(CONCATENATE("R",ROW(ResultColumnLabels[#Headers]),"C",COLUMN(),":R",ROW()-1,"C",COLUMN()),FALSE))+1)</f>
        <v/>
      </c>
      <c r="B757" s="218" t="str">
        <f ca="1">IF(ResultColumnLabels[[#This Row],[Data Value Number]]="","",INDEX(DataColumns[ColumnLabel],MATCH(ResultColumnLabels[[#This Row],[Data Value Number]],DataColumns[DVNum],0)))</f>
        <v/>
      </c>
    </row>
    <row r="758" spans="1:2">
      <c r="A758" s="218" t="str">
        <f ca="1">IF(ROW()-1&gt;NumDataColumns,"",MAX(INDIRECT(CONCATENATE("R",ROW(ResultColumnLabels[#Headers]),"C",COLUMN(),":R",ROW()-1,"C",COLUMN()),FALSE))+1)</f>
        <v/>
      </c>
      <c r="B758" s="218" t="str">
        <f ca="1">IF(ResultColumnLabels[[#This Row],[Data Value Number]]="","",INDEX(DataColumns[ColumnLabel],MATCH(ResultColumnLabels[[#This Row],[Data Value Number]],DataColumns[DVNum],0)))</f>
        <v/>
      </c>
    </row>
    <row r="759" spans="1:2">
      <c r="A759" s="218" t="str">
        <f ca="1">IF(ROW()-1&gt;NumDataColumns,"",MAX(INDIRECT(CONCATENATE("R",ROW(ResultColumnLabels[#Headers]),"C",COLUMN(),":R",ROW()-1,"C",COLUMN()),FALSE))+1)</f>
        <v/>
      </c>
      <c r="B759" s="218" t="str">
        <f ca="1">IF(ResultColumnLabels[[#This Row],[Data Value Number]]="","",INDEX(DataColumns[ColumnLabel],MATCH(ResultColumnLabels[[#This Row],[Data Value Number]],DataColumns[DVNum],0)))</f>
        <v/>
      </c>
    </row>
    <row r="760" spans="1:2">
      <c r="A760" s="218" t="str">
        <f ca="1">IF(ROW()-1&gt;NumDataColumns,"",MAX(INDIRECT(CONCATENATE("R",ROW(ResultColumnLabels[#Headers]),"C",COLUMN(),":R",ROW()-1,"C",COLUMN()),FALSE))+1)</f>
        <v/>
      </c>
      <c r="B760" s="218" t="str">
        <f ca="1">IF(ResultColumnLabels[[#This Row],[Data Value Number]]="","",INDEX(DataColumns[ColumnLabel],MATCH(ResultColumnLabels[[#This Row],[Data Value Number]],DataColumns[DVNum],0)))</f>
        <v/>
      </c>
    </row>
    <row r="761" spans="1:2">
      <c r="A761" s="218" t="str">
        <f ca="1">IF(ROW()-1&gt;NumDataColumns,"",MAX(INDIRECT(CONCATENATE("R",ROW(ResultColumnLabels[#Headers]),"C",COLUMN(),":R",ROW()-1,"C",COLUMN()),FALSE))+1)</f>
        <v/>
      </c>
      <c r="B761" s="218" t="str">
        <f ca="1">IF(ResultColumnLabels[[#This Row],[Data Value Number]]="","",INDEX(DataColumns[ColumnLabel],MATCH(ResultColumnLabels[[#This Row],[Data Value Number]],DataColumns[DVNum],0)))</f>
        <v/>
      </c>
    </row>
    <row r="762" spans="1:2">
      <c r="A762" s="218" t="str">
        <f ca="1">IF(ROW()-1&gt;NumDataColumns,"",MAX(INDIRECT(CONCATENATE("R",ROW(ResultColumnLabels[#Headers]),"C",COLUMN(),":R",ROW()-1,"C",COLUMN()),FALSE))+1)</f>
        <v/>
      </c>
      <c r="B762" s="218" t="str">
        <f ca="1">IF(ResultColumnLabels[[#This Row],[Data Value Number]]="","",INDEX(DataColumns[ColumnLabel],MATCH(ResultColumnLabels[[#This Row],[Data Value Number]],DataColumns[DVNum],0)))</f>
        <v/>
      </c>
    </row>
    <row r="763" spans="1:2">
      <c r="A763" s="218" t="str">
        <f ca="1">IF(ROW()-1&gt;NumDataColumns,"",MAX(INDIRECT(CONCATENATE("R",ROW(ResultColumnLabels[#Headers]),"C",COLUMN(),":R",ROW()-1,"C",COLUMN()),FALSE))+1)</f>
        <v/>
      </c>
      <c r="B763" s="218" t="str">
        <f ca="1">IF(ResultColumnLabels[[#This Row],[Data Value Number]]="","",INDEX(DataColumns[ColumnLabel],MATCH(ResultColumnLabels[[#This Row],[Data Value Number]],DataColumns[DVNum],0)))</f>
        <v/>
      </c>
    </row>
    <row r="764" spans="1:2">
      <c r="A764" s="218" t="str">
        <f ca="1">IF(ROW()-1&gt;NumDataColumns,"",MAX(INDIRECT(CONCATENATE("R",ROW(ResultColumnLabels[#Headers]),"C",COLUMN(),":R",ROW()-1,"C",COLUMN()),FALSE))+1)</f>
        <v/>
      </c>
      <c r="B764" s="218" t="str">
        <f ca="1">IF(ResultColumnLabels[[#This Row],[Data Value Number]]="","",INDEX(DataColumns[ColumnLabel],MATCH(ResultColumnLabels[[#This Row],[Data Value Number]],DataColumns[DVNum],0)))</f>
        <v/>
      </c>
    </row>
    <row r="765" spans="1:2">
      <c r="A765" s="218" t="str">
        <f ca="1">IF(ROW()-1&gt;NumDataColumns,"",MAX(INDIRECT(CONCATENATE("R",ROW(ResultColumnLabels[#Headers]),"C",COLUMN(),":R",ROW()-1,"C",COLUMN()),FALSE))+1)</f>
        <v/>
      </c>
      <c r="B765" s="218" t="str">
        <f ca="1">IF(ResultColumnLabels[[#This Row],[Data Value Number]]="","",INDEX(DataColumns[ColumnLabel],MATCH(ResultColumnLabels[[#This Row],[Data Value Number]],DataColumns[DVNum],0)))</f>
        <v/>
      </c>
    </row>
    <row r="766" spans="1:2">
      <c r="A766" s="218" t="str">
        <f ca="1">IF(ROW()-1&gt;NumDataColumns,"",MAX(INDIRECT(CONCATENATE("R",ROW(ResultColumnLabels[#Headers]),"C",COLUMN(),":R",ROW()-1,"C",COLUMN()),FALSE))+1)</f>
        <v/>
      </c>
      <c r="B766" s="218" t="str">
        <f ca="1">IF(ResultColumnLabels[[#This Row],[Data Value Number]]="","",INDEX(DataColumns[ColumnLabel],MATCH(ResultColumnLabels[[#This Row],[Data Value Number]],DataColumns[DVNum],0)))</f>
        <v/>
      </c>
    </row>
    <row r="767" spans="1:2">
      <c r="A767" s="218" t="str">
        <f ca="1">IF(ROW()-1&gt;NumDataColumns,"",MAX(INDIRECT(CONCATENATE("R",ROW(ResultColumnLabels[#Headers]),"C",COLUMN(),":R",ROW()-1,"C",COLUMN()),FALSE))+1)</f>
        <v/>
      </c>
      <c r="B767" s="218" t="str">
        <f ca="1">IF(ResultColumnLabels[[#This Row],[Data Value Number]]="","",INDEX(DataColumns[ColumnLabel],MATCH(ResultColumnLabels[[#This Row],[Data Value Number]],DataColumns[DVNum],0)))</f>
        <v/>
      </c>
    </row>
    <row r="768" spans="1:2">
      <c r="A768" s="218" t="str">
        <f ca="1">IF(ROW()-1&gt;NumDataColumns,"",MAX(INDIRECT(CONCATENATE("R",ROW(ResultColumnLabels[#Headers]),"C",COLUMN(),":R",ROW()-1,"C",COLUMN()),FALSE))+1)</f>
        <v/>
      </c>
      <c r="B768" s="218" t="str">
        <f ca="1">IF(ResultColumnLabels[[#This Row],[Data Value Number]]="","",INDEX(DataColumns[ColumnLabel],MATCH(ResultColumnLabels[[#This Row],[Data Value Number]],DataColumns[DVNum],0)))</f>
        <v/>
      </c>
    </row>
    <row r="769" spans="1:2">
      <c r="A769" s="218" t="str">
        <f ca="1">IF(ROW()-1&gt;NumDataColumns,"",MAX(INDIRECT(CONCATENATE("R",ROW(ResultColumnLabels[#Headers]),"C",COLUMN(),":R",ROW()-1,"C",COLUMN()),FALSE))+1)</f>
        <v/>
      </c>
      <c r="B769" s="218" t="str">
        <f ca="1">IF(ResultColumnLabels[[#This Row],[Data Value Number]]="","",INDEX(DataColumns[ColumnLabel],MATCH(ResultColumnLabels[[#This Row],[Data Value Number]],DataColumns[DVNum],0)))</f>
        <v/>
      </c>
    </row>
    <row r="770" spans="1:2">
      <c r="A770" s="218" t="str">
        <f ca="1">IF(ROW()-1&gt;NumDataColumns,"",MAX(INDIRECT(CONCATENATE("R",ROW(ResultColumnLabels[#Headers]),"C",COLUMN(),":R",ROW()-1,"C",COLUMN()),FALSE))+1)</f>
        <v/>
      </c>
      <c r="B770" s="218" t="str">
        <f ca="1">IF(ResultColumnLabels[[#This Row],[Data Value Number]]="","",INDEX(DataColumns[ColumnLabel],MATCH(ResultColumnLabels[[#This Row],[Data Value Number]],DataColumns[DVNum],0)))</f>
        <v/>
      </c>
    </row>
    <row r="771" spans="1:2">
      <c r="A771" s="218" t="str">
        <f ca="1">IF(ROW()-1&gt;NumDataColumns,"",MAX(INDIRECT(CONCATENATE("R",ROW(ResultColumnLabels[#Headers]),"C",COLUMN(),":R",ROW()-1,"C",COLUMN()),FALSE))+1)</f>
        <v/>
      </c>
      <c r="B771" s="218" t="str">
        <f ca="1">IF(ResultColumnLabels[[#This Row],[Data Value Number]]="","",INDEX(DataColumns[ColumnLabel],MATCH(ResultColumnLabels[[#This Row],[Data Value Number]],DataColumns[DVNum],0)))</f>
        <v/>
      </c>
    </row>
    <row r="772" spans="1:2">
      <c r="A772" s="218" t="str">
        <f ca="1">IF(ROW()-1&gt;NumDataColumns,"",MAX(INDIRECT(CONCATENATE("R",ROW(ResultColumnLabels[#Headers]),"C",COLUMN(),":R",ROW()-1,"C",COLUMN()),FALSE))+1)</f>
        <v/>
      </c>
      <c r="B772" s="218" t="str">
        <f ca="1">IF(ResultColumnLabels[[#This Row],[Data Value Number]]="","",INDEX(DataColumns[ColumnLabel],MATCH(ResultColumnLabels[[#This Row],[Data Value Number]],DataColumns[DVNum],0)))</f>
        <v/>
      </c>
    </row>
    <row r="773" spans="1:2">
      <c r="A773" s="218" t="str">
        <f ca="1">IF(ROW()-1&gt;NumDataColumns,"",MAX(INDIRECT(CONCATENATE("R",ROW(ResultColumnLabels[#Headers]),"C",COLUMN(),":R",ROW()-1,"C",COLUMN()),FALSE))+1)</f>
        <v/>
      </c>
      <c r="B773" s="218" t="str">
        <f ca="1">IF(ResultColumnLabels[[#This Row],[Data Value Number]]="","",INDEX(DataColumns[ColumnLabel],MATCH(ResultColumnLabels[[#This Row],[Data Value Number]],DataColumns[DVNum],0)))</f>
        <v/>
      </c>
    </row>
    <row r="774" spans="1:2">
      <c r="A774" s="218" t="str">
        <f ca="1">IF(ROW()-1&gt;NumDataColumns,"",MAX(INDIRECT(CONCATENATE("R",ROW(ResultColumnLabels[#Headers]),"C",COLUMN(),":R",ROW()-1,"C",COLUMN()),FALSE))+1)</f>
        <v/>
      </c>
      <c r="B774" s="218" t="str">
        <f ca="1">IF(ResultColumnLabels[[#This Row],[Data Value Number]]="","",INDEX(DataColumns[ColumnLabel],MATCH(ResultColumnLabels[[#This Row],[Data Value Number]],DataColumns[DVNum],0)))</f>
        <v/>
      </c>
    </row>
    <row r="775" spans="1:2">
      <c r="A775" s="218" t="str">
        <f ca="1">IF(ROW()-1&gt;NumDataColumns,"",MAX(INDIRECT(CONCATENATE("R",ROW(ResultColumnLabels[#Headers]),"C",COLUMN(),":R",ROW()-1,"C",COLUMN()),FALSE))+1)</f>
        <v/>
      </c>
      <c r="B775" s="218" t="str">
        <f ca="1">IF(ResultColumnLabels[[#This Row],[Data Value Number]]="","",INDEX(DataColumns[ColumnLabel],MATCH(ResultColumnLabels[[#This Row],[Data Value Number]],DataColumns[DVNum],0)))</f>
        <v/>
      </c>
    </row>
    <row r="776" spans="1:2">
      <c r="A776" s="218" t="str">
        <f ca="1">IF(ROW()-1&gt;NumDataColumns,"",MAX(INDIRECT(CONCATENATE("R",ROW(ResultColumnLabels[#Headers]),"C",COLUMN(),":R",ROW()-1,"C",COLUMN()),FALSE))+1)</f>
        <v/>
      </c>
      <c r="B776" s="218" t="str">
        <f ca="1">IF(ResultColumnLabels[[#This Row],[Data Value Number]]="","",INDEX(DataColumns[ColumnLabel],MATCH(ResultColumnLabels[[#This Row],[Data Value Number]],DataColumns[DVNum],0)))</f>
        <v/>
      </c>
    </row>
    <row r="777" spans="1:2">
      <c r="A777" s="218" t="str">
        <f ca="1">IF(ROW()-1&gt;NumDataColumns,"",MAX(INDIRECT(CONCATENATE("R",ROW(ResultColumnLabels[#Headers]),"C",COLUMN(),":R",ROW()-1,"C",COLUMN()),FALSE))+1)</f>
        <v/>
      </c>
      <c r="B777" s="218" t="str">
        <f ca="1">IF(ResultColumnLabels[[#This Row],[Data Value Number]]="","",INDEX(DataColumns[ColumnLabel],MATCH(ResultColumnLabels[[#This Row],[Data Value Number]],DataColumns[DVNum],0)))</f>
        <v/>
      </c>
    </row>
    <row r="778" spans="1:2">
      <c r="A778" s="218" t="str">
        <f ca="1">IF(ROW()-1&gt;NumDataColumns,"",MAX(INDIRECT(CONCATENATE("R",ROW(ResultColumnLabels[#Headers]),"C",COLUMN(),":R",ROW()-1,"C",COLUMN()),FALSE))+1)</f>
        <v/>
      </c>
      <c r="B778" s="218" t="str">
        <f ca="1">IF(ResultColumnLabels[[#This Row],[Data Value Number]]="","",INDEX(DataColumns[ColumnLabel],MATCH(ResultColumnLabels[[#This Row],[Data Value Number]],DataColumns[DVNum],0)))</f>
        <v/>
      </c>
    </row>
    <row r="779" spans="1:2">
      <c r="A779" s="218" t="str">
        <f ca="1">IF(ROW()-1&gt;NumDataColumns,"",MAX(INDIRECT(CONCATENATE("R",ROW(ResultColumnLabels[#Headers]),"C",COLUMN(),":R",ROW()-1,"C",COLUMN()),FALSE))+1)</f>
        <v/>
      </c>
      <c r="B779" s="218" t="str">
        <f ca="1">IF(ResultColumnLabels[[#This Row],[Data Value Number]]="","",INDEX(DataColumns[ColumnLabel],MATCH(ResultColumnLabels[[#This Row],[Data Value Number]],DataColumns[DVNum],0)))</f>
        <v/>
      </c>
    </row>
    <row r="780" spans="1:2">
      <c r="A780" s="218" t="str">
        <f ca="1">IF(ROW()-1&gt;NumDataColumns,"",MAX(INDIRECT(CONCATENATE("R",ROW(ResultColumnLabels[#Headers]),"C",COLUMN(),":R",ROW()-1,"C",COLUMN()),FALSE))+1)</f>
        <v/>
      </c>
      <c r="B780" s="218" t="str">
        <f ca="1">IF(ResultColumnLabels[[#This Row],[Data Value Number]]="","",INDEX(DataColumns[ColumnLabel],MATCH(ResultColumnLabels[[#This Row],[Data Value Number]],DataColumns[DVNum],0)))</f>
        <v/>
      </c>
    </row>
    <row r="781" spans="1:2">
      <c r="A781" s="218" t="str">
        <f ca="1">IF(ROW()-1&gt;NumDataColumns,"",MAX(INDIRECT(CONCATENATE("R",ROW(ResultColumnLabels[#Headers]),"C",COLUMN(),":R",ROW()-1,"C",COLUMN()),FALSE))+1)</f>
        <v/>
      </c>
      <c r="B781" s="218" t="str">
        <f ca="1">IF(ResultColumnLabels[[#This Row],[Data Value Number]]="","",INDEX(DataColumns[ColumnLabel],MATCH(ResultColumnLabels[[#This Row],[Data Value Number]],DataColumns[DVNum],0)))</f>
        <v/>
      </c>
    </row>
    <row r="782" spans="1:2">
      <c r="A782" s="218" t="str">
        <f ca="1">IF(ROW()-1&gt;NumDataColumns,"",MAX(INDIRECT(CONCATENATE("R",ROW(ResultColumnLabels[#Headers]),"C",COLUMN(),":R",ROW()-1,"C",COLUMN()),FALSE))+1)</f>
        <v/>
      </c>
      <c r="B782" s="218" t="str">
        <f ca="1">IF(ResultColumnLabels[[#This Row],[Data Value Number]]="","",INDEX(DataColumns[ColumnLabel],MATCH(ResultColumnLabels[[#This Row],[Data Value Number]],DataColumns[DVNum],0)))</f>
        <v/>
      </c>
    </row>
    <row r="783" spans="1:2">
      <c r="A783" s="218" t="str">
        <f ca="1">IF(ROW()-1&gt;NumDataColumns,"",MAX(INDIRECT(CONCATENATE("R",ROW(ResultColumnLabels[#Headers]),"C",COLUMN(),":R",ROW()-1,"C",COLUMN()),FALSE))+1)</f>
        <v/>
      </c>
      <c r="B783" s="218" t="str">
        <f ca="1">IF(ResultColumnLabels[[#This Row],[Data Value Number]]="","",INDEX(DataColumns[ColumnLabel],MATCH(ResultColumnLabels[[#This Row],[Data Value Number]],DataColumns[DVNum],0)))</f>
        <v/>
      </c>
    </row>
    <row r="784" spans="1:2">
      <c r="A784" s="218" t="str">
        <f ca="1">IF(ROW()-1&gt;NumDataColumns,"",MAX(INDIRECT(CONCATENATE("R",ROW(ResultColumnLabels[#Headers]),"C",COLUMN(),":R",ROW()-1,"C",COLUMN()),FALSE))+1)</f>
        <v/>
      </c>
      <c r="B784" s="218" t="str">
        <f ca="1">IF(ResultColumnLabels[[#This Row],[Data Value Number]]="","",INDEX(DataColumns[ColumnLabel],MATCH(ResultColumnLabels[[#This Row],[Data Value Number]],DataColumns[DVNum],0)))</f>
        <v/>
      </c>
    </row>
    <row r="785" spans="1:2">
      <c r="A785" s="218" t="str">
        <f ca="1">IF(ROW()-1&gt;NumDataColumns,"",MAX(INDIRECT(CONCATENATE("R",ROW(ResultColumnLabels[#Headers]),"C",COLUMN(),":R",ROW()-1,"C",COLUMN()),FALSE))+1)</f>
        <v/>
      </c>
      <c r="B785" s="218" t="str">
        <f ca="1">IF(ResultColumnLabels[[#This Row],[Data Value Number]]="","",INDEX(DataColumns[ColumnLabel],MATCH(ResultColumnLabels[[#This Row],[Data Value Number]],DataColumns[DVNum],0)))</f>
        <v/>
      </c>
    </row>
    <row r="786" spans="1:2">
      <c r="A786" s="218" t="str">
        <f ca="1">IF(ROW()-1&gt;NumDataColumns,"",MAX(INDIRECT(CONCATENATE("R",ROW(ResultColumnLabels[#Headers]),"C",COLUMN(),":R",ROW()-1,"C",COLUMN()),FALSE))+1)</f>
        <v/>
      </c>
      <c r="B786" s="218" t="str">
        <f ca="1">IF(ResultColumnLabels[[#This Row],[Data Value Number]]="","",INDEX(DataColumns[ColumnLabel],MATCH(ResultColumnLabels[[#This Row],[Data Value Number]],DataColumns[DVNum],0)))</f>
        <v/>
      </c>
    </row>
    <row r="787" spans="1:2">
      <c r="A787" s="218" t="str">
        <f ca="1">IF(ROW()-1&gt;NumDataColumns,"",MAX(INDIRECT(CONCATENATE("R",ROW(ResultColumnLabels[#Headers]),"C",COLUMN(),":R",ROW()-1,"C",COLUMN()),FALSE))+1)</f>
        <v/>
      </c>
      <c r="B787" s="218" t="str">
        <f ca="1">IF(ResultColumnLabels[[#This Row],[Data Value Number]]="","",INDEX(DataColumns[ColumnLabel],MATCH(ResultColumnLabels[[#This Row],[Data Value Number]],DataColumns[DVNum],0)))</f>
        <v/>
      </c>
    </row>
    <row r="788" spans="1:2">
      <c r="A788" s="218" t="str">
        <f ca="1">IF(ROW()-1&gt;NumDataColumns,"",MAX(INDIRECT(CONCATENATE("R",ROW(ResultColumnLabels[#Headers]),"C",COLUMN(),":R",ROW()-1,"C",COLUMN()),FALSE))+1)</f>
        <v/>
      </c>
      <c r="B788" s="218" t="str">
        <f ca="1">IF(ResultColumnLabels[[#This Row],[Data Value Number]]="","",INDEX(DataColumns[ColumnLabel],MATCH(ResultColumnLabels[[#This Row],[Data Value Number]],DataColumns[DVNum],0)))</f>
        <v/>
      </c>
    </row>
    <row r="789" spans="1:2">
      <c r="A789" s="218" t="str">
        <f ca="1">IF(ROW()-1&gt;NumDataColumns,"",MAX(INDIRECT(CONCATENATE("R",ROW(ResultColumnLabels[#Headers]),"C",COLUMN(),":R",ROW()-1,"C",COLUMN()),FALSE))+1)</f>
        <v/>
      </c>
      <c r="B789" s="218" t="str">
        <f ca="1">IF(ResultColumnLabels[[#This Row],[Data Value Number]]="","",INDEX(DataColumns[ColumnLabel],MATCH(ResultColumnLabels[[#This Row],[Data Value Number]],DataColumns[DVNum],0)))</f>
        <v/>
      </c>
    </row>
    <row r="790" spans="1:2">
      <c r="A790" s="218" t="str">
        <f ca="1">IF(ROW()-1&gt;NumDataColumns,"",MAX(INDIRECT(CONCATENATE("R",ROW(ResultColumnLabels[#Headers]),"C",COLUMN(),":R",ROW()-1,"C",COLUMN()),FALSE))+1)</f>
        <v/>
      </c>
      <c r="B790" s="218" t="str">
        <f ca="1">IF(ResultColumnLabels[[#This Row],[Data Value Number]]="","",INDEX(DataColumns[ColumnLabel],MATCH(ResultColumnLabels[[#This Row],[Data Value Number]],DataColumns[DVNum],0)))</f>
        <v/>
      </c>
    </row>
    <row r="791" spans="1:2">
      <c r="A791" s="218" t="str">
        <f ca="1">IF(ROW()-1&gt;NumDataColumns,"",MAX(INDIRECT(CONCATENATE("R",ROW(ResultColumnLabels[#Headers]),"C",COLUMN(),":R",ROW()-1,"C",COLUMN()),FALSE))+1)</f>
        <v/>
      </c>
      <c r="B791" s="218" t="str">
        <f ca="1">IF(ResultColumnLabels[[#This Row],[Data Value Number]]="","",INDEX(DataColumns[ColumnLabel],MATCH(ResultColumnLabels[[#This Row],[Data Value Number]],DataColumns[DVNum],0)))</f>
        <v/>
      </c>
    </row>
    <row r="792" spans="1:2">
      <c r="A792" s="218" t="str">
        <f ca="1">IF(ROW()-1&gt;NumDataColumns,"",MAX(INDIRECT(CONCATENATE("R",ROW(ResultColumnLabels[#Headers]),"C",COLUMN(),":R",ROW()-1,"C",COLUMN()),FALSE))+1)</f>
        <v/>
      </c>
      <c r="B792" s="218" t="str">
        <f ca="1">IF(ResultColumnLabels[[#This Row],[Data Value Number]]="","",INDEX(DataColumns[ColumnLabel],MATCH(ResultColumnLabels[[#This Row],[Data Value Number]],DataColumns[DVNum],0)))</f>
        <v/>
      </c>
    </row>
    <row r="793" spans="1:2">
      <c r="A793" s="218" t="str">
        <f ca="1">IF(ROW()-1&gt;NumDataColumns,"",MAX(INDIRECT(CONCATENATE("R",ROW(ResultColumnLabels[#Headers]),"C",COLUMN(),":R",ROW()-1,"C",COLUMN()),FALSE))+1)</f>
        <v/>
      </c>
      <c r="B793" s="218" t="str">
        <f ca="1">IF(ResultColumnLabels[[#This Row],[Data Value Number]]="","",INDEX(DataColumns[ColumnLabel],MATCH(ResultColumnLabels[[#This Row],[Data Value Number]],DataColumns[DVNum],0)))</f>
        <v/>
      </c>
    </row>
    <row r="794" spans="1:2">
      <c r="A794" s="218" t="str">
        <f ca="1">IF(ROW()-1&gt;NumDataColumns,"",MAX(INDIRECT(CONCATENATE("R",ROW(ResultColumnLabels[#Headers]),"C",COLUMN(),":R",ROW()-1,"C",COLUMN()),FALSE))+1)</f>
        <v/>
      </c>
      <c r="B794" s="218" t="str">
        <f ca="1">IF(ResultColumnLabels[[#This Row],[Data Value Number]]="","",INDEX(DataColumns[ColumnLabel],MATCH(ResultColumnLabels[[#This Row],[Data Value Number]],DataColumns[DVNum],0)))</f>
        <v/>
      </c>
    </row>
    <row r="795" spans="1:2">
      <c r="A795" s="218" t="str">
        <f ca="1">IF(ROW()-1&gt;NumDataColumns,"",MAX(INDIRECT(CONCATENATE("R",ROW(ResultColumnLabels[#Headers]),"C",COLUMN(),":R",ROW()-1,"C",COLUMN()),FALSE))+1)</f>
        <v/>
      </c>
      <c r="B795" s="218" t="str">
        <f ca="1">IF(ResultColumnLabels[[#This Row],[Data Value Number]]="","",INDEX(DataColumns[ColumnLabel],MATCH(ResultColumnLabels[[#This Row],[Data Value Number]],DataColumns[DVNum],0)))</f>
        <v/>
      </c>
    </row>
    <row r="796" spans="1:2">
      <c r="A796" s="218" t="str">
        <f ca="1">IF(ROW()-1&gt;NumDataColumns,"",MAX(INDIRECT(CONCATENATE("R",ROW(ResultColumnLabels[#Headers]),"C",COLUMN(),":R",ROW()-1,"C",COLUMN()),FALSE))+1)</f>
        <v/>
      </c>
      <c r="B796" s="218" t="str">
        <f ca="1">IF(ResultColumnLabels[[#This Row],[Data Value Number]]="","",INDEX(DataColumns[ColumnLabel],MATCH(ResultColumnLabels[[#This Row],[Data Value Number]],DataColumns[DVNum],0)))</f>
        <v/>
      </c>
    </row>
    <row r="797" spans="1:2">
      <c r="A797" s="218" t="str">
        <f ca="1">IF(ROW()-1&gt;NumDataColumns,"",MAX(INDIRECT(CONCATENATE("R",ROW(ResultColumnLabels[#Headers]),"C",COLUMN(),":R",ROW()-1,"C",COLUMN()),FALSE))+1)</f>
        <v/>
      </c>
      <c r="B797" s="218" t="str">
        <f ca="1">IF(ResultColumnLabels[[#This Row],[Data Value Number]]="","",INDEX(DataColumns[ColumnLabel],MATCH(ResultColumnLabels[[#This Row],[Data Value Number]],DataColumns[DVNum],0)))</f>
        <v/>
      </c>
    </row>
    <row r="798" spans="1:2">
      <c r="A798" s="218" t="str">
        <f ca="1">IF(ROW()-1&gt;NumDataColumns,"",MAX(INDIRECT(CONCATENATE("R",ROW(ResultColumnLabels[#Headers]),"C",COLUMN(),":R",ROW()-1,"C",COLUMN()),FALSE))+1)</f>
        <v/>
      </c>
      <c r="B798" s="218" t="str">
        <f ca="1">IF(ResultColumnLabels[[#This Row],[Data Value Number]]="","",INDEX(DataColumns[ColumnLabel],MATCH(ResultColumnLabels[[#This Row],[Data Value Number]],DataColumns[DVNum],0)))</f>
        <v/>
      </c>
    </row>
    <row r="799" spans="1:2">
      <c r="A799" s="218" t="str">
        <f ca="1">IF(ROW()-1&gt;NumDataColumns,"",MAX(INDIRECT(CONCATENATE("R",ROW(ResultColumnLabels[#Headers]),"C",COLUMN(),":R",ROW()-1,"C",COLUMN()),FALSE))+1)</f>
        <v/>
      </c>
      <c r="B799" s="218" t="str">
        <f ca="1">IF(ResultColumnLabels[[#This Row],[Data Value Number]]="","",INDEX(DataColumns[ColumnLabel],MATCH(ResultColumnLabels[[#This Row],[Data Value Number]],DataColumns[DVNum],0)))</f>
        <v/>
      </c>
    </row>
    <row r="800" spans="1:2">
      <c r="A800" s="218" t="str">
        <f ca="1">IF(ROW()-1&gt;NumDataColumns,"",MAX(INDIRECT(CONCATENATE("R",ROW(ResultColumnLabels[#Headers]),"C",COLUMN(),":R",ROW()-1,"C",COLUMN()),FALSE))+1)</f>
        <v/>
      </c>
      <c r="B800" s="218" t="str">
        <f ca="1">IF(ResultColumnLabels[[#This Row],[Data Value Number]]="","",INDEX(DataColumns[ColumnLabel],MATCH(ResultColumnLabels[[#This Row],[Data Value Number]],DataColumns[DVNum],0)))</f>
        <v/>
      </c>
    </row>
    <row r="801" spans="1:2">
      <c r="A801" s="218" t="str">
        <f ca="1">IF(ROW()-1&gt;NumDataColumns,"",MAX(INDIRECT(CONCATENATE("R",ROW(ResultColumnLabels[#Headers]),"C",COLUMN(),":R",ROW()-1,"C",COLUMN()),FALSE))+1)</f>
        <v/>
      </c>
      <c r="B801" s="218" t="str">
        <f ca="1">IF(ResultColumnLabels[[#This Row],[Data Value Number]]="","",INDEX(DataColumns[ColumnLabel],MATCH(ResultColumnLabels[[#This Row],[Data Value Number]],DataColumns[DVNum],0)))</f>
        <v/>
      </c>
    </row>
    <row r="802" spans="1:2">
      <c r="A802" s="218" t="str">
        <f ca="1">IF(ROW()-1&gt;NumDataColumns,"",MAX(INDIRECT(CONCATENATE("R",ROW(ResultColumnLabels[#Headers]),"C",COLUMN(),":R",ROW()-1,"C",COLUMN()),FALSE))+1)</f>
        <v/>
      </c>
      <c r="B802" s="218" t="str">
        <f ca="1">IF(ResultColumnLabels[[#This Row],[Data Value Number]]="","",INDEX(DataColumns[ColumnLabel],MATCH(ResultColumnLabels[[#This Row],[Data Value Number]],DataColumns[DVNum],0)))</f>
        <v/>
      </c>
    </row>
    <row r="803" spans="1:2">
      <c r="A803" s="218" t="str">
        <f ca="1">IF(ROW()-1&gt;NumDataColumns,"",MAX(INDIRECT(CONCATENATE("R",ROW(ResultColumnLabels[#Headers]),"C",COLUMN(),":R",ROW()-1,"C",COLUMN()),FALSE))+1)</f>
        <v/>
      </c>
      <c r="B803" s="218" t="str">
        <f ca="1">IF(ResultColumnLabels[[#This Row],[Data Value Number]]="","",INDEX(DataColumns[ColumnLabel],MATCH(ResultColumnLabels[[#This Row],[Data Value Number]],DataColumns[DVNum],0)))</f>
        <v/>
      </c>
    </row>
    <row r="804" spans="1:2">
      <c r="A804" s="218" t="str">
        <f ca="1">IF(ROW()-1&gt;NumDataColumns,"",MAX(INDIRECT(CONCATENATE("R",ROW(ResultColumnLabels[#Headers]),"C",COLUMN(),":R",ROW()-1,"C",COLUMN()),FALSE))+1)</f>
        <v/>
      </c>
      <c r="B804" s="218" t="str">
        <f ca="1">IF(ResultColumnLabels[[#This Row],[Data Value Number]]="","",INDEX(DataColumns[ColumnLabel],MATCH(ResultColumnLabels[[#This Row],[Data Value Number]],DataColumns[DVNum],0)))</f>
        <v/>
      </c>
    </row>
    <row r="805" spans="1:2">
      <c r="A805" s="218" t="str">
        <f ca="1">IF(ROW()-1&gt;NumDataColumns,"",MAX(INDIRECT(CONCATENATE("R",ROW(ResultColumnLabels[#Headers]),"C",COLUMN(),":R",ROW()-1,"C",COLUMN()),FALSE))+1)</f>
        <v/>
      </c>
      <c r="B805" s="218" t="str">
        <f ca="1">IF(ResultColumnLabels[[#This Row],[Data Value Number]]="","",INDEX(DataColumns[ColumnLabel],MATCH(ResultColumnLabels[[#This Row],[Data Value Number]],DataColumns[DVNum],0)))</f>
        <v/>
      </c>
    </row>
    <row r="806" spans="1:2">
      <c r="A806" s="218" t="str">
        <f ca="1">IF(ROW()-1&gt;NumDataColumns,"",MAX(INDIRECT(CONCATENATE("R",ROW(ResultColumnLabels[#Headers]),"C",COLUMN(),":R",ROW()-1,"C",COLUMN()),FALSE))+1)</f>
        <v/>
      </c>
      <c r="B806" s="218" t="str">
        <f ca="1">IF(ResultColumnLabels[[#This Row],[Data Value Number]]="","",INDEX(DataColumns[ColumnLabel],MATCH(ResultColumnLabels[[#This Row],[Data Value Number]],DataColumns[DVNum],0)))</f>
        <v/>
      </c>
    </row>
    <row r="807" spans="1:2">
      <c r="A807" s="218" t="str">
        <f ca="1">IF(ROW()-1&gt;NumDataColumns,"",MAX(INDIRECT(CONCATENATE("R",ROW(ResultColumnLabels[#Headers]),"C",COLUMN(),":R",ROW()-1,"C",COLUMN()),FALSE))+1)</f>
        <v/>
      </c>
      <c r="B807" s="218" t="str">
        <f ca="1">IF(ResultColumnLabels[[#This Row],[Data Value Number]]="","",INDEX(DataColumns[ColumnLabel],MATCH(ResultColumnLabels[[#This Row],[Data Value Number]],DataColumns[DVNum],0)))</f>
        <v/>
      </c>
    </row>
    <row r="808" spans="1:2">
      <c r="A808" s="218" t="str">
        <f ca="1">IF(ROW()-1&gt;NumDataColumns,"",MAX(INDIRECT(CONCATENATE("R",ROW(ResultColumnLabels[#Headers]),"C",COLUMN(),":R",ROW()-1,"C",COLUMN()),FALSE))+1)</f>
        <v/>
      </c>
      <c r="B808" s="218" t="str">
        <f ca="1">IF(ResultColumnLabels[[#This Row],[Data Value Number]]="","",INDEX(DataColumns[ColumnLabel],MATCH(ResultColumnLabels[[#This Row],[Data Value Number]],DataColumns[DVNum],0)))</f>
        <v/>
      </c>
    </row>
    <row r="809" spans="1:2">
      <c r="A809" s="218" t="str">
        <f ca="1">IF(ROW()-1&gt;NumDataColumns,"",MAX(INDIRECT(CONCATENATE("R",ROW(ResultColumnLabels[#Headers]),"C",COLUMN(),":R",ROW()-1,"C",COLUMN()),FALSE))+1)</f>
        <v/>
      </c>
      <c r="B809" s="218" t="str">
        <f ca="1">IF(ResultColumnLabels[[#This Row],[Data Value Number]]="","",INDEX(DataColumns[ColumnLabel],MATCH(ResultColumnLabels[[#This Row],[Data Value Number]],DataColumns[DVNum],0)))</f>
        <v/>
      </c>
    </row>
    <row r="810" spans="1:2">
      <c r="A810" s="218" t="str">
        <f ca="1">IF(ROW()-1&gt;NumDataColumns,"",MAX(INDIRECT(CONCATENATE("R",ROW(ResultColumnLabels[#Headers]),"C",COLUMN(),":R",ROW()-1,"C",COLUMN()),FALSE))+1)</f>
        <v/>
      </c>
      <c r="B810" s="218" t="str">
        <f ca="1">IF(ResultColumnLabels[[#This Row],[Data Value Number]]="","",INDEX(DataColumns[ColumnLabel],MATCH(ResultColumnLabels[[#This Row],[Data Value Number]],DataColumns[DVNum],0)))</f>
        <v/>
      </c>
    </row>
    <row r="811" spans="1:2">
      <c r="A811" s="218" t="str">
        <f ca="1">IF(ROW()-1&gt;NumDataColumns,"",MAX(INDIRECT(CONCATENATE("R",ROW(ResultColumnLabels[#Headers]),"C",COLUMN(),":R",ROW()-1,"C",COLUMN()),FALSE))+1)</f>
        <v/>
      </c>
      <c r="B811" s="218" t="str">
        <f ca="1">IF(ResultColumnLabels[[#This Row],[Data Value Number]]="","",INDEX(DataColumns[ColumnLabel],MATCH(ResultColumnLabels[[#This Row],[Data Value Number]],DataColumns[DVNum],0)))</f>
        <v/>
      </c>
    </row>
    <row r="812" spans="1:2">
      <c r="A812" s="218" t="str">
        <f ca="1">IF(ROW()-1&gt;NumDataColumns,"",MAX(INDIRECT(CONCATENATE("R",ROW(ResultColumnLabels[#Headers]),"C",COLUMN(),":R",ROW()-1,"C",COLUMN()),FALSE))+1)</f>
        <v/>
      </c>
      <c r="B812" s="218" t="str">
        <f ca="1">IF(ResultColumnLabels[[#This Row],[Data Value Number]]="","",INDEX(DataColumns[ColumnLabel],MATCH(ResultColumnLabels[[#This Row],[Data Value Number]],DataColumns[DVNum],0)))</f>
        <v/>
      </c>
    </row>
    <row r="813" spans="1:2">
      <c r="A813" s="218" t="str">
        <f ca="1">IF(ROW()-1&gt;NumDataColumns,"",MAX(INDIRECT(CONCATENATE("R",ROW(ResultColumnLabels[#Headers]),"C",COLUMN(),":R",ROW()-1,"C",COLUMN()),FALSE))+1)</f>
        <v/>
      </c>
      <c r="B813" s="218" t="str">
        <f ca="1">IF(ResultColumnLabels[[#This Row],[Data Value Number]]="","",INDEX(DataColumns[ColumnLabel],MATCH(ResultColumnLabels[[#This Row],[Data Value Number]],DataColumns[DVNum],0)))</f>
        <v/>
      </c>
    </row>
    <row r="814" spans="1:2">
      <c r="A814" s="218" t="str">
        <f ca="1">IF(ROW()-1&gt;NumDataColumns,"",MAX(INDIRECT(CONCATENATE("R",ROW(ResultColumnLabels[#Headers]),"C",COLUMN(),":R",ROW()-1,"C",COLUMN()),FALSE))+1)</f>
        <v/>
      </c>
      <c r="B814" s="218" t="str">
        <f ca="1">IF(ResultColumnLabels[[#This Row],[Data Value Number]]="","",INDEX(DataColumns[ColumnLabel],MATCH(ResultColumnLabels[[#This Row],[Data Value Number]],DataColumns[DVNum],0)))</f>
        <v/>
      </c>
    </row>
    <row r="815" spans="1:2">
      <c r="A815" s="218" t="str">
        <f ca="1">IF(ROW()-1&gt;NumDataColumns,"",MAX(INDIRECT(CONCATENATE("R",ROW(ResultColumnLabels[#Headers]),"C",COLUMN(),":R",ROW()-1,"C",COLUMN()),FALSE))+1)</f>
        <v/>
      </c>
      <c r="B815" s="218" t="str">
        <f ca="1">IF(ResultColumnLabels[[#This Row],[Data Value Number]]="","",INDEX(DataColumns[ColumnLabel],MATCH(ResultColumnLabels[[#This Row],[Data Value Number]],DataColumns[DVNum],0)))</f>
        <v/>
      </c>
    </row>
    <row r="816" spans="1:2">
      <c r="A816" s="218" t="str">
        <f ca="1">IF(ROW()-1&gt;NumDataColumns,"",MAX(INDIRECT(CONCATENATE("R",ROW(ResultColumnLabels[#Headers]),"C",COLUMN(),":R",ROW()-1,"C",COLUMN()),FALSE))+1)</f>
        <v/>
      </c>
      <c r="B816" s="218" t="str">
        <f ca="1">IF(ResultColumnLabels[[#This Row],[Data Value Number]]="","",INDEX(DataColumns[ColumnLabel],MATCH(ResultColumnLabels[[#This Row],[Data Value Number]],DataColumns[DVNum],0)))</f>
        <v/>
      </c>
    </row>
    <row r="817" spans="1:2">
      <c r="A817" s="218" t="str">
        <f ca="1">IF(ROW()-1&gt;NumDataColumns,"",MAX(INDIRECT(CONCATENATE("R",ROW(ResultColumnLabels[#Headers]),"C",COLUMN(),":R",ROW()-1,"C",COLUMN()),FALSE))+1)</f>
        <v/>
      </c>
      <c r="B817" s="218" t="str">
        <f ca="1">IF(ResultColumnLabels[[#This Row],[Data Value Number]]="","",INDEX(DataColumns[ColumnLabel],MATCH(ResultColumnLabels[[#This Row],[Data Value Number]],DataColumns[DVNum],0)))</f>
        <v/>
      </c>
    </row>
    <row r="818" spans="1:2">
      <c r="A818" s="218" t="str">
        <f ca="1">IF(ROW()-1&gt;NumDataColumns,"",MAX(INDIRECT(CONCATENATE("R",ROW(ResultColumnLabels[#Headers]),"C",COLUMN(),":R",ROW()-1,"C",COLUMN()),FALSE))+1)</f>
        <v/>
      </c>
      <c r="B818" s="218" t="str">
        <f ca="1">IF(ResultColumnLabels[[#This Row],[Data Value Number]]="","",INDEX(DataColumns[ColumnLabel],MATCH(ResultColumnLabels[[#This Row],[Data Value Number]],DataColumns[DVNum],0)))</f>
        <v/>
      </c>
    </row>
    <row r="819" spans="1:2">
      <c r="A819" s="218" t="str">
        <f ca="1">IF(ROW()-1&gt;NumDataColumns,"",MAX(INDIRECT(CONCATENATE("R",ROW(ResultColumnLabels[#Headers]),"C",COLUMN(),":R",ROW()-1,"C",COLUMN()),FALSE))+1)</f>
        <v/>
      </c>
      <c r="B819" s="218" t="str">
        <f ca="1">IF(ResultColumnLabels[[#This Row],[Data Value Number]]="","",INDEX(DataColumns[ColumnLabel],MATCH(ResultColumnLabels[[#This Row],[Data Value Number]],DataColumns[DVNum],0)))</f>
        <v/>
      </c>
    </row>
    <row r="820" spans="1:2">
      <c r="A820" s="218" t="str">
        <f ca="1">IF(ROW()-1&gt;NumDataColumns,"",MAX(INDIRECT(CONCATENATE("R",ROW(ResultColumnLabels[#Headers]),"C",COLUMN(),":R",ROW()-1,"C",COLUMN()),FALSE))+1)</f>
        <v/>
      </c>
      <c r="B820" s="218" t="str">
        <f ca="1">IF(ResultColumnLabels[[#This Row],[Data Value Number]]="","",INDEX(DataColumns[ColumnLabel],MATCH(ResultColumnLabels[[#This Row],[Data Value Number]],DataColumns[DVNum],0)))</f>
        <v/>
      </c>
    </row>
    <row r="821" spans="1:2">
      <c r="A821" s="218" t="str">
        <f ca="1">IF(ROW()-1&gt;NumDataColumns,"",MAX(INDIRECT(CONCATENATE("R",ROW(ResultColumnLabels[#Headers]),"C",COLUMN(),":R",ROW()-1,"C",COLUMN()),FALSE))+1)</f>
        <v/>
      </c>
      <c r="B821" s="218" t="str">
        <f ca="1">IF(ResultColumnLabels[[#This Row],[Data Value Number]]="","",INDEX(DataColumns[ColumnLabel],MATCH(ResultColumnLabels[[#This Row],[Data Value Number]],DataColumns[DVNum],0)))</f>
        <v/>
      </c>
    </row>
    <row r="822" spans="1:2">
      <c r="A822" s="218" t="str">
        <f ca="1">IF(ROW()-1&gt;NumDataColumns,"",MAX(INDIRECT(CONCATENATE("R",ROW(ResultColumnLabels[#Headers]),"C",COLUMN(),":R",ROW()-1,"C",COLUMN()),FALSE))+1)</f>
        <v/>
      </c>
      <c r="B822" s="218" t="str">
        <f ca="1">IF(ResultColumnLabels[[#This Row],[Data Value Number]]="","",INDEX(DataColumns[ColumnLabel],MATCH(ResultColumnLabels[[#This Row],[Data Value Number]],DataColumns[DVNum],0)))</f>
        <v/>
      </c>
    </row>
    <row r="823" spans="1:2">
      <c r="A823" s="218" t="str">
        <f ca="1">IF(ROW()-1&gt;NumDataColumns,"",MAX(INDIRECT(CONCATENATE("R",ROW(ResultColumnLabels[#Headers]),"C",COLUMN(),":R",ROW()-1,"C",COLUMN()),FALSE))+1)</f>
        <v/>
      </c>
      <c r="B823" s="218" t="str">
        <f ca="1">IF(ResultColumnLabels[[#This Row],[Data Value Number]]="","",INDEX(DataColumns[ColumnLabel],MATCH(ResultColumnLabels[[#This Row],[Data Value Number]],DataColumns[DVNum],0)))</f>
        <v/>
      </c>
    </row>
    <row r="824" spans="1:2">
      <c r="A824" s="218" t="str">
        <f ca="1">IF(ROW()-1&gt;NumDataColumns,"",MAX(INDIRECT(CONCATENATE("R",ROW(ResultColumnLabels[#Headers]),"C",COLUMN(),":R",ROW()-1,"C",COLUMN()),FALSE))+1)</f>
        <v/>
      </c>
      <c r="B824" s="218" t="str">
        <f ca="1">IF(ResultColumnLabels[[#This Row],[Data Value Number]]="","",INDEX(DataColumns[ColumnLabel],MATCH(ResultColumnLabels[[#This Row],[Data Value Number]],DataColumns[DVNum],0)))</f>
        <v/>
      </c>
    </row>
    <row r="825" spans="1:2">
      <c r="A825" s="218" t="str">
        <f ca="1">IF(ROW()-1&gt;NumDataColumns,"",MAX(INDIRECT(CONCATENATE("R",ROW(ResultColumnLabels[#Headers]),"C",COLUMN(),":R",ROW()-1,"C",COLUMN()),FALSE))+1)</f>
        <v/>
      </c>
      <c r="B825" s="218" t="str">
        <f ca="1">IF(ResultColumnLabels[[#This Row],[Data Value Number]]="","",INDEX(DataColumns[ColumnLabel],MATCH(ResultColumnLabels[[#This Row],[Data Value Number]],DataColumns[DVNum],0)))</f>
        <v/>
      </c>
    </row>
    <row r="826" spans="1:2">
      <c r="A826" s="218" t="str">
        <f ca="1">IF(ROW()-1&gt;NumDataColumns,"",MAX(INDIRECT(CONCATENATE("R",ROW(ResultColumnLabels[#Headers]),"C",COLUMN(),":R",ROW()-1,"C",COLUMN()),FALSE))+1)</f>
        <v/>
      </c>
      <c r="B826" s="218" t="str">
        <f ca="1">IF(ResultColumnLabels[[#This Row],[Data Value Number]]="","",INDEX(DataColumns[ColumnLabel],MATCH(ResultColumnLabels[[#This Row],[Data Value Number]],DataColumns[DVNum],0)))</f>
        <v/>
      </c>
    </row>
    <row r="827" spans="1:2">
      <c r="A827" s="218" t="str">
        <f ca="1">IF(ROW()-1&gt;NumDataColumns,"",MAX(INDIRECT(CONCATENATE("R",ROW(ResultColumnLabels[#Headers]),"C",COLUMN(),":R",ROW()-1,"C",COLUMN()),FALSE))+1)</f>
        <v/>
      </c>
      <c r="B827" s="218" t="str">
        <f ca="1">IF(ResultColumnLabels[[#This Row],[Data Value Number]]="","",INDEX(DataColumns[ColumnLabel],MATCH(ResultColumnLabels[[#This Row],[Data Value Number]],DataColumns[DVNum],0)))</f>
        <v/>
      </c>
    </row>
    <row r="828" spans="1:2">
      <c r="A828" s="218" t="str">
        <f ca="1">IF(ROW()-1&gt;NumDataColumns,"",MAX(INDIRECT(CONCATENATE("R",ROW(ResultColumnLabels[#Headers]),"C",COLUMN(),":R",ROW()-1,"C",COLUMN()),FALSE))+1)</f>
        <v/>
      </c>
      <c r="B828" s="218" t="str">
        <f ca="1">IF(ResultColumnLabels[[#This Row],[Data Value Number]]="","",INDEX(DataColumns[ColumnLabel],MATCH(ResultColumnLabels[[#This Row],[Data Value Number]],DataColumns[DVNum],0)))</f>
        <v/>
      </c>
    </row>
    <row r="829" spans="1:2">
      <c r="A829" s="218" t="str">
        <f ca="1">IF(ROW()-1&gt;NumDataColumns,"",MAX(INDIRECT(CONCATENATE("R",ROW(ResultColumnLabels[#Headers]),"C",COLUMN(),":R",ROW()-1,"C",COLUMN()),FALSE))+1)</f>
        <v/>
      </c>
      <c r="B829" s="218" t="str">
        <f ca="1">IF(ResultColumnLabels[[#This Row],[Data Value Number]]="","",INDEX(DataColumns[ColumnLabel],MATCH(ResultColumnLabels[[#This Row],[Data Value Number]],DataColumns[DVNum],0)))</f>
        <v/>
      </c>
    </row>
    <row r="830" spans="1:2">
      <c r="A830" s="218" t="str">
        <f ca="1">IF(ROW()-1&gt;NumDataColumns,"",MAX(INDIRECT(CONCATENATE("R",ROW(ResultColumnLabels[#Headers]),"C",COLUMN(),":R",ROW()-1,"C",COLUMN()),FALSE))+1)</f>
        <v/>
      </c>
      <c r="B830" s="218" t="str">
        <f ca="1">IF(ResultColumnLabels[[#This Row],[Data Value Number]]="","",INDEX(DataColumns[ColumnLabel],MATCH(ResultColumnLabels[[#This Row],[Data Value Number]],DataColumns[DVNum],0)))</f>
        <v/>
      </c>
    </row>
    <row r="831" spans="1:2">
      <c r="A831" s="218" t="str">
        <f ca="1">IF(ROW()-1&gt;NumDataColumns,"",MAX(INDIRECT(CONCATENATE("R",ROW(ResultColumnLabels[#Headers]),"C",COLUMN(),":R",ROW()-1,"C",COLUMN()),FALSE))+1)</f>
        <v/>
      </c>
      <c r="B831" s="218" t="str">
        <f ca="1">IF(ResultColumnLabels[[#This Row],[Data Value Number]]="","",INDEX(DataColumns[ColumnLabel],MATCH(ResultColumnLabels[[#This Row],[Data Value Number]],DataColumns[DVNum],0)))</f>
        <v/>
      </c>
    </row>
    <row r="832" spans="1:2">
      <c r="A832" s="218" t="str">
        <f ca="1">IF(ROW()-1&gt;NumDataColumns,"",MAX(INDIRECT(CONCATENATE("R",ROW(ResultColumnLabels[#Headers]),"C",COLUMN(),":R",ROW()-1,"C",COLUMN()),FALSE))+1)</f>
        <v/>
      </c>
      <c r="B832" s="218" t="str">
        <f ca="1">IF(ResultColumnLabels[[#This Row],[Data Value Number]]="","",INDEX(DataColumns[ColumnLabel],MATCH(ResultColumnLabels[[#This Row],[Data Value Number]],DataColumns[DVNum],0)))</f>
        <v/>
      </c>
    </row>
    <row r="833" spans="1:2">
      <c r="A833" s="218" t="str">
        <f ca="1">IF(ROW()-1&gt;NumDataColumns,"",MAX(INDIRECT(CONCATENATE("R",ROW(ResultColumnLabels[#Headers]),"C",COLUMN(),":R",ROW()-1,"C",COLUMN()),FALSE))+1)</f>
        <v/>
      </c>
      <c r="B833" s="218" t="str">
        <f ca="1">IF(ResultColumnLabels[[#This Row],[Data Value Number]]="","",INDEX(DataColumns[ColumnLabel],MATCH(ResultColumnLabels[[#This Row],[Data Value Number]],DataColumns[DVNum],0)))</f>
        <v/>
      </c>
    </row>
    <row r="834" spans="1:2">
      <c r="A834" s="218" t="str">
        <f ca="1">IF(ROW()-1&gt;NumDataColumns,"",MAX(INDIRECT(CONCATENATE("R",ROW(ResultColumnLabels[#Headers]),"C",COLUMN(),":R",ROW()-1,"C",COLUMN()),FALSE))+1)</f>
        <v/>
      </c>
      <c r="B834" s="218" t="str">
        <f ca="1">IF(ResultColumnLabels[[#This Row],[Data Value Number]]="","",INDEX(DataColumns[ColumnLabel],MATCH(ResultColumnLabels[[#This Row],[Data Value Number]],DataColumns[DVNum],0)))</f>
        <v/>
      </c>
    </row>
    <row r="835" spans="1:2">
      <c r="A835" s="218" t="str">
        <f ca="1">IF(ROW()-1&gt;NumDataColumns,"",MAX(INDIRECT(CONCATENATE("R",ROW(ResultColumnLabels[#Headers]),"C",COLUMN(),":R",ROW()-1,"C",COLUMN()),FALSE))+1)</f>
        <v/>
      </c>
      <c r="B835" s="218" t="str">
        <f ca="1">IF(ResultColumnLabels[[#This Row],[Data Value Number]]="","",INDEX(DataColumns[ColumnLabel],MATCH(ResultColumnLabels[[#This Row],[Data Value Number]],DataColumns[DVNum],0)))</f>
        <v/>
      </c>
    </row>
    <row r="836" spans="1:2">
      <c r="A836" s="218" t="str">
        <f ca="1">IF(ROW()-1&gt;NumDataColumns,"",MAX(INDIRECT(CONCATENATE("R",ROW(ResultColumnLabels[#Headers]),"C",COLUMN(),":R",ROW()-1,"C",COLUMN()),FALSE))+1)</f>
        <v/>
      </c>
      <c r="B836" s="218" t="str">
        <f ca="1">IF(ResultColumnLabels[[#This Row],[Data Value Number]]="","",INDEX(DataColumns[ColumnLabel],MATCH(ResultColumnLabels[[#This Row],[Data Value Number]],DataColumns[DVNum],0)))</f>
        <v/>
      </c>
    </row>
    <row r="837" spans="1:2">
      <c r="A837" s="218" t="str">
        <f ca="1">IF(ROW()-1&gt;NumDataColumns,"",MAX(INDIRECT(CONCATENATE("R",ROW(ResultColumnLabels[#Headers]),"C",COLUMN(),":R",ROW()-1,"C",COLUMN()),FALSE))+1)</f>
        <v/>
      </c>
      <c r="B837" s="218" t="str">
        <f ca="1">IF(ResultColumnLabels[[#This Row],[Data Value Number]]="","",INDEX(DataColumns[ColumnLabel],MATCH(ResultColumnLabels[[#This Row],[Data Value Number]],DataColumns[DVNum],0)))</f>
        <v/>
      </c>
    </row>
    <row r="838" spans="1:2">
      <c r="A838" s="218" t="str">
        <f ca="1">IF(ROW()-1&gt;NumDataColumns,"",MAX(INDIRECT(CONCATENATE("R",ROW(ResultColumnLabels[#Headers]),"C",COLUMN(),":R",ROW()-1,"C",COLUMN()),FALSE))+1)</f>
        <v/>
      </c>
      <c r="B838" s="218" t="str">
        <f ca="1">IF(ResultColumnLabels[[#This Row],[Data Value Number]]="","",INDEX(DataColumns[ColumnLabel],MATCH(ResultColumnLabels[[#This Row],[Data Value Number]],DataColumns[DVNum],0)))</f>
        <v/>
      </c>
    </row>
    <row r="839" spans="1:2">
      <c r="A839" s="218" t="str">
        <f ca="1">IF(ROW()-1&gt;NumDataColumns,"",MAX(INDIRECT(CONCATENATE("R",ROW(ResultColumnLabels[#Headers]),"C",COLUMN(),":R",ROW()-1,"C",COLUMN()),FALSE))+1)</f>
        <v/>
      </c>
      <c r="B839" s="218" t="str">
        <f ca="1">IF(ResultColumnLabels[[#This Row],[Data Value Number]]="","",INDEX(DataColumns[ColumnLabel],MATCH(ResultColumnLabels[[#This Row],[Data Value Number]],DataColumns[DVNum],0)))</f>
        <v/>
      </c>
    </row>
    <row r="840" spans="1:2">
      <c r="A840" s="218" t="str">
        <f ca="1">IF(ROW()-1&gt;NumDataColumns,"",MAX(INDIRECT(CONCATENATE("R",ROW(ResultColumnLabels[#Headers]),"C",COLUMN(),":R",ROW()-1,"C",COLUMN()),FALSE))+1)</f>
        <v/>
      </c>
      <c r="B840" s="218" t="str">
        <f ca="1">IF(ResultColumnLabels[[#This Row],[Data Value Number]]="","",INDEX(DataColumns[ColumnLabel],MATCH(ResultColumnLabels[[#This Row],[Data Value Number]],DataColumns[DVNum],0)))</f>
        <v/>
      </c>
    </row>
    <row r="841" spans="1:2">
      <c r="A841" s="218" t="str">
        <f ca="1">IF(ROW()-1&gt;NumDataColumns,"",MAX(INDIRECT(CONCATENATE("R",ROW(ResultColumnLabels[#Headers]),"C",COLUMN(),":R",ROW()-1,"C",COLUMN()),FALSE))+1)</f>
        <v/>
      </c>
      <c r="B841" s="218" t="str">
        <f ca="1">IF(ResultColumnLabels[[#This Row],[Data Value Number]]="","",INDEX(DataColumns[ColumnLabel],MATCH(ResultColumnLabels[[#This Row],[Data Value Number]],DataColumns[DVNum],0)))</f>
        <v/>
      </c>
    </row>
    <row r="842" spans="1:2">
      <c r="A842" s="218" t="str">
        <f ca="1">IF(ROW()-1&gt;NumDataColumns,"",MAX(INDIRECT(CONCATENATE("R",ROW(ResultColumnLabels[#Headers]),"C",COLUMN(),":R",ROW()-1,"C",COLUMN()),FALSE))+1)</f>
        <v/>
      </c>
      <c r="B842" s="218" t="str">
        <f ca="1">IF(ResultColumnLabels[[#This Row],[Data Value Number]]="","",INDEX(DataColumns[ColumnLabel],MATCH(ResultColumnLabels[[#This Row],[Data Value Number]],DataColumns[DVNum],0)))</f>
        <v/>
      </c>
    </row>
    <row r="843" spans="1:2">
      <c r="A843" s="218" t="str">
        <f ca="1">IF(ROW()-1&gt;NumDataColumns,"",MAX(INDIRECT(CONCATENATE("R",ROW(ResultColumnLabels[#Headers]),"C",COLUMN(),":R",ROW()-1,"C",COLUMN()),FALSE))+1)</f>
        <v/>
      </c>
      <c r="B843" s="218" t="str">
        <f ca="1">IF(ResultColumnLabels[[#This Row],[Data Value Number]]="","",INDEX(DataColumns[ColumnLabel],MATCH(ResultColumnLabels[[#This Row],[Data Value Number]],DataColumns[DVNum],0)))</f>
        <v/>
      </c>
    </row>
    <row r="844" spans="1:2">
      <c r="A844" s="218" t="str">
        <f ca="1">IF(ROW()-1&gt;NumDataColumns,"",MAX(INDIRECT(CONCATENATE("R",ROW(ResultColumnLabels[#Headers]),"C",COLUMN(),":R",ROW()-1,"C",COLUMN()),FALSE))+1)</f>
        <v/>
      </c>
      <c r="B844" s="218" t="str">
        <f ca="1">IF(ResultColumnLabels[[#This Row],[Data Value Number]]="","",INDEX(DataColumns[ColumnLabel],MATCH(ResultColumnLabels[[#This Row],[Data Value Number]],DataColumns[DVNum],0)))</f>
        <v/>
      </c>
    </row>
    <row r="845" spans="1:2">
      <c r="A845" s="218" t="str">
        <f ca="1">IF(ROW()-1&gt;NumDataColumns,"",MAX(INDIRECT(CONCATENATE("R",ROW(ResultColumnLabels[#Headers]),"C",COLUMN(),":R",ROW()-1,"C",COLUMN()),FALSE))+1)</f>
        <v/>
      </c>
      <c r="B845" s="218" t="str">
        <f ca="1">IF(ResultColumnLabels[[#This Row],[Data Value Number]]="","",INDEX(DataColumns[ColumnLabel],MATCH(ResultColumnLabels[[#This Row],[Data Value Number]],DataColumns[DVNum],0)))</f>
        <v/>
      </c>
    </row>
    <row r="846" spans="1:2">
      <c r="A846" s="218" t="str">
        <f ca="1">IF(ROW()-1&gt;NumDataColumns,"",MAX(INDIRECT(CONCATENATE("R",ROW(ResultColumnLabels[#Headers]),"C",COLUMN(),":R",ROW()-1,"C",COLUMN()),FALSE))+1)</f>
        <v/>
      </c>
      <c r="B846" s="218" t="str">
        <f ca="1">IF(ResultColumnLabels[[#This Row],[Data Value Number]]="","",INDEX(DataColumns[ColumnLabel],MATCH(ResultColumnLabels[[#This Row],[Data Value Number]],DataColumns[DVNum],0)))</f>
        <v/>
      </c>
    </row>
    <row r="847" spans="1:2">
      <c r="A847" s="218" t="str">
        <f ca="1">IF(ROW()-1&gt;NumDataColumns,"",MAX(INDIRECT(CONCATENATE("R",ROW(ResultColumnLabels[#Headers]),"C",COLUMN(),":R",ROW()-1,"C",COLUMN()),FALSE))+1)</f>
        <v/>
      </c>
      <c r="B847" s="218" t="str">
        <f ca="1">IF(ResultColumnLabels[[#This Row],[Data Value Number]]="","",INDEX(DataColumns[ColumnLabel],MATCH(ResultColumnLabels[[#This Row],[Data Value Number]],DataColumns[DVNum],0)))</f>
        <v/>
      </c>
    </row>
    <row r="848" spans="1:2">
      <c r="A848" s="218" t="str">
        <f ca="1">IF(ROW()-1&gt;NumDataColumns,"",MAX(INDIRECT(CONCATENATE("R",ROW(ResultColumnLabels[#Headers]),"C",COLUMN(),":R",ROW()-1,"C",COLUMN()),FALSE))+1)</f>
        <v/>
      </c>
      <c r="B848" s="218" t="str">
        <f ca="1">IF(ResultColumnLabels[[#This Row],[Data Value Number]]="","",INDEX(DataColumns[ColumnLabel],MATCH(ResultColumnLabels[[#This Row],[Data Value Number]],DataColumns[DVNum],0)))</f>
        <v/>
      </c>
    </row>
    <row r="849" spans="1:2">
      <c r="A849" s="218" t="str">
        <f ca="1">IF(ROW()-1&gt;NumDataColumns,"",MAX(INDIRECT(CONCATENATE("R",ROW(ResultColumnLabels[#Headers]),"C",COLUMN(),":R",ROW()-1,"C",COLUMN()),FALSE))+1)</f>
        <v/>
      </c>
      <c r="B849" s="218" t="str">
        <f ca="1">IF(ResultColumnLabels[[#This Row],[Data Value Number]]="","",INDEX(DataColumns[ColumnLabel],MATCH(ResultColumnLabels[[#This Row],[Data Value Number]],DataColumns[DVNum],0)))</f>
        <v/>
      </c>
    </row>
    <row r="850" spans="1:2">
      <c r="A850" s="218" t="str">
        <f ca="1">IF(ROW()-1&gt;NumDataColumns,"",MAX(INDIRECT(CONCATENATE("R",ROW(ResultColumnLabels[#Headers]),"C",COLUMN(),":R",ROW()-1,"C",COLUMN()),FALSE))+1)</f>
        <v/>
      </c>
      <c r="B850" s="218" t="str">
        <f ca="1">IF(ResultColumnLabels[[#This Row],[Data Value Number]]="","",INDEX(DataColumns[ColumnLabel],MATCH(ResultColumnLabels[[#This Row],[Data Value Number]],DataColumns[DVNum],0)))</f>
        <v/>
      </c>
    </row>
    <row r="851" spans="1:2">
      <c r="A851" s="218" t="str">
        <f ca="1">IF(ROW()-1&gt;NumDataColumns,"",MAX(INDIRECT(CONCATENATE("R",ROW(ResultColumnLabels[#Headers]),"C",COLUMN(),":R",ROW()-1,"C",COLUMN()),FALSE))+1)</f>
        <v/>
      </c>
      <c r="B851" s="218" t="str">
        <f ca="1">IF(ResultColumnLabels[[#This Row],[Data Value Number]]="","",INDEX(DataColumns[ColumnLabel],MATCH(ResultColumnLabels[[#This Row],[Data Value Number]],DataColumns[DVNum],0)))</f>
        <v/>
      </c>
    </row>
    <row r="852" spans="1:2">
      <c r="A852" s="218" t="str">
        <f ca="1">IF(ROW()-1&gt;NumDataColumns,"",MAX(INDIRECT(CONCATENATE("R",ROW(ResultColumnLabels[#Headers]),"C",COLUMN(),":R",ROW()-1,"C",COLUMN()),FALSE))+1)</f>
        <v/>
      </c>
      <c r="B852" s="218" t="str">
        <f ca="1">IF(ResultColumnLabels[[#This Row],[Data Value Number]]="","",INDEX(DataColumns[ColumnLabel],MATCH(ResultColumnLabels[[#This Row],[Data Value Number]],DataColumns[DVNum],0)))</f>
        <v/>
      </c>
    </row>
    <row r="853" spans="1:2">
      <c r="A853" s="218" t="str">
        <f ca="1">IF(ROW()-1&gt;NumDataColumns,"",MAX(INDIRECT(CONCATENATE("R",ROW(ResultColumnLabels[#Headers]),"C",COLUMN(),":R",ROW()-1,"C",COLUMN()),FALSE))+1)</f>
        <v/>
      </c>
      <c r="B853" s="218" t="str">
        <f ca="1">IF(ResultColumnLabels[[#This Row],[Data Value Number]]="","",INDEX(DataColumns[ColumnLabel],MATCH(ResultColumnLabels[[#This Row],[Data Value Number]],DataColumns[DVNum],0)))</f>
        <v/>
      </c>
    </row>
    <row r="854" spans="1:2">
      <c r="A854" s="218" t="str">
        <f ca="1">IF(ROW()-1&gt;NumDataColumns,"",MAX(INDIRECT(CONCATENATE("R",ROW(ResultColumnLabels[#Headers]),"C",COLUMN(),":R",ROW()-1,"C",COLUMN()),FALSE))+1)</f>
        <v/>
      </c>
      <c r="B854" s="218" t="str">
        <f ca="1">IF(ResultColumnLabels[[#This Row],[Data Value Number]]="","",INDEX(DataColumns[ColumnLabel],MATCH(ResultColumnLabels[[#This Row],[Data Value Number]],DataColumns[DVNum],0)))</f>
        <v/>
      </c>
    </row>
    <row r="855" spans="1:2">
      <c r="A855" s="218" t="str">
        <f ca="1">IF(ROW()-1&gt;NumDataColumns,"",MAX(INDIRECT(CONCATENATE("R",ROW(ResultColumnLabels[#Headers]),"C",COLUMN(),":R",ROW()-1,"C",COLUMN()),FALSE))+1)</f>
        <v/>
      </c>
      <c r="B855" s="218" t="str">
        <f ca="1">IF(ResultColumnLabels[[#This Row],[Data Value Number]]="","",INDEX(DataColumns[ColumnLabel],MATCH(ResultColumnLabels[[#This Row],[Data Value Number]],DataColumns[DVNum],0)))</f>
        <v/>
      </c>
    </row>
    <row r="856" spans="1:2">
      <c r="A856" s="218" t="str">
        <f ca="1">IF(ROW()-1&gt;NumDataColumns,"",MAX(INDIRECT(CONCATENATE("R",ROW(ResultColumnLabels[#Headers]),"C",COLUMN(),":R",ROW()-1,"C",COLUMN()),FALSE))+1)</f>
        <v/>
      </c>
      <c r="B856" s="218" t="str">
        <f ca="1">IF(ResultColumnLabels[[#This Row],[Data Value Number]]="","",INDEX(DataColumns[ColumnLabel],MATCH(ResultColumnLabels[[#This Row],[Data Value Number]],DataColumns[DVNum],0)))</f>
        <v/>
      </c>
    </row>
    <row r="857" spans="1:2">
      <c r="A857" s="218" t="str">
        <f ca="1">IF(ROW()-1&gt;NumDataColumns,"",MAX(INDIRECT(CONCATENATE("R",ROW(ResultColumnLabels[#Headers]),"C",COLUMN(),":R",ROW()-1,"C",COLUMN()),FALSE))+1)</f>
        <v/>
      </c>
      <c r="B857" s="218" t="str">
        <f ca="1">IF(ResultColumnLabels[[#This Row],[Data Value Number]]="","",INDEX(DataColumns[ColumnLabel],MATCH(ResultColumnLabels[[#This Row],[Data Value Number]],DataColumns[DVNum],0)))</f>
        <v/>
      </c>
    </row>
    <row r="858" spans="1:2">
      <c r="A858" s="218" t="str">
        <f ca="1">IF(ROW()-1&gt;NumDataColumns,"",MAX(INDIRECT(CONCATENATE("R",ROW(ResultColumnLabels[#Headers]),"C",COLUMN(),":R",ROW()-1,"C",COLUMN()),FALSE))+1)</f>
        <v/>
      </c>
      <c r="B858" s="218" t="str">
        <f ca="1">IF(ResultColumnLabels[[#This Row],[Data Value Number]]="","",INDEX(DataColumns[ColumnLabel],MATCH(ResultColumnLabels[[#This Row],[Data Value Number]],DataColumns[DVNum],0)))</f>
        <v/>
      </c>
    </row>
    <row r="859" spans="1:2">
      <c r="A859" s="218" t="str">
        <f ca="1">IF(ROW()-1&gt;NumDataColumns,"",MAX(INDIRECT(CONCATENATE("R",ROW(ResultColumnLabels[#Headers]),"C",COLUMN(),":R",ROW()-1,"C",COLUMN()),FALSE))+1)</f>
        <v/>
      </c>
      <c r="B859" s="218" t="str">
        <f ca="1">IF(ResultColumnLabels[[#This Row],[Data Value Number]]="","",INDEX(DataColumns[ColumnLabel],MATCH(ResultColumnLabels[[#This Row],[Data Value Number]],DataColumns[DVNum],0)))</f>
        <v/>
      </c>
    </row>
    <row r="860" spans="1:2">
      <c r="A860" s="218" t="str">
        <f ca="1">IF(ROW()-1&gt;NumDataColumns,"",MAX(INDIRECT(CONCATENATE("R",ROW(ResultColumnLabels[#Headers]),"C",COLUMN(),":R",ROW()-1,"C",COLUMN()),FALSE))+1)</f>
        <v/>
      </c>
      <c r="B860" s="218" t="str">
        <f ca="1">IF(ResultColumnLabels[[#This Row],[Data Value Number]]="","",INDEX(DataColumns[ColumnLabel],MATCH(ResultColumnLabels[[#This Row],[Data Value Number]],DataColumns[DVNum],0)))</f>
        <v/>
      </c>
    </row>
    <row r="861" spans="1:2">
      <c r="A861" s="218" t="str">
        <f ca="1">IF(ROW()-1&gt;NumDataColumns,"",MAX(INDIRECT(CONCATENATE("R",ROW(ResultColumnLabels[#Headers]),"C",COLUMN(),":R",ROW()-1,"C",COLUMN()),FALSE))+1)</f>
        <v/>
      </c>
      <c r="B861" s="218" t="str">
        <f ca="1">IF(ResultColumnLabels[[#This Row],[Data Value Number]]="","",INDEX(DataColumns[ColumnLabel],MATCH(ResultColumnLabels[[#This Row],[Data Value Number]],DataColumns[DVNum],0)))</f>
        <v/>
      </c>
    </row>
    <row r="862" spans="1:2">
      <c r="A862" s="218" t="str">
        <f ca="1">IF(ROW()-1&gt;NumDataColumns,"",MAX(INDIRECT(CONCATENATE("R",ROW(ResultColumnLabels[#Headers]),"C",COLUMN(),":R",ROW()-1,"C",COLUMN()),FALSE))+1)</f>
        <v/>
      </c>
      <c r="B862" s="218" t="str">
        <f ca="1">IF(ResultColumnLabels[[#This Row],[Data Value Number]]="","",INDEX(DataColumns[ColumnLabel],MATCH(ResultColumnLabels[[#This Row],[Data Value Number]],DataColumns[DVNum],0)))</f>
        <v/>
      </c>
    </row>
    <row r="863" spans="1:2">
      <c r="A863" s="218" t="str">
        <f ca="1">IF(ROW()-1&gt;NumDataColumns,"",MAX(INDIRECT(CONCATENATE("R",ROW(ResultColumnLabels[#Headers]),"C",COLUMN(),":R",ROW()-1,"C",COLUMN()),FALSE))+1)</f>
        <v/>
      </c>
      <c r="B863" s="218" t="str">
        <f ca="1">IF(ResultColumnLabels[[#This Row],[Data Value Number]]="","",INDEX(DataColumns[ColumnLabel],MATCH(ResultColumnLabels[[#This Row],[Data Value Number]],DataColumns[DVNum],0)))</f>
        <v/>
      </c>
    </row>
    <row r="864" spans="1:2">
      <c r="A864" s="218" t="str">
        <f ca="1">IF(ROW()-1&gt;NumDataColumns,"",MAX(INDIRECT(CONCATENATE("R",ROW(ResultColumnLabels[#Headers]),"C",COLUMN(),":R",ROW()-1,"C",COLUMN()),FALSE))+1)</f>
        <v/>
      </c>
      <c r="B864" s="218" t="str">
        <f ca="1">IF(ResultColumnLabels[[#This Row],[Data Value Number]]="","",INDEX(DataColumns[ColumnLabel],MATCH(ResultColumnLabels[[#This Row],[Data Value Number]],DataColumns[DVNum],0)))</f>
        <v/>
      </c>
    </row>
    <row r="865" spans="1:2">
      <c r="A865" s="218" t="str">
        <f ca="1">IF(ROW()-1&gt;NumDataColumns,"",MAX(INDIRECT(CONCATENATE("R",ROW(ResultColumnLabels[#Headers]),"C",COLUMN(),":R",ROW()-1,"C",COLUMN()),FALSE))+1)</f>
        <v/>
      </c>
      <c r="B865" s="218" t="str">
        <f ca="1">IF(ResultColumnLabels[[#This Row],[Data Value Number]]="","",INDEX(DataColumns[ColumnLabel],MATCH(ResultColumnLabels[[#This Row],[Data Value Number]],DataColumns[DVNum],0)))</f>
        <v/>
      </c>
    </row>
    <row r="866" spans="1:2">
      <c r="A866" s="218" t="str">
        <f ca="1">IF(ROW()-1&gt;NumDataColumns,"",MAX(INDIRECT(CONCATENATE("R",ROW(ResultColumnLabels[#Headers]),"C",COLUMN(),":R",ROW()-1,"C",COLUMN()),FALSE))+1)</f>
        <v/>
      </c>
      <c r="B866" s="218" t="str">
        <f ca="1">IF(ResultColumnLabels[[#This Row],[Data Value Number]]="","",INDEX(DataColumns[ColumnLabel],MATCH(ResultColumnLabels[[#This Row],[Data Value Number]],DataColumns[DVNum],0)))</f>
        <v/>
      </c>
    </row>
    <row r="867" spans="1:2">
      <c r="A867" s="218" t="str">
        <f ca="1">IF(ROW()-1&gt;NumDataColumns,"",MAX(INDIRECT(CONCATENATE("R",ROW(ResultColumnLabels[#Headers]),"C",COLUMN(),":R",ROW()-1,"C",COLUMN()),FALSE))+1)</f>
        <v/>
      </c>
      <c r="B867" s="218" t="str">
        <f ca="1">IF(ResultColumnLabels[[#This Row],[Data Value Number]]="","",INDEX(DataColumns[ColumnLabel],MATCH(ResultColumnLabels[[#This Row],[Data Value Number]],DataColumns[DVNum],0)))</f>
        <v/>
      </c>
    </row>
    <row r="868" spans="1:2">
      <c r="A868" s="218" t="str">
        <f ca="1">IF(ROW()-1&gt;NumDataColumns,"",MAX(INDIRECT(CONCATENATE("R",ROW(ResultColumnLabels[#Headers]),"C",COLUMN(),":R",ROW()-1,"C",COLUMN()),FALSE))+1)</f>
        <v/>
      </c>
      <c r="B868" s="218" t="str">
        <f ca="1">IF(ResultColumnLabels[[#This Row],[Data Value Number]]="","",INDEX(DataColumns[ColumnLabel],MATCH(ResultColumnLabels[[#This Row],[Data Value Number]],DataColumns[DVNum],0)))</f>
        <v/>
      </c>
    </row>
    <row r="869" spans="1:2">
      <c r="A869" s="218" t="str">
        <f ca="1">IF(ROW()-1&gt;NumDataColumns,"",MAX(INDIRECT(CONCATENATE("R",ROW(ResultColumnLabels[#Headers]),"C",COLUMN(),":R",ROW()-1,"C",COLUMN()),FALSE))+1)</f>
        <v/>
      </c>
      <c r="B869" s="218" t="str">
        <f ca="1">IF(ResultColumnLabels[[#This Row],[Data Value Number]]="","",INDEX(DataColumns[ColumnLabel],MATCH(ResultColumnLabels[[#This Row],[Data Value Number]],DataColumns[DVNum],0)))</f>
        <v/>
      </c>
    </row>
    <row r="870" spans="1:2">
      <c r="A870" s="218" t="str">
        <f ca="1">IF(ROW()-1&gt;NumDataColumns,"",MAX(INDIRECT(CONCATENATE("R",ROW(ResultColumnLabels[#Headers]),"C",COLUMN(),":R",ROW()-1,"C",COLUMN()),FALSE))+1)</f>
        <v/>
      </c>
      <c r="B870" s="218" t="str">
        <f ca="1">IF(ResultColumnLabels[[#This Row],[Data Value Number]]="","",INDEX(DataColumns[ColumnLabel],MATCH(ResultColumnLabels[[#This Row],[Data Value Number]],DataColumns[DVNum],0)))</f>
        <v/>
      </c>
    </row>
    <row r="871" spans="1:2">
      <c r="A871" s="218" t="str">
        <f ca="1">IF(ROW()-1&gt;NumDataColumns,"",MAX(INDIRECT(CONCATENATE("R",ROW(ResultColumnLabels[#Headers]),"C",COLUMN(),":R",ROW()-1,"C",COLUMN()),FALSE))+1)</f>
        <v/>
      </c>
      <c r="B871" s="218" t="str">
        <f ca="1">IF(ResultColumnLabels[[#This Row],[Data Value Number]]="","",INDEX(DataColumns[ColumnLabel],MATCH(ResultColumnLabels[[#This Row],[Data Value Number]],DataColumns[DVNum],0)))</f>
        <v/>
      </c>
    </row>
    <row r="872" spans="1:2">
      <c r="A872" s="218" t="str">
        <f ca="1">IF(ROW()-1&gt;NumDataColumns,"",MAX(INDIRECT(CONCATENATE("R",ROW(ResultColumnLabels[#Headers]),"C",COLUMN(),":R",ROW()-1,"C",COLUMN()),FALSE))+1)</f>
        <v/>
      </c>
      <c r="B872" s="218" t="str">
        <f ca="1">IF(ResultColumnLabels[[#This Row],[Data Value Number]]="","",INDEX(DataColumns[ColumnLabel],MATCH(ResultColumnLabels[[#This Row],[Data Value Number]],DataColumns[DVNum],0)))</f>
        <v/>
      </c>
    </row>
    <row r="873" spans="1:2">
      <c r="A873" s="218" t="str">
        <f ca="1">IF(ROW()-1&gt;NumDataColumns,"",MAX(INDIRECT(CONCATENATE("R",ROW(ResultColumnLabels[#Headers]),"C",COLUMN(),":R",ROW()-1,"C",COLUMN()),FALSE))+1)</f>
        <v/>
      </c>
      <c r="B873" s="218" t="str">
        <f ca="1">IF(ResultColumnLabels[[#This Row],[Data Value Number]]="","",INDEX(DataColumns[ColumnLabel],MATCH(ResultColumnLabels[[#This Row],[Data Value Number]],DataColumns[DVNum],0)))</f>
        <v/>
      </c>
    </row>
    <row r="874" spans="1:2">
      <c r="A874" s="218" t="str">
        <f ca="1">IF(ROW()-1&gt;NumDataColumns,"",MAX(INDIRECT(CONCATENATE("R",ROW(ResultColumnLabels[#Headers]),"C",COLUMN(),":R",ROW()-1,"C",COLUMN()),FALSE))+1)</f>
        <v/>
      </c>
      <c r="B874" s="218" t="str">
        <f ca="1">IF(ResultColumnLabels[[#This Row],[Data Value Number]]="","",INDEX(DataColumns[ColumnLabel],MATCH(ResultColumnLabels[[#This Row],[Data Value Number]],DataColumns[DVNum],0)))</f>
        <v/>
      </c>
    </row>
    <row r="875" spans="1:2">
      <c r="A875" s="218" t="str">
        <f ca="1">IF(ROW()-1&gt;NumDataColumns,"",MAX(INDIRECT(CONCATENATE("R",ROW(ResultColumnLabels[#Headers]),"C",COLUMN(),":R",ROW()-1,"C",COLUMN()),FALSE))+1)</f>
        <v/>
      </c>
      <c r="B875" s="218" t="str">
        <f ca="1">IF(ResultColumnLabels[[#This Row],[Data Value Number]]="","",INDEX(DataColumns[ColumnLabel],MATCH(ResultColumnLabels[[#This Row],[Data Value Number]],DataColumns[DVNum],0)))</f>
        <v/>
      </c>
    </row>
    <row r="876" spans="1:2">
      <c r="A876" s="218" t="str">
        <f ca="1">IF(ROW()-1&gt;NumDataColumns,"",MAX(INDIRECT(CONCATENATE("R",ROW(ResultColumnLabels[#Headers]),"C",COLUMN(),":R",ROW()-1,"C",COLUMN()),FALSE))+1)</f>
        <v/>
      </c>
      <c r="B876" s="218" t="str">
        <f ca="1">IF(ResultColumnLabels[[#This Row],[Data Value Number]]="","",INDEX(DataColumns[ColumnLabel],MATCH(ResultColumnLabels[[#This Row],[Data Value Number]],DataColumns[DVNum],0)))</f>
        <v/>
      </c>
    </row>
    <row r="877" spans="1:2">
      <c r="A877" s="218" t="str">
        <f ca="1">IF(ROW()-1&gt;NumDataColumns,"",MAX(INDIRECT(CONCATENATE("R",ROW(ResultColumnLabels[#Headers]),"C",COLUMN(),":R",ROW()-1,"C",COLUMN()),FALSE))+1)</f>
        <v/>
      </c>
      <c r="B877" s="218" t="str">
        <f ca="1">IF(ResultColumnLabels[[#This Row],[Data Value Number]]="","",INDEX(DataColumns[ColumnLabel],MATCH(ResultColumnLabels[[#This Row],[Data Value Number]],DataColumns[DVNum],0)))</f>
        <v/>
      </c>
    </row>
    <row r="878" spans="1:2">
      <c r="A878" s="218" t="str">
        <f ca="1">IF(ROW()-1&gt;NumDataColumns,"",MAX(INDIRECT(CONCATENATE("R",ROW(ResultColumnLabels[#Headers]),"C",COLUMN(),":R",ROW()-1,"C",COLUMN()),FALSE))+1)</f>
        <v/>
      </c>
      <c r="B878" s="218" t="str">
        <f ca="1">IF(ResultColumnLabels[[#This Row],[Data Value Number]]="","",INDEX(DataColumns[ColumnLabel],MATCH(ResultColumnLabels[[#This Row],[Data Value Number]],DataColumns[DVNum],0)))</f>
        <v/>
      </c>
    </row>
    <row r="879" spans="1:2">
      <c r="A879" s="218" t="str">
        <f ca="1">IF(ROW()-1&gt;NumDataColumns,"",MAX(INDIRECT(CONCATENATE("R",ROW(ResultColumnLabels[#Headers]),"C",COLUMN(),":R",ROW()-1,"C",COLUMN()),FALSE))+1)</f>
        <v/>
      </c>
      <c r="B879" s="218" t="str">
        <f ca="1">IF(ResultColumnLabels[[#This Row],[Data Value Number]]="","",INDEX(DataColumns[ColumnLabel],MATCH(ResultColumnLabels[[#This Row],[Data Value Number]],DataColumns[DVNum],0)))</f>
        <v/>
      </c>
    </row>
    <row r="880" spans="1:2">
      <c r="A880" s="218" t="str">
        <f ca="1">IF(ROW()-1&gt;NumDataColumns,"",MAX(INDIRECT(CONCATENATE("R",ROW(ResultColumnLabels[#Headers]),"C",COLUMN(),":R",ROW()-1,"C",COLUMN()),FALSE))+1)</f>
        <v/>
      </c>
      <c r="B880" s="218" t="str">
        <f ca="1">IF(ResultColumnLabels[[#This Row],[Data Value Number]]="","",INDEX(DataColumns[ColumnLabel],MATCH(ResultColumnLabels[[#This Row],[Data Value Number]],DataColumns[DVNum],0)))</f>
        <v/>
      </c>
    </row>
    <row r="881" spans="1:2">
      <c r="A881" s="218" t="str">
        <f ca="1">IF(ROW()-1&gt;NumDataColumns,"",MAX(INDIRECT(CONCATENATE("R",ROW(ResultColumnLabels[#Headers]),"C",COLUMN(),":R",ROW()-1,"C",COLUMN()),FALSE))+1)</f>
        <v/>
      </c>
      <c r="B881" s="218" t="str">
        <f ca="1">IF(ResultColumnLabels[[#This Row],[Data Value Number]]="","",INDEX(DataColumns[ColumnLabel],MATCH(ResultColumnLabels[[#This Row],[Data Value Number]],DataColumns[DVNum],0)))</f>
        <v/>
      </c>
    </row>
    <row r="882" spans="1:2">
      <c r="A882" s="218" t="str">
        <f ca="1">IF(ROW()-1&gt;NumDataColumns,"",MAX(INDIRECT(CONCATENATE("R",ROW(ResultColumnLabels[#Headers]),"C",COLUMN(),":R",ROW()-1,"C",COLUMN()),FALSE))+1)</f>
        <v/>
      </c>
      <c r="B882" s="218" t="str">
        <f ca="1">IF(ResultColumnLabels[[#This Row],[Data Value Number]]="","",INDEX(DataColumns[ColumnLabel],MATCH(ResultColumnLabels[[#This Row],[Data Value Number]],DataColumns[DVNum],0)))</f>
        <v/>
      </c>
    </row>
    <row r="883" spans="1:2">
      <c r="A883" s="218" t="str">
        <f ca="1">IF(ROW()-1&gt;NumDataColumns,"",MAX(INDIRECT(CONCATENATE("R",ROW(ResultColumnLabels[#Headers]),"C",COLUMN(),":R",ROW()-1,"C",COLUMN()),FALSE))+1)</f>
        <v/>
      </c>
      <c r="B883" s="218" t="str">
        <f ca="1">IF(ResultColumnLabels[[#This Row],[Data Value Number]]="","",INDEX(DataColumns[ColumnLabel],MATCH(ResultColumnLabels[[#This Row],[Data Value Number]],DataColumns[DVNum],0)))</f>
        <v/>
      </c>
    </row>
    <row r="884" spans="1:2">
      <c r="A884" s="218" t="str">
        <f ca="1">IF(ROW()-1&gt;NumDataColumns,"",MAX(INDIRECT(CONCATENATE("R",ROW(ResultColumnLabels[#Headers]),"C",COLUMN(),":R",ROW()-1,"C",COLUMN()),FALSE))+1)</f>
        <v/>
      </c>
      <c r="B884" s="218" t="str">
        <f ca="1">IF(ResultColumnLabels[[#This Row],[Data Value Number]]="","",INDEX(DataColumns[ColumnLabel],MATCH(ResultColumnLabels[[#This Row],[Data Value Number]],DataColumns[DVNum],0)))</f>
        <v/>
      </c>
    </row>
    <row r="885" spans="1:2">
      <c r="A885" s="218" t="str">
        <f ca="1">IF(ROW()-1&gt;NumDataColumns,"",MAX(INDIRECT(CONCATENATE("R",ROW(ResultColumnLabels[#Headers]),"C",COLUMN(),":R",ROW()-1,"C",COLUMN()),FALSE))+1)</f>
        <v/>
      </c>
      <c r="B885" s="218" t="str">
        <f ca="1">IF(ResultColumnLabels[[#This Row],[Data Value Number]]="","",INDEX(DataColumns[ColumnLabel],MATCH(ResultColumnLabels[[#This Row],[Data Value Number]],DataColumns[DVNum],0)))</f>
        <v/>
      </c>
    </row>
    <row r="886" spans="1:2">
      <c r="A886" s="218" t="str">
        <f ca="1">IF(ROW()-1&gt;NumDataColumns,"",MAX(INDIRECT(CONCATENATE("R",ROW(ResultColumnLabels[#Headers]),"C",COLUMN(),":R",ROW()-1,"C",COLUMN()),FALSE))+1)</f>
        <v/>
      </c>
      <c r="B886" s="218" t="str">
        <f ca="1">IF(ResultColumnLabels[[#This Row],[Data Value Number]]="","",INDEX(DataColumns[ColumnLabel],MATCH(ResultColumnLabels[[#This Row],[Data Value Number]],DataColumns[DVNum],0)))</f>
        <v/>
      </c>
    </row>
    <row r="887" spans="1:2">
      <c r="A887" s="218" t="str">
        <f ca="1">IF(ROW()-1&gt;NumDataColumns,"",MAX(INDIRECT(CONCATENATE("R",ROW(ResultColumnLabels[#Headers]),"C",COLUMN(),":R",ROW()-1,"C",COLUMN()),FALSE))+1)</f>
        <v/>
      </c>
      <c r="B887" s="218" t="str">
        <f ca="1">IF(ResultColumnLabels[[#This Row],[Data Value Number]]="","",INDEX(DataColumns[ColumnLabel],MATCH(ResultColumnLabels[[#This Row],[Data Value Number]],DataColumns[DVNum],0)))</f>
        <v/>
      </c>
    </row>
    <row r="888" spans="1:2">
      <c r="A888" s="218" t="str">
        <f ca="1">IF(ROW()-1&gt;NumDataColumns,"",MAX(INDIRECT(CONCATENATE("R",ROW(ResultColumnLabels[#Headers]),"C",COLUMN(),":R",ROW()-1,"C",COLUMN()),FALSE))+1)</f>
        <v/>
      </c>
      <c r="B888" s="218" t="str">
        <f ca="1">IF(ResultColumnLabels[[#This Row],[Data Value Number]]="","",INDEX(DataColumns[ColumnLabel],MATCH(ResultColumnLabels[[#This Row],[Data Value Number]],DataColumns[DVNum],0)))</f>
        <v/>
      </c>
    </row>
    <row r="889" spans="1:2">
      <c r="A889" s="218" t="str">
        <f ca="1">IF(ROW()-1&gt;NumDataColumns,"",MAX(INDIRECT(CONCATENATE("R",ROW(ResultColumnLabels[#Headers]),"C",COLUMN(),":R",ROW()-1,"C",COLUMN()),FALSE))+1)</f>
        <v/>
      </c>
      <c r="B889" s="218" t="str">
        <f ca="1">IF(ResultColumnLabels[[#This Row],[Data Value Number]]="","",INDEX(DataColumns[ColumnLabel],MATCH(ResultColumnLabels[[#This Row],[Data Value Number]],DataColumns[DVNum],0)))</f>
        <v/>
      </c>
    </row>
    <row r="890" spans="1:2">
      <c r="A890" s="218" t="str">
        <f ca="1">IF(ROW()-1&gt;NumDataColumns,"",MAX(INDIRECT(CONCATENATE("R",ROW(ResultColumnLabels[#Headers]),"C",COLUMN(),":R",ROW()-1,"C",COLUMN()),FALSE))+1)</f>
        <v/>
      </c>
      <c r="B890" s="218" t="str">
        <f ca="1">IF(ResultColumnLabels[[#This Row],[Data Value Number]]="","",INDEX(DataColumns[ColumnLabel],MATCH(ResultColumnLabels[[#This Row],[Data Value Number]],DataColumns[DVNum],0)))</f>
        <v/>
      </c>
    </row>
    <row r="891" spans="1:2">
      <c r="A891" s="218" t="str">
        <f ca="1">IF(ROW()-1&gt;NumDataColumns,"",MAX(INDIRECT(CONCATENATE("R",ROW(ResultColumnLabels[#Headers]),"C",COLUMN(),":R",ROW()-1,"C",COLUMN()),FALSE))+1)</f>
        <v/>
      </c>
      <c r="B891" s="218" t="str">
        <f ca="1">IF(ResultColumnLabels[[#This Row],[Data Value Number]]="","",INDEX(DataColumns[ColumnLabel],MATCH(ResultColumnLabels[[#This Row],[Data Value Number]],DataColumns[DVNum],0)))</f>
        <v/>
      </c>
    </row>
    <row r="892" spans="1:2">
      <c r="A892" s="218" t="str">
        <f ca="1">IF(ROW()-1&gt;NumDataColumns,"",MAX(INDIRECT(CONCATENATE("R",ROW(ResultColumnLabels[#Headers]),"C",COLUMN(),":R",ROW()-1,"C",COLUMN()),FALSE))+1)</f>
        <v/>
      </c>
      <c r="B892" s="218" t="str">
        <f ca="1">IF(ResultColumnLabels[[#This Row],[Data Value Number]]="","",INDEX(DataColumns[ColumnLabel],MATCH(ResultColumnLabels[[#This Row],[Data Value Number]],DataColumns[DVNum],0)))</f>
        <v/>
      </c>
    </row>
    <row r="893" spans="1:2">
      <c r="A893" s="218" t="str">
        <f ca="1">IF(ROW()-1&gt;NumDataColumns,"",MAX(INDIRECT(CONCATENATE("R",ROW(ResultColumnLabels[#Headers]),"C",COLUMN(),":R",ROW()-1,"C",COLUMN()),FALSE))+1)</f>
        <v/>
      </c>
      <c r="B893" s="218" t="str">
        <f ca="1">IF(ResultColumnLabels[[#This Row],[Data Value Number]]="","",INDEX(DataColumns[ColumnLabel],MATCH(ResultColumnLabels[[#This Row],[Data Value Number]],DataColumns[DVNum],0)))</f>
        <v/>
      </c>
    </row>
    <row r="894" spans="1:2">
      <c r="A894" s="218" t="str">
        <f ca="1">IF(ROW()-1&gt;NumDataColumns,"",MAX(INDIRECT(CONCATENATE("R",ROW(ResultColumnLabels[#Headers]),"C",COLUMN(),":R",ROW()-1,"C",COLUMN()),FALSE))+1)</f>
        <v/>
      </c>
      <c r="B894" s="218" t="str">
        <f ca="1">IF(ResultColumnLabels[[#This Row],[Data Value Number]]="","",INDEX(DataColumns[ColumnLabel],MATCH(ResultColumnLabels[[#This Row],[Data Value Number]],DataColumns[DVNum],0)))</f>
        <v/>
      </c>
    </row>
    <row r="895" spans="1:2">
      <c r="A895" s="218" t="str">
        <f ca="1">IF(ROW()-1&gt;NumDataColumns,"",MAX(INDIRECT(CONCATENATE("R",ROW(ResultColumnLabels[#Headers]),"C",COLUMN(),":R",ROW()-1,"C",COLUMN()),FALSE))+1)</f>
        <v/>
      </c>
      <c r="B895" s="218" t="str">
        <f ca="1">IF(ResultColumnLabels[[#This Row],[Data Value Number]]="","",INDEX(DataColumns[ColumnLabel],MATCH(ResultColumnLabels[[#This Row],[Data Value Number]],DataColumns[DVNum],0)))</f>
        <v/>
      </c>
    </row>
    <row r="896" spans="1:2">
      <c r="A896" s="218" t="str">
        <f ca="1">IF(ROW()-1&gt;NumDataColumns,"",MAX(INDIRECT(CONCATENATE("R",ROW(ResultColumnLabels[#Headers]),"C",COLUMN(),":R",ROW()-1,"C",COLUMN()),FALSE))+1)</f>
        <v/>
      </c>
      <c r="B896" s="218" t="str">
        <f ca="1">IF(ResultColumnLabels[[#This Row],[Data Value Number]]="","",INDEX(DataColumns[ColumnLabel],MATCH(ResultColumnLabels[[#This Row],[Data Value Number]],DataColumns[DVNum],0)))</f>
        <v/>
      </c>
    </row>
    <row r="897" spans="1:2">
      <c r="A897" s="218" t="str">
        <f ca="1">IF(ROW()-1&gt;NumDataColumns,"",MAX(INDIRECT(CONCATENATE("R",ROW(ResultColumnLabels[#Headers]),"C",COLUMN(),":R",ROW()-1,"C",COLUMN()),FALSE))+1)</f>
        <v/>
      </c>
      <c r="B897" s="218" t="str">
        <f ca="1">IF(ResultColumnLabels[[#This Row],[Data Value Number]]="","",INDEX(DataColumns[ColumnLabel],MATCH(ResultColumnLabels[[#This Row],[Data Value Number]],DataColumns[DVNum],0)))</f>
        <v/>
      </c>
    </row>
    <row r="898" spans="1:2">
      <c r="A898" s="218" t="str">
        <f ca="1">IF(ROW()-1&gt;NumDataColumns,"",MAX(INDIRECT(CONCATENATE("R",ROW(ResultColumnLabels[#Headers]),"C",COLUMN(),":R",ROW()-1,"C",COLUMN()),FALSE))+1)</f>
        <v/>
      </c>
      <c r="B898" s="218" t="str">
        <f ca="1">IF(ResultColumnLabels[[#This Row],[Data Value Number]]="","",INDEX(DataColumns[ColumnLabel],MATCH(ResultColumnLabels[[#This Row],[Data Value Number]],DataColumns[DVNum],0)))</f>
        <v/>
      </c>
    </row>
    <row r="899" spans="1:2">
      <c r="A899" s="218" t="str">
        <f ca="1">IF(ROW()-1&gt;NumDataColumns,"",MAX(INDIRECT(CONCATENATE("R",ROW(ResultColumnLabels[#Headers]),"C",COLUMN(),":R",ROW()-1,"C",COLUMN()),FALSE))+1)</f>
        <v/>
      </c>
      <c r="B899" s="218" t="str">
        <f ca="1">IF(ResultColumnLabels[[#This Row],[Data Value Number]]="","",INDEX(DataColumns[ColumnLabel],MATCH(ResultColumnLabels[[#This Row],[Data Value Number]],DataColumns[DVNum],0)))</f>
        <v/>
      </c>
    </row>
    <row r="900" spans="1:2">
      <c r="A900" s="218" t="str">
        <f ca="1">IF(ROW()-1&gt;NumDataColumns,"",MAX(INDIRECT(CONCATENATE("R",ROW(ResultColumnLabels[#Headers]),"C",COLUMN(),":R",ROW()-1,"C",COLUMN()),FALSE))+1)</f>
        <v/>
      </c>
      <c r="B900" s="218" t="str">
        <f ca="1">IF(ResultColumnLabels[[#This Row],[Data Value Number]]="","",INDEX(DataColumns[ColumnLabel],MATCH(ResultColumnLabels[[#This Row],[Data Value Number]],DataColumns[DVNum],0)))</f>
        <v/>
      </c>
    </row>
    <row r="901" spans="1:2">
      <c r="A901" s="218" t="str">
        <f ca="1">IF(ROW()-1&gt;NumDataColumns,"",MAX(INDIRECT(CONCATENATE("R",ROW(ResultColumnLabels[#Headers]),"C",COLUMN(),":R",ROW()-1,"C",COLUMN()),FALSE))+1)</f>
        <v/>
      </c>
      <c r="B901" s="218" t="str">
        <f ca="1">IF(ResultColumnLabels[[#This Row],[Data Value Number]]="","",INDEX(DataColumns[ColumnLabel],MATCH(ResultColumnLabels[[#This Row],[Data Value Number]],DataColumns[DVNum],0)))</f>
        <v/>
      </c>
    </row>
    <row r="902" spans="1:2">
      <c r="A902" s="218" t="str">
        <f ca="1">IF(ROW()-1&gt;NumDataColumns,"",MAX(INDIRECT(CONCATENATE("R",ROW(ResultColumnLabels[#Headers]),"C",COLUMN(),":R",ROW()-1,"C",COLUMN()),FALSE))+1)</f>
        <v/>
      </c>
      <c r="B902" s="218" t="str">
        <f ca="1">IF(ResultColumnLabels[[#This Row],[Data Value Number]]="","",INDEX(DataColumns[ColumnLabel],MATCH(ResultColumnLabels[[#This Row],[Data Value Number]],DataColumns[DVNum],0)))</f>
        <v/>
      </c>
    </row>
    <row r="903" spans="1:2">
      <c r="A903" s="218" t="str">
        <f ca="1">IF(ROW()-1&gt;NumDataColumns,"",MAX(INDIRECT(CONCATENATE("R",ROW(ResultColumnLabels[#Headers]),"C",COLUMN(),":R",ROW()-1,"C",COLUMN()),FALSE))+1)</f>
        <v/>
      </c>
      <c r="B903" s="218" t="str">
        <f ca="1">IF(ResultColumnLabels[[#This Row],[Data Value Number]]="","",INDEX(DataColumns[ColumnLabel],MATCH(ResultColumnLabels[[#This Row],[Data Value Number]],DataColumns[DVNum],0)))</f>
        <v/>
      </c>
    </row>
    <row r="904" spans="1:2">
      <c r="A904" s="218" t="str">
        <f ca="1">IF(ROW()-1&gt;NumDataColumns,"",MAX(INDIRECT(CONCATENATE("R",ROW(ResultColumnLabels[#Headers]),"C",COLUMN(),":R",ROW()-1,"C",COLUMN()),FALSE))+1)</f>
        <v/>
      </c>
      <c r="B904" s="218" t="str">
        <f ca="1">IF(ResultColumnLabels[[#This Row],[Data Value Number]]="","",INDEX(DataColumns[ColumnLabel],MATCH(ResultColumnLabels[[#This Row],[Data Value Number]],DataColumns[DVNum],0)))</f>
        <v/>
      </c>
    </row>
    <row r="905" spans="1:2">
      <c r="A905" s="218" t="str">
        <f ca="1">IF(ROW()-1&gt;NumDataColumns,"",MAX(INDIRECT(CONCATENATE("R",ROW(ResultColumnLabels[#Headers]),"C",COLUMN(),":R",ROW()-1,"C",COLUMN()),FALSE))+1)</f>
        <v/>
      </c>
      <c r="B905" s="218" t="str">
        <f ca="1">IF(ResultColumnLabels[[#This Row],[Data Value Number]]="","",INDEX(DataColumns[ColumnLabel],MATCH(ResultColumnLabels[[#This Row],[Data Value Number]],DataColumns[DVNum],0)))</f>
        <v/>
      </c>
    </row>
    <row r="906" spans="1:2">
      <c r="A906" s="218" t="str">
        <f ca="1">IF(ROW()-1&gt;NumDataColumns,"",MAX(INDIRECT(CONCATENATE("R",ROW(ResultColumnLabels[#Headers]),"C",COLUMN(),":R",ROW()-1,"C",COLUMN()),FALSE))+1)</f>
        <v/>
      </c>
      <c r="B906" s="218" t="str">
        <f ca="1">IF(ResultColumnLabels[[#This Row],[Data Value Number]]="","",INDEX(DataColumns[ColumnLabel],MATCH(ResultColumnLabels[[#This Row],[Data Value Number]],DataColumns[DVNum],0)))</f>
        <v/>
      </c>
    </row>
    <row r="907" spans="1:2">
      <c r="A907" s="218" t="str">
        <f ca="1">IF(ROW()-1&gt;NumDataColumns,"",MAX(INDIRECT(CONCATENATE("R",ROW(ResultColumnLabels[#Headers]),"C",COLUMN(),":R",ROW()-1,"C",COLUMN()),FALSE))+1)</f>
        <v/>
      </c>
      <c r="B907" s="218" t="str">
        <f ca="1">IF(ResultColumnLabels[[#This Row],[Data Value Number]]="","",INDEX(DataColumns[ColumnLabel],MATCH(ResultColumnLabels[[#This Row],[Data Value Number]],DataColumns[DVNum],0)))</f>
        <v/>
      </c>
    </row>
    <row r="908" spans="1:2">
      <c r="A908" s="218" t="str">
        <f ca="1">IF(ROW()-1&gt;NumDataColumns,"",MAX(INDIRECT(CONCATENATE("R",ROW(ResultColumnLabels[#Headers]),"C",COLUMN(),":R",ROW()-1,"C",COLUMN()),FALSE))+1)</f>
        <v/>
      </c>
      <c r="B908" s="218" t="str">
        <f ca="1">IF(ResultColumnLabels[[#This Row],[Data Value Number]]="","",INDEX(DataColumns[ColumnLabel],MATCH(ResultColumnLabels[[#This Row],[Data Value Number]],DataColumns[DVNum],0)))</f>
        <v/>
      </c>
    </row>
    <row r="909" spans="1:2">
      <c r="A909" s="218" t="str">
        <f ca="1">IF(ROW()-1&gt;NumDataColumns,"",MAX(INDIRECT(CONCATENATE("R",ROW(ResultColumnLabels[#Headers]),"C",COLUMN(),":R",ROW()-1,"C",COLUMN()),FALSE))+1)</f>
        <v/>
      </c>
      <c r="B909" s="218" t="str">
        <f ca="1">IF(ResultColumnLabels[[#This Row],[Data Value Number]]="","",INDEX(DataColumns[ColumnLabel],MATCH(ResultColumnLabels[[#This Row],[Data Value Number]],DataColumns[DVNum],0)))</f>
        <v/>
      </c>
    </row>
    <row r="910" spans="1:2">
      <c r="A910" s="218" t="str">
        <f ca="1">IF(ROW()-1&gt;NumDataColumns,"",MAX(INDIRECT(CONCATENATE("R",ROW(ResultColumnLabels[#Headers]),"C",COLUMN(),":R",ROW()-1,"C",COLUMN()),FALSE))+1)</f>
        <v/>
      </c>
      <c r="B910" s="218" t="str">
        <f ca="1">IF(ResultColumnLabels[[#This Row],[Data Value Number]]="","",INDEX(DataColumns[ColumnLabel],MATCH(ResultColumnLabels[[#This Row],[Data Value Number]],DataColumns[DVNum],0)))</f>
        <v/>
      </c>
    </row>
    <row r="911" spans="1:2">
      <c r="A911" s="218" t="str">
        <f ca="1">IF(ROW()-1&gt;NumDataColumns,"",MAX(INDIRECT(CONCATENATE("R",ROW(ResultColumnLabels[#Headers]),"C",COLUMN(),":R",ROW()-1,"C",COLUMN()),FALSE))+1)</f>
        <v/>
      </c>
      <c r="B911" s="218" t="str">
        <f ca="1">IF(ResultColumnLabels[[#This Row],[Data Value Number]]="","",INDEX(DataColumns[ColumnLabel],MATCH(ResultColumnLabels[[#This Row],[Data Value Number]],DataColumns[DVNum],0)))</f>
        <v/>
      </c>
    </row>
    <row r="912" spans="1:2">
      <c r="A912" s="218" t="str">
        <f ca="1">IF(ROW()-1&gt;NumDataColumns,"",MAX(INDIRECT(CONCATENATE("R",ROW(ResultColumnLabels[#Headers]),"C",COLUMN(),":R",ROW()-1,"C",COLUMN()),FALSE))+1)</f>
        <v/>
      </c>
      <c r="B912" s="218" t="str">
        <f ca="1">IF(ResultColumnLabels[[#This Row],[Data Value Number]]="","",INDEX(DataColumns[ColumnLabel],MATCH(ResultColumnLabels[[#This Row],[Data Value Number]],DataColumns[DVNum],0)))</f>
        <v/>
      </c>
    </row>
    <row r="913" spans="1:2">
      <c r="A913" s="218" t="str">
        <f ca="1">IF(ROW()-1&gt;NumDataColumns,"",MAX(INDIRECT(CONCATENATE("R",ROW(ResultColumnLabels[#Headers]),"C",COLUMN(),":R",ROW()-1,"C",COLUMN()),FALSE))+1)</f>
        <v/>
      </c>
      <c r="B913" s="218" t="str">
        <f ca="1">IF(ResultColumnLabels[[#This Row],[Data Value Number]]="","",INDEX(DataColumns[ColumnLabel],MATCH(ResultColumnLabels[[#This Row],[Data Value Number]],DataColumns[DVNum],0)))</f>
        <v/>
      </c>
    </row>
    <row r="914" spans="1:2">
      <c r="A914" s="218" t="str">
        <f ca="1">IF(ROW()-1&gt;NumDataColumns,"",MAX(INDIRECT(CONCATENATE("R",ROW(ResultColumnLabels[#Headers]),"C",COLUMN(),":R",ROW()-1,"C",COLUMN()),FALSE))+1)</f>
        <v/>
      </c>
      <c r="B914" s="218" t="str">
        <f ca="1">IF(ResultColumnLabels[[#This Row],[Data Value Number]]="","",INDEX(DataColumns[ColumnLabel],MATCH(ResultColumnLabels[[#This Row],[Data Value Number]],DataColumns[DVNum],0)))</f>
        <v/>
      </c>
    </row>
    <row r="915" spans="1:2">
      <c r="A915" s="218" t="str">
        <f ca="1">IF(ROW()-1&gt;NumDataColumns,"",MAX(INDIRECT(CONCATENATE("R",ROW(ResultColumnLabels[#Headers]),"C",COLUMN(),":R",ROW()-1,"C",COLUMN()),FALSE))+1)</f>
        <v/>
      </c>
      <c r="B915" s="218" t="str">
        <f ca="1">IF(ResultColumnLabels[[#This Row],[Data Value Number]]="","",INDEX(DataColumns[ColumnLabel],MATCH(ResultColumnLabels[[#This Row],[Data Value Number]],DataColumns[DVNum],0)))</f>
        <v/>
      </c>
    </row>
    <row r="916" spans="1:2">
      <c r="A916" s="218" t="str">
        <f ca="1">IF(ROW()-1&gt;NumDataColumns,"",MAX(INDIRECT(CONCATENATE("R",ROW(ResultColumnLabels[#Headers]),"C",COLUMN(),":R",ROW()-1,"C",COLUMN()),FALSE))+1)</f>
        <v/>
      </c>
      <c r="B916" s="218" t="str">
        <f ca="1">IF(ResultColumnLabels[[#This Row],[Data Value Number]]="","",INDEX(DataColumns[ColumnLabel],MATCH(ResultColumnLabels[[#This Row],[Data Value Number]],DataColumns[DVNum],0)))</f>
        <v/>
      </c>
    </row>
    <row r="917" spans="1:2">
      <c r="A917" s="218" t="str">
        <f ca="1">IF(ROW()-1&gt;NumDataColumns,"",MAX(INDIRECT(CONCATENATE("R",ROW(ResultColumnLabels[#Headers]),"C",COLUMN(),":R",ROW()-1,"C",COLUMN()),FALSE))+1)</f>
        <v/>
      </c>
      <c r="B917" s="218" t="str">
        <f ca="1">IF(ResultColumnLabels[[#This Row],[Data Value Number]]="","",INDEX(DataColumns[ColumnLabel],MATCH(ResultColumnLabels[[#This Row],[Data Value Number]],DataColumns[DVNum],0)))</f>
        <v/>
      </c>
    </row>
    <row r="918" spans="1:2">
      <c r="A918" s="218" t="str">
        <f ca="1">IF(ROW()-1&gt;NumDataColumns,"",MAX(INDIRECT(CONCATENATE("R",ROW(ResultColumnLabels[#Headers]),"C",COLUMN(),":R",ROW()-1,"C",COLUMN()),FALSE))+1)</f>
        <v/>
      </c>
      <c r="B918" s="218" t="str">
        <f ca="1">IF(ResultColumnLabels[[#This Row],[Data Value Number]]="","",INDEX(DataColumns[ColumnLabel],MATCH(ResultColumnLabels[[#This Row],[Data Value Number]],DataColumns[DVNum],0)))</f>
        <v/>
      </c>
    </row>
    <row r="919" spans="1:2">
      <c r="A919" s="218" t="str">
        <f ca="1">IF(ROW()-1&gt;NumDataColumns,"",MAX(INDIRECT(CONCATENATE("R",ROW(ResultColumnLabels[#Headers]),"C",COLUMN(),":R",ROW()-1,"C",COLUMN()),FALSE))+1)</f>
        <v/>
      </c>
      <c r="B919" s="218" t="str">
        <f ca="1">IF(ResultColumnLabels[[#This Row],[Data Value Number]]="","",INDEX(DataColumns[ColumnLabel],MATCH(ResultColumnLabels[[#This Row],[Data Value Number]],DataColumns[DVNum],0)))</f>
        <v/>
      </c>
    </row>
    <row r="920" spans="1:2">
      <c r="A920" s="218" t="str">
        <f ca="1">IF(ROW()-1&gt;NumDataColumns,"",MAX(INDIRECT(CONCATENATE("R",ROW(ResultColumnLabels[#Headers]),"C",COLUMN(),":R",ROW()-1,"C",COLUMN()),FALSE))+1)</f>
        <v/>
      </c>
      <c r="B920" s="218" t="str">
        <f ca="1">IF(ResultColumnLabels[[#This Row],[Data Value Number]]="","",INDEX(DataColumns[ColumnLabel],MATCH(ResultColumnLabels[[#This Row],[Data Value Number]],DataColumns[DVNum],0)))</f>
        <v/>
      </c>
    </row>
    <row r="921" spans="1:2">
      <c r="A921" s="218" t="str">
        <f ca="1">IF(ROW()-1&gt;NumDataColumns,"",MAX(INDIRECT(CONCATENATE("R",ROW(ResultColumnLabels[#Headers]),"C",COLUMN(),":R",ROW()-1,"C",COLUMN()),FALSE))+1)</f>
        <v/>
      </c>
      <c r="B921" s="218" t="str">
        <f ca="1">IF(ResultColumnLabels[[#This Row],[Data Value Number]]="","",INDEX(DataColumns[ColumnLabel],MATCH(ResultColumnLabels[[#This Row],[Data Value Number]],DataColumns[DVNum],0)))</f>
        <v/>
      </c>
    </row>
    <row r="922" spans="1:2">
      <c r="A922" s="218" t="str">
        <f ca="1">IF(ROW()-1&gt;NumDataColumns,"",MAX(INDIRECT(CONCATENATE("R",ROW(ResultColumnLabels[#Headers]),"C",COLUMN(),":R",ROW()-1,"C",COLUMN()),FALSE))+1)</f>
        <v/>
      </c>
      <c r="B922" s="218" t="str">
        <f ca="1">IF(ResultColumnLabels[[#This Row],[Data Value Number]]="","",INDEX(DataColumns[ColumnLabel],MATCH(ResultColumnLabels[[#This Row],[Data Value Number]],DataColumns[DVNum],0)))</f>
        <v/>
      </c>
    </row>
    <row r="923" spans="1:2">
      <c r="A923" s="218" t="str">
        <f ca="1">IF(ROW()-1&gt;NumDataColumns,"",MAX(INDIRECT(CONCATENATE("R",ROW(ResultColumnLabels[#Headers]),"C",COLUMN(),":R",ROW()-1,"C",COLUMN()),FALSE))+1)</f>
        <v/>
      </c>
      <c r="B923" s="218" t="str">
        <f ca="1">IF(ResultColumnLabels[[#This Row],[Data Value Number]]="","",INDEX(DataColumns[ColumnLabel],MATCH(ResultColumnLabels[[#This Row],[Data Value Number]],DataColumns[DVNum],0)))</f>
        <v/>
      </c>
    </row>
    <row r="924" spans="1:2">
      <c r="A924" s="218" t="str">
        <f ca="1">IF(ROW()-1&gt;NumDataColumns,"",MAX(INDIRECT(CONCATENATE("R",ROW(ResultColumnLabels[#Headers]),"C",COLUMN(),":R",ROW()-1,"C",COLUMN()),FALSE))+1)</f>
        <v/>
      </c>
      <c r="B924" s="218" t="str">
        <f ca="1">IF(ResultColumnLabels[[#This Row],[Data Value Number]]="","",INDEX(DataColumns[ColumnLabel],MATCH(ResultColumnLabels[[#This Row],[Data Value Number]],DataColumns[DVNum],0)))</f>
        <v/>
      </c>
    </row>
    <row r="925" spans="1:2">
      <c r="A925" s="218" t="str">
        <f ca="1">IF(ROW()-1&gt;NumDataColumns,"",MAX(INDIRECT(CONCATENATE("R",ROW(ResultColumnLabels[#Headers]),"C",COLUMN(),":R",ROW()-1,"C",COLUMN()),FALSE))+1)</f>
        <v/>
      </c>
      <c r="B925" s="218" t="str">
        <f ca="1">IF(ResultColumnLabels[[#This Row],[Data Value Number]]="","",INDEX(DataColumns[ColumnLabel],MATCH(ResultColumnLabels[[#This Row],[Data Value Number]],DataColumns[DVNum],0)))</f>
        <v/>
      </c>
    </row>
    <row r="926" spans="1:2">
      <c r="A926" s="218" t="str">
        <f ca="1">IF(ROW()-1&gt;NumDataColumns,"",MAX(INDIRECT(CONCATENATE("R",ROW(ResultColumnLabels[#Headers]),"C",COLUMN(),":R",ROW()-1,"C",COLUMN()),FALSE))+1)</f>
        <v/>
      </c>
      <c r="B926" s="218" t="str">
        <f ca="1">IF(ResultColumnLabels[[#This Row],[Data Value Number]]="","",INDEX(DataColumns[ColumnLabel],MATCH(ResultColumnLabels[[#This Row],[Data Value Number]],DataColumns[DVNum],0)))</f>
        <v/>
      </c>
    </row>
    <row r="927" spans="1:2">
      <c r="A927" s="218" t="str">
        <f ca="1">IF(ROW()-1&gt;NumDataColumns,"",MAX(INDIRECT(CONCATENATE("R",ROW(ResultColumnLabels[#Headers]),"C",COLUMN(),":R",ROW()-1,"C",COLUMN()),FALSE))+1)</f>
        <v/>
      </c>
      <c r="B927" s="218" t="str">
        <f ca="1">IF(ResultColumnLabels[[#This Row],[Data Value Number]]="","",INDEX(DataColumns[ColumnLabel],MATCH(ResultColumnLabels[[#This Row],[Data Value Number]],DataColumns[DVNum],0)))</f>
        <v/>
      </c>
    </row>
    <row r="928" spans="1:2">
      <c r="A928" s="218" t="str">
        <f ca="1">IF(ROW()-1&gt;NumDataColumns,"",MAX(INDIRECT(CONCATENATE("R",ROW(ResultColumnLabels[#Headers]),"C",COLUMN(),":R",ROW()-1,"C",COLUMN()),FALSE))+1)</f>
        <v/>
      </c>
      <c r="B928" s="218" t="str">
        <f ca="1">IF(ResultColumnLabels[[#This Row],[Data Value Number]]="","",INDEX(DataColumns[ColumnLabel],MATCH(ResultColumnLabels[[#This Row],[Data Value Number]],DataColumns[DVNum],0)))</f>
        <v/>
      </c>
    </row>
    <row r="929" spans="1:2">
      <c r="A929" s="218" t="str">
        <f ca="1">IF(ROW()-1&gt;NumDataColumns,"",MAX(INDIRECT(CONCATENATE("R",ROW(ResultColumnLabels[#Headers]),"C",COLUMN(),":R",ROW()-1,"C",COLUMN()),FALSE))+1)</f>
        <v/>
      </c>
      <c r="B929" s="218" t="str">
        <f ca="1">IF(ResultColumnLabels[[#This Row],[Data Value Number]]="","",INDEX(DataColumns[ColumnLabel],MATCH(ResultColumnLabels[[#This Row],[Data Value Number]],DataColumns[DVNum],0)))</f>
        <v/>
      </c>
    </row>
    <row r="930" spans="1:2">
      <c r="A930" s="218" t="str">
        <f ca="1">IF(ROW()-1&gt;NumDataColumns,"",MAX(INDIRECT(CONCATENATE("R",ROW(ResultColumnLabels[#Headers]),"C",COLUMN(),":R",ROW()-1,"C",COLUMN()),FALSE))+1)</f>
        <v/>
      </c>
      <c r="B930" s="218" t="str">
        <f ca="1">IF(ResultColumnLabels[[#This Row],[Data Value Number]]="","",INDEX(DataColumns[ColumnLabel],MATCH(ResultColumnLabels[[#This Row],[Data Value Number]],DataColumns[DVNum],0)))</f>
        <v/>
      </c>
    </row>
    <row r="931" spans="1:2">
      <c r="A931" s="218" t="str">
        <f ca="1">IF(ROW()-1&gt;NumDataColumns,"",MAX(INDIRECT(CONCATENATE("R",ROW(ResultColumnLabels[#Headers]),"C",COLUMN(),":R",ROW()-1,"C",COLUMN()),FALSE))+1)</f>
        <v/>
      </c>
      <c r="B931" s="218" t="str">
        <f ca="1">IF(ResultColumnLabels[[#This Row],[Data Value Number]]="","",INDEX(DataColumns[ColumnLabel],MATCH(ResultColumnLabels[[#This Row],[Data Value Number]],DataColumns[DVNum],0)))</f>
        <v/>
      </c>
    </row>
    <row r="932" spans="1:2">
      <c r="A932" s="218" t="str">
        <f ca="1">IF(ROW()-1&gt;NumDataColumns,"",MAX(INDIRECT(CONCATENATE("R",ROW(ResultColumnLabels[#Headers]),"C",COLUMN(),":R",ROW()-1,"C",COLUMN()),FALSE))+1)</f>
        <v/>
      </c>
      <c r="B932" s="218" t="str">
        <f ca="1">IF(ResultColumnLabels[[#This Row],[Data Value Number]]="","",INDEX(DataColumns[ColumnLabel],MATCH(ResultColumnLabels[[#This Row],[Data Value Number]],DataColumns[DVNum],0)))</f>
        <v/>
      </c>
    </row>
    <row r="933" spans="1:2">
      <c r="A933" s="218" t="str">
        <f ca="1">IF(ROW()-1&gt;NumDataColumns,"",MAX(INDIRECT(CONCATENATE("R",ROW(ResultColumnLabels[#Headers]),"C",COLUMN(),":R",ROW()-1,"C",COLUMN()),FALSE))+1)</f>
        <v/>
      </c>
      <c r="B933" s="218" t="str">
        <f ca="1">IF(ResultColumnLabels[[#This Row],[Data Value Number]]="","",INDEX(DataColumns[ColumnLabel],MATCH(ResultColumnLabels[[#This Row],[Data Value Number]],DataColumns[DVNum],0)))</f>
        <v/>
      </c>
    </row>
    <row r="934" spans="1:2">
      <c r="A934" s="218" t="str">
        <f ca="1">IF(ROW()-1&gt;NumDataColumns,"",MAX(INDIRECT(CONCATENATE("R",ROW(ResultColumnLabels[#Headers]),"C",COLUMN(),":R",ROW()-1,"C",COLUMN()),FALSE))+1)</f>
        <v/>
      </c>
      <c r="B934" s="218" t="str">
        <f ca="1">IF(ResultColumnLabels[[#This Row],[Data Value Number]]="","",INDEX(DataColumns[ColumnLabel],MATCH(ResultColumnLabels[[#This Row],[Data Value Number]],DataColumns[DVNum],0)))</f>
        <v/>
      </c>
    </row>
    <row r="935" spans="1:2">
      <c r="A935" s="218" t="str">
        <f ca="1">IF(ROW()-1&gt;NumDataColumns,"",MAX(INDIRECT(CONCATENATE("R",ROW(ResultColumnLabels[#Headers]),"C",COLUMN(),":R",ROW()-1,"C",COLUMN()),FALSE))+1)</f>
        <v/>
      </c>
      <c r="B935" s="218" t="str">
        <f ca="1">IF(ResultColumnLabels[[#This Row],[Data Value Number]]="","",INDEX(DataColumns[ColumnLabel],MATCH(ResultColumnLabels[[#This Row],[Data Value Number]],DataColumns[DVNum],0)))</f>
        <v/>
      </c>
    </row>
    <row r="936" spans="1:2">
      <c r="A936" s="218" t="str">
        <f ca="1">IF(ROW()-1&gt;NumDataColumns,"",MAX(INDIRECT(CONCATENATE("R",ROW(ResultColumnLabels[#Headers]),"C",COLUMN(),":R",ROW()-1,"C",COLUMN()),FALSE))+1)</f>
        <v/>
      </c>
      <c r="B936" s="218" t="str">
        <f ca="1">IF(ResultColumnLabels[[#This Row],[Data Value Number]]="","",INDEX(DataColumns[ColumnLabel],MATCH(ResultColumnLabels[[#This Row],[Data Value Number]],DataColumns[DVNum],0)))</f>
        <v/>
      </c>
    </row>
    <row r="937" spans="1:2">
      <c r="A937" s="218" t="str">
        <f ca="1">IF(ROW()-1&gt;NumDataColumns,"",MAX(INDIRECT(CONCATENATE("R",ROW(ResultColumnLabels[#Headers]),"C",COLUMN(),":R",ROW()-1,"C",COLUMN()),FALSE))+1)</f>
        <v/>
      </c>
      <c r="B937" s="218" t="str">
        <f ca="1">IF(ResultColumnLabels[[#This Row],[Data Value Number]]="","",INDEX(DataColumns[ColumnLabel],MATCH(ResultColumnLabels[[#This Row],[Data Value Number]],DataColumns[DVNum],0)))</f>
        <v/>
      </c>
    </row>
    <row r="938" spans="1:2">
      <c r="A938" s="218" t="str">
        <f ca="1">IF(ROW()-1&gt;NumDataColumns,"",MAX(INDIRECT(CONCATENATE("R",ROW(ResultColumnLabels[#Headers]),"C",COLUMN(),":R",ROW()-1,"C",COLUMN()),FALSE))+1)</f>
        <v/>
      </c>
      <c r="B938" s="218" t="str">
        <f ca="1">IF(ResultColumnLabels[[#This Row],[Data Value Number]]="","",INDEX(DataColumns[ColumnLabel],MATCH(ResultColumnLabels[[#This Row],[Data Value Number]],DataColumns[DVNum],0)))</f>
        <v/>
      </c>
    </row>
    <row r="939" spans="1:2">
      <c r="A939" s="218" t="str">
        <f ca="1">IF(ROW()-1&gt;NumDataColumns,"",MAX(INDIRECT(CONCATENATE("R",ROW(ResultColumnLabels[#Headers]),"C",COLUMN(),":R",ROW()-1,"C",COLUMN()),FALSE))+1)</f>
        <v/>
      </c>
      <c r="B939" s="218" t="str">
        <f ca="1">IF(ResultColumnLabels[[#This Row],[Data Value Number]]="","",INDEX(DataColumns[ColumnLabel],MATCH(ResultColumnLabels[[#This Row],[Data Value Number]],DataColumns[DVNum],0)))</f>
        <v/>
      </c>
    </row>
    <row r="940" spans="1:2">
      <c r="A940" s="218" t="str">
        <f ca="1">IF(ROW()-1&gt;NumDataColumns,"",MAX(INDIRECT(CONCATENATE("R",ROW(ResultColumnLabels[#Headers]),"C",COLUMN(),":R",ROW()-1,"C",COLUMN()),FALSE))+1)</f>
        <v/>
      </c>
      <c r="B940" s="218" t="str">
        <f ca="1">IF(ResultColumnLabels[[#This Row],[Data Value Number]]="","",INDEX(DataColumns[ColumnLabel],MATCH(ResultColumnLabels[[#This Row],[Data Value Number]],DataColumns[DVNum],0)))</f>
        <v/>
      </c>
    </row>
    <row r="941" spans="1:2">
      <c r="A941" s="218" t="str">
        <f ca="1">IF(ROW()-1&gt;NumDataColumns,"",MAX(INDIRECT(CONCATENATE("R",ROW(ResultColumnLabels[#Headers]),"C",COLUMN(),":R",ROW()-1,"C",COLUMN()),FALSE))+1)</f>
        <v/>
      </c>
      <c r="B941" s="218" t="str">
        <f ca="1">IF(ResultColumnLabels[[#This Row],[Data Value Number]]="","",INDEX(DataColumns[ColumnLabel],MATCH(ResultColumnLabels[[#This Row],[Data Value Number]],DataColumns[DVNum],0)))</f>
        <v/>
      </c>
    </row>
    <row r="942" spans="1:2">
      <c r="A942" s="218" t="str">
        <f ca="1">IF(ROW()-1&gt;NumDataColumns,"",MAX(INDIRECT(CONCATENATE("R",ROW(ResultColumnLabels[#Headers]),"C",COLUMN(),":R",ROW()-1,"C",COLUMN()),FALSE))+1)</f>
        <v/>
      </c>
      <c r="B942" s="218" t="str">
        <f ca="1">IF(ResultColumnLabels[[#This Row],[Data Value Number]]="","",INDEX(DataColumns[ColumnLabel],MATCH(ResultColumnLabels[[#This Row],[Data Value Number]],DataColumns[DVNum],0)))</f>
        <v/>
      </c>
    </row>
    <row r="943" spans="1:2">
      <c r="A943" s="218" t="str">
        <f ca="1">IF(ROW()-1&gt;NumDataColumns,"",MAX(INDIRECT(CONCATENATE("R",ROW(ResultColumnLabels[#Headers]),"C",COLUMN(),":R",ROW()-1,"C",COLUMN()),FALSE))+1)</f>
        <v/>
      </c>
      <c r="B943" s="218" t="str">
        <f ca="1">IF(ResultColumnLabels[[#This Row],[Data Value Number]]="","",INDEX(DataColumns[ColumnLabel],MATCH(ResultColumnLabels[[#This Row],[Data Value Number]],DataColumns[DVNum],0)))</f>
        <v/>
      </c>
    </row>
    <row r="944" spans="1:2">
      <c r="A944" s="218" t="str">
        <f ca="1">IF(ROW()-1&gt;NumDataColumns,"",MAX(INDIRECT(CONCATENATE("R",ROW(ResultColumnLabels[#Headers]),"C",COLUMN(),":R",ROW()-1,"C",COLUMN()),FALSE))+1)</f>
        <v/>
      </c>
      <c r="B944" s="218" t="str">
        <f ca="1">IF(ResultColumnLabels[[#This Row],[Data Value Number]]="","",INDEX(DataColumns[ColumnLabel],MATCH(ResultColumnLabels[[#This Row],[Data Value Number]],DataColumns[DVNum],0)))</f>
        <v/>
      </c>
    </row>
    <row r="945" spans="1:2">
      <c r="A945" s="218" t="str">
        <f ca="1">IF(ROW()-1&gt;NumDataColumns,"",MAX(INDIRECT(CONCATENATE("R",ROW(ResultColumnLabels[#Headers]),"C",COLUMN(),":R",ROW()-1,"C",COLUMN()),FALSE))+1)</f>
        <v/>
      </c>
      <c r="B945" s="218" t="str">
        <f ca="1">IF(ResultColumnLabels[[#This Row],[Data Value Number]]="","",INDEX(DataColumns[ColumnLabel],MATCH(ResultColumnLabels[[#This Row],[Data Value Number]],DataColumns[DVNum],0)))</f>
        <v/>
      </c>
    </row>
    <row r="946" spans="1:2">
      <c r="A946" s="218" t="str">
        <f ca="1">IF(ROW()-1&gt;NumDataColumns,"",MAX(INDIRECT(CONCATENATE("R",ROW(ResultColumnLabels[#Headers]),"C",COLUMN(),":R",ROW()-1,"C",COLUMN()),FALSE))+1)</f>
        <v/>
      </c>
      <c r="B946" s="218" t="str">
        <f ca="1">IF(ResultColumnLabels[[#This Row],[Data Value Number]]="","",INDEX(DataColumns[ColumnLabel],MATCH(ResultColumnLabels[[#This Row],[Data Value Number]],DataColumns[DVNum],0)))</f>
        <v/>
      </c>
    </row>
    <row r="947" spans="1:2">
      <c r="A947" s="218" t="str">
        <f ca="1">IF(ROW()-1&gt;NumDataColumns,"",MAX(INDIRECT(CONCATENATE("R",ROW(ResultColumnLabels[#Headers]),"C",COLUMN(),":R",ROW()-1,"C",COLUMN()),FALSE))+1)</f>
        <v/>
      </c>
      <c r="B947" s="218" t="str">
        <f ca="1">IF(ResultColumnLabels[[#This Row],[Data Value Number]]="","",INDEX(DataColumns[ColumnLabel],MATCH(ResultColumnLabels[[#This Row],[Data Value Number]],DataColumns[DVNum],0)))</f>
        <v/>
      </c>
    </row>
    <row r="948" spans="1:2">
      <c r="A948" s="218" t="str">
        <f ca="1">IF(ROW()-1&gt;NumDataColumns,"",MAX(INDIRECT(CONCATENATE("R",ROW(ResultColumnLabels[#Headers]),"C",COLUMN(),":R",ROW()-1,"C",COLUMN()),FALSE))+1)</f>
        <v/>
      </c>
      <c r="B948" s="218" t="str">
        <f ca="1">IF(ResultColumnLabels[[#This Row],[Data Value Number]]="","",INDEX(DataColumns[ColumnLabel],MATCH(ResultColumnLabels[[#This Row],[Data Value Number]],DataColumns[DVNum],0)))</f>
        <v/>
      </c>
    </row>
    <row r="949" spans="1:2">
      <c r="A949" s="218" t="str">
        <f ca="1">IF(ROW()-1&gt;NumDataColumns,"",MAX(INDIRECT(CONCATENATE("R",ROW(ResultColumnLabels[#Headers]),"C",COLUMN(),":R",ROW()-1,"C",COLUMN()),FALSE))+1)</f>
        <v/>
      </c>
      <c r="B949" s="218" t="str">
        <f ca="1">IF(ResultColumnLabels[[#This Row],[Data Value Number]]="","",INDEX(DataColumns[ColumnLabel],MATCH(ResultColumnLabels[[#This Row],[Data Value Number]],DataColumns[DVNum],0)))</f>
        <v/>
      </c>
    </row>
    <row r="950" spans="1:2">
      <c r="A950" s="218" t="str">
        <f ca="1">IF(ROW()-1&gt;NumDataColumns,"",MAX(INDIRECT(CONCATENATE("R",ROW(ResultColumnLabels[#Headers]),"C",COLUMN(),":R",ROW()-1,"C",COLUMN()),FALSE))+1)</f>
        <v/>
      </c>
      <c r="B950" s="218" t="str">
        <f ca="1">IF(ResultColumnLabels[[#This Row],[Data Value Number]]="","",INDEX(DataColumns[ColumnLabel],MATCH(ResultColumnLabels[[#This Row],[Data Value Number]],DataColumns[DVNum],0)))</f>
        <v/>
      </c>
    </row>
    <row r="951" spans="1:2">
      <c r="A951" s="218" t="str">
        <f ca="1">IF(ROW()-1&gt;NumDataColumns,"",MAX(INDIRECT(CONCATENATE("R",ROW(ResultColumnLabels[#Headers]),"C",COLUMN(),":R",ROW()-1,"C",COLUMN()),FALSE))+1)</f>
        <v/>
      </c>
      <c r="B951" s="218" t="str">
        <f ca="1">IF(ResultColumnLabels[[#This Row],[Data Value Number]]="","",INDEX(DataColumns[ColumnLabel],MATCH(ResultColumnLabels[[#This Row],[Data Value Number]],DataColumns[DVNum],0)))</f>
        <v/>
      </c>
    </row>
    <row r="952" spans="1:2">
      <c r="A952" s="218" t="str">
        <f ca="1">IF(ROW()-1&gt;NumDataColumns,"",MAX(INDIRECT(CONCATENATE("R",ROW(ResultColumnLabels[#Headers]),"C",COLUMN(),":R",ROW()-1,"C",COLUMN()),FALSE))+1)</f>
        <v/>
      </c>
      <c r="B952" s="218" t="str">
        <f ca="1">IF(ResultColumnLabels[[#This Row],[Data Value Number]]="","",INDEX(DataColumns[ColumnLabel],MATCH(ResultColumnLabels[[#This Row],[Data Value Number]],DataColumns[DVNum],0)))</f>
        <v/>
      </c>
    </row>
    <row r="953" spans="1:2">
      <c r="A953" s="218" t="str">
        <f ca="1">IF(ROW()-1&gt;NumDataColumns,"",MAX(INDIRECT(CONCATENATE("R",ROW(ResultColumnLabels[#Headers]),"C",COLUMN(),":R",ROW()-1,"C",COLUMN()),FALSE))+1)</f>
        <v/>
      </c>
      <c r="B953" s="218" t="str">
        <f ca="1">IF(ResultColumnLabels[[#This Row],[Data Value Number]]="","",INDEX(DataColumns[ColumnLabel],MATCH(ResultColumnLabels[[#This Row],[Data Value Number]],DataColumns[DVNum],0)))</f>
        <v/>
      </c>
    </row>
    <row r="954" spans="1:2">
      <c r="A954" s="218" t="str">
        <f ca="1">IF(ROW()-1&gt;NumDataColumns,"",MAX(INDIRECT(CONCATENATE("R",ROW(ResultColumnLabels[#Headers]),"C",COLUMN(),":R",ROW()-1,"C",COLUMN()),FALSE))+1)</f>
        <v/>
      </c>
      <c r="B954" s="218" t="str">
        <f ca="1">IF(ResultColumnLabels[[#This Row],[Data Value Number]]="","",INDEX(DataColumns[ColumnLabel],MATCH(ResultColumnLabels[[#This Row],[Data Value Number]],DataColumns[DVNum],0)))</f>
        <v/>
      </c>
    </row>
    <row r="955" spans="1:2">
      <c r="A955" s="218" t="str">
        <f ca="1">IF(ROW()-1&gt;NumDataColumns,"",MAX(INDIRECT(CONCATENATE("R",ROW(ResultColumnLabels[#Headers]),"C",COLUMN(),":R",ROW()-1,"C",COLUMN()),FALSE))+1)</f>
        <v/>
      </c>
      <c r="B955" s="218" t="str">
        <f ca="1">IF(ResultColumnLabels[[#This Row],[Data Value Number]]="","",INDEX(DataColumns[ColumnLabel],MATCH(ResultColumnLabels[[#This Row],[Data Value Number]],DataColumns[DVNum],0)))</f>
        <v/>
      </c>
    </row>
    <row r="956" spans="1:2">
      <c r="A956" s="218" t="str">
        <f ca="1">IF(ROW()-1&gt;NumDataColumns,"",MAX(INDIRECT(CONCATENATE("R",ROW(ResultColumnLabels[#Headers]),"C",COLUMN(),":R",ROW()-1,"C",COLUMN()),FALSE))+1)</f>
        <v/>
      </c>
      <c r="B956" s="218" t="str">
        <f ca="1">IF(ResultColumnLabels[[#This Row],[Data Value Number]]="","",INDEX(DataColumns[ColumnLabel],MATCH(ResultColumnLabels[[#This Row],[Data Value Number]],DataColumns[DVNum],0)))</f>
        <v/>
      </c>
    </row>
    <row r="957" spans="1:2">
      <c r="A957" s="218" t="str">
        <f ca="1">IF(ROW()-1&gt;NumDataColumns,"",MAX(INDIRECT(CONCATENATE("R",ROW(ResultColumnLabels[#Headers]),"C",COLUMN(),":R",ROW()-1,"C",COLUMN()),FALSE))+1)</f>
        <v/>
      </c>
      <c r="B957" s="218" t="str">
        <f ca="1">IF(ResultColumnLabels[[#This Row],[Data Value Number]]="","",INDEX(DataColumns[ColumnLabel],MATCH(ResultColumnLabels[[#This Row],[Data Value Number]],DataColumns[DVNum],0)))</f>
        <v/>
      </c>
    </row>
    <row r="958" spans="1:2">
      <c r="A958" s="218" t="str">
        <f ca="1">IF(ROW()-1&gt;NumDataColumns,"",MAX(INDIRECT(CONCATENATE("R",ROW(ResultColumnLabels[#Headers]),"C",COLUMN(),":R",ROW()-1,"C",COLUMN()),FALSE))+1)</f>
        <v/>
      </c>
      <c r="B958" s="218" t="str">
        <f ca="1">IF(ResultColumnLabels[[#This Row],[Data Value Number]]="","",INDEX(DataColumns[ColumnLabel],MATCH(ResultColumnLabels[[#This Row],[Data Value Number]],DataColumns[DVNum],0)))</f>
        <v/>
      </c>
    </row>
    <row r="959" spans="1:2">
      <c r="A959" s="218" t="str">
        <f ca="1">IF(ROW()-1&gt;NumDataColumns,"",MAX(INDIRECT(CONCATENATE("R",ROW(ResultColumnLabels[#Headers]),"C",COLUMN(),":R",ROW()-1,"C",COLUMN()),FALSE))+1)</f>
        <v/>
      </c>
      <c r="B959" s="218" t="str">
        <f ca="1">IF(ResultColumnLabels[[#This Row],[Data Value Number]]="","",INDEX(DataColumns[ColumnLabel],MATCH(ResultColumnLabels[[#This Row],[Data Value Number]],DataColumns[DVNum],0)))</f>
        <v/>
      </c>
    </row>
    <row r="960" spans="1:2">
      <c r="A960" s="218" t="str">
        <f ca="1">IF(ROW()-1&gt;NumDataColumns,"",MAX(INDIRECT(CONCATENATE("R",ROW(ResultColumnLabels[#Headers]),"C",COLUMN(),":R",ROW()-1,"C",COLUMN()),FALSE))+1)</f>
        <v/>
      </c>
      <c r="B960" s="218" t="str">
        <f ca="1">IF(ResultColumnLabels[[#This Row],[Data Value Number]]="","",INDEX(DataColumns[ColumnLabel],MATCH(ResultColumnLabels[[#This Row],[Data Value Number]],DataColumns[DVNum],0)))</f>
        <v/>
      </c>
    </row>
    <row r="961" spans="1:2">
      <c r="A961" s="218" t="str">
        <f ca="1">IF(ROW()-1&gt;NumDataColumns,"",MAX(INDIRECT(CONCATENATE("R",ROW(ResultColumnLabels[#Headers]),"C",COLUMN(),":R",ROW()-1,"C",COLUMN()),FALSE))+1)</f>
        <v/>
      </c>
      <c r="B961" s="218" t="str">
        <f ca="1">IF(ResultColumnLabels[[#This Row],[Data Value Number]]="","",INDEX(DataColumns[ColumnLabel],MATCH(ResultColumnLabels[[#This Row],[Data Value Number]],DataColumns[DVNum],0)))</f>
        <v/>
      </c>
    </row>
    <row r="962" spans="1:2">
      <c r="A962" s="218" t="str">
        <f ca="1">IF(ROW()-1&gt;NumDataColumns,"",MAX(INDIRECT(CONCATENATE("R",ROW(ResultColumnLabels[#Headers]),"C",COLUMN(),":R",ROW()-1,"C",COLUMN()),FALSE))+1)</f>
        <v/>
      </c>
      <c r="B962" s="218" t="str">
        <f ca="1">IF(ResultColumnLabels[[#This Row],[Data Value Number]]="","",INDEX(DataColumns[ColumnLabel],MATCH(ResultColumnLabels[[#This Row],[Data Value Number]],DataColumns[DVNum],0)))</f>
        <v/>
      </c>
    </row>
    <row r="963" spans="1:2">
      <c r="A963" s="218" t="str">
        <f ca="1">IF(ROW()-1&gt;NumDataColumns,"",MAX(INDIRECT(CONCATENATE("R",ROW(ResultColumnLabels[#Headers]),"C",COLUMN(),":R",ROW()-1,"C",COLUMN()),FALSE))+1)</f>
        <v/>
      </c>
      <c r="B963" s="218" t="str">
        <f ca="1">IF(ResultColumnLabels[[#This Row],[Data Value Number]]="","",INDEX(DataColumns[ColumnLabel],MATCH(ResultColumnLabels[[#This Row],[Data Value Number]],DataColumns[DVNum],0)))</f>
        <v/>
      </c>
    </row>
    <row r="964" spans="1:2">
      <c r="A964" s="218" t="str">
        <f ca="1">IF(ROW()-1&gt;NumDataColumns,"",MAX(INDIRECT(CONCATENATE("R",ROW(ResultColumnLabels[#Headers]),"C",COLUMN(),":R",ROW()-1,"C",COLUMN()),FALSE))+1)</f>
        <v/>
      </c>
      <c r="B964" s="218" t="str">
        <f ca="1">IF(ResultColumnLabels[[#This Row],[Data Value Number]]="","",INDEX(DataColumns[ColumnLabel],MATCH(ResultColumnLabels[[#This Row],[Data Value Number]],DataColumns[DVNum],0)))</f>
        <v/>
      </c>
    </row>
    <row r="965" spans="1:2">
      <c r="A965" s="218" t="str">
        <f ca="1">IF(ROW()-1&gt;NumDataColumns,"",MAX(INDIRECT(CONCATENATE("R",ROW(ResultColumnLabels[#Headers]),"C",COLUMN(),":R",ROW()-1,"C",COLUMN()),FALSE))+1)</f>
        <v/>
      </c>
      <c r="B965" s="218" t="str">
        <f ca="1">IF(ResultColumnLabels[[#This Row],[Data Value Number]]="","",INDEX(DataColumns[ColumnLabel],MATCH(ResultColumnLabels[[#This Row],[Data Value Number]],DataColumns[DVNum],0)))</f>
        <v/>
      </c>
    </row>
    <row r="966" spans="1:2">
      <c r="A966" s="218" t="str">
        <f ca="1">IF(ROW()-1&gt;NumDataColumns,"",MAX(INDIRECT(CONCATENATE("R",ROW(ResultColumnLabels[#Headers]),"C",COLUMN(),":R",ROW()-1,"C",COLUMN()),FALSE))+1)</f>
        <v/>
      </c>
      <c r="B966" s="218" t="str">
        <f ca="1">IF(ResultColumnLabels[[#This Row],[Data Value Number]]="","",INDEX(DataColumns[ColumnLabel],MATCH(ResultColumnLabels[[#This Row],[Data Value Number]],DataColumns[DVNum],0)))</f>
        <v/>
      </c>
    </row>
    <row r="967" spans="1:2">
      <c r="A967" s="218" t="str">
        <f ca="1">IF(ROW()-1&gt;NumDataColumns,"",MAX(INDIRECT(CONCATENATE("R",ROW(ResultColumnLabels[#Headers]),"C",COLUMN(),":R",ROW()-1,"C",COLUMN()),FALSE))+1)</f>
        <v/>
      </c>
      <c r="B967" s="218" t="str">
        <f ca="1">IF(ResultColumnLabels[[#This Row],[Data Value Number]]="","",INDEX(DataColumns[ColumnLabel],MATCH(ResultColumnLabels[[#This Row],[Data Value Number]],DataColumns[DVNum],0)))</f>
        <v/>
      </c>
    </row>
    <row r="968" spans="1:2">
      <c r="A968" s="218" t="str">
        <f ca="1">IF(ROW()-1&gt;NumDataColumns,"",MAX(INDIRECT(CONCATENATE("R",ROW(ResultColumnLabels[#Headers]),"C",COLUMN(),":R",ROW()-1,"C",COLUMN()),FALSE))+1)</f>
        <v/>
      </c>
      <c r="B968" s="218" t="str">
        <f ca="1">IF(ResultColumnLabels[[#This Row],[Data Value Number]]="","",INDEX(DataColumns[ColumnLabel],MATCH(ResultColumnLabels[[#This Row],[Data Value Number]],DataColumns[DVNum],0)))</f>
        <v/>
      </c>
    </row>
    <row r="969" spans="1:2">
      <c r="A969" s="218" t="str">
        <f ca="1">IF(ROW()-1&gt;NumDataColumns,"",MAX(INDIRECT(CONCATENATE("R",ROW(ResultColumnLabels[#Headers]),"C",COLUMN(),":R",ROW()-1,"C",COLUMN()),FALSE))+1)</f>
        <v/>
      </c>
      <c r="B969" s="218" t="str">
        <f ca="1">IF(ResultColumnLabels[[#This Row],[Data Value Number]]="","",INDEX(DataColumns[ColumnLabel],MATCH(ResultColumnLabels[[#This Row],[Data Value Number]],DataColumns[DVNum],0)))</f>
        <v/>
      </c>
    </row>
    <row r="970" spans="1:2">
      <c r="A970" s="218" t="str">
        <f ca="1">IF(ROW()-1&gt;NumDataColumns,"",MAX(INDIRECT(CONCATENATE("R",ROW(ResultColumnLabels[#Headers]),"C",COLUMN(),":R",ROW()-1,"C",COLUMN()),FALSE))+1)</f>
        <v/>
      </c>
      <c r="B970" s="218" t="str">
        <f ca="1">IF(ResultColumnLabels[[#This Row],[Data Value Number]]="","",INDEX(DataColumns[ColumnLabel],MATCH(ResultColumnLabels[[#This Row],[Data Value Number]],DataColumns[DVNum],0)))</f>
        <v/>
      </c>
    </row>
    <row r="971" spans="1:2">
      <c r="A971" s="218" t="str">
        <f ca="1">IF(ROW()-1&gt;NumDataColumns,"",MAX(INDIRECT(CONCATENATE("R",ROW(ResultColumnLabels[#Headers]),"C",COLUMN(),":R",ROW()-1,"C",COLUMN()),FALSE))+1)</f>
        <v/>
      </c>
      <c r="B971" s="218" t="str">
        <f ca="1">IF(ResultColumnLabels[[#This Row],[Data Value Number]]="","",INDEX(DataColumns[ColumnLabel],MATCH(ResultColumnLabels[[#This Row],[Data Value Number]],DataColumns[DVNum],0)))</f>
        <v/>
      </c>
    </row>
    <row r="972" spans="1:2">
      <c r="A972" s="218" t="str">
        <f ca="1">IF(ROW()-1&gt;NumDataColumns,"",MAX(INDIRECT(CONCATENATE("R",ROW(ResultColumnLabels[#Headers]),"C",COLUMN(),":R",ROW()-1,"C",COLUMN()),FALSE))+1)</f>
        <v/>
      </c>
      <c r="B972" s="218" t="str">
        <f ca="1">IF(ResultColumnLabels[[#This Row],[Data Value Number]]="","",INDEX(DataColumns[ColumnLabel],MATCH(ResultColumnLabels[[#This Row],[Data Value Number]],DataColumns[DVNum],0)))</f>
        <v/>
      </c>
    </row>
    <row r="973" spans="1:2">
      <c r="A973" s="218" t="str">
        <f ca="1">IF(ROW()-1&gt;NumDataColumns,"",MAX(INDIRECT(CONCATENATE("R",ROW(ResultColumnLabels[#Headers]),"C",COLUMN(),":R",ROW()-1,"C",COLUMN()),FALSE))+1)</f>
        <v/>
      </c>
      <c r="B973" s="218" t="str">
        <f ca="1">IF(ResultColumnLabels[[#This Row],[Data Value Number]]="","",INDEX(DataColumns[ColumnLabel],MATCH(ResultColumnLabels[[#This Row],[Data Value Number]],DataColumns[DVNum],0)))</f>
        <v/>
      </c>
    </row>
    <row r="974" spans="1:2">
      <c r="A974" s="218" t="str">
        <f ca="1">IF(ROW()-1&gt;NumDataColumns,"",MAX(INDIRECT(CONCATENATE("R",ROW(ResultColumnLabels[#Headers]),"C",COLUMN(),":R",ROW()-1,"C",COLUMN()),FALSE))+1)</f>
        <v/>
      </c>
      <c r="B974" s="218" t="str">
        <f ca="1">IF(ResultColumnLabels[[#This Row],[Data Value Number]]="","",INDEX(DataColumns[ColumnLabel],MATCH(ResultColumnLabels[[#This Row],[Data Value Number]],DataColumns[DVNum],0)))</f>
        <v/>
      </c>
    </row>
    <row r="975" spans="1:2">
      <c r="A975" s="218" t="str">
        <f ca="1">IF(ROW()-1&gt;NumDataColumns,"",MAX(INDIRECT(CONCATENATE("R",ROW(ResultColumnLabels[#Headers]),"C",COLUMN(),":R",ROW()-1,"C",COLUMN()),FALSE))+1)</f>
        <v/>
      </c>
      <c r="B975" s="218" t="str">
        <f ca="1">IF(ResultColumnLabels[[#This Row],[Data Value Number]]="","",INDEX(DataColumns[ColumnLabel],MATCH(ResultColumnLabels[[#This Row],[Data Value Number]],DataColumns[DVNum],0)))</f>
        <v/>
      </c>
    </row>
    <row r="976" spans="1:2">
      <c r="A976" s="218" t="str">
        <f ca="1">IF(ROW()-1&gt;NumDataColumns,"",MAX(INDIRECT(CONCATENATE("R",ROW(ResultColumnLabels[#Headers]),"C",COLUMN(),":R",ROW()-1,"C",COLUMN()),FALSE))+1)</f>
        <v/>
      </c>
      <c r="B976" s="218" t="str">
        <f ca="1">IF(ResultColumnLabels[[#This Row],[Data Value Number]]="","",INDEX(DataColumns[ColumnLabel],MATCH(ResultColumnLabels[[#This Row],[Data Value Number]],DataColumns[DVNum],0)))</f>
        <v/>
      </c>
    </row>
    <row r="977" spans="1:2">
      <c r="A977" s="218" t="str">
        <f ca="1">IF(ROW()-1&gt;NumDataColumns,"",MAX(INDIRECT(CONCATENATE("R",ROW(ResultColumnLabels[#Headers]),"C",COLUMN(),":R",ROW()-1,"C",COLUMN()),FALSE))+1)</f>
        <v/>
      </c>
      <c r="B977" s="218" t="str">
        <f ca="1">IF(ResultColumnLabels[[#This Row],[Data Value Number]]="","",INDEX(DataColumns[ColumnLabel],MATCH(ResultColumnLabels[[#This Row],[Data Value Number]],DataColumns[DVNum],0)))</f>
        <v/>
      </c>
    </row>
    <row r="978" spans="1:2">
      <c r="A978" s="218" t="str">
        <f ca="1">IF(ROW()-1&gt;NumDataColumns,"",MAX(INDIRECT(CONCATENATE("R",ROW(ResultColumnLabels[#Headers]),"C",COLUMN(),":R",ROW()-1,"C",COLUMN()),FALSE))+1)</f>
        <v/>
      </c>
      <c r="B978" s="218" t="str">
        <f ca="1">IF(ResultColumnLabels[[#This Row],[Data Value Number]]="","",INDEX(DataColumns[ColumnLabel],MATCH(ResultColumnLabels[[#This Row],[Data Value Number]],DataColumns[DVNum],0)))</f>
        <v/>
      </c>
    </row>
    <row r="979" spans="1:2">
      <c r="A979" s="218" t="str">
        <f ca="1">IF(ROW()-1&gt;NumDataColumns,"",MAX(INDIRECT(CONCATENATE("R",ROW(ResultColumnLabels[#Headers]),"C",COLUMN(),":R",ROW()-1,"C",COLUMN()),FALSE))+1)</f>
        <v/>
      </c>
      <c r="B979" s="218" t="str">
        <f ca="1">IF(ResultColumnLabels[[#This Row],[Data Value Number]]="","",INDEX(DataColumns[ColumnLabel],MATCH(ResultColumnLabels[[#This Row],[Data Value Number]],DataColumns[DVNum],0)))</f>
        <v/>
      </c>
    </row>
    <row r="980" spans="1:2">
      <c r="A980" s="218" t="str">
        <f ca="1">IF(ROW()-1&gt;NumDataColumns,"",MAX(INDIRECT(CONCATENATE("R",ROW(ResultColumnLabels[#Headers]),"C",COLUMN(),":R",ROW()-1,"C",COLUMN()),FALSE))+1)</f>
        <v/>
      </c>
      <c r="B980" s="218" t="str">
        <f ca="1">IF(ResultColumnLabels[[#This Row],[Data Value Number]]="","",INDEX(DataColumns[ColumnLabel],MATCH(ResultColumnLabels[[#This Row],[Data Value Number]],DataColumns[DVNum],0)))</f>
        <v/>
      </c>
    </row>
    <row r="981" spans="1:2">
      <c r="A981" s="218" t="str">
        <f ca="1">IF(ROW()-1&gt;NumDataColumns,"",MAX(INDIRECT(CONCATENATE("R",ROW(ResultColumnLabels[#Headers]),"C",COLUMN(),":R",ROW()-1,"C",COLUMN()),FALSE))+1)</f>
        <v/>
      </c>
      <c r="B981" s="218" t="str">
        <f ca="1">IF(ResultColumnLabels[[#This Row],[Data Value Number]]="","",INDEX(DataColumns[ColumnLabel],MATCH(ResultColumnLabels[[#This Row],[Data Value Number]],DataColumns[DVNum],0)))</f>
        <v/>
      </c>
    </row>
    <row r="982" spans="1:2">
      <c r="A982" s="218" t="str">
        <f ca="1">IF(ROW()-1&gt;NumDataColumns,"",MAX(INDIRECT(CONCATENATE("R",ROW(ResultColumnLabels[#Headers]),"C",COLUMN(),":R",ROW()-1,"C",COLUMN()),FALSE))+1)</f>
        <v/>
      </c>
      <c r="B982" s="218" t="str">
        <f ca="1">IF(ResultColumnLabels[[#This Row],[Data Value Number]]="","",INDEX(DataColumns[ColumnLabel],MATCH(ResultColumnLabels[[#This Row],[Data Value Number]],DataColumns[DVNum],0)))</f>
        <v/>
      </c>
    </row>
    <row r="983" spans="1:2">
      <c r="A983" s="218" t="str">
        <f ca="1">IF(ROW()-1&gt;NumDataColumns,"",MAX(INDIRECT(CONCATENATE("R",ROW(ResultColumnLabels[#Headers]),"C",COLUMN(),":R",ROW()-1,"C",COLUMN()),FALSE))+1)</f>
        <v/>
      </c>
      <c r="B983" s="218" t="str">
        <f ca="1">IF(ResultColumnLabels[[#This Row],[Data Value Number]]="","",INDEX(DataColumns[ColumnLabel],MATCH(ResultColumnLabels[[#This Row],[Data Value Number]],DataColumns[DVNum],0)))</f>
        <v/>
      </c>
    </row>
    <row r="984" spans="1:2">
      <c r="A984" s="218" t="str">
        <f ca="1">IF(ROW()-1&gt;NumDataColumns,"",MAX(INDIRECT(CONCATENATE("R",ROW(ResultColumnLabels[#Headers]),"C",COLUMN(),":R",ROW()-1,"C",COLUMN()),FALSE))+1)</f>
        <v/>
      </c>
      <c r="B984" s="218" t="str">
        <f ca="1">IF(ResultColumnLabels[[#This Row],[Data Value Number]]="","",INDEX(DataColumns[ColumnLabel],MATCH(ResultColumnLabels[[#This Row],[Data Value Number]],DataColumns[DVNum],0)))</f>
        <v/>
      </c>
    </row>
    <row r="985" spans="1:2">
      <c r="A985" s="218" t="str">
        <f ca="1">IF(ROW()-1&gt;NumDataColumns,"",MAX(INDIRECT(CONCATENATE("R",ROW(ResultColumnLabels[#Headers]),"C",COLUMN(),":R",ROW()-1,"C",COLUMN()),FALSE))+1)</f>
        <v/>
      </c>
      <c r="B985" s="218" t="str">
        <f ca="1">IF(ResultColumnLabels[[#This Row],[Data Value Number]]="","",INDEX(DataColumns[ColumnLabel],MATCH(ResultColumnLabels[[#This Row],[Data Value Number]],DataColumns[DVNum],0)))</f>
        <v/>
      </c>
    </row>
    <row r="986" spans="1:2">
      <c r="A986" s="218" t="str">
        <f ca="1">IF(ROW()-1&gt;NumDataColumns,"",MAX(INDIRECT(CONCATENATE("R",ROW(ResultColumnLabels[#Headers]),"C",COLUMN(),":R",ROW()-1,"C",COLUMN()),FALSE))+1)</f>
        <v/>
      </c>
      <c r="B986" s="218" t="str">
        <f ca="1">IF(ResultColumnLabels[[#This Row],[Data Value Number]]="","",INDEX(DataColumns[ColumnLabel],MATCH(ResultColumnLabels[[#This Row],[Data Value Number]],DataColumns[DVNum],0)))</f>
        <v/>
      </c>
    </row>
    <row r="987" spans="1:2">
      <c r="A987" s="218" t="str">
        <f ca="1">IF(ROW()-1&gt;NumDataColumns,"",MAX(INDIRECT(CONCATENATE("R",ROW(ResultColumnLabels[#Headers]),"C",COLUMN(),":R",ROW()-1,"C",COLUMN()),FALSE))+1)</f>
        <v/>
      </c>
      <c r="B987" s="218" t="str">
        <f ca="1">IF(ResultColumnLabels[[#This Row],[Data Value Number]]="","",INDEX(DataColumns[ColumnLabel],MATCH(ResultColumnLabels[[#This Row],[Data Value Number]],DataColumns[DVNum],0)))</f>
        <v/>
      </c>
    </row>
    <row r="988" spans="1:2">
      <c r="A988" s="218" t="str">
        <f ca="1">IF(ROW()-1&gt;NumDataColumns,"",MAX(INDIRECT(CONCATENATE("R",ROW(ResultColumnLabels[#Headers]),"C",COLUMN(),":R",ROW()-1,"C",COLUMN()),FALSE))+1)</f>
        <v/>
      </c>
      <c r="B988" s="218" t="str">
        <f ca="1">IF(ResultColumnLabels[[#This Row],[Data Value Number]]="","",INDEX(DataColumns[ColumnLabel],MATCH(ResultColumnLabels[[#This Row],[Data Value Number]],DataColumns[DVNum],0)))</f>
        <v/>
      </c>
    </row>
    <row r="989" spans="1:2">
      <c r="A989" s="218" t="str">
        <f ca="1">IF(ROW()-1&gt;NumDataColumns,"",MAX(INDIRECT(CONCATENATE("R",ROW(ResultColumnLabels[#Headers]),"C",COLUMN(),":R",ROW()-1,"C",COLUMN()),FALSE))+1)</f>
        <v/>
      </c>
      <c r="B989" s="218" t="str">
        <f ca="1">IF(ResultColumnLabels[[#This Row],[Data Value Number]]="","",INDEX(DataColumns[ColumnLabel],MATCH(ResultColumnLabels[[#This Row],[Data Value Number]],DataColumns[DVNum],0)))</f>
        <v/>
      </c>
    </row>
    <row r="990" spans="1:2">
      <c r="A990" s="218" t="str">
        <f ca="1">IF(ROW()-1&gt;NumDataColumns,"",MAX(INDIRECT(CONCATENATE("R",ROW(ResultColumnLabels[#Headers]),"C",COLUMN(),":R",ROW()-1,"C",COLUMN()),FALSE))+1)</f>
        <v/>
      </c>
      <c r="B990" s="218" t="str">
        <f ca="1">IF(ResultColumnLabels[[#This Row],[Data Value Number]]="","",INDEX(DataColumns[ColumnLabel],MATCH(ResultColumnLabels[[#This Row],[Data Value Number]],DataColumns[DVNum],0)))</f>
        <v/>
      </c>
    </row>
    <row r="991" spans="1:2">
      <c r="A991" s="218" t="str">
        <f ca="1">IF(ROW()-1&gt;NumDataColumns,"",MAX(INDIRECT(CONCATENATE("R",ROW(ResultColumnLabels[#Headers]),"C",COLUMN(),":R",ROW()-1,"C",COLUMN()),FALSE))+1)</f>
        <v/>
      </c>
      <c r="B991" s="218" t="str">
        <f ca="1">IF(ResultColumnLabels[[#This Row],[Data Value Number]]="","",INDEX(DataColumns[ColumnLabel],MATCH(ResultColumnLabels[[#This Row],[Data Value Number]],DataColumns[DVNum],0)))</f>
        <v/>
      </c>
    </row>
    <row r="992" spans="1:2">
      <c r="A992" s="218" t="str">
        <f ca="1">IF(ROW()-1&gt;NumDataColumns,"",MAX(INDIRECT(CONCATENATE("R",ROW(ResultColumnLabels[#Headers]),"C",COLUMN(),":R",ROW()-1,"C",COLUMN()),FALSE))+1)</f>
        <v/>
      </c>
      <c r="B992" s="218" t="str">
        <f ca="1">IF(ResultColumnLabels[[#This Row],[Data Value Number]]="","",INDEX(DataColumns[ColumnLabel],MATCH(ResultColumnLabels[[#This Row],[Data Value Number]],DataColumns[DVNum],0)))</f>
        <v/>
      </c>
    </row>
    <row r="993" spans="1:2">
      <c r="A993" s="218" t="str">
        <f ca="1">IF(ROW()-1&gt;NumDataColumns,"",MAX(INDIRECT(CONCATENATE("R",ROW(ResultColumnLabels[#Headers]),"C",COLUMN(),":R",ROW()-1,"C",COLUMN()),FALSE))+1)</f>
        <v/>
      </c>
      <c r="B993" s="218" t="str">
        <f ca="1">IF(ResultColumnLabels[[#This Row],[Data Value Number]]="","",INDEX(DataColumns[ColumnLabel],MATCH(ResultColumnLabels[[#This Row],[Data Value Number]],DataColumns[DVNum],0)))</f>
        <v/>
      </c>
    </row>
    <row r="994" spans="1:2">
      <c r="A994" s="218" t="str">
        <f ca="1">IF(ROW()-1&gt;NumDataColumns,"",MAX(INDIRECT(CONCATENATE("R",ROW(ResultColumnLabels[#Headers]),"C",COLUMN(),":R",ROW()-1,"C",COLUMN()),FALSE))+1)</f>
        <v/>
      </c>
      <c r="B994" s="218" t="str">
        <f ca="1">IF(ResultColumnLabels[[#This Row],[Data Value Number]]="","",INDEX(DataColumns[ColumnLabel],MATCH(ResultColumnLabels[[#This Row],[Data Value Number]],DataColumns[DVNum],0)))</f>
        <v/>
      </c>
    </row>
    <row r="995" spans="1:2">
      <c r="A995" s="218" t="str">
        <f ca="1">IF(ROW()-1&gt;NumDataColumns,"",MAX(INDIRECT(CONCATENATE("R",ROW(ResultColumnLabels[#Headers]),"C",COLUMN(),":R",ROW()-1,"C",COLUMN()),FALSE))+1)</f>
        <v/>
      </c>
      <c r="B995" s="218" t="str">
        <f ca="1">IF(ResultColumnLabels[[#This Row],[Data Value Number]]="","",INDEX(DataColumns[ColumnLabel],MATCH(ResultColumnLabels[[#This Row],[Data Value Number]],DataColumns[DVNum],0)))</f>
        <v/>
      </c>
    </row>
    <row r="996" spans="1:2">
      <c r="A996" s="218" t="str">
        <f ca="1">IF(ROW()-1&gt;NumDataColumns,"",MAX(INDIRECT(CONCATENATE("R",ROW(ResultColumnLabels[#Headers]),"C",COLUMN(),":R",ROW()-1,"C",COLUMN()),FALSE))+1)</f>
        <v/>
      </c>
      <c r="B996" s="218" t="str">
        <f ca="1">IF(ResultColumnLabels[[#This Row],[Data Value Number]]="","",INDEX(DataColumns[ColumnLabel],MATCH(ResultColumnLabels[[#This Row],[Data Value Number]],DataColumns[DVNum],0)))</f>
        <v/>
      </c>
    </row>
    <row r="997" spans="1:2">
      <c r="A997" s="218" t="str">
        <f ca="1">IF(ROW()-1&gt;NumDataColumns,"",MAX(INDIRECT(CONCATENATE("R",ROW(ResultColumnLabels[#Headers]),"C",COLUMN(),":R",ROW()-1,"C",COLUMN()),FALSE))+1)</f>
        <v/>
      </c>
      <c r="B997" s="218" t="str">
        <f ca="1">IF(ResultColumnLabels[[#This Row],[Data Value Number]]="","",INDEX(DataColumns[ColumnLabel],MATCH(ResultColumnLabels[[#This Row],[Data Value Number]],DataColumns[DVNum],0)))</f>
        <v/>
      </c>
    </row>
    <row r="998" spans="1:2">
      <c r="A998" s="218" t="str">
        <f ca="1">IF(ROW()-1&gt;NumDataColumns,"",MAX(INDIRECT(CONCATENATE("R",ROW(ResultColumnLabels[#Headers]),"C",COLUMN(),":R",ROW()-1,"C",COLUMN()),FALSE))+1)</f>
        <v/>
      </c>
      <c r="B998" s="218" t="str">
        <f ca="1">IF(ResultColumnLabels[[#This Row],[Data Value Number]]="","",INDEX(DataColumns[ColumnLabel],MATCH(ResultColumnLabels[[#This Row],[Data Value Number]],DataColumns[DVNum],0)))</f>
        <v/>
      </c>
    </row>
    <row r="999" spans="1:2">
      <c r="A999" s="218" t="str">
        <f ca="1">IF(ROW()-1&gt;NumDataColumns,"",MAX(INDIRECT(CONCATENATE("R",ROW(ResultColumnLabels[#Headers]),"C",COLUMN(),":R",ROW()-1,"C",COLUMN()),FALSE))+1)</f>
        <v/>
      </c>
      <c r="B999" s="218" t="str">
        <f ca="1">IF(ResultColumnLabels[[#This Row],[Data Value Number]]="","",INDEX(DataColumns[ColumnLabel],MATCH(ResultColumnLabels[[#This Row],[Data Value Number]],DataColumns[DVNum],0)))</f>
        <v/>
      </c>
    </row>
    <row r="1000" spans="1:2">
      <c r="A1000" s="218" t="str">
        <f ca="1">IF(ROW()-1&gt;NumDataColumns,"",MAX(INDIRECT(CONCATENATE("R",ROW(ResultColumnLabels[#Headers]),"C",COLUMN(),":R",ROW()-1,"C",COLUMN()),FALSE))+1)</f>
        <v/>
      </c>
      <c r="B1000" s="218" t="str">
        <f ca="1">IF(ResultColumnLabels[[#This Row],[Data Value Number]]="","",INDEX(DataColumns[ColumnLabel],MATCH(ResultColumnLabels[[#This Row],[Data Value Number]],DataColumns[DVNum],0)))</f>
        <v/>
      </c>
    </row>
    <row r="1001" spans="1:2">
      <c r="A1001" s="218" t="str">
        <f ca="1">IF(ROW()-1&gt;NumDataColumns,"",MAX(INDIRECT(CONCATENATE("R",ROW(ResultColumnLabels[#Headers]),"C",COLUMN(),":R",ROW()-1,"C",COLUMN()),FALSE))+1)</f>
        <v/>
      </c>
      <c r="B1001" s="218" t="str">
        <f ca="1">IF(ResultColumnLabels[[#This Row],[Data Value Number]]="","",INDEX(DataColumns[ColumnLabel],MATCH(ResultColumnLabels[[#This Row],[Data Value Number]],DataColumns[DVNum],0)))</f>
        <v/>
      </c>
    </row>
  </sheetData>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dimension ref="A1:Q19"/>
  <sheetViews>
    <sheetView workbookViewId="0">
      <selection activeCell="A74" sqref="A74:E91"/>
    </sheetView>
  </sheetViews>
  <sheetFormatPr baseColWidth="10" defaultColWidth="8.83203125" defaultRowHeight="14" x14ac:dyDescent="0"/>
  <cols>
    <col min="1" max="1" width="32" style="5" bestFit="1" customWidth="1"/>
    <col min="2" max="2" width="36.6640625" style="5" bestFit="1" customWidth="1"/>
    <col min="3" max="3" width="21.5" style="5" bestFit="1" customWidth="1"/>
    <col min="4" max="4" width="10" style="5" bestFit="1" customWidth="1"/>
    <col min="5" max="5" width="15" style="5" bestFit="1" customWidth="1"/>
    <col min="6" max="6" width="5.33203125" style="5" bestFit="1" customWidth="1"/>
    <col min="7" max="7" width="22.5" style="5" bestFit="1" customWidth="1"/>
    <col min="8" max="8" width="53.6640625" style="5" bestFit="1" customWidth="1"/>
    <col min="9" max="9" width="33" style="5" bestFit="1" customWidth="1"/>
    <col min="10" max="10" width="11.5" style="5" bestFit="1" customWidth="1"/>
    <col min="11" max="11" width="15.6640625" style="5" bestFit="1" customWidth="1"/>
    <col min="12" max="12" width="9.1640625" style="5" bestFit="1" customWidth="1"/>
    <col min="13" max="14" width="8.5" style="5" bestFit="1" customWidth="1"/>
    <col min="15" max="15" width="6.33203125" style="5" bestFit="1" customWidth="1"/>
    <col min="16" max="16" width="21.5" style="5" bestFit="1" customWidth="1"/>
    <col min="17" max="17" width="12.6640625" style="5" bestFit="1" customWidth="1"/>
    <col min="18" max="16384" width="8.83203125" style="5"/>
  </cols>
  <sheetData>
    <row r="1" spans="1:17" ht="56">
      <c r="A1" s="202" t="s">
        <v>320</v>
      </c>
      <c r="B1" s="202" t="s">
        <v>351</v>
      </c>
      <c r="C1" s="202" t="s">
        <v>311</v>
      </c>
      <c r="D1" s="202" t="s">
        <v>265</v>
      </c>
      <c r="E1" s="202" t="s">
        <v>350</v>
      </c>
      <c r="F1" s="202" t="s">
        <v>366</v>
      </c>
      <c r="G1" s="202" t="s">
        <v>365</v>
      </c>
      <c r="H1" s="202" t="s">
        <v>367</v>
      </c>
      <c r="I1" s="202" t="s">
        <v>371</v>
      </c>
      <c r="J1" s="202" t="s">
        <v>352</v>
      </c>
      <c r="K1" s="202" t="s">
        <v>368</v>
      </c>
      <c r="L1" s="202" t="s">
        <v>324</v>
      </c>
      <c r="M1" s="202" t="s">
        <v>354</v>
      </c>
      <c r="N1" s="202" t="s">
        <v>355</v>
      </c>
      <c r="O1" s="202" t="s">
        <v>349</v>
      </c>
      <c r="P1" s="202" t="s">
        <v>369</v>
      </c>
      <c r="Q1" s="202" t="s">
        <v>356</v>
      </c>
    </row>
    <row r="2" spans="1:17">
      <c r="A2" s="5" t="s">
        <v>331</v>
      </c>
      <c r="B2" s="5" t="s">
        <v>305</v>
      </c>
      <c r="C2" s="5" t="s">
        <v>312</v>
      </c>
      <c r="D2" s="5" t="s">
        <v>310</v>
      </c>
      <c r="E2" s="5" t="s">
        <v>303</v>
      </c>
      <c r="F2" s="5">
        <v>1</v>
      </c>
      <c r="G2" s="5" t="str">
        <f>INDEX(DataColumns[ColumnLabel],MATCH(ResultColumnFinder[[#This Row],[DV Num]],DataColumns[DVNum],0))</f>
        <v>SiO2</v>
      </c>
      <c r="H2" s="5" t="str">
        <f>CONCATENATE(ResultColumnFinder[[#This Row],[DataType]],ResultColumnFinder[[#This Row],[Data Value Label]])</f>
        <v>ResultAnalystSiO2</v>
      </c>
      <c r="I2" s="5" t="str">
        <f>CONCATENATE(ResultColumnFinder[[#This Row],[DataType]],ResultColumnFinder[[#This Row],[DV Num]])</f>
        <v>ResultAnalyst1</v>
      </c>
      <c r="J2" s="5">
        <f>MATCH(ResultColumnFinder[[#This Row],[DataType]],DataColumns[#Headers],0)</f>
        <v>18</v>
      </c>
      <c r="K2" s="5">
        <f>MATCH(CONCATENATE("ResultValue",ResultColumnFinder[[#This Row],[Data Value Label]]),DataColumns[Concat],0)</f>
        <v>8</v>
      </c>
      <c r="L2" s="5" t="e">
        <f>MATCH(ResultColumnFinder[[#This Row],[Concat]],DataColumns[Concat],0)</f>
        <v>#N/A</v>
      </c>
      <c r="M2" s="5">
        <f>IF(ResultColumnFinder[[#This Row],[REQUIRED]]="Optional",0,
IF(ResultColumnFinder[[#This Row],[VBV or Column]]="Value-By-Value",NumSpecimens,
1))</f>
        <v>0</v>
      </c>
      <c r="N2" s="5">
        <f>IF(ISERROR(ResultColumnFinder[[#This Row],[Data Values Column Number]]),
IF(ISERROR(ResultColumnFinder[[#This Row],[Data Columns Input Column]]),
0,
IF(INDEX(DataColumns[],ResultColumnFinder[[#This Row],[Data Values Input Row]],ResultColumnFinder[[#This Row],[Data Columns Input Column]])="",
0,
1)),
1)</f>
        <v>1</v>
      </c>
      <c r="O2" s="5" t="str">
        <f>IF(ResultColumnFinder[[#This Row],[Num Given]]&lt;ResultColumnFinder[[#This Row],[Num Required]],
"MISSING",
"OK")</f>
        <v>OK</v>
      </c>
      <c r="P2"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Columns'!R20C18</v>
      </c>
      <c r="Q2" s="5" t="str">
        <f>INDIRECT(ResultColumnFinder[[#This Row],[First Value Address]],FALSE)</f>
        <v>Megan R. Carter</v>
      </c>
    </row>
    <row r="3" spans="1:17">
      <c r="A3" s="5" t="s">
        <v>390</v>
      </c>
      <c r="B3" s="5" t="s">
        <v>153</v>
      </c>
      <c r="C3" s="5" t="s">
        <v>316</v>
      </c>
      <c r="D3" s="5" t="s">
        <v>265</v>
      </c>
      <c r="E3" s="5" t="s">
        <v>303</v>
      </c>
      <c r="F3" s="5">
        <v>1</v>
      </c>
      <c r="G3" s="5" t="str">
        <f>INDEX(DataColumns[ColumnLabel],MATCH(ResultColumnFinder[[#This Row],[DV Num]],DataColumns[DVNum],0))</f>
        <v>SiO2</v>
      </c>
      <c r="H3" s="5" t="str">
        <f>CONCATENATE(ResultColumnFinder[[#This Row],[DataType]],ResultColumnFinder[[#This Row],[Data Value Label]])</f>
        <v>AnalysisMethodCodeSiO2</v>
      </c>
      <c r="I3" s="5" t="str">
        <f>CONCATENATE(ResultColumnFinder[[#This Row],[DataType]],ResultColumnFinder[[#This Row],[DV Num]])</f>
        <v>AnalysisMethodCode1</v>
      </c>
      <c r="J3" s="5">
        <f>MATCH(ResultColumnFinder[[#This Row],[DataType]],DataColumns[#Headers],0)</f>
        <v>20</v>
      </c>
      <c r="K3" s="5">
        <f>MATCH(CONCATENATE("ResultValue",ResultColumnFinder[[#This Row],[Data Value Label]]),DataColumns[Concat],0)</f>
        <v>8</v>
      </c>
      <c r="L3" s="5">
        <f>MATCH(ResultColumnFinder[[#This Row],[Concat]],DataColumns[Concat],0)</f>
        <v>7</v>
      </c>
      <c r="M3" s="5">
        <f>IF(ResultColumnFinder[[#This Row],[REQUIRED]]="Optional",0,
IF(ResultColumnFinder[[#This Row],[VBV or Column]]="Value-By-Value",NumSpecimens,
1))</f>
        <v>1</v>
      </c>
      <c r="N3" s="5">
        <f>IF(ISERROR(ResultColumnFinder[[#This Row],[Data Values Column Number]]),
IF(ISERROR(ResultColumnFinder[[#This Row],[Data Columns Input Column]]),
0,
IF(INDEX(DataColumns[],ResultColumnFinder[[#This Row],[Data Values Input Row]],ResultColumnFinder[[#This Row],[Data Columns Input Column]])="",
0,
1)),
1)</f>
        <v>1</v>
      </c>
      <c r="O3" s="5" t="str">
        <f>IF(ResultColumnFinder[[#This Row],[Num Given]]&lt;ResultColumnFinder[[#This Row],[Num Required]],
"MISSING",
"OK")</f>
        <v>OK</v>
      </c>
      <c r="P3"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Values'!R2C7</v>
      </c>
      <c r="Q3" s="5" t="str">
        <f>INDIRECT(ResultColumnFinder[[#This Row],[First Value Address]],FALSE)</f>
        <v>ICP-AES</v>
      </c>
    </row>
    <row r="4" spans="1:17">
      <c r="A4" s="5" t="s">
        <v>145</v>
      </c>
      <c r="B4" s="5" t="s">
        <v>306</v>
      </c>
      <c r="C4" s="5" t="s">
        <v>145</v>
      </c>
      <c r="D4" s="5" t="s">
        <v>265</v>
      </c>
      <c r="E4" s="5" t="s">
        <v>303</v>
      </c>
      <c r="F4" s="5">
        <v>1</v>
      </c>
      <c r="G4" s="5" t="str">
        <f>INDEX(DataColumns[ColumnLabel],MATCH(ResultColumnFinder[[#This Row],[DV Num]],DataColumns[DVNum],0))</f>
        <v>SiO2</v>
      </c>
      <c r="H4" s="5" t="str">
        <f>CONCATENATE(ResultColumnFinder[[#This Row],[DataType]],ResultColumnFinder[[#This Row],[Data Value Label]])</f>
        <v>AggregationStatisticCVSiO2</v>
      </c>
      <c r="I4" s="5" t="str">
        <f>CONCATENATE(ResultColumnFinder[[#This Row],[DataType]],ResultColumnFinder[[#This Row],[DV Num]])</f>
        <v>AggregationStatisticCV1</v>
      </c>
      <c r="J4" s="5">
        <f>MATCH(ResultColumnFinder[[#This Row],[DataType]],DataColumns[#Headers],0)</f>
        <v>27</v>
      </c>
      <c r="K4" s="5">
        <f>MATCH(CONCATENATE("ResultValue",ResultColumnFinder[[#This Row],[Data Value Label]]),DataColumns[Concat],0)</f>
        <v>8</v>
      </c>
      <c r="L4" s="5" t="e">
        <f>MATCH(ResultColumnFinder[[#This Row],[Concat]],DataColumns[Concat],0)</f>
        <v>#N/A</v>
      </c>
      <c r="M4" s="5">
        <f>IF(ResultColumnFinder[[#This Row],[REQUIRED]]="Optional",0,
IF(ResultColumnFinder[[#This Row],[VBV or Column]]="Value-By-Value",NumSpecimens,
1))</f>
        <v>1</v>
      </c>
      <c r="N4" s="5">
        <f>IF(ISERROR(ResultColumnFinder[[#This Row],[Data Values Column Number]]),
IF(ISERROR(ResultColumnFinder[[#This Row],[Data Columns Input Column]]),
0,
IF(INDEX(DataColumns[],ResultColumnFinder[[#This Row],[Data Values Input Row]],ResultColumnFinder[[#This Row],[Data Columns Input Column]])="",
0,
1)),
1)</f>
        <v>0</v>
      </c>
      <c r="O4" s="5" t="str">
        <f>IF(ResultColumnFinder[[#This Row],[Num Given]]&lt;ResultColumnFinder[[#This Row],[Num Required]],
"MISSING",
"OK")</f>
        <v>MISSING</v>
      </c>
      <c r="P4"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4" s="5" t="e">
        <f>INDIRECT(ResultColumnFinder[[#This Row],[First Value Address]],FALSE)</f>
        <v>#REF!</v>
      </c>
    </row>
    <row r="5" spans="1:17">
      <c r="A5" s="5" t="s">
        <v>142</v>
      </c>
      <c r="B5" s="5" t="s">
        <v>306</v>
      </c>
      <c r="C5" s="5" t="s">
        <v>142</v>
      </c>
      <c r="D5" s="5" t="s">
        <v>265</v>
      </c>
      <c r="E5" s="5" t="s">
        <v>303</v>
      </c>
      <c r="F5" s="5">
        <v>1</v>
      </c>
      <c r="G5" s="5" t="str">
        <f>INDEX(DataColumns[ColumnLabel],MATCH(ResultColumnFinder[[#This Row],[DV Num]],DataColumns[DVNum],0))</f>
        <v>SiO2</v>
      </c>
      <c r="H5" s="5" t="str">
        <f>CONCATENATE(ResultColumnFinder[[#This Row],[DataType]],ResultColumnFinder[[#This Row],[Data Value Label]])</f>
        <v>CensorCodeCVSiO2</v>
      </c>
      <c r="I5" s="5" t="str">
        <f>CONCATENATE(ResultColumnFinder[[#This Row],[DataType]],ResultColumnFinder[[#This Row],[DV Num]])</f>
        <v>CensorCodeCV1</v>
      </c>
      <c r="J5" s="5">
        <f>MATCH(ResultColumnFinder[[#This Row],[DataType]],DataColumns[#Headers],0)</f>
        <v>22</v>
      </c>
      <c r="K5" s="5">
        <f>MATCH(CONCATENATE("ResultValue",ResultColumnFinder[[#This Row],[Data Value Label]]),DataColumns[Concat],0)</f>
        <v>8</v>
      </c>
      <c r="L5" s="5" t="e">
        <f>MATCH(ResultColumnFinder[[#This Row],[Concat]],DataColumns[Concat],0)</f>
        <v>#N/A</v>
      </c>
      <c r="M5" s="5">
        <f>IF(ResultColumnFinder[[#This Row],[REQUIRED]]="Optional",0,
IF(ResultColumnFinder[[#This Row],[VBV or Column]]="Value-By-Value",NumSpecimens,
1))</f>
        <v>1</v>
      </c>
      <c r="N5" s="5">
        <f>IF(ISERROR(ResultColumnFinder[[#This Row],[Data Values Column Number]]),
IF(ISERROR(ResultColumnFinder[[#This Row],[Data Columns Input Column]]),
0,
IF(INDEX(DataColumns[],ResultColumnFinder[[#This Row],[Data Values Input Row]],ResultColumnFinder[[#This Row],[Data Columns Input Column]])="",
0,
1)),
1)</f>
        <v>1</v>
      </c>
      <c r="O5" s="5" t="str">
        <f>IF(ResultColumnFinder[[#This Row],[Num Given]]&lt;ResultColumnFinder[[#This Row],[Num Required]],
"MISSING",
"OK")</f>
        <v>OK</v>
      </c>
      <c r="P5"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Columns'!R20C22</v>
      </c>
      <c r="Q5" s="5" t="str">
        <f>INDIRECT(ResultColumnFinder[[#This Row],[First Value Address]],FALSE)</f>
        <v>Not censored</v>
      </c>
    </row>
    <row r="6" spans="1:17">
      <c r="A6" s="5" t="s">
        <v>143</v>
      </c>
      <c r="B6" s="5" t="s">
        <v>306</v>
      </c>
      <c r="C6" s="5" t="s">
        <v>143</v>
      </c>
      <c r="D6" s="5" t="s">
        <v>265</v>
      </c>
      <c r="E6" s="5" t="s">
        <v>303</v>
      </c>
      <c r="F6" s="5">
        <v>1</v>
      </c>
      <c r="G6" s="5" t="str">
        <f>INDEX(DataColumns[ColumnLabel],MATCH(ResultColumnFinder[[#This Row],[DV Num]],DataColumns[DVNum],0))</f>
        <v>SiO2</v>
      </c>
      <c r="H6" s="5" t="str">
        <f>CONCATENATE(ResultColumnFinder[[#This Row],[DataType]],ResultColumnFinder[[#This Row],[Data Value Label]])</f>
        <v>QualityCodeCVSiO2</v>
      </c>
      <c r="I6" s="5" t="str">
        <f>CONCATENATE(ResultColumnFinder[[#This Row],[DataType]],ResultColumnFinder[[#This Row],[DV Num]])</f>
        <v>QualityCodeCV1</v>
      </c>
      <c r="J6" s="5">
        <f>MATCH(ResultColumnFinder[[#This Row],[DataType]],DataColumns[#Headers],0)</f>
        <v>23</v>
      </c>
      <c r="K6" s="5">
        <f>MATCH(CONCATENATE("ResultValue",ResultColumnFinder[[#This Row],[Data Value Label]]),DataColumns[Concat],0)</f>
        <v>8</v>
      </c>
      <c r="L6" s="5" t="e">
        <f>MATCH(ResultColumnFinder[[#This Row],[Concat]],DataColumns[Concat],0)</f>
        <v>#N/A</v>
      </c>
      <c r="M6" s="5">
        <f>IF(ResultColumnFinder[[#This Row],[REQUIRED]]="Optional",0,
IF(ResultColumnFinder[[#This Row],[VBV or Column]]="Value-By-Value",NumSpecimens,
1))</f>
        <v>1</v>
      </c>
      <c r="N6" s="5">
        <f>IF(ISERROR(ResultColumnFinder[[#This Row],[Data Values Column Number]]),
IF(ISERROR(ResultColumnFinder[[#This Row],[Data Columns Input Column]]),
0,
IF(INDEX(DataColumns[],ResultColumnFinder[[#This Row],[Data Values Input Row]],ResultColumnFinder[[#This Row],[Data Columns Input Column]])="",
0,
1)),
1)</f>
        <v>1</v>
      </c>
      <c r="O6" s="5" t="str">
        <f>IF(ResultColumnFinder[[#This Row],[Num Given]]&lt;ResultColumnFinder[[#This Row],[Num Required]],
"MISSING",
"OK")</f>
        <v>OK</v>
      </c>
      <c r="P6"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Columns'!R20C23</v>
      </c>
      <c r="Q6" s="5" t="str">
        <f>INDIRECT(ResultColumnFinder[[#This Row],[First Value Address]],FALSE)</f>
        <v>Good</v>
      </c>
    </row>
    <row r="7" spans="1:17">
      <c r="A7" s="5" t="s">
        <v>252</v>
      </c>
      <c r="B7" s="5" t="s">
        <v>306</v>
      </c>
      <c r="D7" s="5" t="s">
        <v>265</v>
      </c>
      <c r="E7" s="5" t="s">
        <v>303</v>
      </c>
      <c r="F7" s="5">
        <v>1</v>
      </c>
      <c r="G7" s="5" t="str">
        <f>INDEX(DataColumns[ColumnLabel],MATCH(ResultColumnFinder[[#This Row],[DV Num]],DataColumns[DVNum],0))</f>
        <v>SiO2</v>
      </c>
      <c r="H7" s="5" t="str">
        <f>CONCATENATE(ResultColumnFinder[[#This Row],[DataType]],ResultColumnFinder[[#This Row],[Data Value Label]])</f>
        <v>TimeAggregationIntervalSiO2</v>
      </c>
      <c r="I7" s="5" t="str">
        <f>CONCATENATE(ResultColumnFinder[[#This Row],[DataType]],ResultColumnFinder[[#This Row],[DV Num]])</f>
        <v>TimeAggregationInterval1</v>
      </c>
      <c r="J7" s="5">
        <f>MATCH(ResultColumnFinder[[#This Row],[DataType]],DataColumns[#Headers],0)</f>
        <v>25</v>
      </c>
      <c r="K7" s="5">
        <f>MATCH(CONCATENATE("ResultValue",ResultColumnFinder[[#This Row],[Data Value Label]]),DataColumns[Concat],0)</f>
        <v>8</v>
      </c>
      <c r="L7" s="5" t="e">
        <f>MATCH(ResultColumnFinder[[#This Row],[Concat]],DataColumns[Concat],0)</f>
        <v>#N/A</v>
      </c>
      <c r="M7" s="5">
        <f>IF(ResultColumnFinder[[#This Row],[REQUIRED]]="Optional",0,
IF(ResultColumnFinder[[#This Row],[VBV or Column]]="Value-By-Value",NumSpecimens,
1))</f>
        <v>1</v>
      </c>
      <c r="N7" s="5">
        <f>IF(ISERROR(ResultColumnFinder[[#This Row],[Data Values Column Number]]),
IF(ISERROR(ResultColumnFinder[[#This Row],[Data Columns Input Column]]),
0,
IF(INDEX(DataColumns[],ResultColumnFinder[[#This Row],[Data Values Input Row]],ResultColumnFinder[[#This Row],[Data Columns Input Column]])="",
0,
1)),
1)</f>
        <v>0</v>
      </c>
      <c r="O7" s="5" t="str">
        <f>IF(ResultColumnFinder[[#This Row],[Num Given]]&lt;ResultColumnFinder[[#This Row],[Num Required]],
"MISSING",
"OK")</f>
        <v>MISSING</v>
      </c>
      <c r="P7"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7" s="5" t="e">
        <f>INDIRECT(ResultColumnFinder[[#This Row],[First Value Address]],FALSE)</f>
        <v>#REF!</v>
      </c>
    </row>
    <row r="8" spans="1:17">
      <c r="A8" s="5" t="s">
        <v>253</v>
      </c>
      <c r="B8" s="5" t="s">
        <v>306</v>
      </c>
      <c r="D8" s="5" t="s">
        <v>265</v>
      </c>
      <c r="E8" s="5" t="s">
        <v>303</v>
      </c>
      <c r="F8" s="5">
        <v>1</v>
      </c>
      <c r="G8" s="5" t="str">
        <f>INDEX(DataColumns[ColumnLabel],MATCH(ResultColumnFinder[[#This Row],[DV Num]],DataColumns[DVNum],0))</f>
        <v>SiO2</v>
      </c>
      <c r="H8" s="5" t="str">
        <f>CONCATENATE(ResultColumnFinder[[#This Row],[DataType]],ResultColumnFinder[[#This Row],[Data Value Label]])</f>
        <v>TimeAggregationIntervalUnitCodeSiO2</v>
      </c>
      <c r="I8" s="5" t="str">
        <f>CONCATENATE(ResultColumnFinder[[#This Row],[DataType]],ResultColumnFinder[[#This Row],[DV Num]])</f>
        <v>TimeAggregationIntervalUnitCode1</v>
      </c>
      <c r="J8" s="5">
        <f>MATCH(ResultColumnFinder[[#This Row],[DataType]],DataColumns[#Headers],0)</f>
        <v>26</v>
      </c>
      <c r="K8" s="5">
        <f>MATCH(CONCATENATE("ResultValue",ResultColumnFinder[[#This Row],[Data Value Label]]),DataColumns[Concat],0)</f>
        <v>8</v>
      </c>
      <c r="L8" s="5" t="e">
        <f>MATCH(ResultColumnFinder[[#This Row],[Concat]],DataColumns[Concat],0)</f>
        <v>#N/A</v>
      </c>
      <c r="M8" s="5">
        <f>IF(ResultColumnFinder[[#This Row],[REQUIRED]]="Optional",0,
IF(ResultColumnFinder[[#This Row],[VBV or Column]]="Value-By-Value",NumSpecimens,
1))</f>
        <v>1</v>
      </c>
      <c r="N8" s="5">
        <f>IF(ISERROR(ResultColumnFinder[[#This Row],[Data Values Column Number]]),
IF(ISERROR(ResultColumnFinder[[#This Row],[Data Columns Input Column]]),
0,
IF(INDEX(DataColumns[],ResultColumnFinder[[#This Row],[Data Values Input Row]],ResultColumnFinder[[#This Row],[Data Columns Input Column]])="",
0,
1)),
1)</f>
        <v>0</v>
      </c>
      <c r="O8" s="5" t="str">
        <f>IF(ResultColumnFinder[[#This Row],[Num Given]]&lt;ResultColumnFinder[[#This Row],[Num Required]],
"MISSING",
"OK")</f>
        <v>MISSING</v>
      </c>
      <c r="P8"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8" s="5" t="e">
        <f>INDIRECT(ResultColumnFinder[[#This Row],[First Value Address]],FALSE)</f>
        <v>#REF!</v>
      </c>
    </row>
    <row r="9" spans="1:17">
      <c r="A9" s="5" t="s">
        <v>254</v>
      </c>
      <c r="B9" s="5" t="s">
        <v>157</v>
      </c>
      <c r="C9" s="5" t="s">
        <v>313</v>
      </c>
      <c r="D9" s="5" t="s">
        <v>265</v>
      </c>
      <c r="E9" s="5" t="s">
        <v>303</v>
      </c>
      <c r="F9" s="5">
        <v>1</v>
      </c>
      <c r="G9" s="5" t="str">
        <f>INDEX(DataColumns[ColumnLabel],MATCH(ResultColumnFinder[[#This Row],[DV Num]],DataColumns[DVNum],0))</f>
        <v>SiO2</v>
      </c>
      <c r="H9" s="5" t="str">
        <f>CONCATENATE(ResultColumnFinder[[#This Row],[DataType]],ResultColumnFinder[[#This Row],[Data Value Label]])</f>
        <v>ProcessingLevelCodeSiO2</v>
      </c>
      <c r="I9" s="5" t="str">
        <f>CONCATENATE(ResultColumnFinder[[#This Row],[DataType]],ResultColumnFinder[[#This Row],[DV Num]])</f>
        <v>ProcessingLevelCode1</v>
      </c>
      <c r="J9" s="5">
        <f>MATCH(ResultColumnFinder[[#This Row],[DataType]],DataColumns[#Headers],0)</f>
        <v>21</v>
      </c>
      <c r="K9" s="5">
        <f>MATCH(CONCATENATE("ResultValue",ResultColumnFinder[[#This Row],[Data Value Label]]),DataColumns[Concat],0)</f>
        <v>8</v>
      </c>
      <c r="L9" s="5" t="e">
        <f>MATCH(ResultColumnFinder[[#This Row],[Concat]],DataColumns[Concat],0)</f>
        <v>#N/A</v>
      </c>
      <c r="M9" s="5">
        <f>IF(ResultColumnFinder[[#This Row],[REQUIRED]]="Optional",0,
IF(ResultColumnFinder[[#This Row],[VBV or Column]]="Value-By-Value",NumSpecimens,
1))</f>
        <v>1</v>
      </c>
      <c r="N9" s="5">
        <f>IF(ISERROR(ResultColumnFinder[[#This Row],[Data Values Column Number]]),
IF(ISERROR(ResultColumnFinder[[#This Row],[Data Columns Input Column]]),
0,
IF(INDEX(DataColumns[],ResultColumnFinder[[#This Row],[Data Values Input Row]],ResultColumnFinder[[#This Row],[Data Columns Input Column]])="",
0,
1)),
1)</f>
        <v>1</v>
      </c>
      <c r="O9" s="5" t="str">
        <f>IF(ResultColumnFinder[[#This Row],[Num Given]]&lt;ResultColumnFinder[[#This Row],[Num Required]],
"MISSING",
"OK")</f>
        <v>OK</v>
      </c>
      <c r="P9"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Columns'!R20C21</v>
      </c>
      <c r="Q9" s="5">
        <f>INDIRECT(ResultColumnFinder[[#This Row],[First Value Address]],FALSE)</f>
        <v>1</v>
      </c>
    </row>
    <row r="10" spans="1:17">
      <c r="A10" s="5" t="s">
        <v>140</v>
      </c>
      <c r="B10" s="5" t="s">
        <v>157</v>
      </c>
      <c r="C10" s="5" t="s">
        <v>140</v>
      </c>
      <c r="D10" s="5" t="s">
        <v>265</v>
      </c>
      <c r="E10" s="5" t="s">
        <v>303</v>
      </c>
      <c r="F10" s="5">
        <v>1</v>
      </c>
      <c r="G10" s="5" t="str">
        <f>INDEX(DataColumns[ColumnLabel],MATCH(ResultColumnFinder[[#This Row],[DV Num]],DataColumns[DVNum],0))</f>
        <v>SiO2</v>
      </c>
      <c r="H10" s="5" t="str">
        <f>CONCATENATE(ResultColumnFinder[[#This Row],[DataType]],ResultColumnFinder[[#This Row],[Data Value Label]])</f>
        <v>ResultTypeCVSiO2</v>
      </c>
      <c r="I10" s="5" t="str">
        <f>CONCATENATE(ResultColumnFinder[[#This Row],[DataType]],ResultColumnFinder[[#This Row],[DV Num]])</f>
        <v>ResultTypeCV1</v>
      </c>
      <c r="J10" s="5">
        <f>MATCH(ResultColumnFinder[[#This Row],[DataType]],DataColumns[#Headers],0)</f>
        <v>14</v>
      </c>
      <c r="K10" s="5">
        <f>MATCH(CONCATENATE("ResultValue",ResultColumnFinder[[#This Row],[Data Value Label]]),DataColumns[Concat],0)</f>
        <v>8</v>
      </c>
      <c r="L10" s="5" t="e">
        <f>MATCH(ResultColumnFinder[[#This Row],[Concat]],DataColumns[Concat],0)</f>
        <v>#N/A</v>
      </c>
      <c r="M10" s="5">
        <f>IF(ResultColumnFinder[[#This Row],[REQUIRED]]="Optional",0,
IF(ResultColumnFinder[[#This Row],[VBV or Column]]="Value-By-Value",NumSpecimens,
1))</f>
        <v>1</v>
      </c>
      <c r="N10" s="5">
        <f>IF(ISERROR(ResultColumnFinder[[#This Row],[Data Values Column Number]]),
IF(ISERROR(ResultColumnFinder[[#This Row],[Data Columns Input Column]]),
0,
IF(INDEX(DataColumns[],ResultColumnFinder[[#This Row],[Data Values Input Row]],ResultColumnFinder[[#This Row],[Data Columns Input Column]])="",
0,
1)),
1)</f>
        <v>1</v>
      </c>
      <c r="O10" s="5" t="str">
        <f>IF(ResultColumnFinder[[#This Row],[Num Given]]&lt;ResultColumnFinder[[#This Row],[Num Required]],
"MISSING",
"OK")</f>
        <v>OK</v>
      </c>
      <c r="P10"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Columns'!R20C14</v>
      </c>
      <c r="Q10" s="5" t="str">
        <f>INDIRECT(ResultColumnFinder[[#This Row],[First Value Address]],FALSE)</f>
        <v>measurement</v>
      </c>
    </row>
    <row r="11" spans="1:17">
      <c r="A11" s="5" t="s">
        <v>74</v>
      </c>
      <c r="B11" s="5" t="s">
        <v>157</v>
      </c>
      <c r="C11" s="5" t="s">
        <v>74</v>
      </c>
      <c r="D11" s="5" t="s">
        <v>265</v>
      </c>
      <c r="E11" s="5" t="s">
        <v>303</v>
      </c>
      <c r="F11" s="5">
        <v>1</v>
      </c>
      <c r="G11" s="5" t="str">
        <f>INDEX(DataColumns[ColumnLabel],MATCH(ResultColumnFinder[[#This Row],[DV Num]],DataColumns[DVNum],0))</f>
        <v>SiO2</v>
      </c>
      <c r="H11" s="5" t="str">
        <f>CONCATENATE(ResultColumnFinder[[#This Row],[DataType]],ResultColumnFinder[[#This Row],[Data Value Label]])</f>
        <v>SampledMediumCVSiO2</v>
      </c>
      <c r="I11" s="5" t="str">
        <f>CONCATENATE(ResultColumnFinder[[#This Row],[DataType]],ResultColumnFinder[[#This Row],[DV Num]])</f>
        <v>SampledMediumCV1</v>
      </c>
      <c r="J11" s="5">
        <f>MATCH(ResultColumnFinder[[#This Row],[DataType]],DataColumns[#Headers],0)</f>
        <v>17</v>
      </c>
      <c r="K11" s="5">
        <f>MATCH(CONCATENATE("ResultValue",ResultColumnFinder[[#This Row],[Data Value Label]]),DataColumns[Concat],0)</f>
        <v>8</v>
      </c>
      <c r="L11" s="5" t="e">
        <f>MATCH(ResultColumnFinder[[#This Row],[Concat]],DataColumns[Concat],0)</f>
        <v>#N/A</v>
      </c>
      <c r="M11" s="5">
        <f>IF(ResultColumnFinder[[#This Row],[REQUIRED]]="Optional",0,
IF(ResultColumnFinder[[#This Row],[VBV or Column]]="Value-By-Value",NumSpecimens,
1))</f>
        <v>1</v>
      </c>
      <c r="N11" s="5">
        <f>IF(ISERROR(ResultColumnFinder[[#This Row],[Data Values Column Number]]),
IF(ISERROR(ResultColumnFinder[[#This Row],[Data Columns Input Column]]),
0,
IF(INDEX(DataColumns[],ResultColumnFinder[[#This Row],[Data Values Input Row]],ResultColumnFinder[[#This Row],[Data Columns Input Column]])="",
0,
1)),
1)</f>
        <v>1</v>
      </c>
      <c r="O11" s="5" t="str">
        <f>IF(ResultColumnFinder[[#This Row],[Num Given]]&lt;ResultColumnFinder[[#This Row],[Num Required]],
"MISSING",
"OK")</f>
        <v>OK</v>
      </c>
      <c r="P11"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Columns'!R20C17</v>
      </c>
      <c r="Q11" s="5" t="str">
        <f>INDIRECT(ResultColumnFinder[[#This Row],[First Value Address]],FALSE)</f>
        <v>soil</v>
      </c>
    </row>
    <row r="12" spans="1:17">
      <c r="A12" s="5" t="s">
        <v>264</v>
      </c>
      <c r="B12" s="5" t="s">
        <v>157</v>
      </c>
      <c r="C12" s="5" t="s">
        <v>315</v>
      </c>
      <c r="D12" s="5" t="s">
        <v>310</v>
      </c>
      <c r="E12" s="5" t="s">
        <v>303</v>
      </c>
      <c r="F12" s="5">
        <v>1</v>
      </c>
      <c r="G12" s="5" t="str">
        <f>INDEX(DataColumns[ColumnLabel],MATCH(ResultColumnFinder[[#This Row],[DV Num]],DataColumns[DVNum],0))</f>
        <v>SiO2</v>
      </c>
      <c r="H12" s="5" t="str">
        <f>CONCATENATE(ResultColumnFinder[[#This Row],[DataType]],ResultColumnFinder[[#This Row],[Data Value Label]])</f>
        <v>TaxonomicClassifierNameSiO2</v>
      </c>
      <c r="I12" s="5" t="str">
        <f>CONCATENATE(ResultColumnFinder[[#This Row],[DataType]],ResultColumnFinder[[#This Row],[DV Num]])</f>
        <v>TaxonomicClassifierName1</v>
      </c>
      <c r="J12" s="5">
        <f>MATCH(ResultColumnFinder[[#This Row],[DataType]],DataColumns[#Headers],0)</f>
        <v>24</v>
      </c>
      <c r="K12" s="5">
        <f>MATCH(CONCATENATE("ResultValue",ResultColumnFinder[[#This Row],[Data Value Label]]),DataColumns[Concat],0)</f>
        <v>8</v>
      </c>
      <c r="L12" s="5" t="e">
        <f>MATCH(ResultColumnFinder[[#This Row],[Concat]],DataColumns[Concat],0)</f>
        <v>#N/A</v>
      </c>
      <c r="M12" s="5">
        <f>IF(ResultColumnFinder[[#This Row],[REQUIRED]]="Optional",0,
IF(ResultColumnFinder[[#This Row],[VBV or Column]]="Value-By-Value",NumSpecimens,
1))</f>
        <v>0</v>
      </c>
      <c r="N12" s="5">
        <f>IF(ISERROR(ResultColumnFinder[[#This Row],[Data Values Column Number]]),
IF(ISERROR(ResultColumnFinder[[#This Row],[Data Columns Input Column]]),
0,
IF(INDEX(DataColumns[],ResultColumnFinder[[#This Row],[Data Values Input Row]],ResultColumnFinder[[#This Row],[Data Columns Input Column]])="",
0,
1)),
1)</f>
        <v>0</v>
      </c>
      <c r="O12" s="5" t="str">
        <f>IF(ResultColumnFinder[[#This Row],[Num Given]]&lt;ResultColumnFinder[[#This Row],[Num Required]],
"MISSING",
"OK")</f>
        <v>OK</v>
      </c>
      <c r="P12"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2" s="5" t="e">
        <f>INDIRECT(ResultColumnFinder[[#This Row],[First Value Address]],FALSE)</f>
        <v>#REF!</v>
      </c>
    </row>
    <row r="13" spans="1:17">
      <c r="A13" s="5" t="s">
        <v>318</v>
      </c>
      <c r="B13" s="5" t="s">
        <v>157</v>
      </c>
      <c r="D13" s="5" t="s">
        <v>265</v>
      </c>
      <c r="E13" s="5" t="s">
        <v>303</v>
      </c>
      <c r="F13" s="5">
        <v>1</v>
      </c>
      <c r="G13" s="5" t="str">
        <f>INDEX(DataColumns[ColumnLabel],MATCH(ResultColumnFinder[[#This Row],[DV Num]],DataColumns[DVNum],0))</f>
        <v>SiO2</v>
      </c>
      <c r="H13" s="5" t="str">
        <f>CONCATENATE(ResultColumnFinder[[#This Row],[DataType]],ResultColumnFinder[[#This Row],[Data Value Label]])</f>
        <v>UnitNameSiO2</v>
      </c>
      <c r="I13" s="5" t="str">
        <f>CONCATENATE(ResultColumnFinder[[#This Row],[DataType]],ResultColumnFinder[[#This Row],[DV Num]])</f>
        <v>UnitName1</v>
      </c>
      <c r="J13" s="5">
        <f>MATCH(ResultColumnFinder[[#This Row],[DataType]],DataColumns[#Headers],0)</f>
        <v>16</v>
      </c>
      <c r="K13" s="5">
        <f>MATCH(CONCATENATE("ResultValue",ResultColumnFinder[[#This Row],[Data Value Label]]),DataColumns[Concat],0)</f>
        <v>8</v>
      </c>
      <c r="L13" s="5" t="e">
        <f>MATCH(ResultColumnFinder[[#This Row],[Concat]],DataColumns[Concat],0)</f>
        <v>#N/A</v>
      </c>
      <c r="M13" s="5">
        <f>IF(ResultColumnFinder[[#This Row],[REQUIRED]]="Optional",0,
IF(ResultColumnFinder[[#This Row],[VBV or Column]]="Value-By-Value",NumSpecimens,
1))</f>
        <v>1</v>
      </c>
      <c r="N13" s="5">
        <f>IF(ISERROR(ResultColumnFinder[[#This Row],[Data Values Column Number]]),
IF(ISERROR(ResultColumnFinder[[#This Row],[Data Columns Input Column]]),
0,
IF(INDEX(DataColumns[],ResultColumnFinder[[#This Row],[Data Values Input Row]],ResultColumnFinder[[#This Row],[Data Columns Input Column]])="",
0,
1)),
1)</f>
        <v>1</v>
      </c>
      <c r="O13" s="5" t="str">
        <f>IF(ResultColumnFinder[[#This Row],[Num Given]]&lt;ResultColumnFinder[[#This Row],[Num Required]],
"MISSING",
"OK")</f>
        <v>OK</v>
      </c>
      <c r="P13"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Columns'!R20C16</v>
      </c>
      <c r="Q13" s="5" t="str">
        <f>INDIRECT(ResultColumnFinder[[#This Row],[First Value Address]],FALSE)</f>
        <v>wt. %</v>
      </c>
    </row>
    <row r="14" spans="1:17">
      <c r="A14" s="5" t="s">
        <v>319</v>
      </c>
      <c r="B14" s="5" t="s">
        <v>157</v>
      </c>
      <c r="C14" s="5" t="s">
        <v>317</v>
      </c>
      <c r="D14" s="5" t="s">
        <v>265</v>
      </c>
      <c r="E14" s="5" t="s">
        <v>303</v>
      </c>
      <c r="F14" s="5">
        <v>1</v>
      </c>
      <c r="G14" s="5" t="str">
        <f>INDEX(DataColumns[ColumnLabel],MATCH(ResultColumnFinder[[#This Row],[DV Num]],DataColumns[DVNum],0))</f>
        <v>SiO2</v>
      </c>
      <c r="H14" s="5" t="str">
        <f>CONCATENATE(ResultColumnFinder[[#This Row],[DataType]],ResultColumnFinder[[#This Row],[Data Value Label]])</f>
        <v>VariableCodeSiO2</v>
      </c>
      <c r="I14" s="5" t="str">
        <f>CONCATENATE(ResultColumnFinder[[#This Row],[DataType]],ResultColumnFinder[[#This Row],[DV Num]])</f>
        <v>VariableCode1</v>
      </c>
      <c r="J14" s="5">
        <f>MATCH(ResultColumnFinder[[#This Row],[DataType]],DataColumns[#Headers],0)</f>
        <v>15</v>
      </c>
      <c r="K14" s="5">
        <f>MATCH(CONCATENATE("ResultValue",ResultColumnFinder[[#This Row],[Data Value Label]]),DataColumns[Concat],0)</f>
        <v>8</v>
      </c>
      <c r="L14" s="5" t="e">
        <f>MATCH(ResultColumnFinder[[#This Row],[Concat]],DataColumns[Concat],0)</f>
        <v>#N/A</v>
      </c>
      <c r="M14" s="5">
        <f>IF(ResultColumnFinder[[#This Row],[REQUIRED]]="Optional",0,
IF(ResultColumnFinder[[#This Row],[VBV or Column]]="Value-By-Value",NumSpecimens,
1))</f>
        <v>1</v>
      </c>
      <c r="N14" s="5">
        <f>IF(ISERROR(ResultColumnFinder[[#This Row],[Data Values Column Number]]),
IF(ISERROR(ResultColumnFinder[[#This Row],[Data Columns Input Column]]),
0,
IF(INDEX(DataColumns[],ResultColumnFinder[[#This Row],[Data Values Input Row]],ResultColumnFinder[[#This Row],[Data Columns Input Column]])="",
0,
1)),
1)</f>
        <v>1</v>
      </c>
      <c r="O14" s="5" t="str">
        <f>IF(ResultColumnFinder[[#This Row],[Num Given]]&lt;ResultColumnFinder[[#This Row],[Num Required]],
"MISSING",
"OK")</f>
        <v>OK</v>
      </c>
      <c r="P14"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Columns'!R20C15</v>
      </c>
      <c r="Q14" s="5" t="str">
        <f>INDIRECT(ResultColumnFinder[[#This Row],[First Value Address]],FALSE)</f>
        <v>SiO2</v>
      </c>
    </row>
    <row r="15" spans="1:17">
      <c r="A15" s="5" t="s">
        <v>300</v>
      </c>
      <c r="B15" s="5" t="s">
        <v>153</v>
      </c>
      <c r="D15" s="5" t="s">
        <v>310</v>
      </c>
      <c r="E15" s="5" t="s">
        <v>304</v>
      </c>
      <c r="F15" s="5">
        <v>1</v>
      </c>
      <c r="G15" s="5" t="str">
        <f>INDEX(DataColumns[ColumnLabel],MATCH(ResultColumnFinder[[#This Row],[DV Num]],DataColumns[DVNum],0))</f>
        <v>SiO2</v>
      </c>
      <c r="H15" s="5" t="str">
        <f>CONCATENATE(ResultColumnFinder[[#This Row],[DataType]],ResultColumnFinder[[#This Row],[Data Value Label]])</f>
        <v>AnalysisDateTimeSiO2</v>
      </c>
      <c r="I15" s="5" t="str">
        <f>CONCATENATE(ResultColumnFinder[[#This Row],[DataType]],ResultColumnFinder[[#This Row],[DV Num]])</f>
        <v>AnalysisDateTime1</v>
      </c>
      <c r="J15" s="5" t="e">
        <f>MATCH(ResultColumnFinder[[#This Row],[DataType]],DataColumns[#Headers],0)</f>
        <v>#N/A</v>
      </c>
      <c r="K15" s="5">
        <f>MATCH(CONCATENATE("ResultValue",ResultColumnFinder[[#This Row],[Data Value Label]]),DataColumns[Concat],0)</f>
        <v>8</v>
      </c>
      <c r="L15" s="5" t="e">
        <f>MATCH(ResultColumnFinder[[#This Row],[Concat]],DataColumns[Concat],0)</f>
        <v>#N/A</v>
      </c>
      <c r="M15" s="5">
        <f>IF(ResultColumnFinder[[#This Row],[REQUIRED]]="Optional",0,
IF(ResultColumnFinder[[#This Row],[VBV or Column]]="Value-By-Value",NumSpecimens,
1))</f>
        <v>0</v>
      </c>
      <c r="N15" s="5">
        <f>IF(ISERROR(ResultColumnFinder[[#This Row],[Data Values Column Number]]),
IF(ISERROR(ResultColumnFinder[[#This Row],[Data Columns Input Column]]),
0,
IF(INDEX(DataColumns[],ResultColumnFinder[[#This Row],[Data Values Input Row]],ResultColumnFinder[[#This Row],[Data Columns Input Column]])="",
0,
1)),
1)</f>
        <v>0</v>
      </c>
      <c r="O15" s="5" t="str">
        <f>IF(ResultColumnFinder[[#This Row],[Num Given]]&lt;ResultColumnFinder[[#This Row],[Num Required]],
"MISSING",
"OK")</f>
        <v>OK</v>
      </c>
      <c r="P15"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5" s="5" t="e">
        <f>INDIRECT(ResultColumnFinder[[#This Row],[First Value Address]],FALSE)</f>
        <v>#REF!</v>
      </c>
    </row>
    <row r="16" spans="1:17">
      <c r="A16" s="5" t="s">
        <v>301</v>
      </c>
      <c r="B16" s="5" t="s">
        <v>153</v>
      </c>
      <c r="D16" s="5" t="s">
        <v>310</v>
      </c>
      <c r="E16" s="5" t="s">
        <v>303</v>
      </c>
      <c r="F16" s="5">
        <v>1</v>
      </c>
      <c r="G16" s="5" t="str">
        <f>INDEX(DataColumns[ColumnLabel],MATCH(ResultColumnFinder[[#This Row],[DV Num]],DataColumns[DVNum],0))</f>
        <v>SiO2</v>
      </c>
      <c r="H16" s="5" t="str">
        <f>CONCATENATE(ResultColumnFinder[[#This Row],[DataType]],ResultColumnFinder[[#This Row],[Data Value Label]])</f>
        <v>AnalysisDateTimeUTCOffsetSiO2</v>
      </c>
      <c r="I16" s="5" t="str">
        <f>CONCATENATE(ResultColumnFinder[[#This Row],[DataType]],ResultColumnFinder[[#This Row],[DV Num]])</f>
        <v>AnalysisDateTimeUTCOffset1</v>
      </c>
      <c r="J16" s="5">
        <f>MATCH(ResultColumnFinder[[#This Row],[DataType]],DataColumns[#Headers],0)</f>
        <v>19</v>
      </c>
      <c r="K16" s="5">
        <f>MATCH(CONCATENATE("ResultValue",ResultColumnFinder[[#This Row],[Data Value Label]]),DataColumns[Concat],0)</f>
        <v>8</v>
      </c>
      <c r="L16" s="5" t="e">
        <f>MATCH(ResultColumnFinder[[#This Row],[Concat]],DataColumns[Concat],0)</f>
        <v>#N/A</v>
      </c>
      <c r="M16" s="5">
        <f>IF(ResultColumnFinder[[#This Row],[REQUIRED]]="Optional",0,
IF(ResultColumnFinder[[#This Row],[VBV or Column]]="Value-By-Value",NumSpecimens,
1))</f>
        <v>0</v>
      </c>
      <c r="N16" s="5">
        <f>IF(ISERROR(ResultColumnFinder[[#This Row],[Data Values Column Number]]),
IF(ISERROR(ResultColumnFinder[[#This Row],[Data Columns Input Column]]),
0,
IF(INDEX(DataColumns[],ResultColumnFinder[[#This Row],[Data Values Input Row]],ResultColumnFinder[[#This Row],[Data Columns Input Column]])="",
0,
1)),
1)</f>
        <v>0</v>
      </c>
      <c r="O16" s="5" t="str">
        <f>IF(ResultColumnFinder[[#This Row],[Num Given]]&lt;ResultColumnFinder[[#This Row],[Num Required]],
"MISSING",
"OK")</f>
        <v>OK</v>
      </c>
      <c r="P16"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6" s="5" t="e">
        <f>INDIRECT(ResultColumnFinder[[#This Row],[First Value Address]],FALSE)</f>
        <v>#REF!</v>
      </c>
    </row>
    <row r="17" spans="1:17">
      <c r="A17" s="5" t="s">
        <v>302</v>
      </c>
      <c r="B17" s="5" t="s">
        <v>309</v>
      </c>
      <c r="D17" s="5" t="s">
        <v>310</v>
      </c>
      <c r="E17" s="5" t="s">
        <v>304</v>
      </c>
      <c r="F17" s="5">
        <v>1</v>
      </c>
      <c r="G17" s="5" t="str">
        <f>INDEX(DataColumns[ColumnLabel],MATCH(ResultColumnFinder[[#This Row],[DV Num]],DataColumns[DVNum],0))</f>
        <v>SiO2</v>
      </c>
      <c r="H17" s="5" t="str">
        <f>CONCATENATE(ResultColumnFinder[[#This Row],[DataType]],ResultColumnFinder[[#This Row],[Data Value Label]])</f>
        <v>ValueAnnotationSiO2</v>
      </c>
      <c r="I17" s="5" t="str">
        <f>CONCATENATE(ResultColumnFinder[[#This Row],[DataType]],ResultColumnFinder[[#This Row],[DV Num]])</f>
        <v>ValueAnnotation1</v>
      </c>
      <c r="J17" s="5" t="e">
        <f>MATCH(ResultColumnFinder[[#This Row],[DataType]],DataColumns[#Headers],0)</f>
        <v>#N/A</v>
      </c>
      <c r="K17" s="5">
        <f>MATCH(CONCATENATE("ResultValue",ResultColumnFinder[[#This Row],[Data Value Label]]),DataColumns[Concat],0)</f>
        <v>8</v>
      </c>
      <c r="L17" s="5" t="e">
        <f>MATCH(ResultColumnFinder[[#This Row],[Concat]],DataColumns[Concat],0)</f>
        <v>#N/A</v>
      </c>
      <c r="M17" s="5">
        <f>IF(ResultColumnFinder[[#This Row],[REQUIRED]]="Optional",0,
IF(ResultColumnFinder[[#This Row],[VBV or Column]]="Value-By-Value",NumSpecimens,
1))</f>
        <v>0</v>
      </c>
      <c r="N17" s="5">
        <f>IF(ISERROR(ResultColumnFinder[[#This Row],[Data Values Column Number]]),
IF(ISERROR(ResultColumnFinder[[#This Row],[Data Columns Input Column]]),
0,
IF(INDEX(DataColumns[],ResultColumnFinder[[#This Row],[Data Values Input Row]],ResultColumnFinder[[#This Row],[Data Columns Input Column]])="",
0,
1)),
1)</f>
        <v>0</v>
      </c>
      <c r="O17" s="5" t="str">
        <f>IF(ResultColumnFinder[[#This Row],[Num Given]]&lt;ResultColumnFinder[[#This Row],[Num Required]],
"MISSING",
"OK")</f>
        <v>OK</v>
      </c>
      <c r="P17"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7" s="5" t="e">
        <f>INDIRECT(ResultColumnFinder[[#This Row],[First Value Address]],FALSE)</f>
        <v>#REF!</v>
      </c>
    </row>
    <row r="18" spans="1:17">
      <c r="A18" s="5" t="s">
        <v>139</v>
      </c>
      <c r="B18" s="5" t="s">
        <v>157</v>
      </c>
      <c r="D18" s="5" t="s">
        <v>310</v>
      </c>
      <c r="E18" s="5" t="s">
        <v>304</v>
      </c>
      <c r="F18" s="5">
        <v>1</v>
      </c>
      <c r="G18" s="5" t="str">
        <f>INDEX(DataColumns[ColumnLabel],MATCH(ResultColumnFinder[[#This Row],[DV Num]],DataColumns[DVNum],0))</f>
        <v>SiO2</v>
      </c>
      <c r="H18" s="5" t="str">
        <f>CONCATENATE(ResultColumnFinder[[#This Row],[DataType]],ResultColumnFinder[[#This Row],[Data Value Label]])</f>
        <v>ResultUUIDSiO2</v>
      </c>
      <c r="I18" s="5" t="str">
        <f>CONCATENATE(ResultColumnFinder[[#This Row],[DataType]],ResultColumnFinder[[#This Row],[DV Num]])</f>
        <v>ResultUUID1</v>
      </c>
      <c r="J18" s="5" t="e">
        <f>MATCH(ResultColumnFinder[[#This Row],[DataType]],DataColumns[#Headers],0)</f>
        <v>#N/A</v>
      </c>
      <c r="K18" s="5">
        <f>MATCH(CONCATENATE("ResultValue",ResultColumnFinder[[#This Row],[Data Value Label]]),DataColumns[Concat],0)</f>
        <v>8</v>
      </c>
      <c r="L18" s="5" t="e">
        <f>MATCH(ResultColumnFinder[[#This Row],[Concat]],DataColumns[Concat],0)</f>
        <v>#N/A</v>
      </c>
      <c r="M18" s="5">
        <f>IF(ResultColumnFinder[[#This Row],[REQUIRED]]="Optional",0,
IF(ResultColumnFinder[[#This Row],[VBV or Column]]="Value-By-Value",NumSpecimens,
1))</f>
        <v>0</v>
      </c>
      <c r="N18" s="5">
        <f>IF(ISERROR(ResultColumnFinder[[#This Row],[Data Values Column Number]]),
IF(ISERROR(ResultColumnFinder[[#This Row],[Data Columns Input Column]]),
0,
IF(INDEX(DataColumns[],ResultColumnFinder[[#This Row],[Data Values Input Row]],ResultColumnFinder[[#This Row],[Data Columns Input Column]])="",
0,
1)),
1)</f>
        <v>0</v>
      </c>
      <c r="O18" s="5" t="str">
        <f>IF(ResultColumnFinder[[#This Row],[Num Given]]&lt;ResultColumnFinder[[#This Row],[Num Required]],
"MISSING",
"OK")</f>
        <v>OK</v>
      </c>
      <c r="P18"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8" s="5" t="e">
        <f>INDIRECT(ResultColumnFinder[[#This Row],[First Value Address]],FALSE)</f>
        <v>#REF!</v>
      </c>
    </row>
    <row r="19" spans="1:17">
      <c r="A19" s="5" t="s">
        <v>381</v>
      </c>
      <c r="B19" s="5" t="s">
        <v>307</v>
      </c>
      <c r="D19" s="5" t="s">
        <v>265</v>
      </c>
      <c r="E19" s="5" t="s">
        <v>304</v>
      </c>
      <c r="F19" s="5">
        <v>1</v>
      </c>
      <c r="G19" s="5" t="str">
        <f>INDEX(DataColumns[ColumnLabel],MATCH(ResultColumnFinder[[#This Row],[DV Num]],DataColumns[DVNum],0))</f>
        <v>SiO2</v>
      </c>
      <c r="H19" s="5" t="str">
        <f>CONCATENATE(ResultColumnFinder[[#This Row],[DataType]],ResultColumnFinder[[#This Row],[Data Value Label]])</f>
        <v>ResultValueSiO2</v>
      </c>
      <c r="I19" s="5" t="str">
        <f>CONCATENATE(ResultColumnFinder[[#This Row],[DataType]],ResultColumnFinder[[#This Row],[DV Num]])</f>
        <v>ResultValue1</v>
      </c>
      <c r="J19" s="5" t="e">
        <f>MATCH(ResultColumnFinder[[#This Row],[DataType]],DataColumns[#Headers],0)</f>
        <v>#N/A</v>
      </c>
      <c r="K19" s="5">
        <f>MATCH(CONCATENATE("ResultValue",ResultColumnFinder[[#This Row],[Data Value Label]]),DataColumns[Concat],0)</f>
        <v>8</v>
      </c>
      <c r="L19" s="5">
        <f>MATCH(ResultColumnFinder[[#This Row],[Concat]],DataColumns[Concat],0)</f>
        <v>8</v>
      </c>
      <c r="M19" s="5">
        <f>IF(ResultColumnFinder[[#This Row],[REQUIRED]]="Optional",0,
IF(ResultColumnFinder[[#This Row],[VBV or Column]]="Value-By-Value",NumSpecimens,
1))</f>
        <v>1</v>
      </c>
      <c r="N19" s="5">
        <f>IF(ISERROR(ResultColumnFinder[[#This Row],[Data Values Column Number]]),
IF(ISERROR(ResultColumnFinder[[#This Row],[Data Columns Input Column]]),
0,
IF(INDEX(DataColumns[],ResultColumnFinder[[#This Row],[Data Values Input Row]],ResultColumnFinder[[#This Row],[Data Columns Input Column]])="",
0,
1)),
1)</f>
        <v>1</v>
      </c>
      <c r="O19" s="5" t="str">
        <f>IF(ResultColumnFinder[[#This Row],[Num Given]]&lt;ResultColumnFinder[[#This Row],[Num Required]],
"MISSING",
"OK")</f>
        <v>OK</v>
      </c>
      <c r="P19"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Values'!R2C8</v>
      </c>
      <c r="Q19" s="5">
        <f>INDIRECT(ResultColumnFinder[[#This Row],[First Value Address]],FALSE)</f>
        <v>75.669550000000001</v>
      </c>
    </row>
  </sheetData>
  <pageMargins left="0.7" right="0.7" top="0.75" bottom="0.75" header="0.3" footer="0.3"/>
  <pageSetup orientation="portrait" horizontalDpi="4294967292" verticalDpi="4294967292"/>
  <tableParts count="1">
    <tablePart r:id="rId1"/>
  </tableParts>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dimension ref="A1:CD8"/>
  <sheetViews>
    <sheetView workbookViewId="0">
      <selection activeCell="A8" sqref="A8:XFD16"/>
    </sheetView>
  </sheetViews>
  <sheetFormatPr baseColWidth="10" defaultColWidth="8.83203125" defaultRowHeight="14" x14ac:dyDescent="0"/>
  <cols>
    <col min="1" max="1" width="12" style="25" bestFit="1" customWidth="1"/>
    <col min="2" max="2" width="11.33203125" style="25" customWidth="1"/>
    <col min="3" max="3" width="18.5" style="25" customWidth="1"/>
    <col min="4" max="4" width="16.33203125" style="25" customWidth="1"/>
    <col min="5" max="5" width="29.1640625" style="25" customWidth="1"/>
    <col min="6" max="6" width="25.83203125" style="25" customWidth="1"/>
    <col min="7" max="7" width="13" style="25" customWidth="1"/>
    <col min="8" max="8" width="25" style="25" customWidth="1"/>
    <col min="9" max="9" width="15.6640625" style="25" customWidth="1"/>
    <col min="10" max="10" width="12.1640625" style="25" customWidth="1"/>
    <col min="11" max="11" width="23.33203125" style="25" customWidth="1"/>
    <col min="12" max="12" width="15.6640625" style="25" customWidth="1"/>
    <col min="13" max="13" width="17.6640625" style="25" customWidth="1"/>
    <col min="14" max="22" width="20.5" style="25" customWidth="1"/>
    <col min="23" max="23" width="69.5" style="25" customWidth="1"/>
    <col min="24" max="24" width="34.6640625" style="25" bestFit="1" customWidth="1"/>
    <col min="25" max="25" width="18.6640625" style="25" customWidth="1"/>
    <col min="26" max="26" width="86.1640625" style="25" customWidth="1"/>
    <col min="27" max="27" width="17.33203125" style="25" customWidth="1"/>
    <col min="28" max="28" width="32.5" style="25" customWidth="1"/>
    <col min="29" max="29" width="19.1640625" style="25" bestFit="1" customWidth="1"/>
    <col min="30" max="30" width="28.33203125" style="25" customWidth="1"/>
    <col min="31" max="31" width="31.5" style="25" customWidth="1"/>
    <col min="32" max="32" width="28.6640625" style="25" customWidth="1"/>
    <col min="33" max="33" width="11.6640625" style="25" customWidth="1"/>
    <col min="34" max="35" width="8.83203125" style="25"/>
    <col min="36" max="36" width="20.33203125" style="25" bestFit="1" customWidth="1"/>
    <col min="37" max="37" width="16.5" style="25" customWidth="1"/>
    <col min="38" max="38" width="23.1640625" style="25" bestFit="1" customWidth="1"/>
    <col min="39" max="39" width="17.33203125" style="25" bestFit="1" customWidth="1"/>
    <col min="40" max="40" width="23.33203125" style="25" bestFit="1" customWidth="1"/>
    <col min="41" max="41" width="23.5" style="25" bestFit="1" customWidth="1"/>
    <col min="42" max="42" width="24.33203125" style="25" bestFit="1" customWidth="1"/>
    <col min="43" max="43" width="24.33203125" style="25" customWidth="1"/>
    <col min="44" max="45" width="15.5" style="25" customWidth="1"/>
    <col min="46" max="46" width="12" style="25" bestFit="1" customWidth="1"/>
    <col min="47" max="47" width="21.5" style="25" bestFit="1" customWidth="1"/>
    <col min="48" max="48" width="15.5" style="25" bestFit="1" customWidth="1"/>
    <col min="49" max="49" width="21.5" style="25" bestFit="1" customWidth="1"/>
    <col min="50" max="50" width="21.83203125" style="25" bestFit="1" customWidth="1"/>
    <col min="51" max="51" width="24.33203125" style="25" bestFit="1" customWidth="1"/>
    <col min="52" max="52" width="37.5" style="25" customWidth="1"/>
    <col min="53" max="53" width="26.33203125" style="25" bestFit="1" customWidth="1"/>
    <col min="54" max="54" width="24.5" style="25" bestFit="1" customWidth="1"/>
    <col min="55" max="55" width="22.5" style="25" customWidth="1"/>
    <col min="56" max="56" width="20.5" style="25" customWidth="1"/>
    <col min="57" max="57" width="11" style="25" bestFit="1" customWidth="1"/>
    <col min="58" max="58" width="13.5" style="25" bestFit="1" customWidth="1"/>
    <col min="59" max="59" width="15.5" style="25" bestFit="1" customWidth="1"/>
    <col min="60" max="60" width="11.1640625" style="25" bestFit="1" customWidth="1"/>
    <col min="61" max="61" width="9.5" style="25" bestFit="1" customWidth="1"/>
    <col min="62" max="62" width="22.5" style="25" bestFit="1" customWidth="1"/>
    <col min="63" max="64" width="22.5" style="25" customWidth="1"/>
    <col min="65" max="70" width="20.33203125" style="25" customWidth="1"/>
    <col min="71" max="71" width="17.1640625" style="25" customWidth="1"/>
    <col min="72" max="72" width="19" style="25" customWidth="1"/>
    <col min="73" max="73" width="20.6640625" style="25" bestFit="1" customWidth="1"/>
    <col min="74" max="74" width="38.5" style="25" customWidth="1"/>
    <col min="75" max="76" width="26.5" style="25" customWidth="1"/>
    <col min="77" max="77" width="11.83203125" style="25" bestFit="1" customWidth="1"/>
    <col min="78" max="78" width="18.1640625" style="25" bestFit="1" customWidth="1"/>
    <col min="79" max="79" width="18.1640625" style="25" customWidth="1"/>
    <col min="80" max="80" width="11.83203125" style="25" customWidth="1"/>
    <col min="81" max="81" width="20.6640625" style="25" bestFit="1" customWidth="1"/>
    <col min="82" max="16384" width="8.83203125" style="25"/>
  </cols>
  <sheetData>
    <row r="1" spans="1:82">
      <c r="A1" s="25" t="s">
        <v>87</v>
      </c>
      <c r="B1" s="25" t="s">
        <v>77</v>
      </c>
      <c r="C1" s="25" t="s">
        <v>248</v>
      </c>
      <c r="D1" s="25" t="s">
        <v>79</v>
      </c>
      <c r="E1" s="25" t="s">
        <v>244</v>
      </c>
      <c r="F1" s="25" t="s">
        <v>224</v>
      </c>
      <c r="G1" s="25" t="s">
        <v>78</v>
      </c>
      <c r="H1" s="25" t="s">
        <v>235</v>
      </c>
      <c r="I1" s="25" t="s">
        <v>80</v>
      </c>
      <c r="J1" s="25" t="s">
        <v>81</v>
      </c>
      <c r="K1" s="25" t="s">
        <v>234</v>
      </c>
      <c r="L1" s="25" t="s">
        <v>82</v>
      </c>
      <c r="M1" s="25" t="s">
        <v>83</v>
      </c>
      <c r="N1" s="25" t="s">
        <v>84</v>
      </c>
      <c r="O1" s="25" t="s">
        <v>271</v>
      </c>
      <c r="P1" s="25" t="s">
        <v>399</v>
      </c>
      <c r="Q1" s="25" t="s">
        <v>296</v>
      </c>
      <c r="R1" s="25" t="s">
        <v>297</v>
      </c>
      <c r="S1" s="25" t="s">
        <v>270</v>
      </c>
      <c r="T1" s="25" t="s">
        <v>400</v>
      </c>
      <c r="U1" s="25" t="s">
        <v>401</v>
      </c>
      <c r="V1" s="25" t="s">
        <v>325</v>
      </c>
      <c r="W1" s="25" t="s">
        <v>85</v>
      </c>
      <c r="X1" s="25" t="s">
        <v>236</v>
      </c>
      <c r="Y1" s="25" t="s">
        <v>86</v>
      </c>
      <c r="Z1" s="25" t="s">
        <v>88</v>
      </c>
      <c r="AA1" s="25" t="s">
        <v>101</v>
      </c>
      <c r="AB1" s="25" t="s">
        <v>357</v>
      </c>
      <c r="AC1" s="25" t="s">
        <v>358</v>
      </c>
      <c r="AD1" s="25" t="s">
        <v>359</v>
      </c>
      <c r="AE1" s="25" t="s">
        <v>360</v>
      </c>
      <c r="AF1" s="25" t="s">
        <v>102</v>
      </c>
      <c r="AG1" s="25" t="s">
        <v>105</v>
      </c>
      <c r="AH1" s="25" t="s">
        <v>130</v>
      </c>
      <c r="AI1" s="25" t="s">
        <v>96</v>
      </c>
      <c r="AJ1" s="25" t="s">
        <v>362</v>
      </c>
      <c r="AK1" s="25" t="s">
        <v>152</v>
      </c>
      <c r="AL1" s="25" t="s">
        <v>391</v>
      </c>
      <c r="AM1" s="25" t="s">
        <v>392</v>
      </c>
      <c r="AN1" s="25" t="s">
        <v>393</v>
      </c>
      <c r="AO1" s="25" t="s">
        <v>409</v>
      </c>
      <c r="AP1" s="25" t="s">
        <v>397</v>
      </c>
      <c r="AQ1" s="25" t="s">
        <v>402</v>
      </c>
      <c r="AR1" s="25" t="s">
        <v>370</v>
      </c>
      <c r="AS1" s="25" t="s">
        <v>373</v>
      </c>
      <c r="AT1" s="25" t="s">
        <v>381</v>
      </c>
      <c r="AU1" s="25" t="s">
        <v>394</v>
      </c>
      <c r="AV1" s="25" t="s">
        <v>395</v>
      </c>
      <c r="AW1" s="25" t="s">
        <v>396</v>
      </c>
      <c r="AX1" s="25" t="s">
        <v>408</v>
      </c>
      <c r="AY1" s="25" t="s">
        <v>398</v>
      </c>
      <c r="AZ1" s="25" t="s">
        <v>403</v>
      </c>
      <c r="BA1" s="25" t="s">
        <v>404</v>
      </c>
      <c r="BB1" s="25" t="s">
        <v>405</v>
      </c>
      <c r="BC1" s="25" t="s">
        <v>406</v>
      </c>
      <c r="BD1" s="25" t="s">
        <v>407</v>
      </c>
      <c r="BE1" s="25" t="s">
        <v>139</v>
      </c>
      <c r="BF1" s="25" t="s">
        <v>372</v>
      </c>
      <c r="BG1" s="25" t="s">
        <v>374</v>
      </c>
      <c r="BH1" s="25" t="s">
        <v>375</v>
      </c>
      <c r="BI1" s="25" t="s">
        <v>376</v>
      </c>
      <c r="BJ1" s="25" t="s">
        <v>377</v>
      </c>
      <c r="BK1" s="25" t="s">
        <v>378</v>
      </c>
      <c r="BL1" s="25" t="s">
        <v>379</v>
      </c>
      <c r="BM1" s="25" t="s">
        <v>380</v>
      </c>
      <c r="BN1" s="25" t="s">
        <v>384</v>
      </c>
      <c r="BO1" s="25" t="s">
        <v>385</v>
      </c>
      <c r="BP1" s="25" t="s">
        <v>386</v>
      </c>
      <c r="BQ1" s="25" t="s">
        <v>387</v>
      </c>
      <c r="BR1" s="25" t="s">
        <v>388</v>
      </c>
      <c r="BS1" s="25" t="s">
        <v>157</v>
      </c>
      <c r="BT1" s="25" t="s">
        <v>417</v>
      </c>
      <c r="BU1" s="25" t="s">
        <v>159</v>
      </c>
      <c r="BV1" s="25" t="s">
        <v>160</v>
      </c>
      <c r="BW1" s="25" t="s">
        <v>382</v>
      </c>
      <c r="BX1" s="25" t="s">
        <v>383</v>
      </c>
      <c r="BY1" s="25" t="s">
        <v>411</v>
      </c>
      <c r="BZ1" s="25" t="s">
        <v>412</v>
      </c>
      <c r="CA1" s="25" t="s">
        <v>413</v>
      </c>
      <c r="CB1" s="25" t="s">
        <v>410</v>
      </c>
      <c r="CC1" s="25" t="s">
        <v>177</v>
      </c>
    </row>
    <row r="2" spans="1:82">
      <c r="A2" s="25" t="s">
        <v>132</v>
      </c>
      <c r="B2" s="25">
        <v>3</v>
      </c>
      <c r="C2" s="25">
        <v>2</v>
      </c>
      <c r="D2" s="25">
        <f>MAX(NumOrganizations+1,2)</f>
        <v>2</v>
      </c>
      <c r="E2" s="25">
        <f>IF(AND(CitationDOI="",NumORCIDs=0,NumIGSNs=0),1,3)</f>
        <v>3</v>
      </c>
      <c r="F2" s="25">
        <f>IF(AND(CitationDOI="",NumORCIDs=0,NumIGSNs=0),1,4)</f>
        <v>4</v>
      </c>
      <c r="G2" s="25">
        <f>MAX(NumPeople+1,2)</f>
        <v>6</v>
      </c>
      <c r="H2" s="25">
        <f>IF(NumORCIDs=0,1,MAX(NumORCIDs+1,2))</f>
        <v>1</v>
      </c>
      <c r="I2" s="25">
        <f>MAX(NumOrganizations+1,NumPeople+1,2)</f>
        <v>6</v>
      </c>
      <c r="J2" s="25">
        <f>IF(COUNTA(CitationInformation)=0,1,2)</f>
        <v>2</v>
      </c>
      <c r="K2" s="25">
        <f>IF(CitationDOI="",1,2)</f>
        <v>2</v>
      </c>
      <c r="L2" s="25">
        <f>IF(COUNTA(CitationInformation)=0,1,NumAuthors+1)</f>
        <v>6</v>
      </c>
      <c r="M2" s="25">
        <f>IF(COUNTA(CitationInformation)=0,1,2)</f>
        <v>2</v>
      </c>
      <c r="N2" s="25">
        <v>2</v>
      </c>
      <c r="O2" s="25">
        <v>1</v>
      </c>
      <c r="P2" s="25">
        <v>1</v>
      </c>
      <c r="Q2" s="25">
        <v>1</v>
      </c>
      <c r="R2" s="25">
        <v>1</v>
      </c>
      <c r="S2" s="25">
        <v>1</v>
      </c>
      <c r="T2" s="25">
        <v>1</v>
      </c>
      <c r="U2" s="25">
        <v>1</v>
      </c>
      <c r="V2" s="25">
        <v>1</v>
      </c>
      <c r="W2" s="25">
        <f>MAX(NumParentSamplingFeatures+NumSpecimens+1,2)</f>
        <v>14</v>
      </c>
      <c r="X2" s="25">
        <f>IF(AND(NumIGSNs=0,COUNTIF(DataColumns[ColumnType],"SpecimenIGSN")=0),1,MAX(2,NumIGSNs+1,NumParentSamplingFeatures+NumSpecimens+1))</f>
        <v>14</v>
      </c>
      <c r="Y2" s="25">
        <f>IF(NumSites=0,1,NumSites+1)</f>
        <v>2</v>
      </c>
      <c r="Z2" s="25">
        <f>NumParentSpecimens+NumSpecimens+1</f>
        <v>13</v>
      </c>
      <c r="AA2" s="25">
        <f>IF(COUNTA(SpatialOffsets[Spatial Offset Code])=0,1,COUNTA(SpatialOffsets[Spatial Offset Code])+1)</f>
        <v>11</v>
      </c>
      <c r="AB2" s="25">
        <v>1</v>
      </c>
      <c r="AC2" s="25">
        <v>1</v>
      </c>
      <c r="AD2" s="25">
        <v>1</v>
      </c>
      <c r="AE2" s="25">
        <v>1</v>
      </c>
      <c r="AF2" s="25">
        <f>IF(AND(NumRelatedFeatures=0,MATCH("ParentSamplingFeatureCode",SpecimenColumnFinder[DataType],0))="NOT GIVEN",1,MAX(2,NumRelatedFeatures+1,NumRelatedFeatures+NumSpecimens+1))</f>
        <v>14</v>
      </c>
      <c r="AG2" s="25">
        <f>MAX(NumMethods+1,2)</f>
        <v>5</v>
      </c>
      <c r="AH2" s="25">
        <f>MAX(NumVariables+1,2)</f>
        <v>5</v>
      </c>
      <c r="AI2" s="25">
        <v>1</v>
      </c>
      <c r="AJ2" s="25">
        <f>IF(NumTaxClassifiers=0,1,NumTaxClassifiers+1)</f>
        <v>1</v>
      </c>
      <c r="AK2" s="25">
        <f>MAX(NumProcessingLevels+1,2)</f>
        <v>6</v>
      </c>
      <c r="AL2" s="25">
        <v>1</v>
      </c>
      <c r="AM2" s="25">
        <v>1</v>
      </c>
      <c r="AN2" s="25">
        <v>1</v>
      </c>
      <c r="AO2" s="25">
        <v>1</v>
      </c>
      <c r="AP2" s="25">
        <v>1</v>
      </c>
      <c r="AQ2" s="25">
        <f>NumSpecimens+1</f>
        <v>2</v>
      </c>
      <c r="AR2" s="25">
        <v>1</v>
      </c>
      <c r="AS2" s="25">
        <v>1</v>
      </c>
      <c r="AT2" s="25">
        <v>1</v>
      </c>
      <c r="AU2" s="25">
        <v>1</v>
      </c>
      <c r="AV2" s="25">
        <v>1</v>
      </c>
      <c r="AW2" s="25">
        <v>1</v>
      </c>
      <c r="AX2" s="25">
        <v>1</v>
      </c>
      <c r="AY2" s="25">
        <v>1</v>
      </c>
      <c r="AZ2" s="25">
        <f>MAX(NumDataColumns*NumSpecimens+1,2)</f>
        <v>6</v>
      </c>
      <c r="BA2" s="25">
        <f>NumSpecimens+1</f>
        <v>2</v>
      </c>
      <c r="BB2" s="25">
        <f>MAX(NumDataColumns*NumSpecimens+1,2)</f>
        <v>6</v>
      </c>
      <c r="BC2" s="25">
        <f>NumSpecimens+1</f>
        <v>2</v>
      </c>
      <c r="BD2" s="25">
        <f>MAX(NumDataColumns*NumSpecimens+1,2)</f>
        <v>6</v>
      </c>
      <c r="BE2" s="25">
        <v>1</v>
      </c>
      <c r="BF2" s="25">
        <v>1</v>
      </c>
      <c r="BG2" s="25">
        <v>1</v>
      </c>
      <c r="BH2" s="25">
        <v>1</v>
      </c>
      <c r="BI2" s="25">
        <v>1</v>
      </c>
      <c r="BJ2" s="25">
        <v>1</v>
      </c>
      <c r="BK2" s="25">
        <v>1</v>
      </c>
      <c r="BL2" s="25">
        <v>1</v>
      </c>
      <c r="BM2" s="25">
        <v>1</v>
      </c>
      <c r="BN2" s="25">
        <v>1</v>
      </c>
      <c r="BO2" s="25">
        <v>1</v>
      </c>
      <c r="BP2" s="25">
        <v>1</v>
      </c>
      <c r="BQ2" s="25">
        <v>1</v>
      </c>
      <c r="BR2" s="25">
        <v>1</v>
      </c>
      <c r="BS2" s="25">
        <f>MAX(NumDataColumns*NumSpecimens+1,2)</f>
        <v>6</v>
      </c>
      <c r="BT2" s="25">
        <f>MAX(NumDataColumns*NumSpecimens+1,2)</f>
        <v>6</v>
      </c>
      <c r="BU2" s="25">
        <f>IF(COUNTIF(BF:BF,"Measurement")=0,1,MAX(NumDataColumns*NumSpecimens+1,2))</f>
        <v>6</v>
      </c>
      <c r="BV2" s="25">
        <f>IF(COUNTIF(BF:BF,"Measurement")=0,1,MAX(NumDataColumns*NumSpecimens+1,2))</f>
        <v>6</v>
      </c>
      <c r="BW2" s="25">
        <f>IF(COUNTIFS(BF:BF,"Count observation",BF:BF,"Truth observation",BF:BF,"Category observation")=0,1,MAX(NumDataColumns*NumSpecimens+1,2))</f>
        <v>1</v>
      </c>
      <c r="BX2" s="25">
        <f>IF(COUNTIFS(BF:BF,"Count observation",BF:BF,"Truth observation",BF:BF,"Category observation")=0,1,MAX(NumDataColumns*NumSpecimens+1,2))</f>
        <v>1</v>
      </c>
    </row>
    <row r="3" spans="1:82">
      <c r="A3" s="25">
        <f t="shared" ref="A3:A7" si="0">ROW()-3</f>
        <v>0</v>
      </c>
      <c r="B3" s="25" t="s">
        <v>41</v>
      </c>
      <c r="C3" s="25" t="s">
        <v>182</v>
      </c>
      <c r="D3" s="25" t="s">
        <v>61</v>
      </c>
      <c r="E3" s="25"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&amp;OrganizationID00002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5" t="str">
        <f>IF(AND(CitationDOI="",NumORCIDs=0,NumIGSNs=0),"","ExternalIdentifierSystems:")</f>
        <v>ExternalIdentifierSystems:</v>
      </c>
      <c r="G3" s="25" t="s">
        <v>59</v>
      </c>
      <c r="H3" s="25" t="str">
        <f>IF(NumORCIDs=0,"","PersonExternalIdentifiers:")</f>
        <v/>
      </c>
      <c r="I3" s="25" t="s">
        <v>62</v>
      </c>
      <c r="J3" s="25" t="str">
        <f>IF(COUNTA(CitationInformation)=0,"","Citations:")</f>
        <v>Citations:</v>
      </c>
      <c r="K3" s="25" t="str">
        <f>IF(CitationDOI="","","CitationExternalIdentifiers:")</f>
        <v>CitationExternalIdentifiers:</v>
      </c>
      <c r="L3" s="25" t="str">
        <f>IF(COUNTA(CitationInformation)=0,"","AuthorLists:")</f>
        <v>AuthorLists:</v>
      </c>
      <c r="M3" s="25" t="str">
        <f>IF(COUNTA(CitationInformation)=0,"","DatasetCitations:")</f>
        <v>DatasetCitations:</v>
      </c>
      <c r="N3" s="25" t="s">
        <v>75</v>
      </c>
      <c r="O3" s="25" t="str">
        <f>""</f>
        <v/>
      </c>
      <c r="P3" s="25" t="str">
        <f>""</f>
        <v/>
      </c>
      <c r="Q3" s="25" t="str">
        <f>""</f>
        <v/>
      </c>
      <c r="R3" s="25" t="str">
        <f>""</f>
        <v/>
      </c>
      <c r="S3" s="25" t="str">
        <f>""</f>
        <v/>
      </c>
      <c r="T3" s="25" t="str">
        <f>""</f>
        <v/>
      </c>
      <c r="U3" s="25" t="str">
        <f>""</f>
        <v/>
      </c>
      <c r="V3" s="25" t="str">
        <f>""</f>
        <v/>
      </c>
      <c r="W3" s="25" t="s">
        <v>76</v>
      </c>
      <c r="X3" s="25" t="str">
        <f>IF(AND(NumIGSNs=0,COUNTIF(DataColumns[ColumnType],"SpecimenIGSN")=0),"","SamplingFeatureExternalIdentifiers:")</f>
        <v>SamplingFeatureExternalIdentifiers:</v>
      </c>
      <c r="Y3" s="25" t="str">
        <f>IF(MAX(SamplingFeatures[SiteID])=0,"","Sites:")</f>
        <v>Sites:</v>
      </c>
      <c r="Z3" s="25" t="s">
        <v>344</v>
      </c>
      <c r="AA3" s="25" t="str">
        <f>IF(COUNTA(SpatialOffsets[Spatial Offset Code])=0,"","SpatialOffsets:")</f>
        <v>SpatialOffsets:</v>
      </c>
      <c r="AB3" s="25" t="str">
        <f>""</f>
        <v/>
      </c>
      <c r="AC3" s="25" t="str">
        <f>""</f>
        <v/>
      </c>
      <c r="AD3" s="25" t="str">
        <f>""</f>
        <v/>
      </c>
      <c r="AE3" s="25" t="str">
        <f>""</f>
        <v/>
      </c>
      <c r="AF3" s="25" t="str">
        <f>IF(AND(NumRelatedFeatures=0,INDEX(SpecimenColumnFinder[First Value Address],MATCH("ParentSamplingFeatureCode",SpecimenColumnFinder[DataType],0))="NOT GIVEN"),"","RelatedFeatures:")</f>
        <v>RelatedFeatures:</v>
      </c>
      <c r="AG3" s="25" t="s">
        <v>107</v>
      </c>
      <c r="AH3" s="25" t="s">
        <v>131</v>
      </c>
      <c r="AI3" s="25" t="str">
        <f>""</f>
        <v/>
      </c>
      <c r="AJ3" s="25" t="str">
        <f>IF(NumTaxClassifiers=0,"","TaxonomicClassifiers:")</f>
        <v/>
      </c>
      <c r="AK3" s="25" t="s">
        <v>363</v>
      </c>
      <c r="AL3" s="25" t="str">
        <f>""</f>
        <v/>
      </c>
      <c r="AM3" s="25" t="str">
        <f>""</f>
        <v/>
      </c>
      <c r="AN3" s="25" t="str">
        <f>""</f>
        <v/>
      </c>
      <c r="AO3" s="25" t="str">
        <f>""</f>
        <v/>
      </c>
      <c r="AP3" s="25" t="str">
        <f>""</f>
        <v/>
      </c>
      <c r="AQ3" s="25" t="s">
        <v>155</v>
      </c>
      <c r="AR3" s="25" t="str">
        <f>""</f>
        <v/>
      </c>
      <c r="AS3" s="25" t="str">
        <f>""</f>
        <v/>
      </c>
      <c r="AT3" s="25" t="str">
        <f>""</f>
        <v/>
      </c>
      <c r="AU3" s="25" t="str">
        <f>""</f>
        <v/>
      </c>
      <c r="AV3" s="25" t="str">
        <f>""</f>
        <v/>
      </c>
      <c r="AW3" s="25" t="str">
        <f>""</f>
        <v/>
      </c>
      <c r="AX3" s="25" t="str">
        <f>""</f>
        <v/>
      </c>
      <c r="AY3" s="25" t="str">
        <f>""</f>
        <v/>
      </c>
      <c r="AZ3" s="25" t="str">
        <f>""</f>
        <v/>
      </c>
      <c r="BA3" s="25" t="s">
        <v>156</v>
      </c>
      <c r="BB3" s="25" t="str">
        <f>""</f>
        <v/>
      </c>
      <c r="BC3" s="25" t="s">
        <v>249</v>
      </c>
      <c r="BD3" s="25" t="str">
        <f>""</f>
        <v/>
      </c>
      <c r="BE3" s="25" t="str">
        <f>""</f>
        <v/>
      </c>
      <c r="BF3" s="25" t="str">
        <f>""</f>
        <v/>
      </c>
      <c r="BG3" s="25" t="str">
        <f>""</f>
        <v/>
      </c>
      <c r="BH3" s="25" t="str">
        <f>""</f>
        <v/>
      </c>
      <c r="BI3" s="25" t="str">
        <f>""</f>
        <v/>
      </c>
      <c r="BJ3" s="25" t="str">
        <f>""</f>
        <v/>
      </c>
      <c r="BK3" s="25" t="str">
        <f>""</f>
        <v/>
      </c>
      <c r="BL3" s="25" t="str">
        <f>""</f>
        <v/>
      </c>
      <c r="BM3" s="25" t="str">
        <f>""</f>
        <v/>
      </c>
      <c r="BN3" s="25" t="str">
        <f>""</f>
        <v/>
      </c>
      <c r="BO3" s="25" t="str">
        <f>""</f>
        <v/>
      </c>
      <c r="BP3" s="25" t="str">
        <f>""</f>
        <v/>
      </c>
      <c r="BQ3" s="25" t="str">
        <f>""</f>
        <v/>
      </c>
      <c r="BR3" s="25" t="str">
        <f>""</f>
        <v/>
      </c>
      <c r="BS3" s="25" t="s">
        <v>158</v>
      </c>
      <c r="BT3" s="25" t="s">
        <v>416</v>
      </c>
      <c r="BU3" s="25" t="str">
        <f>IF(COUNTIF(BF:BF,"Measurement")=0,"","MeasurementResults:")</f>
        <v>MeasurementResults:</v>
      </c>
      <c r="BV3" s="25" t="str">
        <f>IF(COUNTIF(BF:BF,"Measurement")=0,"","MeasurementResultValues:")</f>
        <v>MeasurementResultValues:</v>
      </c>
      <c r="BW3" s="25" t="str">
        <f>IF(COUNTIFS(BF:BF,"Count observation",BF:BF,"Truth observation",BF:BF,"Category observation")=0,"","CategoricalResults:")</f>
        <v/>
      </c>
      <c r="BX3" s="25" t="str">
        <f>IF(COUNTIFS(BF:BF,"Count observation",BF:BF,"Truth observation",BF:BF,"Category observation")=0,"","CategoricalResultValues:")</f>
        <v/>
      </c>
      <c r="CC3" s="25" t="s">
        <v>181</v>
      </c>
      <c r="CD3" s="25">
        <f>MAX(B2:BX2)</f>
        <v>14</v>
      </c>
    </row>
    <row r="4" spans="1:82">
      <c r="A4" s="25">
        <f t="shared" si="0"/>
        <v>1</v>
      </c>
      <c r="B4" s="25" t="s">
        <v>250</v>
      </c>
      <c r="C4" s="25" t="str">
        <f>CONCATENATE("  - &amp;DatasetID00001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&amp;DatasetID00001 {DatasetUUID:  "",  DatasetTypeCV:  "Multi-variable specimen measurements",  DatasetCode:  "MMN",  DatasetTitle:  "Marietta (Washington County, OH) Mn Study",  DatasetAbstract:  ""}</v>
      </c>
      <c r="D4" s="25" t="str">
        <f>IF(INDEX(Organizations[Organization Type '[CV']],ROW()-3)="","PLEASE FILL IN AT LEAST ONE ORGANIZATION WITH TYPE, CODE, AND NAME",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&amp;OrganizationID00001 {OrganizationTypeCV:  "university", OrganizationCode:  "PSU", OrganizationName:  "Pennsylvania State University", OrganizationDescription:  "", OrganizationLink:  ""}</v>
      </c>
      <c r="E4" s="25"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&amp;OrganizationID00003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5"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&amp;ExternalIdentifierSystemID00001 {ExternalIdentifierSystemName:  "ORCID", IdentifierSystemOrganizationObj:  *OrganizationID00002,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5" t="str">
        <f>IF(INDEX(People[First Name],ROW()-3)="","PLEASE FILL IN AT LEAST ONE PERSON WITH FIRST, MIDDLE AND LAST NAME",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&amp;PersonID00001 {PersonFirstName:  "Megan", PersonMiddleName:  "R.", PersonLastName:  "Carter"}</v>
      </c>
      <c r="H4"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4"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&amp;AffiliationID00001 {PersonObj: *PersonID00001, OrganizationObj: *OrganizationID00001, IsPrimaryOrganizationContact: "", AffiliationStartDate: "", AffiliationEndDate: "", PrimaryPhone: "", PrimaryEmail: "mcarter@ldeo.columbia.edu", PrimaryAddress: "", PersonLink: ""}</v>
      </c>
      <c r="J4" s="25" t="str">
        <f>IF(COUNTA(CitationInformation)=0,"",
CONCATENATE("  - &amp;CitationID00001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&amp;CitationID00001 {Title: "Using soil records with atmospheric dispersion modeling to investigate the effects of clean air regulations on 60 years of manganese deposition in Marietta, Ohio (USA)", Publisher: "Elsevier", PublicationYear: "2015", CitationLink: ""}</v>
      </c>
      <c r="K4" s="25" t="str">
        <f>IF(CitationDOI="","",
CONCATENATE("  - {",
"CitationObj:  *CitationID001",
", ExternalIdentifierSystemObj:  *ExternalIdentifierSystemID00002",
", CitationExternalIdentifier:  ",CHAR(34),CitationDOI,CHAR(34),
", CitationExternalIdentifierURI:  ",CHAR(34),CHAR(34),
"}"))</f>
        <v xml:space="preserve">  - {CitationObj:  *CitationID001, ExternalIdentifierSystemObj:  *ExternalIdentifierSystemID00002, CitationExternalIdentifier:  "10.1016/j.scitotenv.2015.01.015", CitationExternalIdentifierURI:  ""}</v>
      </c>
      <c r="L4" s="25" t="str">
        <f>IF(COUNTA(CitationInformation)=0,"",
IF(INDEX(AuthorList[Author Name],ROW()-3)="","PLEASE FILL IN AT LEAST ONE CITATION AUTHOR",
CONCATENATE("  - &amp;AuthorListID",TEXT(ROW()-3,"00000"),
"  {CitationObj: *CitationID00001",
", PersonObj: *PersonID",IFERROR(TEXT(MATCH(INDEX(AuthorList[Author Name],ROW()-3),People[Full Name],0),"00000"),"PLEASE SELECT A VALID AUTHOR NAME FROM THE DROP-DOWN LIST"),
", AuthorOrder: ",INDEX(AuthorList[Author Number],ROW()-3),
"}")))</f>
        <v xml:space="preserve">  - &amp;AuthorListID00001  {CitationObj: *CitationID00001, PersonObj: *PersonID00001, AuthorOrder: 1}</v>
      </c>
      <c r="M4" s="25" t="str">
        <f>IF(COUNTA(CitationInformation)=0,"",
CONCATENATE("  - {",
"DatasetObj: *DatasetID00001",
", CitationObj: *CitationID00001",
IF(DatasetCitationRelationship="","PLEASE FILL IN THE RELATIONSHIP BETWEEN THE Dataset AND THE CITATION",CONCATENATE(", RelationshipTypeCV: ",DatasetCitationRelationship)),
"}"))</f>
        <v xml:space="preserve">  - {DatasetObj: *DatasetID00001, CitationObj: *CitationID00001, RelationshipTypeCV: Is citation for}</v>
      </c>
      <c r="N4" s="25" t="str">
        <f>IF(LatLonDatum="","PLEASE FILL IN A VALID LAT/LONG DATUM",
CONCATENATE("  - &amp;SRSID",TEXT(ROW()-3,"00000"),"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&amp;SRSID00001 {SRSCode: "EPSG:4326", SRSName: "WGS84", SRSDescription: "Horizontal component of 3D system. Used by the GPS satellite navigation system and for NATO military geodetic surveying.", SRSLink: "http://www.epsg-registry.org/export.htm?wkt=urn:ogc:def:crs:EPSG::4326"}</v>
      </c>
      <c r="O4"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4" s="25"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4" s="25" t="e">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#REF!</v>
      </c>
      <c r="R4"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4" s="25" t="e">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#REF!</v>
      </c>
      <c r="T4" s="25"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4" s="25"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4" s="25"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4" s="25" t="str">
        <f>IF(ROW()-3&gt;NumParentSamplingFeatures+NumSpecimens,"",
IF(ROW()-3&gt;NumParentSamplingFeatures,
CONCATENATE("  - &amp;SamplingFeatureID",TEXT(ROW()-3,"00000"),
" {","SamplingFeatureUUID:  ",CHAR(34),O4,CHAR(34),
", SamplingFeatureTypeCV:  ",CHAR(34),"Specimen",CHAR(34),
", SamplingFeatureCode:  ",CHAR(34),P4,CHAR(34),
", SamplingFeatureName:  ",CHAR(34),Q4,CHAR(34),
", SamplingFeatureDescription:  ",CHAR(34),R4,CHAR(34),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&amp;SamplingFeatureID00001 {SamplingFeatureUUID:  "", SamplingFeatureTypeCV:  "specimen", SamplingFeatureCode:  "BKR Core", SamplingFeatureName:  "BKR Core", SamplingFeatureDescription:  "", SamplingFeatureGeotypeCV:  "Point", FeatureGeometry:  "", Elevation_m:  "", ElevationDatumCV:  "MSL"}</v>
      </c>
      <c r="X4" s="25" t="str">
        <f>IF(AND(NumIGSNs=0,COUNTIF(DataColumns[ColumnType],"SpecimenIGSN")=0),"",
IF(ROW()-3&gt;NumIGSNs+NumSpecimens,"",
IF(ROW()-3&gt;NumIGSNs,
IF(ISERROR(MATCH("SpecimenIGSN",DataColumns[ColumnType],0)),"",
IF(S4="","",
CONCATENATE("  - {",
"SamplingFeatureObj:  *SamplingFeatureID",TEXT(ROW()-2-NumIGSNs+NumParentSamplingFeatures-1,"00000"),
", ExternalIdentifierSystemObj:  *ExternalIdentifierSystemID00003",
", SamplingFeatureExternalIdentifier:  ",CHAR(34),S4,CHAR(34),
", SamplingFeatureExternalIdentifierURI:  ",CHAR(34),"http://app.geosamples.org/sample/igsn/",S4,CHAR(34),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xml:space="preserve">  - {SamplingFeatureObj:  *SamplingFeatureID00001, ExternalIdentifierSystemObj:  *ExternalIdentifierSystemID00003, SamplingFeatureExternalIdentifier:  "SLB00006O", SamplingFeatureExternalIdentifierURI:  "http://app.geosamples.org/sample/igsn/SLB00006O"}</v>
      </c>
      <c r="Y4"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*SamplingFeatureID00002, SiteTypeCV:  "", Latitude:  -81.52805, Longitude:  39.380133, SpatialReferenceObj:  *SRSID00001}</v>
      </c>
      <c r="Z4" s="25" t="str">
        <f>IF(ROW()-4&gt;NumParentSpecimens+NumSpecimens,"",
IF(ROW()-3&gt;NumParentSpecimens,
CONCATENATE("  - {",
"SamplingFeatureObj:  *SamplingFeatureID",TEXT(ROW()-3+NumParentSamplingFeatures,"00000"),
", SpecimenTypeCV:  ",CHAR(34),T4,CHAR(34),
", SpecimenMediumCV:  ",CHAR(34),U4,CHAR(34),
", IsFieldSpecimen:  ",CHAR(34),V4,CHAR(34),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*SamplingFeatureID00001, SpecimenTypeCV:  "core", SpecimenMediumCV:  soil, IsFieldSpecimen:  "TRUE"}</v>
      </c>
      <c r="AA4"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xml:space="preserve">  - &amp;SpatialOffsetID00001 {SpatialOffsetTypeCV:  "BKR 0- -10 cm Offset", Offset1Value:  0, Offset1UnitObj:  "cm", Offset2Value:  -10, Offset2UnitObj:  "cm", Offset3Value:  NULL, Offset3UnitObj:  ""}</v>
      </c>
      <c r="AB4" s="25" t="str">
        <f>CONCATENATE("*SamplingFeatureID",TEXT(ROW()-2-NumRelatedFeatures+NumParentSamplingFeatures-1,"00000"))</f>
        <v>*SamplingFeatureID00001</v>
      </c>
      <c r="AC4" s="25"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4" s="162"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#REF!</v>
      </c>
      <c r="AE4" s="162"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4" s="25" t="str">
        <f>IF(AND(NumRelatedFeatures=0,MATCH("ParentSamplingFeatureCode",SpecimenColumnFinder[DataType],0)="NOT GIVEN"),"",
IF(ROW()-3&gt;NumRelatedFeatures+NumSpecimens,"",
IF(ROW()-3&gt;NumRelatedFeatures,
IF(AD4="NO RELATED FEATURE","",
CONCATENATE("  - {",
"SamplingFeatureObj:  ",AB4,
", RelationshipTypeCV:  ",CHAR(34),AC4,CHAR(34),
", RelatedFeatureObj: ",AD4,
", SpatialOffsetObj:  ",IF(AE4="","NULL",AE4),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*SamplingFeatureID00003, RelationshipTypeCV:  "Is child of", RelatedFeatureObj: *SamplingFeatureID00001, SpatialOffsetObj:  *SpatialOffsetID00001}</v>
      </c>
      <c r="AG4" s="25" t="str">
        <f>IF(INDEX(Methods[Method Type],ROW()-3)="","PLEASE FILL IN AT LEAST ONE METHOD",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&amp;MethodID00001 {MethodTypeCV:  "Specimen collection", MethodCode:  "HA", MethodName:  "Hand Augering", MethodDescription:  "", MethodLink:  "", OrganizationObj: NULL}</v>
      </c>
      <c r="AH4" s="25" t="str">
        <f>IF(INDEX(Variables[Variable Type],ROW()-3)="","PLEASE FILL IN AT LEAST ONE VARIABLE",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&amp;VariableID00001 {VariableTypeCV:  "Major oxide or element", VariableCode:  "SiO2", VariableNameCV:  "silica", VariableDefinition:  "", SpeciationCV:  "", NoDataValue:  "-999"}</v>
      </c>
      <c r="AJ4"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4" s="25" t="str">
        <f>IF(INDEX(ProcessingLevels[Processing Level Code],ROW()-3)="","PLEASE FILL IN AT LEAST ONE PROCESSING LEVEL",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AL4" s="25"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*MethodID00001</v>
      </c>
      <c r="AM4"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2012-06-06 00:00:00</v>
      </c>
      <c r="AN4" s="25">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-7</v>
      </c>
      <c r="AO4" s="25"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4" s="25" t="str">
        <f t="shared" ref="AP4:AP8" si="1">CONCATENATE("*SamplingFeatureID",TEXT(ROW()-3+NumParentSamplingFeatures,"00000"))</f>
        <v>*SamplingFeatureID00013</v>
      </c>
      <c r="AQ4" s="25" t="str">
        <f>IF(ROW()-3&gt;NumSpecimens,"",
CONCATENATE("  - &amp;ActionID",TEXT(ROW()-3,"00000"),
" {","ActionTypeCV:  ",CHAR(34),"Specimen collection",CHAR(34),
", MethodObj: ",AL4,
", BeginDateTime:  ",CHAR(34),AM4,CHAR(34),
", BeginDateTimeUTCOffset:  ",CHAR(34),AN4,CHAR(34),
", EndDateTime:  ","NULL",
", EndDateTimeUTCOffset:  ","NULL",
", ActionDescription:  ",CHAR(34),"Action generated by Excel Template for ",TemplateProfile," v.",TemplateVersion,CHAR(34),
", ActionFileLink:  ",CHAR(34),CHAR(34),
,"}"))</f>
        <v xml:space="preserve">  - &amp;ActionID00001 {ActionTypeCV:  "Specimen collection", MethodObj: *MethodID00001, BeginDateTime:  "2012-06-06 00:00:00", BeginDateTimeUTCOffset:  "-7", EndDateTime:  NULL, EndDateTimeUTCOffset:  NULL, ActionDescription:  "Action generated by Excel Template for Specimen v.0.2.1-alpha+20150430.114854", ActionFileLink:  ""}</v>
      </c>
      <c r="AR4" s="25">
        <v>1</v>
      </c>
      <c r="AS4" s="25" t="str">
        <f>INDEX(ResultColumnFinder[Data Value Label],MATCH($AR4,ResultColumnFinder[DV Num],1))</f>
        <v>SiO2</v>
      </c>
      <c r="AT4" s="25">
        <f>IF(INDEX(ResultColumnFinder[First Value Address],MATCH(CONCATENATE("ResultValue",$AR4),ResultColumnFinder[Concat2],0))="NOT GIVEN",
"",
IF(OFFSET(INDIRECT(INDEX(ResultColumnFinder[First Value Address],MATCH(CONCATENATE("ResultValue",$AR4),ResultColumnFinder[Concat2],0)),FALSE),ROW()-4-($AR4-1)*NumSpecimens,0)="",
"",
OFFSET(INDIRECT(INDEX(ResultColumnFinder[First Value Address],MATCH(CONCATENATE("ResultValue",$AR4),ResultColumnFinder[Concat2],0)),FALSE),ROW()-4-($AR4-1)*NumSpecimens,0))
)</f>
        <v>75.669550000000001</v>
      </c>
      <c r="AU4" s="25" t="str">
        <f>IF(INDEX(ResultColumnFinder[First Value Address],MATCH(CONCATENATE("AnalysisMethodCode",$AR4),ResultColumnFinder[Concat2],0))="NOT GIVEN",
CONCATENATE("PLEASE FILL IN A VALID ANALYSIS METHOD CODE FOR ",$AS4),
IF(LEFT(INDEX(ResultColumnFinder[First Value Address],MATCH(CONCATENATE("AnalysisMethodCode",$AR4),ResultColumnFinder[Concat2],0)),14)="'Data Columns'",
IF(ISERROR(MATCH(INDIRECT(INDEX(ResultColumnFinder[First Value Address],MATCH(CONCATENATE("AnalysisMethodCode",$AR4),ResultColumnFinder[Concat2],0)),FALSE),Methods[Method Code],0)),
CONCATENATE("PLEASE FILL IN A VALID ANALYSIS METHOD CODE FOR ",$AS4),
CONCATENATE("*MethodID",TEXT(MATCH(INDIRECT(INDEX(ResultColumnFinder[First Value Address],MATCH(CONCATENATE("AnalysisMethodCode",$AR4),ResultColumnFinder[Concat2],0)),FALSE),Methods[Method Code],0),"00000"))),
IF(ISERROR(MATCH(OFFSET(INDIRECT(INDEX(ResultColumnFinder[First Value Address],MATCH(CONCATENATE("AnalysisMethodCode",$AR4),ResultColumnFinder[Concat2],0)),FALSE),ROW()-4-($AR4-1)*NumSpecimens,0),Methods[Method Code],0)),
CONCATENATE("PLEASE SPECIFY A VALID ANALYSIS METHOD CODE FOR ",$AS4," IN ROW ",ROW()-4-($AR4-1)*NumSpecimens),
CONCATENATE("*MethodID",TEXT(MATCH(OFFSET(INDIRECT(INDEX(ResultColumnFinder[First Value Address],MATCH(CONCATENATE("AnalysisMethodCode",$AR4),ResultColumnFinder[Concat2],0)),FALSE),ROW()-4-($AR4-1)*NumSpecimens,0),Methods[Method Code],0),"00000")))))</f>
        <v>*MethodID00002</v>
      </c>
      <c r="AV4" s="25" t="str">
        <f>IF(INDEX(ResultColumnFinder[First Value Address],MATCH(CONCATENATE("AnalysisDateTime",$AR4),ResultColumnFinder[Concat2],0))="NOT GIVEN",
"",
IF(OFFSET(INDIRECT(INDEX(ResultColumnFinder[First Value Address],MATCH(CONCATENATE("AnalysisDateTime",$AR4),ResultColumnFinder[Concat2],0)),FALSE),ROW()-4-($AR4-1)*NumSpecimens,0)="",
CONCATENATE("PLEASE SPECIFY AN ANALYSIS TIME FOR ",$AS4," IN ROW ",ROW()-4-($AR4-1)*NumSpecimens),
TEXT(OFFSET(INDIRECT(INDEX(ResultColumnFinder[First Value Address],MATCH(CONCATENATE("AnalysisDateTime",$AR4),ResultColumnFinder[Concat2],0)),FALSE),ROW()-4-($AR4-1)*NumSpecimens,0),"yyyy-mm-dd hh:mm:ss")))</f>
        <v/>
      </c>
      <c r="AW4" s="25" t="str">
        <f>IF(INDEX(ResultColumnFinder[First Value Address],MATCH(CONCATENATE("AnalysisDateTimeUTCOffset",$AR4),ResultColumnFinder[Concat2],0))="NOT GIVEN",
"",
IF(LEFT(INDEX(ResultColumnFinder[First Value Address],MATCH(CONCATENATE("AnalysisDateTimeUTCOffset",$AR4),ResultColumnFinder[Concat2],0)),14)="'Data Columns'",
IF(INDIRECT(INDEX(ResultColumnFinder[First Value Address],MATCH(CONCATENATE("AnalysisDateTimeUTCOffset",$AR4),ResultColumnFinder[Concat2],0)),FALSE)="",
CONCATENATE("PLEASE FILL IN AN ANALYSIS TIME UTC OFFSET FOR ",$AS4),
INDIRECT(INDEX(ResultColumnFinder[First Value Address],MATCH(CONCATENATE("AnalysisDateTimeUTCOffset",$AR4),ResultColumnFinder[Concat2],0)),FALSE)),
IF(OFFSET(INDIRECT(INDEX(ResultColumnFinder[First Value Address],MATCH(CONCATENATE("AnalysisDateTimeUTCOffset",$AR4),ResultColumnFinder[Concat2],0)),FALSE),ROW()-4-($AR4-1)*NumSpecimens,0)="",
CONCATENATE("PLEASE SPECIFY AN ANALYSIS TIME UTC OFFSET FOR ",$AS4," IN ROW ",ROW()-4-($AR4-1)*NumSpecimens),
OFFSET(INDIRECT(INDEX(ResultColumnFinder[First Value Address],MATCH(CONCATENATE("AnalysisDateTimeUTCOffset",$AR4),ResultColumnFinder[Concat2],0)),FALSE),ROW()-4-($AR4-1)*NumSpecimens,0))))</f>
        <v/>
      </c>
      <c r="AX4" s="25" t="str">
        <f>IF(INDEX(ResultColumnFinder[First Value Address],MATCH(CONCATENATE("ResultAnalyst",$AR4),ResultColumnFinder[Concat2],0))="NOT GIVEN",
"",
IF(LEFT(INDEX(ResultColumnFinder[First Value Address],MATCH(CONCATENATE("ResultAnalyst",$AR4),ResultColumnFinder[Concat2],0)),14)="'Data Columns'",
IF(ISERROR(MATCH(INDIRECT(INDEX(ResultColumnFinder[First Value Address],MATCH(CONCATENATE("ResultAnalyst",$AR4),ResultColumnFinder[Concat2],0)),FALSE),People[Full Name],0)),
CONCATENATE("PLEASE FILL IN A VALID ANALYST FOR ",$AS4),
CONCATENATE("*AffiliationID",TEXT(MATCH(INDIRECT(INDEX(ResultColumnFinder[First Value Address],MATCH(CONCATENATE("ResultAnalyst",$AR4),ResultColumnFinder[Concat2],0)),FALSE),People[Full Name],0),"00000"))),
IF(OFFSET(INDIRECT(INDEX(ResultColumnFinder[First Value Address],MATCH(CONCATENATE("ResultAnalyst",$AR4),ResultColumnFinder[Concat2],0)),FALSE),ROW()-4-($AR4-1)*NumSpecimens,0)="",
"",
IF(ISERROR(MATCH(OFFSET(INDIRECT(INDEX(ResultColumnFinder[First Value Address],MATCH(CONCATENATE("ResultAnalyst",$AR4),ResultColumnFinder[Concat2],0)),FALSE),ROW()-4-($AR4-1)*NumSpecimens,0),People[Full Name],0)),
CONCATENATE("PLEASE SPECIFY A VALID ANALYST FOR ",$AS4," IN ROW ",ROW()-4-($AR4-1)*NumSpecimens),
CONCATENATE("*AffiliationID",TEXT(MATCH(OFFSET(INDIRECT(INDEX(ResultColumnFinder[First Value Address],MATCH(CONCATENATE("ResultAnalyst",$AR4),ResultColumnFinder[Concat2],0)),FALSE),ROW()-4-($AR4-1)*NumSpecimens,0),People[Full Name],0),"00000"))))))</f>
        <v>*AffiliationID00001</v>
      </c>
      <c r="AY4" s="25" t="str">
        <f t="shared" ref="AY4:AY8" si="2">CONCATENATE("*SamplingFeatureID",TEXT(ROW()-3-($AR4-1)*NumSpecimens+NumParentSamplingFeatures,"00000"))</f>
        <v>*SamplingFeatureID00013</v>
      </c>
      <c r="AZ4" s="25" t="str">
        <f>IF(ROW()-3&gt;NumDataColumns*NumSpecimens,"",
IF(AT4="","",
CONCATENATE("  - &amp;ActionID",TEXT(ROW()-3+NumSpecimens,"00000"),
" {","ActionTypeCV:  ",CHAR(34),"Specimen analysis",CHAR(34),
", MethodObj: ",AU4,
", BeginDateTime:  ",CHAR(34),AV4,CHAR(34),
", BeginDateTimeUTCOffset:  ",CHAR(34),AW4,CHAR(34),
", EndDateTime:  ","NULL",
", EndDateTimeUTCOffset:  ","NULL",
", ActionDescription:  ",CHAR(34),"Action generated by Excel Template for ",TemplateProfile," v.",TemplateVersion,CHAR(34),
", ActionFileLink:  ","NULL",
,"}")))</f>
        <v xml:space="preserve">  - &amp;ActionID00002 {ActionTypeCV:  "Specimen analysis", MethodObj: *MethodID00002, BeginDateTime:  "", BeginDateTimeUTCOffset:  "", EndDateTime:  NULL, EndDateTimeUTCOffset:  NULL, ActionDescription:  "Action generated by Excel Template for Specimen v.0.2.1-alpha+20150430.114854", ActionFileLink:  NULL}</v>
      </c>
      <c r="BA4" s="25" t="str">
        <f>IF(ROW()-3&gt;NumSpecimens,"",
CONCATENATE("  - &amp;FeatureActionID",TEXT(ROW()-3,"00000"),
" {","SamplingFeatureObj:  ",AP4,
", ActionObj:  *ActionID",TEXT(ROW()-3,"00000"),"}"))</f>
        <v xml:space="preserve">  - &amp;FeatureActionID00001 {SamplingFeatureObj:  *SamplingFeatureID00013, ActionObj:  *ActionID00001}</v>
      </c>
      <c r="BB4" s="25" t="str">
        <f>IF(ROW()-3&gt;NumDataColumns*NumSpecimens,"",
IF(AT4="","",
CONCATENATE("  - &amp;FeatureActionID",TEXT(ROW()-3+NumSpecimens,"00000"),
" {","SamplingFeatureObj:  ",AY4,
", ActionObj:  *ActionID",TEXT(ROW()-3+NumSpecimens,"00000"),"}")))</f>
        <v xml:space="preserve">  - &amp;FeatureActionID00002 {SamplingFeatureObj:  *SamplingFeatureID00013, ActionObj:  *ActionID00002}</v>
      </c>
      <c r="BC4" s="25" t="e">
        <f>IF(ROW()-3&gt;NumSpecimens,"",
IF(AO4="","",
CONCATENATE("  - {",
"ActionObj:  *ActionID",TEXT(ROW()-3,"00000"),
", AffiliationObj:  ",AO4,
", IsActionLead: TRUE",
", RoleDescription: ","NULL",
"}")))</f>
        <v>#N/A</v>
      </c>
      <c r="BD4" s="25" t="str">
        <f>IF(ROW()-3&gt;NumDataColumns*NumSpecimens,"",
IF(AT4="","",
IF(AX4="","",
CONCATENATE("  - {",
"ActionObj:  *ActionID",TEXT(ROW()-3+NumSpecimens,"00000"),
", AffiliationObj:  ",AX4,
", IsActionLead: TRUE",
", RoleDescription: ","NULL",
"}"))))</f>
        <v xml:space="preserve">  - {ActionObj:  *ActionID00002, AffiliationObj:  *AffiliationID00001, IsActionLead: TRUE, RoleDescription: NULL}</v>
      </c>
      <c r="BE4" s="25" t="str">
        <f>IF(INDEX(ResultColumnFinder[First Value Address],MATCH(CONCATENATE("ResultUUID",$AR4),ResultColumnFinder[Concat2],0))="NOT GIVEN",
"",
IF(OFFSET(INDIRECT(INDEX(ResultColumnFinder[First Value Address],MATCH(CONCATENATE("ResultUUID",$AR4),ResultColumnFinder[Concat2],0)),FALSE),ROW()-4-($AR4-1)*NumSpecimens,0)="",
"",
OFFSET(INDIRECT(INDEX(ResultColumnFinder[First Value Address],MATCH(CONCATENATE("ResultUUID",$AR4),ResultColumnFinder[Concat2],0)),FALSE),ROW()-4-($AR4-1)*NumSpecimens,0))
)</f>
        <v/>
      </c>
      <c r="BF4" s="25" t="str">
        <f>IF(INDEX(ResultColumnFinder[First Value Address],MATCH(CONCATENATE("ResultTypeCV",$AR4),ResultColumnFinder[Concat2],0))="NOT GIVEN",
"PLEASE NOTE: A  RESULT TYPE MUST BE SPECIFIED FOR EACH RESULT",
IF(LEFT(INDEX(ResultColumnFinder[First Value Address],MATCH(CONCATENATE("ResultTypeCV",$AR4),ResultColumnFinder[Concat2],0)),14)="'Data Columns'",
IF(COUNTIF(ApplicableResultTypes,INDIRECT(INDEX(ResultColumnFinder[First Value Address],MATCH(CONCATENATE("ResultTypeCV",$AR4),ResultColumnFinder[Concat2],0)),FALSE))=0,
CONCATENATE("PLEASE FILL IN A VALID  RESULT TYPE FOR ",$AS4),
INDIRECT(INDEX(ResultColumnFinder[First Value Address],MATCH(CONCATENATE("ResultTypeCV",$AR4),ResultColumnFinder[Concat2],0)),FALSE)),
IF(COUNTIF(ApplicableResultTypes,OFFSET(INDIRECT(INDEX(ResultColumnFinder[First Value Address],MATCH(CONCATENATE("ResultTypeCV",$AR4),ResultColumnFinder[Concat2],0)),FALSE),ROW()-4-($AR4-1)*NumSpecimens,0))=0,
CONCATENATE("PLEASE SPECIFY A VALID  RESULT TYPE FOR ",$AS4," IN ROW ",ROW()-4-($AR4-1)*NumSpecimens),
OFFSET(INDIRECT(INDEX(ResultColumnFinder[First Value Address],MATCH(CONCATENATE("ResultTypeCV",$AR4),ResultColumnFinder[Concat2],0)),FALSE),ROW()-4-($AR4-1)*NumSpecimens,0))
))</f>
        <v>measurement</v>
      </c>
      <c r="BG4" s="25" t="str">
        <f>IF(INDEX(ResultColumnFinder[First Value Address],MATCH(CONCATENATE("VariableCode",$AR4),ResultColumnFinder[Concat2],0))="NOT GIVEN",
"PLEASE NOTE: A VARIABLE CODE MUST BE SPECIFIED FOR EACH RESULT",
IF(LEFT(INDEX(ResultColumnFinder[First Value Address],MATCH(CONCATENATE("VariableCode",$AR4),ResultColumnFinder[Concat2],0)),14)="'Data Columns'",
IF(ISERROR(MATCH(INDIRECT(INDEX(ResultColumnFinder[First Value Address],MATCH(CONCATENATE("VariableCode",$AR4),ResultColumnFinder[Concat2],0)),FALSE),Variables[Variable Code],0)),
CONCATENATE("PLEASE FILL IN A VALID VARIABLE CODE FOR ",$AS4),
CONCATENATE("*VariableID",TEXT(MATCH(INDIRECT(INDEX(ResultColumnFinder[First Value Address],MATCH(CONCATENATE("VariableCode",$AR4),ResultColumnFinder[Concat2],0)),FALSE),Variables[Variable Code],0),"00000"))),
IF(ISERROR(MATCH(OFFSET(INDIRECT(INDEX(ResultColumnFinder[First Value Address],MATCH(CONCATENATE("VariableCode",$AR4),ResultColumnFinder[Concat2],0)),FALSE),ROW()-4-($AR4-1)*NumSpecimens,0),Variables[Variable Code],0)),
CONCATENATE("PLEASE SPECIFY A VALID VARIABLE CODE FOR ",$AS4," IN ROW ",ROW()-4-($AR4-1)*NumSpecimens),
CONCATENATE("*VariableID",TEXT(MATCH(OFFSET(INDIRECT(INDEX(ResultColumnFinder[First Value Address],MATCH(CONCATENATE("VariableCode",$AR4),ResultColumnFinder[Concat2],0)),FALSE),ROW()-4-($AR4-1)*NumSpecimens,0),Variables[Variable Code],0),"00000")))))</f>
        <v>*VariableID00001</v>
      </c>
      <c r="BH4" s="25" t="str">
        <f>IF(INDEX(ResultColumnFinder[First Value Address],MATCH(CONCATENATE("UnitName",$AR4),ResultColumnFinder[Concat2],0))="NOT GIVEN",
"PLEASE NOTE: A UNIT MUST BE SPECIFIED FOR EACH RESULT",
IF(LEFT(INDEX(ResultColumnFinder[First Value Address],MATCH(CONCATENATE("UnitName",$AR4),ResultColumnFinder[Concat2],0)),14)="'Data Columns'",
IF(INDIRECT(INDEX(ResultColumnFinder[First Value Address],MATCH(CONCATENATE("UnitName",$AR4),ResultColumnFinder[Concat2],0)),FALSE)="",
CONCATENATE("PLEASE FILL IN A UNIT FOR ",$AS4),
INDIRECT(INDEX(ResultColumnFinder[First Value Address],MATCH(CONCATENATE("UnitName",$AR4),ResultColumnFinder[Concat2],0)),FALSE)),
IF(OFFSET(INDIRECT(INDEX(ResultColumnFinder[First Value Address],MATCH(CONCATENATE("UnitName",$AR4),ResultColumnFinder[Concat2],0)),FALSE),ROW()-4-($AR4-1)*NumSpecimens,0)="",
CONCATENATE("PLEASE SPECIFY A UNIT FOR ",$AS4," IN ROW ",ROW()-4-($AR4-1)*NumSpecimens),
OFFSET(INDIRECT(INDEX(ResultColumnFinder[First Value Address],MATCH(CONCATENATE("UnitName",$AR4),ResultColumnFinder[Concat2],0)),FALSE),ROW()-4-($AR4-1)*NumSpecimens,0))
))</f>
        <v>wt. %</v>
      </c>
      <c r="BI4" s="25" t="str">
        <f>IF(INDEX(ResultColumnFinder[First Value Address],MATCH(CONCATENATE("TaxonomicClassifierName",$AR4),ResultColumnFinder[Concat2],0))="NOT GIVEN",
"",
IF(LEFT(INDEX(ResultColumnFinder[First Value Address],MATCH(CONCATENATE("TaxonomicClassifierName",$AR4),ResultColumnFinder[Concat2],0)),14)="'Data Columns'",
IF(ISERROR(MATCH(INDIRECT(INDEX(ResultColumnFinder[First Value Address],MATCH(CONCATENATE("TaxonomicClassifierName",$AR4),ResultColumnFinder[Concat2],0)),FALSE),TaxonomicClassifiers[Taxonomic Classifier Name],0)),
"",
CONCATENATE("*VariableID",TEXT(MATCH(INDIRECT(INDEX(ResultColumnFinder[First Value Address],MATCH(CONCATENATE("TaxonomicClassifierName",$AR4),ResultColumnFinder[Concat2],0)),FALSE),TaxonomicClassifiers[Taxonomic Classifier Name],0),"00000"))),
IF(ISERROR(MATCH(OFFSET(INDIRECT(INDEX(ResultColumnFinder[First Value Address],MATCH(CONCATENATE("TaxonomicClassifierName",$AR4),ResultColumnFinder[Concat2],0)),FALSE),ROW()-4-($AR4-1)*NumSpecimens,0),TaxonomicClassifiers[Taxonomic Classifier Name],0)),
"",
CONCATENATE("*VariableID",TEXT(MATCH(OFFSET(INDIRECT(INDEX(ResultColumnFinder[First Value Address],MATCH(CONCATENATE("TaxonomicClassifierName",$AR4),ResultColumnFinder[Concat2],0)),FALSE),ROW()-4-($AR4-1)*NumSpecimens,0),TaxonomicClassifiers[Taxonomic Classifier Name],0),"00000")))))</f>
        <v/>
      </c>
      <c r="BJ4" s="25" t="str">
        <f>IF(INDEX(ResultColumnFinder[First Value Address],MATCH(CONCATENATE("ProcessingLevelCode",$AR4),ResultColumnFinder[Concat2],0))="NOT GIVEN",
"PLEASE NOTE: A PROCESSING LEVEL CODE MUST BE SPECIFIED FOR EACH RESULT",
IF(LEFT(INDEX(ResultColumnFinder[First Value Address],MATCH(CONCATENATE("ProcessingLevelCode",$AR4),ResultColumnFinder[Concat2],0)),14)="'Data Columns'",
IF(ISERROR(MATCH(INDIRECT(INDEX(ResultColumnFinder[First Value Address],MATCH(CONCATENATE("ProcessingLevelCode",$AR4),ResultColumnFinder[Concat2],0)),FALSE),ProcessingLevels[Processing Level Code],0)),
CONCATENATE("PLEASE FILL IN A VALID PROCESSING LEVEL CODE FOR ",$AS4),
CONCATENATE("*ProcessingLevelID",TEXT(MATCH(INDIRECT(INDEX(ResultColumnFinder[First Value Address],MATCH(CONCATENATE("ProcessingLevelCode",$AR4),ResultColumnFinder[Concat2],0)),FALSE),ProcessingLevels[Processing Level Code],0),"00000"))),
IF(ISERROR(MATCH(OFFSET(INDIRECT(INDEX(ResultColumnFinder[First Value Address],MATCH(CONCATENATE("ProcessingLevelCode",$AR4),ResultColumnFinder[Concat2],0)),FALSE),ROW()-4-($AR4-1)*NumSpecimens,0),ProcessingLevels[Processing Level Code],0)),
CONCATENATE("PLEASE SPECIFY A VALID PROCESSING LEVEL CODE FOR ",$AS4," IN ROW ",ROW()-4-($AR4-1)*NumSpecimens),
CONCATENATE("*ProcessingLevelID",TEXT(MATCH(OFFSET(INDIRECT(INDEX(ResultColumnFinder[First Value Address],MATCH(CONCATENATE("ProcessingLevelCode",$AR4),ResultColumnFinder[Concat2],0)),FALSE),ROW()-4-($AR4-1)*NumSpecimens,0),ProcessingLevels[Processing Level Code],0),"00000")))))</f>
        <v>*ProcessingLevelID00002</v>
      </c>
      <c r="BK4"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Address],MATCH("CollectionDateTime",SpecimenColumnFinder[DataType],0)),FALSE),ROW()-4-($AR4-1)*NumSpecimens,0)="",
CONCATENATE("PLEASE SPECIFY A SPECIMEN COLLECTION DATE/TIME IN ROW ",ROW()-4-($AR4-1)*NumSpecimens),
TEXT(OFFSET(INDIRECT(INDEX(SpecimenColumnFinder[First Value Address],MATCH("CollectionDateTime",SpecimenColumnFinder[DataType],0)),FALSE),ROW()-4-($AR4-1)*NumSpecimens,0),"yyyy-mm-dd hh:mm:ss")))</f>
        <v>2012-06-06 00:00:00</v>
      </c>
      <c r="BL4" s="25">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Address],MATCH("CollectionDateTimeUTCOffset",SpecimenColumnFinder[DataType],0)),FALSE),ROW()-4-($AR4-1)*NumSpecimens,0)="",
CONCATENATE("PLEASE SPECIFY A COLLECTION TIME UTC OFFSET IN ROW ",ROW()-4-($AR4-1)*NumSpecimens),
OFFSET(INDIRECT(INDEX(SpecimenColumnFinder[First Value Address],MATCH("CollectionDateTimeUTCOffset",SpecimenColumnFinder[DataType],0)),FALSE),ROW()-4-($AR4-1)*NumSpecimens,0)))</f>
        <v>-7</v>
      </c>
      <c r="BM4" s="25" t="str">
        <f>IF(INDEX(ResultColumnFinder[First Value Address],MATCH(CONCATENATE("SampledMediumCV",$AR4),ResultColumnFinder[Concat2],0))="NOT GIVEN",
"PLEASE NOTE: A SAMPLED MEDIUM MUST BE SPECIFIED FOR EACH RESULT",
IF(LEFT(INDEX(ResultColumnFinder[First Value Address],MATCH(CONCATENATE("SampledMediumCV",$AR4),ResultColumnFinder[Concat2],0)),14)="'Data Columns'",
IF(COUNTIF(SampledMediumCV,INDIRECT(INDEX(ResultColumnFinder[First Value Address],MATCH(CONCATENATE("SampledMediumCV",$AR4),ResultColumnFinder[Concat2],0)),FALSE))=0,
CONCATENATE("PLEASE FILL IN A VALID SAMPLED MEDIUM FOR ",$AS4),
INDIRECT(INDEX(ResultColumnFinder[First Value Address],MATCH(CONCATENATE("SampledMediumCV",$AR4),ResultColumnFinder[Concat2],0)),FALSE)),
IF(COUNTIF(SampledMediumCV,OFFSET(INDIRECT(INDEX(ResultColumnFinder[First Value Address],MATCH(CONCATENATE("SampledMediumCV",$AR4),ResultColumnFinder[Concat2],0)),FALSE),ROW()-4-($AR4-1)*NumSpecimens,0))=0,
CONCATENATE("PLEASE SPECIFY A VALID SAMPLED MEDIUM FOR ",$AS4," IN ROW ",ROW()-4-($AR4-1)*NumSpecimens),
OFFSET(INDIRECT(INDEX(ResultColumnFinder[First Value Address],MATCH(CONCATENATE("SampledMediumCV",$AR4),ResultColumnFinder[Concat2],0)),FALSE),ROW()-4-($AR4-1)*NumSpecimens,0))
))</f>
        <v>soil</v>
      </c>
      <c r="BN4" s="25" t="str">
        <f>IF(BF4&lt;&gt;"Measurement","",
IF(INDEX(ResultColumnFinder[First Value Address],MATCH(CONCATENATE("CensorCodeCV",$AR4),ResultColumnFinder[Concat2],0))="NOT GIVEN",
"PLEASE NOTE: A CENSOR CODE MUST BE SPECIFIED FOR EACH RESULT",
IF(LEFT(INDEX(ResultColumnFinder[First Value Address],MATCH(CONCATENATE("CensorCodeCV",$AR4),ResultColumnFinder[Concat2],0)),14)="'Data Columns'",
IF(COUNTIF(CensorCodeCV,INDIRECT(INDEX(ResultColumnFinder[First Value Address],MATCH(CONCATENATE("CensorCodeCV",$AR4),ResultColumnFinder[Concat2],0)),FALSE))=0,
CONCATENATE("PLEASE FILL IN A VALID CENSOR CODE FOR ",$AS4),
INDIRECT(INDEX(ResultColumnFinder[First Value Address],MATCH(CONCATENATE("CensorCodeCV",$AR4),ResultColumnFinder[Concat2],0)),FALSE)),
IF(COUNTIF(CensorCodeCV,OFFSET(INDIRECT(INDEX(ResultColumnFinder[First Value Address],MATCH(CONCATENATE("CensorCodeCV",$AR4),ResultColumnFinder[Concat2],0)),FALSE),ROW()-4-($AR4-1)*NumSpecimens,0))=0,
CONCATENATE("PLEASE SPECIFY A VALID CENSOR CODE FOR ",$AS4," IN ROW ",ROW()-4-($AR4-1)*NumSpecimens),
OFFSET(INDIRECT(INDEX(ResultColumnFinder[First Value Address],MATCH(CONCATENATE("CensorCodeCV",$AR4),ResultColumnFinder[Concat2],0)),FALSE),ROW()-4-($AR4-1)*NumSpecimens,0))
)))</f>
        <v>Not censored</v>
      </c>
      <c r="BO4" s="25" t="str">
        <f>IF(INDEX(ResultColumnFinder[First Value Address],MATCH(CONCATENATE("QualityCodeCV",$AR4),ResultColumnFinder[Concat2],0))="NOT GIVEN",
"PLEASE NOTE: A QUALITY CODE MUST BE SPECIFIED FOR EACH RESULT",
IF(LEFT(INDEX(ResultColumnFinder[First Value Address],MATCH(CONCATENATE("QualityCodeCV",$AR4),ResultColumnFinder[Concat2],0)),14)="'Data Columns'",
IF(COUNTIF(QualityCodeCV,INDIRECT(INDEX(ResultColumnFinder[First Value Address],MATCH(CONCATENATE("QualityCodeCV",$AR4),ResultColumnFinder[Concat2],0)),FALSE))=0,
CONCATENATE("PLEASE FILL IN A VALID QUALITY CODE FOR ",$AS4),
INDIRECT(INDEX(ResultColumnFinder[First Value Address],MATCH(CONCATENATE("QualityCodeCV",$AR4),ResultColumnFinder[Concat2],0)),FALSE)),
IF(COUNTIF(QualityCodeCV,OFFSET(INDIRECT(INDEX(ResultColumnFinder[First Value Address],MATCH(CONCATENATE("QualityCodeCV",$AR4),ResultColumnFinder[Concat2],0)),FALSE),ROW()-4-($AR4-1)*NumSpecimens,0))=0,
CONCATENATE("PLEASE SPECIFY A VALID QUALITY CODE FOR ",$AS4," IN ROW ",ROW()-4-($AR4-1)*NumSpecimens),
OFFSET(INDIRECT(INDEX(ResultColumnFinder[First Value Address],MATCH(CONCATENATE("QualityCodeCV",$AR4),ResultColumnFinder[Concat2],0)),FALSE),ROW()-4-($AR4-1)*NumSpecimens,0))
))</f>
        <v>Good</v>
      </c>
      <c r="BP4" s="25" t="str">
        <f>IF(BF4&lt;&gt;"Measurement","",
IF(INDEX(ResultColumnFinder[First Value Address],MATCH(CONCATENATE("AggregationStatisticCV",$AR4),ResultColumnFinder[Concat2],0))="NOT GIVEN",
"PLEASE NOTE: AN AGGREGATION STATISTIC MUST BE SPECIFIED FOR EACH MEASUREMENT RESULT",
IF(LEFT(INDEX(ResultColumnFinder[First Value Address],MATCH(CONCATENATE("AggregationStatisticCV",$AR4),ResultColumnFinder[Concat2],0)),14)="'Data Columns'",
IF(COUNTIF(AggregationStatisticCV,INDIRECT(INDEX(ResultColumnFinder[First Value Address],MATCH(CONCATENATE("AggregationStatisticCV",$AR4),ResultColumnFinder[Concat2],0)),FALSE))=0,
CONCATENATE("PLEASE FILL IN A VALID AGGREGATION STATISTIC FOR ",$AS4),
INDIRECT(INDEX(ResultColumnFinder[First Value Address],MATCH(CONCATENATE("AggregationStatisticCV",$AR4),ResultColumnFinder[Concat2],0)),FALSE)),
IF(COUNTIF(AggregationStatisticCV,OFFSET(INDIRECT(INDEX(ResultColumnFinder[First Value Address],MATCH(CONCATENATE("AggregationStatisticCV",$AR4),ResultColumnFinder[Concat2],0)),FALSE),ROW()-4-($AR4-1)*NumSpecimens,0))=0,
CONCATENATE("PLEASE SPECIFY A VALID AGGREGATION STATISTIC FOR ",$AS4," IN ROW ",ROW()-4-($AR4-1)*NumSpecimens),
OFFSET(INDIRECT(INDEX(ResultColumnFinder[First Value Address],MATCH(CONCATENATE("AggregationStatisticCV",$AR4),ResultColumnFinder[Concat2],0)),FALSE),ROW()-4-($AR4-1)*NumSpecimens,0))
)))</f>
        <v>PLEASE NOTE: AN AGGREGATION STATISTIC MUST BE SPECIFIED FOR EACH MEASUREMENT RESULT</v>
      </c>
      <c r="BQ4" s="25" t="str">
        <f>IF(BF4&lt;&gt;"Measurement","",
IF(INDEX(ResultColumnFinder[First Value Address],MATCH(CONCATENATE("TimeAggregationInterval",$AR4),ResultColumnFinder[Concat2],0))="NOT GIVEN",
"PLEASE NOTE: A TIME AGGREGATION INTERVAL MUST BE SPECIFIED FOR EACH RESULT",
IF(LEFT(INDEX(ResultColumnFinder[First Value Address],MATCH(CONCATENATE("TimeAggregationInterval",$AR4),ResultColumnFinder[Concat2],0)),14)="'Data Columns'",
IF(INDIRECT(INDEX(ResultColumnFinder[First Value Address],MATCH(CONCATENATE("TimeAggregationInterval",$AR4),ResultColumnFinder[Concat2],0)),FALSE)="",
CONCATENATE("PLEASE FILL IN A TIME AGGREGATION INTERVAL FOR ",$AS4),
INDIRECT(INDEX(ResultColumnFinder[First Value Address],MATCH(CONCATENATE("TimeAggregationInterval",$AR4),ResultColumnFinder[Concat2],0)),FALSE)),
IF(OFFSET(INDIRECT(INDEX(ResultColumnFinder[First Value Address],MATCH(CONCATENATE("TimeAggregationInterval",$AR4),ResultColumnFinder[Concat2],0)),FALSE),ROW()-4-($AR4-1)*NumSpecimens,0)="",
CONCATENATE("PLEASE SPECIFY A TIME AGGREGATION INTERVAL FOR ",$AS4," IN ROW ",ROW()-4-($AR4-1)*NumSpecimens),
OFFSET(INDIRECT(INDEX(ResultColumnFinder[First Value Address],MATCH(CONCATENATE("TimeAggregationInterval",$AR4),ResultColumnFinder[Concat2],0)),FALSE),ROW()-4-($AR4-1)*NumSpecimens,0))
)))</f>
        <v>PLEASE NOTE: A TIME AGGREGATION INTERVAL MUST BE SPECIFIED FOR EACH RESULT</v>
      </c>
      <c r="BR4" s="25" t="str">
        <f>IF(BF4&lt;&gt;"Measurement","",
IF(INDEX(ResultColumnFinder[First Value Address],MATCH(CONCATENATE("TimeAggregationIntervalUnitCode",$AR4),ResultColumnFinder[Concat2],0))="NOT GIVEN",
"PLEASE NOTE: A TIME AGGREGATION UNIT MUST BE SPECIFIED FOR EACH RESULT",
IF(LEFT(INDEX(ResultColumnFinder[First Value Address],MATCH(CONCATENATE("TimeAggregationIntervalUnitCode",$AR4),ResultColumnFinder[Concat2],0)),14)="'Data Columns'",
IF(INDIRECT(INDEX(ResultColumnFinder[First Value Address],MATCH(CONCATENATE("TimeAggregationIntervalUnitCode",$AR4),ResultColumnFinder[Concat2],0)),FALSE)="",
CONCATENATE("PLEASE FILL IN A TIME AGGREGATION UNIT FOR ",$AS4),
INDIRECT(INDEX(ResultColumnFinder[First Value Address],MATCH(CONCATENATE("TimeAggregationIntervalUnitCode",$AR4),ResultColumnFinder[Concat2],0)),FALSE)),
IF(OFFSET(INDIRECT(INDEX(ResultColumnFinder[First Value Address],MATCH(CONCATENATE("TimeAggregationIntervalUnitCode",$AR4),ResultColumnFinder[Concat2],0)),FALSE),ROW()-4-($AR4-1)*NumSpecimens,0)="",
CONCATENATE("PLEASE SPECIFY A TIME AGGREGATION UNIT FOR ",$AS4," IN ROW ",ROW()-4-($AR4-1)*NumSpecimens),
OFFSET(INDIRECT(INDEX(ResultColumnFinder[First Value Address],MATCH(CONCATENATE("TimeAggregationIntervalUnitCode",$AR4),ResultColumnFinder[Concat2],0)),FALSE),ROW()-4-($AR4-1)*NumSpecimens,0))
)))</f>
        <v>PLEASE NOTE: A TIME AGGREGATION UNIT MUST BE SPECIFIED FOR EACH RESULT</v>
      </c>
      <c r="BS4" s="25" t="str">
        <f>IF(NumDataColumns=0,"PLEASE SELECT AT LEAST 1 COLUMN OF RESULT VALUES",
IF(AT4="","",
CONCATENATE("  - &amp;ResultID",TEXT(ROW()-3,"00000"),
" {","ResultUUID:  ",CHAR(34),BE4,CHAR(34),
", FeatureActionObj: *FeatureActionID",TEXT(ROW()-3,"00000"),
", ResultTypeCV:  ",CHAR(34),BF4,CHAR(34),
", VariableObj:  ",BG4,
", UnitsObj:  ",BH4,
", TaxonomicClassifierObj:  ",BI4,
", ProcessingLevelObj:  ",BJ4,
", ResultDateTime:  ",BK4,
", ResultDateTimeUTCOffset:  ",BL4,
", ValidDateTime:  ","NULL",
", ValidDateTimeUTCOffset:  ","NULL",
", StatusCV:  ","NULL",
", SampledMediumCV:  ",CHAR(34),BM4,CHAR(34),
", ValueCount:  ",1,"}")))</f>
        <v xml:space="preserve">  - &amp;ResultID00001 {ResultUUID:  "", FeatureActionObj: *FeatureActionID00001, ResultTypeCV:  "measurement", VariableObj:  *VariableID00001, UnitsObj:  wt. %, TaxonomicClassifierObj:  , ProcessingLevelObj:  *ProcessingLevelID00002, ResultDateTime:  2012-06-06 00:00:00, ResultDateTimeUTCOffset:  -7, ValidDateTime:  NULL, ValidDateTimeUTCOffset:  NULL, StatusCV:  NULL, SampledMediumCV:  "soil", ValueCount:  1}</v>
      </c>
      <c r="BT4" s="25" t="str">
        <f>IF(NumDataColumns=0,"THERE MUST BE AT LEAST ONE COLUMN OF DATA VALUES",
IF(AT4="","",
CONCATENATE("  - {DatasetObj: *DatasetID00001, ",
"ResultObj: *ResultID",TEXT(ROW()-3,"00000"),
"}")))</f>
        <v xml:space="preserve">  - {DatasetObj: *DatasetID00001, ResultObj: *ResultID00001}</v>
      </c>
      <c r="BU4" s="25" t="str">
        <f>IF(BF4&lt;&gt;"Measurement","",
IF(AT4="","",
CONCATENATE("  - &amp;MeasurementResultID",TEXT(ROW()-3,"00000"),
" {","ResultObj: *ResultID",TEXT(ROW()-3,"00000"),
", XLocation:  ","NULL",
", XLocationUnitsObj:  ","NULL",
", YLocation:  ","NULL",
", YLocationUnitsObj:  ","NULL",
", ZLocation:  ","NULL",
", ZLocationUnitsObj:  ","NULL",
", SpatialReferenceObj:  ","NULL",
", CensorCodeCV: ",CHAR(34),BN4,CHAR(34),
", QualityCodeCV:  ",CHAR(34),BO4,CHAR(34),
", AggregationStatisticCV:  ",CHAR(34),BP4,CHAR(34),
", TimeAggregationInterval:  ",BQ4,
", TimeAggregationUnitsObj:  ",CHAR(34),BR4,CHAR(34),
"}")))</f>
        <v xml:space="preserve">  - &amp;MeasurementResultID00001 {ResultObj: *ResultID00001, XLocation:  NULL, XLocationUnitsObj:  NULL, YLocation:  NULL, YLocationUnitsObj:  NULL, ZLocation:  NULL, ZLocationUnitsObj:  NULL, SpatialReferenceObj:  NULL, CensorCodeCV: "Not censored", QualityCodeCV:  "Good", AggregationStatisticCV:  "PLEASE NOTE: AN AGGREGATION STATISTIC MUST BE SPECIFIED FOR EACH MEASUREMENT RESULT", TimeAggregationInterval:  PLEASE NOTE: A TIME AGGREGATION INTERVAL MUST BE SPECIFIED FOR EACH RESULT, TimeAggregationUnitsObj:  "PLEASE NOTE: A TIME AGGREGATION UNIT MUST BE SPECIFIED FOR EACH RESULT"}</v>
      </c>
      <c r="BV4" s="25" t="str">
        <f>IF(BF4&lt;&gt;"Measurement","",
IF(AT4="","",
CONCATENATE("  - &amp;MeasurementResultValueID",TEXT(ROW()-3,"00000"),
" {","MeasurementResultObj: *MeasurementResultID",TEXT(ROW()-3,"00000"),
", DataValue: ",AT4,
", ValueDateTime:  ",CHAR(34),BK4,CHAR(34),
", ValueDateTimeUTCOffset:  ",BL4,
"}")))</f>
        <v xml:space="preserve">  - &amp;MeasurementResultValueID00001 {MeasurementResultObj: *MeasurementResultID00001, DataValue: 75.66955, ValueDateTime:  "2012-06-06 00:00:00", ValueDateTimeUTCOffset:  -7}</v>
      </c>
      <c r="BW4" s="25" t="str">
        <f>IF(BF4="Measurement","",
IF(AT4="","",
CONCATENATE("  - &amp;CategoricalResultID",TEXT(ROW()-3,"00000"),
" {","ResultObj: *ResultID",TEXT(ROW()-3,"00000"),
", XLocation:  ","NULL",
", XLocationUnitsObj:  ","NULL",
", YLocation:  ","NULL",
", YLocationUnitsObj:  ","NULL",
", ZLocation:  ","NULL",
", ZLocationUnitsObj:  ","NULL",
", SpatialReferenceObj:  ","NULL",
", QualityCodeCV:  ",CHAR(34),BO4,CHAR(34),
"}")))</f>
        <v/>
      </c>
      <c r="BX4" s="25" t="str">
        <f>IF(BF4="Measurement","",
IF(AT4="","",
CONCATENATE("  - &amp;CategoricalResultValueID",TEXT(ROW()-3,"00000"),
" {","MeasurementResultObj: *CategoricalResultID",TEXT(ROW()-3,"00000"),
", DataValue: ",AT4,
", ValueDateTime:  ",CHAR(34),BK4,CHAR(34),
", ValueDateTimeUTCOffset:  ",BL4,
"}")))</f>
        <v/>
      </c>
      <c r="CC4" s="25" t="s">
        <v>178</v>
      </c>
      <c r="CD4" s="25">
        <f>SUM(B2:BX2)</f>
        <v>216</v>
      </c>
    </row>
    <row r="5" spans="1:82">
      <c r="A5" s="25">
        <f t="shared" si="0"/>
        <v>2</v>
      </c>
      <c r="B5" s="25" t="str">
        <f>CONCATENATE("  - {",
"Version: ",CHAR(34),YODAVersion,CHAR(34),
", Profile: ",CHAR(34),TemplateProfile,CHAR(34),
", CreationTool: ",CHAR(34),"Excel Template v",TemplateVersion,CHAR(34),
", DateCreated: ",CHAR(34),TEXT(TODAY(),"yyyy-mm-dd"),CHAR(34),
", DateUpdated: ",CHAR(34),TEXT(TODAY(),"yyyy-mm-dd"),CHAR(34),
"}")</f>
        <v xml:space="preserve">  - {Version: "0.1.0-alpha", Profile: "Specimen", CreationTool: "Excel Template v0.2.1-alpha+20150430.114854", DateCreated: "2015-05-11", DateUpdated: "2015-05-11"}</v>
      </c>
      <c r="D5"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E5" s="25"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&amp;OrganizationID00004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5"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&amp;ExternalIdentifierSystemID00002 {ExternalIdentifierSystemName:  "Digital Object Identifier (DOI)", IdentifierSystemOrganizationObj:  *OrganizationID00003, ExternalIdentifierSystemDescription:  "A Digital Identifier of an Object that provides an actionable, interoperable, persistent link to that object", ExternalIdentifierSystemURL:  "http://www.doi.org/"}</v>
      </c>
      <c r="G5"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&amp;PersonID00002 {PersonFirstName:  "Brian", PersonMiddleName:  "J.", PersonLastName:  "Gaudet"}</v>
      </c>
      <c r="H5"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5"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&amp;AffiliationID00002 {PersonObj: *PersonID00002, OrganizationObj: *OrganizationID00001, IsPrimaryOrganizationContact: "", AffiliationStartDate: "", AffiliationEndDate: "", PrimaryPhone: "", PrimaryEmail: "bjg20@psu.edu", PrimaryAddress: "", PersonLink: ""}</v>
      </c>
      <c r="L5"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xml:space="preserve">  - &amp;AuthorListID00002  {CitationObj: *CitationID00001, PersonObj: *PersonID00002, AuthorOrder: 2}</v>
      </c>
      <c r="O5"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5" s="25"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5" s="25" t="e">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#REF!</v>
      </c>
      <c r="R5"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5" s="25" t="e">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#REF!</v>
      </c>
      <c r="T5" s="25"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5" s="25"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5" s="25"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5" s="25" t="str">
        <f>IF(ROW()-3&gt;NumParentSamplingFeatures+NumSpecimens,"",
IF(ROW()-3&gt;NumParentSamplingFeatures,
CONCATENATE("  - &amp;SamplingFeatureID",TEXT(ROW()-3,"00000"),
" {","SamplingFeatureUUID:  ",CHAR(34),O5,CHAR(34),
", SamplingFeatureTypeCV:  ",CHAR(34),"Specimen",CHAR(34),
", SamplingFeatureCode:  ",CHAR(34),P5,CHAR(34),
", SamplingFeatureName:  ",CHAR(34),Q5,CHAR(34),
", SamplingFeatureDescription:  ",CHAR(34),R5,CHAR(34),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&amp;SamplingFeatureID00002 {SamplingFeatureUUID:  "", SamplingFeatureTypeCV:  "site", SamplingFeatureCode:  "BKR", SamplingFeatureName:  "Blue Knob Road", SamplingFeatureDescription:  "", SamplingFeatureGeotypeCV:  "Point", FeatureGeometry:  "", Elevation_m:  "273", ElevationDatumCV:  "MSL"}</v>
      </c>
      <c r="X5" s="25" t="str">
        <f>IF(AND(NumIGSNs=0,COUNTIF(DataColumns[ColumnType],"SpecimenIGSN")=0),"",
IF(ROW()-3&gt;NumIGSNs+NumSpecimens,"",
IF(ROW()-3&gt;NumIGSNs,
IF(ISERROR(MATCH("SpecimenIGSN",DataColumns[ColumnType],0)),"",
IF(S5="","",
CONCATENATE("  - {",
"SamplingFeatureObj:  *SamplingFeatureID",TEXT(ROW()-2-NumIGSNs+NumParentSamplingFeatures-1,"00000"),
", ExternalIdentifierSystemObj:  *ExternalIdentifierSystemID00003",
", SamplingFeatureExternalIdentifier:  ",CHAR(34),S5,CHAR(34),
", SamplingFeatureExternalIdentifierURI:  ",CHAR(34),"http://app.geosamples.org/sample/igsn/",S5,CHAR(34),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xml:space="preserve">  - {SamplingFeatureObj:  *SamplingFeatureID00003, ExternalIdentifierSystemObj:  *ExternalIdentifierSystemID00003, SamplingFeatureExternalIdentifier:  "SLB00006Z", SamplingFeatureExternalIdentifierURI:  "http://app.geosamples.org/sample/igsn/SLB00006Z"}</v>
      </c>
      <c r="Y5"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c>
      <c r="Z5" s="25" t="str">
        <f>IF(ROW()-4&gt;NumParentSpecimens+NumSpecimens,"",
IF(ROW()-3&gt;NumParentSpecimens,
CONCATENATE("  - {",
"SamplingFeatureObj:  *SamplingFeatureID",TEXT(ROW()-3+NumParentSamplingFeatures,"00000"),
", SpecimenTypeCV:  ",CHAR(34),T5,CHAR(34),
", SpecimenMediumCV:  ",CHAR(34),U5,CHAR(34),
", IsFieldSpecimen:  ",CHAR(34),V5,CHAR(34),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*SamplingFeatureID00003, SpecimenTypeCV:  "Core sub-piece", SpecimenMediumCV:  soil, IsFieldSpecimen:  "TRUE"}</v>
      </c>
      <c r="AA5"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xml:space="preserve">  - &amp;SpatialOffsetID00002 {SpatialOffsetTypeCV:  "BKR -10- -20 cm Offset", Offset1Value:  -10, Offset1UnitObj:  "cm", Offset2Value:  -20, Offset2UnitObj:  "cm", Offset3Value:  NULL, Offset3UnitObj:  ""}</v>
      </c>
      <c r="AB5" s="25" t="str">
        <f t="shared" ref="AB5:AB8" si="3">CONCATENATE("*SamplingFeatureID",TEXT(ROW()-2-NumRelatedFeatures+NumParentSamplingFeatures-1,"00000"))</f>
        <v>*SamplingFeatureID00002</v>
      </c>
      <c r="AC5" s="25"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5" s="162"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#REF!</v>
      </c>
      <c r="AE5" s="162"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5" s="25" t="str">
        <f>IF(AND(NumRelatedFeatures=0,MATCH("ParentSamplingFeatureCode",SpecimenColumnFinder[DataType],0)="NOT GIVEN"),"",
IF(ROW()-3&gt;NumRelatedFeatures+NumSpecimens,"",
IF(ROW()-3&gt;NumRelatedFeatures,
IF(AD5="NO RELATED FEATURE","",
CONCATENATE("  - {",
"SamplingFeatureObj:  ",AB5,
", RelationshipTypeCV:  ",CHAR(34),AC5,CHAR(34),
", RelatedFeatureObj: ",AD5,
", SpatialOffsetObj:  ",IF(AE5="","NULL",AE5),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*SamplingFeatureID00004, RelationshipTypeCV:  "Is child of", RelatedFeatureObj: *SamplingFeatureID00001, SpatialOffsetObj:  *SpatialOffsetID00002}</v>
      </c>
      <c r="AG5"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&amp;MethodID00002 {MethodTypeCV:  "Specimen analysis", MethodCode:  "ICP-AES", MethodName:  "Inductively Coupled Plasma-Atomic Emissions Spectrometry", MethodDescription:  "", MethodLink:  "", OrganizationObj: NULL}</v>
      </c>
      <c r="AH5"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&amp;VariableID00002 {VariableTypeCV:  "Major oxide or element", VariableCode:  "Al", VariableNameCV:  "Aluminum, total", VariableDefinition:  "", SpeciationCV:  "", NoDataValue:  "-999"}</v>
      </c>
      <c r="AJ5"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5"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AL5" s="25"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*MethodID00001</v>
      </c>
      <c r="AM5"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2012-06-06 00:00:00</v>
      </c>
      <c r="AN5" s="25">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-7</v>
      </c>
      <c r="AO5" s="25"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5" s="25" t="str">
        <f t="shared" si="1"/>
        <v>*SamplingFeatureID00014</v>
      </c>
      <c r="AQ5" s="25" t="str">
        <f>IF(ROW()-3&gt;NumSpecimens,"",
CONCATENATE("  - &amp;ActionID",TEXT(ROW()-3,"00000"),
" {","ActionTypeCV:  ",CHAR(34),"Specimen collection",CHAR(34),
", MethodObj: ",AL5,
", BeginDateTime:  ",CHAR(34),AM5,CHAR(34),
", BeginDateTimeUTCOffset:  ",CHAR(34),AN5,CHAR(34),
", EndDateTime:  ","NULL",
", EndDateTimeUTCOffset:  ","NULL",
", ActionDescription:  ",CHAR(34),"Action generated by Excel Template for ",TemplateProfile," v.",TemplateVersion,CHAR(34),
", ActionFileLink:  ",CHAR(34),CHAR(34),
,"}"))</f>
        <v/>
      </c>
      <c r="AR5" s="25">
        <f t="shared" ref="AR5:AR8" si="4">IF(ROW()-3&gt;NumSpecimens*AR4,AR4+1,AR4)</f>
        <v>2</v>
      </c>
      <c r="AS5" s="25" t="str">
        <f>INDEX(ResultColumnFinder[Data Value Label],MATCH($AR5,ResultColumnFinder[DV Num],1))</f>
        <v>Al</v>
      </c>
      <c r="AT5" s="25">
        <f>IF(INDEX(ResultColumnFinder[First Value Address],MATCH(CONCATENATE("ResultValue",$AR5),ResultColumnFinder[Concat2],0))="NOT GIVEN",
"",
IF(OFFSET(INDIRECT(INDEX(ResultColumnFinder[First Value Address],MATCH(CONCATENATE("ResultValue",$AR5),ResultColumnFinder[Concat2],0)),FALSE),ROW()-4-($AR5-1)*NumSpecimens,0)="",
"",
OFFSET(INDIRECT(INDEX(ResultColumnFinder[First Value Address],MATCH(CONCATENATE("ResultValue",$AR5),ResultColumnFinder[Concat2],0)),FALSE),ROW()-4-($AR5-1)*NumSpecimens,0))
)</f>
        <v>4.0894941176470585</v>
      </c>
      <c r="AU5" s="25" t="str">
        <f>IF(INDEX(ResultColumnFinder[First Value Address],MATCH(CONCATENATE("AnalysisMethodCode",$AR5),ResultColumnFinder[Concat2],0))="NOT GIVEN",
CONCATENATE("PLEASE FILL IN A VALID ANALYSIS METHOD CODE FOR ",$AS5),
IF(LEFT(INDEX(ResultColumnFinder[First Value Address],MATCH(CONCATENATE("AnalysisMethodCode",$AR5),ResultColumnFinder[Concat2],0)),14)="'Data Columns'",
IF(ISERROR(MATCH(INDIRECT(INDEX(ResultColumnFinder[First Value Address],MATCH(CONCATENATE("AnalysisMethodCode",$AR5),ResultColumnFinder[Concat2],0)),FALSE),Methods[Method Code],0)),
CONCATENATE("PLEASE FILL IN A VALID ANALYSIS METHOD CODE FOR ",$AS5),
CONCATENATE("*MethodID",TEXT(MATCH(INDIRECT(INDEX(ResultColumnFinder[First Value Address],MATCH(CONCATENATE("AnalysisMethodCode",$AR5),ResultColumnFinder[Concat2],0)),FALSE),Methods[Method Code],0),"00000"))),
IF(ISERROR(MATCH(OFFSET(INDIRECT(INDEX(ResultColumnFinder[First Value Address],MATCH(CONCATENATE("AnalysisMethodCode",$AR5),ResultColumnFinder[Concat2],0)),FALSE),ROW()-4-($AR5-1)*NumSpecimens,0),Methods[Method Code],0)),
CONCATENATE("PLEASE SPECIFY A VALID ANALYSIS METHOD CODE FOR ",$AS5," IN ROW ",ROW()-4-($AR5-1)*NumSpecimens),
CONCATENATE("*MethodID",TEXT(MATCH(OFFSET(INDIRECT(INDEX(ResultColumnFinder[First Value Address],MATCH(CONCATENATE("AnalysisMethodCode",$AR5),ResultColumnFinder[Concat2],0)),FALSE),ROW()-4-($AR5-1)*NumSpecimens,0),Methods[Method Code],0),"00000")))))</f>
        <v>PLEASE FILL IN A VALID ANALYSIS METHOD CODE FOR Al</v>
      </c>
      <c r="AV5" s="25" t="str">
        <f>IF(INDEX(ResultColumnFinder[First Value Address],MATCH(CONCATENATE("AnalysisDateTime",$AR5),ResultColumnFinder[Concat2],0))="NOT GIVEN",
"",
IF(OFFSET(INDIRECT(INDEX(ResultColumnFinder[First Value Address],MATCH(CONCATENATE("AnalysisDateTime",$AR5),ResultColumnFinder[Concat2],0)),FALSE),ROW()-4-($AR5-1)*NumSpecimens,0)="",
CONCATENATE("PLEASE SPECIFY AN ANALYSIS TIME FOR ",$AS5," IN ROW ",ROW()-4-($AR5-1)*NumSpecimens),
TEXT(OFFSET(INDIRECT(INDEX(ResultColumnFinder[First Value Address],MATCH(CONCATENATE("AnalysisDateTime",$AR5),ResultColumnFinder[Concat2],0)),FALSE),ROW()-4-($AR5-1)*NumSpecimens,0),"yyyy-mm-dd hh:mm:ss")))</f>
        <v/>
      </c>
      <c r="AW5" s="25" t="str">
        <f>IF(INDEX(ResultColumnFinder[First Value Address],MATCH(CONCATENATE("AnalysisDateTimeUTCOffset",$AR5),ResultColumnFinder[Concat2],0))="NOT GIVEN",
"",
IF(LEFT(INDEX(ResultColumnFinder[First Value Address],MATCH(CONCATENATE("AnalysisDateTimeUTCOffset",$AR5),ResultColumnFinder[Concat2],0)),14)="'Data Columns'",
IF(INDIRECT(INDEX(ResultColumnFinder[First Value Address],MATCH(CONCATENATE("AnalysisDateTimeUTCOffset",$AR5),ResultColumnFinder[Concat2],0)),FALSE)="",
CONCATENATE("PLEASE FILL IN AN ANALYSIS TIME UTC OFFSET FOR ",$AS5),
INDIRECT(INDEX(ResultColumnFinder[First Value Address],MATCH(CONCATENATE("AnalysisDateTimeUTCOffset",$AR5),ResultColumnFinder[Concat2],0)),FALSE)),
IF(OFFSET(INDIRECT(INDEX(ResultColumnFinder[First Value Address],MATCH(CONCATENATE("AnalysisDateTimeUTCOffset",$AR5),ResultColumnFinder[Concat2],0)),FALSE),ROW()-4-($AR5-1)*NumSpecimens,0)="",
CONCATENATE("PLEASE SPECIFY AN ANALYSIS TIME UTC OFFSET FOR ",$AS5," IN ROW ",ROW()-4-($AR5-1)*NumSpecimens),
OFFSET(INDIRECT(INDEX(ResultColumnFinder[First Value Address],MATCH(CONCATENATE("AnalysisDateTimeUTCOffset",$AR5),ResultColumnFinder[Concat2],0)),FALSE),ROW()-4-($AR5-1)*NumSpecimens,0))))</f>
        <v/>
      </c>
      <c r="AX5" s="25" t="str">
        <f>IF(INDEX(ResultColumnFinder[First Value Address],MATCH(CONCATENATE("ResultAnalyst",$AR5),ResultColumnFinder[Concat2],0))="NOT GIVEN",
"",
IF(LEFT(INDEX(ResultColumnFinder[First Value Address],MATCH(CONCATENATE("ResultAnalyst",$AR5),ResultColumnFinder[Concat2],0)),14)="'Data Columns'",
IF(ISERROR(MATCH(INDIRECT(INDEX(ResultColumnFinder[First Value Address],MATCH(CONCATENATE("ResultAnalyst",$AR5),ResultColumnFinder[Concat2],0)),FALSE),People[Full Name],0)),
CONCATENATE("PLEASE FILL IN A VALID ANALYST FOR ",$AS5),
CONCATENATE("*AffiliationID",TEXT(MATCH(INDIRECT(INDEX(ResultColumnFinder[First Value Address],MATCH(CONCATENATE("ResultAnalyst",$AR5),ResultColumnFinder[Concat2],0)),FALSE),People[Full Name],0),"00000"))),
IF(OFFSET(INDIRECT(INDEX(ResultColumnFinder[First Value Address],MATCH(CONCATENATE("ResultAnalyst",$AR5),ResultColumnFinder[Concat2],0)),FALSE),ROW()-4-($AR5-1)*NumSpecimens,0)="",
"",
IF(ISERROR(MATCH(OFFSET(INDIRECT(INDEX(ResultColumnFinder[First Value Address],MATCH(CONCATENATE("ResultAnalyst",$AR5),ResultColumnFinder[Concat2],0)),FALSE),ROW()-4-($AR5-1)*NumSpecimens,0),People[Full Name],0)),
CONCATENATE("PLEASE SPECIFY A VALID ANALYST FOR ",$AS5," IN ROW ",ROW()-4-($AR5-1)*NumSpecimens),
CONCATENATE("*AffiliationID",TEXT(MATCH(OFFSET(INDIRECT(INDEX(ResultColumnFinder[First Value Address],MATCH(CONCATENATE("ResultAnalyst",$AR5),ResultColumnFinder[Concat2],0)),FALSE),ROW()-4-($AR5-1)*NumSpecimens,0),People[Full Name],0),"00000"))))))</f>
        <v>*AffiliationID00001</v>
      </c>
      <c r="AY5" s="25" t="str">
        <f t="shared" si="2"/>
        <v>*SamplingFeatureID00013</v>
      </c>
      <c r="AZ5" s="25" t="str">
        <f>IF(ROW()-3&gt;NumDataColumns*NumSpecimens,"",
IF(AT5="","",
CONCATENATE("  - &amp;ActionID",TEXT(ROW()-3+NumSpecimens,"00000"),
" {","ActionTypeCV:  ",CHAR(34),"Specimen analysis",CHAR(34),
", MethodObj: ",AU5,
", BeginDateTime:  ",CHAR(34),AV5,CHAR(34),
", BeginDateTimeUTCOffset:  ",CHAR(34),AW5,CHAR(34),
", EndDateTime:  ","NULL",
", EndDateTimeUTCOffset:  ","NULL",
", ActionDescription:  ",CHAR(34),"Action generated by Excel Template for ",TemplateProfile," v.",TemplateVersion,CHAR(34),
", ActionFileLink:  ","NULL",
,"}")))</f>
        <v xml:space="preserve">  - &amp;ActionID00003 {ActionTypeCV:  "Specimen analysis", MethodObj: PLEASE FILL IN A VALID ANALYSIS METHOD CODE FOR Al, BeginDateTime:  "", BeginDateTimeUTCOffset:  "", EndDateTime:  NULL, EndDateTimeUTCOffset:  NULL, ActionDescription:  "Action generated by Excel Template for Specimen v.0.2.1-alpha+20150430.114854", ActionFileLink:  NULL}</v>
      </c>
      <c r="BA5" s="25" t="str">
        <f>IF(ROW()-3&gt;NumSpecimens,"",
CONCATENATE("  - &amp;FeatureActionID",TEXT(ROW()-3,"00000"),
" {","SamplingFeatureObj:  ",AP5,
", ActionObj:  *ActionID",TEXT(ROW()-3,"00000"),"}"))</f>
        <v/>
      </c>
      <c r="BB5" s="25" t="str">
        <f>IF(ROW()-3&gt;NumDataColumns*NumSpecimens,"",
IF(AT5="","",
CONCATENATE("  - &amp;FeatureActionID",TEXT(ROW()-3+NumSpecimens,"00000"),
" {","SamplingFeatureObj:  ",AY5,
", ActionObj:  *ActionID",TEXT(ROW()-3+NumSpecimens,"00000"),"}")))</f>
        <v xml:space="preserve">  - &amp;FeatureActionID00003 {SamplingFeatureObj:  *SamplingFeatureID00013, ActionObj:  *ActionID00003}</v>
      </c>
      <c r="BC5" s="25" t="str">
        <f>IF(ROW()-3&gt;NumSpecimens,"",
IF(AO5="","",
CONCATENATE("  - {",
"ActionObj:  *ActionID",TEXT(ROW()-3,"00000"),
", AffiliationObj:  ",AO5,
", IsActionLead: TRUE",
", RoleDescription: ","NULL",
"}")))</f>
        <v/>
      </c>
      <c r="BD5" s="25" t="str">
        <f>IF(ROW()-3&gt;NumDataColumns*NumSpecimens,"",
IF(AT5="","",
IF(AX5="","",
CONCATENATE("  - {",
"ActionObj:  *ActionID",TEXT(ROW()-3+NumSpecimens,"00000"),
", AffiliationObj:  ",AX5,
", IsActionLead: TRUE",
", RoleDescription: ","NULL",
"}"))))</f>
        <v xml:space="preserve">  - {ActionObj:  *ActionID00003, AffiliationObj:  *AffiliationID00001, IsActionLead: TRUE, RoleDescription: NULL}</v>
      </c>
      <c r="BE5" s="25" t="str">
        <f>IF(INDEX(ResultColumnFinder[First Value Address],MATCH(CONCATENATE("ResultUUID",$AR5),ResultColumnFinder[Concat2],0))="NOT GIVEN",
"",
IF(OFFSET(INDIRECT(INDEX(ResultColumnFinder[First Value Address],MATCH(CONCATENATE("ResultUUID",$AR5),ResultColumnFinder[Concat2],0)),FALSE),ROW()-4-($AR5-1)*NumSpecimens,0)="",
"",
OFFSET(INDIRECT(INDEX(ResultColumnFinder[First Value Address],MATCH(CONCATENATE("ResultUUID",$AR5),ResultColumnFinder[Concat2],0)),FALSE),ROW()-4-($AR5-1)*NumSpecimens,0))
)</f>
        <v/>
      </c>
      <c r="BF5" s="25" t="str">
        <f>IF(INDEX(ResultColumnFinder[First Value Address],MATCH(CONCATENATE("ResultTypeCV",$AR5),ResultColumnFinder[Concat2],0))="NOT GIVEN",
"PLEASE NOTE: A  RESULT TYPE MUST BE SPECIFIED FOR EACH RESULT",
IF(LEFT(INDEX(ResultColumnFinder[First Value Address],MATCH(CONCATENATE("ResultTypeCV",$AR5),ResultColumnFinder[Concat2],0)),14)="'Data Columns'",
IF(COUNTIF(ApplicableResultTypes,INDIRECT(INDEX(ResultColumnFinder[First Value Address],MATCH(CONCATENATE("ResultTypeCV",$AR5),ResultColumnFinder[Concat2],0)),FALSE))=0,
CONCATENATE("PLEASE FILL IN A VALID  RESULT TYPE FOR ",$AS5),
INDIRECT(INDEX(ResultColumnFinder[First Value Address],MATCH(CONCATENATE("ResultTypeCV",$AR5),ResultColumnFinder[Concat2],0)),FALSE)),
IF(COUNTIF(ApplicableResultTypes,OFFSET(INDIRECT(INDEX(ResultColumnFinder[First Value Address],MATCH(CONCATENATE("ResultTypeCV",$AR5),ResultColumnFinder[Concat2],0)),FALSE),ROW()-4-($AR5-1)*NumSpecimens,0))=0,
CONCATENATE("PLEASE SPECIFY A VALID  RESULT TYPE FOR ",$AS5," IN ROW ",ROW()-4-($AR5-1)*NumSpecimens),
OFFSET(INDIRECT(INDEX(ResultColumnFinder[First Value Address],MATCH(CONCATENATE("ResultTypeCV",$AR5),ResultColumnFinder[Concat2],0)),FALSE),ROW()-4-($AR5-1)*NumSpecimens,0))
))</f>
        <v>measurement</v>
      </c>
      <c r="BG5" s="25" t="str">
        <f>IF(INDEX(ResultColumnFinder[First Value Address],MATCH(CONCATENATE("VariableCode",$AR5),ResultColumnFinder[Concat2],0))="NOT GIVEN",
"PLEASE NOTE: A VARIABLE CODE MUST BE SPECIFIED FOR EACH RESULT",
IF(LEFT(INDEX(ResultColumnFinder[First Value Address],MATCH(CONCATENATE("VariableCode",$AR5),ResultColumnFinder[Concat2],0)),14)="'Data Columns'",
IF(ISERROR(MATCH(INDIRECT(INDEX(ResultColumnFinder[First Value Address],MATCH(CONCATENATE("VariableCode",$AR5),ResultColumnFinder[Concat2],0)),FALSE),Variables[Variable Code],0)),
CONCATENATE("PLEASE FILL IN A VALID VARIABLE CODE FOR ",$AS5),
CONCATENATE("*VariableID",TEXT(MATCH(INDIRECT(INDEX(ResultColumnFinder[First Value Address],MATCH(CONCATENATE("VariableCode",$AR5),ResultColumnFinder[Concat2],0)),FALSE),Variables[Variable Code],0),"00000"))),
IF(ISERROR(MATCH(OFFSET(INDIRECT(INDEX(ResultColumnFinder[First Value Address],MATCH(CONCATENATE("VariableCode",$AR5),ResultColumnFinder[Concat2],0)),FALSE),ROW()-4-($AR5-1)*NumSpecimens,0),Variables[Variable Code],0)),
CONCATENATE("PLEASE SPECIFY A VALID VARIABLE CODE FOR ",$AS5," IN ROW ",ROW()-4-($AR5-1)*NumSpecimens),
CONCATENATE("*VariableID",TEXT(MATCH(OFFSET(INDIRECT(INDEX(ResultColumnFinder[First Value Address],MATCH(CONCATENATE("VariableCode",$AR5),ResultColumnFinder[Concat2],0)),FALSE),ROW()-4-($AR5-1)*NumSpecimens,0),Variables[Variable Code],0),"00000")))))</f>
        <v>*VariableID00002</v>
      </c>
      <c r="BH5" s="25" t="str">
        <f>IF(INDEX(ResultColumnFinder[First Value Address],MATCH(CONCATENATE("UnitName",$AR5),ResultColumnFinder[Concat2],0))="NOT GIVEN",
"PLEASE NOTE: A UNIT MUST BE SPECIFIED FOR EACH RESULT",
IF(LEFT(INDEX(ResultColumnFinder[First Value Address],MATCH(CONCATENATE("UnitName",$AR5),ResultColumnFinder[Concat2],0)),14)="'Data Columns'",
IF(INDIRECT(INDEX(ResultColumnFinder[First Value Address],MATCH(CONCATENATE("UnitName",$AR5),ResultColumnFinder[Concat2],0)),FALSE)="",
CONCATENATE("PLEASE FILL IN A UNIT FOR ",$AS5),
INDIRECT(INDEX(ResultColumnFinder[First Value Address],MATCH(CONCATENATE("UnitName",$AR5),ResultColumnFinder[Concat2],0)),FALSE)),
IF(OFFSET(INDIRECT(INDEX(ResultColumnFinder[First Value Address],MATCH(CONCATENATE("UnitName",$AR5),ResultColumnFinder[Concat2],0)),FALSE),ROW()-4-($AR5-1)*NumSpecimens,0)="",
CONCATENATE("PLEASE SPECIFY A UNIT FOR ",$AS5," IN ROW ",ROW()-4-($AR5-1)*NumSpecimens),
OFFSET(INDIRECT(INDEX(ResultColumnFinder[First Value Address],MATCH(CONCATENATE("UnitName",$AR5),ResultColumnFinder[Concat2],0)),FALSE),ROW()-4-($AR5-1)*NumSpecimens,0))
))</f>
        <v>wt. %</v>
      </c>
      <c r="BI5" s="25" t="str">
        <f>IF(INDEX(ResultColumnFinder[First Value Address],MATCH(CONCATENATE("TaxonomicClassifierName",$AR5),ResultColumnFinder[Concat2],0))="NOT GIVEN",
"",
IF(LEFT(INDEX(ResultColumnFinder[First Value Address],MATCH(CONCATENATE("TaxonomicClassifierName",$AR5),ResultColumnFinder[Concat2],0)),14)="'Data Columns'",
IF(ISERROR(MATCH(INDIRECT(INDEX(ResultColumnFinder[First Value Address],MATCH(CONCATENATE("TaxonomicClassifierName",$AR5),ResultColumnFinder[Concat2],0)),FALSE),TaxonomicClassifiers[Taxonomic Classifier Name],0)),
"",
CONCATENATE("*VariableID",TEXT(MATCH(INDIRECT(INDEX(ResultColumnFinder[First Value Address],MATCH(CONCATENATE("TaxonomicClassifierName",$AR5),ResultColumnFinder[Concat2],0)),FALSE),TaxonomicClassifiers[Taxonomic Classifier Name],0),"00000"))),
IF(ISERROR(MATCH(OFFSET(INDIRECT(INDEX(ResultColumnFinder[First Value Address],MATCH(CONCATENATE("TaxonomicClassifierName",$AR5),ResultColumnFinder[Concat2],0)),FALSE),ROW()-4-($AR5-1)*NumSpecimens,0),TaxonomicClassifiers[Taxonomic Classifier Name],0)),
"",
CONCATENATE("*VariableID",TEXT(MATCH(OFFSET(INDIRECT(INDEX(ResultColumnFinder[First Value Address],MATCH(CONCATENATE("TaxonomicClassifierName",$AR5),ResultColumnFinder[Concat2],0)),FALSE),ROW()-4-($AR5-1)*NumSpecimens,0),TaxonomicClassifiers[Taxonomic Classifier Name],0),"00000")))))</f>
        <v/>
      </c>
      <c r="BJ5" s="25" t="str">
        <f>IF(INDEX(ResultColumnFinder[First Value Address],MATCH(CONCATENATE("ProcessingLevelCode",$AR5),ResultColumnFinder[Concat2],0))="NOT GIVEN",
"PLEASE NOTE: A PROCESSING LEVEL CODE MUST BE SPECIFIED FOR EACH RESULT",
IF(LEFT(INDEX(ResultColumnFinder[First Value Address],MATCH(CONCATENATE("ProcessingLevelCode",$AR5),ResultColumnFinder[Concat2],0)),14)="'Data Columns'",
IF(ISERROR(MATCH(INDIRECT(INDEX(ResultColumnFinder[First Value Address],MATCH(CONCATENATE("ProcessingLevelCode",$AR5),ResultColumnFinder[Concat2],0)),FALSE),ProcessingLevels[Processing Level Code],0)),
CONCATENATE("PLEASE FILL IN A VALID PROCESSING LEVEL CODE FOR ",$AS5),
CONCATENATE("*ProcessingLevelID",TEXT(MATCH(INDIRECT(INDEX(ResultColumnFinder[First Value Address],MATCH(CONCATENATE("ProcessingLevelCode",$AR5),ResultColumnFinder[Concat2],0)),FALSE),ProcessingLevels[Processing Level Code],0),"00000"))),
IF(ISERROR(MATCH(OFFSET(INDIRECT(INDEX(ResultColumnFinder[First Value Address],MATCH(CONCATENATE("ProcessingLevelCode",$AR5),ResultColumnFinder[Concat2],0)),FALSE),ROW()-4-($AR5-1)*NumSpecimens,0),ProcessingLevels[Processing Level Code],0)),
CONCATENATE("PLEASE SPECIFY A VALID PROCESSING LEVEL CODE FOR ",$AS5," IN ROW ",ROW()-4-($AR5-1)*NumSpecimens),
CONCATENATE("*ProcessingLevelID",TEXT(MATCH(OFFSET(INDIRECT(INDEX(ResultColumnFinder[First Value Address],MATCH(CONCATENATE("ProcessingLevelCode",$AR5),ResultColumnFinder[Concat2],0)),FALSE),ROW()-4-($AR5-1)*NumSpecimens,0),ProcessingLevels[Processing Level Code],0),"00000")))))</f>
        <v>*ProcessingLevelID00002</v>
      </c>
      <c r="BK5"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Address],MATCH("CollectionDateTime",SpecimenColumnFinder[DataType],0)),FALSE),ROW()-4-($AR5-1)*NumSpecimens,0)="",
CONCATENATE("PLEASE SPECIFY A SPECIMEN COLLECTION DATE/TIME IN ROW ",ROW()-4-($AR5-1)*NumSpecimens),
TEXT(OFFSET(INDIRECT(INDEX(SpecimenColumnFinder[First Value Address],MATCH("CollectionDateTime",SpecimenColumnFinder[DataType],0)),FALSE),ROW()-4-($AR5-1)*NumSpecimens,0),"yyyy-mm-dd hh:mm:ss")))</f>
        <v>2012-06-06 00:00:00</v>
      </c>
      <c r="BL5" s="25">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Address],MATCH("CollectionDateTimeUTCOffset",SpecimenColumnFinder[DataType],0)),FALSE),ROW()-4-($AR5-1)*NumSpecimens,0)="",
CONCATENATE("PLEASE SPECIFY A COLLECTION TIME UTC OFFSET IN ROW ",ROW()-4-($AR5-1)*NumSpecimens),
OFFSET(INDIRECT(INDEX(SpecimenColumnFinder[First Value Address],MATCH("CollectionDateTimeUTCOffset",SpecimenColumnFinder[DataType],0)),FALSE),ROW()-4-($AR5-1)*NumSpecimens,0)))</f>
        <v>-7</v>
      </c>
      <c r="BM5" s="25" t="str">
        <f>IF(INDEX(ResultColumnFinder[First Value Address],MATCH(CONCATENATE("SampledMediumCV",$AR5),ResultColumnFinder[Concat2],0))="NOT GIVEN",
"PLEASE NOTE: A SAMPLED MEDIUM MUST BE SPECIFIED FOR EACH RESULT",
IF(LEFT(INDEX(ResultColumnFinder[First Value Address],MATCH(CONCATENATE("SampledMediumCV",$AR5),ResultColumnFinder[Concat2],0)),14)="'Data Columns'",
IF(COUNTIF(SampledMediumCV,INDIRECT(INDEX(ResultColumnFinder[First Value Address],MATCH(CONCATENATE("SampledMediumCV",$AR5),ResultColumnFinder[Concat2],0)),FALSE))=0,
CONCATENATE("PLEASE FILL IN A VALID SAMPLED MEDIUM FOR ",$AS5),
INDIRECT(INDEX(ResultColumnFinder[First Value Address],MATCH(CONCATENATE("SampledMediumCV",$AR5),ResultColumnFinder[Concat2],0)),FALSE)),
IF(COUNTIF(SampledMediumCV,OFFSET(INDIRECT(INDEX(ResultColumnFinder[First Value Address],MATCH(CONCATENATE("SampledMediumCV",$AR5),ResultColumnFinder[Concat2],0)),FALSE),ROW()-4-($AR5-1)*NumSpecimens,0))=0,
CONCATENATE("PLEASE SPECIFY A VALID SAMPLED MEDIUM FOR ",$AS5," IN ROW ",ROW()-4-($AR5-1)*NumSpecimens),
OFFSET(INDIRECT(INDEX(ResultColumnFinder[First Value Address],MATCH(CONCATENATE("SampledMediumCV",$AR5),ResultColumnFinder[Concat2],0)),FALSE),ROW()-4-($AR5-1)*NumSpecimens,0))
))</f>
        <v>soil</v>
      </c>
      <c r="BN5" s="25" t="str">
        <f>IF(BF5&lt;&gt;"Measurement","",
IF(INDEX(ResultColumnFinder[First Value Address],MATCH(CONCATENATE("CensorCodeCV",$AR5),ResultColumnFinder[Concat2],0))="NOT GIVEN",
"PLEASE NOTE: A CENSOR CODE MUST BE SPECIFIED FOR EACH RESULT",
IF(LEFT(INDEX(ResultColumnFinder[First Value Address],MATCH(CONCATENATE("CensorCodeCV",$AR5),ResultColumnFinder[Concat2],0)),14)="'Data Columns'",
IF(COUNTIF(CensorCodeCV,INDIRECT(INDEX(ResultColumnFinder[First Value Address],MATCH(CONCATENATE("CensorCodeCV",$AR5),ResultColumnFinder[Concat2],0)),FALSE))=0,
CONCATENATE("PLEASE FILL IN A VALID CENSOR CODE FOR ",$AS5),
INDIRECT(INDEX(ResultColumnFinder[First Value Address],MATCH(CONCATENATE("CensorCodeCV",$AR5),ResultColumnFinder[Concat2],0)),FALSE)),
IF(COUNTIF(CensorCodeCV,OFFSET(INDIRECT(INDEX(ResultColumnFinder[First Value Address],MATCH(CONCATENATE("CensorCodeCV",$AR5),ResultColumnFinder[Concat2],0)),FALSE),ROW()-4-($AR5-1)*NumSpecimens,0))=0,
CONCATENATE("PLEASE SPECIFY A VALID CENSOR CODE FOR ",$AS5," IN ROW ",ROW()-4-($AR5-1)*NumSpecimens),
OFFSET(INDIRECT(INDEX(ResultColumnFinder[First Value Address],MATCH(CONCATENATE("CensorCodeCV",$AR5),ResultColumnFinder[Concat2],0)),FALSE),ROW()-4-($AR5-1)*NumSpecimens,0))
)))</f>
        <v>Not censored</v>
      </c>
      <c r="BO5" s="25" t="str">
        <f>IF(INDEX(ResultColumnFinder[First Value Address],MATCH(CONCATENATE("QualityCodeCV",$AR5),ResultColumnFinder[Concat2],0))="NOT GIVEN",
"PLEASE NOTE: A QUALITY CODE MUST BE SPECIFIED FOR EACH RESULT",
IF(LEFT(INDEX(ResultColumnFinder[First Value Address],MATCH(CONCATENATE("QualityCodeCV",$AR5),ResultColumnFinder[Concat2],0)),14)="'Data Columns'",
IF(COUNTIF(QualityCodeCV,INDIRECT(INDEX(ResultColumnFinder[First Value Address],MATCH(CONCATENATE("QualityCodeCV",$AR5),ResultColumnFinder[Concat2],0)),FALSE))=0,
CONCATENATE("PLEASE FILL IN A VALID QUALITY CODE FOR ",$AS5),
INDIRECT(INDEX(ResultColumnFinder[First Value Address],MATCH(CONCATENATE("QualityCodeCV",$AR5),ResultColumnFinder[Concat2],0)),FALSE)),
IF(COUNTIF(QualityCodeCV,OFFSET(INDIRECT(INDEX(ResultColumnFinder[First Value Address],MATCH(CONCATENATE("QualityCodeCV",$AR5),ResultColumnFinder[Concat2],0)),FALSE),ROW()-4-($AR5-1)*NumSpecimens,0))=0,
CONCATENATE("PLEASE SPECIFY A VALID QUALITY CODE FOR ",$AS5," IN ROW ",ROW()-4-($AR5-1)*NumSpecimens),
OFFSET(INDIRECT(INDEX(ResultColumnFinder[First Value Address],MATCH(CONCATENATE("QualityCodeCV",$AR5),ResultColumnFinder[Concat2],0)),FALSE),ROW()-4-($AR5-1)*NumSpecimens,0))
))</f>
        <v>Good</v>
      </c>
      <c r="BP5" s="25" t="str">
        <f>IF(BF5&lt;&gt;"Measurement","",
IF(INDEX(ResultColumnFinder[First Value Address],MATCH(CONCATENATE("AggregationStatisticCV",$AR5),ResultColumnFinder[Concat2],0))="NOT GIVEN",
"PLEASE NOTE: AN AGGREGATION STATISTIC MUST BE SPECIFIED FOR EACH MEASUREMENT RESULT",
IF(LEFT(INDEX(ResultColumnFinder[First Value Address],MATCH(CONCATENATE("AggregationStatisticCV",$AR5),ResultColumnFinder[Concat2],0)),14)="'Data Columns'",
IF(COUNTIF(AggregationStatisticCV,INDIRECT(INDEX(ResultColumnFinder[First Value Address],MATCH(CONCATENATE("AggregationStatisticCV",$AR5),ResultColumnFinder[Concat2],0)),FALSE))=0,
CONCATENATE("PLEASE FILL IN A VALID AGGREGATION STATISTIC FOR ",$AS5),
INDIRECT(INDEX(ResultColumnFinder[First Value Address],MATCH(CONCATENATE("AggregationStatisticCV",$AR5),ResultColumnFinder[Concat2],0)),FALSE)),
IF(COUNTIF(AggregationStatisticCV,OFFSET(INDIRECT(INDEX(ResultColumnFinder[First Value Address],MATCH(CONCATENATE("AggregationStatisticCV",$AR5),ResultColumnFinder[Concat2],0)),FALSE),ROW()-4-($AR5-1)*NumSpecimens,0))=0,
CONCATENATE("PLEASE SPECIFY A VALID AGGREGATION STATISTIC FOR ",$AS5," IN ROW ",ROW()-4-($AR5-1)*NumSpecimens),
OFFSET(INDIRECT(INDEX(ResultColumnFinder[First Value Address],MATCH(CONCATENATE("AggregationStatisticCV",$AR5),ResultColumnFinder[Concat2],0)),FALSE),ROW()-4-($AR5-1)*NumSpecimens,0))
)))</f>
        <v>PLEASE NOTE: AN AGGREGATION STATISTIC MUST BE SPECIFIED FOR EACH MEASUREMENT RESULT</v>
      </c>
      <c r="BQ5" s="25" t="str">
        <f>IF(BF5&lt;&gt;"Measurement","",
IF(INDEX(ResultColumnFinder[First Value Address],MATCH(CONCATENATE("TimeAggregationInterval",$AR5),ResultColumnFinder[Concat2],0))="NOT GIVEN",
"PLEASE NOTE: A TIME AGGREGATION INTERVAL MUST BE SPECIFIED FOR EACH RESULT",
IF(LEFT(INDEX(ResultColumnFinder[First Value Address],MATCH(CONCATENATE("TimeAggregationInterval",$AR5),ResultColumnFinder[Concat2],0)),14)="'Data Columns'",
IF(INDIRECT(INDEX(ResultColumnFinder[First Value Address],MATCH(CONCATENATE("TimeAggregationInterval",$AR5),ResultColumnFinder[Concat2],0)),FALSE)="",
CONCATENATE("PLEASE FILL IN A TIME AGGREGATION INTERVAL FOR ",$AS5),
INDIRECT(INDEX(ResultColumnFinder[First Value Address],MATCH(CONCATENATE("TimeAggregationInterval",$AR5),ResultColumnFinder[Concat2],0)),FALSE)),
IF(OFFSET(INDIRECT(INDEX(ResultColumnFinder[First Value Address],MATCH(CONCATENATE("TimeAggregationInterval",$AR5),ResultColumnFinder[Concat2],0)),FALSE),ROW()-4-($AR5-1)*NumSpecimens,0)="",
CONCATENATE("PLEASE SPECIFY A TIME AGGREGATION INTERVAL FOR ",$AS5," IN ROW ",ROW()-4-($AR5-1)*NumSpecimens),
OFFSET(INDIRECT(INDEX(ResultColumnFinder[First Value Address],MATCH(CONCATENATE("TimeAggregationInterval",$AR5),ResultColumnFinder[Concat2],0)),FALSE),ROW()-4-($AR5-1)*NumSpecimens,0))
)))</f>
        <v>PLEASE NOTE: A TIME AGGREGATION INTERVAL MUST BE SPECIFIED FOR EACH RESULT</v>
      </c>
      <c r="BR5" s="25" t="str">
        <f>IF(BF5&lt;&gt;"Measurement","",
IF(INDEX(ResultColumnFinder[First Value Address],MATCH(CONCATENATE("TimeAggregationIntervalUnitCode",$AR5),ResultColumnFinder[Concat2],0))="NOT GIVEN",
"PLEASE NOTE: A TIME AGGREGATION UNIT MUST BE SPECIFIED FOR EACH RESULT",
IF(LEFT(INDEX(ResultColumnFinder[First Value Address],MATCH(CONCATENATE("TimeAggregationIntervalUnitCode",$AR5),ResultColumnFinder[Concat2],0)),14)="'Data Columns'",
IF(INDIRECT(INDEX(ResultColumnFinder[First Value Address],MATCH(CONCATENATE("TimeAggregationIntervalUnitCode",$AR5),ResultColumnFinder[Concat2],0)),FALSE)="",
CONCATENATE("PLEASE FILL IN A TIME AGGREGATION UNIT FOR ",$AS5),
INDIRECT(INDEX(ResultColumnFinder[First Value Address],MATCH(CONCATENATE("TimeAggregationIntervalUnitCode",$AR5),ResultColumnFinder[Concat2],0)),FALSE)),
IF(OFFSET(INDIRECT(INDEX(ResultColumnFinder[First Value Address],MATCH(CONCATENATE("TimeAggregationIntervalUnitCode",$AR5),ResultColumnFinder[Concat2],0)),FALSE),ROW()-4-($AR5-1)*NumSpecimens,0)="",
CONCATENATE("PLEASE SPECIFY A TIME AGGREGATION UNIT FOR ",$AS5," IN ROW ",ROW()-4-($AR5-1)*NumSpecimens),
OFFSET(INDIRECT(INDEX(ResultColumnFinder[First Value Address],MATCH(CONCATENATE("TimeAggregationIntervalUnitCode",$AR5),ResultColumnFinder[Concat2],0)),FALSE),ROW()-4-($AR5-1)*NumSpecimens,0))
)))</f>
        <v>PLEASE NOTE: A TIME AGGREGATION UNIT MUST BE SPECIFIED FOR EACH RESULT</v>
      </c>
      <c r="BS5" s="25" t="str">
        <f>IF(NumDataColumns=0,"PLEASE SELECT AT LEAST 1 COLUMN OF RESULT VALUES",
IF(AT5="","",
CONCATENATE("  - &amp;ResultID",TEXT(ROW()-3,"00000"),
" {","ResultUUID:  ",CHAR(34),BE5,CHAR(34),
", FeatureActionObj: *FeatureActionID",TEXT(ROW()-3,"00000"),
", ResultTypeCV:  ",CHAR(34),BF5,CHAR(34),
", VariableObj:  ",BG5,
", UnitsObj:  ",BH5,
", TaxonomicClassifierObj:  ",BI5,
", ProcessingLevelObj:  ",BJ5,
", ResultDateTime:  ",BK5,
", ResultDateTimeUTCOffset:  ",BL5,
", ValidDateTime:  ","NULL",
", ValidDateTimeUTCOffset:  ","NULL",
", StatusCV:  ","NULL",
", SampledMediumCV:  ",CHAR(34),BM5,CHAR(34),
", ValueCount:  ",1,"}")))</f>
        <v xml:space="preserve">  - &amp;ResultID00002 {ResultUUID:  "", FeatureActionObj: *FeatureActionID00002, ResultTypeCV:  "measurement", VariableObj:  *VariableID00002, UnitsObj:  wt. %, TaxonomicClassifierObj:  , ProcessingLevelObj:  *ProcessingLevelID00002, ResultDateTime:  2012-06-06 00:00:00, ResultDateTimeUTCOffset:  -7, ValidDateTime:  NULL, ValidDateTimeUTCOffset:  NULL, StatusCV:  NULL, SampledMediumCV:  "soil", ValueCount:  1}</v>
      </c>
      <c r="BT5" s="25" t="str">
        <f>IF(ROW()-3&gt;NumDataColumns*NumSpecimens,"",
IF(AT5="","",
CONCATENATE("  - {DatasetObj: *DatasetID00001, ",
"ResultObj: *ResultID",TEXT(ROW()-3,"00000"),
"}")))</f>
        <v xml:space="preserve">  - {DatasetObj: *DatasetID00001, ResultObj: *ResultID00002}</v>
      </c>
      <c r="BU5" s="25" t="str">
        <f t="shared" ref="BU5:BU8" si="5">IF(BF5&lt;&gt;"Measurement","",
IF(AT5="","",
CONCATENATE("  - &amp;MeasurementResultID",TEXT(ROW()-3,"00000"),
" {","ResultObj: *ResultID",TEXT(ROW()-3,"00000"),
", XLocation:  ","NULL",
", XLocationUnitsObj:  ","NULL",
", YLocation:  ","NULL",
", YLocationUnitsObj:  ","NULL",
", ZLocation:  ","NULL",
", ZLocationUnitsObj:  ","NULL",
", SpatialReferenceObj:  ","NULL",
", CensorCodeCV: ",CHAR(34),BN5,CHAR(34),
", QualityCodeCV:  ",CHAR(34),BO5,CHAR(34),
", AggregationStatisticCV:  ",CHAR(34),BP5,CHAR(34),
", TimeAggregationInterval:  ",BQ5,
", TimeAggregationUnitsObj:  ",CHAR(34),BR5,CHAR(34),
"}")))</f>
        <v xml:space="preserve">  - &amp;MeasurementResultID00002 {ResultObj: *ResultID00002, XLocation:  NULL, XLocationUnitsObj:  NULL, YLocation:  NULL, YLocationUnitsObj:  NULL, ZLocation:  NULL, ZLocationUnitsObj:  NULL, SpatialReferenceObj:  NULL, CensorCodeCV: "Not censored", QualityCodeCV:  "Good", AggregationStatisticCV:  "PLEASE NOTE: AN AGGREGATION STATISTIC MUST BE SPECIFIED FOR EACH MEASUREMENT RESULT", TimeAggregationInterval:  PLEASE NOTE: A TIME AGGREGATION INTERVAL MUST BE SPECIFIED FOR EACH RESULT, TimeAggregationUnitsObj:  "PLEASE NOTE: A TIME AGGREGATION UNIT MUST BE SPECIFIED FOR EACH RESULT"}</v>
      </c>
      <c r="BV5" s="25" t="str">
        <f>IF(BF5&lt;&gt;"Measurement","",
IF(AT5="","",
CONCATENATE("  - &amp;MeasurementResultValueID",TEXT(ROW()-3,"00000"),
" {","MeasurementResultObj: *MeasurementResultID",TEXT(ROW()-3,"00000"),
", DataValue: ",AT5,
", ValueDateTime:  ",CHAR(34),BK5,CHAR(34),
", ValueDateTimeUTCOffset:  ",BL5,
"}")))</f>
        <v xml:space="preserve">  - &amp;MeasurementResultValueID00002 {MeasurementResultObj: *MeasurementResultID00002, DataValue: 4.08949411764706, ValueDateTime:  "2012-06-06 00:00:00", ValueDateTimeUTCOffset:  -7}</v>
      </c>
      <c r="BW5" s="25" t="str">
        <f t="shared" ref="BW5:BW8" si="6">IF(BF5="Measurement","",
IF(AT5="","",
CONCATENATE("  - &amp;CategoricalResultID",TEXT(ROW()-3,"00000"),
" {","ResultObj: *ResultID",TEXT(ROW()-3,"00000"),
", XLocation:  ","NULL",
", XLocationUnitsObj:  ","NULL",
", YLocation:  ","NULL",
", YLocationUnitsObj:  ","NULL",
", ZLocation:  ","NULL",
", ZLocationUnitsObj:  ","NULL",
", SpatialReferenceObj:  ","NULL",
", QualityCodeCV:  ",CHAR(34),BO5,CHAR(34),
"}")))</f>
        <v/>
      </c>
      <c r="BX5" s="25" t="str">
        <f>IF(BF5="Measurement","",
IF(AT5="","",
CONCATENATE("  - &amp;CategoricalResultValueID",TEXT(ROW()-3,"00000"),
" {","MeasurementResultObj: *CategoricalResultID",TEXT(ROW()-3,"00000"),
", DataValue: ",AT5,
", ValueDateTime:  ",CHAR(34),BK5,CHAR(34),
", ValueDateTimeUTCOffset:  ",BL5,
"}")))</f>
        <v/>
      </c>
      <c r="CC5" s="25" t="s">
        <v>179</v>
      </c>
      <c r="CD5" s="25">
        <f>COUNT(INDIRECT(CONCATENATE("'Data Values'!C2:C96148")))</f>
        <v>0</v>
      </c>
    </row>
    <row r="6" spans="1:82">
      <c r="A6" s="25">
        <f t="shared" si="0"/>
        <v>3</v>
      </c>
      <c r="D6"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5"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&amp;ExternalIdentifierSystemID00003 {ExternalIdentifierSystemName:  "International Geo Sample Number (IGSN)", IdentifierSystemOrganizationObj:  *OrganizationID00004,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&amp;PersonID00003 {PersonFirstName:  "David", PersonMiddleName:  "R.", PersonLastName:  "Stauffer"}</v>
      </c>
      <c r="H6"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6"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&amp;AffiliationID00003 {PersonObj: *PersonID00003, OrganizationObj: *OrganizationID00001, IsPrimaryOrganizationContact: "", AffiliationStartDate: "", AffiliationEndDate: "", PrimaryPhone: "", PrimaryEmail: "drs20@psu.edu", PrimaryAddress: "", PersonLink: ""}</v>
      </c>
      <c r="L6"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xml:space="preserve">  - &amp;AuthorListID00003  {CitationObj: *CitationID00001, PersonObj: *PersonID00003, AuthorOrder: 3}</v>
      </c>
      <c r="O6"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6" s="25"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6" s="25" t="e">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#REF!</v>
      </c>
      <c r="R6"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6" s="25" t="e">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#REF!</v>
      </c>
      <c r="T6" s="25"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6" s="25"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6" s="25"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6" s="25" t="str">
        <f>IF(ROW()-3&gt;NumParentSamplingFeatures+NumSpecimens,"",
IF(ROW()-3&gt;NumParentSamplingFeatures,
CONCATENATE("  - &amp;SamplingFeatureID",TEXT(ROW()-3,"00000"),
" {","SamplingFeatureUUID:  ",CHAR(34),O6,CHAR(34),
", SamplingFeatureTypeCV:  ",CHAR(34),"Specimen",CHAR(34),
", SamplingFeatureCode:  ",CHAR(34),P6,CHAR(34),
", SamplingFeatureName:  ",CHAR(34),Q6,CHAR(34),
", SamplingFeatureDescription:  ",CHAR(34),R6,CHAR(34),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&amp;SamplingFeatureID00003 {SamplingFeatureUUID:  "", SamplingFeatureTypeCV:  "specimen", SamplingFeatureCode:  "BKR 0- -10 cm", SamplingFeatureName:  "BKR 0- -10 cm", SamplingFeatureDescription:  "", SamplingFeatureGeotypeCV:  "Point", FeatureGeometry:  "", Elevation_m:  "", ElevationDatumCV:  "MSL"}</v>
      </c>
      <c r="X6" s="25" t="str">
        <f>IF(AND(NumIGSNs=0,COUNTIF(DataColumns[ColumnType],"SpecimenIGSN")=0),"",
IF(ROW()-3&gt;NumIGSNs+NumSpecimens,"",
IF(ROW()-3&gt;NumIGSNs,
IF(ISERROR(MATCH("SpecimenIGSN",DataColumns[ColumnType],0)),"",
IF(S6="","",
CONCATENATE("  - {",
"SamplingFeatureObj:  *SamplingFeatureID",TEXT(ROW()-2-NumIGSNs+NumParentSamplingFeatures-1,"00000"),
", ExternalIdentifierSystemObj:  *ExternalIdentifierSystemID00003",
", SamplingFeatureExternalIdentifier:  ",CHAR(34),S6,CHAR(34),
", SamplingFeatureExternalIdentifierURI:  ",CHAR(34),"http://app.geosamples.org/sample/igsn/",S6,CHAR(34),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xml:space="preserve">  - {SamplingFeatureObj:  *SamplingFeatureID00004, ExternalIdentifierSystemObj:  *ExternalIdentifierSystemID00003, SamplingFeatureExternalIdentifier:  "SLB000070", SamplingFeatureExternalIdentifierURI:  "http://app.geosamples.org/sample/igsn/SLB000070"}</v>
      </c>
      <c r="Y6"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c>
      <c r="Z6" s="25" t="str">
        <f>IF(ROW()-4&gt;NumParentSpecimens+NumSpecimens,"",
IF(ROW()-3&gt;NumParentSpecimens,
CONCATENATE("  - {",
"SamplingFeatureObj:  *SamplingFeatureID",TEXT(ROW()-3+NumParentSamplingFeatures,"00000"),
", SpecimenTypeCV:  ",CHAR(34),T6,CHAR(34),
", SpecimenMediumCV:  ",CHAR(34),U6,CHAR(34),
", IsFieldSpecimen:  ",CHAR(34),V6,CHAR(34),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*SamplingFeatureID00004, SpecimenTypeCV:  "Core sub-piece", SpecimenMediumCV:  soil, IsFieldSpecimen:  "TRUE"}</v>
      </c>
      <c r="AA6"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xml:space="preserve">  - &amp;SpatialOffsetID00003 {SpatialOffsetTypeCV:  "BKR -20- -30 cm Offset", Offset1Value:  -20, Offset1UnitObj:  "cm", Offset2Value:  -30, Offset2UnitObj:  "cm", Offset3Value:  NULL, Offset3UnitObj:  ""}</v>
      </c>
      <c r="AB6" s="25" t="str">
        <f t="shared" si="3"/>
        <v>*SamplingFeatureID00003</v>
      </c>
      <c r="AC6" s="25"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6" s="162"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#REF!</v>
      </c>
      <c r="AE6" s="162"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6" s="25" t="str">
        <f>IF(AND(NumRelatedFeatures=0,MATCH("ParentSamplingFeatureCode",SpecimenColumnFinder[DataType],0)="NOT GIVEN"),"",
IF(ROW()-3&gt;NumRelatedFeatures+NumSpecimens,"",
IF(ROW()-3&gt;NumRelatedFeatures,
IF(AD6="NO RELATED FEATURE","",
CONCATENATE("  - {",
"SamplingFeatureObj:  ",AB6,
", RelationshipTypeCV:  ",CHAR(34),AC6,CHAR(34),
", RelatedFeatureObj: ",AD6,
", SpatialOffsetObj:  ",IF(AE6="","NULL",AE6),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*SamplingFeatureID00005, RelationshipTypeCV:  "Is child of", RelatedFeatureObj: *SamplingFeatureID00001, SpatialOffsetObj:  *SpatialOffsetID00003}</v>
      </c>
      <c r="AG6"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&amp;MethodID00003 {MethodTypeCV:  "Specimen analysis", MethodCode:  "ST", MethodName:  "Soil Texture", MethodDescription:  "", MethodLink:  "", OrganizationObj: NULL}</v>
      </c>
      <c r="AH6"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&amp;VariableID00003 {VariableTypeCV:  "Soil", VariableCode:  "Texture", VariableNameCV:  "PLEASE SELECT A VALID NAME FOR THIS VARIABLE", VariableDefinition:  "", SpeciationCV:  "", NoDataValue:  "-999"}</v>
      </c>
      <c r="AJ6"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6"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v>
      </c>
      <c r="AL6" s="25"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*MethodID00001</v>
      </c>
      <c r="AM6"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2012-06-06 00:00:00</v>
      </c>
      <c r="AN6" s="25">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-7</v>
      </c>
      <c r="AO6" s="25"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6" s="25" t="str">
        <f t="shared" si="1"/>
        <v>*SamplingFeatureID00015</v>
      </c>
      <c r="AQ6" s="25" t="str">
        <f>IF(ROW()-3&gt;NumSpecimens,"",
CONCATENATE("  - &amp;ActionID",TEXT(ROW()-3,"00000"),
" {","ActionTypeCV:  ",CHAR(34),"Specimen collection",CHAR(34),
", MethodObj: ",AL6,
", BeginDateTime:  ",CHAR(34),AM6,CHAR(34),
", BeginDateTimeUTCOffset:  ",CHAR(34),AN6,CHAR(34),
", EndDateTime:  ","NULL",
", EndDateTimeUTCOffset:  ","NULL",
", ActionDescription:  ",CHAR(34),"Action generated by Excel Template for ",TemplateProfile," v.",TemplateVersion,CHAR(34),
", ActionFileLink:  ",CHAR(34),CHAR(34),
,"}"))</f>
        <v/>
      </c>
      <c r="AR6" s="25">
        <f t="shared" si="4"/>
        <v>3</v>
      </c>
      <c r="AS6" s="25" t="str">
        <f>INDEX(ResultColumnFinder[Data Value Label],MATCH($AR6,ResultColumnFinder[DV Num],1))</f>
        <v>Al Analysis Method</v>
      </c>
      <c r="AT6" s="25" t="str">
        <f>IF(INDEX(ResultColumnFinder[First Value Address],MATCH(CONCATENATE("ResultValue",$AR6),ResultColumnFinder[Concat2],0))="NOT GIVEN",
"",
IF(OFFSET(INDIRECT(INDEX(ResultColumnFinder[First Value Address],MATCH(CONCATENATE("ResultValue",$AR6),ResultColumnFinder[Concat2],0)),FALSE),ROW()-4-($AR6-1)*NumSpecimens,0)="",
"",
OFFSET(INDIRECT(INDEX(ResultColumnFinder[First Value Address],MATCH(CONCATENATE("ResultValue",$AR6),ResultColumnFinder[Concat2],0)),FALSE),ROW()-4-($AR6-1)*NumSpecimens,0))
)</f>
        <v>ICP-AES</v>
      </c>
      <c r="AU6" s="25" t="str">
        <f>IF(INDEX(ResultColumnFinder[First Value Address],MATCH(CONCATENATE("AnalysisMethodCode",$AR6),ResultColumnFinder[Concat2],0))="NOT GIVEN",
CONCATENATE("PLEASE FILL IN A VALID ANALYSIS METHOD CODE FOR ",$AS6),
IF(LEFT(INDEX(ResultColumnFinder[First Value Address],MATCH(CONCATENATE("AnalysisMethodCode",$AR6),ResultColumnFinder[Concat2],0)),14)="'Data Columns'",
IF(ISERROR(MATCH(INDIRECT(INDEX(ResultColumnFinder[First Value Address],MATCH(CONCATENATE("AnalysisMethodCode",$AR6),ResultColumnFinder[Concat2],0)),FALSE),Methods[Method Code],0)),
CONCATENATE("PLEASE FILL IN A VALID ANALYSIS METHOD CODE FOR ",$AS6),
CONCATENATE("*MethodID",TEXT(MATCH(INDIRECT(INDEX(ResultColumnFinder[First Value Address],MATCH(CONCATENATE("AnalysisMethodCode",$AR6),ResultColumnFinder[Concat2],0)),FALSE),Methods[Method Code],0),"00000"))),
IF(ISERROR(MATCH(OFFSET(INDIRECT(INDEX(ResultColumnFinder[First Value Address],MATCH(CONCATENATE("AnalysisMethodCode",$AR6),ResultColumnFinder[Concat2],0)),FALSE),ROW()-4-($AR6-1)*NumSpecimens,0),Methods[Method Code],0)),
CONCATENATE("PLEASE SPECIFY A VALID ANALYSIS METHOD CODE FOR ",$AS6," IN ROW ",ROW()-4-($AR6-1)*NumSpecimens),
CONCATENATE("*MethodID",TEXT(MATCH(OFFSET(INDIRECT(INDEX(ResultColumnFinder[First Value Address],MATCH(CONCATENATE("AnalysisMethodCode",$AR6),ResultColumnFinder[Concat2],0)),FALSE),ROW()-4-($AR6-1)*NumSpecimens,0),Methods[Method Code],0),"00000")))))</f>
        <v>PLEASE FILL IN A VALID ANALYSIS METHOD CODE FOR Al Analysis Method</v>
      </c>
      <c r="AV6" s="25" t="str">
        <f>IF(INDEX(ResultColumnFinder[First Value Address],MATCH(CONCATENATE("AnalysisDateTime",$AR6),ResultColumnFinder[Concat2],0))="NOT GIVEN",
"",
IF(OFFSET(INDIRECT(INDEX(ResultColumnFinder[First Value Address],MATCH(CONCATENATE("AnalysisDateTime",$AR6),ResultColumnFinder[Concat2],0)),FALSE),ROW()-4-($AR6-1)*NumSpecimens,0)="",
CONCATENATE("PLEASE SPECIFY AN ANALYSIS TIME FOR ",$AS6," IN ROW ",ROW()-4-($AR6-1)*NumSpecimens),
TEXT(OFFSET(INDIRECT(INDEX(ResultColumnFinder[First Value Address],MATCH(CONCATENATE("AnalysisDateTime",$AR6),ResultColumnFinder[Concat2],0)),FALSE),ROW()-4-($AR6-1)*NumSpecimens,0),"yyyy-mm-dd hh:mm:ss")))</f>
        <v/>
      </c>
      <c r="AW6" s="25" t="str">
        <f>IF(INDEX(ResultColumnFinder[First Value Address],MATCH(CONCATENATE("AnalysisDateTimeUTCOffset",$AR6),ResultColumnFinder[Concat2],0))="NOT GIVEN",
"",
IF(LEFT(INDEX(ResultColumnFinder[First Value Address],MATCH(CONCATENATE("AnalysisDateTimeUTCOffset",$AR6),ResultColumnFinder[Concat2],0)),14)="'Data Columns'",
IF(INDIRECT(INDEX(ResultColumnFinder[First Value Address],MATCH(CONCATENATE("AnalysisDateTimeUTCOffset",$AR6),ResultColumnFinder[Concat2],0)),FALSE)="",
CONCATENATE("PLEASE FILL IN AN ANALYSIS TIME UTC OFFSET FOR ",$AS6),
INDIRECT(INDEX(ResultColumnFinder[First Value Address],MATCH(CONCATENATE("AnalysisDateTimeUTCOffset",$AR6),ResultColumnFinder[Concat2],0)),FALSE)),
IF(OFFSET(INDIRECT(INDEX(ResultColumnFinder[First Value Address],MATCH(CONCATENATE("AnalysisDateTimeUTCOffset",$AR6),ResultColumnFinder[Concat2],0)),FALSE),ROW()-4-($AR6-1)*NumSpecimens,0)="",
CONCATENATE("PLEASE SPECIFY AN ANALYSIS TIME UTC OFFSET FOR ",$AS6," IN ROW ",ROW()-4-($AR6-1)*NumSpecimens),
OFFSET(INDIRECT(INDEX(ResultColumnFinder[First Value Address],MATCH(CONCATENATE("AnalysisDateTimeUTCOffset",$AR6),ResultColumnFinder[Concat2],0)),FALSE),ROW()-4-($AR6-1)*NumSpecimens,0))))</f>
        <v/>
      </c>
      <c r="AX6" s="25" t="str">
        <f>IF(INDEX(ResultColumnFinder[First Value Address],MATCH(CONCATENATE("ResultAnalyst",$AR6),ResultColumnFinder[Concat2],0))="NOT GIVEN",
"",
IF(LEFT(INDEX(ResultColumnFinder[First Value Address],MATCH(CONCATENATE("ResultAnalyst",$AR6),ResultColumnFinder[Concat2],0)),14)="'Data Columns'",
IF(ISERROR(MATCH(INDIRECT(INDEX(ResultColumnFinder[First Value Address],MATCH(CONCATENATE("ResultAnalyst",$AR6),ResultColumnFinder[Concat2],0)),FALSE),People[Full Name],0)),
CONCATENATE("PLEASE FILL IN A VALID ANALYST FOR ",$AS6),
CONCATENATE("*AffiliationID",TEXT(MATCH(INDIRECT(INDEX(ResultColumnFinder[First Value Address],MATCH(CONCATENATE("ResultAnalyst",$AR6),ResultColumnFinder[Concat2],0)),FALSE),People[Full Name],0),"00000"))),
IF(OFFSET(INDIRECT(INDEX(ResultColumnFinder[First Value Address],MATCH(CONCATENATE("ResultAnalyst",$AR6),ResultColumnFinder[Concat2],0)),FALSE),ROW()-4-($AR6-1)*NumSpecimens,0)="",
"",
IF(ISERROR(MATCH(OFFSET(INDIRECT(INDEX(ResultColumnFinder[First Value Address],MATCH(CONCATENATE("ResultAnalyst",$AR6),ResultColumnFinder[Concat2],0)),FALSE),ROW()-4-($AR6-1)*NumSpecimens,0),People[Full Name],0)),
CONCATENATE("PLEASE SPECIFY A VALID ANALYST FOR ",$AS6," IN ROW ",ROW()-4-($AR6-1)*NumSpecimens),
CONCATENATE("*AffiliationID",TEXT(MATCH(OFFSET(INDIRECT(INDEX(ResultColumnFinder[First Value Address],MATCH(CONCATENATE("ResultAnalyst",$AR6),ResultColumnFinder[Concat2],0)),FALSE),ROW()-4-($AR6-1)*NumSpecimens,0),People[Full Name],0),"00000"))))))</f>
        <v/>
      </c>
      <c r="AY6" s="25" t="str">
        <f t="shared" si="2"/>
        <v>*SamplingFeatureID00013</v>
      </c>
      <c r="AZ6" s="25" t="str">
        <f>IF(ROW()-3&gt;NumDataColumns*NumSpecimens,"",
IF(AT6="","",
CONCATENATE("  - &amp;ActionID",TEXT(ROW()-3+NumSpecimens,"00000"),
" {","ActionTypeCV:  ",CHAR(34),"Specimen analysis",CHAR(34),
", MethodObj: ",AU6,
", BeginDateTime:  ",CHAR(34),AV6,CHAR(34),
", BeginDateTimeUTCOffset:  ",CHAR(34),AW6,CHAR(34),
", EndDateTime:  ","NULL",
", EndDateTimeUTCOffset:  ","NULL",
", ActionDescription:  ",CHAR(34),"Action generated by Excel Template for ",TemplateProfile," v.",TemplateVersion,CHAR(34),
", ActionFileLink:  ","NULL",
,"}")))</f>
        <v xml:space="preserve">  - &amp;ActionID00004 {ActionTypeCV:  "Specimen analysis", MethodObj: PLEASE FILL IN A VALID ANALYSIS METHOD CODE FOR Al Analysis Method, BeginDateTime:  "", BeginDateTimeUTCOffset:  "", EndDateTime:  NULL, EndDateTimeUTCOffset:  NULL, ActionDescription:  "Action generated by Excel Template for Specimen v.0.2.1-alpha+20150430.114854", ActionFileLink:  NULL}</v>
      </c>
      <c r="BA6" s="25" t="str">
        <f>IF(ROW()-3&gt;NumSpecimens,"",
CONCATENATE("  - &amp;FeatureActionID",TEXT(ROW()-3,"00000"),
" {","SamplingFeatureObj:  ",AP6,
", ActionObj:  *ActionID",TEXT(ROW()-3,"00000"),"}"))</f>
        <v/>
      </c>
      <c r="BB6" s="25" t="str">
        <f>IF(ROW()-3&gt;NumDataColumns*NumSpecimens,"",
IF(AT6="","",
CONCATENATE("  - &amp;FeatureActionID",TEXT(ROW()-3+NumSpecimens,"00000"),
" {","SamplingFeatureObj:  ",AY6,
", ActionObj:  *ActionID",TEXT(ROW()-3+NumSpecimens,"00000"),"}")))</f>
        <v xml:space="preserve">  - &amp;FeatureActionID00004 {SamplingFeatureObj:  *SamplingFeatureID00013, ActionObj:  *ActionID00004}</v>
      </c>
      <c r="BC6" s="25" t="str">
        <f>IF(ROW()-3&gt;NumSpecimens,"",
IF(AO6="","",
CONCATENATE("  - {",
"ActionObj:  *ActionID",TEXT(ROW()-3,"00000"),
", AffiliationObj:  ",AO6,
", IsActionLead: TRUE",
", RoleDescription: ","NULL",
"}")))</f>
        <v/>
      </c>
      <c r="BD6" s="25" t="str">
        <f>IF(ROW()-3&gt;NumDataColumns*NumSpecimens,"",
IF(AT6="","",
IF(AX6="","",
CONCATENATE("  - {",
"ActionObj:  *ActionID",TEXT(ROW()-3+NumSpecimens,"00000"),
", AffiliationObj:  ",AX6,
", IsActionLead: TRUE",
", RoleDescription: ","NULL",
"}"))))</f>
        <v/>
      </c>
      <c r="BE6" s="25" t="str">
        <f>IF(INDEX(ResultColumnFinder[First Value Address],MATCH(CONCATENATE("ResultUUID",$AR6),ResultColumnFinder[Concat2],0))="NOT GIVEN",
"",
IF(OFFSET(INDIRECT(INDEX(ResultColumnFinder[First Value Address],MATCH(CONCATENATE("ResultUUID",$AR6),ResultColumnFinder[Concat2],0)),FALSE),ROW()-4-($AR6-1)*NumSpecimens,0)="",
"",
OFFSET(INDIRECT(INDEX(ResultColumnFinder[First Value Address],MATCH(CONCATENATE("ResultUUID",$AR6),ResultColumnFinder[Concat2],0)),FALSE),ROW()-4-($AR6-1)*NumSpecimens,0))
)</f>
        <v/>
      </c>
      <c r="BF6" s="25" t="str">
        <f>IF(INDEX(ResultColumnFinder[First Value Address],MATCH(CONCATENATE("ResultTypeCV",$AR6),ResultColumnFinder[Concat2],0))="NOT GIVEN",
"PLEASE NOTE: A  RESULT TYPE MUST BE SPECIFIED FOR EACH RESULT",
IF(LEFT(INDEX(ResultColumnFinder[First Value Address],MATCH(CONCATENATE("ResultTypeCV",$AR6),ResultColumnFinder[Concat2],0)),14)="'Data Columns'",
IF(COUNTIF(ApplicableResultTypes,INDIRECT(INDEX(ResultColumnFinder[First Value Address],MATCH(CONCATENATE("ResultTypeCV",$AR6),ResultColumnFinder[Concat2],0)),FALSE))=0,
CONCATENATE("PLEASE FILL IN A VALID  RESULT TYPE FOR ",$AS6),
INDIRECT(INDEX(ResultColumnFinder[First Value Address],MATCH(CONCATENATE("ResultTypeCV",$AR6),ResultColumnFinder[Concat2],0)),FALSE)),
IF(COUNTIF(ApplicableResultTypes,OFFSET(INDIRECT(INDEX(ResultColumnFinder[First Value Address],MATCH(CONCATENATE("ResultTypeCV",$AR6),ResultColumnFinder[Concat2],0)),FALSE),ROW()-4-($AR6-1)*NumSpecimens,0))=0,
CONCATENATE("PLEASE SPECIFY A VALID  RESULT TYPE FOR ",$AS6," IN ROW ",ROW()-4-($AR6-1)*NumSpecimens),
OFFSET(INDIRECT(INDEX(ResultColumnFinder[First Value Address],MATCH(CONCATENATE("ResultTypeCV",$AR6),ResultColumnFinder[Concat2],0)),FALSE),ROW()-4-($AR6-1)*NumSpecimens,0))
))</f>
        <v>PLEASE NOTE: A  RESULT TYPE MUST BE SPECIFIED FOR EACH RESULT</v>
      </c>
      <c r="BG6" s="25" t="str">
        <f>IF(INDEX(ResultColumnFinder[First Value Address],MATCH(CONCATENATE("VariableCode",$AR6),ResultColumnFinder[Concat2],0))="NOT GIVEN",
"PLEASE NOTE: A VARIABLE CODE MUST BE SPECIFIED FOR EACH RESULT",
IF(LEFT(INDEX(ResultColumnFinder[First Value Address],MATCH(CONCATENATE("VariableCode",$AR6),ResultColumnFinder[Concat2],0)),14)="'Data Columns'",
IF(ISERROR(MATCH(INDIRECT(INDEX(ResultColumnFinder[First Value Address],MATCH(CONCATENATE("VariableCode",$AR6),ResultColumnFinder[Concat2],0)),FALSE),Variables[Variable Code],0)),
CONCATENATE("PLEASE FILL IN A VALID VARIABLE CODE FOR ",$AS6),
CONCATENATE("*VariableID",TEXT(MATCH(INDIRECT(INDEX(ResultColumnFinder[First Value Address],MATCH(CONCATENATE("VariableCode",$AR6),ResultColumnFinder[Concat2],0)),FALSE),Variables[Variable Code],0),"00000"))),
IF(ISERROR(MATCH(OFFSET(INDIRECT(INDEX(ResultColumnFinder[First Value Address],MATCH(CONCATENATE("VariableCode",$AR6),ResultColumnFinder[Concat2],0)),FALSE),ROW()-4-($AR6-1)*NumSpecimens,0),Variables[Variable Code],0)),
CONCATENATE("PLEASE SPECIFY A VALID VARIABLE CODE FOR ",$AS6," IN ROW ",ROW()-4-($AR6-1)*NumSpecimens),
CONCATENATE("*VariableID",TEXT(MATCH(OFFSET(INDIRECT(INDEX(ResultColumnFinder[First Value Address],MATCH(CONCATENATE("VariableCode",$AR6),ResultColumnFinder[Concat2],0)),FALSE),ROW()-4-($AR6-1)*NumSpecimens,0),Variables[Variable Code],0),"00000")))))</f>
        <v>PLEASE NOTE: A VARIABLE CODE MUST BE SPECIFIED FOR EACH RESULT</v>
      </c>
      <c r="BH6" s="25" t="str">
        <f>IF(INDEX(ResultColumnFinder[First Value Address],MATCH(CONCATENATE("UnitName",$AR6),ResultColumnFinder[Concat2],0))="NOT GIVEN",
"PLEASE NOTE: A UNIT MUST BE SPECIFIED FOR EACH RESULT",
IF(LEFT(INDEX(ResultColumnFinder[First Value Address],MATCH(CONCATENATE("UnitName",$AR6),ResultColumnFinder[Concat2],0)),14)="'Data Columns'",
IF(INDIRECT(INDEX(ResultColumnFinder[First Value Address],MATCH(CONCATENATE("UnitName",$AR6),ResultColumnFinder[Concat2],0)),FALSE)="",
CONCATENATE("PLEASE FILL IN A UNIT FOR ",$AS6),
INDIRECT(INDEX(ResultColumnFinder[First Value Address],MATCH(CONCATENATE("UnitName",$AR6),ResultColumnFinder[Concat2],0)),FALSE)),
IF(OFFSET(INDIRECT(INDEX(ResultColumnFinder[First Value Address],MATCH(CONCATENATE("UnitName",$AR6),ResultColumnFinder[Concat2],0)),FALSE),ROW()-4-($AR6-1)*NumSpecimens,0)="",
CONCATENATE("PLEASE SPECIFY A UNIT FOR ",$AS6," IN ROW ",ROW()-4-($AR6-1)*NumSpecimens),
OFFSET(INDIRECT(INDEX(ResultColumnFinder[First Value Address],MATCH(CONCATENATE("UnitName",$AR6),ResultColumnFinder[Concat2],0)),FALSE),ROW()-4-($AR6-1)*NumSpecimens,0))
))</f>
        <v>PLEASE NOTE: A UNIT MUST BE SPECIFIED FOR EACH RESULT</v>
      </c>
      <c r="BI6" s="25" t="str">
        <f>IF(INDEX(ResultColumnFinder[First Value Address],MATCH(CONCATENATE("TaxonomicClassifierName",$AR6),ResultColumnFinder[Concat2],0))="NOT GIVEN",
"",
IF(LEFT(INDEX(ResultColumnFinder[First Value Address],MATCH(CONCATENATE("TaxonomicClassifierName",$AR6),ResultColumnFinder[Concat2],0)),14)="'Data Columns'",
IF(ISERROR(MATCH(INDIRECT(INDEX(ResultColumnFinder[First Value Address],MATCH(CONCATENATE("TaxonomicClassifierName",$AR6),ResultColumnFinder[Concat2],0)),FALSE),TaxonomicClassifiers[Taxonomic Classifier Name],0)),
"",
CONCATENATE("*VariableID",TEXT(MATCH(INDIRECT(INDEX(ResultColumnFinder[First Value Address],MATCH(CONCATENATE("TaxonomicClassifierName",$AR6),ResultColumnFinder[Concat2],0)),FALSE),TaxonomicClassifiers[Taxonomic Classifier Name],0),"00000"))),
IF(ISERROR(MATCH(OFFSET(INDIRECT(INDEX(ResultColumnFinder[First Value Address],MATCH(CONCATENATE("TaxonomicClassifierName",$AR6),ResultColumnFinder[Concat2],0)),FALSE),ROW()-4-($AR6-1)*NumSpecimens,0),TaxonomicClassifiers[Taxonomic Classifier Name],0)),
"",
CONCATENATE("*VariableID",TEXT(MATCH(OFFSET(INDIRECT(INDEX(ResultColumnFinder[First Value Address],MATCH(CONCATENATE("TaxonomicClassifierName",$AR6),ResultColumnFinder[Concat2],0)),FALSE),ROW()-4-($AR6-1)*NumSpecimens,0),TaxonomicClassifiers[Taxonomic Classifier Name],0),"00000")))))</f>
        <v/>
      </c>
      <c r="BJ6" s="25" t="str">
        <f>IF(INDEX(ResultColumnFinder[First Value Address],MATCH(CONCATENATE("ProcessingLevelCode",$AR6),ResultColumnFinder[Concat2],0))="NOT GIVEN",
"PLEASE NOTE: A PROCESSING LEVEL CODE MUST BE SPECIFIED FOR EACH RESULT",
IF(LEFT(INDEX(ResultColumnFinder[First Value Address],MATCH(CONCATENATE("ProcessingLevelCode",$AR6),ResultColumnFinder[Concat2],0)),14)="'Data Columns'",
IF(ISERROR(MATCH(INDIRECT(INDEX(ResultColumnFinder[First Value Address],MATCH(CONCATENATE("ProcessingLevelCode",$AR6),ResultColumnFinder[Concat2],0)),FALSE),ProcessingLevels[Processing Level Code],0)),
CONCATENATE("PLEASE FILL IN A VALID PROCESSING LEVEL CODE FOR ",$AS6),
CONCATENATE("*ProcessingLevelID",TEXT(MATCH(INDIRECT(INDEX(ResultColumnFinder[First Value Address],MATCH(CONCATENATE("ProcessingLevelCode",$AR6),ResultColumnFinder[Concat2],0)),FALSE),ProcessingLevels[Processing Level Code],0),"00000"))),
IF(ISERROR(MATCH(OFFSET(INDIRECT(INDEX(ResultColumnFinder[First Value Address],MATCH(CONCATENATE("ProcessingLevelCode",$AR6),ResultColumnFinder[Concat2],0)),FALSE),ROW()-4-($AR6-1)*NumSpecimens,0),ProcessingLevels[Processing Level Code],0)),
CONCATENATE("PLEASE SPECIFY A VALID PROCESSING LEVEL CODE FOR ",$AS6," IN ROW ",ROW()-4-($AR6-1)*NumSpecimens),
CONCATENATE("*ProcessingLevelID",TEXT(MATCH(OFFSET(INDIRECT(INDEX(ResultColumnFinder[First Value Address],MATCH(CONCATENATE("ProcessingLevelCode",$AR6),ResultColumnFinder[Concat2],0)),FALSE),ROW()-4-($AR6-1)*NumSpecimens,0),ProcessingLevels[Processing Level Code],0),"00000")))))</f>
        <v>PLEASE NOTE: A PROCESSING LEVEL CODE MUST BE SPECIFIED FOR EACH RESULT</v>
      </c>
      <c r="BK6"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Address],MATCH("CollectionDateTime",SpecimenColumnFinder[DataType],0)),FALSE),ROW()-4-($AR6-1)*NumSpecimens,0)="",
CONCATENATE("PLEASE SPECIFY A SPECIMEN COLLECTION DATE/TIME IN ROW ",ROW()-4-($AR6-1)*NumSpecimens),
TEXT(OFFSET(INDIRECT(INDEX(SpecimenColumnFinder[First Value Address],MATCH("CollectionDateTime",SpecimenColumnFinder[DataType],0)),FALSE),ROW()-4-($AR6-1)*NumSpecimens,0),"yyyy-mm-dd hh:mm:ss")))</f>
        <v>2012-06-06 00:00:00</v>
      </c>
      <c r="BL6" s="25">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Address],MATCH("CollectionDateTimeUTCOffset",SpecimenColumnFinder[DataType],0)),FALSE),ROW()-4-($AR6-1)*NumSpecimens,0)="",
CONCATENATE("PLEASE SPECIFY A COLLECTION TIME UTC OFFSET IN ROW ",ROW()-4-($AR6-1)*NumSpecimens),
OFFSET(INDIRECT(INDEX(SpecimenColumnFinder[First Value Address],MATCH("CollectionDateTimeUTCOffset",SpecimenColumnFinder[DataType],0)),FALSE),ROW()-4-($AR6-1)*NumSpecimens,0)))</f>
        <v>-7</v>
      </c>
      <c r="BM6" s="25" t="str">
        <f>IF(INDEX(ResultColumnFinder[First Value Address],MATCH(CONCATENATE("SampledMediumCV",$AR6),ResultColumnFinder[Concat2],0))="NOT GIVEN",
"PLEASE NOTE: A SAMPLED MEDIUM MUST BE SPECIFIED FOR EACH RESULT",
IF(LEFT(INDEX(ResultColumnFinder[First Value Address],MATCH(CONCATENATE("SampledMediumCV",$AR6),ResultColumnFinder[Concat2],0)),14)="'Data Columns'",
IF(COUNTIF(SampledMediumCV,INDIRECT(INDEX(ResultColumnFinder[First Value Address],MATCH(CONCATENATE("SampledMediumCV",$AR6),ResultColumnFinder[Concat2],0)),FALSE))=0,
CONCATENATE("PLEASE FILL IN A VALID SAMPLED MEDIUM FOR ",$AS6),
INDIRECT(INDEX(ResultColumnFinder[First Value Address],MATCH(CONCATENATE("SampledMediumCV",$AR6),ResultColumnFinder[Concat2],0)),FALSE)),
IF(COUNTIF(SampledMediumCV,OFFSET(INDIRECT(INDEX(ResultColumnFinder[First Value Address],MATCH(CONCATENATE("SampledMediumCV",$AR6),ResultColumnFinder[Concat2],0)),FALSE),ROW()-4-($AR6-1)*NumSpecimens,0))=0,
CONCATENATE("PLEASE SPECIFY A VALID SAMPLED MEDIUM FOR ",$AS6," IN ROW ",ROW()-4-($AR6-1)*NumSpecimens),
OFFSET(INDIRECT(INDEX(ResultColumnFinder[First Value Address],MATCH(CONCATENATE("SampledMediumCV",$AR6),ResultColumnFinder[Concat2],0)),FALSE),ROW()-4-($AR6-1)*NumSpecimens,0))
))</f>
        <v>PLEASE NOTE: A SAMPLED MEDIUM MUST BE SPECIFIED FOR EACH RESULT</v>
      </c>
      <c r="BN6" s="25" t="str">
        <f>IF(BF6&lt;&gt;"Measurement","",
IF(INDEX(ResultColumnFinder[First Value Address],MATCH(CONCATENATE("CensorCodeCV",$AR6),ResultColumnFinder[Concat2],0))="NOT GIVEN",
"PLEASE NOTE: A CENSOR CODE MUST BE SPECIFIED FOR EACH RESULT",
IF(LEFT(INDEX(ResultColumnFinder[First Value Address],MATCH(CONCATENATE("CensorCodeCV",$AR6),ResultColumnFinder[Concat2],0)),14)="'Data Columns'",
IF(COUNTIF(CensorCodeCV,INDIRECT(INDEX(ResultColumnFinder[First Value Address],MATCH(CONCATENATE("CensorCodeCV",$AR6),ResultColumnFinder[Concat2],0)),FALSE))=0,
CONCATENATE("PLEASE FILL IN A VALID CENSOR CODE FOR ",$AS6),
INDIRECT(INDEX(ResultColumnFinder[First Value Address],MATCH(CONCATENATE("CensorCodeCV",$AR6),ResultColumnFinder[Concat2],0)),FALSE)),
IF(COUNTIF(CensorCodeCV,OFFSET(INDIRECT(INDEX(ResultColumnFinder[First Value Address],MATCH(CONCATENATE("CensorCodeCV",$AR6),ResultColumnFinder[Concat2],0)),FALSE),ROW()-4-($AR6-1)*NumSpecimens,0))=0,
CONCATENATE("PLEASE SPECIFY A VALID CENSOR CODE FOR ",$AS6," IN ROW ",ROW()-4-($AR6-1)*NumSpecimens),
OFFSET(INDIRECT(INDEX(ResultColumnFinder[First Value Address],MATCH(CONCATENATE("CensorCodeCV",$AR6),ResultColumnFinder[Concat2],0)),FALSE),ROW()-4-($AR6-1)*NumSpecimens,0))
)))</f>
        <v/>
      </c>
      <c r="BO6" s="25" t="str">
        <f>IF(INDEX(ResultColumnFinder[First Value Address],MATCH(CONCATENATE("QualityCodeCV",$AR6),ResultColumnFinder[Concat2],0))="NOT GIVEN",
"PLEASE NOTE: A QUALITY CODE MUST BE SPECIFIED FOR EACH RESULT",
IF(LEFT(INDEX(ResultColumnFinder[First Value Address],MATCH(CONCATENATE("QualityCodeCV",$AR6),ResultColumnFinder[Concat2],0)),14)="'Data Columns'",
IF(COUNTIF(QualityCodeCV,INDIRECT(INDEX(ResultColumnFinder[First Value Address],MATCH(CONCATENATE("QualityCodeCV",$AR6),ResultColumnFinder[Concat2],0)),FALSE))=0,
CONCATENATE("PLEASE FILL IN A VALID QUALITY CODE FOR ",$AS6),
INDIRECT(INDEX(ResultColumnFinder[First Value Address],MATCH(CONCATENATE("QualityCodeCV",$AR6),ResultColumnFinder[Concat2],0)),FALSE)),
IF(COUNTIF(QualityCodeCV,OFFSET(INDIRECT(INDEX(ResultColumnFinder[First Value Address],MATCH(CONCATENATE("QualityCodeCV",$AR6),ResultColumnFinder[Concat2],0)),FALSE),ROW()-4-($AR6-1)*NumSpecimens,0))=0,
CONCATENATE("PLEASE SPECIFY A VALID QUALITY CODE FOR ",$AS6," IN ROW ",ROW()-4-($AR6-1)*NumSpecimens),
OFFSET(INDIRECT(INDEX(ResultColumnFinder[First Value Address],MATCH(CONCATENATE("QualityCodeCV",$AR6),ResultColumnFinder[Concat2],0)),FALSE),ROW()-4-($AR6-1)*NumSpecimens,0))
))</f>
        <v>PLEASE NOTE: A QUALITY CODE MUST BE SPECIFIED FOR EACH RESULT</v>
      </c>
      <c r="BP6" s="25" t="str">
        <f>IF(BF6&lt;&gt;"Measurement","",
IF(INDEX(ResultColumnFinder[First Value Address],MATCH(CONCATENATE("AggregationStatisticCV",$AR6),ResultColumnFinder[Concat2],0))="NOT GIVEN",
"PLEASE NOTE: AN AGGREGATION STATISTIC MUST BE SPECIFIED FOR EACH MEASUREMENT RESULT",
IF(LEFT(INDEX(ResultColumnFinder[First Value Address],MATCH(CONCATENATE("AggregationStatisticCV",$AR6),ResultColumnFinder[Concat2],0)),14)="'Data Columns'",
IF(COUNTIF(AggregationStatisticCV,INDIRECT(INDEX(ResultColumnFinder[First Value Address],MATCH(CONCATENATE("AggregationStatisticCV",$AR6),ResultColumnFinder[Concat2],0)),FALSE))=0,
CONCATENATE("PLEASE FILL IN A VALID AGGREGATION STATISTIC FOR ",$AS6),
INDIRECT(INDEX(ResultColumnFinder[First Value Address],MATCH(CONCATENATE("AggregationStatisticCV",$AR6),ResultColumnFinder[Concat2],0)),FALSE)),
IF(COUNTIF(AggregationStatisticCV,OFFSET(INDIRECT(INDEX(ResultColumnFinder[First Value Address],MATCH(CONCATENATE("AggregationStatisticCV",$AR6),ResultColumnFinder[Concat2],0)),FALSE),ROW()-4-($AR6-1)*NumSpecimens,0))=0,
CONCATENATE("PLEASE SPECIFY A VALID AGGREGATION STATISTIC FOR ",$AS6," IN ROW ",ROW()-4-($AR6-1)*NumSpecimens),
OFFSET(INDIRECT(INDEX(ResultColumnFinder[First Value Address],MATCH(CONCATENATE("AggregationStatisticCV",$AR6),ResultColumnFinder[Concat2],0)),FALSE),ROW()-4-($AR6-1)*NumSpecimens,0))
)))</f>
        <v/>
      </c>
      <c r="BQ6" s="25" t="str">
        <f>IF(BF6&lt;&gt;"Measurement","",
IF(INDEX(ResultColumnFinder[First Value Address],MATCH(CONCATENATE("TimeAggregationInterval",$AR6),ResultColumnFinder[Concat2],0))="NOT GIVEN",
"PLEASE NOTE: A TIME AGGREGATION INTERVAL MUST BE SPECIFIED FOR EACH RESULT",
IF(LEFT(INDEX(ResultColumnFinder[First Value Address],MATCH(CONCATENATE("TimeAggregationInterval",$AR6),ResultColumnFinder[Concat2],0)),14)="'Data Columns'",
IF(INDIRECT(INDEX(ResultColumnFinder[First Value Address],MATCH(CONCATENATE("TimeAggregationInterval",$AR6),ResultColumnFinder[Concat2],0)),FALSE)="",
CONCATENATE("PLEASE FILL IN A TIME AGGREGATION INTERVAL FOR ",$AS6),
INDIRECT(INDEX(ResultColumnFinder[First Value Address],MATCH(CONCATENATE("TimeAggregationInterval",$AR6),ResultColumnFinder[Concat2],0)),FALSE)),
IF(OFFSET(INDIRECT(INDEX(ResultColumnFinder[First Value Address],MATCH(CONCATENATE("TimeAggregationInterval",$AR6),ResultColumnFinder[Concat2],0)),FALSE),ROW()-4-($AR6-1)*NumSpecimens,0)="",
CONCATENATE("PLEASE SPECIFY A TIME AGGREGATION INTERVAL FOR ",$AS6," IN ROW ",ROW()-4-($AR6-1)*NumSpecimens),
OFFSET(INDIRECT(INDEX(ResultColumnFinder[First Value Address],MATCH(CONCATENATE("TimeAggregationInterval",$AR6),ResultColumnFinder[Concat2],0)),FALSE),ROW()-4-($AR6-1)*NumSpecimens,0))
)))</f>
        <v/>
      </c>
      <c r="BR6" s="25" t="str">
        <f>IF(BF6&lt;&gt;"Measurement","",
IF(INDEX(ResultColumnFinder[First Value Address],MATCH(CONCATENATE("TimeAggregationIntervalUnitCode",$AR6),ResultColumnFinder[Concat2],0))="NOT GIVEN",
"PLEASE NOTE: A TIME AGGREGATION UNIT MUST BE SPECIFIED FOR EACH RESULT",
IF(LEFT(INDEX(ResultColumnFinder[First Value Address],MATCH(CONCATENATE("TimeAggregationIntervalUnitCode",$AR6),ResultColumnFinder[Concat2],0)),14)="'Data Columns'",
IF(INDIRECT(INDEX(ResultColumnFinder[First Value Address],MATCH(CONCATENATE("TimeAggregationIntervalUnitCode",$AR6),ResultColumnFinder[Concat2],0)),FALSE)="",
CONCATENATE("PLEASE FILL IN A TIME AGGREGATION UNIT FOR ",$AS6),
INDIRECT(INDEX(ResultColumnFinder[First Value Address],MATCH(CONCATENATE("TimeAggregationIntervalUnitCode",$AR6),ResultColumnFinder[Concat2],0)),FALSE)),
IF(OFFSET(INDIRECT(INDEX(ResultColumnFinder[First Value Address],MATCH(CONCATENATE("TimeAggregationIntervalUnitCode",$AR6),ResultColumnFinder[Concat2],0)),FALSE),ROW()-4-($AR6-1)*NumSpecimens,0)="",
CONCATENATE("PLEASE SPECIFY A TIME AGGREGATION UNIT FOR ",$AS6," IN ROW ",ROW()-4-($AR6-1)*NumSpecimens),
OFFSET(INDIRECT(INDEX(ResultColumnFinder[First Value Address],MATCH(CONCATENATE("TimeAggregationIntervalUnitCode",$AR6),ResultColumnFinder[Concat2],0)),FALSE),ROW()-4-($AR6-1)*NumSpecimens,0))
)))</f>
        <v/>
      </c>
      <c r="BS6" s="25" t="str">
        <f>IF(NumDataColumns=0,"PLEASE SELECT AT LEAST 1 COLUMN OF RESULT VALUES",
IF(AT6="","",
CONCATENATE("  - &amp;ResultID",TEXT(ROW()-3,"00000"),
" {","ResultUUID:  ",CHAR(34),BE6,CHAR(34),
", FeatureActionObj: *FeatureActionID",TEXT(ROW()-3,"00000"),
", ResultTypeCV:  ",CHAR(34),BF6,CHAR(34),
", VariableObj:  ",BG6,
", UnitsObj:  ",BH6,
", TaxonomicClassifierObj:  ",BI6,
", ProcessingLevelObj:  ",BJ6,
", ResultDateTime:  ",BK6,
", ResultDateTimeUTCOffset:  ",BL6,
", ValidDateTime:  ","NULL",
", ValidDateTimeUTCOffset:  ","NULL",
", StatusCV:  ","NULL",
", SampledMediumCV:  ",CHAR(34),BM6,CHAR(34),
", ValueCount:  ",1,"}")))</f>
        <v xml:space="preserve">  - &amp;ResultID00003 {ResultUUID:  "", FeatureActionObj: *FeatureActionID00003, ResultTypeCV:  "PLEASE NOTE: A  RESULT TYPE MUST BE SPECIFIED FOR EACH RESULT", VariableObj:  PLEASE NOTE: A VARIABLE CODE MUST BE SPECIFIED FOR EACH RESULT, UnitsObj:  PLEASE NOTE: A UNIT MUST BE SPECIFIED FOR EACH RESULT, TaxonomicClassifierObj:  , ProcessingLevelObj:  PLEASE NOTE: A PROCESSING LEVEL CODE MUST BE SPECIFIED FOR EACH RESULT, ResultDateTime:  2012-06-06 00:00:00, ResultDateTimeUTCOffset:  -7, ValidDateTime:  NULL, ValidDateTimeUTCOffset:  NULL, StatusCV:  NULL, SampledMediumCV:  "PLEASE NOTE: A SAMPLED MEDIUM MUST BE SPECIFIED FOR EACH RESULT", ValueCount:  1}</v>
      </c>
      <c r="BT6" s="25" t="str">
        <f>IF(ROW()-3&gt;NumDataColumns*NumSpecimens,"",
IF(AT6="","",
CONCATENATE("  - {DatasetObj: *DatasetID00001, ",
"ResultObj: *ResultID",TEXT(ROW()-3,"00000"),
"}")))</f>
        <v xml:space="preserve">  - {DatasetObj: *DatasetID00001, ResultObj: *ResultID00003}</v>
      </c>
      <c r="BU6" s="25" t="str">
        <f t="shared" si="5"/>
        <v/>
      </c>
      <c r="BV6" s="25" t="str">
        <f>IF(BF6&lt;&gt;"Measurement","",
IF(AT6="","",
CONCATENATE("  - &amp;MeasurementResultValueID",TEXT(ROW()-3,"00000"),
" {","MeasurementResultObj: *MeasurementResultID",TEXT(ROW()-3,"00000"),
", DataValue: ",AT6,
", ValueDateTime:  ",CHAR(34),BK6,CHAR(34),
", ValueDateTimeUTCOffset:  ",BL6,
"}")))</f>
        <v/>
      </c>
      <c r="BW6" s="25" t="str">
        <f t="shared" si="6"/>
        <v xml:space="preserve">  - &amp;CategoricalResultID00003 {ResultObj: *ResultID00003, XLocation:  NULL, XLocationUnitsObj:  NULL, YLocation:  NULL, YLocationUnitsObj:  NULL, ZLocation:  NULL, ZLocationUnitsObj:  NULL, SpatialReferenceObj:  NULL, QualityCodeCV:  "PLEASE NOTE: A QUALITY CODE MUST BE SPECIFIED FOR EACH RESULT"}</v>
      </c>
      <c r="BX6" s="25" t="str">
        <f>IF(BF6="Measurement","",
IF(AT6="","",
CONCATENATE("  - &amp;CategoricalResultValueID",TEXT(ROW()-3,"00000"),
" {","MeasurementResultObj: *CategoricalResultID",TEXT(ROW()-3,"00000"),
", DataValue: ",AT6,
", ValueDateTime:  ",CHAR(34),BK6,CHAR(34),
", ValueDateTimeUTCOffset:  ",BL6,
"}")))</f>
        <v xml:space="preserve">  - &amp;CategoricalResultValueID00003 {MeasurementResultObj: *CategoricalResultID00003, DataValue: ICP-AES, ValueDateTime:  "2012-06-06 00:00:00", ValueDateTimeUTCOffset:  -7}</v>
      </c>
    </row>
    <row r="7" spans="1:82">
      <c r="A7" s="25">
        <f t="shared" si="0"/>
        <v>4</v>
      </c>
      <c r="D7"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&amp;PersonID00004 {PersonFirstName:  "Timothy", PersonMiddleName:  "S.", PersonLastName:  "White"}</v>
      </c>
      <c r="H7"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7"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&amp;AffiliationID00004 {PersonObj: *PersonID00004, OrganizationObj: *OrganizationID00001, IsPrimaryOrganizationContact: "", AffiliationStartDate: "", AffiliationEndDate: "", PrimaryPhone: "", PrimaryEmail: "twhite@essc.psu.edu", PrimaryAddress: "", PersonLink: ""}</v>
      </c>
      <c r="L7"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xml:space="preserve">  - &amp;AuthorListID00004  {CitationObj: *CitationID00001, PersonObj: *PersonID00004, AuthorOrder: 4}</v>
      </c>
      <c r="O7"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7" s="25"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7" s="25" t="e">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#REF!</v>
      </c>
      <c r="R7"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7" s="25" t="e">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#REF!</v>
      </c>
      <c r="T7" s="25"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7" s="25"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7" s="25"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7" s="25" t="str">
        <f>IF(ROW()-3&gt;NumParentSamplingFeatures+NumSpecimens,"",
IF(ROW()-3&gt;NumParentSamplingFeatures,
CONCATENATE("  - &amp;SamplingFeatureID",TEXT(ROW()-3,"00000"),
" {","SamplingFeatureUUID:  ",CHAR(34),O7,CHAR(34),
", SamplingFeatureTypeCV:  ",CHAR(34),"Specimen",CHAR(34),
", SamplingFeatureCode:  ",CHAR(34),P7,CHAR(34),
", SamplingFeatureName:  ",CHAR(34),Q7,CHAR(34),
", SamplingFeatureDescription:  ",CHAR(34),R7,CHAR(34),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&amp;SamplingFeatureID00004 {SamplingFeatureUUID:  "", SamplingFeatureTypeCV:  "specimen", SamplingFeatureCode:  "BKR -10- -20 cm", SamplingFeatureName:  "BKR -10- -20 cm", SamplingFeatureDescription:  "", SamplingFeatureGeotypeCV:  "Point", FeatureGeometry:  "", Elevation_m:  "", ElevationDatumCV:  "MSL"}</v>
      </c>
      <c r="X7" s="25" t="str">
        <f>IF(AND(NumIGSNs=0,COUNTIF(DataColumns[ColumnType],"SpecimenIGSN")=0),"",
IF(ROW()-3&gt;NumIGSNs+NumSpecimens,"",
IF(ROW()-3&gt;NumIGSNs,
IF(ISERROR(MATCH("SpecimenIGSN",DataColumns[ColumnType],0)),"",
IF(S7="","",
CONCATENATE("  - {",
"SamplingFeatureObj:  *SamplingFeatureID",TEXT(ROW()-2-NumIGSNs+NumParentSamplingFeatures-1,"00000"),
", ExternalIdentifierSystemObj:  *ExternalIdentifierSystemID00003",
", SamplingFeatureExternalIdentifier:  ",CHAR(34),S7,CHAR(34),
", SamplingFeatureExternalIdentifierURI:  ",CHAR(34),"http://app.geosamples.org/sample/igsn/",S7,CHAR(34),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xml:space="preserve">  - {SamplingFeatureObj:  *SamplingFeatureID00005, ExternalIdentifierSystemObj:  *ExternalIdentifierSystemID00003, SamplingFeatureExternalIdentifier:  "SLB000071", SamplingFeatureExternalIdentifierURI:  "http://app.geosamples.org/sample/igsn/SLB000071"}</v>
      </c>
      <c r="Y7"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c>
      <c r="Z7" s="25" t="str">
        <f>IF(ROW()-4&gt;NumParentSpecimens+NumSpecimens,"",
IF(ROW()-3&gt;NumParentSpecimens,
CONCATENATE("  - {",
"SamplingFeatureObj:  *SamplingFeatureID",TEXT(ROW()-3+NumParentSamplingFeatures,"00000"),
", SpecimenTypeCV:  ",CHAR(34),T7,CHAR(34),
", SpecimenMediumCV:  ",CHAR(34),U7,CHAR(34),
", IsFieldSpecimen:  ",CHAR(34),V7,CHAR(34),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*SamplingFeatureID00005, SpecimenTypeCV:  "Core sub-piece", SpecimenMediumCV:  soil, IsFieldSpecimen:  "TRUE"}</v>
      </c>
      <c r="AA7"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xml:space="preserve">  - &amp;SpatialOffsetID00004 {SpatialOffsetTypeCV:  "BKR -30- -40 cm Offset", Offset1Value:  -30, Offset1UnitObj:  "cm", Offset2Value:  -40, Offset2UnitObj:  "cm", Offset3Value:  NULL, Offset3UnitObj:  ""}</v>
      </c>
      <c r="AB7" s="25" t="str">
        <f t="shared" si="3"/>
        <v>*SamplingFeatureID00004</v>
      </c>
      <c r="AC7" s="25"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7" s="162"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#REF!</v>
      </c>
      <c r="AE7" s="162"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7" s="25" t="str">
        <f>IF(AND(NumRelatedFeatures=0,MATCH("ParentSamplingFeatureCode",SpecimenColumnFinder[DataType],0)="NOT GIVEN"),"",
IF(ROW()-3&gt;NumRelatedFeatures+NumSpecimens,"",
IF(ROW()-3&gt;NumRelatedFeatures,
IF(AD7="NO RELATED FEATURE","",
CONCATENATE("  - {",
"SamplingFeatureObj:  ",AB7,
", RelationshipTypeCV:  ",CHAR(34),AC7,CHAR(34),
", RelatedFeatureObj: ",AD7,
", SpatialOffsetObj:  ",IF(AE7="","NULL",AE7),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*SamplingFeatureID00006, RelationshipTypeCV:  "Is child of", RelatedFeatureObj: *SamplingFeatureID00001, SpatialOffsetObj:  *SpatialOffsetID00004}</v>
      </c>
      <c r="AG7"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&amp;MethodID00004 {MethodTypeCV:  "Specimen analysis", MethodCode:  "SC", MethodName:  "Soil Color", MethodDescription:  "", MethodLink:  "", OrganizationObj: NULL}</v>
      </c>
      <c r="AH7"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&amp;VariableID00004 {VariableTypeCV:  "Soil", VariableCode:  "Color", VariableNameCV:  "PLEASE SELECT A VALID NAME FOR THIS VARIABLE", VariableDefinition:  "", SpeciationCV:  "", NoDataValue:  "-999"}</v>
      </c>
      <c r="AJ7"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7"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AL7" s="25"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*MethodID00001</v>
      </c>
      <c r="AM7"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2012-06-06 00:00:00</v>
      </c>
      <c r="AN7" s="25">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-7</v>
      </c>
      <c r="AO7" s="25"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7" s="25" t="str">
        <f t="shared" si="1"/>
        <v>*SamplingFeatureID00016</v>
      </c>
      <c r="AQ7" s="25" t="str">
        <f>IF(ROW()-3&gt;NumSpecimens,"",
CONCATENATE("  - &amp;ActionID",TEXT(ROW()-3,"00000"),
" {","ActionTypeCV:  ",CHAR(34),"Specimen collection",CHAR(34),
", MethodObj: ",AL7,
", BeginDateTime:  ",CHAR(34),AM7,CHAR(34),
", BeginDateTimeUTCOffset:  ",CHAR(34),AN7,CHAR(34),
", EndDateTime:  ","NULL",
", EndDateTimeUTCOffset:  ","NULL",
", ActionDescription:  ",CHAR(34),"Action generated by Excel Template for ",TemplateProfile," v.",TemplateVersion,CHAR(34),
", ActionFileLink:  ",CHAR(34),CHAR(34),
,"}"))</f>
        <v/>
      </c>
      <c r="AR7" s="25">
        <f t="shared" si="4"/>
        <v>4</v>
      </c>
      <c r="AS7" s="25" t="str">
        <f>INDEX(ResultColumnFinder[Data Value Label],MATCH($AR7,ResultColumnFinder[DV Num],1))</f>
        <v>Texture</v>
      </c>
      <c r="AT7" s="25" t="str">
        <f>IF(INDEX(ResultColumnFinder[First Value Address],MATCH(CONCATENATE("ResultValue",$AR7),ResultColumnFinder[Concat2],0))="NOT GIVEN",
"",
IF(OFFSET(INDIRECT(INDEX(ResultColumnFinder[First Value Address],MATCH(CONCATENATE("ResultValue",$AR7),ResultColumnFinder[Concat2],0)),FALSE),ROW()-4-($AR7-1)*NumSpecimens,0)="",
"",
OFFSET(INDIRECT(INDEX(ResultColumnFinder[First Value Address],MATCH(CONCATENATE("ResultValue",$AR7),ResultColumnFinder[Concat2],0)),FALSE),ROW()-4-($AR7-1)*NumSpecimens,0))
)</f>
        <v>Silt Loam</v>
      </c>
      <c r="AU7" s="25" t="str">
        <f>IF(INDEX(ResultColumnFinder[First Value Address],MATCH(CONCATENATE("AnalysisMethodCode",$AR7),ResultColumnFinder[Concat2],0))="NOT GIVEN",
CONCATENATE("PLEASE FILL IN A VALID ANALYSIS METHOD CODE FOR ",$AS7),
IF(LEFT(INDEX(ResultColumnFinder[First Value Address],MATCH(CONCATENATE("AnalysisMethodCode",$AR7),ResultColumnFinder[Concat2],0)),14)="'Data Columns'",
IF(ISERROR(MATCH(INDIRECT(INDEX(ResultColumnFinder[First Value Address],MATCH(CONCATENATE("AnalysisMethodCode",$AR7),ResultColumnFinder[Concat2],0)),FALSE),Methods[Method Code],0)),
CONCATENATE("PLEASE FILL IN A VALID ANALYSIS METHOD CODE FOR ",$AS7),
CONCATENATE("*MethodID",TEXT(MATCH(INDIRECT(INDEX(ResultColumnFinder[First Value Address],MATCH(CONCATENATE("AnalysisMethodCode",$AR7),ResultColumnFinder[Concat2],0)),FALSE),Methods[Method Code],0),"00000"))),
IF(ISERROR(MATCH(OFFSET(INDIRECT(INDEX(ResultColumnFinder[First Value Address],MATCH(CONCATENATE("AnalysisMethodCode",$AR7),ResultColumnFinder[Concat2],0)),FALSE),ROW()-4-($AR7-1)*NumSpecimens,0),Methods[Method Code],0)),
CONCATENATE("PLEASE SPECIFY A VALID ANALYSIS METHOD CODE FOR ",$AS7," IN ROW ",ROW()-4-($AR7-1)*NumSpecimens),
CONCATENATE("*MethodID",TEXT(MATCH(OFFSET(INDIRECT(INDEX(ResultColumnFinder[First Value Address],MATCH(CONCATENATE("AnalysisMethodCode",$AR7),ResultColumnFinder[Concat2],0)),FALSE),ROW()-4-($AR7-1)*NumSpecimens,0),Methods[Method Code],0),"00000")))))</f>
        <v>*MethodID00003</v>
      </c>
      <c r="AV7" s="25" t="str">
        <f>IF(INDEX(ResultColumnFinder[First Value Address],MATCH(CONCATENATE("AnalysisDateTime",$AR7),ResultColumnFinder[Concat2],0))="NOT GIVEN",
"",
IF(OFFSET(INDIRECT(INDEX(ResultColumnFinder[First Value Address],MATCH(CONCATENATE("AnalysisDateTime",$AR7),ResultColumnFinder[Concat2],0)),FALSE),ROW()-4-($AR7-1)*NumSpecimens,0)="",
CONCATENATE("PLEASE SPECIFY AN ANALYSIS TIME FOR ",$AS7," IN ROW ",ROW()-4-($AR7-1)*NumSpecimens),
TEXT(OFFSET(INDIRECT(INDEX(ResultColumnFinder[First Value Address],MATCH(CONCATENATE("AnalysisDateTime",$AR7),ResultColumnFinder[Concat2],0)),FALSE),ROW()-4-($AR7-1)*NumSpecimens,0),"yyyy-mm-dd hh:mm:ss")))</f>
        <v/>
      </c>
      <c r="AW7" s="25" t="str">
        <f>IF(INDEX(ResultColumnFinder[First Value Address],MATCH(CONCATENATE("AnalysisDateTimeUTCOffset",$AR7),ResultColumnFinder[Concat2],0))="NOT GIVEN",
"",
IF(LEFT(INDEX(ResultColumnFinder[First Value Address],MATCH(CONCATENATE("AnalysisDateTimeUTCOffset",$AR7),ResultColumnFinder[Concat2],0)),14)="'Data Columns'",
IF(INDIRECT(INDEX(ResultColumnFinder[First Value Address],MATCH(CONCATENATE("AnalysisDateTimeUTCOffset",$AR7),ResultColumnFinder[Concat2],0)),FALSE)="",
CONCATENATE("PLEASE FILL IN AN ANALYSIS TIME UTC OFFSET FOR ",$AS7),
INDIRECT(INDEX(ResultColumnFinder[First Value Address],MATCH(CONCATENATE("AnalysisDateTimeUTCOffset",$AR7),ResultColumnFinder[Concat2],0)),FALSE)),
IF(OFFSET(INDIRECT(INDEX(ResultColumnFinder[First Value Address],MATCH(CONCATENATE("AnalysisDateTimeUTCOffset",$AR7),ResultColumnFinder[Concat2],0)),FALSE),ROW()-4-($AR7-1)*NumSpecimens,0)="",
CONCATENATE("PLEASE SPECIFY AN ANALYSIS TIME UTC OFFSET FOR ",$AS7," IN ROW ",ROW()-4-($AR7-1)*NumSpecimens),
OFFSET(INDIRECT(INDEX(ResultColumnFinder[First Value Address],MATCH(CONCATENATE("AnalysisDateTimeUTCOffset",$AR7),ResultColumnFinder[Concat2],0)),FALSE),ROW()-4-($AR7-1)*NumSpecimens,0))))</f>
        <v/>
      </c>
      <c r="AX7" s="25" t="str">
        <f>IF(INDEX(ResultColumnFinder[First Value Address],MATCH(CONCATENATE("ResultAnalyst",$AR7),ResultColumnFinder[Concat2],0))="NOT GIVEN",
"",
IF(LEFT(INDEX(ResultColumnFinder[First Value Address],MATCH(CONCATENATE("ResultAnalyst",$AR7),ResultColumnFinder[Concat2],0)),14)="'Data Columns'",
IF(ISERROR(MATCH(INDIRECT(INDEX(ResultColumnFinder[First Value Address],MATCH(CONCATENATE("ResultAnalyst",$AR7),ResultColumnFinder[Concat2],0)),FALSE),People[Full Name],0)),
CONCATENATE("PLEASE FILL IN A VALID ANALYST FOR ",$AS7),
CONCATENATE("*AffiliationID",TEXT(MATCH(INDIRECT(INDEX(ResultColumnFinder[First Value Address],MATCH(CONCATENATE("ResultAnalyst",$AR7),ResultColumnFinder[Concat2],0)),FALSE),People[Full Name],0),"00000"))),
IF(OFFSET(INDIRECT(INDEX(ResultColumnFinder[First Value Address],MATCH(CONCATENATE("ResultAnalyst",$AR7),ResultColumnFinder[Concat2],0)),FALSE),ROW()-4-($AR7-1)*NumSpecimens,0)="",
"",
IF(ISERROR(MATCH(OFFSET(INDIRECT(INDEX(ResultColumnFinder[First Value Address],MATCH(CONCATENATE("ResultAnalyst",$AR7),ResultColumnFinder[Concat2],0)),FALSE),ROW()-4-($AR7-1)*NumSpecimens,0),People[Full Name],0)),
CONCATENATE("PLEASE SPECIFY A VALID ANALYST FOR ",$AS7," IN ROW ",ROW()-4-($AR7-1)*NumSpecimens),
CONCATENATE("*AffiliationID",TEXT(MATCH(OFFSET(INDIRECT(INDEX(ResultColumnFinder[First Value Address],MATCH(CONCATENATE("ResultAnalyst",$AR7),ResultColumnFinder[Concat2],0)),FALSE),ROW()-4-($AR7-1)*NumSpecimens,0),People[Full Name],0),"00000"))))))</f>
        <v>*AffiliationID00001</v>
      </c>
      <c r="AY7" s="25" t="str">
        <f t="shared" si="2"/>
        <v>*SamplingFeatureID00013</v>
      </c>
      <c r="AZ7" s="25" t="str">
        <f>IF(ROW()-3&gt;NumDataColumns*NumSpecimens,"",
IF(AT7="","",
CONCATENATE("  - &amp;ActionID",TEXT(ROW()-3+NumSpecimens,"00000"),
" {","ActionTypeCV:  ",CHAR(34),"Specimen analysis",CHAR(34),
", MethodObj: ",AU7,
", BeginDateTime:  ",CHAR(34),AV7,CHAR(34),
", BeginDateTimeUTCOffset:  ",CHAR(34),AW7,CHAR(34),
", EndDateTime:  ","NULL",
", EndDateTimeUTCOffset:  ","NULL",
", ActionDescription:  ",CHAR(34),"Action generated by Excel Template for ",TemplateProfile," v.",TemplateVersion,CHAR(34),
", ActionFileLink:  ","NULL",
,"}")))</f>
        <v xml:space="preserve">  - &amp;ActionID00005 {ActionTypeCV:  "Specimen analysis", MethodObj: *MethodID00003, BeginDateTime:  "", BeginDateTimeUTCOffset:  "", EndDateTime:  NULL, EndDateTimeUTCOffset:  NULL, ActionDescription:  "Action generated by Excel Template for Specimen v.0.2.1-alpha+20150430.114854", ActionFileLink:  NULL}</v>
      </c>
      <c r="BA7" s="25" t="str">
        <f>IF(ROW()-3&gt;NumSpecimens,"",
CONCATENATE("  - &amp;FeatureActionID",TEXT(ROW()-3,"00000"),
" {","SamplingFeatureObj:  ",AP7,
", ActionObj:  *ActionID",TEXT(ROW()-3,"00000"),"}"))</f>
        <v/>
      </c>
      <c r="BB7" s="25" t="str">
        <f>IF(ROW()-3&gt;NumDataColumns*NumSpecimens,"",
IF(AT7="","",
CONCATENATE("  - &amp;FeatureActionID",TEXT(ROW()-3+NumSpecimens,"00000"),
" {","SamplingFeatureObj:  ",AY7,
", ActionObj:  *ActionID",TEXT(ROW()-3+NumSpecimens,"00000"),"}")))</f>
        <v xml:space="preserve">  - &amp;FeatureActionID00005 {SamplingFeatureObj:  *SamplingFeatureID00013, ActionObj:  *ActionID00005}</v>
      </c>
      <c r="BC7" s="25" t="str">
        <f>IF(ROW()-3&gt;NumSpecimens,"",
IF(AO7="","",
CONCATENATE("  - {",
"ActionObj:  *ActionID",TEXT(ROW()-3,"00000"),
", AffiliationObj:  ",AO7,
", IsActionLead: TRUE",
", RoleDescription: ","NULL",
"}")))</f>
        <v/>
      </c>
      <c r="BD7" s="25" t="str">
        <f>IF(ROW()-3&gt;NumDataColumns*NumSpecimens,"",
IF(AT7="","",
IF(AX7="","",
CONCATENATE("  - {",
"ActionObj:  *ActionID",TEXT(ROW()-3+NumSpecimens,"00000"),
", AffiliationObj:  ",AX7,
", IsActionLead: TRUE",
", RoleDescription: ","NULL",
"}"))))</f>
        <v xml:space="preserve">  - {ActionObj:  *ActionID00005, AffiliationObj:  *AffiliationID00001, IsActionLead: TRUE, RoleDescription: NULL}</v>
      </c>
      <c r="BE7" s="25" t="str">
        <f>IF(INDEX(ResultColumnFinder[First Value Address],MATCH(CONCATENATE("ResultUUID",$AR7),ResultColumnFinder[Concat2],0))="NOT GIVEN",
"",
IF(OFFSET(INDIRECT(INDEX(ResultColumnFinder[First Value Address],MATCH(CONCATENATE("ResultUUID",$AR7),ResultColumnFinder[Concat2],0)),FALSE),ROW()-4-($AR7-1)*NumSpecimens,0)="",
"",
OFFSET(INDIRECT(INDEX(ResultColumnFinder[First Value Address],MATCH(CONCATENATE("ResultUUID",$AR7),ResultColumnFinder[Concat2],0)),FALSE),ROW()-4-($AR7-1)*NumSpecimens,0))
)</f>
        <v/>
      </c>
      <c r="BF7" s="25" t="str">
        <f>IF(INDEX(ResultColumnFinder[First Value Address],MATCH(CONCATENATE("ResultTypeCV",$AR7),ResultColumnFinder[Concat2],0))="NOT GIVEN",
"PLEASE NOTE: A  RESULT TYPE MUST BE SPECIFIED FOR EACH RESULT",
IF(LEFT(INDEX(ResultColumnFinder[First Value Address],MATCH(CONCATENATE("ResultTypeCV",$AR7),ResultColumnFinder[Concat2],0)),14)="'Data Columns'",
IF(COUNTIF(ApplicableResultTypes,INDIRECT(INDEX(ResultColumnFinder[First Value Address],MATCH(CONCATENATE("ResultTypeCV",$AR7),ResultColumnFinder[Concat2],0)),FALSE))=0,
CONCATENATE("PLEASE FILL IN A VALID  RESULT TYPE FOR ",$AS7),
INDIRECT(INDEX(ResultColumnFinder[First Value Address],MATCH(CONCATENATE("ResultTypeCV",$AR7),ResultColumnFinder[Concat2],0)),FALSE)),
IF(COUNTIF(ApplicableResultTypes,OFFSET(INDIRECT(INDEX(ResultColumnFinder[First Value Address],MATCH(CONCATENATE("ResultTypeCV",$AR7),ResultColumnFinder[Concat2],0)),FALSE),ROW()-4-($AR7-1)*NumSpecimens,0))=0,
CONCATENATE("PLEASE SPECIFY A VALID  RESULT TYPE FOR ",$AS7," IN ROW ",ROW()-4-($AR7-1)*NumSpecimens),
OFFSET(INDIRECT(INDEX(ResultColumnFinder[First Value Address],MATCH(CONCATENATE("ResultTypeCV",$AR7),ResultColumnFinder[Concat2],0)),FALSE),ROW()-4-($AR7-1)*NumSpecimens,0))
))</f>
        <v>measurement</v>
      </c>
      <c r="BG7" s="25" t="str">
        <f>IF(INDEX(ResultColumnFinder[First Value Address],MATCH(CONCATENATE("VariableCode",$AR7),ResultColumnFinder[Concat2],0))="NOT GIVEN",
"PLEASE NOTE: A VARIABLE CODE MUST BE SPECIFIED FOR EACH RESULT",
IF(LEFT(INDEX(ResultColumnFinder[First Value Address],MATCH(CONCATENATE("VariableCode",$AR7),ResultColumnFinder[Concat2],0)),14)="'Data Columns'",
IF(ISERROR(MATCH(INDIRECT(INDEX(ResultColumnFinder[First Value Address],MATCH(CONCATENATE("VariableCode",$AR7),ResultColumnFinder[Concat2],0)),FALSE),Variables[Variable Code],0)),
CONCATENATE("PLEASE FILL IN A VALID VARIABLE CODE FOR ",$AS7),
CONCATENATE("*VariableID",TEXT(MATCH(INDIRECT(INDEX(ResultColumnFinder[First Value Address],MATCH(CONCATENATE("VariableCode",$AR7),ResultColumnFinder[Concat2],0)),FALSE),Variables[Variable Code],0),"00000"))),
IF(ISERROR(MATCH(OFFSET(INDIRECT(INDEX(ResultColumnFinder[First Value Address],MATCH(CONCATENATE("VariableCode",$AR7),ResultColumnFinder[Concat2],0)),FALSE),ROW()-4-($AR7-1)*NumSpecimens,0),Variables[Variable Code],0)),
CONCATENATE("PLEASE SPECIFY A VALID VARIABLE CODE FOR ",$AS7," IN ROW ",ROW()-4-($AR7-1)*NumSpecimens),
CONCATENATE("*VariableID",TEXT(MATCH(OFFSET(INDIRECT(INDEX(ResultColumnFinder[First Value Address],MATCH(CONCATENATE("VariableCode",$AR7),ResultColumnFinder[Concat2],0)),FALSE),ROW()-4-($AR7-1)*NumSpecimens,0),Variables[Variable Code],0),"00000")))))</f>
        <v>*VariableID00003</v>
      </c>
      <c r="BH7" s="25" t="str">
        <f>IF(INDEX(ResultColumnFinder[First Value Address],MATCH(CONCATENATE("UnitName",$AR7),ResultColumnFinder[Concat2],0))="NOT GIVEN",
"PLEASE NOTE: A UNIT MUST BE SPECIFIED FOR EACH RESULT",
IF(LEFT(INDEX(ResultColumnFinder[First Value Address],MATCH(CONCATENATE("UnitName",$AR7),ResultColumnFinder[Concat2],0)),14)="'Data Columns'",
IF(INDIRECT(INDEX(ResultColumnFinder[First Value Address],MATCH(CONCATENATE("UnitName",$AR7),ResultColumnFinder[Concat2],0)),FALSE)="",
CONCATENATE("PLEASE FILL IN A UNIT FOR ",$AS7),
INDIRECT(INDEX(ResultColumnFinder[First Value Address],MATCH(CONCATENATE("UnitName",$AR7),ResultColumnFinder[Concat2],0)),FALSE)),
IF(OFFSET(INDIRECT(INDEX(ResultColumnFinder[First Value Address],MATCH(CONCATENATE("UnitName",$AR7),ResultColumnFinder[Concat2],0)),FALSE),ROW()-4-($AR7-1)*NumSpecimens,0)="",
CONCATENATE("PLEASE SPECIFY A UNIT FOR ",$AS7," IN ROW ",ROW()-4-($AR7-1)*NumSpecimens),
OFFSET(INDIRECT(INDEX(ResultColumnFinder[First Value Address],MATCH(CONCATENATE("UnitName",$AR7),ResultColumnFinder[Concat2],0)),FALSE),ROW()-4-($AR7-1)*NumSpecimens,0))
))</f>
        <v>wt. %</v>
      </c>
      <c r="BI7" s="25" t="str">
        <f>IF(INDEX(ResultColumnFinder[First Value Address],MATCH(CONCATENATE("TaxonomicClassifierName",$AR7),ResultColumnFinder[Concat2],0))="NOT GIVEN",
"",
IF(LEFT(INDEX(ResultColumnFinder[First Value Address],MATCH(CONCATENATE("TaxonomicClassifierName",$AR7),ResultColumnFinder[Concat2],0)),14)="'Data Columns'",
IF(ISERROR(MATCH(INDIRECT(INDEX(ResultColumnFinder[First Value Address],MATCH(CONCATENATE("TaxonomicClassifierName",$AR7),ResultColumnFinder[Concat2],0)),FALSE),TaxonomicClassifiers[Taxonomic Classifier Name],0)),
"",
CONCATENATE("*VariableID",TEXT(MATCH(INDIRECT(INDEX(ResultColumnFinder[First Value Address],MATCH(CONCATENATE("TaxonomicClassifierName",$AR7),ResultColumnFinder[Concat2],0)),FALSE),TaxonomicClassifiers[Taxonomic Classifier Name],0),"00000"))),
IF(ISERROR(MATCH(OFFSET(INDIRECT(INDEX(ResultColumnFinder[First Value Address],MATCH(CONCATENATE("TaxonomicClassifierName",$AR7),ResultColumnFinder[Concat2],0)),FALSE),ROW()-4-($AR7-1)*NumSpecimens,0),TaxonomicClassifiers[Taxonomic Classifier Name],0)),
"",
CONCATENATE("*VariableID",TEXT(MATCH(OFFSET(INDIRECT(INDEX(ResultColumnFinder[First Value Address],MATCH(CONCATENATE("TaxonomicClassifierName",$AR7),ResultColumnFinder[Concat2],0)),FALSE),ROW()-4-($AR7-1)*NumSpecimens,0),TaxonomicClassifiers[Taxonomic Classifier Name],0),"00000")))))</f>
        <v/>
      </c>
      <c r="BJ7" s="25" t="str">
        <f>IF(INDEX(ResultColumnFinder[First Value Address],MATCH(CONCATENATE("ProcessingLevelCode",$AR7),ResultColumnFinder[Concat2],0))="NOT GIVEN",
"PLEASE NOTE: A PROCESSING LEVEL CODE MUST BE SPECIFIED FOR EACH RESULT",
IF(LEFT(INDEX(ResultColumnFinder[First Value Address],MATCH(CONCATENATE("ProcessingLevelCode",$AR7),ResultColumnFinder[Concat2],0)),14)="'Data Columns'",
IF(ISERROR(MATCH(INDIRECT(INDEX(ResultColumnFinder[First Value Address],MATCH(CONCATENATE("ProcessingLevelCode",$AR7),ResultColumnFinder[Concat2],0)),FALSE),ProcessingLevels[Processing Level Code],0)),
CONCATENATE("PLEASE FILL IN A VALID PROCESSING LEVEL CODE FOR ",$AS7),
CONCATENATE("*ProcessingLevelID",TEXT(MATCH(INDIRECT(INDEX(ResultColumnFinder[First Value Address],MATCH(CONCATENATE("ProcessingLevelCode",$AR7),ResultColumnFinder[Concat2],0)),FALSE),ProcessingLevels[Processing Level Code],0),"00000"))),
IF(ISERROR(MATCH(OFFSET(INDIRECT(INDEX(ResultColumnFinder[First Value Address],MATCH(CONCATENATE("ProcessingLevelCode",$AR7),ResultColumnFinder[Concat2],0)),FALSE),ROW()-4-($AR7-1)*NumSpecimens,0),ProcessingLevels[Processing Level Code],0)),
CONCATENATE("PLEASE SPECIFY A VALID PROCESSING LEVEL CODE FOR ",$AS7," IN ROW ",ROW()-4-($AR7-1)*NumSpecimens),
CONCATENATE("*ProcessingLevelID",TEXT(MATCH(OFFSET(INDIRECT(INDEX(ResultColumnFinder[First Value Address],MATCH(CONCATENATE("ProcessingLevelCode",$AR7),ResultColumnFinder[Concat2],0)),FALSE),ROW()-4-($AR7-1)*NumSpecimens,0),ProcessingLevels[Processing Level Code],0),"00000")))))</f>
        <v>*ProcessingLevelID00002</v>
      </c>
      <c r="BK7"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Address],MATCH("CollectionDateTime",SpecimenColumnFinder[DataType],0)),FALSE),ROW()-4-($AR7-1)*NumSpecimens,0)="",
CONCATENATE("PLEASE SPECIFY A SPECIMEN COLLECTION DATE/TIME IN ROW ",ROW()-4-($AR7-1)*NumSpecimens),
TEXT(OFFSET(INDIRECT(INDEX(SpecimenColumnFinder[First Value Address],MATCH("CollectionDateTime",SpecimenColumnFinder[DataType],0)),FALSE),ROW()-4-($AR7-1)*NumSpecimens,0),"yyyy-mm-dd hh:mm:ss")))</f>
        <v>2012-06-06 00:00:00</v>
      </c>
      <c r="BL7" s="25">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Address],MATCH("CollectionDateTimeUTCOffset",SpecimenColumnFinder[DataType],0)),FALSE),ROW()-4-($AR7-1)*NumSpecimens,0)="",
CONCATENATE("PLEASE SPECIFY A COLLECTION TIME UTC OFFSET IN ROW ",ROW()-4-($AR7-1)*NumSpecimens),
OFFSET(INDIRECT(INDEX(SpecimenColumnFinder[First Value Address],MATCH("CollectionDateTimeUTCOffset",SpecimenColumnFinder[DataType],0)),FALSE),ROW()-4-($AR7-1)*NumSpecimens,0)))</f>
        <v>-7</v>
      </c>
      <c r="BM7" s="25" t="str">
        <f>IF(INDEX(ResultColumnFinder[First Value Address],MATCH(CONCATENATE("SampledMediumCV",$AR7),ResultColumnFinder[Concat2],0))="NOT GIVEN",
"PLEASE NOTE: A SAMPLED MEDIUM MUST BE SPECIFIED FOR EACH RESULT",
IF(LEFT(INDEX(ResultColumnFinder[First Value Address],MATCH(CONCATENATE("SampledMediumCV",$AR7),ResultColumnFinder[Concat2],0)),14)="'Data Columns'",
IF(COUNTIF(SampledMediumCV,INDIRECT(INDEX(ResultColumnFinder[First Value Address],MATCH(CONCATENATE("SampledMediumCV",$AR7),ResultColumnFinder[Concat2],0)),FALSE))=0,
CONCATENATE("PLEASE FILL IN A VALID SAMPLED MEDIUM FOR ",$AS7),
INDIRECT(INDEX(ResultColumnFinder[First Value Address],MATCH(CONCATENATE("SampledMediumCV",$AR7),ResultColumnFinder[Concat2],0)),FALSE)),
IF(COUNTIF(SampledMediumCV,OFFSET(INDIRECT(INDEX(ResultColumnFinder[First Value Address],MATCH(CONCATENATE("SampledMediumCV",$AR7),ResultColumnFinder[Concat2],0)),FALSE),ROW()-4-($AR7-1)*NumSpecimens,0))=0,
CONCATENATE("PLEASE SPECIFY A VALID SAMPLED MEDIUM FOR ",$AS7," IN ROW ",ROW()-4-($AR7-1)*NumSpecimens),
OFFSET(INDIRECT(INDEX(ResultColumnFinder[First Value Address],MATCH(CONCATENATE("SampledMediumCV",$AR7),ResultColumnFinder[Concat2],0)),FALSE),ROW()-4-($AR7-1)*NumSpecimens,0))
))</f>
        <v>soil</v>
      </c>
      <c r="BN7" s="25" t="str">
        <f>IF(BF7&lt;&gt;"Measurement","",
IF(INDEX(ResultColumnFinder[First Value Address],MATCH(CONCATENATE("CensorCodeCV",$AR7),ResultColumnFinder[Concat2],0))="NOT GIVEN",
"PLEASE NOTE: A CENSOR CODE MUST BE SPECIFIED FOR EACH RESULT",
IF(LEFT(INDEX(ResultColumnFinder[First Value Address],MATCH(CONCATENATE("CensorCodeCV",$AR7),ResultColumnFinder[Concat2],0)),14)="'Data Columns'",
IF(COUNTIF(CensorCodeCV,INDIRECT(INDEX(ResultColumnFinder[First Value Address],MATCH(CONCATENATE("CensorCodeCV",$AR7),ResultColumnFinder[Concat2],0)),FALSE))=0,
CONCATENATE("PLEASE FILL IN A VALID CENSOR CODE FOR ",$AS7),
INDIRECT(INDEX(ResultColumnFinder[First Value Address],MATCH(CONCATENATE("CensorCodeCV",$AR7),ResultColumnFinder[Concat2],0)),FALSE)),
IF(COUNTIF(CensorCodeCV,OFFSET(INDIRECT(INDEX(ResultColumnFinder[First Value Address],MATCH(CONCATENATE("CensorCodeCV",$AR7),ResultColumnFinder[Concat2],0)),FALSE),ROW()-4-($AR7-1)*NumSpecimens,0))=0,
CONCATENATE("PLEASE SPECIFY A VALID CENSOR CODE FOR ",$AS7," IN ROW ",ROW()-4-($AR7-1)*NumSpecimens),
OFFSET(INDIRECT(INDEX(ResultColumnFinder[First Value Address],MATCH(CONCATENATE("CensorCodeCV",$AR7),ResultColumnFinder[Concat2],0)),FALSE),ROW()-4-($AR7-1)*NumSpecimens,0))
)))</f>
        <v>Not censored</v>
      </c>
      <c r="BO7" s="25" t="str">
        <f>IF(INDEX(ResultColumnFinder[First Value Address],MATCH(CONCATENATE("QualityCodeCV",$AR7),ResultColumnFinder[Concat2],0))="NOT GIVEN",
"PLEASE NOTE: A QUALITY CODE MUST BE SPECIFIED FOR EACH RESULT",
IF(LEFT(INDEX(ResultColumnFinder[First Value Address],MATCH(CONCATENATE("QualityCodeCV",$AR7),ResultColumnFinder[Concat2],0)),14)="'Data Columns'",
IF(COUNTIF(QualityCodeCV,INDIRECT(INDEX(ResultColumnFinder[First Value Address],MATCH(CONCATENATE("QualityCodeCV",$AR7),ResultColumnFinder[Concat2],0)),FALSE))=0,
CONCATENATE("PLEASE FILL IN A VALID QUALITY CODE FOR ",$AS7),
INDIRECT(INDEX(ResultColumnFinder[First Value Address],MATCH(CONCATENATE("QualityCodeCV",$AR7),ResultColumnFinder[Concat2],0)),FALSE)),
IF(COUNTIF(QualityCodeCV,OFFSET(INDIRECT(INDEX(ResultColumnFinder[First Value Address],MATCH(CONCATENATE("QualityCodeCV",$AR7),ResultColumnFinder[Concat2],0)),FALSE),ROW()-4-($AR7-1)*NumSpecimens,0))=0,
CONCATENATE("PLEASE SPECIFY A VALID QUALITY CODE FOR ",$AS7," IN ROW ",ROW()-4-($AR7-1)*NumSpecimens),
OFFSET(INDIRECT(INDEX(ResultColumnFinder[First Value Address],MATCH(CONCATENATE("QualityCodeCV",$AR7),ResultColumnFinder[Concat2],0)),FALSE),ROW()-4-($AR7-1)*NumSpecimens,0))
))</f>
        <v>Good</v>
      </c>
      <c r="BP7" s="25" t="str">
        <f>IF(BF7&lt;&gt;"Measurement","",
IF(INDEX(ResultColumnFinder[First Value Address],MATCH(CONCATENATE("AggregationStatisticCV",$AR7),ResultColumnFinder[Concat2],0))="NOT GIVEN",
"PLEASE NOTE: AN AGGREGATION STATISTIC MUST BE SPECIFIED FOR EACH MEASUREMENT RESULT",
IF(LEFT(INDEX(ResultColumnFinder[First Value Address],MATCH(CONCATENATE("AggregationStatisticCV",$AR7),ResultColumnFinder[Concat2],0)),14)="'Data Columns'",
IF(COUNTIF(AggregationStatisticCV,INDIRECT(INDEX(ResultColumnFinder[First Value Address],MATCH(CONCATENATE("AggregationStatisticCV",$AR7),ResultColumnFinder[Concat2],0)),FALSE))=0,
CONCATENATE("PLEASE FILL IN A VALID AGGREGATION STATISTIC FOR ",$AS7),
INDIRECT(INDEX(ResultColumnFinder[First Value Address],MATCH(CONCATENATE("AggregationStatisticCV",$AR7),ResultColumnFinder[Concat2],0)),FALSE)),
IF(COUNTIF(AggregationStatisticCV,OFFSET(INDIRECT(INDEX(ResultColumnFinder[First Value Address],MATCH(CONCATENATE("AggregationStatisticCV",$AR7),ResultColumnFinder[Concat2],0)),FALSE),ROW()-4-($AR7-1)*NumSpecimens,0))=0,
CONCATENATE("PLEASE SPECIFY A VALID AGGREGATION STATISTIC FOR ",$AS7," IN ROW ",ROW()-4-($AR7-1)*NumSpecimens),
OFFSET(INDIRECT(INDEX(ResultColumnFinder[First Value Address],MATCH(CONCATENATE("AggregationStatisticCV",$AR7),ResultColumnFinder[Concat2],0)),FALSE),ROW()-4-($AR7-1)*NumSpecimens,0))
)))</f>
        <v>PLEASE NOTE: AN AGGREGATION STATISTIC MUST BE SPECIFIED FOR EACH MEASUREMENT RESULT</v>
      </c>
      <c r="BQ7" s="25" t="str">
        <f>IF(BF7&lt;&gt;"Measurement","",
IF(INDEX(ResultColumnFinder[First Value Address],MATCH(CONCATENATE("TimeAggregationInterval",$AR7),ResultColumnFinder[Concat2],0))="NOT GIVEN",
"PLEASE NOTE: A TIME AGGREGATION INTERVAL MUST BE SPECIFIED FOR EACH RESULT",
IF(LEFT(INDEX(ResultColumnFinder[First Value Address],MATCH(CONCATENATE("TimeAggregationInterval",$AR7),ResultColumnFinder[Concat2],0)),14)="'Data Columns'",
IF(INDIRECT(INDEX(ResultColumnFinder[First Value Address],MATCH(CONCATENATE("TimeAggregationInterval",$AR7),ResultColumnFinder[Concat2],0)),FALSE)="",
CONCATENATE("PLEASE FILL IN A TIME AGGREGATION INTERVAL FOR ",$AS7),
INDIRECT(INDEX(ResultColumnFinder[First Value Address],MATCH(CONCATENATE("TimeAggregationInterval",$AR7),ResultColumnFinder[Concat2],0)),FALSE)),
IF(OFFSET(INDIRECT(INDEX(ResultColumnFinder[First Value Address],MATCH(CONCATENATE("TimeAggregationInterval",$AR7),ResultColumnFinder[Concat2],0)),FALSE),ROW()-4-($AR7-1)*NumSpecimens,0)="",
CONCATENATE("PLEASE SPECIFY A TIME AGGREGATION INTERVAL FOR ",$AS7," IN ROW ",ROW()-4-($AR7-1)*NumSpecimens),
OFFSET(INDIRECT(INDEX(ResultColumnFinder[First Value Address],MATCH(CONCATENATE("TimeAggregationInterval",$AR7),ResultColumnFinder[Concat2],0)),FALSE),ROW()-4-($AR7-1)*NumSpecimens,0))
)))</f>
        <v>PLEASE NOTE: A TIME AGGREGATION INTERVAL MUST BE SPECIFIED FOR EACH RESULT</v>
      </c>
      <c r="BR7" s="25" t="str">
        <f>IF(BF7&lt;&gt;"Measurement","",
IF(INDEX(ResultColumnFinder[First Value Address],MATCH(CONCATENATE("TimeAggregationIntervalUnitCode",$AR7),ResultColumnFinder[Concat2],0))="NOT GIVEN",
"PLEASE NOTE: A TIME AGGREGATION UNIT MUST BE SPECIFIED FOR EACH RESULT",
IF(LEFT(INDEX(ResultColumnFinder[First Value Address],MATCH(CONCATENATE("TimeAggregationIntervalUnitCode",$AR7),ResultColumnFinder[Concat2],0)),14)="'Data Columns'",
IF(INDIRECT(INDEX(ResultColumnFinder[First Value Address],MATCH(CONCATENATE("TimeAggregationIntervalUnitCode",$AR7),ResultColumnFinder[Concat2],0)),FALSE)="",
CONCATENATE("PLEASE FILL IN A TIME AGGREGATION UNIT FOR ",$AS7),
INDIRECT(INDEX(ResultColumnFinder[First Value Address],MATCH(CONCATENATE("TimeAggregationIntervalUnitCode",$AR7),ResultColumnFinder[Concat2],0)),FALSE)),
IF(OFFSET(INDIRECT(INDEX(ResultColumnFinder[First Value Address],MATCH(CONCATENATE("TimeAggregationIntervalUnitCode",$AR7),ResultColumnFinder[Concat2],0)),FALSE),ROW()-4-($AR7-1)*NumSpecimens,0)="",
CONCATENATE("PLEASE SPECIFY A TIME AGGREGATION UNIT FOR ",$AS7," IN ROW ",ROW()-4-($AR7-1)*NumSpecimens),
OFFSET(INDIRECT(INDEX(ResultColumnFinder[First Value Address],MATCH(CONCATENATE("TimeAggregationIntervalUnitCode",$AR7),ResultColumnFinder[Concat2],0)),FALSE),ROW()-4-($AR7-1)*NumSpecimens,0))
)))</f>
        <v>PLEASE NOTE: A TIME AGGREGATION UNIT MUST BE SPECIFIED FOR EACH RESULT</v>
      </c>
      <c r="BS7" s="25" t="str">
        <f>IF(NumDataColumns=0,"PLEASE SELECT AT LEAST 1 COLUMN OF RESULT VALUES",
IF(AT7="","",
CONCATENATE("  - &amp;ResultID",TEXT(ROW()-3,"00000"),
" {","ResultUUID:  ",CHAR(34),BE7,CHAR(34),
", FeatureActionObj: *FeatureActionID",TEXT(ROW()-3,"00000"),
", ResultTypeCV:  ",CHAR(34),BF7,CHAR(34),
", VariableObj:  ",BG7,
", UnitsObj:  ",BH7,
", TaxonomicClassifierObj:  ",BI7,
", ProcessingLevelObj:  ",BJ7,
", ResultDateTime:  ",BK7,
", ResultDateTimeUTCOffset:  ",BL7,
", ValidDateTime:  ","NULL",
", ValidDateTimeUTCOffset:  ","NULL",
", StatusCV:  ","NULL",
", SampledMediumCV:  ",CHAR(34),BM7,CHAR(34),
", ValueCount:  ",1,"}")))</f>
        <v xml:space="preserve">  - &amp;ResultID00004 {ResultUUID:  "", FeatureActionObj: *FeatureActionID00004, ResultTypeCV:  "measurement", VariableObj:  *VariableID00003, UnitsObj:  wt. %, TaxonomicClassifierObj:  , ProcessingLevelObj:  *ProcessingLevelID00002, ResultDateTime:  2012-06-06 00:00:00, ResultDateTimeUTCOffset:  -7, ValidDateTime:  NULL, ValidDateTimeUTCOffset:  NULL, StatusCV:  NULL, SampledMediumCV:  "soil", ValueCount:  1}</v>
      </c>
      <c r="BT7" s="25" t="str">
        <f>IF(ROW()-3&gt;NumDataColumns*NumSpecimens,"",
IF(AT7="","",
CONCATENATE("  - {DatasetObj: *DatasetID00001, ",
"ResultObj: *ResultID",TEXT(ROW()-3,"00000"),
"}")))</f>
        <v xml:space="preserve">  - {DatasetObj: *DatasetID00001, ResultObj: *ResultID00004}</v>
      </c>
      <c r="BU7" s="25" t="str">
        <f t="shared" si="5"/>
        <v xml:space="preserve">  - &amp;MeasurementResultID00004 {ResultObj: *ResultID00004, XLocation:  NULL, XLocationUnitsObj:  NULL, YLocation:  NULL, YLocationUnitsObj:  NULL, ZLocation:  NULL, ZLocationUnitsObj:  NULL, SpatialReferenceObj:  NULL, CensorCodeCV: "Not censored", QualityCodeCV:  "Good", AggregationStatisticCV:  "PLEASE NOTE: AN AGGREGATION STATISTIC MUST BE SPECIFIED FOR EACH MEASUREMENT RESULT", TimeAggregationInterval:  PLEASE NOTE: A TIME AGGREGATION INTERVAL MUST BE SPECIFIED FOR EACH RESULT, TimeAggregationUnitsObj:  "PLEASE NOTE: A TIME AGGREGATION UNIT MUST BE SPECIFIED FOR EACH RESULT"}</v>
      </c>
      <c r="BV7" s="25" t="str">
        <f>IF(BF7&lt;&gt;"Measurement","",
IF(AT7="","",
CONCATENATE("  - &amp;MeasurementResultValueID",TEXT(ROW()-3,"00000"),
" {","MeasurementResultObj: *MeasurementResultID",TEXT(ROW()-3,"00000"),
", DataValue: ",AT7,
", ValueDateTime:  ",CHAR(34),BK7,CHAR(34),
", ValueDateTimeUTCOffset:  ",BL7,
"}")))</f>
        <v xml:space="preserve">  - &amp;MeasurementResultValueID00004 {MeasurementResultObj: *MeasurementResultID00004, DataValue: Silt Loam, ValueDateTime:  "2012-06-06 00:00:00", ValueDateTimeUTCOffset:  -7}</v>
      </c>
      <c r="BW7" s="25" t="str">
        <f t="shared" si="6"/>
        <v/>
      </c>
      <c r="BX7" s="25" t="str">
        <f>IF(BF7="Measurement","",
IF(AT7="","",
CONCATENATE("  - &amp;CategoricalResultValueID",TEXT(ROW()-3,"00000"),
" {","MeasurementResultObj: *CategoricalResultID",TEXT(ROW()-3,"00000"),
", DataValue: ",AT7,
", ValueDateTime:  ",CHAR(34),BK7,CHAR(34),
", ValueDateTimeUTCOffset:  ",BL7,
"}")))</f>
        <v/>
      </c>
    </row>
    <row r="8" spans="1:82">
      <c r="A8" s="25">
        <f>ROW()-3</f>
        <v>5</v>
      </c>
      <c r="D8"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&amp;PersonID00005 {PersonFirstName:  "Susan", PersonMiddleName:  "L.", PersonLastName:  "Brantley"}</v>
      </c>
      <c r="H8"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8"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&amp;AffiliationID00005 {PersonObj: *PersonID00005, OrganizationObj: *OrganizationID00001, IsPrimaryOrganizationContact: "", AffiliationStartDate: "", AffiliationEndDate: "", PrimaryPhone: "", PrimaryEmail: "sxb7@psu.edu", PrimaryAddress: "", PersonLink: ""}</v>
      </c>
      <c r="L8"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xml:space="preserve">  - &amp;AuthorListID00005  {CitationObj: *CitationID00001, PersonObj: *PersonID00005, AuthorOrder: 5}</v>
      </c>
      <c r="O8"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8" s="25"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8" s="25" t="e">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#REF!</v>
      </c>
      <c r="R8"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8" s="25" t="e">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#REF!</v>
      </c>
      <c r="T8" s="25"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8" s="25"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8" s="25"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8" s="25" t="str">
        <f>IF(ROW()-3&gt;NumParentSamplingFeatures+NumSpecimens,"",
IF(ROW()-3&gt;NumParentSamplingFeatures,
CONCATENATE("  - &amp;SamplingFeatureID",TEXT(ROW()-3,"00000"),
" {","SamplingFeatureUUID:  ",CHAR(34),O8,CHAR(34),
", SamplingFeatureTypeCV:  ",CHAR(34),"Specimen",CHAR(34),
", SamplingFeatureCode:  ",CHAR(34),P8,CHAR(34),
", SamplingFeatureName:  ",CHAR(34),Q8,CHAR(34),
", SamplingFeatureDescription:  ",CHAR(34),R8,CHAR(34),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&amp;SamplingFeatureID00005 {SamplingFeatureUUID:  "", SamplingFeatureTypeCV:  "specimen", SamplingFeatureCode:  "BKR -20- -30 cm", SamplingFeatureName:  "BKR -20- -30 cm", SamplingFeatureDescription:  "", SamplingFeatureGeotypeCV:  "Point", FeatureGeometry:  "", Elevation_m:  "", ElevationDatumCV:  "MSL"}</v>
      </c>
      <c r="X8" s="25" t="str">
        <f>IF(AND(NumIGSNs=0,COUNTIF(DataColumns[ColumnType],"SpecimenIGSN")=0),"",
IF(ROW()-3&gt;NumIGSNs+NumSpecimens,"",
IF(ROW()-3&gt;NumIGSNs,
IF(ISERROR(MATCH("SpecimenIGSN",DataColumns[ColumnType],0)),"",
IF(S8="","",
CONCATENATE("  - {",
"SamplingFeatureObj:  *SamplingFeatureID",TEXT(ROW()-2-NumIGSNs+NumParentSamplingFeatures-1,"00000"),
", ExternalIdentifierSystemObj:  *ExternalIdentifierSystemID00003",
", SamplingFeatureExternalIdentifier:  ",CHAR(34),S8,CHAR(34),
", SamplingFeatureExternalIdentifierURI:  ",CHAR(34),"http://app.geosamples.org/sample/igsn/",S8,CHAR(34),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xml:space="preserve">  - {SamplingFeatureObj:  *SamplingFeatureID00006, ExternalIdentifierSystemObj:  *ExternalIdentifierSystemID00003, SamplingFeatureExternalIdentifier:  "SLB000072", SamplingFeatureExternalIdentifierURI:  "http://app.geosamples.org/sample/igsn/SLB000072"}</v>
      </c>
      <c r="Y8"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c>
      <c r="Z8" s="25" t="str">
        <f>IF(ROW()-4&gt;NumParentSpecimens+NumSpecimens,"",
IF(ROW()-3&gt;NumParentSpecimens,
CONCATENATE("  - {",
"SamplingFeatureObj:  *SamplingFeatureID",TEXT(ROW()-3+NumParentSamplingFeatures,"00000"),
", SpecimenTypeCV:  ",CHAR(34),T8,CHAR(34),
", SpecimenMediumCV:  ",CHAR(34),U8,CHAR(34),
", IsFieldSpecimen:  ",CHAR(34),V8,CHAR(34),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*SamplingFeatureID00006, SpecimenTypeCV:  "Core sub-piece", SpecimenMediumCV:  soil, IsFieldSpecimen:  "TRUE"}</v>
      </c>
      <c r="AA8"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xml:space="preserve">  - &amp;SpatialOffsetID00005 {SpatialOffsetTypeCV:  "BKR -40- -50 cm Offset", Offset1Value:  -40, Offset1UnitObj:  "cm", Offset2Value:  -50, Offset2UnitObj:  "cm", Offset3Value:  NULL, Offset3UnitObj:  ""}</v>
      </c>
      <c r="AB8" s="25" t="str">
        <f t="shared" si="3"/>
        <v>*SamplingFeatureID00005</v>
      </c>
      <c r="AC8" s="25"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8" s="162"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#REF!</v>
      </c>
      <c r="AE8" s="162"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8" s="25" t="str">
        <f>IF(AND(NumRelatedFeatures=0,MATCH("ParentSamplingFeatureCode",SpecimenColumnFinder[DataType],0)="NOT GIVEN"),"",
IF(ROW()-3&gt;NumRelatedFeatures+NumSpecimens,"",
IF(ROW()-3&gt;NumRelatedFeatures,
IF(AD8="NO RELATED FEATURE","",
CONCATENATE("  - {",
"SamplingFeatureObj:  ",AB8,
", RelationshipTypeCV:  ",CHAR(34),AC8,CHAR(34),
", RelatedFeatureObj: ",AD8,
", SpatialOffsetObj:  ",IF(AE8="","NULL",AE8),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*SamplingFeatureID00007, RelationshipTypeCV:  "Is child of", RelatedFeatureObj: *SamplingFeatureID00001, SpatialOffsetObj:  *SpatialOffsetID00005}</v>
      </c>
      <c r="AG8"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c>
      <c r="AH8"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8"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8"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AL8" s="25"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*MethodID00001</v>
      </c>
      <c r="AM8"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2012-06-06 00:00:00</v>
      </c>
      <c r="AN8" s="25">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-7</v>
      </c>
      <c r="AO8" s="25"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8" s="25" t="str">
        <f t="shared" si="1"/>
        <v>*SamplingFeatureID00017</v>
      </c>
      <c r="AQ8" s="25" t="str">
        <f>IF(ROW()-3&gt;NumSpecimens,"",
CONCATENATE("  - &amp;ActionID",TEXT(ROW()-3,"00000"),
" {","ActionTypeCV:  ",CHAR(34),"Specimen collection",CHAR(34),
", MethodObj: ",AL8,
", BeginDateTime:  ",CHAR(34),AM8,CHAR(34),
", BeginDateTimeUTCOffset:  ",CHAR(34),AN8,CHAR(34),
", EndDateTime:  ","NULL",
", EndDateTimeUTCOffset:  ","NULL",
", ActionDescription:  ",CHAR(34),"Action generated by Excel Template for ",TemplateProfile," v.",TemplateVersion,CHAR(34),
", ActionFileLink:  ",CHAR(34),CHAR(34),
,"}"))</f>
        <v/>
      </c>
      <c r="AR8" s="25">
        <f t="shared" si="4"/>
        <v>5</v>
      </c>
      <c r="AS8" s="25" t="str">
        <f>INDEX(ResultColumnFinder[Data Value Label],MATCH($AR8,ResultColumnFinder[DV Num],1))</f>
        <v>Color</v>
      </c>
      <c r="AT8" s="25" t="str">
        <f>IF(INDEX(ResultColumnFinder[First Value Address],MATCH(CONCATENATE("ResultValue",$AR8),ResultColumnFinder[Concat2],0))="NOT GIVEN",
"",
IF(OFFSET(INDIRECT(INDEX(ResultColumnFinder[First Value Address],MATCH(CONCATENATE("ResultValue",$AR8),ResultColumnFinder[Concat2],0)),FALSE),ROW()-4-($AR8-1)*NumSpecimens,0)="",
"",
OFFSET(INDIRECT(INDEX(ResultColumnFinder[First Value Address],MATCH(CONCATENATE("ResultValue",$AR8),ResultColumnFinder[Concat2],0)),FALSE),ROW()-4-($AR8-1)*NumSpecimens,0))
)</f>
        <v>2.5 YR 6/3</v>
      </c>
      <c r="AU8" s="25" t="str">
        <f>IF(INDEX(ResultColumnFinder[First Value Address],MATCH(CONCATENATE("AnalysisMethodCode",$AR8),ResultColumnFinder[Concat2],0))="NOT GIVEN",
CONCATENATE("PLEASE FILL IN A VALID ANALYSIS METHOD CODE FOR ",$AS8),
IF(LEFT(INDEX(ResultColumnFinder[First Value Address],MATCH(CONCATENATE("AnalysisMethodCode",$AR8),ResultColumnFinder[Concat2],0)),14)="'Data Columns'",
IF(ISERROR(MATCH(INDIRECT(INDEX(ResultColumnFinder[First Value Address],MATCH(CONCATENATE("AnalysisMethodCode",$AR8),ResultColumnFinder[Concat2],0)),FALSE),Methods[Method Code],0)),
CONCATENATE("PLEASE FILL IN A VALID ANALYSIS METHOD CODE FOR ",$AS8),
CONCATENATE("*MethodID",TEXT(MATCH(INDIRECT(INDEX(ResultColumnFinder[First Value Address],MATCH(CONCATENATE("AnalysisMethodCode",$AR8),ResultColumnFinder[Concat2],0)),FALSE),Methods[Method Code],0),"00000"))),
IF(ISERROR(MATCH(OFFSET(INDIRECT(INDEX(ResultColumnFinder[First Value Address],MATCH(CONCATENATE("AnalysisMethodCode",$AR8),ResultColumnFinder[Concat2],0)),FALSE),ROW()-4-($AR8-1)*NumSpecimens,0),Methods[Method Code],0)),
CONCATENATE("PLEASE SPECIFY A VALID ANALYSIS METHOD CODE FOR ",$AS8," IN ROW ",ROW()-4-($AR8-1)*NumSpecimens),
CONCATENATE("*MethodID",TEXT(MATCH(OFFSET(INDIRECT(INDEX(ResultColumnFinder[First Value Address],MATCH(CONCATENATE("AnalysisMethodCode",$AR8),ResultColumnFinder[Concat2],0)),FALSE),ROW()-4-($AR8-1)*NumSpecimens,0),Methods[Method Code],0),"00000")))))</f>
        <v>*MethodID00004</v>
      </c>
      <c r="AV8" s="25" t="str">
        <f>IF(INDEX(ResultColumnFinder[First Value Address],MATCH(CONCATENATE("AnalysisDateTime",$AR8),ResultColumnFinder[Concat2],0))="NOT GIVEN",
"",
IF(OFFSET(INDIRECT(INDEX(ResultColumnFinder[First Value Address],MATCH(CONCATENATE("AnalysisDateTime",$AR8),ResultColumnFinder[Concat2],0)),FALSE),ROW()-4-($AR8-1)*NumSpecimens,0)="",
CONCATENATE("PLEASE SPECIFY AN ANALYSIS TIME FOR ",$AS8," IN ROW ",ROW()-4-($AR8-1)*NumSpecimens),
TEXT(OFFSET(INDIRECT(INDEX(ResultColumnFinder[First Value Address],MATCH(CONCATENATE("AnalysisDateTime",$AR8),ResultColumnFinder[Concat2],0)),FALSE),ROW()-4-($AR8-1)*NumSpecimens,0),"yyyy-mm-dd hh:mm:ss")))</f>
        <v/>
      </c>
      <c r="AW8" s="25" t="str">
        <f>IF(INDEX(ResultColumnFinder[First Value Address],MATCH(CONCATENATE("AnalysisDateTimeUTCOffset",$AR8),ResultColumnFinder[Concat2],0))="NOT GIVEN",
"",
IF(LEFT(INDEX(ResultColumnFinder[First Value Address],MATCH(CONCATENATE("AnalysisDateTimeUTCOffset",$AR8),ResultColumnFinder[Concat2],0)),14)="'Data Columns'",
IF(INDIRECT(INDEX(ResultColumnFinder[First Value Address],MATCH(CONCATENATE("AnalysisDateTimeUTCOffset",$AR8),ResultColumnFinder[Concat2],0)),FALSE)="",
CONCATENATE("PLEASE FILL IN AN ANALYSIS TIME UTC OFFSET FOR ",$AS8),
INDIRECT(INDEX(ResultColumnFinder[First Value Address],MATCH(CONCATENATE("AnalysisDateTimeUTCOffset",$AR8),ResultColumnFinder[Concat2],0)),FALSE)),
IF(OFFSET(INDIRECT(INDEX(ResultColumnFinder[First Value Address],MATCH(CONCATENATE("AnalysisDateTimeUTCOffset",$AR8),ResultColumnFinder[Concat2],0)),FALSE),ROW()-4-($AR8-1)*NumSpecimens,0)="",
CONCATENATE("PLEASE SPECIFY AN ANALYSIS TIME UTC OFFSET FOR ",$AS8," IN ROW ",ROW()-4-($AR8-1)*NumSpecimens),
OFFSET(INDIRECT(INDEX(ResultColumnFinder[First Value Address],MATCH(CONCATENATE("AnalysisDateTimeUTCOffset",$AR8),ResultColumnFinder[Concat2],0)),FALSE),ROW()-4-($AR8-1)*NumSpecimens,0))))</f>
        <v/>
      </c>
      <c r="AX8" s="25" t="str">
        <f>IF(INDEX(ResultColumnFinder[First Value Address],MATCH(CONCATENATE("ResultAnalyst",$AR8),ResultColumnFinder[Concat2],0))="NOT GIVEN",
"",
IF(LEFT(INDEX(ResultColumnFinder[First Value Address],MATCH(CONCATENATE("ResultAnalyst",$AR8),ResultColumnFinder[Concat2],0)),14)="'Data Columns'",
IF(ISERROR(MATCH(INDIRECT(INDEX(ResultColumnFinder[First Value Address],MATCH(CONCATENATE("ResultAnalyst",$AR8),ResultColumnFinder[Concat2],0)),FALSE),People[Full Name],0)),
CONCATENATE("PLEASE FILL IN A VALID ANALYST FOR ",$AS8),
CONCATENATE("*AffiliationID",TEXT(MATCH(INDIRECT(INDEX(ResultColumnFinder[First Value Address],MATCH(CONCATENATE("ResultAnalyst",$AR8),ResultColumnFinder[Concat2],0)),FALSE),People[Full Name],0),"00000"))),
IF(OFFSET(INDIRECT(INDEX(ResultColumnFinder[First Value Address],MATCH(CONCATENATE("ResultAnalyst",$AR8),ResultColumnFinder[Concat2],0)),FALSE),ROW()-4-($AR8-1)*NumSpecimens,0)="",
"",
IF(ISERROR(MATCH(OFFSET(INDIRECT(INDEX(ResultColumnFinder[First Value Address],MATCH(CONCATENATE("ResultAnalyst",$AR8),ResultColumnFinder[Concat2],0)),FALSE),ROW()-4-($AR8-1)*NumSpecimens,0),People[Full Name],0)),
CONCATENATE("PLEASE SPECIFY A VALID ANALYST FOR ",$AS8," IN ROW ",ROW()-4-($AR8-1)*NumSpecimens),
CONCATENATE("*AffiliationID",TEXT(MATCH(OFFSET(INDIRECT(INDEX(ResultColumnFinder[First Value Address],MATCH(CONCATENATE("ResultAnalyst",$AR8),ResultColumnFinder[Concat2],0)),FALSE),ROW()-4-($AR8-1)*NumSpecimens,0),People[Full Name],0),"00000"))))))</f>
        <v>*AffiliationID00001</v>
      </c>
      <c r="AY8" s="25" t="str">
        <f t="shared" si="2"/>
        <v>*SamplingFeatureID00013</v>
      </c>
      <c r="AZ8" s="25" t="str">
        <f>IF(ROW()-3&gt;NumDataColumns*NumSpecimens,"",
IF(AT8="","",
CONCATENATE("  - &amp;ActionID",TEXT(ROW()-3+NumSpecimens,"00000"),
" {","ActionTypeCV:  ",CHAR(34),"Specimen analysis",CHAR(34),
", MethodObj: ",AU8,
", BeginDateTime:  ",CHAR(34),AV8,CHAR(34),
", BeginDateTimeUTCOffset:  ",CHAR(34),AW8,CHAR(34),
", EndDateTime:  ","NULL",
", EndDateTimeUTCOffset:  ","NULL",
", ActionDescription:  ",CHAR(34),"Action generated by Excel Template for ",TemplateProfile," v.",TemplateVersion,CHAR(34),
", ActionFileLink:  ","NULL",
,"}")))</f>
        <v xml:space="preserve">  - &amp;ActionID00006 {ActionTypeCV:  "Specimen analysis", MethodObj: *MethodID00004, BeginDateTime:  "", BeginDateTimeUTCOffset:  "", EndDateTime:  NULL, EndDateTimeUTCOffset:  NULL, ActionDescription:  "Action generated by Excel Template for Specimen v.0.2.1-alpha+20150430.114854", ActionFileLink:  NULL}</v>
      </c>
      <c r="BA8" s="25" t="str">
        <f>IF(ROW()-3&gt;NumSpecimens,"",
CONCATENATE("  - &amp;FeatureActionID",TEXT(ROW()-3,"00000"),
" {","SamplingFeatureObj:  ",AP8,
", ActionObj:  *ActionID",TEXT(ROW()-3,"00000"),"}"))</f>
        <v/>
      </c>
      <c r="BB8" s="25" t="str">
        <f>IF(ROW()-3&gt;NumDataColumns*NumSpecimens,"",
IF(AT8="","",
CONCATENATE("  - &amp;FeatureActionID",TEXT(ROW()-3+NumSpecimens,"00000"),
" {","SamplingFeatureObj:  ",AY8,
", ActionObj:  *ActionID",TEXT(ROW()-3+NumSpecimens,"00000"),"}")))</f>
        <v xml:space="preserve">  - &amp;FeatureActionID00006 {SamplingFeatureObj:  *SamplingFeatureID00013, ActionObj:  *ActionID00006}</v>
      </c>
      <c r="BC8" s="25" t="str">
        <f>IF(ROW()-3&gt;NumSpecimens,"",
IF(AO8="","",
CONCATENATE("  - {",
"ActionObj:  *ActionID",TEXT(ROW()-3,"00000"),
", AffiliationObj:  ",AO8,
", IsActionLead: TRUE",
", RoleDescription: ","NULL",
"}")))</f>
        <v/>
      </c>
      <c r="BD8" s="25" t="str">
        <f>IF(ROW()-3&gt;NumDataColumns*NumSpecimens,"",
IF(AT8="","",
IF(AX8="","",
CONCATENATE("  - {",
"ActionObj:  *ActionID",TEXT(ROW()-3+NumSpecimens,"00000"),
", AffiliationObj:  ",AX8,
", IsActionLead: TRUE",
", RoleDescription: ","NULL",
"}"))))</f>
        <v xml:space="preserve">  - {ActionObj:  *ActionID00006, AffiliationObj:  *AffiliationID00001, IsActionLead: TRUE, RoleDescription: NULL}</v>
      </c>
      <c r="BE8" s="25" t="str">
        <f>IF(INDEX(ResultColumnFinder[First Value Address],MATCH(CONCATENATE("ResultUUID",$AR8),ResultColumnFinder[Concat2],0))="NOT GIVEN",
"",
IF(OFFSET(INDIRECT(INDEX(ResultColumnFinder[First Value Address],MATCH(CONCATENATE("ResultUUID",$AR8),ResultColumnFinder[Concat2],0)),FALSE),ROW()-4-($AR8-1)*NumSpecimens,0)="",
"",
OFFSET(INDIRECT(INDEX(ResultColumnFinder[First Value Address],MATCH(CONCATENATE("ResultUUID",$AR8),ResultColumnFinder[Concat2],0)),FALSE),ROW()-4-($AR8-1)*NumSpecimens,0))
)</f>
        <v/>
      </c>
      <c r="BF8" s="25" t="str">
        <f>IF(INDEX(ResultColumnFinder[First Value Address],MATCH(CONCATENATE("ResultTypeCV",$AR8),ResultColumnFinder[Concat2],0))="NOT GIVEN",
"PLEASE NOTE: A  RESULT TYPE MUST BE SPECIFIED FOR EACH RESULT",
IF(LEFT(INDEX(ResultColumnFinder[First Value Address],MATCH(CONCATENATE("ResultTypeCV",$AR8),ResultColumnFinder[Concat2],0)),14)="'Data Columns'",
IF(COUNTIF(ApplicableResultTypes,INDIRECT(INDEX(ResultColumnFinder[First Value Address],MATCH(CONCATENATE("ResultTypeCV",$AR8),ResultColumnFinder[Concat2],0)),FALSE))=0,
CONCATENATE("PLEASE FILL IN A VALID  RESULT TYPE FOR ",$AS8),
INDIRECT(INDEX(ResultColumnFinder[First Value Address],MATCH(CONCATENATE("ResultTypeCV",$AR8),ResultColumnFinder[Concat2],0)),FALSE)),
IF(COUNTIF(ApplicableResultTypes,OFFSET(INDIRECT(INDEX(ResultColumnFinder[First Value Address],MATCH(CONCATENATE("ResultTypeCV",$AR8),ResultColumnFinder[Concat2],0)),FALSE),ROW()-4-($AR8-1)*NumSpecimens,0))=0,
CONCATENATE("PLEASE SPECIFY A VALID  RESULT TYPE FOR ",$AS8," IN ROW ",ROW()-4-($AR8-1)*NumSpecimens),
OFFSET(INDIRECT(INDEX(ResultColumnFinder[First Value Address],MATCH(CONCATENATE("ResultTypeCV",$AR8),ResultColumnFinder[Concat2],0)),FALSE),ROW()-4-($AR8-1)*NumSpecimens,0))
))</f>
        <v>measurement</v>
      </c>
      <c r="BG8" s="25" t="str">
        <f>IF(INDEX(ResultColumnFinder[First Value Address],MATCH(CONCATENATE("VariableCode",$AR8),ResultColumnFinder[Concat2],0))="NOT GIVEN",
"PLEASE NOTE: A VARIABLE CODE MUST BE SPECIFIED FOR EACH RESULT",
IF(LEFT(INDEX(ResultColumnFinder[First Value Address],MATCH(CONCATENATE("VariableCode",$AR8),ResultColumnFinder[Concat2],0)),14)="'Data Columns'",
IF(ISERROR(MATCH(INDIRECT(INDEX(ResultColumnFinder[First Value Address],MATCH(CONCATENATE("VariableCode",$AR8),ResultColumnFinder[Concat2],0)),FALSE),Variables[Variable Code],0)),
CONCATENATE("PLEASE FILL IN A VALID VARIABLE CODE FOR ",$AS8),
CONCATENATE("*VariableID",TEXT(MATCH(INDIRECT(INDEX(ResultColumnFinder[First Value Address],MATCH(CONCATENATE("VariableCode",$AR8),ResultColumnFinder[Concat2],0)),FALSE),Variables[Variable Code],0),"00000"))),
IF(ISERROR(MATCH(OFFSET(INDIRECT(INDEX(ResultColumnFinder[First Value Address],MATCH(CONCATENATE("VariableCode",$AR8),ResultColumnFinder[Concat2],0)),FALSE),ROW()-4-($AR8-1)*NumSpecimens,0),Variables[Variable Code],0)),
CONCATENATE("PLEASE SPECIFY A VALID VARIABLE CODE FOR ",$AS8," IN ROW ",ROW()-4-($AR8-1)*NumSpecimens),
CONCATENATE("*VariableID",TEXT(MATCH(OFFSET(INDIRECT(INDEX(ResultColumnFinder[First Value Address],MATCH(CONCATENATE("VariableCode",$AR8),ResultColumnFinder[Concat2],0)),FALSE),ROW()-4-($AR8-1)*NumSpecimens,0),Variables[Variable Code],0),"00000")))))</f>
        <v>*VariableID00004</v>
      </c>
      <c r="BH8" s="25" t="str">
        <f>IF(INDEX(ResultColumnFinder[First Value Address],MATCH(CONCATENATE("UnitName",$AR8),ResultColumnFinder[Concat2],0))="NOT GIVEN",
"PLEASE NOTE: A UNIT MUST BE SPECIFIED FOR EACH RESULT",
IF(LEFT(INDEX(ResultColumnFinder[First Value Address],MATCH(CONCATENATE("UnitName",$AR8),ResultColumnFinder[Concat2],0)),14)="'Data Columns'",
IF(INDIRECT(INDEX(ResultColumnFinder[First Value Address],MATCH(CONCATENATE("UnitName",$AR8),ResultColumnFinder[Concat2],0)),FALSE)="",
CONCATENATE("PLEASE FILL IN A UNIT FOR ",$AS8),
INDIRECT(INDEX(ResultColumnFinder[First Value Address],MATCH(CONCATENATE("UnitName",$AR8),ResultColumnFinder[Concat2],0)),FALSE)),
IF(OFFSET(INDIRECT(INDEX(ResultColumnFinder[First Value Address],MATCH(CONCATENATE("UnitName",$AR8),ResultColumnFinder[Concat2],0)),FALSE),ROW()-4-($AR8-1)*NumSpecimens,0)="",
CONCATENATE("PLEASE SPECIFY A UNIT FOR ",$AS8," IN ROW ",ROW()-4-($AR8-1)*NumSpecimens),
OFFSET(INDIRECT(INDEX(ResultColumnFinder[First Value Address],MATCH(CONCATENATE("UnitName",$AR8),ResultColumnFinder[Concat2],0)),FALSE),ROW()-4-($AR8-1)*NumSpecimens,0))
))</f>
        <v>wt. %</v>
      </c>
      <c r="BI8" s="25" t="str">
        <f>IF(INDEX(ResultColumnFinder[First Value Address],MATCH(CONCATENATE("TaxonomicClassifierName",$AR8),ResultColumnFinder[Concat2],0))="NOT GIVEN",
"",
IF(LEFT(INDEX(ResultColumnFinder[First Value Address],MATCH(CONCATENATE("TaxonomicClassifierName",$AR8),ResultColumnFinder[Concat2],0)),14)="'Data Columns'",
IF(ISERROR(MATCH(INDIRECT(INDEX(ResultColumnFinder[First Value Address],MATCH(CONCATENATE("TaxonomicClassifierName",$AR8),ResultColumnFinder[Concat2],0)),FALSE),TaxonomicClassifiers[Taxonomic Classifier Name],0)),
"",
CONCATENATE("*VariableID",TEXT(MATCH(INDIRECT(INDEX(ResultColumnFinder[First Value Address],MATCH(CONCATENATE("TaxonomicClassifierName",$AR8),ResultColumnFinder[Concat2],0)),FALSE),TaxonomicClassifiers[Taxonomic Classifier Name],0),"00000"))),
IF(ISERROR(MATCH(OFFSET(INDIRECT(INDEX(ResultColumnFinder[First Value Address],MATCH(CONCATENATE("TaxonomicClassifierName",$AR8),ResultColumnFinder[Concat2],0)),FALSE),ROW()-4-($AR8-1)*NumSpecimens,0),TaxonomicClassifiers[Taxonomic Classifier Name],0)),
"",
CONCATENATE("*VariableID",TEXT(MATCH(OFFSET(INDIRECT(INDEX(ResultColumnFinder[First Value Address],MATCH(CONCATENATE("TaxonomicClassifierName",$AR8),ResultColumnFinder[Concat2],0)),FALSE),ROW()-4-($AR8-1)*NumSpecimens,0),TaxonomicClassifiers[Taxonomic Classifier Name],0),"00000")))))</f>
        <v/>
      </c>
      <c r="BJ8" s="25" t="str">
        <f>IF(INDEX(ResultColumnFinder[First Value Address],MATCH(CONCATENATE("ProcessingLevelCode",$AR8),ResultColumnFinder[Concat2],0))="NOT GIVEN",
"PLEASE NOTE: A PROCESSING LEVEL CODE MUST BE SPECIFIED FOR EACH RESULT",
IF(LEFT(INDEX(ResultColumnFinder[First Value Address],MATCH(CONCATENATE("ProcessingLevelCode",$AR8),ResultColumnFinder[Concat2],0)),14)="'Data Columns'",
IF(ISERROR(MATCH(INDIRECT(INDEX(ResultColumnFinder[First Value Address],MATCH(CONCATENATE("ProcessingLevelCode",$AR8),ResultColumnFinder[Concat2],0)),FALSE),ProcessingLevels[Processing Level Code],0)),
CONCATENATE("PLEASE FILL IN A VALID PROCESSING LEVEL CODE FOR ",$AS8),
CONCATENATE("*ProcessingLevelID",TEXT(MATCH(INDIRECT(INDEX(ResultColumnFinder[First Value Address],MATCH(CONCATENATE("ProcessingLevelCode",$AR8),ResultColumnFinder[Concat2],0)),FALSE),ProcessingLevels[Processing Level Code],0),"00000"))),
IF(ISERROR(MATCH(OFFSET(INDIRECT(INDEX(ResultColumnFinder[First Value Address],MATCH(CONCATENATE("ProcessingLevelCode",$AR8),ResultColumnFinder[Concat2],0)),FALSE),ROW()-4-($AR8-1)*NumSpecimens,0),ProcessingLevels[Processing Level Code],0)),
CONCATENATE("PLEASE SPECIFY A VALID PROCESSING LEVEL CODE FOR ",$AS8," IN ROW ",ROW()-4-($AR8-1)*NumSpecimens),
CONCATENATE("*ProcessingLevelID",TEXT(MATCH(OFFSET(INDIRECT(INDEX(ResultColumnFinder[First Value Address],MATCH(CONCATENATE("ProcessingLevelCode",$AR8),ResultColumnFinder[Concat2],0)),FALSE),ROW()-4-($AR8-1)*NumSpecimens,0),ProcessingLevels[Processing Level Code],0),"00000")))))</f>
        <v>*ProcessingLevelID00002</v>
      </c>
      <c r="BK8"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Address],MATCH("CollectionDateTime",SpecimenColumnFinder[DataType],0)),FALSE),ROW()-4-($AR8-1)*NumSpecimens,0)="",
CONCATENATE("PLEASE SPECIFY A SPECIMEN COLLECTION DATE/TIME IN ROW ",ROW()-4-($AR8-1)*NumSpecimens),
TEXT(OFFSET(INDIRECT(INDEX(SpecimenColumnFinder[First Value Address],MATCH("CollectionDateTime",SpecimenColumnFinder[DataType],0)),FALSE),ROW()-4-($AR8-1)*NumSpecimens,0),"yyyy-mm-dd hh:mm:ss")))</f>
        <v>2012-06-06 00:00:00</v>
      </c>
      <c r="BL8" s="25">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Address],MATCH("CollectionDateTimeUTCOffset",SpecimenColumnFinder[DataType],0)),FALSE),ROW()-4-($AR8-1)*NumSpecimens,0)="",
CONCATENATE("PLEASE SPECIFY A COLLECTION TIME UTC OFFSET IN ROW ",ROW()-4-($AR8-1)*NumSpecimens),
OFFSET(INDIRECT(INDEX(SpecimenColumnFinder[First Value Address],MATCH("CollectionDateTimeUTCOffset",SpecimenColumnFinder[DataType],0)),FALSE),ROW()-4-($AR8-1)*NumSpecimens,0)))</f>
        <v>-7</v>
      </c>
      <c r="BM8" s="25" t="str">
        <f>IF(INDEX(ResultColumnFinder[First Value Address],MATCH(CONCATENATE("SampledMediumCV",$AR8),ResultColumnFinder[Concat2],0))="NOT GIVEN",
"PLEASE NOTE: A SAMPLED MEDIUM MUST BE SPECIFIED FOR EACH RESULT",
IF(LEFT(INDEX(ResultColumnFinder[First Value Address],MATCH(CONCATENATE("SampledMediumCV",$AR8),ResultColumnFinder[Concat2],0)),14)="'Data Columns'",
IF(COUNTIF(SampledMediumCV,INDIRECT(INDEX(ResultColumnFinder[First Value Address],MATCH(CONCATENATE("SampledMediumCV",$AR8),ResultColumnFinder[Concat2],0)),FALSE))=0,
CONCATENATE("PLEASE FILL IN A VALID SAMPLED MEDIUM FOR ",$AS8),
INDIRECT(INDEX(ResultColumnFinder[First Value Address],MATCH(CONCATENATE("SampledMediumCV",$AR8),ResultColumnFinder[Concat2],0)),FALSE)),
IF(COUNTIF(SampledMediumCV,OFFSET(INDIRECT(INDEX(ResultColumnFinder[First Value Address],MATCH(CONCATENATE("SampledMediumCV",$AR8),ResultColumnFinder[Concat2],0)),FALSE),ROW()-4-($AR8-1)*NumSpecimens,0))=0,
CONCATENATE("PLEASE SPECIFY A VALID SAMPLED MEDIUM FOR ",$AS8," IN ROW ",ROW()-4-($AR8-1)*NumSpecimens),
OFFSET(INDIRECT(INDEX(ResultColumnFinder[First Value Address],MATCH(CONCATENATE("SampledMediumCV",$AR8),ResultColumnFinder[Concat2],0)),FALSE),ROW()-4-($AR8-1)*NumSpecimens,0))
))</f>
        <v>soil</v>
      </c>
      <c r="BN8" s="25" t="str">
        <f>IF(BF8&lt;&gt;"Measurement","",
IF(INDEX(ResultColumnFinder[First Value Address],MATCH(CONCATENATE("CensorCodeCV",$AR8),ResultColumnFinder[Concat2],0))="NOT GIVEN",
"PLEASE NOTE: A CENSOR CODE MUST BE SPECIFIED FOR EACH RESULT",
IF(LEFT(INDEX(ResultColumnFinder[First Value Address],MATCH(CONCATENATE("CensorCodeCV",$AR8),ResultColumnFinder[Concat2],0)),14)="'Data Columns'",
IF(COUNTIF(CensorCodeCV,INDIRECT(INDEX(ResultColumnFinder[First Value Address],MATCH(CONCATENATE("CensorCodeCV",$AR8),ResultColumnFinder[Concat2],0)),FALSE))=0,
CONCATENATE("PLEASE FILL IN A VALID CENSOR CODE FOR ",$AS8),
INDIRECT(INDEX(ResultColumnFinder[First Value Address],MATCH(CONCATENATE("CensorCodeCV",$AR8),ResultColumnFinder[Concat2],0)),FALSE)),
IF(COUNTIF(CensorCodeCV,OFFSET(INDIRECT(INDEX(ResultColumnFinder[First Value Address],MATCH(CONCATENATE("CensorCodeCV",$AR8),ResultColumnFinder[Concat2],0)),FALSE),ROW()-4-($AR8-1)*NumSpecimens,0))=0,
CONCATENATE("PLEASE SPECIFY A VALID CENSOR CODE FOR ",$AS8," IN ROW ",ROW()-4-($AR8-1)*NumSpecimens),
OFFSET(INDIRECT(INDEX(ResultColumnFinder[First Value Address],MATCH(CONCATENATE("CensorCodeCV",$AR8),ResultColumnFinder[Concat2],0)),FALSE),ROW()-4-($AR8-1)*NumSpecimens,0))
)))</f>
        <v>Not censored</v>
      </c>
      <c r="BO8" s="25" t="str">
        <f>IF(INDEX(ResultColumnFinder[First Value Address],MATCH(CONCATENATE("QualityCodeCV",$AR8),ResultColumnFinder[Concat2],0))="NOT GIVEN",
"PLEASE NOTE: A QUALITY CODE MUST BE SPECIFIED FOR EACH RESULT",
IF(LEFT(INDEX(ResultColumnFinder[First Value Address],MATCH(CONCATENATE("QualityCodeCV",$AR8),ResultColumnFinder[Concat2],0)),14)="'Data Columns'",
IF(COUNTIF(QualityCodeCV,INDIRECT(INDEX(ResultColumnFinder[First Value Address],MATCH(CONCATENATE("QualityCodeCV",$AR8),ResultColumnFinder[Concat2],0)),FALSE))=0,
CONCATENATE("PLEASE FILL IN A VALID QUALITY CODE FOR ",$AS8),
INDIRECT(INDEX(ResultColumnFinder[First Value Address],MATCH(CONCATENATE("QualityCodeCV",$AR8),ResultColumnFinder[Concat2],0)),FALSE)),
IF(COUNTIF(QualityCodeCV,OFFSET(INDIRECT(INDEX(ResultColumnFinder[First Value Address],MATCH(CONCATENATE("QualityCodeCV",$AR8),ResultColumnFinder[Concat2],0)),FALSE),ROW()-4-($AR8-1)*NumSpecimens,0))=0,
CONCATENATE("PLEASE SPECIFY A VALID QUALITY CODE FOR ",$AS8," IN ROW ",ROW()-4-($AR8-1)*NumSpecimens),
OFFSET(INDIRECT(INDEX(ResultColumnFinder[First Value Address],MATCH(CONCATENATE("QualityCodeCV",$AR8),ResultColumnFinder[Concat2],0)),FALSE),ROW()-4-($AR8-1)*NumSpecimens,0))
))</f>
        <v>Good</v>
      </c>
      <c r="BP8" s="25" t="str">
        <f>IF(BF8&lt;&gt;"Measurement","",
IF(INDEX(ResultColumnFinder[First Value Address],MATCH(CONCATENATE("AggregationStatisticCV",$AR8),ResultColumnFinder[Concat2],0))="NOT GIVEN",
"PLEASE NOTE: AN AGGREGATION STATISTIC MUST BE SPECIFIED FOR EACH MEASUREMENT RESULT",
IF(LEFT(INDEX(ResultColumnFinder[First Value Address],MATCH(CONCATENATE("AggregationStatisticCV",$AR8),ResultColumnFinder[Concat2],0)),14)="'Data Columns'",
IF(COUNTIF(AggregationStatisticCV,INDIRECT(INDEX(ResultColumnFinder[First Value Address],MATCH(CONCATENATE("AggregationStatisticCV",$AR8),ResultColumnFinder[Concat2],0)),FALSE))=0,
CONCATENATE("PLEASE FILL IN A VALID AGGREGATION STATISTIC FOR ",$AS8),
INDIRECT(INDEX(ResultColumnFinder[First Value Address],MATCH(CONCATENATE("AggregationStatisticCV",$AR8),ResultColumnFinder[Concat2],0)),FALSE)),
IF(COUNTIF(AggregationStatisticCV,OFFSET(INDIRECT(INDEX(ResultColumnFinder[First Value Address],MATCH(CONCATENATE("AggregationStatisticCV",$AR8),ResultColumnFinder[Concat2],0)),FALSE),ROW()-4-($AR8-1)*NumSpecimens,0))=0,
CONCATENATE("PLEASE SPECIFY A VALID AGGREGATION STATISTIC FOR ",$AS8," IN ROW ",ROW()-4-($AR8-1)*NumSpecimens),
OFFSET(INDIRECT(INDEX(ResultColumnFinder[First Value Address],MATCH(CONCATENATE("AggregationStatisticCV",$AR8),ResultColumnFinder[Concat2],0)),FALSE),ROW()-4-($AR8-1)*NumSpecimens,0))
)))</f>
        <v>PLEASE NOTE: AN AGGREGATION STATISTIC MUST BE SPECIFIED FOR EACH MEASUREMENT RESULT</v>
      </c>
      <c r="BQ8" s="25" t="str">
        <f>IF(BF8&lt;&gt;"Measurement","",
IF(INDEX(ResultColumnFinder[First Value Address],MATCH(CONCATENATE("TimeAggregationInterval",$AR8),ResultColumnFinder[Concat2],0))="NOT GIVEN",
"PLEASE NOTE: A TIME AGGREGATION INTERVAL MUST BE SPECIFIED FOR EACH RESULT",
IF(LEFT(INDEX(ResultColumnFinder[First Value Address],MATCH(CONCATENATE("TimeAggregationInterval",$AR8),ResultColumnFinder[Concat2],0)),14)="'Data Columns'",
IF(INDIRECT(INDEX(ResultColumnFinder[First Value Address],MATCH(CONCATENATE("TimeAggregationInterval",$AR8),ResultColumnFinder[Concat2],0)),FALSE)="",
CONCATENATE("PLEASE FILL IN A TIME AGGREGATION INTERVAL FOR ",$AS8),
INDIRECT(INDEX(ResultColumnFinder[First Value Address],MATCH(CONCATENATE("TimeAggregationInterval",$AR8),ResultColumnFinder[Concat2],0)),FALSE)),
IF(OFFSET(INDIRECT(INDEX(ResultColumnFinder[First Value Address],MATCH(CONCATENATE("TimeAggregationInterval",$AR8),ResultColumnFinder[Concat2],0)),FALSE),ROW()-4-($AR8-1)*NumSpecimens,0)="",
CONCATENATE("PLEASE SPECIFY A TIME AGGREGATION INTERVAL FOR ",$AS8," IN ROW ",ROW()-4-($AR8-1)*NumSpecimens),
OFFSET(INDIRECT(INDEX(ResultColumnFinder[First Value Address],MATCH(CONCATENATE("TimeAggregationInterval",$AR8),ResultColumnFinder[Concat2],0)),FALSE),ROW()-4-($AR8-1)*NumSpecimens,0))
)))</f>
        <v>PLEASE NOTE: A TIME AGGREGATION INTERVAL MUST BE SPECIFIED FOR EACH RESULT</v>
      </c>
      <c r="BR8" s="25" t="str">
        <f>IF(BF8&lt;&gt;"Measurement","",
IF(INDEX(ResultColumnFinder[First Value Address],MATCH(CONCATENATE("TimeAggregationIntervalUnitCode",$AR8),ResultColumnFinder[Concat2],0))="NOT GIVEN",
"PLEASE NOTE: A TIME AGGREGATION UNIT MUST BE SPECIFIED FOR EACH RESULT",
IF(LEFT(INDEX(ResultColumnFinder[First Value Address],MATCH(CONCATENATE("TimeAggregationIntervalUnitCode",$AR8),ResultColumnFinder[Concat2],0)),14)="'Data Columns'",
IF(INDIRECT(INDEX(ResultColumnFinder[First Value Address],MATCH(CONCATENATE("TimeAggregationIntervalUnitCode",$AR8),ResultColumnFinder[Concat2],0)),FALSE)="",
CONCATENATE("PLEASE FILL IN A TIME AGGREGATION UNIT FOR ",$AS8),
INDIRECT(INDEX(ResultColumnFinder[First Value Address],MATCH(CONCATENATE("TimeAggregationIntervalUnitCode",$AR8),ResultColumnFinder[Concat2],0)),FALSE)),
IF(OFFSET(INDIRECT(INDEX(ResultColumnFinder[First Value Address],MATCH(CONCATENATE("TimeAggregationIntervalUnitCode",$AR8),ResultColumnFinder[Concat2],0)),FALSE),ROW()-4-($AR8-1)*NumSpecimens,0)="",
CONCATENATE("PLEASE SPECIFY A TIME AGGREGATION UNIT FOR ",$AS8," IN ROW ",ROW()-4-($AR8-1)*NumSpecimens),
OFFSET(INDIRECT(INDEX(ResultColumnFinder[First Value Address],MATCH(CONCATENATE("TimeAggregationIntervalUnitCode",$AR8),ResultColumnFinder[Concat2],0)),FALSE),ROW()-4-($AR8-1)*NumSpecimens,0))
)))</f>
        <v>PLEASE NOTE: A TIME AGGREGATION UNIT MUST BE SPECIFIED FOR EACH RESULT</v>
      </c>
      <c r="BS8" s="25" t="str">
        <f>IF(NumDataColumns=0,"PLEASE SELECT AT LEAST 1 COLUMN OF RESULT VALUES",
IF(AT8="","",
CONCATENATE("  - &amp;ResultID",TEXT(ROW()-3,"00000"),
" {","ResultUUID:  ",CHAR(34),BE8,CHAR(34),
", FeatureActionObj: *FeatureActionID",TEXT(ROW()-3,"00000"),
", ResultTypeCV:  ",CHAR(34),BF8,CHAR(34),
", VariableObj:  ",BG8,
", UnitsObj:  ",BH8,
", TaxonomicClassifierObj:  ",BI8,
", ProcessingLevelObj:  ",BJ8,
", ResultDateTime:  ",BK8,
", ResultDateTimeUTCOffset:  ",BL8,
", ValidDateTime:  ","NULL",
", ValidDateTimeUTCOffset:  ","NULL",
", StatusCV:  ","NULL",
", SampledMediumCV:  ",CHAR(34),BM8,CHAR(34),
", ValueCount:  ",1,"}")))</f>
        <v xml:space="preserve">  - &amp;ResultID00005 {ResultUUID:  "", FeatureActionObj: *FeatureActionID00005, ResultTypeCV:  "measurement", VariableObj:  *VariableID00004, UnitsObj:  wt. %, TaxonomicClassifierObj:  , ProcessingLevelObj:  *ProcessingLevelID00002, ResultDateTime:  2012-06-06 00:00:00, ResultDateTimeUTCOffset:  -7, ValidDateTime:  NULL, ValidDateTimeUTCOffset:  NULL, StatusCV:  NULL, SampledMediumCV:  "soil", ValueCount:  1}</v>
      </c>
      <c r="BT8" s="25" t="str">
        <f>IF(ROW()-3&gt;NumDataColumns*NumSpecimens,"",
IF(AT8="","",
CONCATENATE("  - {DatasetObj: *DatasetID00001, ",
"ResultObj: *ResultID",TEXT(ROW()-3,"00000"),
"}")))</f>
        <v xml:space="preserve">  - {DatasetObj: *DatasetID00001, ResultObj: *ResultID00005}</v>
      </c>
      <c r="BU8" s="25" t="str">
        <f t="shared" si="5"/>
        <v xml:space="preserve">  - &amp;MeasurementResultID00005 {ResultObj: *ResultID00005, XLocation:  NULL, XLocationUnitsObj:  NULL, YLocation:  NULL, YLocationUnitsObj:  NULL, ZLocation:  NULL, ZLocationUnitsObj:  NULL, SpatialReferenceObj:  NULL, CensorCodeCV: "Not censored", QualityCodeCV:  "Good", AggregationStatisticCV:  "PLEASE NOTE: AN AGGREGATION STATISTIC MUST BE SPECIFIED FOR EACH MEASUREMENT RESULT", TimeAggregationInterval:  PLEASE NOTE: A TIME AGGREGATION INTERVAL MUST BE SPECIFIED FOR EACH RESULT, TimeAggregationUnitsObj:  "PLEASE NOTE: A TIME AGGREGATION UNIT MUST BE SPECIFIED FOR EACH RESULT"}</v>
      </c>
      <c r="BV8" s="25" t="str">
        <f>IF(BF8&lt;&gt;"Measurement","",
IF(AT8="","",
CONCATENATE("  - &amp;MeasurementResultValueID",TEXT(ROW()-3,"00000"),
" {","MeasurementResultObj: *MeasurementResultID",TEXT(ROW()-3,"00000"),
", DataValue: ",AT8,
", ValueDateTime:  ",CHAR(34),BK8,CHAR(34),
", ValueDateTimeUTCOffset:  ",BL8,
"}")))</f>
        <v xml:space="preserve">  - &amp;MeasurementResultValueID00005 {MeasurementResultObj: *MeasurementResultID00005, DataValue: 2.5 YR 6/3, ValueDateTime:  "2012-06-06 00:00:00", ValueDateTimeUTCOffset:  -7}</v>
      </c>
      <c r="BW8" s="25" t="str">
        <f t="shared" si="6"/>
        <v/>
      </c>
      <c r="BX8" s="25" t="str">
        <f>IF(BF8="Measurement","",
IF(AT8="","",
CONCATENATE("  - &amp;CategoricalResultValueID",TEXT(ROW()-3,"00000"),
" {","MeasurementResultObj: *CategoricalResultID",TEXT(ROW()-3,"00000"),
", DataValue: ",AT8,
", ValueDateTime:  ",CHAR(34),BK8,CHAR(34),
", ValueDateTimeUTCOffset:  ",BL8,
"}")))</f>
        <v/>
      </c>
    </row>
  </sheetData>
  <pageMargins left="0.7" right="0.7" top="0.75" bottom="0.75" header="0.3" footer="0.3"/>
  <pageSetup orientation="portrait" verticalDpi="0"/>
  <legacyDrawing r:id="rId1"/>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D3"/>
  <sheetViews>
    <sheetView workbookViewId="0">
      <selection activeCell="D2" sqref="D2:D217"/>
    </sheetView>
  </sheetViews>
  <sheetFormatPr baseColWidth="10" defaultColWidth="8.83203125" defaultRowHeight="14" x14ac:dyDescent="0"/>
  <cols>
    <col min="1" max="1" width="13.5" style="25" bestFit="1" customWidth="1"/>
    <col min="2" max="2" width="34.6640625" style="25" bestFit="1" customWidth="1"/>
    <col min="3" max="3" width="12.1640625" style="25" bestFit="1" customWidth="1"/>
    <col min="4" max="16384" width="8.83203125" style="25"/>
  </cols>
  <sheetData>
    <row r="1" spans="1:4">
      <c r="A1" s="25" t="s">
        <v>134</v>
      </c>
      <c r="B1" s="25" t="s">
        <v>164</v>
      </c>
      <c r="C1" s="25" t="s">
        <v>135</v>
      </c>
      <c r="D1" s="25" t="s">
        <v>133</v>
      </c>
    </row>
    <row r="2" spans="1:4">
      <c r="A2" s="25">
        <v>1</v>
      </c>
      <c r="B2" s="25" t="str">
        <f>OFFSET('YODA Header Blocks'!$A$1,0,A2)</f>
        <v>YAML Header</v>
      </c>
      <c r="C2" s="25">
        <v>1</v>
      </c>
      <c r="D2" s="25" t="str">
        <f>OFFSET('YODA Header Blocks'!$A$2,C2,A2)</f>
        <v>---</v>
      </c>
    </row>
    <row r="3" spans="1:4">
      <c r="A3" s="25">
        <f>IF(C2=INDIRECT(CONCATENATE("'YODA Header Blocks'!R2C",A2+1,":R2C",A2+1),FALSE),A2+1,A2)</f>
        <v>1</v>
      </c>
      <c r="B3" s="25" t="str">
        <f>OFFSET('YODA Header Blocks'!$A$1,0,A3)</f>
        <v>YAML Header</v>
      </c>
      <c r="C3" s="25">
        <f>IF(C2=SUM(INDIRECT(CONCATENATE("'YODA Header Blocks'!R2C",A2+1,":R2C",A2+1),FALSE)),1,C2+1)</f>
        <v>2</v>
      </c>
      <c r="D3" s="25" t="str">
        <f>OFFSET('YODA Header Blocks'!$A$2,C3,A3)</f>
        <v>YODA:</v>
      </c>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A165"/>
  <sheetViews>
    <sheetView topLeftCell="A103" workbookViewId="0"/>
  </sheetViews>
  <sheetFormatPr baseColWidth="10" defaultColWidth="8.83203125" defaultRowHeight="14" x14ac:dyDescent="0"/>
  <sheetData>
    <row r="1" spans="1:1">
      <c r="A1" t="s">
        <v>41</v>
      </c>
    </row>
    <row r="2" spans="1:1">
      <c r="A2" t="s">
        <v>250</v>
      </c>
    </row>
    <row r="3" spans="1:1">
      <c r="A3" t="s">
        <v>1885</v>
      </c>
    </row>
    <row r="4" spans="1:1">
      <c r="A4" t="s">
        <v>182</v>
      </c>
    </row>
    <row r="5" spans="1:1">
      <c r="A5" t="s">
        <v>1978</v>
      </c>
    </row>
    <row r="6" spans="1:1">
      <c r="A6" t="s">
        <v>61</v>
      </c>
    </row>
    <row r="7" spans="1:1">
      <c r="A7" t="s">
        <v>1979</v>
      </c>
    </row>
    <row r="8" spans="1:1">
      <c r="A8" t="s">
        <v>1886</v>
      </c>
    </row>
    <row r="9" spans="1:1">
      <c r="A9" t="s">
        <v>1887</v>
      </c>
    </row>
    <row r="10" spans="1:1">
      <c r="A10" t="s">
        <v>1888</v>
      </c>
    </row>
    <row r="11" spans="1:1">
      <c r="A11" t="s">
        <v>1889</v>
      </c>
    </row>
    <row r="12" spans="1:1">
      <c r="A12" t="s">
        <v>1890</v>
      </c>
    </row>
    <row r="13" spans="1:1">
      <c r="A13" t="s">
        <v>1891</v>
      </c>
    </row>
    <row r="14" spans="1:1">
      <c r="A14" t="s">
        <v>1892</v>
      </c>
    </row>
    <row r="15" spans="1:1">
      <c r="A15" t="s">
        <v>59</v>
      </c>
    </row>
    <row r="16" spans="1:1">
      <c r="A16" t="s">
        <v>1893</v>
      </c>
    </row>
    <row r="17" spans="1:1">
      <c r="A17" t="s">
        <v>1894</v>
      </c>
    </row>
    <row r="18" spans="1:1">
      <c r="A18" t="s">
        <v>1895</v>
      </c>
    </row>
    <row r="19" spans="1:1">
      <c r="A19" t="s">
        <v>1896</v>
      </c>
    </row>
    <row r="20" spans="1:1">
      <c r="A20" t="s">
        <v>1897</v>
      </c>
    </row>
    <row r="21" spans="1:1">
      <c r="A21" t="s">
        <v>62</v>
      </c>
    </row>
    <row r="22" spans="1:1">
      <c r="A22" t="s">
        <v>1980</v>
      </c>
    </row>
    <row r="23" spans="1:1">
      <c r="A23" t="s">
        <v>1981</v>
      </c>
    </row>
    <row r="24" spans="1:1">
      <c r="A24" t="s">
        <v>1982</v>
      </c>
    </row>
    <row r="25" spans="1:1">
      <c r="A25" t="s">
        <v>1983</v>
      </c>
    </row>
    <row r="26" spans="1:1">
      <c r="A26" t="s">
        <v>1984</v>
      </c>
    </row>
    <row r="27" spans="1:1">
      <c r="A27" t="s">
        <v>1898</v>
      </c>
    </row>
    <row r="28" spans="1:1">
      <c r="A28" t="s">
        <v>1985</v>
      </c>
    </row>
    <row r="29" spans="1:1">
      <c r="A29" t="s">
        <v>1899</v>
      </c>
    </row>
    <row r="30" spans="1:1">
      <c r="A30" t="s">
        <v>1986</v>
      </c>
    </row>
    <row r="31" spans="1:1">
      <c r="A31" t="s">
        <v>1900</v>
      </c>
    </row>
    <row r="32" spans="1:1">
      <c r="A32" t="s">
        <v>1901</v>
      </c>
    </row>
    <row r="33" spans="1:1">
      <c r="A33" t="s">
        <v>1902</v>
      </c>
    </row>
    <row r="34" spans="1:1">
      <c r="A34" t="s">
        <v>1903</v>
      </c>
    </row>
    <row r="35" spans="1:1">
      <c r="A35" t="s">
        <v>1904</v>
      </c>
    </row>
    <row r="36" spans="1:1">
      <c r="A36" t="s">
        <v>1905</v>
      </c>
    </row>
    <row r="37" spans="1:1">
      <c r="A37" t="s">
        <v>1906</v>
      </c>
    </row>
    <row r="38" spans="1:1">
      <c r="A38" t="s">
        <v>1907</v>
      </c>
    </row>
    <row r="39" spans="1:1">
      <c r="A39" t="s">
        <v>75</v>
      </c>
    </row>
    <row r="40" spans="1:1">
      <c r="A40" t="s">
        <v>1908</v>
      </c>
    </row>
    <row r="41" spans="1:1">
      <c r="A41" t="s">
        <v>76</v>
      </c>
    </row>
    <row r="42" spans="1:1">
      <c r="A42" t="s">
        <v>1987</v>
      </c>
    </row>
    <row r="43" spans="1:1">
      <c r="A43" t="s">
        <v>1988</v>
      </c>
    </row>
    <row r="44" spans="1:1">
      <c r="A44" t="s">
        <v>1989</v>
      </c>
    </row>
    <row r="45" spans="1:1">
      <c r="A45" t="s">
        <v>1990</v>
      </c>
    </row>
    <row r="46" spans="1:1">
      <c r="A46" t="s">
        <v>1991</v>
      </c>
    </row>
    <row r="47" spans="1:1">
      <c r="A47" t="s">
        <v>1992</v>
      </c>
    </row>
    <row r="48" spans="1:1">
      <c r="A48" t="s">
        <v>1993</v>
      </c>
    </row>
    <row r="49" spans="1:1">
      <c r="A49" t="s">
        <v>1994</v>
      </c>
    </row>
    <row r="50" spans="1:1">
      <c r="A50" t="s">
        <v>1995</v>
      </c>
    </row>
    <row r="51" spans="1:1">
      <c r="A51" t="s">
        <v>1996</v>
      </c>
    </row>
    <row r="52" spans="1:1">
      <c r="A52" t="s">
        <v>1997</v>
      </c>
    </row>
    <row r="53" spans="1:1">
      <c r="A53" t="s">
        <v>1998</v>
      </c>
    </row>
    <row r="54" spans="1:1">
      <c r="A54" t="s">
        <v>1999</v>
      </c>
    </row>
    <row r="55" spans="1:1">
      <c r="A55" t="s">
        <v>1909</v>
      </c>
    </row>
    <row r="56" spans="1:1">
      <c r="A56" t="s">
        <v>1910</v>
      </c>
    </row>
    <row r="57" spans="1:1">
      <c r="A57" t="s">
        <v>1911</v>
      </c>
    </row>
    <row r="58" spans="1:1">
      <c r="A58" t="s">
        <v>1912</v>
      </c>
    </row>
    <row r="59" spans="1:1">
      <c r="A59" t="s">
        <v>1913</v>
      </c>
    </row>
    <row r="60" spans="1:1">
      <c r="A60" t="s">
        <v>1914</v>
      </c>
    </row>
    <row r="61" spans="1:1">
      <c r="A61" t="s">
        <v>1915</v>
      </c>
    </row>
    <row r="62" spans="1:1">
      <c r="A62" t="s">
        <v>1916</v>
      </c>
    </row>
    <row r="63" spans="1:1">
      <c r="A63" t="s">
        <v>1917</v>
      </c>
    </row>
    <row r="64" spans="1:1">
      <c r="A64" t="s">
        <v>1918</v>
      </c>
    </row>
    <row r="65" spans="1:1">
      <c r="A65" t="s">
        <v>1919</v>
      </c>
    </row>
    <row r="66" spans="1:1">
      <c r="A66" t="s">
        <v>1920</v>
      </c>
    </row>
    <row r="67" spans="1:1">
      <c r="A67" t="s">
        <v>1921</v>
      </c>
    </row>
    <row r="68" spans="1:1">
      <c r="A68" t="s">
        <v>1922</v>
      </c>
    </row>
    <row r="69" spans="1:1">
      <c r="A69" t="s">
        <v>2000</v>
      </c>
    </row>
    <row r="70" spans="1:1">
      <c r="A70" t="s">
        <v>344</v>
      </c>
    </row>
    <row r="71" spans="1:1">
      <c r="A71" t="s">
        <v>1923</v>
      </c>
    </row>
    <row r="72" spans="1:1">
      <c r="A72" t="s">
        <v>1924</v>
      </c>
    </row>
    <row r="73" spans="1:1">
      <c r="A73" t="s">
        <v>1925</v>
      </c>
    </row>
    <row r="74" spans="1:1">
      <c r="A74" t="s">
        <v>1926</v>
      </c>
    </row>
    <row r="75" spans="1:1">
      <c r="A75" t="s">
        <v>1927</v>
      </c>
    </row>
    <row r="76" spans="1:1">
      <c r="A76" t="s">
        <v>1928</v>
      </c>
    </row>
    <row r="77" spans="1:1">
      <c r="A77" t="s">
        <v>1929</v>
      </c>
    </row>
    <row r="78" spans="1:1">
      <c r="A78" t="s">
        <v>1930</v>
      </c>
    </row>
    <row r="79" spans="1:1">
      <c r="A79" t="s">
        <v>1931</v>
      </c>
    </row>
    <row r="80" spans="1:1">
      <c r="A80" t="s">
        <v>1932</v>
      </c>
    </row>
    <row r="81" spans="1:1">
      <c r="A81" t="s">
        <v>1933</v>
      </c>
    </row>
    <row r="82" spans="1:1">
      <c r="A82" t="e">
        <v>#N/A</v>
      </c>
    </row>
    <row r="83" spans="1:1">
      <c r="A83" t="s">
        <v>1934</v>
      </c>
    </row>
    <row r="84" spans="1:1">
      <c r="A84" t="s">
        <v>2001</v>
      </c>
    </row>
    <row r="85" spans="1:1">
      <c r="A85" t="s">
        <v>2002</v>
      </c>
    </row>
    <row r="86" spans="1:1">
      <c r="A86" t="s">
        <v>2003</v>
      </c>
    </row>
    <row r="87" spans="1:1">
      <c r="A87" t="s">
        <v>2004</v>
      </c>
    </row>
    <row r="88" spans="1:1">
      <c r="A88" t="s">
        <v>2005</v>
      </c>
    </row>
    <row r="89" spans="1:1">
      <c r="A89" t="s">
        <v>2006</v>
      </c>
    </row>
    <row r="90" spans="1:1">
      <c r="A90" t="s">
        <v>2007</v>
      </c>
    </row>
    <row r="91" spans="1:1">
      <c r="A91" t="s">
        <v>2008</v>
      </c>
    </row>
    <row r="92" spans="1:1">
      <c r="A92" t="s">
        <v>2009</v>
      </c>
    </row>
    <row r="93" spans="1:1">
      <c r="A93" t="s">
        <v>2010</v>
      </c>
    </row>
    <row r="94" spans="1:1">
      <c r="A94" t="s">
        <v>1935</v>
      </c>
    </row>
    <row r="95" spans="1:1">
      <c r="A95" t="s">
        <v>1936</v>
      </c>
    </row>
    <row r="96" spans="1:1">
      <c r="A96" t="s">
        <v>1937</v>
      </c>
    </row>
    <row r="97" spans="1:1">
      <c r="A97" t="s">
        <v>1938</v>
      </c>
    </row>
    <row r="98" spans="1:1">
      <c r="A98" t="s">
        <v>1939</v>
      </c>
    </row>
    <row r="99" spans="1:1">
      <c r="A99" t="s">
        <v>1940</v>
      </c>
    </row>
    <row r="100" spans="1:1">
      <c r="A100" t="s">
        <v>1941</v>
      </c>
    </row>
    <row r="101" spans="1:1">
      <c r="A101" t="s">
        <v>1942</v>
      </c>
    </row>
    <row r="102" spans="1:1">
      <c r="A102" t="s">
        <v>1943</v>
      </c>
    </row>
    <row r="103" spans="1:1">
      <c r="A103" t="s">
        <v>1944</v>
      </c>
    </row>
    <row r="104" spans="1:1">
      <c r="A104" t="s">
        <v>1945</v>
      </c>
    </row>
    <row r="105" spans="1:1">
      <c r="A105" t="s">
        <v>1946</v>
      </c>
    </row>
    <row r="106" spans="1:1">
      <c r="A106" t="s">
        <v>1947</v>
      </c>
    </row>
    <row r="107" spans="1:1">
      <c r="A107" t="e">
        <v>#N/A</v>
      </c>
    </row>
    <row r="108" spans="1:1">
      <c r="A108" t="s">
        <v>107</v>
      </c>
    </row>
    <row r="109" spans="1:1">
      <c r="A109" t="s">
        <v>2011</v>
      </c>
    </row>
    <row r="110" spans="1:1">
      <c r="A110" t="s">
        <v>2012</v>
      </c>
    </row>
    <row r="111" spans="1:1">
      <c r="A111" t="s">
        <v>2013</v>
      </c>
    </row>
    <row r="112" spans="1:1">
      <c r="A112" t="s">
        <v>2014</v>
      </c>
    </row>
    <row r="113" spans="1:1">
      <c r="A113" t="s">
        <v>131</v>
      </c>
    </row>
    <row r="114" spans="1:1">
      <c r="A114" t="s">
        <v>2015</v>
      </c>
    </row>
    <row r="115" spans="1:1">
      <c r="A115" t="s">
        <v>2016</v>
      </c>
    </row>
    <row r="116" spans="1:1">
      <c r="A116" t="s">
        <v>2017</v>
      </c>
    </row>
    <row r="117" spans="1:1">
      <c r="A117" t="s">
        <v>2018</v>
      </c>
    </row>
    <row r="118" spans="1:1">
      <c r="A118" t="s">
        <v>363</v>
      </c>
    </row>
    <row r="119" spans="1:1">
      <c r="A119" t="s">
        <v>1948</v>
      </c>
    </row>
    <row r="120" spans="1:1">
      <c r="A120" t="s">
        <v>1949</v>
      </c>
    </row>
    <row r="121" spans="1:1">
      <c r="A121" t="s">
        <v>1950</v>
      </c>
    </row>
    <row r="122" spans="1:1">
      <c r="A122" t="s">
        <v>1951</v>
      </c>
    </row>
    <row r="123" spans="1:1">
      <c r="A123" t="s">
        <v>1952</v>
      </c>
    </row>
    <row r="124" spans="1:1">
      <c r="A124" t="s">
        <v>155</v>
      </c>
    </row>
    <row r="125" spans="1:1">
      <c r="A125" t="s">
        <v>2019</v>
      </c>
    </row>
    <row r="126" spans="1:1">
      <c r="A126" t="s">
        <v>2020</v>
      </c>
    </row>
    <row r="127" spans="1:1">
      <c r="A127" t="s">
        <v>2021</v>
      </c>
    </row>
    <row r="128" spans="1:1">
      <c r="A128" t="s">
        <v>2022</v>
      </c>
    </row>
    <row r="129" spans="1:1">
      <c r="A129" t="s">
        <v>2023</v>
      </c>
    </row>
    <row r="130" spans="1:1">
      <c r="A130" t="s">
        <v>2024</v>
      </c>
    </row>
    <row r="131" spans="1:1">
      <c r="A131" t="s">
        <v>156</v>
      </c>
    </row>
    <row r="132" spans="1:1">
      <c r="A132" t="s">
        <v>1953</v>
      </c>
    </row>
    <row r="133" spans="1:1">
      <c r="A133" t="s">
        <v>1954</v>
      </c>
    </row>
    <row r="134" spans="1:1">
      <c r="A134" t="s">
        <v>1955</v>
      </c>
    </row>
    <row r="135" spans="1:1">
      <c r="A135" t="s">
        <v>1956</v>
      </c>
    </row>
    <row r="136" spans="1:1">
      <c r="A136" t="s">
        <v>1957</v>
      </c>
    </row>
    <row r="137" spans="1:1">
      <c r="A137" t="s">
        <v>1958</v>
      </c>
    </row>
    <row r="138" spans="1:1">
      <c r="A138" t="s">
        <v>249</v>
      </c>
    </row>
    <row r="139" spans="1:1">
      <c r="A139" t="e">
        <v>#N/A</v>
      </c>
    </row>
    <row r="140" spans="1:1">
      <c r="A140" t="s">
        <v>1959</v>
      </c>
    </row>
    <row r="141" spans="1:1">
      <c r="A141" t="s">
        <v>1960</v>
      </c>
    </row>
    <row r="142" spans="1:1">
      <c r="A142" t="s">
        <v>1961</v>
      </c>
    </row>
    <row r="143" spans="1:1">
      <c r="A143" t="s">
        <v>1962</v>
      </c>
    </row>
    <row r="144" spans="1:1">
      <c r="A144" t="s">
        <v>158</v>
      </c>
    </row>
    <row r="145" spans="1:1">
      <c r="A145" t="s">
        <v>2025</v>
      </c>
    </row>
    <row r="146" spans="1:1">
      <c r="A146" t="s">
        <v>2026</v>
      </c>
    </row>
    <row r="147" spans="1:1">
      <c r="A147" t="s">
        <v>2027</v>
      </c>
    </row>
    <row r="148" spans="1:1">
      <c r="A148" t="s">
        <v>2028</v>
      </c>
    </row>
    <row r="149" spans="1:1">
      <c r="A149" t="s">
        <v>2029</v>
      </c>
    </row>
    <row r="150" spans="1:1">
      <c r="A150" t="s">
        <v>416</v>
      </c>
    </row>
    <row r="151" spans="1:1">
      <c r="A151" t="s">
        <v>1963</v>
      </c>
    </row>
    <row r="152" spans="1:1">
      <c r="A152" t="s">
        <v>1964</v>
      </c>
    </row>
    <row r="153" spans="1:1">
      <c r="A153" t="s">
        <v>1965</v>
      </c>
    </row>
    <row r="154" spans="1:1">
      <c r="A154" t="s">
        <v>1966</v>
      </c>
    </row>
    <row r="155" spans="1:1">
      <c r="A155" t="s">
        <v>1967</v>
      </c>
    </row>
    <row r="156" spans="1:1">
      <c r="A156" t="s">
        <v>1968</v>
      </c>
    </row>
    <row r="157" spans="1:1">
      <c r="A157" t="s">
        <v>1969</v>
      </c>
    </row>
    <row r="158" spans="1:1">
      <c r="A158" t="s">
        <v>1970</v>
      </c>
    </row>
    <row r="159" spans="1:1">
      <c r="A159" t="s">
        <v>1971</v>
      </c>
    </row>
    <row r="160" spans="1:1">
      <c r="A160" t="s">
        <v>1972</v>
      </c>
    </row>
    <row r="161" spans="1:1">
      <c r="A161" t="s">
        <v>1973</v>
      </c>
    </row>
    <row r="162" spans="1:1">
      <c r="A162" t="s">
        <v>1974</v>
      </c>
    </row>
    <row r="163" spans="1:1">
      <c r="A163" t="s">
        <v>1975</v>
      </c>
    </row>
    <row r="164" spans="1:1">
      <c r="A164" t="s">
        <v>1976</v>
      </c>
    </row>
    <row r="165" spans="1:1">
      <c r="A165" t="s">
        <v>1977</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dimension ref="A1:AG793"/>
  <sheetViews>
    <sheetView workbookViewId="0">
      <selection activeCell="AG2" sqref="AG2:AG24"/>
    </sheetView>
  </sheetViews>
  <sheetFormatPr baseColWidth="10" defaultColWidth="8.83203125" defaultRowHeight="14" x14ac:dyDescent="0"/>
  <cols>
    <col min="1" max="1" width="10.5" bestFit="1" customWidth="1"/>
    <col min="2" max="2" width="16.1640625" bestFit="1" customWidth="1"/>
    <col min="3" max="3" width="36" bestFit="1" customWidth="1"/>
    <col min="4" max="4" width="23.83203125" bestFit="1" customWidth="1"/>
    <col min="5" max="5" width="25.5" bestFit="1" customWidth="1"/>
    <col min="6" max="6" width="32" bestFit="1" customWidth="1"/>
    <col min="7" max="7" width="23.1640625" bestFit="1" customWidth="1"/>
    <col min="8" max="8" width="27.33203125" bestFit="1" customWidth="1"/>
    <col min="9" max="9" width="24.1640625" bestFit="1" customWidth="1"/>
    <col min="10" max="10" width="21.5" style="4" bestFit="1" customWidth="1"/>
    <col min="11" max="11" width="36" style="4" bestFit="1" customWidth="1"/>
    <col min="12" max="12" width="18.5" style="4" bestFit="1" customWidth="1"/>
    <col min="13" max="13" width="17.5" bestFit="1" customWidth="1"/>
    <col min="14" max="14" width="31.33203125" style="4" bestFit="1" customWidth="1"/>
    <col min="15" max="15" width="23.1640625" bestFit="1" customWidth="1"/>
    <col min="16" max="16" width="20.1640625" style="4" bestFit="1" customWidth="1"/>
    <col min="17" max="17" width="20.1640625" bestFit="1" customWidth="1"/>
    <col min="18" max="18" width="13.6640625" style="4" bestFit="1" customWidth="1"/>
    <col min="19" max="19" width="27.33203125" style="4" bestFit="1" customWidth="1"/>
    <col min="20" max="20" width="19.5" bestFit="1" customWidth="1"/>
    <col min="21" max="21" width="20.33203125" style="4" bestFit="1" customWidth="1"/>
    <col min="22" max="22" width="18.5" style="4" bestFit="1" customWidth="1"/>
    <col min="23" max="23" width="25.5" bestFit="1" customWidth="1"/>
    <col min="24" max="24" width="22.1640625" bestFit="1" customWidth="1"/>
    <col min="25" max="25" width="34.33203125" bestFit="1" customWidth="1"/>
    <col min="26" max="26" width="31.5" bestFit="1" customWidth="1"/>
    <col min="27" max="27" width="13.5" bestFit="1" customWidth="1"/>
    <col min="28" max="28" width="19.5" bestFit="1" customWidth="1"/>
    <col min="29" max="29" width="27.5" style="4" bestFit="1" customWidth="1"/>
    <col min="30" max="30" width="9.5" bestFit="1" customWidth="1"/>
    <col min="31" max="31" width="24.83203125" bestFit="1" customWidth="1"/>
    <col min="32" max="32" width="64.5" bestFit="1" customWidth="1"/>
    <col min="33" max="33" width="19.1640625" bestFit="1" customWidth="1"/>
    <col min="35" max="35" width="33.33203125" bestFit="1" customWidth="1"/>
    <col min="40" max="40" width="23.5" bestFit="1" customWidth="1"/>
    <col min="41" max="41" width="17.5" bestFit="1" customWidth="1"/>
    <col min="42" max="42" width="40.5" customWidth="1"/>
    <col min="45" max="45" width="24.83203125" bestFit="1" customWidth="1"/>
    <col min="47" max="47" width="28.6640625" bestFit="1" customWidth="1"/>
    <col min="49" max="49" width="23.5" bestFit="1" customWidth="1"/>
    <col min="51" max="51" width="28.33203125" bestFit="1" customWidth="1"/>
  </cols>
  <sheetData>
    <row r="1" spans="1:33">
      <c r="A1" s="1" t="s">
        <v>66</v>
      </c>
      <c r="B1" s="1" t="s">
        <v>73</v>
      </c>
      <c r="C1" s="1" t="s">
        <v>648</v>
      </c>
      <c r="D1" s="1" t="s">
        <v>658</v>
      </c>
      <c r="E1" s="1" t="s">
        <v>673</v>
      </c>
      <c r="F1" s="1" t="s">
        <v>251</v>
      </c>
      <c r="G1" s="1" t="s">
        <v>646</v>
      </c>
      <c r="H1" s="1" t="s">
        <v>647</v>
      </c>
      <c r="I1" s="1" t="s">
        <v>649</v>
      </c>
      <c r="J1" s="1" t="s">
        <v>675</v>
      </c>
      <c r="K1" s="1" t="s">
        <v>650</v>
      </c>
      <c r="L1" s="1" t="s">
        <v>651</v>
      </c>
      <c r="M1" s="1" t="s">
        <v>652</v>
      </c>
      <c r="N1" s="1" t="s">
        <v>653</v>
      </c>
      <c r="O1" s="1" t="s">
        <v>672</v>
      </c>
      <c r="P1" s="1" t="s">
        <v>654</v>
      </c>
      <c r="Q1" s="1" t="s">
        <v>655</v>
      </c>
      <c r="R1" s="1" t="s">
        <v>656</v>
      </c>
      <c r="S1" s="1" t="s">
        <v>657</v>
      </c>
      <c r="T1" s="1" t="s">
        <v>674</v>
      </c>
      <c r="U1" s="1" t="s">
        <v>659</v>
      </c>
      <c r="V1" s="1" t="s">
        <v>660</v>
      </c>
      <c r="W1" s="1" t="s">
        <v>661</v>
      </c>
      <c r="X1" s="1" t="s">
        <v>662</v>
      </c>
      <c r="Y1" s="1" t="s">
        <v>663</v>
      </c>
      <c r="Z1" s="1" t="s">
        <v>664</v>
      </c>
      <c r="AA1" s="1" t="s">
        <v>665</v>
      </c>
      <c r="AB1" s="1" t="s">
        <v>666</v>
      </c>
      <c r="AC1" s="1" t="s">
        <v>667</v>
      </c>
      <c r="AD1" s="1" t="s">
        <v>668</v>
      </c>
      <c r="AE1" s="1" t="s">
        <v>669</v>
      </c>
      <c r="AF1" s="1" t="s">
        <v>670</v>
      </c>
      <c r="AG1" s="1" t="s">
        <v>671</v>
      </c>
    </row>
    <row r="2" spans="1:33">
      <c r="A2" t="b">
        <v>0</v>
      </c>
      <c r="B2" s="2" t="s">
        <v>58</v>
      </c>
      <c r="C2" s="4" t="s">
        <v>720</v>
      </c>
      <c r="D2" t="s">
        <v>722</v>
      </c>
      <c r="E2" t="s">
        <v>696</v>
      </c>
      <c r="F2" s="2" t="s">
        <v>145</v>
      </c>
      <c r="G2" t="s">
        <v>678</v>
      </c>
      <c r="H2" t="s">
        <v>146</v>
      </c>
      <c r="I2" t="s">
        <v>715</v>
      </c>
      <c r="J2" s="4" t="s">
        <v>725</v>
      </c>
      <c r="K2" s="4" t="s">
        <v>729</v>
      </c>
      <c r="L2" s="4" t="s">
        <v>731</v>
      </c>
      <c r="M2" t="s">
        <v>38</v>
      </c>
      <c r="N2" s="4" t="s">
        <v>734</v>
      </c>
      <c r="O2" s="4" t="s">
        <v>678</v>
      </c>
      <c r="P2" t="s">
        <v>758</v>
      </c>
      <c r="Q2" s="4" t="s">
        <v>66</v>
      </c>
      <c r="R2" t="s">
        <v>784</v>
      </c>
      <c r="S2" s="4" t="s">
        <v>787</v>
      </c>
      <c r="T2" t="s">
        <v>799</v>
      </c>
      <c r="U2" s="4" t="s">
        <v>722</v>
      </c>
      <c r="V2" t="s">
        <v>787</v>
      </c>
      <c r="W2" t="s">
        <v>834</v>
      </c>
      <c r="X2" t="s">
        <v>840</v>
      </c>
      <c r="Y2" t="s">
        <v>859</v>
      </c>
      <c r="Z2" t="s">
        <v>908</v>
      </c>
      <c r="AA2" s="4" t="s">
        <v>509</v>
      </c>
      <c r="AB2" s="4" t="s">
        <v>787</v>
      </c>
      <c r="AC2" t="s">
        <v>31</v>
      </c>
      <c r="AD2" t="s">
        <v>949</v>
      </c>
      <c r="AE2" t="s">
        <v>952</v>
      </c>
      <c r="AF2" t="s">
        <v>959</v>
      </c>
      <c r="AG2" t="s">
        <v>1738</v>
      </c>
    </row>
    <row r="3" spans="1:33">
      <c r="A3" t="b">
        <v>1</v>
      </c>
      <c r="C3" t="s">
        <v>690</v>
      </c>
      <c r="D3" s="4" t="s">
        <v>723</v>
      </c>
      <c r="E3" t="s">
        <v>697</v>
      </c>
      <c r="F3" s="4" t="s">
        <v>300</v>
      </c>
      <c r="G3" t="s">
        <v>679</v>
      </c>
      <c r="H3" t="s">
        <v>702</v>
      </c>
      <c r="I3" t="s">
        <v>716</v>
      </c>
      <c r="J3" s="4" t="s">
        <v>726</v>
      </c>
      <c r="K3" s="4" t="s">
        <v>720</v>
      </c>
      <c r="L3" s="4" t="s">
        <v>732</v>
      </c>
      <c r="M3" t="s">
        <v>39</v>
      </c>
      <c r="N3" s="4" t="s">
        <v>735</v>
      </c>
      <c r="O3" s="4" t="s">
        <v>679</v>
      </c>
      <c r="P3" t="s">
        <v>759</v>
      </c>
      <c r="Q3" s="4" t="s">
        <v>781</v>
      </c>
      <c r="R3" t="s">
        <v>144</v>
      </c>
      <c r="S3" s="4" t="s">
        <v>788</v>
      </c>
      <c r="T3" t="s">
        <v>800</v>
      </c>
      <c r="U3" s="4" t="s">
        <v>723</v>
      </c>
      <c r="V3" t="s">
        <v>788</v>
      </c>
      <c r="W3" t="s">
        <v>835</v>
      </c>
      <c r="X3" t="s">
        <v>841</v>
      </c>
      <c r="Y3" t="s">
        <v>860</v>
      </c>
      <c r="Z3" t="s">
        <v>909</v>
      </c>
      <c r="AA3" s="4" t="s">
        <v>510</v>
      </c>
      <c r="AB3" s="4" t="s">
        <v>788</v>
      </c>
      <c r="AC3" t="s">
        <v>926</v>
      </c>
      <c r="AD3" t="s">
        <v>950</v>
      </c>
      <c r="AE3" t="s">
        <v>8</v>
      </c>
      <c r="AF3" t="s">
        <v>960</v>
      </c>
      <c r="AG3" t="s">
        <v>7</v>
      </c>
    </row>
    <row r="4" spans="1:33">
      <c r="C4" s="4" t="s">
        <v>721</v>
      </c>
      <c r="D4" s="4" t="s">
        <v>141</v>
      </c>
      <c r="F4" s="4" t="s">
        <v>301</v>
      </c>
      <c r="G4" t="s">
        <v>680</v>
      </c>
      <c r="H4" t="s">
        <v>703</v>
      </c>
      <c r="I4" t="s">
        <v>717</v>
      </c>
      <c r="J4" s="4" t="s">
        <v>727</v>
      </c>
      <c r="K4" s="4" t="s">
        <v>690</v>
      </c>
      <c r="L4" s="4" t="s">
        <v>733</v>
      </c>
      <c r="M4" t="s">
        <v>40</v>
      </c>
      <c r="N4" s="4" t="s">
        <v>736</v>
      </c>
      <c r="O4" s="4" t="s">
        <v>680</v>
      </c>
      <c r="P4" t="s">
        <v>760</v>
      </c>
      <c r="Q4" s="4" t="s">
        <v>782</v>
      </c>
      <c r="R4" t="s">
        <v>785</v>
      </c>
      <c r="S4" s="4" t="s">
        <v>789</v>
      </c>
      <c r="T4" t="s">
        <v>801</v>
      </c>
      <c r="U4" s="4" t="s">
        <v>141</v>
      </c>
      <c r="V4" t="s">
        <v>789</v>
      </c>
      <c r="W4" t="s">
        <v>836</v>
      </c>
      <c r="X4" t="s">
        <v>136</v>
      </c>
      <c r="Y4" t="s">
        <v>861</v>
      </c>
      <c r="Z4" t="s">
        <v>910</v>
      </c>
      <c r="AA4" s="4" t="s">
        <v>511</v>
      </c>
      <c r="AB4" s="4" t="s">
        <v>789</v>
      </c>
      <c r="AC4" t="s">
        <v>927</v>
      </c>
      <c r="AD4" t="s">
        <v>951</v>
      </c>
      <c r="AE4" t="s">
        <v>9</v>
      </c>
      <c r="AF4" t="s">
        <v>961</v>
      </c>
      <c r="AG4" t="s">
        <v>8</v>
      </c>
    </row>
    <row r="5" spans="1:33">
      <c r="D5" s="4" t="s">
        <v>724</v>
      </c>
      <c r="F5" s="4" t="s">
        <v>142</v>
      </c>
      <c r="G5" t="s">
        <v>682</v>
      </c>
      <c r="H5" t="s">
        <v>704</v>
      </c>
      <c r="I5" t="s">
        <v>718</v>
      </c>
      <c r="J5" s="4" t="s">
        <v>728</v>
      </c>
      <c r="K5" s="4" t="s">
        <v>730</v>
      </c>
      <c r="M5" t="s">
        <v>14</v>
      </c>
      <c r="N5" s="4" t="s">
        <v>737</v>
      </c>
      <c r="O5" s="4" t="s">
        <v>682</v>
      </c>
      <c r="P5" t="s">
        <v>761</v>
      </c>
      <c r="Q5" s="4" t="s">
        <v>783</v>
      </c>
      <c r="R5" t="s">
        <v>786</v>
      </c>
      <c r="S5" s="4" t="s">
        <v>790</v>
      </c>
      <c r="T5" t="s">
        <v>802</v>
      </c>
      <c r="U5" s="4" t="s">
        <v>826</v>
      </c>
      <c r="V5" t="s">
        <v>790</v>
      </c>
      <c r="W5" t="s">
        <v>837</v>
      </c>
      <c r="X5" t="s">
        <v>842</v>
      </c>
      <c r="Y5" t="s">
        <v>862</v>
      </c>
      <c r="Z5" t="s">
        <v>842</v>
      </c>
      <c r="AA5" s="4" t="s">
        <v>512</v>
      </c>
      <c r="AB5" s="4" t="s">
        <v>790</v>
      </c>
      <c r="AC5" t="s">
        <v>928</v>
      </c>
      <c r="AE5" t="s">
        <v>10</v>
      </c>
      <c r="AF5" t="s">
        <v>962</v>
      </c>
      <c r="AG5" t="s">
        <v>9</v>
      </c>
    </row>
    <row r="6" spans="1:33">
      <c r="F6" s="4" t="s">
        <v>298</v>
      </c>
      <c r="G6" t="s">
        <v>683</v>
      </c>
      <c r="H6" t="s">
        <v>705</v>
      </c>
      <c r="I6" t="s">
        <v>719</v>
      </c>
      <c r="K6" s="4" t="s">
        <v>721</v>
      </c>
      <c r="N6" s="4" t="s">
        <v>738</v>
      </c>
      <c r="O6" s="4" t="s">
        <v>683</v>
      </c>
      <c r="P6" t="s">
        <v>762</v>
      </c>
      <c r="Q6" s="4"/>
      <c r="R6" t="s">
        <v>14</v>
      </c>
      <c r="S6" s="4" t="s">
        <v>791</v>
      </c>
      <c r="T6" t="s">
        <v>803</v>
      </c>
      <c r="U6" s="4" t="s">
        <v>827</v>
      </c>
      <c r="V6" t="s">
        <v>791</v>
      </c>
      <c r="W6" t="s">
        <v>792</v>
      </c>
      <c r="X6" t="s">
        <v>843</v>
      </c>
      <c r="Y6" t="s">
        <v>863</v>
      </c>
      <c r="Z6" t="s">
        <v>911</v>
      </c>
      <c r="AA6" s="4" t="s">
        <v>513</v>
      </c>
      <c r="AB6" s="4" t="s">
        <v>791</v>
      </c>
      <c r="AC6" t="s">
        <v>929</v>
      </c>
      <c r="AE6" t="s">
        <v>11</v>
      </c>
      <c r="AF6" t="s">
        <v>963</v>
      </c>
      <c r="AG6" t="s">
        <v>1739</v>
      </c>
    </row>
    <row r="7" spans="1:33">
      <c r="F7" s="4" t="s">
        <v>299</v>
      </c>
      <c r="G7" t="s">
        <v>684</v>
      </c>
      <c r="H7" t="s">
        <v>706</v>
      </c>
      <c r="N7" s="4" t="s">
        <v>739</v>
      </c>
      <c r="O7" s="4" t="s">
        <v>684</v>
      </c>
      <c r="P7" t="s">
        <v>54</v>
      </c>
      <c r="Q7" s="4"/>
      <c r="R7"/>
      <c r="S7" s="4" t="s">
        <v>792</v>
      </c>
      <c r="T7" t="s">
        <v>804</v>
      </c>
      <c r="U7" s="4" t="s">
        <v>828</v>
      </c>
      <c r="V7" t="s">
        <v>792</v>
      </c>
      <c r="W7" t="s">
        <v>28</v>
      </c>
      <c r="X7" t="s">
        <v>844</v>
      </c>
      <c r="Y7" t="s">
        <v>864</v>
      </c>
      <c r="Z7" t="s">
        <v>912</v>
      </c>
      <c r="AA7" s="4" t="s">
        <v>514</v>
      </c>
      <c r="AB7" s="4" t="s">
        <v>792</v>
      </c>
      <c r="AC7" t="s">
        <v>930</v>
      </c>
      <c r="AE7" t="s">
        <v>12</v>
      </c>
      <c r="AF7" t="s">
        <v>964</v>
      </c>
      <c r="AG7" t="s">
        <v>10</v>
      </c>
    </row>
    <row r="8" spans="1:33">
      <c r="F8" s="4" t="s">
        <v>389</v>
      </c>
      <c r="G8" t="s">
        <v>685</v>
      </c>
      <c r="H8" t="s">
        <v>707</v>
      </c>
      <c r="N8" s="4" t="s">
        <v>740</v>
      </c>
      <c r="O8" s="4" t="s">
        <v>685</v>
      </c>
      <c r="P8" t="s">
        <v>763</v>
      </c>
      <c r="Q8" s="4"/>
      <c r="R8"/>
      <c r="S8" s="4" t="s">
        <v>793</v>
      </c>
      <c r="T8" t="s">
        <v>805</v>
      </c>
      <c r="U8" s="4" t="s">
        <v>829</v>
      </c>
      <c r="V8" t="s">
        <v>793</v>
      </c>
      <c r="W8" t="s">
        <v>838</v>
      </c>
      <c r="X8" t="s">
        <v>845</v>
      </c>
      <c r="Y8" t="s">
        <v>865</v>
      </c>
      <c r="Z8" t="s">
        <v>913</v>
      </c>
      <c r="AA8" s="4" t="s">
        <v>515</v>
      </c>
      <c r="AB8" s="4" t="s">
        <v>793</v>
      </c>
      <c r="AC8" t="s">
        <v>931</v>
      </c>
      <c r="AE8" t="s">
        <v>953</v>
      </c>
      <c r="AF8" t="s">
        <v>965</v>
      </c>
      <c r="AG8" t="s">
        <v>11</v>
      </c>
    </row>
    <row r="9" spans="1:33">
      <c r="F9" s="4" t="s">
        <v>381</v>
      </c>
      <c r="G9" t="s">
        <v>686</v>
      </c>
      <c r="H9" t="s">
        <v>708</v>
      </c>
      <c r="N9" s="4" t="s">
        <v>741</v>
      </c>
      <c r="O9" s="4" t="s">
        <v>686</v>
      </c>
      <c r="P9" t="s">
        <v>764</v>
      </c>
      <c r="Q9" s="4"/>
      <c r="R9"/>
      <c r="S9" s="4" t="s">
        <v>690</v>
      </c>
      <c r="T9" t="s">
        <v>806</v>
      </c>
      <c r="U9" s="4" t="s">
        <v>830</v>
      </c>
      <c r="V9" t="s">
        <v>690</v>
      </c>
      <c r="W9" t="s">
        <v>839</v>
      </c>
      <c r="X9" t="s">
        <v>846</v>
      </c>
      <c r="Y9" t="s">
        <v>866</v>
      </c>
      <c r="Z9" t="s">
        <v>914</v>
      </c>
      <c r="AA9" s="4" t="s">
        <v>516</v>
      </c>
      <c r="AB9" s="4" t="s">
        <v>690</v>
      </c>
      <c r="AC9" t="s">
        <v>932</v>
      </c>
      <c r="AE9" t="s">
        <v>795</v>
      </c>
      <c r="AF9" t="s">
        <v>966</v>
      </c>
      <c r="AG9" t="s">
        <v>12</v>
      </c>
    </row>
    <row r="10" spans="1:33">
      <c r="F10" s="4" t="s">
        <v>325</v>
      </c>
      <c r="G10" t="s">
        <v>687</v>
      </c>
      <c r="H10" t="s">
        <v>709</v>
      </c>
      <c r="N10" s="4" t="s">
        <v>743</v>
      </c>
      <c r="O10" s="4" t="s">
        <v>687</v>
      </c>
      <c r="P10" t="s">
        <v>765</v>
      </c>
      <c r="Q10" s="4"/>
      <c r="R10"/>
      <c r="S10" s="4" t="s">
        <v>794</v>
      </c>
      <c r="T10" t="s">
        <v>807</v>
      </c>
      <c r="U10" s="4" t="s">
        <v>831</v>
      </c>
      <c r="V10" t="s">
        <v>794</v>
      </c>
      <c r="X10" t="s">
        <v>847</v>
      </c>
      <c r="Y10" t="s">
        <v>867</v>
      </c>
      <c r="Z10" t="s">
        <v>915</v>
      </c>
      <c r="AA10" s="4" t="s">
        <v>517</v>
      </c>
      <c r="AB10" s="4" t="s">
        <v>794</v>
      </c>
      <c r="AC10" t="s">
        <v>933</v>
      </c>
      <c r="AE10" t="s">
        <v>13</v>
      </c>
      <c r="AF10" t="s">
        <v>967</v>
      </c>
      <c r="AG10" t="s">
        <v>1740</v>
      </c>
    </row>
    <row r="11" spans="1:33">
      <c r="F11" s="4" t="s">
        <v>390</v>
      </c>
      <c r="G11" t="s">
        <v>688</v>
      </c>
      <c r="H11" t="s">
        <v>710</v>
      </c>
      <c r="N11" s="4" t="s">
        <v>744</v>
      </c>
      <c r="O11" s="4" t="s">
        <v>688</v>
      </c>
      <c r="P11" t="s">
        <v>766</v>
      </c>
      <c r="Q11" s="4"/>
      <c r="R11"/>
      <c r="S11" s="4" t="s">
        <v>795</v>
      </c>
      <c r="T11" t="s">
        <v>808</v>
      </c>
      <c r="U11" s="4" t="s">
        <v>832</v>
      </c>
      <c r="V11" t="s">
        <v>795</v>
      </c>
      <c r="X11" t="s">
        <v>848</v>
      </c>
      <c r="Y11" t="s">
        <v>868</v>
      </c>
      <c r="Z11" t="s">
        <v>916</v>
      </c>
      <c r="AA11" s="4" t="s">
        <v>918</v>
      </c>
      <c r="AB11" s="4" t="s">
        <v>795</v>
      </c>
      <c r="AC11" t="s">
        <v>934</v>
      </c>
      <c r="AE11" t="s">
        <v>954</v>
      </c>
      <c r="AF11" t="s">
        <v>968</v>
      </c>
      <c r="AG11" t="s">
        <v>1741</v>
      </c>
    </row>
    <row r="12" spans="1:33">
      <c r="F12" s="4" t="s">
        <v>345</v>
      </c>
      <c r="G12" t="s">
        <v>689</v>
      </c>
      <c r="H12" t="s">
        <v>711</v>
      </c>
      <c r="N12" s="4" t="s">
        <v>745</v>
      </c>
      <c r="O12" s="4" t="s">
        <v>689</v>
      </c>
      <c r="P12" t="s">
        <v>767</v>
      </c>
      <c r="Q12" s="4"/>
      <c r="R12"/>
      <c r="S12" s="4" t="s">
        <v>796</v>
      </c>
      <c r="T12" t="s">
        <v>809</v>
      </c>
      <c r="U12" s="4" t="s">
        <v>833</v>
      </c>
      <c r="V12" t="s">
        <v>796</v>
      </c>
      <c r="X12" t="s">
        <v>849</v>
      </c>
      <c r="Y12" t="s">
        <v>869</v>
      </c>
      <c r="Z12" t="s">
        <v>917</v>
      </c>
      <c r="AA12" s="4" t="s">
        <v>919</v>
      </c>
      <c r="AB12" s="4" t="s">
        <v>796</v>
      </c>
      <c r="AC12" t="s">
        <v>935</v>
      </c>
      <c r="AE12" t="s">
        <v>955</v>
      </c>
      <c r="AF12" t="s">
        <v>969</v>
      </c>
      <c r="AG12" t="s">
        <v>1742</v>
      </c>
    </row>
    <row r="13" spans="1:33">
      <c r="F13" s="4" t="s">
        <v>254</v>
      </c>
      <c r="G13" t="s">
        <v>691</v>
      </c>
      <c r="H13" t="s">
        <v>712</v>
      </c>
      <c r="N13" s="4" t="s">
        <v>746</v>
      </c>
      <c r="O13" s="4" t="s">
        <v>691</v>
      </c>
      <c r="P13" t="s">
        <v>768</v>
      </c>
      <c r="Q13" s="4"/>
      <c r="R13"/>
      <c r="S13" s="4" t="s">
        <v>797</v>
      </c>
      <c r="T13" t="s">
        <v>810</v>
      </c>
      <c r="U13" s="4" t="s">
        <v>724</v>
      </c>
      <c r="V13" t="s">
        <v>797</v>
      </c>
      <c r="X13" t="s">
        <v>850</v>
      </c>
      <c r="Y13" t="s">
        <v>870</v>
      </c>
      <c r="AA13" s="4" t="s">
        <v>920</v>
      </c>
      <c r="AB13" s="4" t="s">
        <v>797</v>
      </c>
      <c r="AC13" t="s">
        <v>936</v>
      </c>
      <c r="AE13" t="s">
        <v>956</v>
      </c>
      <c r="AF13" t="s">
        <v>970</v>
      </c>
      <c r="AG13" t="s">
        <v>1743</v>
      </c>
    </row>
    <row r="14" spans="1:33">
      <c r="F14" s="4" t="s">
        <v>143</v>
      </c>
      <c r="G14" t="s">
        <v>692</v>
      </c>
      <c r="H14" t="s">
        <v>713</v>
      </c>
      <c r="N14" s="4" t="s">
        <v>747</v>
      </c>
      <c r="O14" s="4" t="s">
        <v>692</v>
      </c>
      <c r="P14" t="s">
        <v>769</v>
      </c>
      <c r="Q14" s="4"/>
      <c r="R14"/>
      <c r="S14" s="4" t="s">
        <v>13</v>
      </c>
      <c r="T14" t="s">
        <v>811</v>
      </c>
      <c r="V14" t="s">
        <v>13</v>
      </c>
      <c r="X14" t="s">
        <v>851</v>
      </c>
      <c r="Y14" t="s">
        <v>871</v>
      </c>
      <c r="AA14" s="4" t="s">
        <v>518</v>
      </c>
      <c r="AB14" s="4" t="s">
        <v>13</v>
      </c>
      <c r="AC14" t="s">
        <v>937</v>
      </c>
      <c r="AE14" t="s">
        <v>957</v>
      </c>
      <c r="AF14" t="s">
        <v>971</v>
      </c>
      <c r="AG14" t="s">
        <v>1744</v>
      </c>
    </row>
    <row r="15" spans="1:33">
      <c r="F15" s="4" t="s">
        <v>72</v>
      </c>
      <c r="G15" t="s">
        <v>693</v>
      </c>
      <c r="H15" t="s">
        <v>14</v>
      </c>
      <c r="N15" s="4" t="s">
        <v>748</v>
      </c>
      <c r="O15" s="4" t="s">
        <v>693</v>
      </c>
      <c r="P15" t="s">
        <v>770</v>
      </c>
      <c r="Q15" s="4"/>
      <c r="R15"/>
      <c r="S15" s="4" t="s">
        <v>798</v>
      </c>
      <c r="T15" t="s">
        <v>812</v>
      </c>
      <c r="V15" t="s">
        <v>798</v>
      </c>
      <c r="X15" t="s">
        <v>27</v>
      </c>
      <c r="Y15" t="s">
        <v>872</v>
      </c>
      <c r="AA15" s="4" t="s">
        <v>519</v>
      </c>
      <c r="AB15" s="4" t="s">
        <v>798</v>
      </c>
      <c r="AC15" t="s">
        <v>938</v>
      </c>
      <c r="AE15" t="s">
        <v>958</v>
      </c>
      <c r="AF15" t="s">
        <v>972</v>
      </c>
      <c r="AG15" t="s">
        <v>1745</v>
      </c>
    </row>
    <row r="16" spans="1:33">
      <c r="F16" s="4" t="s">
        <v>331</v>
      </c>
      <c r="G16" t="s">
        <v>681</v>
      </c>
      <c r="H16" t="s">
        <v>714</v>
      </c>
      <c r="N16" s="4" t="s">
        <v>749</v>
      </c>
      <c r="O16" s="4" t="s">
        <v>681</v>
      </c>
      <c r="P16" t="s">
        <v>771</v>
      </c>
      <c r="Q16" s="4"/>
      <c r="R16"/>
      <c r="S16" s="4" t="s">
        <v>14</v>
      </c>
      <c r="T16" t="s">
        <v>813</v>
      </c>
      <c r="V16" t="s">
        <v>14</v>
      </c>
      <c r="X16" t="s">
        <v>852</v>
      </c>
      <c r="Y16" t="s">
        <v>873</v>
      </c>
      <c r="AA16" s="4" t="s">
        <v>520</v>
      </c>
      <c r="AB16" s="4" t="s">
        <v>14</v>
      </c>
      <c r="AC16" t="s">
        <v>30</v>
      </c>
      <c r="AF16" t="s">
        <v>973</v>
      </c>
      <c r="AG16" t="s">
        <v>1746</v>
      </c>
    </row>
    <row r="17" spans="6:33">
      <c r="F17" s="4" t="s">
        <v>140</v>
      </c>
      <c r="G17" t="s">
        <v>694</v>
      </c>
      <c r="N17" s="4" t="s">
        <v>750</v>
      </c>
      <c r="O17" s="4" t="s">
        <v>694</v>
      </c>
      <c r="P17" t="s">
        <v>772</v>
      </c>
      <c r="Q17" s="4"/>
      <c r="R17"/>
      <c r="T17" t="s">
        <v>814</v>
      </c>
      <c r="V17"/>
      <c r="X17" t="s">
        <v>26</v>
      </c>
      <c r="Y17" t="s">
        <v>874</v>
      </c>
      <c r="AA17" s="4" t="s">
        <v>521</v>
      </c>
      <c r="AB17" s="4"/>
      <c r="AC17" t="s">
        <v>939</v>
      </c>
      <c r="AF17" t="s">
        <v>974</v>
      </c>
      <c r="AG17" t="s">
        <v>13</v>
      </c>
    </row>
    <row r="18" spans="6:33">
      <c r="F18" s="4" t="s">
        <v>139</v>
      </c>
      <c r="G18" t="s">
        <v>695</v>
      </c>
      <c r="N18" s="4" t="s">
        <v>751</v>
      </c>
      <c r="O18" s="4" t="s">
        <v>695</v>
      </c>
      <c r="P18" t="s">
        <v>773</v>
      </c>
      <c r="Q18" s="4"/>
      <c r="R18"/>
      <c r="T18" t="s">
        <v>815</v>
      </c>
      <c r="V18"/>
      <c r="X18" t="s">
        <v>853</v>
      </c>
      <c r="Y18" t="s">
        <v>875</v>
      </c>
      <c r="AA18" s="4" t="s">
        <v>522</v>
      </c>
      <c r="AB18" s="4"/>
      <c r="AC18" t="s">
        <v>940</v>
      </c>
      <c r="AF18" t="s">
        <v>975</v>
      </c>
      <c r="AG18" t="s">
        <v>1747</v>
      </c>
    </row>
    <row r="19" spans="6:33">
      <c r="F19" s="4" t="s">
        <v>74</v>
      </c>
      <c r="G19" t="s">
        <v>696</v>
      </c>
      <c r="N19" s="4" t="s">
        <v>742</v>
      </c>
      <c r="O19" s="4" t="s">
        <v>696</v>
      </c>
      <c r="P19" t="s">
        <v>55</v>
      </c>
      <c r="Q19" s="4"/>
      <c r="R19"/>
      <c r="T19" t="s">
        <v>816</v>
      </c>
      <c r="V19"/>
      <c r="X19" t="s">
        <v>854</v>
      </c>
      <c r="Y19" t="s">
        <v>876</v>
      </c>
      <c r="AA19" s="4" t="s">
        <v>523</v>
      </c>
      <c r="AB19" s="4"/>
      <c r="AC19" t="s">
        <v>941</v>
      </c>
      <c r="AF19" t="s">
        <v>976</v>
      </c>
      <c r="AG19" t="s">
        <v>1748</v>
      </c>
    </row>
    <row r="20" spans="6:33">
      <c r="F20" s="4" t="s">
        <v>346</v>
      </c>
      <c r="G20" t="s">
        <v>697</v>
      </c>
      <c r="N20" s="4" t="s">
        <v>752</v>
      </c>
      <c r="O20" s="4" t="s">
        <v>697</v>
      </c>
      <c r="P20" t="s">
        <v>774</v>
      </c>
      <c r="Q20" s="4"/>
      <c r="R20"/>
      <c r="T20" t="s">
        <v>817</v>
      </c>
      <c r="V20"/>
      <c r="X20" t="s">
        <v>855</v>
      </c>
      <c r="Y20" t="s">
        <v>877</v>
      </c>
      <c r="AA20" s="4" t="s">
        <v>524</v>
      </c>
      <c r="AB20" s="4"/>
      <c r="AC20" t="s">
        <v>690</v>
      </c>
      <c r="AF20" t="s">
        <v>977</v>
      </c>
      <c r="AG20" t="s">
        <v>1749</v>
      </c>
    </row>
    <row r="21" spans="6:33">
      <c r="F21" s="4" t="s">
        <v>399</v>
      </c>
      <c r="G21" t="s">
        <v>698</v>
      </c>
      <c r="N21" s="4" t="s">
        <v>753</v>
      </c>
      <c r="O21" s="4" t="s">
        <v>698</v>
      </c>
      <c r="P21" t="s">
        <v>775</v>
      </c>
      <c r="Q21" s="4"/>
      <c r="R21"/>
      <c r="T21" t="s">
        <v>818</v>
      </c>
      <c r="V21"/>
      <c r="X21" t="s">
        <v>856</v>
      </c>
      <c r="Y21" t="s">
        <v>878</v>
      </c>
      <c r="AA21" s="4" t="s">
        <v>525</v>
      </c>
      <c r="AB21" s="4"/>
      <c r="AC21" t="s">
        <v>942</v>
      </c>
      <c r="AF21" t="s">
        <v>978</v>
      </c>
      <c r="AG21" t="s">
        <v>14</v>
      </c>
    </row>
    <row r="22" spans="6:33">
      <c r="F22" s="4" t="s">
        <v>330</v>
      </c>
      <c r="G22" t="s">
        <v>699</v>
      </c>
      <c r="N22" s="4" t="s">
        <v>754</v>
      </c>
      <c r="O22" s="4" t="s">
        <v>699</v>
      </c>
      <c r="P22" t="s">
        <v>776</v>
      </c>
      <c r="Q22" s="4"/>
      <c r="R22"/>
      <c r="T22" t="s">
        <v>819</v>
      </c>
      <c r="V22"/>
      <c r="X22" t="s">
        <v>857</v>
      </c>
      <c r="Y22" t="s">
        <v>879</v>
      </c>
      <c r="AA22" s="4" t="s">
        <v>526</v>
      </c>
      <c r="AB22" s="4"/>
      <c r="AC22" t="s">
        <v>943</v>
      </c>
      <c r="AF22" t="s">
        <v>979</v>
      </c>
      <c r="AG22" t="s">
        <v>1750</v>
      </c>
    </row>
    <row r="23" spans="6:33">
      <c r="F23" s="4" t="s">
        <v>297</v>
      </c>
      <c r="G23" t="s">
        <v>700</v>
      </c>
      <c r="N23" s="4" t="s">
        <v>755</v>
      </c>
      <c r="O23" s="4" t="s">
        <v>700</v>
      </c>
      <c r="P23" t="s">
        <v>777</v>
      </c>
      <c r="Q23" s="4"/>
      <c r="R23"/>
      <c r="T23" t="s">
        <v>820</v>
      </c>
      <c r="V23"/>
      <c r="X23" t="s">
        <v>858</v>
      </c>
      <c r="Y23" t="s">
        <v>880</v>
      </c>
      <c r="AA23" s="4" t="s">
        <v>527</v>
      </c>
      <c r="AB23" s="4"/>
      <c r="AC23" t="s">
        <v>944</v>
      </c>
      <c r="AF23" t="s">
        <v>980</v>
      </c>
      <c r="AG23" t="s">
        <v>1751</v>
      </c>
    </row>
    <row r="24" spans="6:33">
      <c r="F24" s="4" t="s">
        <v>270</v>
      </c>
      <c r="G24" t="s">
        <v>701</v>
      </c>
      <c r="N24" s="4" t="s">
        <v>756</v>
      </c>
      <c r="O24" s="4" t="s">
        <v>701</v>
      </c>
      <c r="P24" t="s">
        <v>778</v>
      </c>
      <c r="Q24" s="4"/>
      <c r="R24"/>
      <c r="T24" t="s">
        <v>821</v>
      </c>
      <c r="V24"/>
      <c r="Y24" t="s">
        <v>881</v>
      </c>
      <c r="AA24" s="4" t="s">
        <v>528</v>
      </c>
      <c r="AB24" s="4"/>
      <c r="AC24" t="s">
        <v>945</v>
      </c>
      <c r="AF24" t="s">
        <v>981</v>
      </c>
      <c r="AG24" t="s">
        <v>958</v>
      </c>
    </row>
    <row r="25" spans="6:33">
      <c r="F25" s="4" t="s">
        <v>267</v>
      </c>
      <c r="N25" s="4" t="s">
        <v>757</v>
      </c>
      <c r="O25" s="4" t="s">
        <v>14</v>
      </c>
      <c r="P25" t="s">
        <v>779</v>
      </c>
      <c r="Q25" s="4"/>
      <c r="R25"/>
      <c r="T25" t="s">
        <v>822</v>
      </c>
      <c r="V25"/>
      <c r="Y25" t="s">
        <v>882</v>
      </c>
      <c r="AA25" s="4" t="s">
        <v>529</v>
      </c>
      <c r="AB25" s="4"/>
      <c r="AC25" t="s">
        <v>946</v>
      </c>
      <c r="AF25" t="s">
        <v>982</v>
      </c>
    </row>
    <row r="26" spans="6:33">
      <c r="F26" s="4" t="s">
        <v>296</v>
      </c>
      <c r="O26" s="4"/>
      <c r="P26" t="s">
        <v>14</v>
      </c>
      <c r="Q26" s="4"/>
      <c r="R26"/>
      <c r="T26" t="s">
        <v>823</v>
      </c>
      <c r="V26"/>
      <c r="Y26" t="s">
        <v>883</v>
      </c>
      <c r="AA26" s="4" t="s">
        <v>530</v>
      </c>
      <c r="AB26" s="4"/>
      <c r="AC26" t="s">
        <v>947</v>
      </c>
      <c r="AF26" t="s">
        <v>983</v>
      </c>
    </row>
    <row r="27" spans="6:33">
      <c r="F27" s="4" t="s">
        <v>71</v>
      </c>
      <c r="O27" s="4"/>
      <c r="P27" t="s">
        <v>780</v>
      </c>
      <c r="Q27" s="4"/>
      <c r="R27"/>
      <c r="T27" t="s">
        <v>824</v>
      </c>
      <c r="V27"/>
      <c r="Y27" t="s">
        <v>884</v>
      </c>
      <c r="AA27" s="4" t="s">
        <v>531</v>
      </c>
      <c r="AB27" s="4"/>
      <c r="AC27" t="s">
        <v>948</v>
      </c>
      <c r="AF27" t="s">
        <v>984</v>
      </c>
    </row>
    <row r="28" spans="6:33">
      <c r="F28" s="4" t="s">
        <v>271</v>
      </c>
      <c r="O28" s="4"/>
      <c r="P28"/>
      <c r="Q28" s="4"/>
      <c r="R28"/>
      <c r="T28" t="s">
        <v>137</v>
      </c>
      <c r="V28"/>
      <c r="Y28" t="s">
        <v>885</v>
      </c>
      <c r="AA28" s="4" t="s">
        <v>532</v>
      </c>
      <c r="AB28" s="4"/>
      <c r="AC28"/>
      <c r="AF28" t="s">
        <v>985</v>
      </c>
    </row>
    <row r="29" spans="6:33">
      <c r="F29" s="4" t="s">
        <v>264</v>
      </c>
      <c r="O29" s="4"/>
      <c r="P29"/>
      <c r="Q29" s="4"/>
      <c r="R29"/>
      <c r="T29" t="s">
        <v>825</v>
      </c>
      <c r="V29"/>
      <c r="Y29" t="s">
        <v>886</v>
      </c>
      <c r="AA29" s="4" t="s">
        <v>533</v>
      </c>
      <c r="AB29" s="4"/>
      <c r="AC29"/>
      <c r="AF29" t="s">
        <v>986</v>
      </c>
    </row>
    <row r="30" spans="6:33">
      <c r="F30" s="4" t="s">
        <v>252</v>
      </c>
      <c r="O30" s="4"/>
      <c r="P30"/>
      <c r="Q30" s="4"/>
      <c r="R30"/>
      <c r="V30"/>
      <c r="Y30" t="s">
        <v>887</v>
      </c>
      <c r="AA30" s="4" t="s">
        <v>534</v>
      </c>
      <c r="AB30" s="4"/>
      <c r="AC30"/>
      <c r="AF30" t="s">
        <v>987</v>
      </c>
    </row>
    <row r="31" spans="6:33">
      <c r="F31" s="4" t="s">
        <v>253</v>
      </c>
      <c r="O31" s="4"/>
      <c r="P31"/>
      <c r="Q31" s="4"/>
      <c r="R31"/>
      <c r="V31"/>
      <c r="Y31" t="s">
        <v>888</v>
      </c>
      <c r="AA31" s="4" t="s">
        <v>535</v>
      </c>
      <c r="AB31" s="4"/>
      <c r="AC31"/>
      <c r="AF31" t="s">
        <v>988</v>
      </c>
    </row>
    <row r="32" spans="6:33">
      <c r="F32" s="4" t="s">
        <v>318</v>
      </c>
      <c r="O32" s="4"/>
      <c r="P32"/>
      <c r="Q32" s="4"/>
      <c r="R32"/>
      <c r="V32"/>
      <c r="Y32" t="s">
        <v>889</v>
      </c>
      <c r="AA32" s="4" t="s">
        <v>536</v>
      </c>
      <c r="AB32" s="4"/>
      <c r="AC32"/>
      <c r="AF32" t="s">
        <v>989</v>
      </c>
    </row>
    <row r="33" spans="6:32">
      <c r="F33" s="4" t="s">
        <v>302</v>
      </c>
      <c r="O33" s="4"/>
      <c r="P33"/>
      <c r="Q33" s="4"/>
      <c r="R33"/>
      <c r="V33"/>
      <c r="Y33" t="s">
        <v>890</v>
      </c>
      <c r="AA33" s="4" t="s">
        <v>537</v>
      </c>
      <c r="AB33" s="4"/>
      <c r="AC33"/>
      <c r="AF33" t="s">
        <v>990</v>
      </c>
    </row>
    <row r="34" spans="6:32">
      <c r="F34" s="4" t="s">
        <v>319</v>
      </c>
      <c r="O34" s="4"/>
      <c r="P34"/>
      <c r="Q34" s="4"/>
      <c r="R34"/>
      <c r="V34"/>
      <c r="Y34" t="s">
        <v>891</v>
      </c>
      <c r="AA34" s="4" t="s">
        <v>538</v>
      </c>
      <c r="AB34" s="4"/>
      <c r="AC34"/>
      <c r="AF34" t="s">
        <v>991</v>
      </c>
    </row>
    <row r="35" spans="6:32">
      <c r="F35" s="4"/>
      <c r="O35" s="4"/>
      <c r="P35"/>
      <c r="Q35" s="4"/>
      <c r="R35"/>
      <c r="V35"/>
      <c r="Y35" t="s">
        <v>892</v>
      </c>
      <c r="AA35" s="4" t="s">
        <v>539</v>
      </c>
      <c r="AB35" s="4"/>
      <c r="AC35"/>
      <c r="AF35" t="s">
        <v>992</v>
      </c>
    </row>
    <row r="36" spans="6:32">
      <c r="F36" s="4"/>
      <c r="O36" s="4"/>
      <c r="P36"/>
      <c r="Q36" s="4"/>
      <c r="R36"/>
      <c r="V36"/>
      <c r="Y36" t="s">
        <v>893</v>
      </c>
      <c r="AA36" s="4" t="s">
        <v>540</v>
      </c>
      <c r="AB36" s="4"/>
      <c r="AC36"/>
      <c r="AF36" t="s">
        <v>993</v>
      </c>
    </row>
    <row r="37" spans="6:32">
      <c r="F37" s="4"/>
      <c r="O37" s="4"/>
      <c r="P37"/>
      <c r="Q37" s="4"/>
      <c r="R37"/>
      <c r="V37"/>
      <c r="Y37" t="s">
        <v>894</v>
      </c>
      <c r="AA37" s="4" t="s">
        <v>541</v>
      </c>
      <c r="AB37" s="4"/>
      <c r="AC37"/>
      <c r="AF37" t="s">
        <v>994</v>
      </c>
    </row>
    <row r="38" spans="6:32">
      <c r="F38" s="4"/>
      <c r="O38" s="4"/>
      <c r="P38"/>
      <c r="Q38" s="4"/>
      <c r="R38"/>
      <c r="V38"/>
      <c r="Y38" t="s">
        <v>29</v>
      </c>
      <c r="AA38" s="4" t="s">
        <v>542</v>
      </c>
      <c r="AB38" s="4"/>
      <c r="AC38"/>
      <c r="AF38" t="s">
        <v>995</v>
      </c>
    </row>
    <row r="39" spans="6:32">
      <c r="F39" s="4"/>
      <c r="O39" s="4"/>
      <c r="P39"/>
      <c r="Q39" s="4"/>
      <c r="R39"/>
      <c r="V39"/>
      <c r="Y39" t="s">
        <v>895</v>
      </c>
      <c r="AA39" s="4" t="s">
        <v>543</v>
      </c>
      <c r="AB39" s="4"/>
      <c r="AC39"/>
      <c r="AF39" t="s">
        <v>996</v>
      </c>
    </row>
    <row r="40" spans="6:32">
      <c r="F40" s="4"/>
      <c r="O40" s="4"/>
      <c r="P40"/>
      <c r="Q40" s="4"/>
      <c r="R40"/>
      <c r="V40"/>
      <c r="Y40" t="s">
        <v>896</v>
      </c>
      <c r="AA40" s="4" t="s">
        <v>544</v>
      </c>
      <c r="AB40" s="4"/>
      <c r="AC40"/>
      <c r="AF40" t="s">
        <v>997</v>
      </c>
    </row>
    <row r="41" spans="6:32">
      <c r="F41" s="4"/>
      <c r="O41" s="4"/>
      <c r="P41"/>
      <c r="Q41" s="4"/>
      <c r="R41"/>
      <c r="V41"/>
      <c r="Y41" t="s">
        <v>897</v>
      </c>
      <c r="AA41" s="4" t="s">
        <v>545</v>
      </c>
      <c r="AB41" s="4"/>
      <c r="AC41"/>
      <c r="AF41" t="s">
        <v>998</v>
      </c>
    </row>
    <row r="42" spans="6:32">
      <c r="F42" s="4"/>
      <c r="O42" s="4"/>
      <c r="P42"/>
      <c r="Q42" s="4"/>
      <c r="R42"/>
      <c r="V42"/>
      <c r="Y42" t="s">
        <v>898</v>
      </c>
      <c r="AA42" s="4" t="s">
        <v>546</v>
      </c>
      <c r="AB42" s="4"/>
      <c r="AC42"/>
      <c r="AF42" t="s">
        <v>999</v>
      </c>
    </row>
    <row r="43" spans="6:32">
      <c r="F43" s="4"/>
      <c r="O43" s="4"/>
      <c r="P43"/>
      <c r="Q43" s="4"/>
      <c r="R43"/>
      <c r="V43"/>
      <c r="Y43" t="s">
        <v>14</v>
      </c>
      <c r="AA43" s="4" t="s">
        <v>547</v>
      </c>
      <c r="AB43" s="4"/>
      <c r="AC43"/>
      <c r="AF43" t="s">
        <v>1000</v>
      </c>
    </row>
    <row r="44" spans="6:32">
      <c r="F44" s="4"/>
      <c r="O44" s="4"/>
      <c r="P44"/>
      <c r="Q44" s="4"/>
      <c r="R44"/>
      <c r="V44"/>
      <c r="Y44" t="s">
        <v>899</v>
      </c>
      <c r="AA44" s="4" t="s">
        <v>548</v>
      </c>
      <c r="AB44" s="4"/>
      <c r="AC44"/>
      <c r="AF44" t="s">
        <v>1001</v>
      </c>
    </row>
    <row r="45" spans="6:32">
      <c r="F45" s="4"/>
      <c r="O45" s="4"/>
      <c r="P45"/>
      <c r="Q45" s="4"/>
      <c r="R45"/>
      <c r="V45"/>
      <c r="Y45" t="s">
        <v>900</v>
      </c>
      <c r="AA45" s="4" t="s">
        <v>549</v>
      </c>
      <c r="AB45" s="4"/>
      <c r="AC45"/>
      <c r="AF45" t="s">
        <v>1002</v>
      </c>
    </row>
    <row r="46" spans="6:32">
      <c r="F46" s="4"/>
      <c r="O46" s="4"/>
      <c r="P46"/>
      <c r="Q46" s="4"/>
      <c r="R46"/>
      <c r="V46"/>
      <c r="Y46" t="s">
        <v>901</v>
      </c>
      <c r="AA46" s="4" t="s">
        <v>550</v>
      </c>
      <c r="AB46" s="4"/>
      <c r="AC46"/>
      <c r="AF46" t="s">
        <v>1003</v>
      </c>
    </row>
    <row r="47" spans="6:32">
      <c r="F47" s="4"/>
      <c r="O47" s="4"/>
      <c r="P47"/>
      <c r="Q47" s="4"/>
      <c r="R47"/>
      <c r="V47"/>
      <c r="Y47" t="s">
        <v>902</v>
      </c>
      <c r="AA47" s="4" t="s">
        <v>551</v>
      </c>
      <c r="AB47" s="4"/>
      <c r="AC47"/>
      <c r="AF47" t="s">
        <v>1004</v>
      </c>
    </row>
    <row r="48" spans="6:32">
      <c r="F48" s="4"/>
      <c r="O48" s="4"/>
      <c r="P48"/>
      <c r="Q48" s="4"/>
      <c r="R48"/>
      <c r="V48"/>
      <c r="Y48" t="s">
        <v>903</v>
      </c>
      <c r="AA48" s="4" t="s">
        <v>552</v>
      </c>
      <c r="AB48" s="4"/>
      <c r="AC48"/>
      <c r="AF48" t="s">
        <v>1005</v>
      </c>
    </row>
    <row r="49" spans="6:32">
      <c r="F49" s="4"/>
      <c r="O49" s="4"/>
      <c r="P49"/>
      <c r="Q49" s="4"/>
      <c r="R49"/>
      <c r="V49"/>
      <c r="Y49" t="s">
        <v>904</v>
      </c>
      <c r="AA49" s="4" t="s">
        <v>553</v>
      </c>
      <c r="AB49" s="4"/>
      <c r="AC49"/>
      <c r="AF49" t="s">
        <v>1006</v>
      </c>
    </row>
    <row r="50" spans="6:32">
      <c r="F50" s="4"/>
      <c r="O50" s="4"/>
      <c r="P50"/>
      <c r="Q50" s="4"/>
      <c r="R50"/>
      <c r="V50"/>
      <c r="Y50" t="s">
        <v>905</v>
      </c>
      <c r="AA50" s="4" t="s">
        <v>554</v>
      </c>
      <c r="AB50" s="4"/>
      <c r="AC50"/>
      <c r="AF50" t="s">
        <v>1007</v>
      </c>
    </row>
    <row r="51" spans="6:32">
      <c r="F51" s="4"/>
      <c r="O51" s="4"/>
      <c r="P51"/>
      <c r="Q51" s="4"/>
      <c r="R51"/>
      <c r="V51"/>
      <c r="Y51" t="s">
        <v>906</v>
      </c>
      <c r="AA51" s="4" t="s">
        <v>555</v>
      </c>
      <c r="AB51" s="4"/>
      <c r="AC51"/>
      <c r="AF51" t="s">
        <v>1008</v>
      </c>
    </row>
    <row r="52" spans="6:32">
      <c r="F52" s="4"/>
      <c r="O52" s="4"/>
      <c r="P52"/>
      <c r="Q52" s="4"/>
      <c r="R52"/>
      <c r="V52"/>
      <c r="Y52" t="s">
        <v>907</v>
      </c>
      <c r="AA52" s="4" t="s">
        <v>556</v>
      </c>
      <c r="AB52" s="4"/>
      <c r="AC52"/>
      <c r="AF52" t="s">
        <v>1009</v>
      </c>
    </row>
    <row r="53" spans="6:32">
      <c r="F53" s="4"/>
      <c r="O53" s="4"/>
      <c r="P53"/>
      <c r="Q53" s="4"/>
      <c r="R53"/>
      <c r="V53"/>
      <c r="AA53" s="4" t="s">
        <v>557</v>
      </c>
      <c r="AB53" s="4"/>
      <c r="AC53"/>
      <c r="AF53" t="s">
        <v>1010</v>
      </c>
    </row>
    <row r="54" spans="6:32">
      <c r="F54" s="4"/>
      <c r="O54" s="4"/>
      <c r="P54"/>
      <c r="Q54" s="4"/>
      <c r="R54"/>
      <c r="V54"/>
      <c r="AA54" s="4" t="s">
        <v>558</v>
      </c>
      <c r="AB54" s="4"/>
      <c r="AC54"/>
      <c r="AF54" t="s">
        <v>1011</v>
      </c>
    </row>
    <row r="55" spans="6:32">
      <c r="F55" s="4"/>
      <c r="O55" s="4"/>
      <c r="P55"/>
      <c r="Q55" s="4"/>
      <c r="R55"/>
      <c r="V55"/>
      <c r="AA55" s="4" t="s">
        <v>559</v>
      </c>
      <c r="AB55" s="4"/>
      <c r="AC55"/>
      <c r="AF55" t="s">
        <v>1012</v>
      </c>
    </row>
    <row r="56" spans="6:32">
      <c r="F56" s="4"/>
      <c r="O56" s="4"/>
      <c r="P56"/>
      <c r="Q56" s="4"/>
      <c r="R56"/>
      <c r="V56"/>
      <c r="AA56" s="4" t="s">
        <v>560</v>
      </c>
      <c r="AB56" s="4"/>
      <c r="AC56"/>
      <c r="AF56" t="s">
        <v>1013</v>
      </c>
    </row>
    <row r="57" spans="6:32">
      <c r="F57" s="4"/>
      <c r="O57" s="4"/>
      <c r="P57"/>
      <c r="Q57" s="4"/>
      <c r="R57"/>
      <c r="V57"/>
      <c r="AA57" s="4" t="s">
        <v>561</v>
      </c>
      <c r="AB57" s="4"/>
      <c r="AC57"/>
      <c r="AF57" t="s">
        <v>1014</v>
      </c>
    </row>
    <row r="58" spans="6:32">
      <c r="F58" s="4"/>
      <c r="O58" s="4"/>
      <c r="P58"/>
      <c r="Q58" s="4"/>
      <c r="R58"/>
      <c r="V58"/>
      <c r="AA58" s="4" t="s">
        <v>562</v>
      </c>
      <c r="AB58" s="4"/>
      <c r="AC58"/>
      <c r="AF58" t="s">
        <v>1015</v>
      </c>
    </row>
    <row r="59" spans="6:32">
      <c r="F59" s="4"/>
      <c r="O59" s="4"/>
      <c r="P59"/>
      <c r="Q59" s="4"/>
      <c r="R59"/>
      <c r="V59"/>
      <c r="AA59" s="4" t="s">
        <v>563</v>
      </c>
      <c r="AB59" s="4"/>
      <c r="AC59"/>
      <c r="AF59" t="s">
        <v>1016</v>
      </c>
    </row>
    <row r="60" spans="6:32">
      <c r="F60" s="4"/>
      <c r="O60" s="4"/>
      <c r="P60"/>
      <c r="Q60" s="4"/>
      <c r="R60"/>
      <c r="V60"/>
      <c r="AA60" s="4" t="s">
        <v>564</v>
      </c>
      <c r="AB60" s="4"/>
      <c r="AC60"/>
      <c r="AF60" t="s">
        <v>1017</v>
      </c>
    </row>
    <row r="61" spans="6:32">
      <c r="F61" s="4"/>
      <c r="O61" s="4"/>
      <c r="P61"/>
      <c r="Q61" s="4"/>
      <c r="R61"/>
      <c r="V61"/>
      <c r="AA61" s="4" t="s">
        <v>565</v>
      </c>
      <c r="AB61" s="4"/>
      <c r="AC61"/>
      <c r="AF61" t="s">
        <v>1018</v>
      </c>
    </row>
    <row r="62" spans="6:32">
      <c r="F62" s="4"/>
      <c r="O62" s="4"/>
      <c r="P62"/>
      <c r="Q62" s="4"/>
      <c r="R62"/>
      <c r="V62"/>
      <c r="AA62" s="4" t="s">
        <v>566</v>
      </c>
      <c r="AB62" s="4"/>
      <c r="AC62"/>
      <c r="AF62" t="s">
        <v>1019</v>
      </c>
    </row>
    <row r="63" spans="6:32">
      <c r="F63" s="4"/>
      <c r="O63" s="4"/>
      <c r="P63"/>
      <c r="Q63" s="4"/>
      <c r="R63"/>
      <c r="V63"/>
      <c r="AA63" s="4" t="s">
        <v>567</v>
      </c>
      <c r="AB63" s="4"/>
      <c r="AC63"/>
      <c r="AF63" t="s">
        <v>1020</v>
      </c>
    </row>
    <row r="64" spans="6:32">
      <c r="F64" s="4"/>
      <c r="O64" s="4"/>
      <c r="P64"/>
      <c r="Q64" s="4"/>
      <c r="R64"/>
      <c r="V64"/>
      <c r="AA64" s="4" t="s">
        <v>568</v>
      </c>
      <c r="AB64" s="4"/>
      <c r="AC64"/>
      <c r="AF64" t="s">
        <v>1021</v>
      </c>
    </row>
    <row r="65" spans="6:32">
      <c r="F65" s="4"/>
      <c r="O65" s="4"/>
      <c r="P65"/>
      <c r="Q65" s="4"/>
      <c r="R65"/>
      <c r="V65"/>
      <c r="AA65" s="4" t="s">
        <v>569</v>
      </c>
      <c r="AB65" s="4"/>
      <c r="AC65"/>
      <c r="AF65" t="s">
        <v>1022</v>
      </c>
    </row>
    <row r="66" spans="6:32">
      <c r="F66" s="4"/>
      <c r="O66" s="4"/>
      <c r="P66"/>
      <c r="Q66" s="4"/>
      <c r="R66"/>
      <c r="V66"/>
      <c r="AA66" s="4" t="s">
        <v>570</v>
      </c>
      <c r="AB66" s="4"/>
      <c r="AC66"/>
      <c r="AF66" t="s">
        <v>1023</v>
      </c>
    </row>
    <row r="67" spans="6:32">
      <c r="F67" s="4"/>
      <c r="O67" s="4"/>
      <c r="P67"/>
      <c r="Q67" s="4"/>
      <c r="R67"/>
      <c r="V67"/>
      <c r="AA67" s="4" t="s">
        <v>571</v>
      </c>
      <c r="AB67" s="4"/>
      <c r="AC67"/>
      <c r="AF67" t="s">
        <v>1024</v>
      </c>
    </row>
    <row r="68" spans="6:32">
      <c r="F68" s="4"/>
      <c r="O68" s="4"/>
      <c r="P68"/>
      <c r="Q68" s="4"/>
      <c r="R68"/>
      <c r="V68"/>
      <c r="AA68" s="4" t="s">
        <v>572</v>
      </c>
      <c r="AB68" s="4"/>
      <c r="AC68"/>
      <c r="AF68" t="s">
        <v>1025</v>
      </c>
    </row>
    <row r="69" spans="6:32">
      <c r="F69" s="4"/>
      <c r="O69" s="4"/>
      <c r="P69"/>
      <c r="Q69" s="4"/>
      <c r="R69"/>
      <c r="V69"/>
      <c r="AA69" s="4" t="s">
        <v>573</v>
      </c>
      <c r="AB69" s="4"/>
      <c r="AC69"/>
      <c r="AF69" t="s">
        <v>1026</v>
      </c>
    </row>
    <row r="70" spans="6:32">
      <c r="F70" s="4"/>
      <c r="O70" s="4"/>
      <c r="P70"/>
      <c r="Q70" s="4"/>
      <c r="R70"/>
      <c r="V70"/>
      <c r="AA70" s="4" t="s">
        <v>574</v>
      </c>
      <c r="AB70" s="4"/>
      <c r="AC70"/>
      <c r="AF70" t="s">
        <v>1027</v>
      </c>
    </row>
    <row r="71" spans="6:32">
      <c r="F71" s="4"/>
      <c r="O71" s="4"/>
      <c r="P71"/>
      <c r="Q71" s="4"/>
      <c r="R71"/>
      <c r="V71"/>
      <c r="AA71" s="4" t="s">
        <v>575</v>
      </c>
      <c r="AB71" s="4"/>
      <c r="AC71"/>
      <c r="AF71" t="s">
        <v>1028</v>
      </c>
    </row>
    <row r="72" spans="6:32">
      <c r="F72" s="4"/>
      <c r="O72" s="4"/>
      <c r="P72"/>
      <c r="Q72" s="4"/>
      <c r="R72"/>
      <c r="V72"/>
      <c r="AA72" s="4" t="s">
        <v>921</v>
      </c>
      <c r="AB72" s="4"/>
      <c r="AC72"/>
      <c r="AF72" t="s">
        <v>1029</v>
      </c>
    </row>
    <row r="73" spans="6:32">
      <c r="F73" s="4"/>
      <c r="O73" s="4"/>
      <c r="P73"/>
      <c r="Q73" s="4"/>
      <c r="R73"/>
      <c r="V73"/>
      <c r="AA73" s="4" t="s">
        <v>576</v>
      </c>
      <c r="AB73" s="4"/>
      <c r="AC73"/>
      <c r="AF73" t="s">
        <v>1030</v>
      </c>
    </row>
    <row r="74" spans="6:32">
      <c r="F74" s="4"/>
      <c r="O74" s="4"/>
      <c r="P74"/>
      <c r="Q74" s="4"/>
      <c r="R74"/>
      <c r="V74"/>
      <c r="AA74" s="4" t="s">
        <v>577</v>
      </c>
      <c r="AB74" s="4"/>
      <c r="AC74"/>
      <c r="AF74" t="s">
        <v>1031</v>
      </c>
    </row>
    <row r="75" spans="6:32">
      <c r="F75" s="4"/>
      <c r="O75" s="4"/>
      <c r="P75"/>
      <c r="Q75" s="4"/>
      <c r="R75"/>
      <c r="V75"/>
      <c r="AA75" s="4" t="s">
        <v>578</v>
      </c>
      <c r="AB75" s="4"/>
      <c r="AC75"/>
      <c r="AF75" t="s">
        <v>1032</v>
      </c>
    </row>
    <row r="76" spans="6:32">
      <c r="F76" s="4"/>
      <c r="O76" s="4"/>
      <c r="P76"/>
      <c r="Q76" s="4"/>
      <c r="R76"/>
      <c r="V76"/>
      <c r="AA76" s="4" t="s">
        <v>579</v>
      </c>
      <c r="AB76" s="4"/>
      <c r="AC76"/>
      <c r="AF76" t="s">
        <v>1033</v>
      </c>
    </row>
    <row r="77" spans="6:32">
      <c r="F77" s="4"/>
      <c r="O77" s="4"/>
      <c r="P77"/>
      <c r="Q77" s="4"/>
      <c r="R77"/>
      <c r="V77"/>
      <c r="AA77" s="4" t="s">
        <v>580</v>
      </c>
      <c r="AB77" s="4"/>
      <c r="AC77"/>
      <c r="AF77" t="s">
        <v>1034</v>
      </c>
    </row>
    <row r="78" spans="6:32">
      <c r="F78" s="4"/>
      <c r="O78" s="4"/>
      <c r="P78"/>
      <c r="Q78" s="4"/>
      <c r="R78"/>
      <c r="V78"/>
      <c r="AA78" s="4" t="s">
        <v>581</v>
      </c>
      <c r="AB78" s="4"/>
      <c r="AC78"/>
      <c r="AF78" t="s">
        <v>1035</v>
      </c>
    </row>
    <row r="79" spans="6:32">
      <c r="F79" s="4"/>
      <c r="O79" s="4"/>
      <c r="P79"/>
      <c r="Q79" s="4"/>
      <c r="R79"/>
      <c r="V79"/>
      <c r="AA79" s="4" t="s">
        <v>582</v>
      </c>
      <c r="AB79" s="4"/>
      <c r="AC79"/>
      <c r="AF79" t="s">
        <v>1036</v>
      </c>
    </row>
    <row r="80" spans="6:32">
      <c r="F80" s="4"/>
      <c r="O80" s="4"/>
      <c r="P80"/>
      <c r="Q80" s="4"/>
      <c r="R80"/>
      <c r="V80"/>
      <c r="AA80" s="4" t="s">
        <v>583</v>
      </c>
      <c r="AB80" s="4"/>
      <c r="AC80"/>
      <c r="AF80" t="s">
        <v>1037</v>
      </c>
    </row>
    <row r="81" spans="6:32">
      <c r="F81" s="4"/>
      <c r="O81" s="4"/>
      <c r="P81"/>
      <c r="Q81" s="4"/>
      <c r="R81"/>
      <c r="V81"/>
      <c r="AA81" s="4" t="s">
        <v>584</v>
      </c>
      <c r="AB81" s="4"/>
      <c r="AC81"/>
      <c r="AF81" t="s">
        <v>1038</v>
      </c>
    </row>
    <row r="82" spans="6:32">
      <c r="F82" s="4"/>
      <c r="O82" s="4"/>
      <c r="P82"/>
      <c r="Q82" s="4"/>
      <c r="R82"/>
      <c r="V82"/>
      <c r="AA82" s="4" t="s">
        <v>585</v>
      </c>
      <c r="AB82" s="4"/>
      <c r="AC82"/>
      <c r="AF82" t="s">
        <v>1039</v>
      </c>
    </row>
    <row r="83" spans="6:32">
      <c r="F83" s="4"/>
      <c r="O83" s="4"/>
      <c r="P83"/>
      <c r="Q83" s="4"/>
      <c r="R83"/>
      <c r="V83"/>
      <c r="AA83" s="4" t="s">
        <v>586</v>
      </c>
      <c r="AB83" s="4"/>
      <c r="AC83"/>
      <c r="AF83" t="s">
        <v>1040</v>
      </c>
    </row>
    <row r="84" spans="6:32">
      <c r="F84" s="4"/>
      <c r="O84" s="4"/>
      <c r="P84"/>
      <c r="Q84" s="4"/>
      <c r="R84"/>
      <c r="V84"/>
      <c r="AA84" s="4" t="s">
        <v>587</v>
      </c>
      <c r="AB84" s="4"/>
      <c r="AC84"/>
      <c r="AF84" t="s">
        <v>1041</v>
      </c>
    </row>
    <row r="85" spans="6:32">
      <c r="F85" s="4"/>
      <c r="O85" s="4"/>
      <c r="P85"/>
      <c r="Q85" s="4"/>
      <c r="R85"/>
      <c r="V85"/>
      <c r="AA85" s="4" t="s">
        <v>588</v>
      </c>
      <c r="AB85" s="4"/>
      <c r="AC85"/>
      <c r="AF85" t="s">
        <v>1042</v>
      </c>
    </row>
    <row r="86" spans="6:32">
      <c r="F86" s="4"/>
      <c r="O86" s="4"/>
      <c r="P86"/>
      <c r="Q86" s="4"/>
      <c r="R86"/>
      <c r="V86"/>
      <c r="AA86" s="4" t="s">
        <v>589</v>
      </c>
      <c r="AB86" s="4"/>
      <c r="AC86"/>
      <c r="AF86" t="s">
        <v>1043</v>
      </c>
    </row>
    <row r="87" spans="6:32">
      <c r="F87" s="4"/>
      <c r="O87" s="4"/>
      <c r="P87"/>
      <c r="Q87" s="4"/>
      <c r="R87"/>
      <c r="V87"/>
      <c r="AA87" s="4" t="s">
        <v>590</v>
      </c>
      <c r="AB87" s="4"/>
      <c r="AC87"/>
      <c r="AF87" t="s">
        <v>1044</v>
      </c>
    </row>
    <row r="88" spans="6:32">
      <c r="F88" s="4"/>
      <c r="O88" s="4"/>
      <c r="P88"/>
      <c r="Q88" s="4"/>
      <c r="R88"/>
      <c r="V88"/>
      <c r="AA88" s="4" t="s">
        <v>591</v>
      </c>
      <c r="AB88" s="4"/>
      <c r="AC88"/>
      <c r="AF88" t="s">
        <v>1045</v>
      </c>
    </row>
    <row r="89" spans="6:32">
      <c r="F89" s="4"/>
      <c r="O89" s="4"/>
      <c r="P89"/>
      <c r="Q89" s="4"/>
      <c r="R89"/>
      <c r="V89"/>
      <c r="AA89" s="4" t="s">
        <v>592</v>
      </c>
      <c r="AB89" s="4"/>
      <c r="AC89"/>
      <c r="AF89" t="s">
        <v>1046</v>
      </c>
    </row>
    <row r="90" spans="6:32">
      <c r="F90" s="4"/>
      <c r="O90" s="4"/>
      <c r="P90"/>
      <c r="Q90" s="4"/>
      <c r="R90"/>
      <c r="V90"/>
      <c r="AA90" s="4" t="s">
        <v>593</v>
      </c>
      <c r="AB90" s="4"/>
      <c r="AC90"/>
      <c r="AF90" t="s">
        <v>1047</v>
      </c>
    </row>
    <row r="91" spans="6:32">
      <c r="F91" s="4"/>
      <c r="O91" s="4"/>
      <c r="P91"/>
      <c r="Q91" s="4"/>
      <c r="R91"/>
      <c r="V91"/>
      <c r="AA91" s="4" t="s">
        <v>594</v>
      </c>
      <c r="AB91" s="4"/>
      <c r="AC91"/>
      <c r="AF91" t="s">
        <v>1048</v>
      </c>
    </row>
    <row r="92" spans="6:32">
      <c r="F92" s="4"/>
      <c r="O92" s="4"/>
      <c r="P92"/>
      <c r="Q92" s="4"/>
      <c r="R92"/>
      <c r="V92"/>
      <c r="AA92" s="4" t="s">
        <v>595</v>
      </c>
      <c r="AB92" s="4"/>
      <c r="AC92"/>
      <c r="AF92" t="s">
        <v>1049</v>
      </c>
    </row>
    <row r="93" spans="6:32">
      <c r="F93" s="4"/>
      <c r="O93" s="4"/>
      <c r="P93"/>
      <c r="Q93" s="4"/>
      <c r="R93"/>
      <c r="V93"/>
      <c r="AA93" s="4" t="s">
        <v>596</v>
      </c>
      <c r="AB93" s="4"/>
      <c r="AC93"/>
      <c r="AF93" t="s">
        <v>1050</v>
      </c>
    </row>
    <row r="94" spans="6:32">
      <c r="F94" s="4"/>
      <c r="O94" s="4"/>
      <c r="P94"/>
      <c r="Q94" s="4"/>
      <c r="R94"/>
      <c r="V94"/>
      <c r="AA94" s="4" t="s">
        <v>597</v>
      </c>
      <c r="AB94" s="4"/>
      <c r="AC94"/>
      <c r="AF94" t="s">
        <v>1051</v>
      </c>
    </row>
    <row r="95" spans="6:32">
      <c r="F95" s="4"/>
      <c r="O95" s="4"/>
      <c r="P95"/>
      <c r="Q95" s="4"/>
      <c r="R95"/>
      <c r="V95"/>
      <c r="AA95" s="4" t="s">
        <v>598</v>
      </c>
      <c r="AB95" s="4"/>
      <c r="AC95"/>
      <c r="AF95" t="s">
        <v>1052</v>
      </c>
    </row>
    <row r="96" spans="6:32">
      <c r="F96" s="4"/>
      <c r="O96" s="4"/>
      <c r="P96"/>
      <c r="Q96" s="4"/>
      <c r="R96"/>
      <c r="V96"/>
      <c r="AA96" s="4" t="s">
        <v>599</v>
      </c>
      <c r="AB96" s="4"/>
      <c r="AC96"/>
      <c r="AF96" t="s">
        <v>1053</v>
      </c>
    </row>
    <row r="97" spans="6:32">
      <c r="F97" s="4"/>
      <c r="O97" s="4"/>
      <c r="P97"/>
      <c r="Q97" s="4"/>
      <c r="R97"/>
      <c r="V97"/>
      <c r="AA97" s="4" t="s">
        <v>600</v>
      </c>
      <c r="AB97" s="4"/>
      <c r="AC97"/>
      <c r="AF97" t="s">
        <v>1054</v>
      </c>
    </row>
    <row r="98" spans="6:32">
      <c r="F98" s="4"/>
      <c r="O98" s="4"/>
      <c r="P98"/>
      <c r="Q98" s="4"/>
      <c r="R98"/>
      <c r="V98"/>
      <c r="AA98" s="4" t="s">
        <v>601</v>
      </c>
      <c r="AB98" s="4"/>
      <c r="AC98"/>
      <c r="AF98" t="s">
        <v>1055</v>
      </c>
    </row>
    <row r="99" spans="6:32">
      <c r="F99" s="4"/>
      <c r="O99" s="4"/>
      <c r="P99"/>
      <c r="Q99" s="4"/>
      <c r="R99"/>
      <c r="V99"/>
      <c r="AA99" s="4" t="s">
        <v>602</v>
      </c>
      <c r="AB99" s="4"/>
      <c r="AC99"/>
      <c r="AF99" t="s">
        <v>1056</v>
      </c>
    </row>
    <row r="100" spans="6:32">
      <c r="F100" s="4"/>
      <c r="O100" s="4"/>
      <c r="P100"/>
      <c r="Q100" s="4"/>
      <c r="R100"/>
      <c r="V100"/>
      <c r="AA100" s="4" t="s">
        <v>603</v>
      </c>
      <c r="AB100" s="4"/>
      <c r="AC100"/>
      <c r="AF100" t="s">
        <v>1057</v>
      </c>
    </row>
    <row r="101" spans="6:32">
      <c r="F101" s="4"/>
      <c r="O101" s="4"/>
      <c r="P101"/>
      <c r="Q101" s="4"/>
      <c r="R101"/>
      <c r="V101"/>
      <c r="AA101" s="4" t="s">
        <v>604</v>
      </c>
      <c r="AB101" s="4"/>
      <c r="AC101"/>
      <c r="AF101" t="s">
        <v>1058</v>
      </c>
    </row>
    <row r="102" spans="6:32">
      <c r="F102" s="4"/>
      <c r="O102" s="4"/>
      <c r="P102"/>
      <c r="Q102" s="4"/>
      <c r="R102"/>
      <c r="V102"/>
      <c r="AA102" s="4" t="s">
        <v>605</v>
      </c>
      <c r="AB102" s="4"/>
      <c r="AC102"/>
      <c r="AF102" t="s">
        <v>1059</v>
      </c>
    </row>
    <row r="103" spans="6:32">
      <c r="F103" s="4"/>
      <c r="O103" s="4"/>
      <c r="P103"/>
      <c r="Q103" s="4"/>
      <c r="R103"/>
      <c r="V103"/>
      <c r="AA103" s="4" t="s">
        <v>922</v>
      </c>
      <c r="AB103" s="4"/>
      <c r="AC103"/>
      <c r="AF103" t="s">
        <v>1060</v>
      </c>
    </row>
    <row r="104" spans="6:32">
      <c r="F104" s="4"/>
      <c r="O104" s="4"/>
      <c r="P104"/>
      <c r="Q104" s="4"/>
      <c r="R104"/>
      <c r="V104"/>
      <c r="AA104" s="4" t="s">
        <v>923</v>
      </c>
      <c r="AB104" s="4"/>
      <c r="AC104"/>
      <c r="AF104" t="s">
        <v>1061</v>
      </c>
    </row>
    <row r="105" spans="6:32">
      <c r="F105" s="4"/>
      <c r="O105" s="4"/>
      <c r="P105"/>
      <c r="Q105" s="4"/>
      <c r="R105"/>
      <c r="V105"/>
      <c r="AA105" s="4" t="s">
        <v>924</v>
      </c>
      <c r="AB105" s="4"/>
      <c r="AC105"/>
      <c r="AF105" t="s">
        <v>1062</v>
      </c>
    </row>
    <row r="106" spans="6:32">
      <c r="F106" s="4"/>
      <c r="O106" s="4"/>
      <c r="P106"/>
      <c r="Q106" s="4"/>
      <c r="R106"/>
      <c r="V106"/>
      <c r="AA106" s="4" t="s">
        <v>606</v>
      </c>
      <c r="AB106" s="4"/>
      <c r="AC106"/>
      <c r="AF106" t="s">
        <v>1063</v>
      </c>
    </row>
    <row r="107" spans="6:32">
      <c r="F107" s="4"/>
      <c r="O107" s="4"/>
      <c r="P107"/>
      <c r="Q107" s="4"/>
      <c r="R107"/>
      <c r="V107"/>
      <c r="AA107" s="4" t="s">
        <v>607</v>
      </c>
      <c r="AB107" s="4"/>
      <c r="AC107"/>
      <c r="AF107" t="s">
        <v>1064</v>
      </c>
    </row>
    <row r="108" spans="6:32">
      <c r="F108" s="4"/>
      <c r="O108" s="4"/>
      <c r="P108"/>
      <c r="Q108" s="4"/>
      <c r="R108"/>
      <c r="V108"/>
      <c r="AA108" s="4" t="s">
        <v>608</v>
      </c>
      <c r="AB108" s="4"/>
      <c r="AC108"/>
      <c r="AF108" t="s">
        <v>1065</v>
      </c>
    </row>
    <row r="109" spans="6:32">
      <c r="F109" s="4"/>
      <c r="O109" s="4"/>
      <c r="P109"/>
      <c r="Q109" s="4"/>
      <c r="R109"/>
      <c r="V109"/>
      <c r="AA109" s="4" t="s">
        <v>609</v>
      </c>
      <c r="AB109" s="4"/>
      <c r="AC109"/>
      <c r="AF109" t="s">
        <v>1066</v>
      </c>
    </row>
    <row r="110" spans="6:32">
      <c r="F110" s="4"/>
      <c r="O110" s="4"/>
      <c r="P110"/>
      <c r="Q110" s="4"/>
      <c r="R110"/>
      <c r="V110"/>
      <c r="AA110" s="4" t="s">
        <v>610</v>
      </c>
      <c r="AB110" s="4"/>
      <c r="AC110"/>
      <c r="AF110" t="s">
        <v>1067</v>
      </c>
    </row>
    <row r="111" spans="6:32">
      <c r="F111" s="4"/>
      <c r="O111" s="4"/>
      <c r="P111"/>
      <c r="Q111" s="4"/>
      <c r="R111"/>
      <c r="V111"/>
      <c r="AA111" s="4" t="s">
        <v>611</v>
      </c>
      <c r="AB111" s="4"/>
      <c r="AC111"/>
      <c r="AF111" t="s">
        <v>1068</v>
      </c>
    </row>
    <row r="112" spans="6:32">
      <c r="F112" s="4"/>
      <c r="O112" s="4"/>
      <c r="P112"/>
      <c r="Q112" s="4"/>
      <c r="R112"/>
      <c r="V112"/>
      <c r="AA112" s="4" t="s">
        <v>612</v>
      </c>
      <c r="AB112" s="4"/>
      <c r="AC112"/>
      <c r="AF112" t="s">
        <v>1069</v>
      </c>
    </row>
    <row r="113" spans="6:32">
      <c r="F113" s="4"/>
      <c r="O113" s="4"/>
      <c r="P113"/>
      <c r="Q113" s="4"/>
      <c r="R113"/>
      <c r="V113"/>
      <c r="AA113" s="4" t="s">
        <v>613</v>
      </c>
      <c r="AB113" s="4"/>
      <c r="AC113"/>
      <c r="AF113" t="s">
        <v>1070</v>
      </c>
    </row>
    <row r="114" spans="6:32">
      <c r="F114" s="4"/>
      <c r="O114" s="4"/>
      <c r="P114"/>
      <c r="Q114" s="4"/>
      <c r="R114"/>
      <c r="V114"/>
      <c r="AA114" s="4" t="s">
        <v>614</v>
      </c>
      <c r="AB114" s="4"/>
      <c r="AC114"/>
      <c r="AF114" t="s">
        <v>1071</v>
      </c>
    </row>
    <row r="115" spans="6:32">
      <c r="F115" s="4"/>
      <c r="O115" s="4"/>
      <c r="P115"/>
      <c r="Q115" s="4"/>
      <c r="R115"/>
      <c r="V115"/>
      <c r="AA115" s="4" t="s">
        <v>615</v>
      </c>
      <c r="AB115" s="4"/>
      <c r="AC115"/>
      <c r="AF115" t="s">
        <v>1072</v>
      </c>
    </row>
    <row r="116" spans="6:32">
      <c r="F116" s="4"/>
      <c r="O116" s="4"/>
      <c r="P116"/>
      <c r="Q116" s="4"/>
      <c r="R116"/>
      <c r="V116"/>
      <c r="AA116" s="4" t="s">
        <v>616</v>
      </c>
      <c r="AB116" s="4"/>
      <c r="AC116"/>
      <c r="AF116" t="s">
        <v>1073</v>
      </c>
    </row>
    <row r="117" spans="6:32">
      <c r="F117" s="4"/>
      <c r="O117" s="4"/>
      <c r="P117"/>
      <c r="Q117" s="4"/>
      <c r="R117"/>
      <c r="V117"/>
      <c r="AA117" s="4" t="s">
        <v>617</v>
      </c>
      <c r="AB117" s="4"/>
      <c r="AC117"/>
      <c r="AF117" t="s">
        <v>1074</v>
      </c>
    </row>
    <row r="118" spans="6:32">
      <c r="F118" s="4"/>
      <c r="O118" s="4"/>
      <c r="P118"/>
      <c r="Q118" s="4"/>
      <c r="R118"/>
      <c r="V118"/>
      <c r="AA118" s="4" t="s">
        <v>618</v>
      </c>
      <c r="AB118" s="4"/>
      <c r="AC118"/>
      <c r="AF118" t="s">
        <v>1075</v>
      </c>
    </row>
    <row r="119" spans="6:32">
      <c r="F119" s="4"/>
      <c r="O119" s="4"/>
      <c r="P119"/>
      <c r="Q119" s="4"/>
      <c r="R119"/>
      <c r="V119"/>
      <c r="AA119" s="4" t="s">
        <v>619</v>
      </c>
      <c r="AB119" s="4"/>
      <c r="AC119"/>
      <c r="AF119" t="s">
        <v>1076</v>
      </c>
    </row>
    <row r="120" spans="6:32">
      <c r="F120" s="4"/>
      <c r="O120" s="4"/>
      <c r="P120"/>
      <c r="Q120" s="4"/>
      <c r="R120"/>
      <c r="V120"/>
      <c r="AA120" s="4" t="s">
        <v>620</v>
      </c>
      <c r="AB120" s="4"/>
      <c r="AC120"/>
      <c r="AF120" t="s">
        <v>1077</v>
      </c>
    </row>
    <row r="121" spans="6:32">
      <c r="F121" s="4"/>
      <c r="O121" s="4"/>
      <c r="P121"/>
      <c r="Q121" s="4"/>
      <c r="R121"/>
      <c r="V121"/>
      <c r="AA121" s="4" t="s">
        <v>621</v>
      </c>
      <c r="AB121" s="4"/>
      <c r="AC121"/>
      <c r="AF121" t="s">
        <v>1078</v>
      </c>
    </row>
    <row r="122" spans="6:32">
      <c r="F122" s="4"/>
      <c r="O122" s="4"/>
      <c r="P122"/>
      <c r="Q122" s="4"/>
      <c r="R122"/>
      <c r="V122"/>
      <c r="AA122" s="4" t="s">
        <v>925</v>
      </c>
      <c r="AB122" s="4"/>
      <c r="AC122"/>
      <c r="AF122" t="s">
        <v>1079</v>
      </c>
    </row>
    <row r="123" spans="6:32">
      <c r="F123" s="4"/>
      <c r="O123" s="4"/>
      <c r="P123"/>
      <c r="Q123" s="4"/>
      <c r="R123"/>
      <c r="V123"/>
      <c r="AA123" s="4" t="s">
        <v>622</v>
      </c>
      <c r="AB123" s="4"/>
      <c r="AC123"/>
      <c r="AF123" t="s">
        <v>1080</v>
      </c>
    </row>
    <row r="124" spans="6:32">
      <c r="F124" s="4"/>
      <c r="O124" s="4"/>
      <c r="P124"/>
      <c r="Q124" s="4"/>
      <c r="R124"/>
      <c r="V124"/>
      <c r="AA124" s="4" t="s">
        <v>623</v>
      </c>
      <c r="AB124" s="4"/>
      <c r="AC124"/>
      <c r="AF124" t="s">
        <v>1081</v>
      </c>
    </row>
    <row r="125" spans="6:32">
      <c r="F125" s="4"/>
      <c r="O125" s="4"/>
      <c r="P125"/>
      <c r="Q125" s="4"/>
      <c r="R125"/>
      <c r="V125"/>
      <c r="AA125" s="4" t="s">
        <v>624</v>
      </c>
      <c r="AB125" s="4"/>
      <c r="AC125"/>
      <c r="AF125" t="s">
        <v>1082</v>
      </c>
    </row>
    <row r="126" spans="6:32">
      <c r="F126" s="4"/>
      <c r="O126" s="4"/>
      <c r="P126"/>
      <c r="Q126" s="4"/>
      <c r="R126"/>
      <c r="V126"/>
      <c r="AA126" s="4" t="s">
        <v>127</v>
      </c>
      <c r="AB126" s="4"/>
      <c r="AC126"/>
      <c r="AF126" t="s">
        <v>1083</v>
      </c>
    </row>
    <row r="127" spans="6:32">
      <c r="F127" s="4"/>
      <c r="O127" s="4"/>
      <c r="P127"/>
      <c r="Q127" s="4"/>
      <c r="R127"/>
      <c r="V127"/>
      <c r="AA127" s="4" t="s">
        <v>625</v>
      </c>
      <c r="AB127" s="4"/>
      <c r="AC127"/>
      <c r="AF127" t="s">
        <v>1084</v>
      </c>
    </row>
    <row r="128" spans="6:32">
      <c r="F128" s="4"/>
      <c r="O128" s="4"/>
      <c r="P128"/>
      <c r="Q128" s="4"/>
      <c r="R128"/>
      <c r="V128"/>
      <c r="AA128" s="4" t="s">
        <v>626</v>
      </c>
      <c r="AB128" s="4"/>
      <c r="AC128"/>
      <c r="AF128" t="s">
        <v>1085</v>
      </c>
    </row>
    <row r="129" spans="6:32">
      <c r="F129" s="4"/>
      <c r="O129" s="4"/>
      <c r="P129"/>
      <c r="Q129" s="4"/>
      <c r="R129"/>
      <c r="V129"/>
      <c r="AA129" s="4" t="s">
        <v>627</v>
      </c>
      <c r="AB129" s="4"/>
      <c r="AC129"/>
      <c r="AF129" t="s">
        <v>1086</v>
      </c>
    </row>
    <row r="130" spans="6:32">
      <c r="F130" s="4"/>
      <c r="O130" s="4"/>
      <c r="P130"/>
      <c r="Q130" s="4"/>
      <c r="R130"/>
      <c r="V130"/>
      <c r="AA130" s="4" t="s">
        <v>628</v>
      </c>
      <c r="AB130" s="4"/>
      <c r="AC130"/>
      <c r="AF130" t="s">
        <v>1087</v>
      </c>
    </row>
    <row r="131" spans="6:32">
      <c r="F131" s="4"/>
      <c r="O131" s="4"/>
      <c r="P131"/>
      <c r="Q131" s="4"/>
      <c r="R131"/>
      <c r="V131"/>
      <c r="AA131" s="4" t="s">
        <v>629</v>
      </c>
      <c r="AB131" s="4"/>
      <c r="AC131"/>
      <c r="AF131" t="s">
        <v>1088</v>
      </c>
    </row>
    <row r="132" spans="6:32">
      <c r="F132" s="4"/>
      <c r="O132" s="4"/>
      <c r="P132"/>
      <c r="Q132" s="4"/>
      <c r="R132"/>
      <c r="V132"/>
      <c r="AA132" s="4" t="s">
        <v>630</v>
      </c>
      <c r="AB132" s="4"/>
      <c r="AC132"/>
      <c r="AF132" t="s">
        <v>1089</v>
      </c>
    </row>
    <row r="133" spans="6:32">
      <c r="F133" s="4"/>
      <c r="O133" s="4"/>
      <c r="P133"/>
      <c r="Q133" s="4"/>
      <c r="R133"/>
      <c r="V133"/>
      <c r="AA133" s="4" t="s">
        <v>631</v>
      </c>
      <c r="AB133" s="4"/>
      <c r="AC133"/>
      <c r="AF133" t="s">
        <v>1090</v>
      </c>
    </row>
    <row r="134" spans="6:32">
      <c r="F134" s="4"/>
      <c r="O134" s="4"/>
      <c r="P134"/>
      <c r="Q134" s="4"/>
      <c r="R134"/>
      <c r="V134"/>
      <c r="AA134" s="4" t="s">
        <v>632</v>
      </c>
      <c r="AB134" s="4"/>
      <c r="AC134"/>
      <c r="AF134" t="s">
        <v>1091</v>
      </c>
    </row>
    <row r="135" spans="6:32">
      <c r="F135" s="4"/>
      <c r="O135" s="4"/>
      <c r="P135"/>
      <c r="Q135" s="4"/>
      <c r="R135"/>
      <c r="V135"/>
      <c r="AA135" s="4" t="s">
        <v>633</v>
      </c>
      <c r="AB135" s="4"/>
      <c r="AC135"/>
      <c r="AF135" t="s">
        <v>1092</v>
      </c>
    </row>
    <row r="136" spans="6:32">
      <c r="F136" s="4"/>
      <c r="O136" s="4"/>
      <c r="P136"/>
      <c r="Q136" s="4"/>
      <c r="R136"/>
      <c r="V136"/>
      <c r="AA136" s="4" t="s">
        <v>634</v>
      </c>
      <c r="AB136" s="4"/>
      <c r="AC136"/>
      <c r="AF136" t="s">
        <v>1093</v>
      </c>
    </row>
    <row r="137" spans="6:32">
      <c r="F137" s="4"/>
      <c r="O137" s="4"/>
      <c r="P137"/>
      <c r="Q137" s="4"/>
      <c r="R137"/>
      <c r="V137"/>
      <c r="AA137" s="4" t="s">
        <v>635</v>
      </c>
      <c r="AB137" s="4"/>
      <c r="AC137"/>
      <c r="AF137" t="s">
        <v>1094</v>
      </c>
    </row>
    <row r="138" spans="6:32">
      <c r="F138" s="4"/>
      <c r="O138" s="4"/>
      <c r="P138"/>
      <c r="Q138" s="4"/>
      <c r="R138"/>
      <c r="V138"/>
      <c r="AA138" s="4" t="s">
        <v>636</v>
      </c>
      <c r="AB138" s="4"/>
      <c r="AC138"/>
      <c r="AF138" t="s">
        <v>1095</v>
      </c>
    </row>
    <row r="139" spans="6:32">
      <c r="F139" s="4"/>
      <c r="O139" s="4"/>
      <c r="P139"/>
      <c r="Q139" s="4"/>
      <c r="R139"/>
      <c r="V139"/>
      <c r="AA139" s="4" t="s">
        <v>637</v>
      </c>
      <c r="AB139" s="4"/>
      <c r="AC139"/>
      <c r="AF139" t="s">
        <v>1096</v>
      </c>
    </row>
    <row r="140" spans="6:32">
      <c r="F140" s="4"/>
      <c r="O140" s="4"/>
      <c r="P140"/>
      <c r="Q140" s="4"/>
      <c r="R140"/>
      <c r="V140"/>
      <c r="AA140" s="4" t="s">
        <v>638</v>
      </c>
      <c r="AB140" s="4"/>
      <c r="AC140"/>
      <c r="AF140" t="s">
        <v>1097</v>
      </c>
    </row>
    <row r="141" spans="6:32">
      <c r="F141" s="4"/>
      <c r="O141" s="4"/>
      <c r="P141"/>
      <c r="Q141" s="4"/>
      <c r="R141"/>
      <c r="V141"/>
      <c r="AA141" s="4" t="s">
        <v>639</v>
      </c>
      <c r="AB141" s="4"/>
      <c r="AC141"/>
      <c r="AF141" t="s">
        <v>1098</v>
      </c>
    </row>
    <row r="142" spans="6:32">
      <c r="F142" s="4"/>
      <c r="O142" s="4"/>
      <c r="P142"/>
      <c r="Q142" s="4"/>
      <c r="R142"/>
      <c r="V142"/>
      <c r="AA142" s="4" t="s">
        <v>640</v>
      </c>
      <c r="AB142" s="4"/>
      <c r="AC142"/>
      <c r="AF142" t="s">
        <v>1099</v>
      </c>
    </row>
    <row r="143" spans="6:32">
      <c r="F143" s="4"/>
      <c r="O143" s="4"/>
      <c r="P143"/>
      <c r="Q143" s="4"/>
      <c r="R143"/>
      <c r="V143"/>
      <c r="AA143" s="4" t="s">
        <v>14</v>
      </c>
      <c r="AB143" s="4"/>
      <c r="AC143"/>
      <c r="AF143" t="s">
        <v>1100</v>
      </c>
    </row>
    <row r="144" spans="6:32">
      <c r="F144" s="4"/>
      <c r="O144" s="4"/>
      <c r="P144"/>
      <c r="Q144" s="4"/>
      <c r="R144"/>
      <c r="V144"/>
      <c r="AA144" s="4" t="s">
        <v>641</v>
      </c>
      <c r="AB144" s="4"/>
      <c r="AC144"/>
      <c r="AF144" t="s">
        <v>1101</v>
      </c>
    </row>
    <row r="145" spans="6:32">
      <c r="F145" s="4"/>
      <c r="O145" s="4"/>
      <c r="P145"/>
      <c r="Q145" s="4"/>
      <c r="R145"/>
      <c r="V145"/>
      <c r="AA145" s="4" t="s">
        <v>642</v>
      </c>
      <c r="AB145" s="4"/>
      <c r="AC145"/>
      <c r="AF145" t="s">
        <v>1102</v>
      </c>
    </row>
    <row r="146" spans="6:32">
      <c r="F146" s="4"/>
      <c r="O146" s="4"/>
      <c r="P146"/>
      <c r="Q146" s="4"/>
      <c r="R146"/>
      <c r="V146"/>
      <c r="AA146" s="4" t="s">
        <v>643</v>
      </c>
      <c r="AB146" s="4"/>
      <c r="AC146"/>
      <c r="AF146" t="s">
        <v>1103</v>
      </c>
    </row>
    <row r="147" spans="6:32">
      <c r="F147" s="4"/>
      <c r="O147" s="4"/>
      <c r="P147"/>
      <c r="Q147" s="4"/>
      <c r="R147"/>
      <c r="V147"/>
      <c r="AA147" s="4"/>
      <c r="AB147" s="4"/>
      <c r="AC147"/>
      <c r="AF147" t="s">
        <v>1104</v>
      </c>
    </row>
    <row r="148" spans="6:32">
      <c r="F148" s="4"/>
      <c r="O148" s="4"/>
      <c r="P148"/>
      <c r="Q148" s="4"/>
      <c r="R148"/>
      <c r="V148"/>
      <c r="AA148" s="4"/>
      <c r="AB148" s="4"/>
      <c r="AC148"/>
      <c r="AF148" t="s">
        <v>1105</v>
      </c>
    </row>
    <row r="149" spans="6:32">
      <c r="F149" s="4"/>
      <c r="O149" s="4"/>
      <c r="P149"/>
      <c r="Q149" s="4"/>
      <c r="R149"/>
      <c r="V149"/>
      <c r="AA149" s="4"/>
      <c r="AB149" s="4"/>
      <c r="AC149"/>
      <c r="AF149" t="s">
        <v>1106</v>
      </c>
    </row>
    <row r="150" spans="6:32">
      <c r="F150" s="4"/>
      <c r="O150" s="4"/>
      <c r="P150"/>
      <c r="Q150" s="4"/>
      <c r="R150"/>
      <c r="V150"/>
      <c r="AA150" s="4"/>
      <c r="AB150" s="4"/>
      <c r="AC150"/>
      <c r="AF150" t="s">
        <v>1107</v>
      </c>
    </row>
    <row r="151" spans="6:32">
      <c r="F151" s="4"/>
      <c r="O151" s="4"/>
      <c r="P151"/>
      <c r="Q151" s="4"/>
      <c r="R151"/>
      <c r="V151"/>
      <c r="AA151" s="4"/>
      <c r="AB151" s="4"/>
      <c r="AC151"/>
      <c r="AF151" t="s">
        <v>1108</v>
      </c>
    </row>
    <row r="152" spans="6:32">
      <c r="F152" s="4"/>
      <c r="O152" s="4"/>
      <c r="P152"/>
      <c r="Q152" s="4"/>
      <c r="R152"/>
      <c r="V152"/>
      <c r="AA152" s="4"/>
      <c r="AB152" s="4"/>
      <c r="AC152"/>
      <c r="AF152" t="s">
        <v>1109</v>
      </c>
    </row>
    <row r="153" spans="6:32">
      <c r="F153" s="4"/>
      <c r="O153" s="4"/>
      <c r="P153"/>
      <c r="Q153" s="4"/>
      <c r="R153"/>
      <c r="V153"/>
      <c r="AA153" s="4"/>
      <c r="AB153" s="4"/>
      <c r="AC153"/>
      <c r="AF153" t="s">
        <v>1110</v>
      </c>
    </row>
    <row r="154" spans="6:32">
      <c r="F154" s="4"/>
      <c r="O154" s="4"/>
      <c r="P154"/>
      <c r="Q154" s="4"/>
      <c r="R154"/>
      <c r="V154"/>
      <c r="AA154" s="4"/>
      <c r="AB154" s="4"/>
      <c r="AC154"/>
      <c r="AF154" t="s">
        <v>1111</v>
      </c>
    </row>
    <row r="155" spans="6:32">
      <c r="F155" s="4"/>
      <c r="O155" s="4"/>
      <c r="P155"/>
      <c r="Q155" s="4"/>
      <c r="R155"/>
      <c r="V155"/>
      <c r="AA155" s="4"/>
      <c r="AB155" s="4"/>
      <c r="AC155"/>
      <c r="AF155" t="s">
        <v>1112</v>
      </c>
    </row>
    <row r="156" spans="6:32">
      <c r="F156" s="4"/>
      <c r="O156" s="4"/>
      <c r="P156"/>
      <c r="Q156" s="4"/>
      <c r="R156"/>
      <c r="V156"/>
      <c r="AA156" s="4"/>
      <c r="AB156" s="4"/>
      <c r="AC156"/>
      <c r="AF156" t="s">
        <v>1113</v>
      </c>
    </row>
    <row r="157" spans="6:32">
      <c r="F157" s="4"/>
      <c r="O157" s="4"/>
      <c r="P157"/>
      <c r="Q157" s="4"/>
      <c r="R157"/>
      <c r="V157"/>
      <c r="AA157" s="4"/>
      <c r="AB157" s="4"/>
      <c r="AC157"/>
      <c r="AF157" t="s">
        <v>1114</v>
      </c>
    </row>
    <row r="158" spans="6:32">
      <c r="F158" s="4"/>
      <c r="O158" s="4"/>
      <c r="P158"/>
      <c r="Q158" s="4"/>
      <c r="R158"/>
      <c r="V158"/>
      <c r="AA158" s="4"/>
      <c r="AB158" s="4"/>
      <c r="AC158"/>
      <c r="AF158" t="s">
        <v>1115</v>
      </c>
    </row>
    <row r="159" spans="6:32">
      <c r="F159" s="4"/>
      <c r="O159" s="4"/>
      <c r="P159"/>
      <c r="Q159" s="4"/>
      <c r="R159"/>
      <c r="V159"/>
      <c r="AA159" s="4"/>
      <c r="AB159" s="4"/>
      <c r="AC159"/>
      <c r="AF159" t="s">
        <v>1116</v>
      </c>
    </row>
    <row r="160" spans="6:32">
      <c r="F160" s="4"/>
      <c r="O160" s="4"/>
      <c r="P160"/>
      <c r="Q160" s="4"/>
      <c r="R160"/>
      <c r="V160"/>
      <c r="AA160" s="4"/>
      <c r="AB160" s="4"/>
      <c r="AC160"/>
      <c r="AF160" t="s">
        <v>1117</v>
      </c>
    </row>
    <row r="161" spans="6:32">
      <c r="F161" s="4"/>
      <c r="O161" s="4"/>
      <c r="P161"/>
      <c r="Q161" s="4"/>
      <c r="R161"/>
      <c r="V161"/>
      <c r="AA161" s="4"/>
      <c r="AB161" s="4"/>
      <c r="AC161"/>
      <c r="AF161" t="s">
        <v>1118</v>
      </c>
    </row>
    <row r="162" spans="6:32">
      <c r="F162" s="4"/>
      <c r="O162" s="4"/>
      <c r="P162"/>
      <c r="Q162" s="4"/>
      <c r="R162"/>
      <c r="V162"/>
      <c r="AA162" s="4"/>
      <c r="AB162" s="4"/>
      <c r="AC162"/>
      <c r="AF162" t="s">
        <v>1119</v>
      </c>
    </row>
    <row r="163" spans="6:32">
      <c r="F163" s="4"/>
      <c r="O163" s="4"/>
      <c r="P163"/>
      <c r="Q163" s="4"/>
      <c r="R163"/>
      <c r="V163"/>
      <c r="AA163" s="4"/>
      <c r="AB163" s="4"/>
      <c r="AC163"/>
      <c r="AF163" t="s">
        <v>1120</v>
      </c>
    </row>
    <row r="164" spans="6:32">
      <c r="F164" s="4"/>
      <c r="O164" s="4"/>
      <c r="P164"/>
      <c r="Q164" s="4"/>
      <c r="R164"/>
      <c r="V164"/>
      <c r="AA164" s="4"/>
      <c r="AB164" s="4"/>
      <c r="AC164"/>
      <c r="AF164" t="s">
        <v>1121</v>
      </c>
    </row>
    <row r="165" spans="6:32">
      <c r="F165" s="4"/>
      <c r="O165" s="4"/>
      <c r="P165"/>
      <c r="Q165" s="4"/>
      <c r="R165"/>
      <c r="V165"/>
      <c r="AA165" s="4"/>
      <c r="AB165" s="4"/>
      <c r="AC165"/>
      <c r="AF165" t="s">
        <v>1122</v>
      </c>
    </row>
    <row r="166" spans="6:32">
      <c r="F166" s="4"/>
      <c r="O166" s="4"/>
      <c r="P166"/>
      <c r="Q166" s="4"/>
      <c r="R166"/>
      <c r="V166"/>
      <c r="AA166" s="4"/>
      <c r="AB166" s="4"/>
      <c r="AC166"/>
      <c r="AF166" t="s">
        <v>1123</v>
      </c>
    </row>
    <row r="167" spans="6:32">
      <c r="F167" s="4"/>
      <c r="O167" s="4"/>
      <c r="P167"/>
      <c r="Q167" s="4"/>
      <c r="R167"/>
      <c r="V167"/>
      <c r="AA167" s="4"/>
      <c r="AB167" s="4"/>
      <c r="AC167"/>
      <c r="AF167" t="s">
        <v>1124</v>
      </c>
    </row>
    <row r="168" spans="6:32">
      <c r="F168" s="4"/>
      <c r="O168" s="4"/>
      <c r="P168"/>
      <c r="Q168" s="4"/>
      <c r="R168"/>
      <c r="V168"/>
      <c r="AA168" s="4"/>
      <c r="AB168" s="4"/>
      <c r="AC168"/>
      <c r="AF168" t="s">
        <v>120</v>
      </c>
    </row>
    <row r="169" spans="6:32">
      <c r="F169" s="4"/>
      <c r="O169" s="4"/>
      <c r="P169"/>
      <c r="Q169" s="4"/>
      <c r="R169"/>
      <c r="V169"/>
      <c r="AA169" s="4"/>
      <c r="AB169" s="4"/>
      <c r="AC169"/>
      <c r="AF169" t="s">
        <v>121</v>
      </c>
    </row>
    <row r="170" spans="6:32">
      <c r="F170" s="4"/>
      <c r="O170" s="4"/>
      <c r="P170"/>
      <c r="Q170" s="4"/>
      <c r="R170"/>
      <c r="V170"/>
      <c r="AA170" s="4"/>
      <c r="AB170" s="4"/>
      <c r="AC170"/>
      <c r="AF170" t="s">
        <v>1125</v>
      </c>
    </row>
    <row r="171" spans="6:32">
      <c r="F171" s="4"/>
      <c r="O171" s="4"/>
      <c r="P171"/>
      <c r="Q171" s="4"/>
      <c r="R171"/>
      <c r="V171"/>
      <c r="AA171" s="4"/>
      <c r="AB171" s="4"/>
      <c r="AC171"/>
      <c r="AF171" t="s">
        <v>1126</v>
      </c>
    </row>
    <row r="172" spans="6:32">
      <c r="F172" s="4"/>
      <c r="O172" s="4"/>
      <c r="P172"/>
      <c r="Q172" s="4"/>
      <c r="R172"/>
      <c r="V172"/>
      <c r="AA172" s="4"/>
      <c r="AB172" s="4"/>
      <c r="AC172"/>
      <c r="AF172" t="s">
        <v>1127</v>
      </c>
    </row>
    <row r="173" spans="6:32">
      <c r="F173" s="4"/>
      <c r="O173" s="4"/>
      <c r="P173"/>
      <c r="Q173" s="4"/>
      <c r="R173"/>
      <c r="V173"/>
      <c r="AA173" s="4"/>
      <c r="AB173" s="4"/>
      <c r="AC173"/>
      <c r="AF173" t="s">
        <v>1128</v>
      </c>
    </row>
    <row r="174" spans="6:32">
      <c r="F174" s="4"/>
      <c r="O174" s="4"/>
      <c r="P174"/>
      <c r="Q174" s="4"/>
      <c r="R174"/>
      <c r="V174"/>
      <c r="AA174" s="4"/>
      <c r="AB174" s="4"/>
      <c r="AC174"/>
      <c r="AF174" t="s">
        <v>1129</v>
      </c>
    </row>
    <row r="175" spans="6:32">
      <c r="F175" s="4"/>
      <c r="O175" s="4"/>
      <c r="P175"/>
      <c r="Q175" s="4"/>
      <c r="R175"/>
      <c r="V175"/>
      <c r="AA175" s="4"/>
      <c r="AB175" s="4"/>
      <c r="AC175"/>
      <c r="AF175" t="s">
        <v>122</v>
      </c>
    </row>
    <row r="176" spans="6:32">
      <c r="F176" s="4"/>
      <c r="O176" s="4"/>
      <c r="P176"/>
      <c r="Q176" s="4"/>
      <c r="R176"/>
      <c r="V176"/>
      <c r="AA176" s="4"/>
      <c r="AB176" s="4"/>
      <c r="AC176"/>
      <c r="AF176" t="s">
        <v>1130</v>
      </c>
    </row>
    <row r="177" spans="6:32">
      <c r="F177" s="4"/>
      <c r="O177" s="4"/>
      <c r="P177"/>
      <c r="Q177" s="4"/>
      <c r="R177"/>
      <c r="V177"/>
      <c r="AA177" s="4"/>
      <c r="AB177" s="4"/>
      <c r="AC177"/>
      <c r="AF177" t="s">
        <v>1131</v>
      </c>
    </row>
    <row r="178" spans="6:32">
      <c r="F178" s="4"/>
      <c r="O178" s="4"/>
      <c r="P178"/>
      <c r="Q178" s="4"/>
      <c r="R178"/>
      <c r="V178"/>
      <c r="AA178" s="4"/>
      <c r="AB178" s="4"/>
      <c r="AC178"/>
      <c r="AF178" t="s">
        <v>1132</v>
      </c>
    </row>
    <row r="179" spans="6:32">
      <c r="F179" s="4"/>
      <c r="O179" s="4"/>
      <c r="P179"/>
      <c r="Q179" s="4"/>
      <c r="R179"/>
      <c r="V179"/>
      <c r="AA179" s="4"/>
      <c r="AB179" s="4"/>
      <c r="AC179"/>
      <c r="AF179" t="s">
        <v>1133</v>
      </c>
    </row>
    <row r="180" spans="6:32">
      <c r="F180" s="4"/>
      <c r="O180" s="4"/>
      <c r="P180"/>
      <c r="Q180" s="4"/>
      <c r="R180"/>
      <c r="V180"/>
      <c r="AA180" s="4"/>
      <c r="AB180" s="4"/>
      <c r="AC180"/>
      <c r="AF180" t="s">
        <v>123</v>
      </c>
    </row>
    <row r="181" spans="6:32">
      <c r="F181" s="4"/>
      <c r="O181" s="4"/>
      <c r="P181"/>
      <c r="Q181" s="4"/>
      <c r="R181"/>
      <c r="V181"/>
      <c r="AA181" s="4"/>
      <c r="AB181" s="4"/>
      <c r="AC181"/>
      <c r="AF181" t="s">
        <v>1134</v>
      </c>
    </row>
    <row r="182" spans="6:32">
      <c r="F182" s="4"/>
      <c r="O182" s="4"/>
      <c r="P182"/>
      <c r="Q182" s="4"/>
      <c r="R182"/>
      <c r="V182"/>
      <c r="AA182" s="4"/>
      <c r="AB182" s="4"/>
      <c r="AC182"/>
      <c r="AF182" t="s">
        <v>1135</v>
      </c>
    </row>
    <row r="183" spans="6:32">
      <c r="F183" s="4"/>
      <c r="O183" s="4"/>
      <c r="P183"/>
      <c r="Q183" s="4"/>
      <c r="R183"/>
      <c r="V183"/>
      <c r="AA183" s="4"/>
      <c r="AB183" s="4"/>
      <c r="AC183"/>
      <c r="AF183" t="s">
        <v>1136</v>
      </c>
    </row>
    <row r="184" spans="6:32">
      <c r="F184" s="4"/>
      <c r="O184" s="4"/>
      <c r="P184"/>
      <c r="Q184" s="4"/>
      <c r="R184"/>
      <c r="V184"/>
      <c r="AA184" s="4"/>
      <c r="AB184" s="4"/>
      <c r="AC184"/>
      <c r="AF184" t="s">
        <v>1137</v>
      </c>
    </row>
    <row r="185" spans="6:32">
      <c r="F185" s="4"/>
      <c r="O185" s="4"/>
      <c r="P185"/>
      <c r="Q185" s="4"/>
      <c r="R185"/>
      <c r="V185"/>
      <c r="AA185" s="4"/>
      <c r="AB185" s="4"/>
      <c r="AC185"/>
      <c r="AF185" t="s">
        <v>1138</v>
      </c>
    </row>
    <row r="186" spans="6:32">
      <c r="F186" s="4"/>
      <c r="O186" s="4"/>
      <c r="P186"/>
      <c r="Q186" s="4"/>
      <c r="R186"/>
      <c r="V186"/>
      <c r="AA186" s="4"/>
      <c r="AB186" s="4"/>
      <c r="AC186"/>
      <c r="AF186" t="s">
        <v>1139</v>
      </c>
    </row>
    <row r="187" spans="6:32">
      <c r="F187" s="4"/>
      <c r="O187" s="4"/>
      <c r="P187"/>
      <c r="Q187" s="4"/>
      <c r="R187"/>
      <c r="V187"/>
      <c r="AA187" s="4"/>
      <c r="AB187" s="4"/>
      <c r="AC187"/>
      <c r="AF187" t="s">
        <v>1140</v>
      </c>
    </row>
    <row r="188" spans="6:32">
      <c r="F188" s="4"/>
      <c r="O188" s="4"/>
      <c r="P188"/>
      <c r="Q188" s="4"/>
      <c r="R188"/>
      <c r="V188"/>
      <c r="AA188" s="4"/>
      <c r="AB188" s="4"/>
      <c r="AC188"/>
      <c r="AF188" t="s">
        <v>1141</v>
      </c>
    </row>
    <row r="189" spans="6:32">
      <c r="F189" s="4"/>
      <c r="O189" s="4"/>
      <c r="P189"/>
      <c r="Q189" s="4"/>
      <c r="R189"/>
      <c r="V189"/>
      <c r="AA189" s="4"/>
      <c r="AB189" s="4"/>
      <c r="AC189"/>
      <c r="AF189" t="s">
        <v>1142</v>
      </c>
    </row>
    <row r="190" spans="6:32">
      <c r="F190" s="4"/>
      <c r="O190" s="4"/>
      <c r="P190"/>
      <c r="Q190" s="4"/>
      <c r="R190"/>
      <c r="V190"/>
      <c r="AA190" s="4"/>
      <c r="AB190" s="4"/>
      <c r="AC190"/>
      <c r="AF190" t="s">
        <v>1143</v>
      </c>
    </row>
    <row r="191" spans="6:32">
      <c r="F191" s="4"/>
      <c r="O191" s="4"/>
      <c r="P191"/>
      <c r="Q191" s="4"/>
      <c r="R191"/>
      <c r="V191"/>
      <c r="AA191" s="4"/>
      <c r="AB191" s="4"/>
      <c r="AC191"/>
      <c r="AF191" t="s">
        <v>1144</v>
      </c>
    </row>
    <row r="192" spans="6:32">
      <c r="F192" s="4"/>
      <c r="O192" s="4"/>
      <c r="P192"/>
      <c r="Q192" s="4"/>
      <c r="R192"/>
      <c r="V192"/>
      <c r="AA192" s="4"/>
      <c r="AB192" s="4"/>
      <c r="AC192"/>
      <c r="AF192" t="s">
        <v>1145</v>
      </c>
    </row>
    <row r="193" spans="6:32">
      <c r="F193" s="4"/>
      <c r="O193" s="4"/>
      <c r="P193"/>
      <c r="Q193" s="4"/>
      <c r="R193"/>
      <c r="V193"/>
      <c r="AA193" s="4"/>
      <c r="AB193" s="4"/>
      <c r="AC193"/>
      <c r="AF193" t="s">
        <v>1146</v>
      </c>
    </row>
    <row r="194" spans="6:32">
      <c r="F194" s="4"/>
      <c r="O194" s="4"/>
      <c r="P194"/>
      <c r="Q194" s="4"/>
      <c r="R194"/>
      <c r="V194"/>
      <c r="AA194" s="4"/>
      <c r="AB194" s="4"/>
      <c r="AC194"/>
      <c r="AF194" t="s">
        <v>1147</v>
      </c>
    </row>
    <row r="195" spans="6:32">
      <c r="F195" s="4"/>
      <c r="O195" s="4"/>
      <c r="P195"/>
      <c r="Q195" s="4"/>
      <c r="R195"/>
      <c r="V195"/>
      <c r="AA195" s="4"/>
      <c r="AB195" s="4"/>
      <c r="AC195"/>
      <c r="AF195" t="s">
        <v>1148</v>
      </c>
    </row>
    <row r="196" spans="6:32">
      <c r="F196" s="4"/>
      <c r="O196" s="4"/>
      <c r="P196"/>
      <c r="Q196" s="4"/>
      <c r="R196"/>
      <c r="V196"/>
      <c r="AA196" s="4"/>
      <c r="AB196" s="4"/>
      <c r="AC196"/>
      <c r="AF196" t="s">
        <v>1149</v>
      </c>
    </row>
    <row r="197" spans="6:32">
      <c r="F197" s="4"/>
      <c r="O197" s="4"/>
      <c r="P197"/>
      <c r="Q197" s="4"/>
      <c r="R197"/>
      <c r="V197"/>
      <c r="AA197" s="4"/>
      <c r="AB197" s="4"/>
      <c r="AC197"/>
      <c r="AF197" t="s">
        <v>1150</v>
      </c>
    </row>
    <row r="198" spans="6:32">
      <c r="F198" s="4"/>
      <c r="O198" s="4"/>
      <c r="P198"/>
      <c r="Q198" s="4"/>
      <c r="R198"/>
      <c r="V198"/>
      <c r="AA198" s="4"/>
      <c r="AB198" s="4"/>
      <c r="AC198"/>
      <c r="AF198" t="s">
        <v>1151</v>
      </c>
    </row>
    <row r="199" spans="6:32">
      <c r="F199" s="4"/>
      <c r="O199" s="4"/>
      <c r="P199"/>
      <c r="Q199" s="4"/>
      <c r="R199"/>
      <c r="V199"/>
      <c r="AA199" s="4"/>
      <c r="AB199" s="4"/>
      <c r="AC199"/>
      <c r="AF199" t="s">
        <v>1152</v>
      </c>
    </row>
    <row r="200" spans="6:32">
      <c r="F200" s="4"/>
      <c r="O200" s="4"/>
      <c r="P200"/>
      <c r="Q200" s="4"/>
      <c r="R200"/>
      <c r="V200"/>
      <c r="AA200" s="4"/>
      <c r="AB200" s="4"/>
      <c r="AC200"/>
      <c r="AF200" t="s">
        <v>1153</v>
      </c>
    </row>
    <row r="201" spans="6:32">
      <c r="F201" s="4"/>
      <c r="O201" s="4"/>
      <c r="P201"/>
      <c r="Q201" s="4"/>
      <c r="R201"/>
      <c r="V201"/>
      <c r="AA201" s="4"/>
      <c r="AB201" s="4"/>
      <c r="AC201"/>
      <c r="AF201" t="s">
        <v>1154</v>
      </c>
    </row>
    <row r="202" spans="6:32">
      <c r="F202" s="4"/>
      <c r="O202" s="4"/>
      <c r="P202"/>
      <c r="Q202" s="4"/>
      <c r="R202"/>
      <c r="V202"/>
      <c r="AA202" s="4"/>
      <c r="AB202" s="4"/>
      <c r="AC202"/>
      <c r="AF202" t="s">
        <v>1155</v>
      </c>
    </row>
    <row r="203" spans="6:32">
      <c r="F203" s="4"/>
      <c r="O203" s="4"/>
      <c r="P203"/>
      <c r="Q203" s="4"/>
      <c r="R203"/>
      <c r="V203"/>
      <c r="AA203" s="4"/>
      <c r="AB203" s="4"/>
      <c r="AC203"/>
      <c r="AF203" t="s">
        <v>1156</v>
      </c>
    </row>
    <row r="204" spans="6:32">
      <c r="F204" s="4"/>
      <c r="O204" s="4"/>
      <c r="P204"/>
      <c r="Q204" s="4"/>
      <c r="R204"/>
      <c r="V204"/>
      <c r="AA204" s="4"/>
      <c r="AB204" s="4"/>
      <c r="AC204"/>
      <c r="AF204" t="s">
        <v>1157</v>
      </c>
    </row>
    <row r="205" spans="6:32">
      <c r="F205" s="4"/>
      <c r="O205" s="4"/>
      <c r="P205"/>
      <c r="Q205" s="4"/>
      <c r="R205"/>
      <c r="V205"/>
      <c r="AA205" s="4"/>
      <c r="AB205" s="4"/>
      <c r="AC205"/>
      <c r="AF205" t="s">
        <v>1158</v>
      </c>
    </row>
    <row r="206" spans="6:32">
      <c r="F206" s="4"/>
      <c r="O206" s="4"/>
      <c r="P206"/>
      <c r="Q206" s="4"/>
      <c r="R206"/>
      <c r="V206"/>
      <c r="AA206" s="4"/>
      <c r="AB206" s="4"/>
      <c r="AC206"/>
      <c r="AF206" t="s">
        <v>1159</v>
      </c>
    </row>
    <row r="207" spans="6:32">
      <c r="F207" s="4"/>
      <c r="O207" s="4"/>
      <c r="P207"/>
      <c r="Q207" s="4"/>
      <c r="R207"/>
      <c r="V207"/>
      <c r="AA207" s="4"/>
      <c r="AB207" s="4"/>
      <c r="AC207"/>
      <c r="AF207" t="s">
        <v>1160</v>
      </c>
    </row>
    <row r="208" spans="6:32">
      <c r="F208" s="4"/>
      <c r="O208" s="4"/>
      <c r="P208"/>
      <c r="Q208" s="4"/>
      <c r="R208"/>
      <c r="V208"/>
      <c r="AA208" s="4"/>
      <c r="AB208" s="4"/>
      <c r="AC208"/>
      <c r="AF208" t="s">
        <v>1161</v>
      </c>
    </row>
    <row r="209" spans="6:32">
      <c r="F209" s="4"/>
      <c r="O209" s="4"/>
      <c r="P209"/>
      <c r="Q209" s="4"/>
      <c r="R209"/>
      <c r="V209"/>
      <c r="AA209" s="4"/>
      <c r="AB209" s="4"/>
      <c r="AC209"/>
      <c r="AF209" t="s">
        <v>1162</v>
      </c>
    </row>
    <row r="210" spans="6:32">
      <c r="F210" s="4"/>
      <c r="O210" s="4"/>
      <c r="P210"/>
      <c r="Q210" s="4"/>
      <c r="R210"/>
      <c r="V210"/>
      <c r="AA210" s="4"/>
      <c r="AB210" s="4"/>
      <c r="AC210"/>
      <c r="AF210" t="s">
        <v>1163</v>
      </c>
    </row>
    <row r="211" spans="6:32">
      <c r="F211" s="4"/>
      <c r="O211" s="4"/>
      <c r="P211"/>
      <c r="Q211" s="4"/>
      <c r="R211"/>
      <c r="V211"/>
      <c r="AA211" s="4"/>
      <c r="AB211" s="4"/>
      <c r="AC211"/>
      <c r="AF211" t="s">
        <v>1164</v>
      </c>
    </row>
    <row r="212" spans="6:32">
      <c r="F212" s="4"/>
      <c r="O212" s="4"/>
      <c r="P212"/>
      <c r="Q212" s="4"/>
      <c r="R212"/>
      <c r="V212"/>
      <c r="AA212" s="4"/>
      <c r="AB212" s="4"/>
      <c r="AC212"/>
      <c r="AF212" t="s">
        <v>1165</v>
      </c>
    </row>
    <row r="213" spans="6:32">
      <c r="F213" s="4"/>
      <c r="O213" s="4"/>
      <c r="P213"/>
      <c r="Q213" s="4"/>
      <c r="R213"/>
      <c r="V213"/>
      <c r="AA213" s="4"/>
      <c r="AB213" s="4"/>
      <c r="AC213"/>
      <c r="AF213" t="s">
        <v>1166</v>
      </c>
    </row>
    <row r="214" spans="6:32">
      <c r="F214" s="4"/>
      <c r="O214" s="4"/>
      <c r="P214"/>
      <c r="Q214" s="4"/>
      <c r="R214"/>
      <c r="V214"/>
      <c r="AA214" s="4"/>
      <c r="AB214" s="4"/>
      <c r="AC214"/>
      <c r="AF214" t="s">
        <v>1167</v>
      </c>
    </row>
    <row r="215" spans="6:32">
      <c r="F215" s="4"/>
      <c r="O215" s="4"/>
      <c r="P215"/>
      <c r="Q215" s="4"/>
      <c r="R215"/>
      <c r="V215"/>
      <c r="AA215" s="4"/>
      <c r="AB215" s="4"/>
      <c r="AC215"/>
      <c r="AF215" t="s">
        <v>1168</v>
      </c>
    </row>
    <row r="216" spans="6:32">
      <c r="F216" s="4"/>
      <c r="O216" s="4"/>
      <c r="P216"/>
      <c r="Q216" s="4"/>
      <c r="R216"/>
      <c r="V216"/>
      <c r="AA216" s="4"/>
      <c r="AB216" s="4"/>
      <c r="AC216"/>
      <c r="AF216" t="s">
        <v>1169</v>
      </c>
    </row>
    <row r="217" spans="6:32">
      <c r="F217" s="4"/>
      <c r="O217" s="4"/>
      <c r="P217"/>
      <c r="Q217" s="4"/>
      <c r="R217"/>
      <c r="V217"/>
      <c r="AA217" s="4"/>
      <c r="AB217" s="4"/>
      <c r="AC217"/>
      <c r="AF217" t="s">
        <v>1170</v>
      </c>
    </row>
    <row r="218" spans="6:32">
      <c r="F218" s="4"/>
      <c r="O218" s="4"/>
      <c r="P218"/>
      <c r="Q218" s="4"/>
      <c r="R218"/>
      <c r="V218"/>
      <c r="AA218" s="4"/>
      <c r="AB218" s="4"/>
      <c r="AC218"/>
      <c r="AF218" t="s">
        <v>1171</v>
      </c>
    </row>
    <row r="219" spans="6:32">
      <c r="F219" s="4"/>
      <c r="O219" s="4"/>
      <c r="P219"/>
      <c r="Q219" s="4"/>
      <c r="R219"/>
      <c r="V219"/>
      <c r="AA219" s="4"/>
      <c r="AB219" s="4"/>
      <c r="AC219"/>
      <c r="AF219" t="s">
        <v>1172</v>
      </c>
    </row>
    <row r="220" spans="6:32">
      <c r="F220" s="4"/>
      <c r="O220" s="4"/>
      <c r="P220"/>
      <c r="Q220" s="4"/>
      <c r="R220"/>
      <c r="V220"/>
      <c r="AA220" s="4"/>
      <c r="AB220" s="4"/>
      <c r="AC220"/>
      <c r="AF220" t="s">
        <v>1173</v>
      </c>
    </row>
    <row r="221" spans="6:32">
      <c r="F221" s="4"/>
      <c r="O221" s="4"/>
      <c r="P221"/>
      <c r="Q221" s="4"/>
      <c r="R221"/>
      <c r="V221"/>
      <c r="AA221" s="4"/>
      <c r="AB221" s="4"/>
      <c r="AC221"/>
      <c r="AF221" t="s">
        <v>1174</v>
      </c>
    </row>
    <row r="222" spans="6:32">
      <c r="F222" s="4"/>
      <c r="O222" s="4"/>
      <c r="P222"/>
      <c r="Q222" s="4"/>
      <c r="R222"/>
      <c r="V222"/>
      <c r="AA222" s="4"/>
      <c r="AB222" s="4"/>
      <c r="AC222"/>
      <c r="AF222" t="s">
        <v>1175</v>
      </c>
    </row>
    <row r="223" spans="6:32">
      <c r="F223" s="4"/>
      <c r="O223" s="4"/>
      <c r="P223"/>
      <c r="Q223" s="4"/>
      <c r="R223"/>
      <c r="V223"/>
      <c r="AA223" s="4"/>
      <c r="AB223" s="4"/>
      <c r="AC223"/>
      <c r="AF223" t="s">
        <v>1176</v>
      </c>
    </row>
    <row r="224" spans="6:32">
      <c r="F224" s="4"/>
      <c r="O224" s="4"/>
      <c r="P224"/>
      <c r="Q224" s="4"/>
      <c r="R224"/>
      <c r="V224"/>
      <c r="AA224" s="4"/>
      <c r="AB224" s="4"/>
      <c r="AC224"/>
      <c r="AF224" t="s">
        <v>1177</v>
      </c>
    </row>
    <row r="225" spans="6:32">
      <c r="F225" s="4"/>
      <c r="O225" s="4"/>
      <c r="P225"/>
      <c r="Q225" s="4"/>
      <c r="R225"/>
      <c r="V225"/>
      <c r="AA225" s="4"/>
      <c r="AB225" s="4"/>
      <c r="AC225"/>
      <c r="AF225" t="s">
        <v>1178</v>
      </c>
    </row>
    <row r="226" spans="6:32">
      <c r="F226" s="4"/>
      <c r="O226" s="4"/>
      <c r="P226"/>
      <c r="Q226" s="4"/>
      <c r="R226"/>
      <c r="V226"/>
      <c r="AA226" s="4"/>
      <c r="AB226" s="4"/>
      <c r="AC226"/>
      <c r="AF226" t="s">
        <v>1179</v>
      </c>
    </row>
    <row r="227" spans="6:32">
      <c r="F227" s="4"/>
      <c r="O227" s="4"/>
      <c r="P227"/>
      <c r="Q227" s="4"/>
      <c r="R227"/>
      <c r="V227"/>
      <c r="AA227" s="4"/>
      <c r="AB227" s="4"/>
      <c r="AC227"/>
      <c r="AF227" t="s">
        <v>1180</v>
      </c>
    </row>
    <row r="228" spans="6:32">
      <c r="F228" s="4"/>
      <c r="O228" s="4"/>
      <c r="P228"/>
      <c r="Q228" s="4"/>
      <c r="R228"/>
      <c r="V228"/>
      <c r="AA228" s="4"/>
      <c r="AB228" s="4"/>
      <c r="AC228"/>
      <c r="AF228" t="s">
        <v>1181</v>
      </c>
    </row>
    <row r="229" spans="6:32">
      <c r="F229" s="4"/>
      <c r="O229" s="4"/>
      <c r="P229"/>
      <c r="Q229" s="4"/>
      <c r="R229"/>
      <c r="V229"/>
      <c r="AA229" s="4"/>
      <c r="AB229" s="4"/>
      <c r="AC229"/>
      <c r="AF229" t="s">
        <v>1182</v>
      </c>
    </row>
    <row r="230" spans="6:32">
      <c r="F230" s="4"/>
      <c r="O230" s="4"/>
      <c r="P230"/>
      <c r="Q230" s="4"/>
      <c r="R230"/>
      <c r="V230"/>
      <c r="AA230" s="4"/>
      <c r="AB230" s="4"/>
      <c r="AC230"/>
      <c r="AF230" t="s">
        <v>1183</v>
      </c>
    </row>
    <row r="231" spans="6:32">
      <c r="F231" s="4"/>
      <c r="O231" s="4"/>
      <c r="P231"/>
      <c r="Q231" s="4"/>
      <c r="R231"/>
      <c r="V231"/>
      <c r="AA231" s="4"/>
      <c r="AB231" s="4"/>
      <c r="AC231"/>
      <c r="AF231" t="s">
        <v>1184</v>
      </c>
    </row>
    <row r="232" spans="6:32">
      <c r="F232" s="4"/>
      <c r="O232" s="4"/>
      <c r="P232"/>
      <c r="Q232" s="4"/>
      <c r="R232"/>
      <c r="V232"/>
      <c r="AA232" s="4"/>
      <c r="AB232" s="4"/>
      <c r="AC232"/>
      <c r="AF232" t="s">
        <v>1185</v>
      </c>
    </row>
    <row r="233" spans="6:32">
      <c r="F233" s="4"/>
      <c r="O233" s="4"/>
      <c r="P233"/>
      <c r="Q233" s="4"/>
      <c r="R233"/>
      <c r="V233"/>
      <c r="AA233" s="4"/>
      <c r="AB233" s="4"/>
      <c r="AC233"/>
      <c r="AF233" t="s">
        <v>1186</v>
      </c>
    </row>
    <row r="234" spans="6:32">
      <c r="F234" s="4"/>
      <c r="O234" s="4"/>
      <c r="P234"/>
      <c r="Q234" s="4"/>
      <c r="R234"/>
      <c r="V234"/>
      <c r="AA234" s="4"/>
      <c r="AB234" s="4"/>
      <c r="AC234"/>
      <c r="AF234" t="s">
        <v>1187</v>
      </c>
    </row>
    <row r="235" spans="6:32">
      <c r="F235" s="4"/>
      <c r="O235" s="4"/>
      <c r="P235"/>
      <c r="Q235" s="4"/>
      <c r="R235"/>
      <c r="V235"/>
      <c r="AA235" s="4"/>
      <c r="AB235" s="4"/>
      <c r="AC235"/>
      <c r="AF235" t="s">
        <v>1188</v>
      </c>
    </row>
    <row r="236" spans="6:32">
      <c r="F236" s="4"/>
      <c r="O236" s="4"/>
      <c r="P236"/>
      <c r="Q236" s="4"/>
      <c r="R236"/>
      <c r="V236"/>
      <c r="AA236" s="4"/>
      <c r="AB236" s="4"/>
      <c r="AC236"/>
      <c r="AF236" t="s">
        <v>1189</v>
      </c>
    </row>
    <row r="237" spans="6:32">
      <c r="F237" s="4"/>
      <c r="O237" s="4"/>
      <c r="P237"/>
      <c r="Q237" s="4"/>
      <c r="R237"/>
      <c r="V237"/>
      <c r="AA237" s="4"/>
      <c r="AB237" s="4"/>
      <c r="AC237"/>
      <c r="AF237" t="s">
        <v>1190</v>
      </c>
    </row>
    <row r="238" spans="6:32">
      <c r="F238" s="4"/>
      <c r="O238" s="4"/>
      <c r="P238"/>
      <c r="Q238" s="4"/>
      <c r="R238"/>
      <c r="V238"/>
      <c r="AA238" s="4"/>
      <c r="AB238" s="4"/>
      <c r="AC238"/>
      <c r="AF238" t="s">
        <v>1191</v>
      </c>
    </row>
    <row r="239" spans="6:32">
      <c r="F239" s="4"/>
      <c r="O239" s="4"/>
      <c r="P239"/>
      <c r="Q239" s="4"/>
      <c r="R239"/>
      <c r="V239"/>
      <c r="AA239" s="4"/>
      <c r="AB239" s="4"/>
      <c r="AC239"/>
      <c r="AF239" t="s">
        <v>1192</v>
      </c>
    </row>
    <row r="240" spans="6:32">
      <c r="F240" s="4"/>
      <c r="O240" s="4"/>
      <c r="P240"/>
      <c r="Q240" s="4"/>
      <c r="R240"/>
      <c r="V240"/>
      <c r="AA240" s="4"/>
      <c r="AB240" s="4"/>
      <c r="AC240"/>
      <c r="AF240" t="s">
        <v>1193</v>
      </c>
    </row>
    <row r="241" spans="6:32">
      <c r="F241" s="4"/>
      <c r="O241" s="4"/>
      <c r="P241"/>
      <c r="Q241" s="4"/>
      <c r="R241"/>
      <c r="V241"/>
      <c r="AA241" s="4"/>
      <c r="AB241" s="4"/>
      <c r="AC241"/>
      <c r="AF241" t="s">
        <v>1194</v>
      </c>
    </row>
    <row r="242" spans="6:32">
      <c r="F242" s="4"/>
      <c r="O242" s="4"/>
      <c r="P242"/>
      <c r="Q242" s="4"/>
      <c r="R242"/>
      <c r="V242"/>
      <c r="AA242" s="4"/>
      <c r="AB242" s="4"/>
      <c r="AC242"/>
      <c r="AF242" t="s">
        <v>1195</v>
      </c>
    </row>
    <row r="243" spans="6:32">
      <c r="F243" s="4"/>
      <c r="O243" s="4"/>
      <c r="P243"/>
      <c r="Q243" s="4"/>
      <c r="R243"/>
      <c r="V243"/>
      <c r="AA243" s="4"/>
      <c r="AB243" s="4"/>
      <c r="AC243"/>
      <c r="AF243" t="s">
        <v>1196</v>
      </c>
    </row>
    <row r="244" spans="6:32">
      <c r="F244" s="4"/>
      <c r="O244" s="4"/>
      <c r="P244"/>
      <c r="Q244" s="4"/>
      <c r="R244"/>
      <c r="V244"/>
      <c r="AA244" s="4"/>
      <c r="AB244" s="4"/>
      <c r="AC244"/>
      <c r="AF244" t="s">
        <v>1197</v>
      </c>
    </row>
    <row r="245" spans="6:32">
      <c r="F245" s="4"/>
      <c r="O245" s="4"/>
      <c r="P245"/>
      <c r="Q245" s="4"/>
      <c r="R245"/>
      <c r="V245"/>
      <c r="AA245" s="4"/>
      <c r="AB245" s="4"/>
      <c r="AC245"/>
      <c r="AF245" t="s">
        <v>1198</v>
      </c>
    </row>
    <row r="246" spans="6:32">
      <c r="F246" s="4"/>
      <c r="O246" s="4"/>
      <c r="P246"/>
      <c r="Q246" s="4"/>
      <c r="R246"/>
      <c r="V246"/>
      <c r="AA246" s="4"/>
      <c r="AB246" s="4"/>
      <c r="AC246"/>
      <c r="AF246" t="s">
        <v>1199</v>
      </c>
    </row>
    <row r="247" spans="6:32">
      <c r="F247" s="4"/>
      <c r="O247" s="4"/>
      <c r="P247"/>
      <c r="Q247" s="4"/>
      <c r="R247"/>
      <c r="V247"/>
      <c r="AA247" s="4"/>
      <c r="AB247" s="4"/>
      <c r="AC247"/>
      <c r="AF247" t="s">
        <v>1200</v>
      </c>
    </row>
    <row r="248" spans="6:32">
      <c r="F248" s="4"/>
      <c r="O248" s="4"/>
      <c r="P248"/>
      <c r="Q248" s="4"/>
      <c r="R248"/>
      <c r="V248"/>
      <c r="AA248" s="4"/>
      <c r="AB248" s="4"/>
      <c r="AC248"/>
      <c r="AF248" t="s">
        <v>1201</v>
      </c>
    </row>
    <row r="249" spans="6:32">
      <c r="F249" s="4"/>
      <c r="O249" s="4"/>
      <c r="P249"/>
      <c r="Q249" s="4"/>
      <c r="R249"/>
      <c r="V249"/>
      <c r="AA249" s="4"/>
      <c r="AB249" s="4"/>
      <c r="AC249"/>
      <c r="AF249" t="s">
        <v>1202</v>
      </c>
    </row>
    <row r="250" spans="6:32">
      <c r="F250" s="4"/>
      <c r="O250" s="4"/>
      <c r="P250"/>
      <c r="Q250" s="4"/>
      <c r="R250"/>
      <c r="V250"/>
      <c r="AA250" s="4"/>
      <c r="AB250" s="4"/>
      <c r="AC250"/>
      <c r="AF250" t="s">
        <v>1203</v>
      </c>
    </row>
    <row r="251" spans="6:32">
      <c r="F251" s="4"/>
      <c r="O251" s="4"/>
      <c r="P251"/>
      <c r="Q251" s="4"/>
      <c r="R251"/>
      <c r="V251"/>
      <c r="AA251" s="4"/>
      <c r="AB251" s="4"/>
      <c r="AC251"/>
      <c r="AF251" t="s">
        <v>1204</v>
      </c>
    </row>
    <row r="252" spans="6:32">
      <c r="F252" s="4"/>
      <c r="O252" s="4"/>
      <c r="P252"/>
      <c r="Q252" s="4"/>
      <c r="R252"/>
      <c r="V252"/>
      <c r="AA252" s="4"/>
      <c r="AB252" s="4"/>
      <c r="AC252"/>
      <c r="AF252" t="s">
        <v>1205</v>
      </c>
    </row>
    <row r="253" spans="6:32">
      <c r="F253" s="4"/>
      <c r="O253" s="4"/>
      <c r="P253"/>
      <c r="Q253" s="4"/>
      <c r="R253"/>
      <c r="V253"/>
      <c r="AA253" s="4"/>
      <c r="AB253" s="4"/>
      <c r="AC253"/>
      <c r="AF253" t="s">
        <v>1206</v>
      </c>
    </row>
    <row r="254" spans="6:32">
      <c r="F254" s="4"/>
      <c r="O254" s="4"/>
      <c r="P254"/>
      <c r="Q254" s="4"/>
      <c r="R254"/>
      <c r="V254"/>
      <c r="AA254" s="4"/>
      <c r="AB254" s="4"/>
      <c r="AC254"/>
      <c r="AF254" t="s">
        <v>1207</v>
      </c>
    </row>
    <row r="255" spans="6:32">
      <c r="F255" s="4"/>
      <c r="O255" s="4"/>
      <c r="P255"/>
      <c r="Q255" s="4"/>
      <c r="R255"/>
      <c r="V255"/>
      <c r="AA255" s="4"/>
      <c r="AB255" s="4"/>
      <c r="AC255"/>
      <c r="AF255" t="s">
        <v>1208</v>
      </c>
    </row>
    <row r="256" spans="6:32">
      <c r="F256" s="4"/>
      <c r="O256" s="4"/>
      <c r="P256"/>
      <c r="Q256" s="4"/>
      <c r="R256"/>
      <c r="V256"/>
      <c r="AA256" s="4"/>
      <c r="AB256" s="4"/>
      <c r="AC256"/>
      <c r="AF256" t="s">
        <v>1209</v>
      </c>
    </row>
    <row r="257" spans="6:32">
      <c r="F257" s="4"/>
      <c r="O257" s="4"/>
      <c r="P257"/>
      <c r="Q257" s="4"/>
      <c r="R257"/>
      <c r="V257"/>
      <c r="AA257" s="4"/>
      <c r="AB257" s="4"/>
      <c r="AC257"/>
      <c r="AF257" t="s">
        <v>1210</v>
      </c>
    </row>
    <row r="258" spans="6:32">
      <c r="F258" s="4"/>
      <c r="O258" s="4"/>
      <c r="P258"/>
      <c r="Q258" s="4"/>
      <c r="R258"/>
      <c r="V258"/>
      <c r="AA258" s="4"/>
      <c r="AB258" s="4"/>
      <c r="AC258"/>
      <c r="AF258" t="s">
        <v>1211</v>
      </c>
    </row>
    <row r="259" spans="6:32">
      <c r="F259" s="4"/>
      <c r="O259" s="4"/>
      <c r="P259"/>
      <c r="Q259" s="4"/>
      <c r="R259"/>
      <c r="V259"/>
      <c r="AA259" s="4"/>
      <c r="AB259" s="4"/>
      <c r="AC259"/>
      <c r="AF259" t="s">
        <v>1212</v>
      </c>
    </row>
    <row r="260" spans="6:32">
      <c r="F260" s="4"/>
      <c r="O260" s="4"/>
      <c r="P260"/>
      <c r="Q260" s="4"/>
      <c r="R260"/>
      <c r="V260"/>
      <c r="AA260" s="4"/>
      <c r="AB260" s="4"/>
      <c r="AC260"/>
      <c r="AF260" t="s">
        <v>1213</v>
      </c>
    </row>
    <row r="261" spans="6:32">
      <c r="F261" s="4"/>
      <c r="O261" s="4"/>
      <c r="P261"/>
      <c r="Q261" s="4"/>
      <c r="R261"/>
      <c r="V261"/>
      <c r="AA261" s="4"/>
      <c r="AB261" s="4"/>
      <c r="AC261"/>
      <c r="AF261" t="s">
        <v>1214</v>
      </c>
    </row>
    <row r="262" spans="6:32">
      <c r="F262" s="4"/>
      <c r="O262" s="4"/>
      <c r="P262"/>
      <c r="Q262" s="4"/>
      <c r="R262"/>
      <c r="V262"/>
      <c r="AA262" s="4"/>
      <c r="AB262" s="4"/>
      <c r="AC262"/>
      <c r="AF262" t="s">
        <v>1215</v>
      </c>
    </row>
    <row r="263" spans="6:32">
      <c r="F263" s="4"/>
      <c r="O263" s="4"/>
      <c r="P263"/>
      <c r="Q263" s="4"/>
      <c r="R263"/>
      <c r="V263"/>
      <c r="AA263" s="4"/>
      <c r="AB263" s="4"/>
      <c r="AC263"/>
      <c r="AF263" t="s">
        <v>1216</v>
      </c>
    </row>
    <row r="264" spans="6:32">
      <c r="F264" s="4"/>
      <c r="O264" s="4"/>
      <c r="P264"/>
      <c r="Q264" s="4"/>
      <c r="R264"/>
      <c r="V264"/>
      <c r="AA264" s="4"/>
      <c r="AB264" s="4"/>
      <c r="AC264"/>
      <c r="AF264" t="s">
        <v>1217</v>
      </c>
    </row>
    <row r="265" spans="6:32">
      <c r="F265" s="4"/>
      <c r="O265" s="4"/>
      <c r="P265"/>
      <c r="Q265" s="4"/>
      <c r="R265"/>
      <c r="V265"/>
      <c r="AA265" s="4"/>
      <c r="AB265" s="4"/>
      <c r="AC265"/>
      <c r="AF265" t="s">
        <v>1218</v>
      </c>
    </row>
    <row r="266" spans="6:32">
      <c r="F266" s="4"/>
      <c r="O266" s="4"/>
      <c r="P266"/>
      <c r="Q266" s="4"/>
      <c r="R266"/>
      <c r="V266"/>
      <c r="AA266" s="4"/>
      <c r="AB266" s="4"/>
      <c r="AC266"/>
      <c r="AF266" t="s">
        <v>1219</v>
      </c>
    </row>
    <row r="267" spans="6:32">
      <c r="F267" s="4"/>
      <c r="O267" s="4"/>
      <c r="P267"/>
      <c r="Q267" s="4"/>
      <c r="R267"/>
      <c r="V267"/>
      <c r="AA267" s="4"/>
      <c r="AB267" s="4"/>
      <c r="AC267"/>
      <c r="AF267" t="s">
        <v>1220</v>
      </c>
    </row>
    <row r="268" spans="6:32">
      <c r="F268" s="4"/>
      <c r="O268" s="4"/>
      <c r="P268"/>
      <c r="Q268" s="4"/>
      <c r="R268"/>
      <c r="V268"/>
      <c r="AA268" s="4"/>
      <c r="AB268" s="4"/>
      <c r="AC268"/>
      <c r="AF268" t="s">
        <v>1221</v>
      </c>
    </row>
    <row r="269" spans="6:32">
      <c r="F269" s="4"/>
      <c r="O269" s="4"/>
      <c r="P269"/>
      <c r="Q269" s="4"/>
      <c r="R269"/>
      <c r="V269"/>
      <c r="AA269" s="4"/>
      <c r="AB269" s="4"/>
      <c r="AC269"/>
      <c r="AF269" t="s">
        <v>124</v>
      </c>
    </row>
    <row r="270" spans="6:32">
      <c r="F270" s="4"/>
      <c r="O270" s="4"/>
      <c r="P270"/>
      <c r="Q270" s="4"/>
      <c r="R270"/>
      <c r="V270"/>
      <c r="AA270" s="4"/>
      <c r="AB270" s="4"/>
      <c r="AC270"/>
      <c r="AF270" t="s">
        <v>1222</v>
      </c>
    </row>
    <row r="271" spans="6:32">
      <c r="F271" s="4"/>
      <c r="O271" s="4"/>
      <c r="P271"/>
      <c r="Q271" s="4"/>
      <c r="R271"/>
      <c r="V271"/>
      <c r="AA271" s="4"/>
      <c r="AB271" s="4"/>
      <c r="AC271"/>
      <c r="AF271" t="s">
        <v>1223</v>
      </c>
    </row>
    <row r="272" spans="6:32">
      <c r="F272" s="4"/>
      <c r="O272" s="4"/>
      <c r="P272"/>
      <c r="Q272" s="4"/>
      <c r="R272"/>
      <c r="V272"/>
      <c r="AA272" s="4"/>
      <c r="AB272" s="4"/>
      <c r="AC272"/>
      <c r="AF272" t="s">
        <v>1224</v>
      </c>
    </row>
    <row r="273" spans="6:32">
      <c r="F273" s="4"/>
      <c r="O273" s="4"/>
      <c r="P273"/>
      <c r="Q273" s="4"/>
      <c r="R273"/>
      <c r="V273"/>
      <c r="AA273" s="4"/>
      <c r="AB273" s="4"/>
      <c r="AC273"/>
      <c r="AF273" t="s">
        <v>1225</v>
      </c>
    </row>
    <row r="274" spans="6:32">
      <c r="F274" s="4"/>
      <c r="O274" s="4"/>
      <c r="P274"/>
      <c r="Q274" s="4"/>
      <c r="R274"/>
      <c r="V274"/>
      <c r="AA274" s="4"/>
      <c r="AB274" s="4"/>
      <c r="AC274"/>
      <c r="AF274" t="s">
        <v>1226</v>
      </c>
    </row>
    <row r="275" spans="6:32">
      <c r="F275" s="4"/>
      <c r="O275" s="4"/>
      <c r="P275"/>
      <c r="Q275" s="4"/>
      <c r="R275"/>
      <c r="V275"/>
      <c r="AA275" s="4"/>
      <c r="AB275" s="4"/>
      <c r="AC275"/>
      <c r="AF275" t="s">
        <v>1227</v>
      </c>
    </row>
    <row r="276" spans="6:32">
      <c r="F276" s="4"/>
      <c r="O276" s="4"/>
      <c r="P276"/>
      <c r="Q276" s="4"/>
      <c r="R276"/>
      <c r="V276"/>
      <c r="AA276" s="4"/>
      <c r="AB276" s="4"/>
      <c r="AC276"/>
      <c r="AF276" t="s">
        <v>1228</v>
      </c>
    </row>
    <row r="277" spans="6:32">
      <c r="F277" s="4"/>
      <c r="O277" s="4"/>
      <c r="P277"/>
      <c r="Q277" s="4"/>
      <c r="R277"/>
      <c r="V277"/>
      <c r="AA277" s="4"/>
      <c r="AB277" s="4"/>
      <c r="AC277"/>
      <c r="AF277" t="s">
        <v>1229</v>
      </c>
    </row>
    <row r="278" spans="6:32">
      <c r="F278" s="4"/>
      <c r="O278" s="4"/>
      <c r="P278"/>
      <c r="Q278" s="4"/>
      <c r="R278"/>
      <c r="V278"/>
      <c r="AA278" s="4"/>
      <c r="AB278" s="4"/>
      <c r="AC278"/>
      <c r="AF278" t="s">
        <v>1230</v>
      </c>
    </row>
    <row r="279" spans="6:32">
      <c r="F279" s="4"/>
      <c r="O279" s="4"/>
      <c r="P279"/>
      <c r="Q279" s="4"/>
      <c r="R279"/>
      <c r="V279"/>
      <c r="AA279" s="4"/>
      <c r="AB279" s="4"/>
      <c r="AC279"/>
      <c r="AF279" t="s">
        <v>1231</v>
      </c>
    </row>
    <row r="280" spans="6:32">
      <c r="F280" s="4"/>
      <c r="O280" s="4"/>
      <c r="P280"/>
      <c r="Q280" s="4"/>
      <c r="R280"/>
      <c r="V280"/>
      <c r="AA280" s="4"/>
      <c r="AB280" s="4"/>
      <c r="AC280"/>
      <c r="AF280" t="s">
        <v>1232</v>
      </c>
    </row>
    <row r="281" spans="6:32">
      <c r="F281" s="4"/>
      <c r="O281" s="4"/>
      <c r="P281"/>
      <c r="Q281" s="4"/>
      <c r="R281"/>
      <c r="V281"/>
      <c r="AA281" s="4"/>
      <c r="AB281" s="4"/>
      <c r="AC281"/>
      <c r="AF281" t="s">
        <v>1233</v>
      </c>
    </row>
    <row r="282" spans="6:32">
      <c r="F282" s="4"/>
      <c r="O282" s="4"/>
      <c r="P282"/>
      <c r="Q282" s="4"/>
      <c r="R282"/>
      <c r="V282"/>
      <c r="AA282" s="4"/>
      <c r="AB282" s="4"/>
      <c r="AC282"/>
      <c r="AF282" t="s">
        <v>1234</v>
      </c>
    </row>
    <row r="283" spans="6:32">
      <c r="F283" s="4"/>
      <c r="O283" s="4"/>
      <c r="P283"/>
      <c r="Q283" s="4"/>
      <c r="R283"/>
      <c r="V283"/>
      <c r="AA283" s="4"/>
      <c r="AB283" s="4"/>
      <c r="AC283"/>
      <c r="AF283" t="s">
        <v>1235</v>
      </c>
    </row>
    <row r="284" spans="6:32">
      <c r="F284" s="4"/>
      <c r="O284" s="4"/>
      <c r="P284"/>
      <c r="Q284" s="4"/>
      <c r="R284"/>
      <c r="V284"/>
      <c r="AA284" s="4"/>
      <c r="AB284" s="4"/>
      <c r="AC284"/>
      <c r="AF284" t="s">
        <v>1236</v>
      </c>
    </row>
    <row r="285" spans="6:32">
      <c r="F285" s="4"/>
      <c r="O285" s="4"/>
      <c r="P285"/>
      <c r="Q285" s="4"/>
      <c r="R285"/>
      <c r="V285"/>
      <c r="AA285" s="4"/>
      <c r="AB285" s="4"/>
      <c r="AC285"/>
      <c r="AF285" t="s">
        <v>1237</v>
      </c>
    </row>
    <row r="286" spans="6:32">
      <c r="F286" s="4"/>
      <c r="O286" s="4"/>
      <c r="P286"/>
      <c r="Q286" s="4"/>
      <c r="R286"/>
      <c r="V286"/>
      <c r="AA286" s="4"/>
      <c r="AB286" s="4"/>
      <c r="AC286"/>
      <c r="AF286" t="s">
        <v>1238</v>
      </c>
    </row>
    <row r="287" spans="6:32">
      <c r="F287" s="4"/>
      <c r="O287" s="4"/>
      <c r="P287"/>
      <c r="Q287" s="4"/>
      <c r="R287"/>
      <c r="V287"/>
      <c r="AA287" s="4"/>
      <c r="AB287" s="4"/>
      <c r="AC287"/>
      <c r="AF287" t="s">
        <v>1239</v>
      </c>
    </row>
    <row r="288" spans="6:32">
      <c r="F288" s="4"/>
      <c r="O288" s="4"/>
      <c r="P288"/>
      <c r="Q288" s="4"/>
      <c r="R288"/>
      <c r="V288"/>
      <c r="AA288" s="4"/>
      <c r="AB288" s="4"/>
      <c r="AC288"/>
      <c r="AF288" t="s">
        <v>1240</v>
      </c>
    </row>
    <row r="289" spans="6:32">
      <c r="F289" s="4"/>
      <c r="O289" s="4"/>
      <c r="P289"/>
      <c r="Q289" s="4"/>
      <c r="R289"/>
      <c r="V289"/>
      <c r="AA289" s="4"/>
      <c r="AB289" s="4"/>
      <c r="AC289"/>
      <c r="AF289" t="s">
        <v>1241</v>
      </c>
    </row>
    <row r="290" spans="6:32">
      <c r="F290" s="4"/>
      <c r="O290" s="4"/>
      <c r="P290"/>
      <c r="Q290" s="4"/>
      <c r="R290"/>
      <c r="V290"/>
      <c r="AA290" s="4"/>
      <c r="AB290" s="4"/>
      <c r="AC290"/>
      <c r="AF290" t="s">
        <v>1242</v>
      </c>
    </row>
    <row r="291" spans="6:32">
      <c r="F291" s="4"/>
      <c r="O291" s="4"/>
      <c r="P291"/>
      <c r="Q291" s="4"/>
      <c r="R291"/>
      <c r="V291"/>
      <c r="AA291" s="4"/>
      <c r="AB291" s="4"/>
      <c r="AC291"/>
      <c r="AF291" t="s">
        <v>1243</v>
      </c>
    </row>
    <row r="292" spans="6:32">
      <c r="F292" s="4"/>
      <c r="O292" s="4"/>
      <c r="P292"/>
      <c r="Q292" s="4"/>
      <c r="R292"/>
      <c r="V292"/>
      <c r="AA292" s="4"/>
      <c r="AB292" s="4"/>
      <c r="AC292"/>
      <c r="AF292" t="s">
        <v>1244</v>
      </c>
    </row>
    <row r="293" spans="6:32">
      <c r="F293" s="4"/>
      <c r="O293" s="4"/>
      <c r="P293"/>
      <c r="Q293" s="4"/>
      <c r="R293"/>
      <c r="V293"/>
      <c r="AA293" s="4"/>
      <c r="AB293" s="4"/>
      <c r="AC293"/>
      <c r="AF293" t="s">
        <v>1245</v>
      </c>
    </row>
    <row r="294" spans="6:32">
      <c r="F294" s="4"/>
      <c r="O294" s="4"/>
      <c r="P294"/>
      <c r="Q294" s="4"/>
      <c r="R294"/>
      <c r="V294"/>
      <c r="AA294" s="4"/>
      <c r="AB294" s="4"/>
      <c r="AC294"/>
      <c r="AF294" t="s">
        <v>1246</v>
      </c>
    </row>
    <row r="295" spans="6:32">
      <c r="F295" s="4"/>
      <c r="O295" s="4"/>
      <c r="P295"/>
      <c r="Q295" s="4"/>
      <c r="R295"/>
      <c r="V295"/>
      <c r="AA295" s="4"/>
      <c r="AB295" s="4"/>
      <c r="AC295"/>
      <c r="AF295" t="s">
        <v>1247</v>
      </c>
    </row>
    <row r="296" spans="6:32">
      <c r="F296" s="4"/>
      <c r="O296" s="4"/>
      <c r="P296"/>
      <c r="Q296" s="4"/>
      <c r="R296"/>
      <c r="V296"/>
      <c r="AA296" s="4"/>
      <c r="AB296" s="4"/>
      <c r="AC296"/>
      <c r="AF296" t="s">
        <v>1248</v>
      </c>
    </row>
    <row r="297" spans="6:32">
      <c r="F297" s="4"/>
      <c r="O297" s="4"/>
      <c r="P297"/>
      <c r="Q297" s="4"/>
      <c r="R297"/>
      <c r="V297"/>
      <c r="AA297" s="4"/>
      <c r="AB297" s="4"/>
      <c r="AC297"/>
      <c r="AF297" t="s">
        <v>1249</v>
      </c>
    </row>
    <row r="298" spans="6:32">
      <c r="F298" s="4"/>
      <c r="O298" s="4"/>
      <c r="P298"/>
      <c r="Q298" s="4"/>
      <c r="R298"/>
      <c r="V298"/>
      <c r="AA298" s="4"/>
      <c r="AB298" s="4"/>
      <c r="AC298"/>
      <c r="AF298" t="s">
        <v>1250</v>
      </c>
    </row>
    <row r="299" spans="6:32">
      <c r="F299" s="4"/>
      <c r="O299" s="4"/>
      <c r="P299"/>
      <c r="Q299" s="4"/>
      <c r="R299"/>
      <c r="V299"/>
      <c r="AA299" s="4"/>
      <c r="AB299" s="4"/>
      <c r="AC299"/>
      <c r="AF299" t="s">
        <v>1251</v>
      </c>
    </row>
    <row r="300" spans="6:32">
      <c r="F300" s="4"/>
      <c r="O300" s="4"/>
      <c r="P300"/>
      <c r="Q300" s="4"/>
      <c r="R300"/>
      <c r="V300"/>
      <c r="AA300" s="4"/>
      <c r="AB300" s="4"/>
      <c r="AC300"/>
      <c r="AF300" t="s">
        <v>1252</v>
      </c>
    </row>
    <row r="301" spans="6:32">
      <c r="F301" s="4"/>
      <c r="O301" s="4"/>
      <c r="P301"/>
      <c r="Q301" s="4"/>
      <c r="R301"/>
      <c r="V301"/>
      <c r="AA301" s="4"/>
      <c r="AB301" s="4"/>
      <c r="AC301"/>
      <c r="AF301" t="s">
        <v>1253</v>
      </c>
    </row>
    <row r="302" spans="6:32">
      <c r="F302" s="4"/>
      <c r="O302" s="4"/>
      <c r="P302"/>
      <c r="Q302" s="4"/>
      <c r="R302"/>
      <c r="V302"/>
      <c r="AA302" s="4"/>
      <c r="AB302" s="4"/>
      <c r="AC302"/>
      <c r="AF302" t="s">
        <v>1254</v>
      </c>
    </row>
    <row r="303" spans="6:32">
      <c r="F303" s="4"/>
      <c r="O303" s="4"/>
      <c r="P303"/>
      <c r="Q303" s="4"/>
      <c r="R303"/>
      <c r="V303"/>
      <c r="AA303" s="4"/>
      <c r="AB303" s="4"/>
      <c r="AC303"/>
      <c r="AF303" t="s">
        <v>1255</v>
      </c>
    </row>
    <row r="304" spans="6:32">
      <c r="F304" s="4"/>
      <c r="O304" s="4"/>
      <c r="P304"/>
      <c r="Q304" s="4"/>
      <c r="R304"/>
      <c r="V304"/>
      <c r="AA304" s="4"/>
      <c r="AB304" s="4"/>
      <c r="AC304"/>
      <c r="AF304" t="s">
        <v>1256</v>
      </c>
    </row>
    <row r="305" spans="6:32">
      <c r="F305" s="4"/>
      <c r="O305" s="4"/>
      <c r="P305"/>
      <c r="Q305" s="4"/>
      <c r="R305"/>
      <c r="V305"/>
      <c r="AA305" s="4"/>
      <c r="AB305" s="4"/>
      <c r="AC305"/>
      <c r="AF305" t="s">
        <v>1257</v>
      </c>
    </row>
    <row r="306" spans="6:32">
      <c r="F306" s="4"/>
      <c r="O306" s="4"/>
      <c r="P306"/>
      <c r="Q306" s="4"/>
      <c r="R306"/>
      <c r="V306"/>
      <c r="AA306" s="4"/>
      <c r="AB306" s="4"/>
      <c r="AC306"/>
      <c r="AF306" t="s">
        <v>1258</v>
      </c>
    </row>
    <row r="307" spans="6:32">
      <c r="F307" s="4"/>
      <c r="O307" s="4"/>
      <c r="P307"/>
      <c r="Q307" s="4"/>
      <c r="R307"/>
      <c r="V307"/>
      <c r="AA307" s="4"/>
      <c r="AB307" s="4"/>
      <c r="AC307"/>
      <c r="AF307" t="s">
        <v>1259</v>
      </c>
    </row>
    <row r="308" spans="6:32">
      <c r="F308" s="4"/>
      <c r="O308" s="4"/>
      <c r="P308"/>
      <c r="Q308" s="4"/>
      <c r="R308"/>
      <c r="V308"/>
      <c r="AA308" s="4"/>
      <c r="AB308" s="4"/>
      <c r="AC308"/>
      <c r="AF308" t="s">
        <v>1260</v>
      </c>
    </row>
    <row r="309" spans="6:32">
      <c r="F309" s="4"/>
      <c r="O309" s="4"/>
      <c r="P309"/>
      <c r="Q309" s="4"/>
      <c r="R309"/>
      <c r="V309"/>
      <c r="AA309" s="4"/>
      <c r="AB309" s="4"/>
      <c r="AC309"/>
      <c r="AF309" t="s">
        <v>1261</v>
      </c>
    </row>
    <row r="310" spans="6:32">
      <c r="F310" s="4"/>
      <c r="O310" s="4"/>
      <c r="P310"/>
      <c r="Q310" s="4"/>
      <c r="R310"/>
      <c r="V310"/>
      <c r="AA310" s="4"/>
      <c r="AB310" s="4"/>
      <c r="AC310"/>
      <c r="AF310" t="s">
        <v>1262</v>
      </c>
    </row>
    <row r="311" spans="6:32">
      <c r="F311" s="4"/>
      <c r="O311" s="4"/>
      <c r="P311"/>
      <c r="Q311" s="4"/>
      <c r="R311"/>
      <c r="V311"/>
      <c r="AA311" s="4"/>
      <c r="AB311" s="4"/>
      <c r="AC311"/>
      <c r="AF311" t="s">
        <v>1263</v>
      </c>
    </row>
    <row r="312" spans="6:32">
      <c r="F312" s="4"/>
      <c r="O312" s="4"/>
      <c r="P312"/>
      <c r="Q312" s="4"/>
      <c r="R312"/>
      <c r="V312"/>
      <c r="AA312" s="4"/>
      <c r="AB312" s="4"/>
      <c r="AC312"/>
      <c r="AF312" t="s">
        <v>1264</v>
      </c>
    </row>
    <row r="313" spans="6:32">
      <c r="F313" s="4"/>
      <c r="O313" s="4"/>
      <c r="P313"/>
      <c r="Q313" s="4"/>
      <c r="R313"/>
      <c r="V313"/>
      <c r="AA313" s="4"/>
      <c r="AB313" s="4"/>
      <c r="AC313"/>
      <c r="AF313" t="s">
        <v>1265</v>
      </c>
    </row>
    <row r="314" spans="6:32">
      <c r="F314" s="4"/>
      <c r="O314" s="4"/>
      <c r="P314"/>
      <c r="Q314" s="4"/>
      <c r="R314"/>
      <c r="V314"/>
      <c r="AA314" s="4"/>
      <c r="AB314" s="4"/>
      <c r="AC314"/>
      <c r="AF314" t="s">
        <v>1266</v>
      </c>
    </row>
    <row r="315" spans="6:32">
      <c r="F315" s="4"/>
      <c r="O315" s="4"/>
      <c r="P315"/>
      <c r="Q315" s="4"/>
      <c r="R315"/>
      <c r="V315"/>
      <c r="AA315" s="4"/>
      <c r="AB315" s="4"/>
      <c r="AC315"/>
      <c r="AF315" t="s">
        <v>1267</v>
      </c>
    </row>
    <row r="316" spans="6:32">
      <c r="F316" s="4"/>
      <c r="O316" s="4"/>
      <c r="P316"/>
      <c r="Q316" s="4"/>
      <c r="R316"/>
      <c r="V316"/>
      <c r="AA316" s="4"/>
      <c r="AB316" s="4"/>
      <c r="AC316"/>
      <c r="AF316" t="s">
        <v>1268</v>
      </c>
    </row>
    <row r="317" spans="6:32">
      <c r="F317" s="4"/>
      <c r="O317" s="4"/>
      <c r="P317"/>
      <c r="Q317" s="4"/>
      <c r="R317"/>
      <c r="V317"/>
      <c r="AA317" s="4"/>
      <c r="AB317" s="4"/>
      <c r="AC317"/>
      <c r="AF317" t="s">
        <v>1269</v>
      </c>
    </row>
    <row r="318" spans="6:32">
      <c r="F318" s="4"/>
      <c r="O318" s="4"/>
      <c r="P318"/>
      <c r="Q318" s="4"/>
      <c r="R318"/>
      <c r="V318"/>
      <c r="AA318" s="4"/>
      <c r="AB318" s="4"/>
      <c r="AC318"/>
      <c r="AF318" t="s">
        <v>1270</v>
      </c>
    </row>
    <row r="319" spans="6:32">
      <c r="F319" s="4"/>
      <c r="O319" s="4"/>
      <c r="P319"/>
      <c r="Q319" s="4"/>
      <c r="R319"/>
      <c r="V319"/>
      <c r="AA319" s="4"/>
      <c r="AB319" s="4"/>
      <c r="AC319"/>
      <c r="AF319" t="s">
        <v>1271</v>
      </c>
    </row>
    <row r="320" spans="6:32">
      <c r="F320" s="4"/>
      <c r="O320" s="4"/>
      <c r="P320"/>
      <c r="Q320" s="4"/>
      <c r="R320"/>
      <c r="V320"/>
      <c r="AA320" s="4"/>
      <c r="AB320" s="4"/>
      <c r="AC320"/>
      <c r="AF320" t="s">
        <v>1272</v>
      </c>
    </row>
    <row r="321" spans="6:32">
      <c r="F321" s="4"/>
      <c r="O321" s="4"/>
      <c r="P321"/>
      <c r="Q321" s="4"/>
      <c r="R321"/>
      <c r="V321"/>
      <c r="AA321" s="4"/>
      <c r="AB321" s="4"/>
      <c r="AC321"/>
      <c r="AF321" t="s">
        <v>1273</v>
      </c>
    </row>
    <row r="322" spans="6:32">
      <c r="F322" s="4"/>
      <c r="O322" s="4"/>
      <c r="P322"/>
      <c r="Q322" s="4"/>
      <c r="R322"/>
      <c r="V322"/>
      <c r="AA322" s="4"/>
      <c r="AB322" s="4"/>
      <c r="AC322"/>
      <c r="AF322" t="s">
        <v>1274</v>
      </c>
    </row>
    <row r="323" spans="6:32">
      <c r="F323" s="4"/>
      <c r="O323" s="4"/>
      <c r="P323"/>
      <c r="Q323" s="4"/>
      <c r="R323"/>
      <c r="V323"/>
      <c r="AA323" s="4"/>
      <c r="AB323" s="4"/>
      <c r="AC323"/>
      <c r="AF323" t="s">
        <v>1275</v>
      </c>
    </row>
    <row r="324" spans="6:32">
      <c r="F324" s="4"/>
      <c r="O324" s="4"/>
      <c r="P324"/>
      <c r="Q324" s="4"/>
      <c r="R324"/>
      <c r="V324"/>
      <c r="AA324" s="4"/>
      <c r="AB324" s="4"/>
      <c r="AC324"/>
      <c r="AF324" t="s">
        <v>1276</v>
      </c>
    </row>
    <row r="325" spans="6:32">
      <c r="F325" s="4"/>
      <c r="O325" s="4"/>
      <c r="P325"/>
      <c r="Q325" s="4"/>
      <c r="R325"/>
      <c r="V325"/>
      <c r="AA325" s="4"/>
      <c r="AB325" s="4"/>
      <c r="AC325"/>
      <c r="AF325" t="s">
        <v>1277</v>
      </c>
    </row>
    <row r="326" spans="6:32">
      <c r="F326" s="4"/>
      <c r="O326" s="4"/>
      <c r="P326"/>
      <c r="Q326" s="4"/>
      <c r="R326"/>
      <c r="V326"/>
      <c r="AA326" s="4"/>
      <c r="AB326" s="4"/>
      <c r="AC326"/>
      <c r="AF326" t="s">
        <v>1278</v>
      </c>
    </row>
    <row r="327" spans="6:32">
      <c r="F327" s="4"/>
      <c r="O327" s="4"/>
      <c r="P327"/>
      <c r="Q327" s="4"/>
      <c r="R327"/>
      <c r="V327"/>
      <c r="AA327" s="4"/>
      <c r="AB327" s="4"/>
      <c r="AC327"/>
      <c r="AF327" t="s">
        <v>1279</v>
      </c>
    </row>
    <row r="328" spans="6:32">
      <c r="F328" s="4"/>
      <c r="O328" s="4"/>
      <c r="P328"/>
      <c r="Q328" s="4"/>
      <c r="R328"/>
      <c r="V328"/>
      <c r="AA328" s="4"/>
      <c r="AB328" s="4"/>
      <c r="AC328"/>
      <c r="AF328" t="s">
        <v>1280</v>
      </c>
    </row>
    <row r="329" spans="6:32">
      <c r="F329" s="4"/>
      <c r="O329" s="4"/>
      <c r="P329"/>
      <c r="Q329" s="4"/>
      <c r="R329"/>
      <c r="V329"/>
      <c r="AA329" s="4"/>
      <c r="AB329" s="4"/>
      <c r="AC329"/>
      <c r="AF329" t="s">
        <v>1281</v>
      </c>
    </row>
    <row r="330" spans="6:32">
      <c r="F330" s="4"/>
      <c r="O330" s="4"/>
      <c r="P330"/>
      <c r="Q330" s="4"/>
      <c r="R330"/>
      <c r="V330"/>
      <c r="AA330" s="4"/>
      <c r="AB330" s="4"/>
      <c r="AC330"/>
      <c r="AF330" t="s">
        <v>1282</v>
      </c>
    </row>
    <row r="331" spans="6:32">
      <c r="F331" s="4"/>
      <c r="O331" s="4"/>
      <c r="P331"/>
      <c r="Q331" s="4"/>
      <c r="R331"/>
      <c r="V331"/>
      <c r="AA331" s="4"/>
      <c r="AB331" s="4"/>
      <c r="AC331"/>
      <c r="AF331" t="s">
        <v>1283</v>
      </c>
    </row>
    <row r="332" spans="6:32">
      <c r="F332" s="4"/>
      <c r="O332" s="4"/>
      <c r="P332"/>
      <c r="Q332" s="4"/>
      <c r="R332"/>
      <c r="V332"/>
      <c r="AA332" s="4"/>
      <c r="AB332" s="4"/>
      <c r="AC332"/>
      <c r="AF332" t="s">
        <v>1284</v>
      </c>
    </row>
    <row r="333" spans="6:32">
      <c r="F333" s="4"/>
      <c r="O333" s="4"/>
      <c r="P333"/>
      <c r="Q333" s="4"/>
      <c r="R333"/>
      <c r="V333"/>
      <c r="AA333" s="4"/>
      <c r="AB333" s="4"/>
      <c r="AC333"/>
      <c r="AF333" t="s">
        <v>1285</v>
      </c>
    </row>
    <row r="334" spans="6:32">
      <c r="F334" s="4"/>
      <c r="O334" s="4"/>
      <c r="P334"/>
      <c r="Q334" s="4"/>
      <c r="R334"/>
      <c r="V334"/>
      <c r="AA334" s="4"/>
      <c r="AB334" s="4"/>
      <c r="AC334"/>
      <c r="AF334" t="s">
        <v>1286</v>
      </c>
    </row>
    <row r="335" spans="6:32">
      <c r="F335" s="4"/>
      <c r="O335" s="4"/>
      <c r="P335"/>
      <c r="Q335" s="4"/>
      <c r="R335"/>
      <c r="V335"/>
      <c r="AA335" s="4"/>
      <c r="AB335" s="4"/>
      <c r="AC335"/>
      <c r="AF335" t="s">
        <v>1287</v>
      </c>
    </row>
    <row r="336" spans="6:32">
      <c r="F336" s="4"/>
      <c r="O336" s="4"/>
      <c r="P336"/>
      <c r="Q336" s="4"/>
      <c r="R336"/>
      <c r="V336"/>
      <c r="AA336" s="4"/>
      <c r="AB336" s="4"/>
      <c r="AC336"/>
      <c r="AF336" t="s">
        <v>1288</v>
      </c>
    </row>
    <row r="337" spans="6:32">
      <c r="F337" s="4"/>
      <c r="O337" s="4"/>
      <c r="P337"/>
      <c r="Q337" s="4"/>
      <c r="R337"/>
      <c r="V337"/>
      <c r="AA337" s="4"/>
      <c r="AB337" s="4"/>
      <c r="AC337"/>
      <c r="AF337" t="s">
        <v>1289</v>
      </c>
    </row>
    <row r="338" spans="6:32">
      <c r="F338" s="4"/>
      <c r="O338" s="4"/>
      <c r="P338"/>
      <c r="Q338" s="4"/>
      <c r="R338"/>
      <c r="V338"/>
      <c r="AA338" s="4"/>
      <c r="AB338" s="4"/>
      <c r="AC338"/>
      <c r="AF338" t="s">
        <v>1290</v>
      </c>
    </row>
    <row r="339" spans="6:32">
      <c r="F339" s="4"/>
      <c r="O339" s="4"/>
      <c r="P339"/>
      <c r="Q339" s="4"/>
      <c r="R339"/>
      <c r="V339"/>
      <c r="AA339" s="4"/>
      <c r="AB339" s="4"/>
      <c r="AC339"/>
      <c r="AF339" t="s">
        <v>1291</v>
      </c>
    </row>
    <row r="340" spans="6:32">
      <c r="F340" s="4"/>
      <c r="O340" s="4"/>
      <c r="P340"/>
      <c r="Q340" s="4"/>
      <c r="R340"/>
      <c r="V340"/>
      <c r="AA340" s="4"/>
      <c r="AB340" s="4"/>
      <c r="AC340"/>
      <c r="AF340" t="s">
        <v>1292</v>
      </c>
    </row>
    <row r="341" spans="6:32">
      <c r="F341" s="4"/>
      <c r="O341" s="4"/>
      <c r="P341"/>
      <c r="Q341" s="4"/>
      <c r="R341"/>
      <c r="V341"/>
      <c r="AA341" s="4"/>
      <c r="AB341" s="4"/>
      <c r="AC341"/>
      <c r="AF341" t="s">
        <v>1293</v>
      </c>
    </row>
    <row r="342" spans="6:32">
      <c r="F342" s="4"/>
      <c r="O342" s="4"/>
      <c r="P342"/>
      <c r="Q342" s="4"/>
      <c r="R342"/>
      <c r="V342"/>
      <c r="AA342" s="4"/>
      <c r="AB342" s="4"/>
      <c r="AC342"/>
      <c r="AF342" t="s">
        <v>1294</v>
      </c>
    </row>
    <row r="343" spans="6:32">
      <c r="F343" s="4"/>
      <c r="O343" s="4"/>
      <c r="P343"/>
      <c r="Q343" s="4"/>
      <c r="R343"/>
      <c r="V343"/>
      <c r="AA343" s="4"/>
      <c r="AB343" s="4"/>
      <c r="AC343"/>
      <c r="AF343" t="s">
        <v>1295</v>
      </c>
    </row>
    <row r="344" spans="6:32">
      <c r="F344" s="4"/>
      <c r="O344" s="4"/>
      <c r="P344"/>
      <c r="Q344" s="4"/>
      <c r="R344"/>
      <c r="V344"/>
      <c r="AA344" s="4"/>
      <c r="AB344" s="4"/>
      <c r="AC344"/>
      <c r="AF344" t="s">
        <v>1296</v>
      </c>
    </row>
    <row r="345" spans="6:32">
      <c r="F345" s="4"/>
      <c r="O345" s="4"/>
      <c r="P345"/>
      <c r="Q345" s="4"/>
      <c r="R345"/>
      <c r="V345"/>
      <c r="AA345" s="4"/>
      <c r="AB345" s="4"/>
      <c r="AC345"/>
      <c r="AF345" t="s">
        <v>1297</v>
      </c>
    </row>
    <row r="346" spans="6:32">
      <c r="F346" s="4"/>
      <c r="O346" s="4"/>
      <c r="P346"/>
      <c r="Q346" s="4"/>
      <c r="R346"/>
      <c r="V346"/>
      <c r="AA346" s="4"/>
      <c r="AB346" s="4"/>
      <c r="AC346"/>
      <c r="AF346" t="s">
        <v>1298</v>
      </c>
    </row>
    <row r="347" spans="6:32">
      <c r="F347" s="4"/>
      <c r="O347" s="4"/>
      <c r="P347"/>
      <c r="Q347" s="4"/>
      <c r="R347"/>
      <c r="V347"/>
      <c r="AA347" s="4"/>
      <c r="AB347" s="4"/>
      <c r="AC347"/>
      <c r="AF347" t="s">
        <v>1299</v>
      </c>
    </row>
    <row r="348" spans="6:32">
      <c r="F348" s="4"/>
      <c r="O348" s="4"/>
      <c r="P348"/>
      <c r="Q348" s="4"/>
      <c r="R348"/>
      <c r="V348"/>
      <c r="AA348" s="4"/>
      <c r="AB348" s="4"/>
      <c r="AC348"/>
      <c r="AF348" t="s">
        <v>1300</v>
      </c>
    </row>
    <row r="349" spans="6:32">
      <c r="F349" s="4"/>
      <c r="O349" s="4"/>
      <c r="P349"/>
      <c r="Q349" s="4"/>
      <c r="R349"/>
      <c r="V349"/>
      <c r="AA349" s="4"/>
      <c r="AB349" s="4"/>
      <c r="AC349"/>
      <c r="AF349" t="s">
        <v>1301</v>
      </c>
    </row>
    <row r="350" spans="6:32">
      <c r="F350" s="4"/>
      <c r="O350" s="4"/>
      <c r="P350"/>
      <c r="Q350" s="4"/>
      <c r="R350"/>
      <c r="V350"/>
      <c r="AA350" s="4"/>
      <c r="AB350" s="4"/>
      <c r="AC350"/>
      <c r="AF350" t="s">
        <v>1302</v>
      </c>
    </row>
    <row r="351" spans="6:32">
      <c r="F351" s="4"/>
      <c r="O351" s="4"/>
      <c r="P351"/>
      <c r="Q351" s="4"/>
      <c r="R351"/>
      <c r="V351"/>
      <c r="AA351" s="4"/>
      <c r="AB351" s="4"/>
      <c r="AC351"/>
      <c r="AF351" t="s">
        <v>1303</v>
      </c>
    </row>
    <row r="352" spans="6:32">
      <c r="F352" s="4"/>
      <c r="O352" s="4"/>
      <c r="P352"/>
      <c r="Q352" s="4"/>
      <c r="R352"/>
      <c r="V352"/>
      <c r="AA352" s="4"/>
      <c r="AB352" s="4"/>
      <c r="AC352"/>
      <c r="AF352" t="s">
        <v>1304</v>
      </c>
    </row>
    <row r="353" spans="6:32">
      <c r="F353" s="4"/>
      <c r="O353" s="4"/>
      <c r="P353"/>
      <c r="Q353" s="4"/>
      <c r="R353"/>
      <c r="V353"/>
      <c r="AA353" s="4"/>
      <c r="AB353" s="4"/>
      <c r="AC353"/>
      <c r="AF353" t="s">
        <v>1305</v>
      </c>
    </row>
    <row r="354" spans="6:32">
      <c r="F354" s="4"/>
      <c r="O354" s="4"/>
      <c r="P354"/>
      <c r="Q354" s="4"/>
      <c r="R354"/>
      <c r="V354"/>
      <c r="AA354" s="4"/>
      <c r="AB354" s="4"/>
      <c r="AC354"/>
      <c r="AF354" t="s">
        <v>1306</v>
      </c>
    </row>
    <row r="355" spans="6:32">
      <c r="F355" s="4"/>
      <c r="O355" s="4"/>
      <c r="P355"/>
      <c r="Q355" s="4"/>
      <c r="R355"/>
      <c r="V355"/>
      <c r="AA355" s="4"/>
      <c r="AB355" s="4"/>
      <c r="AC355"/>
      <c r="AF355" t="s">
        <v>1307</v>
      </c>
    </row>
    <row r="356" spans="6:32">
      <c r="F356" s="4"/>
      <c r="O356" s="4"/>
      <c r="P356"/>
      <c r="Q356" s="4"/>
      <c r="R356"/>
      <c r="V356"/>
      <c r="AA356" s="4"/>
      <c r="AB356" s="4"/>
      <c r="AC356"/>
      <c r="AF356" t="s">
        <v>1308</v>
      </c>
    </row>
    <row r="357" spans="6:32">
      <c r="F357" s="4"/>
      <c r="O357" s="4"/>
      <c r="P357"/>
      <c r="Q357" s="4"/>
      <c r="R357"/>
      <c r="V357"/>
      <c r="AA357" s="4"/>
      <c r="AB357" s="4"/>
      <c r="AC357"/>
      <c r="AF357" t="s">
        <v>1309</v>
      </c>
    </row>
    <row r="358" spans="6:32">
      <c r="F358" s="4"/>
      <c r="O358" s="4"/>
      <c r="P358"/>
      <c r="Q358" s="4"/>
      <c r="R358"/>
      <c r="V358"/>
      <c r="AA358" s="4"/>
      <c r="AB358" s="4"/>
      <c r="AC358"/>
      <c r="AF358" t="s">
        <v>1310</v>
      </c>
    </row>
    <row r="359" spans="6:32">
      <c r="F359" s="4"/>
      <c r="O359" s="4"/>
      <c r="P359"/>
      <c r="Q359" s="4"/>
      <c r="R359"/>
      <c r="V359"/>
      <c r="AA359" s="4"/>
      <c r="AB359" s="4"/>
      <c r="AC359"/>
      <c r="AF359" t="s">
        <v>1311</v>
      </c>
    </row>
    <row r="360" spans="6:32">
      <c r="F360" s="4"/>
      <c r="O360" s="4"/>
      <c r="P360"/>
      <c r="Q360" s="4"/>
      <c r="R360"/>
      <c r="V360"/>
      <c r="AA360" s="4"/>
      <c r="AB360" s="4"/>
      <c r="AC360"/>
      <c r="AF360" t="s">
        <v>1312</v>
      </c>
    </row>
    <row r="361" spans="6:32">
      <c r="F361" s="4"/>
      <c r="O361" s="4"/>
      <c r="P361"/>
      <c r="Q361" s="4"/>
      <c r="R361"/>
      <c r="V361"/>
      <c r="AA361" s="4"/>
      <c r="AB361" s="4"/>
      <c r="AC361"/>
      <c r="AF361" t="s">
        <v>1313</v>
      </c>
    </row>
    <row r="362" spans="6:32">
      <c r="F362" s="4"/>
      <c r="O362" s="4"/>
      <c r="P362"/>
      <c r="Q362" s="4"/>
      <c r="R362"/>
      <c r="V362"/>
      <c r="AA362" s="4"/>
      <c r="AB362" s="4"/>
      <c r="AC362"/>
      <c r="AF362" t="s">
        <v>1314</v>
      </c>
    </row>
    <row r="363" spans="6:32">
      <c r="F363" s="4"/>
      <c r="O363" s="4"/>
      <c r="P363"/>
      <c r="Q363" s="4"/>
      <c r="R363"/>
      <c r="V363"/>
      <c r="AA363" s="4"/>
      <c r="AB363" s="4"/>
      <c r="AC363"/>
      <c r="AF363" t="s">
        <v>1315</v>
      </c>
    </row>
    <row r="364" spans="6:32">
      <c r="F364" s="4"/>
      <c r="O364" s="4"/>
      <c r="P364"/>
      <c r="Q364" s="4"/>
      <c r="R364"/>
      <c r="V364"/>
      <c r="AA364" s="4"/>
      <c r="AB364" s="4"/>
      <c r="AC364"/>
      <c r="AF364" t="s">
        <v>1316</v>
      </c>
    </row>
    <row r="365" spans="6:32">
      <c r="F365" s="4"/>
      <c r="O365" s="4"/>
      <c r="P365"/>
      <c r="Q365" s="4"/>
      <c r="R365"/>
      <c r="V365"/>
      <c r="AA365" s="4"/>
      <c r="AB365" s="4"/>
      <c r="AC365"/>
      <c r="AF365" t="s">
        <v>1317</v>
      </c>
    </row>
    <row r="366" spans="6:32">
      <c r="F366" s="4"/>
      <c r="O366" s="4"/>
      <c r="P366"/>
      <c r="Q366" s="4"/>
      <c r="R366"/>
      <c r="V366"/>
      <c r="AA366" s="4"/>
      <c r="AB366" s="4"/>
      <c r="AC366"/>
      <c r="AF366" t="s">
        <v>1318</v>
      </c>
    </row>
    <row r="367" spans="6:32">
      <c r="F367" s="4"/>
      <c r="O367" s="4"/>
      <c r="P367"/>
      <c r="Q367" s="4"/>
      <c r="R367"/>
      <c r="V367"/>
      <c r="AA367" s="4"/>
      <c r="AB367" s="4"/>
      <c r="AC367"/>
      <c r="AF367" t="s">
        <v>1319</v>
      </c>
    </row>
    <row r="368" spans="6:32">
      <c r="F368" s="4"/>
      <c r="O368" s="4"/>
      <c r="P368"/>
      <c r="Q368" s="4"/>
      <c r="R368"/>
      <c r="V368"/>
      <c r="AA368" s="4"/>
      <c r="AB368" s="4"/>
      <c r="AC368"/>
      <c r="AF368" t="s">
        <v>1320</v>
      </c>
    </row>
    <row r="369" spans="6:32">
      <c r="F369" s="4"/>
      <c r="O369" s="4"/>
      <c r="P369"/>
      <c r="Q369" s="4"/>
      <c r="R369"/>
      <c r="V369"/>
      <c r="AA369" s="4"/>
      <c r="AB369" s="4"/>
      <c r="AC369"/>
      <c r="AF369" t="s">
        <v>1321</v>
      </c>
    </row>
    <row r="370" spans="6:32">
      <c r="F370" s="4"/>
      <c r="O370" s="4"/>
      <c r="P370"/>
      <c r="Q370" s="4"/>
      <c r="R370"/>
      <c r="V370"/>
      <c r="AA370" s="4"/>
      <c r="AB370" s="4"/>
      <c r="AC370"/>
      <c r="AF370" t="s">
        <v>1322</v>
      </c>
    </row>
    <row r="371" spans="6:32">
      <c r="F371" s="4"/>
      <c r="O371" s="4"/>
      <c r="P371"/>
      <c r="Q371" s="4"/>
      <c r="R371"/>
      <c r="V371"/>
      <c r="AA371" s="4"/>
      <c r="AB371" s="4"/>
      <c r="AC371"/>
      <c r="AF371" t="s">
        <v>1323</v>
      </c>
    </row>
    <row r="372" spans="6:32">
      <c r="F372" s="4"/>
      <c r="O372" s="4"/>
      <c r="P372"/>
      <c r="Q372" s="4"/>
      <c r="R372"/>
      <c r="V372"/>
      <c r="AA372" s="4"/>
      <c r="AB372" s="4"/>
      <c r="AC372"/>
      <c r="AF372" t="s">
        <v>1324</v>
      </c>
    </row>
    <row r="373" spans="6:32">
      <c r="F373" s="4"/>
      <c r="O373" s="4"/>
      <c r="P373"/>
      <c r="Q373" s="4"/>
      <c r="R373"/>
      <c r="V373"/>
      <c r="AA373" s="4"/>
      <c r="AB373" s="4"/>
      <c r="AC373"/>
      <c r="AF373" t="s">
        <v>1325</v>
      </c>
    </row>
    <row r="374" spans="6:32">
      <c r="F374" s="4"/>
      <c r="O374" s="4"/>
      <c r="P374"/>
      <c r="Q374" s="4"/>
      <c r="R374"/>
      <c r="V374"/>
      <c r="AA374" s="4"/>
      <c r="AB374" s="4"/>
      <c r="AC374"/>
      <c r="AF374" t="s">
        <v>1326</v>
      </c>
    </row>
    <row r="375" spans="6:32">
      <c r="F375" s="4"/>
      <c r="O375" s="4"/>
      <c r="P375"/>
      <c r="Q375" s="4"/>
      <c r="R375"/>
      <c r="V375"/>
      <c r="AA375" s="4"/>
      <c r="AB375" s="4"/>
      <c r="AC375"/>
      <c r="AF375" t="s">
        <v>1327</v>
      </c>
    </row>
    <row r="376" spans="6:32">
      <c r="F376" s="4"/>
      <c r="O376" s="4"/>
      <c r="P376"/>
      <c r="Q376" s="4"/>
      <c r="R376"/>
      <c r="V376"/>
      <c r="AA376" s="4"/>
      <c r="AB376" s="4"/>
      <c r="AC376"/>
      <c r="AF376" t="s">
        <v>1328</v>
      </c>
    </row>
    <row r="377" spans="6:32">
      <c r="F377" s="4"/>
      <c r="O377" s="4"/>
      <c r="P377"/>
      <c r="Q377" s="4"/>
      <c r="R377"/>
      <c r="V377"/>
      <c r="AA377" s="4"/>
      <c r="AB377" s="4"/>
      <c r="AC377"/>
      <c r="AF377" t="s">
        <v>1329</v>
      </c>
    </row>
    <row r="378" spans="6:32">
      <c r="F378" s="4"/>
      <c r="O378" s="4"/>
      <c r="P378"/>
      <c r="Q378" s="4"/>
      <c r="R378"/>
      <c r="V378"/>
      <c r="AA378" s="4"/>
      <c r="AB378" s="4"/>
      <c r="AC378"/>
      <c r="AF378" t="s">
        <v>1330</v>
      </c>
    </row>
    <row r="379" spans="6:32">
      <c r="F379" s="4"/>
      <c r="O379" s="4"/>
      <c r="P379"/>
      <c r="Q379" s="4"/>
      <c r="R379"/>
      <c r="V379"/>
      <c r="AA379" s="4"/>
      <c r="AB379" s="4"/>
      <c r="AC379"/>
      <c r="AF379" t="s">
        <v>1331</v>
      </c>
    </row>
    <row r="380" spans="6:32">
      <c r="F380" s="4"/>
      <c r="O380" s="4"/>
      <c r="P380"/>
      <c r="Q380" s="4"/>
      <c r="R380"/>
      <c r="V380"/>
      <c r="AA380" s="4"/>
      <c r="AB380" s="4"/>
      <c r="AC380"/>
      <c r="AF380" t="s">
        <v>1332</v>
      </c>
    </row>
    <row r="381" spans="6:32">
      <c r="F381" s="4"/>
      <c r="O381" s="4"/>
      <c r="P381"/>
      <c r="Q381" s="4"/>
      <c r="R381"/>
      <c r="V381"/>
      <c r="AA381" s="4"/>
      <c r="AB381" s="4"/>
      <c r="AC381"/>
      <c r="AF381" t="s">
        <v>1333</v>
      </c>
    </row>
    <row r="382" spans="6:32">
      <c r="F382" s="4"/>
      <c r="O382" s="4"/>
      <c r="P382"/>
      <c r="Q382" s="4"/>
      <c r="R382"/>
      <c r="V382"/>
      <c r="AA382" s="4"/>
      <c r="AB382" s="4"/>
      <c r="AC382"/>
      <c r="AF382" t="s">
        <v>1334</v>
      </c>
    </row>
    <row r="383" spans="6:32">
      <c r="F383" s="4"/>
      <c r="O383" s="4"/>
      <c r="P383"/>
      <c r="Q383" s="4"/>
      <c r="R383"/>
      <c r="V383"/>
      <c r="AA383" s="4"/>
      <c r="AB383" s="4"/>
      <c r="AC383"/>
      <c r="AF383" t="s">
        <v>1335</v>
      </c>
    </row>
    <row r="384" spans="6:32">
      <c r="F384" s="4"/>
      <c r="O384" s="4"/>
      <c r="P384"/>
      <c r="Q384" s="4"/>
      <c r="R384"/>
      <c r="V384"/>
      <c r="AA384" s="4"/>
      <c r="AB384" s="4"/>
      <c r="AC384"/>
      <c r="AF384" t="s">
        <v>1336</v>
      </c>
    </row>
    <row r="385" spans="6:32">
      <c r="F385" s="4"/>
      <c r="O385" s="4"/>
      <c r="P385"/>
      <c r="Q385" s="4"/>
      <c r="R385"/>
      <c r="V385"/>
      <c r="AA385" s="4"/>
      <c r="AB385" s="4"/>
      <c r="AC385"/>
      <c r="AF385" t="s">
        <v>1337</v>
      </c>
    </row>
    <row r="386" spans="6:32">
      <c r="F386" s="4"/>
      <c r="O386" s="4"/>
      <c r="P386"/>
      <c r="Q386" s="4"/>
      <c r="R386"/>
      <c r="V386"/>
      <c r="AA386" s="4"/>
      <c r="AB386" s="4"/>
      <c r="AC386"/>
      <c r="AF386" t="s">
        <v>1338</v>
      </c>
    </row>
    <row r="387" spans="6:32">
      <c r="F387" s="4"/>
      <c r="O387" s="4"/>
      <c r="P387"/>
      <c r="Q387" s="4"/>
      <c r="R387"/>
      <c r="V387"/>
      <c r="AA387" s="4"/>
      <c r="AB387" s="4"/>
      <c r="AC387"/>
      <c r="AF387" t="s">
        <v>1339</v>
      </c>
    </row>
    <row r="388" spans="6:32">
      <c r="F388" s="4"/>
      <c r="O388" s="4"/>
      <c r="P388"/>
      <c r="Q388" s="4"/>
      <c r="R388"/>
      <c r="V388"/>
      <c r="AA388" s="4"/>
      <c r="AB388" s="4"/>
      <c r="AC388"/>
      <c r="AF388" t="s">
        <v>1340</v>
      </c>
    </row>
    <row r="389" spans="6:32">
      <c r="F389" s="4"/>
      <c r="O389" s="4"/>
      <c r="P389"/>
      <c r="Q389" s="4"/>
      <c r="R389"/>
      <c r="V389"/>
      <c r="AA389" s="4"/>
      <c r="AB389" s="4"/>
      <c r="AC389"/>
      <c r="AF389" t="s">
        <v>1341</v>
      </c>
    </row>
    <row r="390" spans="6:32">
      <c r="F390" s="4"/>
      <c r="O390" s="4"/>
      <c r="P390"/>
      <c r="Q390" s="4"/>
      <c r="R390"/>
      <c r="V390"/>
      <c r="AA390" s="4"/>
      <c r="AB390" s="4"/>
      <c r="AC390"/>
      <c r="AF390" t="s">
        <v>1342</v>
      </c>
    </row>
    <row r="391" spans="6:32">
      <c r="F391" s="4"/>
      <c r="O391" s="4"/>
      <c r="P391"/>
      <c r="Q391" s="4"/>
      <c r="R391"/>
      <c r="V391"/>
      <c r="AA391" s="4"/>
      <c r="AB391" s="4"/>
      <c r="AC391"/>
      <c r="AF391" t="s">
        <v>1343</v>
      </c>
    </row>
    <row r="392" spans="6:32">
      <c r="F392" s="4"/>
      <c r="O392" s="4"/>
      <c r="P392"/>
      <c r="Q392" s="4"/>
      <c r="R392"/>
      <c r="V392"/>
      <c r="AA392" s="4"/>
      <c r="AB392" s="4"/>
      <c r="AC392"/>
      <c r="AF392" t="s">
        <v>1344</v>
      </c>
    </row>
    <row r="393" spans="6:32">
      <c r="F393" s="4"/>
      <c r="O393" s="4"/>
      <c r="P393"/>
      <c r="Q393" s="4"/>
      <c r="R393"/>
      <c r="V393"/>
      <c r="AA393" s="4"/>
      <c r="AB393" s="4"/>
      <c r="AC393"/>
      <c r="AF393" t="s">
        <v>1345</v>
      </c>
    </row>
    <row r="394" spans="6:32">
      <c r="F394" s="4"/>
      <c r="O394" s="4"/>
      <c r="P394"/>
      <c r="Q394" s="4"/>
      <c r="R394"/>
      <c r="V394"/>
      <c r="AA394" s="4"/>
      <c r="AB394" s="4"/>
      <c r="AC394"/>
      <c r="AF394" t="s">
        <v>1346</v>
      </c>
    </row>
    <row r="395" spans="6:32">
      <c r="F395" s="4"/>
      <c r="O395" s="4"/>
      <c r="P395"/>
      <c r="Q395" s="4"/>
      <c r="R395"/>
      <c r="V395"/>
      <c r="AA395" s="4"/>
      <c r="AB395" s="4"/>
      <c r="AC395"/>
      <c r="AF395" t="s">
        <v>1347</v>
      </c>
    </row>
    <row r="396" spans="6:32">
      <c r="F396" s="4"/>
      <c r="O396" s="4"/>
      <c r="P396"/>
      <c r="Q396" s="4"/>
      <c r="R396"/>
      <c r="V396"/>
      <c r="AA396" s="4"/>
      <c r="AB396" s="4"/>
      <c r="AC396"/>
      <c r="AF396" t="s">
        <v>1348</v>
      </c>
    </row>
    <row r="397" spans="6:32">
      <c r="F397" s="4"/>
      <c r="O397" s="4"/>
      <c r="P397"/>
      <c r="Q397" s="4"/>
      <c r="R397"/>
      <c r="V397"/>
      <c r="AA397" s="4"/>
      <c r="AB397" s="4"/>
      <c r="AC397"/>
      <c r="AF397" t="s">
        <v>1349</v>
      </c>
    </row>
    <row r="398" spans="6:32">
      <c r="F398" s="4"/>
      <c r="O398" s="4"/>
      <c r="P398"/>
      <c r="Q398" s="4"/>
      <c r="R398"/>
      <c r="V398"/>
      <c r="AA398" s="4"/>
      <c r="AB398" s="4"/>
      <c r="AC398"/>
      <c r="AF398" t="s">
        <v>1350</v>
      </c>
    </row>
    <row r="399" spans="6:32">
      <c r="F399" s="4"/>
      <c r="O399" s="4"/>
      <c r="P399"/>
      <c r="Q399" s="4"/>
      <c r="R399"/>
      <c r="V399"/>
      <c r="AA399" s="4"/>
      <c r="AB399" s="4"/>
      <c r="AC399"/>
      <c r="AF399" t="s">
        <v>1351</v>
      </c>
    </row>
    <row r="400" spans="6:32">
      <c r="F400" s="4"/>
      <c r="O400" s="4"/>
      <c r="P400"/>
      <c r="Q400" s="4"/>
      <c r="R400"/>
      <c r="V400"/>
      <c r="AA400" s="4"/>
      <c r="AB400" s="4"/>
      <c r="AC400"/>
      <c r="AF400" t="s">
        <v>1352</v>
      </c>
    </row>
    <row r="401" spans="6:32">
      <c r="F401" s="4"/>
      <c r="O401" s="4"/>
      <c r="P401"/>
      <c r="Q401" s="4"/>
      <c r="R401"/>
      <c r="V401"/>
      <c r="AA401" s="4"/>
      <c r="AB401" s="4"/>
      <c r="AC401"/>
      <c r="AF401" t="s">
        <v>1353</v>
      </c>
    </row>
    <row r="402" spans="6:32">
      <c r="F402" s="4"/>
      <c r="O402" s="4"/>
      <c r="P402"/>
      <c r="Q402" s="4"/>
      <c r="R402"/>
      <c r="V402"/>
      <c r="AA402" s="4"/>
      <c r="AB402" s="4"/>
      <c r="AC402"/>
      <c r="AF402" t="s">
        <v>1354</v>
      </c>
    </row>
    <row r="403" spans="6:32">
      <c r="F403" s="4"/>
      <c r="O403" s="4"/>
      <c r="P403"/>
      <c r="Q403" s="4"/>
      <c r="R403"/>
      <c r="V403"/>
      <c r="AA403" s="4"/>
      <c r="AB403" s="4"/>
      <c r="AC403"/>
      <c r="AF403" t="s">
        <v>1355</v>
      </c>
    </row>
    <row r="404" spans="6:32">
      <c r="F404" s="4"/>
      <c r="O404" s="4"/>
      <c r="P404"/>
      <c r="Q404" s="4"/>
      <c r="R404"/>
      <c r="V404"/>
      <c r="AA404" s="4"/>
      <c r="AB404" s="4"/>
      <c r="AC404"/>
      <c r="AF404" t="s">
        <v>1356</v>
      </c>
    </row>
    <row r="405" spans="6:32">
      <c r="F405" s="4"/>
      <c r="O405" s="4"/>
      <c r="P405"/>
      <c r="Q405" s="4"/>
      <c r="R405"/>
      <c r="V405"/>
      <c r="AA405" s="4"/>
      <c r="AB405" s="4"/>
      <c r="AC405"/>
      <c r="AF405" t="s">
        <v>1357</v>
      </c>
    </row>
    <row r="406" spans="6:32">
      <c r="F406" s="4"/>
      <c r="O406" s="4"/>
      <c r="P406"/>
      <c r="Q406" s="4"/>
      <c r="R406"/>
      <c r="V406"/>
      <c r="AA406" s="4"/>
      <c r="AB406" s="4"/>
      <c r="AC406"/>
      <c r="AF406" t="s">
        <v>1358</v>
      </c>
    </row>
    <row r="407" spans="6:32">
      <c r="F407" s="4"/>
      <c r="O407" s="4"/>
      <c r="P407"/>
      <c r="Q407" s="4"/>
      <c r="R407"/>
      <c r="V407"/>
      <c r="AA407" s="4"/>
      <c r="AB407" s="4"/>
      <c r="AC407"/>
      <c r="AF407" t="s">
        <v>1359</v>
      </c>
    </row>
    <row r="408" spans="6:32">
      <c r="F408" s="4"/>
      <c r="O408" s="4"/>
      <c r="P408"/>
      <c r="Q408" s="4"/>
      <c r="R408"/>
      <c r="V408"/>
      <c r="AA408" s="4"/>
      <c r="AB408" s="4"/>
      <c r="AC408"/>
      <c r="AF408" t="s">
        <v>1360</v>
      </c>
    </row>
    <row r="409" spans="6:32">
      <c r="F409" s="4"/>
      <c r="O409" s="4"/>
      <c r="P409"/>
      <c r="Q409" s="4"/>
      <c r="R409"/>
      <c r="V409"/>
      <c r="AA409" s="4"/>
      <c r="AB409" s="4"/>
      <c r="AC409"/>
      <c r="AF409" t="s">
        <v>1361</v>
      </c>
    </row>
    <row r="410" spans="6:32">
      <c r="F410" s="4"/>
      <c r="O410" s="4"/>
      <c r="P410"/>
      <c r="Q410" s="4"/>
      <c r="R410"/>
      <c r="V410"/>
      <c r="AA410" s="4"/>
      <c r="AB410" s="4"/>
      <c r="AC410"/>
      <c r="AF410" t="s">
        <v>1362</v>
      </c>
    </row>
    <row r="411" spans="6:32">
      <c r="F411" s="4"/>
      <c r="O411" s="4"/>
      <c r="P411"/>
      <c r="Q411" s="4"/>
      <c r="R411"/>
      <c r="V411"/>
      <c r="AA411" s="4"/>
      <c r="AB411" s="4"/>
      <c r="AC411"/>
      <c r="AF411" t="s">
        <v>1363</v>
      </c>
    </row>
    <row r="412" spans="6:32">
      <c r="F412" s="4"/>
      <c r="O412" s="4"/>
      <c r="P412"/>
      <c r="Q412" s="4"/>
      <c r="R412"/>
      <c r="V412"/>
      <c r="AA412" s="4"/>
      <c r="AB412" s="4"/>
      <c r="AC412"/>
      <c r="AF412" t="s">
        <v>1364</v>
      </c>
    </row>
    <row r="413" spans="6:32">
      <c r="F413" s="4"/>
      <c r="O413" s="4"/>
      <c r="P413"/>
      <c r="Q413" s="4"/>
      <c r="R413"/>
      <c r="V413"/>
      <c r="AA413" s="4"/>
      <c r="AB413" s="4"/>
      <c r="AC413"/>
      <c r="AF413" t="s">
        <v>1365</v>
      </c>
    </row>
    <row r="414" spans="6:32">
      <c r="F414" s="4"/>
      <c r="O414" s="4"/>
      <c r="P414"/>
      <c r="Q414" s="4"/>
      <c r="R414"/>
      <c r="V414"/>
      <c r="AA414" s="4"/>
      <c r="AB414" s="4"/>
      <c r="AC414"/>
      <c r="AF414" t="s">
        <v>22</v>
      </c>
    </row>
    <row r="415" spans="6:32">
      <c r="F415" s="4"/>
      <c r="O415" s="4"/>
      <c r="P415"/>
      <c r="Q415" s="4"/>
      <c r="R415"/>
      <c r="V415"/>
      <c r="AA415" s="4"/>
      <c r="AB415" s="4"/>
      <c r="AC415"/>
      <c r="AF415" t="s">
        <v>1366</v>
      </c>
    </row>
    <row r="416" spans="6:32">
      <c r="F416" s="4"/>
      <c r="O416" s="4"/>
      <c r="P416"/>
      <c r="Q416" s="4"/>
      <c r="R416"/>
      <c r="V416"/>
      <c r="AA416" s="4"/>
      <c r="AB416" s="4"/>
      <c r="AC416"/>
      <c r="AF416" t="s">
        <v>1367</v>
      </c>
    </row>
    <row r="417" spans="6:32">
      <c r="F417" s="4"/>
      <c r="O417" s="4"/>
      <c r="P417"/>
      <c r="Q417" s="4"/>
      <c r="R417"/>
      <c r="V417"/>
      <c r="AA417" s="4"/>
      <c r="AB417" s="4"/>
      <c r="AC417"/>
      <c r="AF417" t="s">
        <v>1368</v>
      </c>
    </row>
    <row r="418" spans="6:32">
      <c r="F418" s="4"/>
      <c r="O418" s="4"/>
      <c r="P418"/>
      <c r="Q418" s="4"/>
      <c r="R418"/>
      <c r="V418"/>
      <c r="AA418" s="4"/>
      <c r="AB418" s="4"/>
      <c r="AC418"/>
      <c r="AF418" t="s">
        <v>1369</v>
      </c>
    </row>
    <row r="419" spans="6:32">
      <c r="F419" s="4"/>
      <c r="O419" s="4"/>
      <c r="P419"/>
      <c r="Q419" s="4"/>
      <c r="R419"/>
      <c r="V419"/>
      <c r="AA419" s="4"/>
      <c r="AB419" s="4"/>
      <c r="AC419"/>
      <c r="AF419" t="s">
        <v>1370</v>
      </c>
    </row>
    <row r="420" spans="6:32">
      <c r="F420" s="4"/>
      <c r="O420" s="4"/>
      <c r="P420"/>
      <c r="Q420" s="4"/>
      <c r="R420"/>
      <c r="V420"/>
      <c r="AA420" s="4"/>
      <c r="AB420" s="4"/>
      <c r="AC420"/>
      <c r="AF420" t="s">
        <v>1371</v>
      </c>
    </row>
    <row r="421" spans="6:32">
      <c r="F421" s="4"/>
      <c r="O421" s="4"/>
      <c r="P421"/>
      <c r="Q421" s="4"/>
      <c r="R421"/>
      <c r="V421"/>
      <c r="AA421" s="4"/>
      <c r="AB421" s="4"/>
      <c r="AC421"/>
      <c r="AF421" t="s">
        <v>1372</v>
      </c>
    </row>
    <row r="422" spans="6:32">
      <c r="F422" s="4"/>
      <c r="O422" s="4"/>
      <c r="P422"/>
      <c r="Q422" s="4"/>
      <c r="R422"/>
      <c r="V422"/>
      <c r="AA422" s="4"/>
      <c r="AB422" s="4"/>
      <c r="AC422"/>
      <c r="AF422" t="s">
        <v>1373</v>
      </c>
    </row>
    <row r="423" spans="6:32">
      <c r="F423" s="4"/>
      <c r="O423" s="4"/>
      <c r="P423"/>
      <c r="Q423" s="4"/>
      <c r="R423"/>
      <c r="V423"/>
      <c r="AA423" s="4"/>
      <c r="AB423" s="4"/>
      <c r="AC423"/>
      <c r="AF423" t="s">
        <v>1374</v>
      </c>
    </row>
    <row r="424" spans="6:32">
      <c r="F424" s="4"/>
      <c r="O424" s="4"/>
      <c r="P424"/>
      <c r="Q424" s="4"/>
      <c r="R424"/>
      <c r="V424"/>
      <c r="AA424" s="4"/>
      <c r="AB424" s="4"/>
      <c r="AC424"/>
      <c r="AF424" t="s">
        <v>1375</v>
      </c>
    </row>
    <row r="425" spans="6:32">
      <c r="F425" s="4"/>
      <c r="O425" s="4"/>
      <c r="P425"/>
      <c r="Q425" s="4"/>
      <c r="R425"/>
      <c r="V425"/>
      <c r="AA425" s="4"/>
      <c r="AB425" s="4"/>
      <c r="AC425"/>
      <c r="AF425" t="s">
        <v>1376</v>
      </c>
    </row>
    <row r="426" spans="6:32">
      <c r="F426" s="4"/>
      <c r="O426" s="4"/>
      <c r="P426"/>
      <c r="Q426" s="4"/>
      <c r="R426"/>
      <c r="V426"/>
      <c r="AA426" s="4"/>
      <c r="AB426" s="4"/>
      <c r="AC426"/>
      <c r="AF426" t="s">
        <v>23</v>
      </c>
    </row>
    <row r="427" spans="6:32">
      <c r="F427" s="4"/>
      <c r="O427" s="4"/>
      <c r="P427"/>
      <c r="Q427" s="4"/>
      <c r="R427"/>
      <c r="V427"/>
      <c r="AA427" s="4"/>
      <c r="AB427" s="4"/>
      <c r="AC427"/>
      <c r="AF427" t="s">
        <v>1377</v>
      </c>
    </row>
    <row r="428" spans="6:32">
      <c r="F428" s="4"/>
      <c r="O428" s="4"/>
      <c r="P428"/>
      <c r="Q428" s="4"/>
      <c r="R428"/>
      <c r="V428"/>
      <c r="AA428" s="4"/>
      <c r="AB428" s="4"/>
      <c r="AC428"/>
      <c r="AF428" t="s">
        <v>125</v>
      </c>
    </row>
    <row r="429" spans="6:32">
      <c r="F429" s="4"/>
      <c r="O429" s="4"/>
      <c r="P429"/>
      <c r="Q429" s="4"/>
      <c r="R429"/>
      <c r="V429"/>
      <c r="AA429" s="4"/>
      <c r="AB429" s="4"/>
      <c r="AC429"/>
      <c r="AF429" t="s">
        <v>1378</v>
      </c>
    </row>
    <row r="430" spans="6:32">
      <c r="F430" s="4"/>
      <c r="O430" s="4"/>
      <c r="P430"/>
      <c r="Q430" s="4"/>
      <c r="R430"/>
      <c r="V430"/>
      <c r="AA430" s="4"/>
      <c r="AB430" s="4"/>
      <c r="AC430"/>
      <c r="AF430" t="s">
        <v>1379</v>
      </c>
    </row>
    <row r="431" spans="6:32">
      <c r="F431" s="4"/>
      <c r="O431" s="4"/>
      <c r="P431"/>
      <c r="Q431" s="4"/>
      <c r="R431"/>
      <c r="V431"/>
      <c r="AA431" s="4"/>
      <c r="AB431" s="4"/>
      <c r="AC431"/>
      <c r="AF431" t="s">
        <v>1380</v>
      </c>
    </row>
    <row r="432" spans="6:32">
      <c r="F432" s="4"/>
      <c r="O432" s="4"/>
      <c r="P432"/>
      <c r="Q432" s="4"/>
      <c r="R432"/>
      <c r="V432"/>
      <c r="AA432" s="4"/>
      <c r="AB432" s="4"/>
      <c r="AC432"/>
      <c r="AF432" t="s">
        <v>1381</v>
      </c>
    </row>
    <row r="433" spans="6:32">
      <c r="F433" s="4"/>
      <c r="O433" s="4"/>
      <c r="P433"/>
      <c r="Q433" s="4"/>
      <c r="R433"/>
      <c r="V433"/>
      <c r="AA433" s="4"/>
      <c r="AB433" s="4"/>
      <c r="AC433"/>
      <c r="AF433" t="s">
        <v>1382</v>
      </c>
    </row>
    <row r="434" spans="6:32">
      <c r="F434" s="4"/>
      <c r="O434" s="4"/>
      <c r="P434"/>
      <c r="Q434" s="4"/>
      <c r="R434"/>
      <c r="V434"/>
      <c r="AA434" s="4"/>
      <c r="AB434" s="4"/>
      <c r="AC434"/>
      <c r="AF434" t="s">
        <v>1383</v>
      </c>
    </row>
    <row r="435" spans="6:32">
      <c r="F435" s="4"/>
      <c r="O435" s="4"/>
      <c r="P435"/>
      <c r="Q435" s="4"/>
      <c r="R435"/>
      <c r="V435"/>
      <c r="AA435" s="4"/>
      <c r="AB435" s="4"/>
      <c r="AC435"/>
      <c r="AF435" t="s">
        <v>1384</v>
      </c>
    </row>
    <row r="436" spans="6:32">
      <c r="F436" s="4"/>
      <c r="O436" s="4"/>
      <c r="P436"/>
      <c r="Q436" s="4"/>
      <c r="R436"/>
      <c r="V436"/>
      <c r="AA436" s="4"/>
      <c r="AB436" s="4"/>
      <c r="AC436"/>
      <c r="AF436" t="s">
        <v>1385</v>
      </c>
    </row>
    <row r="437" spans="6:32">
      <c r="F437" s="4"/>
      <c r="O437" s="4"/>
      <c r="P437"/>
      <c r="Q437" s="4"/>
      <c r="R437"/>
      <c r="V437"/>
      <c r="AA437" s="4"/>
      <c r="AB437" s="4"/>
      <c r="AC437"/>
      <c r="AF437" t="s">
        <v>1386</v>
      </c>
    </row>
    <row r="438" spans="6:32">
      <c r="F438" s="4"/>
      <c r="O438" s="4"/>
      <c r="P438"/>
      <c r="Q438" s="4"/>
      <c r="R438"/>
      <c r="V438"/>
      <c r="AA438" s="4"/>
      <c r="AB438" s="4"/>
      <c r="AC438"/>
      <c r="AF438" t="s">
        <v>1387</v>
      </c>
    </row>
    <row r="439" spans="6:32">
      <c r="F439" s="4"/>
      <c r="O439" s="4"/>
      <c r="P439"/>
      <c r="Q439" s="4"/>
      <c r="R439"/>
      <c r="V439"/>
      <c r="AA439" s="4"/>
      <c r="AB439" s="4"/>
      <c r="AC439"/>
      <c r="AF439" t="s">
        <v>1388</v>
      </c>
    </row>
    <row r="440" spans="6:32">
      <c r="F440" s="4"/>
      <c r="O440" s="4"/>
      <c r="P440"/>
      <c r="Q440" s="4"/>
      <c r="R440"/>
      <c r="V440"/>
      <c r="AA440" s="4"/>
      <c r="AB440" s="4"/>
      <c r="AC440"/>
      <c r="AF440" t="s">
        <v>1389</v>
      </c>
    </row>
    <row r="441" spans="6:32">
      <c r="F441" s="4"/>
      <c r="O441" s="4"/>
      <c r="P441"/>
      <c r="Q441" s="4"/>
      <c r="R441"/>
      <c r="V441"/>
      <c r="AA441" s="4"/>
      <c r="AB441" s="4"/>
      <c r="AC441"/>
      <c r="AF441" t="s">
        <v>1390</v>
      </c>
    </row>
    <row r="442" spans="6:32">
      <c r="F442" s="4"/>
      <c r="O442" s="4"/>
      <c r="P442"/>
      <c r="Q442" s="4"/>
      <c r="R442"/>
      <c r="V442"/>
      <c r="AA442" s="4"/>
      <c r="AB442" s="4"/>
      <c r="AC442"/>
      <c r="AF442" t="s">
        <v>1391</v>
      </c>
    </row>
    <row r="443" spans="6:32">
      <c r="F443" s="4"/>
      <c r="O443" s="4"/>
      <c r="P443"/>
      <c r="Q443" s="4"/>
      <c r="R443"/>
      <c r="V443"/>
      <c r="AA443" s="4"/>
      <c r="AB443" s="4"/>
      <c r="AC443"/>
      <c r="AF443" t="s">
        <v>1392</v>
      </c>
    </row>
    <row r="444" spans="6:32">
      <c r="F444" s="4"/>
      <c r="O444" s="4"/>
      <c r="P444"/>
      <c r="Q444" s="4"/>
      <c r="R444"/>
      <c r="V444"/>
      <c r="AA444" s="4"/>
      <c r="AB444" s="4"/>
      <c r="AC444"/>
      <c r="AF444" t="s">
        <v>1393</v>
      </c>
    </row>
    <row r="445" spans="6:32">
      <c r="F445" s="4"/>
      <c r="O445" s="4"/>
      <c r="P445"/>
      <c r="Q445" s="4"/>
      <c r="R445"/>
      <c r="V445"/>
      <c r="AA445" s="4"/>
      <c r="AB445" s="4"/>
      <c r="AC445"/>
      <c r="AF445" t="s">
        <v>1394</v>
      </c>
    </row>
    <row r="446" spans="6:32">
      <c r="F446" s="4"/>
      <c r="O446" s="4"/>
      <c r="P446"/>
      <c r="Q446" s="4"/>
      <c r="R446"/>
      <c r="V446"/>
      <c r="AA446" s="4"/>
      <c r="AB446" s="4"/>
      <c r="AC446"/>
      <c r="AF446" t="s">
        <v>1395</v>
      </c>
    </row>
    <row r="447" spans="6:32">
      <c r="F447" s="4"/>
      <c r="O447" s="4"/>
      <c r="P447"/>
      <c r="Q447" s="4"/>
      <c r="R447"/>
      <c r="V447"/>
      <c r="AA447" s="4"/>
      <c r="AB447" s="4"/>
      <c r="AC447"/>
      <c r="AF447" t="s">
        <v>1396</v>
      </c>
    </row>
    <row r="448" spans="6:32">
      <c r="F448" s="4"/>
      <c r="O448" s="4"/>
      <c r="P448"/>
      <c r="Q448" s="4"/>
      <c r="R448"/>
      <c r="V448"/>
      <c r="AA448" s="4"/>
      <c r="AB448" s="4"/>
      <c r="AC448"/>
      <c r="AF448" t="s">
        <v>1397</v>
      </c>
    </row>
    <row r="449" spans="6:32">
      <c r="F449" s="4"/>
      <c r="O449" s="4"/>
      <c r="P449"/>
      <c r="Q449" s="4"/>
      <c r="R449"/>
      <c r="V449"/>
      <c r="AA449" s="4"/>
      <c r="AB449" s="4"/>
      <c r="AC449"/>
      <c r="AF449" t="s">
        <v>1398</v>
      </c>
    </row>
    <row r="450" spans="6:32">
      <c r="F450" s="4"/>
      <c r="O450" s="4"/>
      <c r="P450"/>
      <c r="Q450" s="4"/>
      <c r="R450"/>
      <c r="V450"/>
      <c r="AA450" s="4"/>
      <c r="AB450" s="4"/>
      <c r="AC450"/>
      <c r="AF450" t="s">
        <v>1399</v>
      </c>
    </row>
    <row r="451" spans="6:32">
      <c r="F451" s="4"/>
      <c r="O451" s="4"/>
      <c r="P451"/>
      <c r="Q451" s="4"/>
      <c r="R451"/>
      <c r="V451"/>
      <c r="AA451" s="4"/>
      <c r="AB451" s="4"/>
      <c r="AC451"/>
      <c r="AF451" t="s">
        <v>1400</v>
      </c>
    </row>
    <row r="452" spans="6:32">
      <c r="F452" s="4"/>
      <c r="O452" s="4"/>
      <c r="P452"/>
      <c r="Q452" s="4"/>
      <c r="R452"/>
      <c r="V452"/>
      <c r="AA452" s="4"/>
      <c r="AB452" s="4"/>
      <c r="AC452"/>
      <c r="AF452" t="s">
        <v>1401</v>
      </c>
    </row>
    <row r="453" spans="6:32">
      <c r="F453" s="4"/>
      <c r="O453" s="4"/>
      <c r="P453"/>
      <c r="Q453" s="4"/>
      <c r="R453"/>
      <c r="V453"/>
      <c r="AA453" s="4"/>
      <c r="AB453" s="4"/>
      <c r="AC453"/>
      <c r="AF453" t="s">
        <v>1402</v>
      </c>
    </row>
    <row r="454" spans="6:32">
      <c r="F454" s="4"/>
      <c r="O454" s="4"/>
      <c r="P454"/>
      <c r="Q454" s="4"/>
      <c r="R454"/>
      <c r="V454"/>
      <c r="AA454" s="4"/>
      <c r="AB454" s="4"/>
      <c r="AC454"/>
      <c r="AF454" t="s">
        <v>1403</v>
      </c>
    </row>
    <row r="455" spans="6:32">
      <c r="F455" s="4"/>
      <c r="O455" s="4"/>
      <c r="P455"/>
      <c r="Q455" s="4"/>
      <c r="R455"/>
      <c r="V455"/>
      <c r="AA455" s="4"/>
      <c r="AB455" s="4"/>
      <c r="AC455"/>
      <c r="AF455" t="s">
        <v>1404</v>
      </c>
    </row>
    <row r="456" spans="6:32">
      <c r="F456" s="4"/>
      <c r="O456" s="4"/>
      <c r="P456"/>
      <c r="Q456" s="4"/>
      <c r="R456"/>
      <c r="V456"/>
      <c r="AA456" s="4"/>
      <c r="AB456" s="4"/>
      <c r="AC456"/>
      <c r="AF456" t="s">
        <v>1405</v>
      </c>
    </row>
    <row r="457" spans="6:32">
      <c r="F457" s="4"/>
      <c r="O457" s="4"/>
      <c r="P457"/>
      <c r="Q457" s="4"/>
      <c r="R457"/>
      <c r="V457"/>
      <c r="AA457" s="4"/>
      <c r="AB457" s="4"/>
      <c r="AC457"/>
      <c r="AF457" t="s">
        <v>1406</v>
      </c>
    </row>
    <row r="458" spans="6:32">
      <c r="F458" s="4"/>
      <c r="O458" s="4"/>
      <c r="P458"/>
      <c r="Q458" s="4"/>
      <c r="R458"/>
      <c r="V458"/>
      <c r="AA458" s="4"/>
      <c r="AB458" s="4"/>
      <c r="AC458"/>
      <c r="AF458" t="s">
        <v>1407</v>
      </c>
    </row>
    <row r="459" spans="6:32">
      <c r="F459" s="4"/>
      <c r="O459" s="4"/>
      <c r="P459"/>
      <c r="Q459" s="4"/>
      <c r="R459"/>
      <c r="V459"/>
      <c r="AA459" s="4"/>
      <c r="AB459" s="4"/>
      <c r="AC459"/>
      <c r="AF459" t="s">
        <v>126</v>
      </c>
    </row>
    <row r="460" spans="6:32">
      <c r="F460" s="4"/>
      <c r="O460" s="4"/>
      <c r="P460"/>
      <c r="Q460" s="4"/>
      <c r="R460"/>
      <c r="V460"/>
      <c r="AA460" s="4"/>
      <c r="AB460" s="4"/>
      <c r="AC460"/>
      <c r="AF460" t="s">
        <v>1408</v>
      </c>
    </row>
    <row r="461" spans="6:32">
      <c r="F461" s="4"/>
      <c r="O461" s="4"/>
      <c r="P461"/>
      <c r="Q461" s="4"/>
      <c r="R461"/>
      <c r="V461"/>
      <c r="AA461" s="4"/>
      <c r="AB461" s="4"/>
      <c r="AC461"/>
      <c r="AF461" t="s">
        <v>1409</v>
      </c>
    </row>
    <row r="462" spans="6:32">
      <c r="F462" s="4"/>
      <c r="O462" s="4"/>
      <c r="P462"/>
      <c r="Q462" s="4"/>
      <c r="R462"/>
      <c r="V462"/>
      <c r="AA462" s="4"/>
      <c r="AB462" s="4"/>
      <c r="AC462"/>
      <c r="AF462" t="s">
        <v>1410</v>
      </c>
    </row>
    <row r="463" spans="6:32">
      <c r="F463" s="4"/>
      <c r="O463" s="4"/>
      <c r="P463"/>
      <c r="Q463" s="4"/>
      <c r="R463"/>
      <c r="V463"/>
      <c r="AA463" s="4"/>
      <c r="AB463" s="4"/>
      <c r="AC463"/>
      <c r="AF463" t="s">
        <v>1411</v>
      </c>
    </row>
    <row r="464" spans="6:32">
      <c r="F464" s="4"/>
      <c r="O464" s="4"/>
      <c r="P464"/>
      <c r="Q464" s="4"/>
      <c r="R464"/>
      <c r="V464"/>
      <c r="AA464" s="4"/>
      <c r="AB464" s="4"/>
      <c r="AC464"/>
      <c r="AF464" t="s">
        <v>1412</v>
      </c>
    </row>
    <row r="465" spans="6:32">
      <c r="F465" s="4"/>
      <c r="O465" s="4"/>
      <c r="P465"/>
      <c r="Q465" s="4"/>
      <c r="R465"/>
      <c r="V465"/>
      <c r="AA465" s="4"/>
      <c r="AB465" s="4"/>
      <c r="AC465"/>
      <c r="AF465" t="s">
        <v>1413</v>
      </c>
    </row>
    <row r="466" spans="6:32">
      <c r="F466" s="4"/>
      <c r="O466" s="4"/>
      <c r="P466"/>
      <c r="Q466" s="4"/>
      <c r="R466"/>
      <c r="V466"/>
      <c r="AA466" s="4"/>
      <c r="AB466" s="4"/>
      <c r="AC466"/>
      <c r="AF466" t="s">
        <v>1414</v>
      </c>
    </row>
    <row r="467" spans="6:32">
      <c r="F467" s="4"/>
      <c r="O467" s="4"/>
      <c r="P467"/>
      <c r="Q467" s="4"/>
      <c r="R467"/>
      <c r="V467"/>
      <c r="AA467" s="4"/>
      <c r="AB467" s="4"/>
      <c r="AC467"/>
      <c r="AF467" t="s">
        <v>1415</v>
      </c>
    </row>
    <row r="468" spans="6:32">
      <c r="F468" s="4"/>
      <c r="O468" s="4"/>
      <c r="P468"/>
      <c r="Q468" s="4"/>
      <c r="R468"/>
      <c r="V468"/>
      <c r="AA468" s="4"/>
      <c r="AB468" s="4"/>
      <c r="AC468"/>
      <c r="AF468" t="s">
        <v>1416</v>
      </c>
    </row>
    <row r="469" spans="6:32">
      <c r="F469" s="4"/>
      <c r="O469" s="4"/>
      <c r="P469"/>
      <c r="Q469" s="4"/>
      <c r="R469"/>
      <c r="V469"/>
      <c r="AA469" s="4"/>
      <c r="AB469" s="4"/>
      <c r="AC469"/>
      <c r="AF469" t="s">
        <v>1417</v>
      </c>
    </row>
    <row r="470" spans="6:32">
      <c r="F470" s="4"/>
      <c r="O470" s="4"/>
      <c r="P470"/>
      <c r="Q470" s="4"/>
      <c r="R470"/>
      <c r="V470"/>
      <c r="AA470" s="4"/>
      <c r="AB470" s="4"/>
      <c r="AC470"/>
      <c r="AF470" t="s">
        <v>1418</v>
      </c>
    </row>
    <row r="471" spans="6:32">
      <c r="F471" s="4"/>
      <c r="O471" s="4"/>
      <c r="P471"/>
      <c r="Q471" s="4"/>
      <c r="R471"/>
      <c r="V471"/>
      <c r="AA471" s="4"/>
      <c r="AB471" s="4"/>
      <c r="AC471"/>
      <c r="AF471" t="s">
        <v>1419</v>
      </c>
    </row>
    <row r="472" spans="6:32">
      <c r="F472" s="4"/>
      <c r="O472" s="4"/>
      <c r="P472"/>
      <c r="Q472" s="4"/>
      <c r="R472"/>
      <c r="V472"/>
      <c r="AA472" s="4"/>
      <c r="AB472" s="4"/>
      <c r="AC472"/>
      <c r="AF472" t="s">
        <v>1420</v>
      </c>
    </row>
    <row r="473" spans="6:32">
      <c r="F473" s="4"/>
      <c r="O473" s="4"/>
      <c r="P473"/>
      <c r="Q473" s="4"/>
      <c r="R473"/>
      <c r="V473"/>
      <c r="AA473" s="4"/>
      <c r="AB473" s="4"/>
      <c r="AC473"/>
      <c r="AF473" t="s">
        <v>1421</v>
      </c>
    </row>
    <row r="474" spans="6:32">
      <c r="F474" s="4"/>
      <c r="O474" s="4"/>
      <c r="P474"/>
      <c r="Q474" s="4"/>
      <c r="R474"/>
      <c r="V474"/>
      <c r="AA474" s="4"/>
      <c r="AB474" s="4"/>
      <c r="AC474"/>
      <c r="AF474" t="s">
        <v>1422</v>
      </c>
    </row>
    <row r="475" spans="6:32">
      <c r="F475" s="4"/>
      <c r="O475" s="4"/>
      <c r="P475"/>
      <c r="Q475" s="4"/>
      <c r="R475"/>
      <c r="V475"/>
      <c r="AA475" s="4"/>
      <c r="AB475" s="4"/>
      <c r="AC475"/>
      <c r="AF475" t="s">
        <v>1423</v>
      </c>
    </row>
    <row r="476" spans="6:32">
      <c r="F476" s="4"/>
      <c r="O476" s="4"/>
      <c r="P476"/>
      <c r="Q476" s="4"/>
      <c r="R476"/>
      <c r="V476"/>
      <c r="AA476" s="4"/>
      <c r="AB476" s="4"/>
      <c r="AC476"/>
      <c r="AF476" t="s">
        <v>1424</v>
      </c>
    </row>
    <row r="477" spans="6:32">
      <c r="F477" s="4"/>
      <c r="O477" s="4"/>
      <c r="P477"/>
      <c r="Q477" s="4"/>
      <c r="R477"/>
      <c r="V477"/>
      <c r="AA477" s="4"/>
      <c r="AB477" s="4"/>
      <c r="AC477"/>
      <c r="AF477" t="s">
        <v>1425</v>
      </c>
    </row>
    <row r="478" spans="6:32">
      <c r="F478" s="4"/>
      <c r="O478" s="4"/>
      <c r="P478"/>
      <c r="Q478" s="4"/>
      <c r="R478"/>
      <c r="V478"/>
      <c r="AA478" s="4"/>
      <c r="AB478" s="4"/>
      <c r="AC478"/>
      <c r="AF478" t="s">
        <v>1426</v>
      </c>
    </row>
    <row r="479" spans="6:32">
      <c r="F479" s="4"/>
      <c r="O479" s="4"/>
      <c r="P479"/>
      <c r="Q479" s="4"/>
      <c r="R479"/>
      <c r="V479"/>
      <c r="AA479" s="4"/>
      <c r="AB479" s="4"/>
      <c r="AC479"/>
      <c r="AF479" t="s">
        <v>1427</v>
      </c>
    </row>
    <row r="480" spans="6:32">
      <c r="F480" s="4"/>
      <c r="O480" s="4"/>
      <c r="P480"/>
      <c r="Q480" s="4"/>
      <c r="R480"/>
      <c r="V480"/>
      <c r="AA480" s="4"/>
      <c r="AB480" s="4"/>
      <c r="AC480"/>
      <c r="AF480" t="s">
        <v>1428</v>
      </c>
    </row>
    <row r="481" spans="6:32">
      <c r="F481" s="4"/>
      <c r="O481" s="4"/>
      <c r="P481"/>
      <c r="Q481" s="4"/>
      <c r="R481"/>
      <c r="V481"/>
      <c r="AA481" s="4"/>
      <c r="AB481" s="4"/>
      <c r="AC481"/>
      <c r="AF481" t="s">
        <v>1429</v>
      </c>
    </row>
    <row r="482" spans="6:32">
      <c r="F482" s="4"/>
      <c r="O482" s="4"/>
      <c r="P482"/>
      <c r="Q482" s="4"/>
      <c r="R482"/>
      <c r="V482"/>
      <c r="AA482" s="4"/>
      <c r="AB482" s="4"/>
      <c r="AC482"/>
      <c r="AF482" t="s">
        <v>1430</v>
      </c>
    </row>
    <row r="483" spans="6:32">
      <c r="F483" s="4"/>
      <c r="O483" s="4"/>
      <c r="P483"/>
      <c r="Q483" s="4"/>
      <c r="R483"/>
      <c r="V483"/>
      <c r="AA483" s="4"/>
      <c r="AB483" s="4"/>
      <c r="AC483"/>
      <c r="AF483" t="s">
        <v>1431</v>
      </c>
    </row>
    <row r="484" spans="6:32">
      <c r="F484" s="4"/>
      <c r="O484" s="4"/>
      <c r="P484"/>
      <c r="Q484" s="4"/>
      <c r="R484"/>
      <c r="V484"/>
      <c r="AA484" s="4"/>
      <c r="AB484" s="4"/>
      <c r="AC484"/>
      <c r="AF484" t="s">
        <v>1432</v>
      </c>
    </row>
    <row r="485" spans="6:32">
      <c r="F485" s="4"/>
      <c r="O485" s="4"/>
      <c r="P485"/>
      <c r="Q485" s="4"/>
      <c r="R485"/>
      <c r="V485"/>
      <c r="AA485" s="4"/>
      <c r="AB485" s="4"/>
      <c r="AC485"/>
      <c r="AF485" t="s">
        <v>1433</v>
      </c>
    </row>
    <row r="486" spans="6:32">
      <c r="F486" s="4"/>
      <c r="O486" s="4"/>
      <c r="P486"/>
      <c r="Q486" s="4"/>
      <c r="R486"/>
      <c r="V486"/>
      <c r="AA486" s="4"/>
      <c r="AB486" s="4"/>
      <c r="AC486"/>
      <c r="AF486" t="s">
        <v>1434</v>
      </c>
    </row>
    <row r="487" spans="6:32">
      <c r="F487" s="4"/>
      <c r="O487" s="4"/>
      <c r="P487"/>
      <c r="Q487" s="4"/>
      <c r="R487"/>
      <c r="V487"/>
      <c r="AA487" s="4"/>
      <c r="AB487" s="4"/>
      <c r="AC487"/>
      <c r="AF487" t="s">
        <v>1435</v>
      </c>
    </row>
    <row r="488" spans="6:32">
      <c r="F488" s="4"/>
      <c r="O488" s="4"/>
      <c r="P488"/>
      <c r="Q488" s="4"/>
      <c r="R488"/>
      <c r="V488"/>
      <c r="AA488" s="4"/>
      <c r="AB488" s="4"/>
      <c r="AC488"/>
      <c r="AF488" t="s">
        <v>1436</v>
      </c>
    </row>
    <row r="489" spans="6:32">
      <c r="F489" s="4"/>
      <c r="O489" s="4"/>
      <c r="P489"/>
      <c r="Q489" s="4"/>
      <c r="R489"/>
      <c r="V489"/>
      <c r="AA489" s="4"/>
      <c r="AB489" s="4"/>
      <c r="AC489"/>
      <c r="AF489" t="s">
        <v>1437</v>
      </c>
    </row>
    <row r="490" spans="6:32">
      <c r="F490" s="4"/>
      <c r="O490" s="4"/>
      <c r="P490"/>
      <c r="Q490" s="4"/>
      <c r="R490"/>
      <c r="V490"/>
      <c r="AA490" s="4"/>
      <c r="AB490" s="4"/>
      <c r="AC490"/>
      <c r="AF490" t="s">
        <v>1438</v>
      </c>
    </row>
    <row r="491" spans="6:32">
      <c r="F491" s="4"/>
      <c r="O491" s="4"/>
      <c r="P491"/>
      <c r="Q491" s="4"/>
      <c r="R491"/>
      <c r="V491"/>
      <c r="AA491" s="4"/>
      <c r="AB491" s="4"/>
      <c r="AC491"/>
      <c r="AF491" t="s">
        <v>1439</v>
      </c>
    </row>
    <row r="492" spans="6:32">
      <c r="F492" s="4"/>
      <c r="O492" s="4"/>
      <c r="P492"/>
      <c r="Q492" s="4"/>
      <c r="R492"/>
      <c r="V492"/>
      <c r="AA492" s="4"/>
      <c r="AB492" s="4"/>
      <c r="AC492"/>
      <c r="AF492" t="s">
        <v>1440</v>
      </c>
    </row>
    <row r="493" spans="6:32">
      <c r="F493" s="4"/>
      <c r="O493" s="4"/>
      <c r="P493"/>
      <c r="Q493" s="4"/>
      <c r="R493"/>
      <c r="V493"/>
      <c r="AA493" s="4"/>
      <c r="AB493" s="4"/>
      <c r="AC493"/>
      <c r="AF493" t="s">
        <v>1441</v>
      </c>
    </row>
    <row r="494" spans="6:32">
      <c r="F494" s="4"/>
      <c r="O494" s="4"/>
      <c r="P494"/>
      <c r="Q494" s="4"/>
      <c r="R494"/>
      <c r="V494"/>
      <c r="AA494" s="4"/>
      <c r="AB494" s="4"/>
      <c r="AC494"/>
      <c r="AF494" t="s">
        <v>1442</v>
      </c>
    </row>
    <row r="495" spans="6:32">
      <c r="F495" s="4"/>
      <c r="O495" s="4"/>
      <c r="P495"/>
      <c r="Q495" s="4"/>
      <c r="R495"/>
      <c r="V495"/>
      <c r="AA495" s="4"/>
      <c r="AB495" s="4"/>
      <c r="AC495"/>
      <c r="AF495" t="s">
        <v>1443</v>
      </c>
    </row>
    <row r="496" spans="6:32">
      <c r="F496" s="4"/>
      <c r="O496" s="4"/>
      <c r="P496"/>
      <c r="Q496" s="4"/>
      <c r="R496"/>
      <c r="V496"/>
      <c r="AA496" s="4"/>
      <c r="AB496" s="4"/>
      <c r="AC496"/>
      <c r="AF496" t="s">
        <v>1444</v>
      </c>
    </row>
    <row r="497" spans="6:32">
      <c r="F497" s="4"/>
      <c r="O497" s="4"/>
      <c r="P497"/>
      <c r="Q497" s="4"/>
      <c r="R497"/>
      <c r="V497"/>
      <c r="AA497" s="4"/>
      <c r="AB497" s="4"/>
      <c r="AC497"/>
      <c r="AF497" t="s">
        <v>1445</v>
      </c>
    </row>
    <row r="498" spans="6:32">
      <c r="F498" s="4"/>
      <c r="O498" s="4"/>
      <c r="P498"/>
      <c r="Q498" s="4"/>
      <c r="R498"/>
      <c r="V498"/>
      <c r="AA498" s="4"/>
      <c r="AB498" s="4"/>
      <c r="AC498"/>
      <c r="AF498" t="s">
        <v>1446</v>
      </c>
    </row>
    <row r="499" spans="6:32">
      <c r="F499" s="4"/>
      <c r="O499" s="4"/>
      <c r="P499"/>
      <c r="Q499" s="4"/>
      <c r="R499"/>
      <c r="V499"/>
      <c r="AA499" s="4"/>
      <c r="AB499" s="4"/>
      <c r="AC499"/>
      <c r="AF499" t="s">
        <v>1447</v>
      </c>
    </row>
    <row r="500" spans="6:32">
      <c r="F500" s="4"/>
      <c r="O500" s="4"/>
      <c r="P500"/>
      <c r="Q500" s="4"/>
      <c r="R500"/>
      <c r="V500"/>
      <c r="AA500" s="4"/>
      <c r="AB500" s="4"/>
      <c r="AC500"/>
      <c r="AF500" t="s">
        <v>1448</v>
      </c>
    </row>
    <row r="501" spans="6:32">
      <c r="F501" s="4"/>
      <c r="O501" s="4"/>
      <c r="P501"/>
      <c r="Q501" s="4"/>
      <c r="R501"/>
      <c r="V501"/>
      <c r="AA501" s="4"/>
      <c r="AB501" s="4"/>
      <c r="AC501"/>
      <c r="AF501" t="s">
        <v>1449</v>
      </c>
    </row>
    <row r="502" spans="6:32">
      <c r="F502" s="4"/>
      <c r="O502" s="4"/>
      <c r="P502"/>
      <c r="Q502" s="4"/>
      <c r="R502"/>
      <c r="V502"/>
      <c r="AA502" s="4"/>
      <c r="AB502" s="4"/>
      <c r="AC502"/>
      <c r="AF502" t="s">
        <v>1450</v>
      </c>
    </row>
    <row r="503" spans="6:32">
      <c r="F503" s="4"/>
      <c r="O503" s="4"/>
      <c r="P503"/>
      <c r="Q503" s="4"/>
      <c r="R503"/>
      <c r="V503"/>
      <c r="AA503" s="4"/>
      <c r="AB503" s="4"/>
      <c r="AC503"/>
      <c r="AF503" t="s">
        <v>1451</v>
      </c>
    </row>
    <row r="504" spans="6:32">
      <c r="F504" s="4"/>
      <c r="O504" s="4"/>
      <c r="P504"/>
      <c r="Q504" s="4"/>
      <c r="R504"/>
      <c r="V504"/>
      <c r="AA504" s="4"/>
      <c r="AB504" s="4"/>
      <c r="AC504"/>
      <c r="AF504" t="s">
        <v>1452</v>
      </c>
    </row>
    <row r="505" spans="6:32">
      <c r="F505" s="4"/>
      <c r="O505" s="4"/>
      <c r="P505"/>
      <c r="Q505" s="4"/>
      <c r="R505"/>
      <c r="V505"/>
      <c r="AA505" s="4"/>
      <c r="AB505" s="4"/>
      <c r="AC505"/>
      <c r="AF505" t="s">
        <v>1453</v>
      </c>
    </row>
    <row r="506" spans="6:32">
      <c r="F506" s="4"/>
      <c r="O506" s="4"/>
      <c r="P506"/>
      <c r="Q506" s="4"/>
      <c r="R506"/>
      <c r="V506"/>
      <c r="AA506" s="4"/>
      <c r="AB506" s="4"/>
      <c r="AC506"/>
      <c r="AF506" t="s">
        <v>1454</v>
      </c>
    </row>
    <row r="507" spans="6:32">
      <c r="F507" s="4"/>
      <c r="O507" s="4"/>
      <c r="P507"/>
      <c r="Q507" s="4"/>
      <c r="R507"/>
      <c r="V507"/>
      <c r="AA507" s="4"/>
      <c r="AB507" s="4"/>
      <c r="AC507"/>
      <c r="AF507" t="s">
        <v>1455</v>
      </c>
    </row>
    <row r="508" spans="6:32">
      <c r="F508" s="4"/>
      <c r="O508" s="4"/>
      <c r="P508"/>
      <c r="Q508" s="4"/>
      <c r="R508"/>
      <c r="V508"/>
      <c r="AA508" s="4"/>
      <c r="AB508" s="4"/>
      <c r="AC508"/>
      <c r="AF508" t="s">
        <v>1456</v>
      </c>
    </row>
    <row r="509" spans="6:32">
      <c r="F509" s="4"/>
      <c r="O509" s="4"/>
      <c r="P509"/>
      <c r="Q509" s="4"/>
      <c r="R509"/>
      <c r="V509"/>
      <c r="AA509" s="4"/>
      <c r="AB509" s="4"/>
      <c r="AC509"/>
      <c r="AF509" t="s">
        <v>1457</v>
      </c>
    </row>
    <row r="510" spans="6:32">
      <c r="F510" s="4"/>
      <c r="O510" s="4"/>
      <c r="P510"/>
      <c r="Q510" s="4"/>
      <c r="R510"/>
      <c r="V510"/>
      <c r="AA510" s="4"/>
      <c r="AB510" s="4"/>
      <c r="AC510"/>
      <c r="AF510" t="s">
        <v>1458</v>
      </c>
    </row>
    <row r="511" spans="6:32">
      <c r="F511" s="4"/>
      <c r="O511" s="4"/>
      <c r="P511"/>
      <c r="Q511" s="4"/>
      <c r="R511"/>
      <c r="V511"/>
      <c r="AA511" s="4"/>
      <c r="AB511" s="4"/>
      <c r="AC511"/>
      <c r="AF511" t="s">
        <v>1459</v>
      </c>
    </row>
    <row r="512" spans="6:32">
      <c r="F512" s="4"/>
      <c r="O512" s="4"/>
      <c r="P512"/>
      <c r="Q512" s="4"/>
      <c r="R512"/>
      <c r="V512"/>
      <c r="AA512" s="4"/>
      <c r="AB512" s="4"/>
      <c r="AC512"/>
      <c r="AF512" t="s">
        <v>1460</v>
      </c>
    </row>
    <row r="513" spans="6:32">
      <c r="F513" s="4"/>
      <c r="O513" s="4"/>
      <c r="P513"/>
      <c r="Q513" s="4"/>
      <c r="R513"/>
      <c r="V513"/>
      <c r="AA513" s="4"/>
      <c r="AB513" s="4"/>
      <c r="AC513"/>
      <c r="AF513" t="s">
        <v>1461</v>
      </c>
    </row>
    <row r="514" spans="6:32">
      <c r="F514" s="4"/>
      <c r="O514" s="4"/>
      <c r="P514"/>
      <c r="Q514" s="4"/>
      <c r="R514"/>
      <c r="V514"/>
      <c r="AA514" s="4"/>
      <c r="AB514" s="4"/>
      <c r="AC514"/>
      <c r="AF514" t="s">
        <v>1462</v>
      </c>
    </row>
    <row r="515" spans="6:32">
      <c r="F515" s="4"/>
      <c r="O515" s="4"/>
      <c r="P515"/>
      <c r="Q515" s="4"/>
      <c r="R515"/>
      <c r="V515"/>
      <c r="AA515" s="4"/>
      <c r="AB515" s="4"/>
      <c r="AC515"/>
      <c r="AF515" t="s">
        <v>1463</v>
      </c>
    </row>
    <row r="516" spans="6:32">
      <c r="F516" s="4"/>
      <c r="O516" s="4"/>
      <c r="P516"/>
      <c r="Q516" s="4"/>
      <c r="R516"/>
      <c r="V516"/>
      <c r="AA516" s="4"/>
      <c r="AB516" s="4"/>
      <c r="AC516"/>
      <c r="AF516" t="s">
        <v>1464</v>
      </c>
    </row>
    <row r="517" spans="6:32">
      <c r="F517" s="4"/>
      <c r="O517" s="4"/>
      <c r="P517"/>
      <c r="Q517" s="4"/>
      <c r="R517"/>
      <c r="V517"/>
      <c r="AA517" s="4"/>
      <c r="AB517" s="4"/>
      <c r="AC517"/>
      <c r="AF517" t="s">
        <v>1465</v>
      </c>
    </row>
    <row r="518" spans="6:32">
      <c r="F518" s="4"/>
      <c r="O518" s="4"/>
      <c r="P518"/>
      <c r="Q518" s="4"/>
      <c r="R518"/>
      <c r="V518"/>
      <c r="AA518" s="4"/>
      <c r="AB518" s="4"/>
      <c r="AC518"/>
      <c r="AF518" t="s">
        <v>1466</v>
      </c>
    </row>
    <row r="519" spans="6:32">
      <c r="F519" s="4"/>
      <c r="O519" s="4"/>
      <c r="P519"/>
      <c r="Q519" s="4"/>
      <c r="R519"/>
      <c r="V519"/>
      <c r="AA519" s="4"/>
      <c r="AB519" s="4"/>
      <c r="AC519"/>
      <c r="AF519" t="s">
        <v>1467</v>
      </c>
    </row>
    <row r="520" spans="6:32">
      <c r="F520" s="4"/>
      <c r="O520" s="4"/>
      <c r="P520"/>
      <c r="Q520" s="4"/>
      <c r="R520"/>
      <c r="V520"/>
      <c r="AA520" s="4"/>
      <c r="AB520" s="4"/>
      <c r="AC520"/>
      <c r="AF520" t="s">
        <v>1468</v>
      </c>
    </row>
    <row r="521" spans="6:32">
      <c r="F521" s="4"/>
      <c r="O521" s="4"/>
      <c r="P521"/>
      <c r="Q521" s="4"/>
      <c r="R521"/>
      <c r="V521"/>
      <c r="AA521" s="4"/>
      <c r="AB521" s="4"/>
      <c r="AC521"/>
      <c r="AF521" t="s">
        <v>1469</v>
      </c>
    </row>
    <row r="522" spans="6:32">
      <c r="F522" s="4"/>
      <c r="O522" s="4"/>
      <c r="P522"/>
      <c r="Q522" s="4"/>
      <c r="R522"/>
      <c r="V522"/>
      <c r="AA522" s="4"/>
      <c r="AB522" s="4"/>
      <c r="AC522"/>
      <c r="AF522" t="s">
        <v>1470</v>
      </c>
    </row>
    <row r="523" spans="6:32">
      <c r="F523" s="4"/>
      <c r="O523" s="4"/>
      <c r="P523"/>
      <c r="Q523" s="4"/>
      <c r="R523"/>
      <c r="V523"/>
      <c r="AA523" s="4"/>
      <c r="AB523" s="4"/>
      <c r="AC523"/>
      <c r="AF523" t="s">
        <v>1471</v>
      </c>
    </row>
    <row r="524" spans="6:32">
      <c r="F524" s="4"/>
      <c r="O524" s="4"/>
      <c r="P524"/>
      <c r="Q524" s="4"/>
      <c r="R524"/>
      <c r="V524"/>
      <c r="AA524" s="4"/>
      <c r="AB524" s="4"/>
      <c r="AC524"/>
      <c r="AF524" t="s">
        <v>1472</v>
      </c>
    </row>
    <row r="525" spans="6:32">
      <c r="F525" s="4"/>
      <c r="O525" s="4"/>
      <c r="P525"/>
      <c r="Q525" s="4"/>
      <c r="R525"/>
      <c r="V525"/>
      <c r="AA525" s="4"/>
      <c r="AB525" s="4"/>
      <c r="AC525"/>
      <c r="AF525" t="s">
        <v>1473</v>
      </c>
    </row>
    <row r="526" spans="6:32">
      <c r="F526" s="4"/>
      <c r="O526" s="4"/>
      <c r="P526"/>
      <c r="Q526" s="4"/>
      <c r="R526"/>
      <c r="V526"/>
      <c r="AA526" s="4"/>
      <c r="AB526" s="4"/>
      <c r="AC526"/>
      <c r="AF526" t="s">
        <v>1474</v>
      </c>
    </row>
    <row r="527" spans="6:32">
      <c r="F527" s="4"/>
      <c r="O527" s="4"/>
      <c r="P527"/>
      <c r="Q527" s="4"/>
      <c r="R527"/>
      <c r="V527"/>
      <c r="AA527" s="4"/>
      <c r="AB527" s="4"/>
      <c r="AC527"/>
      <c r="AF527" t="s">
        <v>1475</v>
      </c>
    </row>
    <row r="528" spans="6:32">
      <c r="F528" s="4"/>
      <c r="O528" s="4"/>
      <c r="P528"/>
      <c r="Q528" s="4"/>
      <c r="R528"/>
      <c r="V528"/>
      <c r="AA528" s="4"/>
      <c r="AB528" s="4"/>
      <c r="AC528"/>
      <c r="AF528" t="s">
        <v>1476</v>
      </c>
    </row>
    <row r="529" spans="6:32">
      <c r="F529" s="4"/>
      <c r="O529" s="4"/>
      <c r="P529"/>
      <c r="Q529" s="4"/>
      <c r="R529"/>
      <c r="V529"/>
      <c r="AA529" s="4"/>
      <c r="AB529" s="4"/>
      <c r="AC529"/>
      <c r="AF529" t="s">
        <v>1477</v>
      </c>
    </row>
    <row r="530" spans="6:32">
      <c r="F530" s="4"/>
      <c r="O530" s="4"/>
      <c r="P530"/>
      <c r="Q530" s="4"/>
      <c r="R530"/>
      <c r="V530"/>
      <c r="AA530" s="4"/>
      <c r="AB530" s="4"/>
      <c r="AC530"/>
      <c r="AF530" t="s">
        <v>1478</v>
      </c>
    </row>
    <row r="531" spans="6:32">
      <c r="F531" s="4"/>
      <c r="O531" s="4"/>
      <c r="P531"/>
      <c r="Q531" s="4"/>
      <c r="R531"/>
      <c r="V531"/>
      <c r="AA531" s="4"/>
      <c r="AB531" s="4"/>
      <c r="AC531"/>
      <c r="AF531" t="s">
        <v>1479</v>
      </c>
    </row>
    <row r="532" spans="6:32">
      <c r="F532" s="4"/>
      <c r="O532" s="4"/>
      <c r="P532"/>
      <c r="Q532" s="4"/>
      <c r="R532"/>
      <c r="V532"/>
      <c r="AA532" s="4"/>
      <c r="AB532" s="4"/>
      <c r="AC532"/>
      <c r="AF532" t="s">
        <v>1480</v>
      </c>
    </row>
    <row r="533" spans="6:32">
      <c r="F533" s="4"/>
      <c r="O533" s="4"/>
      <c r="P533"/>
      <c r="Q533" s="4"/>
      <c r="R533"/>
      <c r="V533"/>
      <c r="AA533" s="4"/>
      <c r="AB533" s="4"/>
      <c r="AC533"/>
      <c r="AF533" t="s">
        <v>1481</v>
      </c>
    </row>
    <row r="534" spans="6:32">
      <c r="F534" s="4"/>
      <c r="O534" s="4"/>
      <c r="P534"/>
      <c r="Q534" s="4"/>
      <c r="R534"/>
      <c r="V534"/>
      <c r="AA534" s="4"/>
      <c r="AB534" s="4"/>
      <c r="AC534"/>
      <c r="AF534" t="s">
        <v>1482</v>
      </c>
    </row>
    <row r="535" spans="6:32">
      <c r="F535" s="4"/>
      <c r="O535" s="4"/>
      <c r="P535"/>
      <c r="Q535" s="4"/>
      <c r="R535"/>
      <c r="V535"/>
      <c r="AA535" s="4"/>
      <c r="AB535" s="4"/>
      <c r="AC535"/>
      <c r="AF535" t="s">
        <v>1483</v>
      </c>
    </row>
    <row r="536" spans="6:32">
      <c r="F536" s="4"/>
      <c r="O536" s="4"/>
      <c r="P536"/>
      <c r="Q536" s="4"/>
      <c r="R536"/>
      <c r="V536"/>
      <c r="AA536" s="4"/>
      <c r="AB536" s="4"/>
      <c r="AC536"/>
      <c r="AF536" t="s">
        <v>1484</v>
      </c>
    </row>
    <row r="537" spans="6:32">
      <c r="F537" s="4"/>
      <c r="O537" s="4"/>
      <c r="P537"/>
      <c r="Q537" s="4"/>
      <c r="R537"/>
      <c r="V537"/>
      <c r="AA537" s="4"/>
      <c r="AB537" s="4"/>
      <c r="AC537"/>
      <c r="AF537" t="s">
        <v>1485</v>
      </c>
    </row>
    <row r="538" spans="6:32">
      <c r="F538" s="4"/>
      <c r="O538" s="4"/>
      <c r="P538"/>
      <c r="Q538" s="4"/>
      <c r="R538"/>
      <c r="V538"/>
      <c r="AA538" s="4"/>
      <c r="AB538" s="4"/>
      <c r="AC538"/>
      <c r="AF538" t="s">
        <v>1486</v>
      </c>
    </row>
    <row r="539" spans="6:32">
      <c r="F539" s="4"/>
      <c r="O539" s="4"/>
      <c r="P539"/>
      <c r="Q539" s="4"/>
      <c r="R539"/>
      <c r="V539"/>
      <c r="AA539" s="4"/>
      <c r="AB539" s="4"/>
      <c r="AC539"/>
      <c r="AF539" t="s">
        <v>1487</v>
      </c>
    </row>
    <row r="540" spans="6:32">
      <c r="F540" s="4"/>
      <c r="O540" s="4"/>
      <c r="P540"/>
      <c r="Q540" s="4"/>
      <c r="R540"/>
      <c r="V540"/>
      <c r="AA540" s="4"/>
      <c r="AB540" s="4"/>
      <c r="AC540"/>
      <c r="AF540" t="s">
        <v>1488</v>
      </c>
    </row>
    <row r="541" spans="6:32">
      <c r="F541" s="4"/>
      <c r="O541" s="4"/>
      <c r="P541"/>
      <c r="Q541" s="4"/>
      <c r="R541"/>
      <c r="V541"/>
      <c r="AA541" s="4"/>
      <c r="AB541" s="4"/>
      <c r="AC541"/>
      <c r="AF541" t="s">
        <v>1489</v>
      </c>
    </row>
    <row r="542" spans="6:32">
      <c r="F542" s="4"/>
      <c r="O542" s="4"/>
      <c r="P542"/>
      <c r="Q542" s="4"/>
      <c r="R542"/>
      <c r="V542"/>
      <c r="AA542" s="4"/>
      <c r="AB542" s="4"/>
      <c r="AC542"/>
      <c r="AF542" t="s">
        <v>1490</v>
      </c>
    </row>
    <row r="543" spans="6:32">
      <c r="F543" s="4"/>
      <c r="O543" s="4"/>
      <c r="P543"/>
      <c r="Q543" s="4"/>
      <c r="R543"/>
      <c r="V543"/>
      <c r="AA543" s="4"/>
      <c r="AB543" s="4"/>
      <c r="AC543"/>
      <c r="AF543" t="s">
        <v>1491</v>
      </c>
    </row>
    <row r="544" spans="6:32">
      <c r="F544" s="4"/>
      <c r="O544" s="4"/>
      <c r="P544"/>
      <c r="Q544" s="4"/>
      <c r="R544"/>
      <c r="V544"/>
      <c r="AA544" s="4"/>
      <c r="AB544" s="4"/>
      <c r="AC544"/>
      <c r="AF544" t="s">
        <v>1492</v>
      </c>
    </row>
    <row r="545" spans="6:32">
      <c r="F545" s="4"/>
      <c r="O545" s="4"/>
      <c r="P545"/>
      <c r="Q545" s="4"/>
      <c r="R545"/>
      <c r="V545"/>
      <c r="AA545" s="4"/>
      <c r="AB545" s="4"/>
      <c r="AC545"/>
      <c r="AF545" t="s">
        <v>1493</v>
      </c>
    </row>
    <row r="546" spans="6:32">
      <c r="F546" s="4"/>
      <c r="O546" s="4"/>
      <c r="P546"/>
      <c r="Q546" s="4"/>
      <c r="R546"/>
      <c r="V546"/>
      <c r="AA546" s="4"/>
      <c r="AB546" s="4"/>
      <c r="AC546"/>
      <c r="AF546" t="s">
        <v>1494</v>
      </c>
    </row>
    <row r="547" spans="6:32">
      <c r="F547" s="4"/>
      <c r="O547" s="4"/>
      <c r="P547"/>
      <c r="Q547" s="4"/>
      <c r="R547"/>
      <c r="V547"/>
      <c r="AA547" s="4"/>
      <c r="AB547" s="4"/>
      <c r="AC547"/>
      <c r="AF547" t="s">
        <v>1495</v>
      </c>
    </row>
    <row r="548" spans="6:32">
      <c r="F548" s="4"/>
      <c r="O548" s="4"/>
      <c r="P548"/>
      <c r="Q548" s="4"/>
      <c r="R548"/>
      <c r="V548"/>
      <c r="AA548" s="4"/>
      <c r="AB548" s="4"/>
      <c r="AC548"/>
      <c r="AF548" t="s">
        <v>127</v>
      </c>
    </row>
    <row r="549" spans="6:32">
      <c r="F549" s="4"/>
      <c r="O549" s="4"/>
      <c r="P549"/>
      <c r="Q549" s="4"/>
      <c r="R549"/>
      <c r="V549"/>
      <c r="AA549" s="4"/>
      <c r="AB549" s="4"/>
      <c r="AC549"/>
      <c r="AF549" t="s">
        <v>1496</v>
      </c>
    </row>
    <row r="550" spans="6:32">
      <c r="F550" s="4"/>
      <c r="O550" s="4"/>
      <c r="P550"/>
      <c r="Q550" s="4"/>
      <c r="R550"/>
      <c r="V550"/>
      <c r="AA550" s="4"/>
      <c r="AB550" s="4"/>
      <c r="AC550"/>
      <c r="AF550" t="s">
        <v>1497</v>
      </c>
    </row>
    <row r="551" spans="6:32">
      <c r="F551" s="4"/>
      <c r="O551" s="4"/>
      <c r="P551"/>
      <c r="Q551" s="4"/>
      <c r="R551"/>
      <c r="V551"/>
      <c r="AA551" s="4"/>
      <c r="AB551" s="4"/>
      <c r="AC551"/>
      <c r="AF551" t="s">
        <v>1498</v>
      </c>
    </row>
    <row r="552" spans="6:32">
      <c r="F552" s="4"/>
      <c r="O552" s="4"/>
      <c r="P552"/>
      <c r="Q552" s="4"/>
      <c r="R552"/>
      <c r="V552"/>
      <c r="AA552" s="4"/>
      <c r="AB552" s="4"/>
      <c r="AC552"/>
      <c r="AF552" t="s">
        <v>1499</v>
      </c>
    </row>
    <row r="553" spans="6:32">
      <c r="F553" s="4"/>
      <c r="O553" s="4"/>
      <c r="P553"/>
      <c r="Q553" s="4"/>
      <c r="R553"/>
      <c r="V553"/>
      <c r="AA553" s="4"/>
      <c r="AB553" s="4"/>
      <c r="AC553"/>
      <c r="AF553" t="s">
        <v>1500</v>
      </c>
    </row>
    <row r="554" spans="6:32">
      <c r="F554" s="4"/>
      <c r="O554" s="4"/>
      <c r="P554"/>
      <c r="Q554" s="4"/>
      <c r="R554"/>
      <c r="V554"/>
      <c r="AA554" s="4"/>
      <c r="AB554" s="4"/>
      <c r="AC554"/>
      <c r="AF554" t="s">
        <v>1501</v>
      </c>
    </row>
    <row r="555" spans="6:32">
      <c r="F555" s="4"/>
      <c r="O555" s="4"/>
      <c r="P555"/>
      <c r="Q555" s="4"/>
      <c r="R555"/>
      <c r="V555"/>
      <c r="AA555" s="4"/>
      <c r="AB555" s="4"/>
      <c r="AC555"/>
      <c r="AF555" t="s">
        <v>1502</v>
      </c>
    </row>
    <row r="556" spans="6:32">
      <c r="F556" s="4"/>
      <c r="O556" s="4"/>
      <c r="P556"/>
      <c r="Q556" s="4"/>
      <c r="R556"/>
      <c r="V556"/>
      <c r="AA556" s="4"/>
      <c r="AB556" s="4"/>
      <c r="AC556"/>
      <c r="AF556" t="s">
        <v>1503</v>
      </c>
    </row>
    <row r="557" spans="6:32">
      <c r="F557" s="4"/>
      <c r="O557" s="4"/>
      <c r="P557"/>
      <c r="Q557" s="4"/>
      <c r="R557"/>
      <c r="V557"/>
      <c r="AA557" s="4"/>
      <c r="AB557" s="4"/>
      <c r="AC557"/>
      <c r="AF557" t="s">
        <v>1504</v>
      </c>
    </row>
    <row r="558" spans="6:32">
      <c r="F558" s="4"/>
      <c r="O558" s="4"/>
      <c r="P558"/>
      <c r="Q558" s="4"/>
      <c r="R558"/>
      <c r="V558"/>
      <c r="AA558" s="4"/>
      <c r="AB558" s="4"/>
      <c r="AC558"/>
      <c r="AF558" t="s">
        <v>1505</v>
      </c>
    </row>
    <row r="559" spans="6:32">
      <c r="F559" s="4"/>
      <c r="O559" s="4"/>
      <c r="P559"/>
      <c r="Q559" s="4"/>
      <c r="R559"/>
      <c r="V559"/>
      <c r="AA559" s="4"/>
      <c r="AB559" s="4"/>
      <c r="AC559"/>
      <c r="AF559" t="s">
        <v>1506</v>
      </c>
    </row>
    <row r="560" spans="6:32">
      <c r="F560" s="4"/>
      <c r="O560" s="4"/>
      <c r="P560"/>
      <c r="Q560" s="4"/>
      <c r="R560"/>
      <c r="V560"/>
      <c r="AA560" s="4"/>
      <c r="AB560" s="4"/>
      <c r="AC560"/>
      <c r="AF560" t="s">
        <v>1507</v>
      </c>
    </row>
    <row r="561" spans="6:32">
      <c r="F561" s="4"/>
      <c r="O561" s="4"/>
      <c r="P561"/>
      <c r="Q561" s="4"/>
      <c r="R561"/>
      <c r="V561"/>
      <c r="AA561" s="4"/>
      <c r="AB561" s="4"/>
      <c r="AC561"/>
      <c r="AF561" t="s">
        <v>1508</v>
      </c>
    </row>
    <row r="562" spans="6:32">
      <c r="F562" s="4"/>
      <c r="O562" s="4"/>
      <c r="P562"/>
      <c r="Q562" s="4"/>
      <c r="R562"/>
      <c r="V562"/>
      <c r="AA562" s="4"/>
      <c r="AB562" s="4"/>
      <c r="AC562"/>
      <c r="AF562" t="s">
        <v>1509</v>
      </c>
    </row>
    <row r="563" spans="6:32">
      <c r="F563" s="4"/>
      <c r="O563" s="4"/>
      <c r="P563"/>
      <c r="Q563" s="4"/>
      <c r="R563"/>
      <c r="V563"/>
      <c r="AA563" s="4"/>
      <c r="AB563" s="4"/>
      <c r="AC563"/>
      <c r="AF563" t="s">
        <v>1510</v>
      </c>
    </row>
    <row r="564" spans="6:32">
      <c r="F564" s="4"/>
      <c r="O564" s="4"/>
      <c r="P564"/>
      <c r="Q564" s="4"/>
      <c r="R564"/>
      <c r="V564"/>
      <c r="AA564" s="4"/>
      <c r="AB564" s="4"/>
      <c r="AC564"/>
      <c r="AF564" t="s">
        <v>1511</v>
      </c>
    </row>
    <row r="565" spans="6:32">
      <c r="F565" s="4"/>
      <c r="O565" s="4"/>
      <c r="P565"/>
      <c r="Q565" s="4"/>
      <c r="R565"/>
      <c r="V565"/>
      <c r="AA565" s="4"/>
      <c r="AB565" s="4"/>
      <c r="AC565"/>
      <c r="AF565" t="s">
        <v>1512</v>
      </c>
    </row>
    <row r="566" spans="6:32">
      <c r="F566" s="4"/>
      <c r="O566" s="4"/>
      <c r="P566"/>
      <c r="Q566" s="4"/>
      <c r="R566"/>
      <c r="V566"/>
      <c r="AA566" s="4"/>
      <c r="AB566" s="4"/>
      <c r="AC566"/>
      <c r="AF566" t="s">
        <v>1513</v>
      </c>
    </row>
    <row r="567" spans="6:32">
      <c r="F567" s="4"/>
      <c r="O567" s="4"/>
      <c r="P567"/>
      <c r="Q567" s="4"/>
      <c r="R567"/>
      <c r="V567"/>
      <c r="AA567" s="4"/>
      <c r="AB567" s="4"/>
      <c r="AC567"/>
      <c r="AF567" t="s">
        <v>1514</v>
      </c>
    </row>
    <row r="568" spans="6:32">
      <c r="F568" s="4"/>
      <c r="O568" s="4"/>
      <c r="P568"/>
      <c r="Q568" s="4"/>
      <c r="R568"/>
      <c r="V568"/>
      <c r="AA568" s="4"/>
      <c r="AB568" s="4"/>
      <c r="AC568"/>
      <c r="AF568" t="s">
        <v>1515</v>
      </c>
    </row>
    <row r="569" spans="6:32">
      <c r="F569" s="4"/>
      <c r="O569" s="4"/>
      <c r="P569"/>
      <c r="Q569" s="4"/>
      <c r="R569"/>
      <c r="V569"/>
      <c r="AA569" s="4"/>
      <c r="AB569" s="4"/>
      <c r="AC569"/>
      <c r="AF569" t="s">
        <v>1516</v>
      </c>
    </row>
    <row r="570" spans="6:32">
      <c r="F570" s="4"/>
      <c r="O570" s="4"/>
      <c r="P570"/>
      <c r="Q570" s="4"/>
      <c r="R570"/>
      <c r="V570"/>
      <c r="AA570" s="4"/>
      <c r="AB570" s="4"/>
      <c r="AC570"/>
      <c r="AF570" t="s">
        <v>1517</v>
      </c>
    </row>
    <row r="571" spans="6:32">
      <c r="F571" s="4"/>
      <c r="O571" s="4"/>
      <c r="P571"/>
      <c r="Q571" s="4"/>
      <c r="R571"/>
      <c r="V571"/>
      <c r="AA571" s="4"/>
      <c r="AB571" s="4"/>
      <c r="AC571"/>
      <c r="AF571" t="s">
        <v>1518</v>
      </c>
    </row>
    <row r="572" spans="6:32">
      <c r="F572" s="4"/>
      <c r="O572" s="4"/>
      <c r="P572"/>
      <c r="Q572" s="4"/>
      <c r="R572"/>
      <c r="V572"/>
      <c r="AA572" s="4"/>
      <c r="AB572" s="4"/>
      <c r="AC572"/>
      <c r="AF572" t="s">
        <v>1519</v>
      </c>
    </row>
    <row r="573" spans="6:32">
      <c r="F573" s="4"/>
      <c r="O573" s="4"/>
      <c r="P573"/>
      <c r="Q573" s="4"/>
      <c r="R573"/>
      <c r="V573"/>
      <c r="AA573" s="4"/>
      <c r="AB573" s="4"/>
      <c r="AC573"/>
      <c r="AF573" t="s">
        <v>1520</v>
      </c>
    </row>
    <row r="574" spans="6:32">
      <c r="F574" s="4"/>
      <c r="O574" s="4"/>
      <c r="P574"/>
      <c r="Q574" s="4"/>
      <c r="R574"/>
      <c r="V574"/>
      <c r="AA574" s="4"/>
      <c r="AB574" s="4"/>
      <c r="AC574"/>
      <c r="AF574" t="s">
        <v>1521</v>
      </c>
    </row>
    <row r="575" spans="6:32">
      <c r="F575" s="4"/>
      <c r="O575" s="4"/>
      <c r="P575"/>
      <c r="Q575" s="4"/>
      <c r="R575"/>
      <c r="V575"/>
      <c r="AA575" s="4"/>
      <c r="AB575" s="4"/>
      <c r="AC575"/>
      <c r="AF575" t="s">
        <v>1522</v>
      </c>
    </row>
    <row r="576" spans="6:32">
      <c r="F576" s="4"/>
      <c r="O576" s="4"/>
      <c r="P576"/>
      <c r="Q576" s="4"/>
      <c r="R576"/>
      <c r="V576"/>
      <c r="AA576" s="4"/>
      <c r="AB576" s="4"/>
      <c r="AC576"/>
      <c r="AF576" t="s">
        <v>1523</v>
      </c>
    </row>
    <row r="577" spans="6:32">
      <c r="F577" s="4"/>
      <c r="O577" s="4"/>
      <c r="P577"/>
      <c r="Q577" s="4"/>
      <c r="R577"/>
      <c r="V577"/>
      <c r="AA577" s="4"/>
      <c r="AB577" s="4"/>
      <c r="AC577"/>
      <c r="AF577" t="s">
        <v>1524</v>
      </c>
    </row>
    <row r="578" spans="6:32">
      <c r="F578" s="4"/>
      <c r="O578" s="4"/>
      <c r="P578"/>
      <c r="Q578" s="4"/>
      <c r="R578"/>
      <c r="V578"/>
      <c r="AA578" s="4"/>
      <c r="AB578" s="4"/>
      <c r="AC578"/>
      <c r="AF578" t="s">
        <v>1525</v>
      </c>
    </row>
    <row r="579" spans="6:32">
      <c r="F579" s="4"/>
      <c r="O579" s="4"/>
      <c r="P579"/>
      <c r="Q579" s="4"/>
      <c r="R579"/>
      <c r="V579"/>
      <c r="AA579" s="4"/>
      <c r="AB579" s="4"/>
      <c r="AC579"/>
      <c r="AF579" t="s">
        <v>1526</v>
      </c>
    </row>
    <row r="580" spans="6:32">
      <c r="F580" s="4"/>
      <c r="O580" s="4"/>
      <c r="P580"/>
      <c r="Q580" s="4"/>
      <c r="R580"/>
      <c r="V580"/>
      <c r="AA580" s="4"/>
      <c r="AB580" s="4"/>
      <c r="AC580"/>
      <c r="AF580" t="s">
        <v>1527</v>
      </c>
    </row>
    <row r="581" spans="6:32">
      <c r="F581" s="4"/>
      <c r="O581" s="4"/>
      <c r="P581"/>
      <c r="Q581" s="4"/>
      <c r="R581"/>
      <c r="V581"/>
      <c r="AA581" s="4"/>
      <c r="AB581" s="4"/>
      <c r="AC581"/>
      <c r="AF581" t="s">
        <v>1528</v>
      </c>
    </row>
    <row r="582" spans="6:32">
      <c r="F582" s="4"/>
      <c r="O582" s="4"/>
      <c r="P582"/>
      <c r="Q582" s="4"/>
      <c r="R582"/>
      <c r="V582"/>
      <c r="AA582" s="4"/>
      <c r="AB582" s="4"/>
      <c r="AC582"/>
      <c r="AF582" t="s">
        <v>1529</v>
      </c>
    </row>
    <row r="583" spans="6:32">
      <c r="F583" s="4"/>
      <c r="O583" s="4"/>
      <c r="P583"/>
      <c r="Q583" s="4"/>
      <c r="R583"/>
      <c r="V583"/>
      <c r="AA583" s="4"/>
      <c r="AB583" s="4"/>
      <c r="AC583"/>
      <c r="AF583" t="s">
        <v>1530</v>
      </c>
    </row>
    <row r="584" spans="6:32">
      <c r="F584" s="4"/>
      <c r="O584" s="4"/>
      <c r="P584"/>
      <c r="Q584" s="4"/>
      <c r="R584"/>
      <c r="V584"/>
      <c r="AA584" s="4"/>
      <c r="AB584" s="4"/>
      <c r="AC584"/>
      <c r="AF584" t="s">
        <v>1531</v>
      </c>
    </row>
    <row r="585" spans="6:32">
      <c r="F585" s="4"/>
      <c r="O585" s="4"/>
      <c r="P585"/>
      <c r="Q585" s="4"/>
      <c r="R585"/>
      <c r="V585"/>
      <c r="AA585" s="4"/>
      <c r="AB585" s="4"/>
      <c r="AC585"/>
      <c r="AF585" t="s">
        <v>1532</v>
      </c>
    </row>
    <row r="586" spans="6:32">
      <c r="F586" s="4"/>
      <c r="O586" s="4"/>
      <c r="P586"/>
      <c r="Q586" s="4"/>
      <c r="R586"/>
      <c r="V586"/>
      <c r="AA586" s="4"/>
      <c r="AB586" s="4"/>
      <c r="AC586"/>
      <c r="AF586" t="s">
        <v>1533</v>
      </c>
    </row>
    <row r="587" spans="6:32">
      <c r="F587" s="4"/>
      <c r="O587" s="4"/>
      <c r="P587"/>
      <c r="Q587" s="4"/>
      <c r="R587"/>
      <c r="V587"/>
      <c r="AA587" s="4"/>
      <c r="AB587" s="4"/>
      <c r="AC587"/>
      <c r="AF587" t="s">
        <v>1534</v>
      </c>
    </row>
    <row r="588" spans="6:32">
      <c r="F588" s="4"/>
      <c r="O588" s="4"/>
      <c r="P588"/>
      <c r="Q588" s="4"/>
      <c r="R588"/>
      <c r="V588"/>
      <c r="AA588" s="4"/>
      <c r="AB588" s="4"/>
      <c r="AC588"/>
      <c r="AF588" t="s">
        <v>1535</v>
      </c>
    </row>
    <row r="589" spans="6:32">
      <c r="F589" s="4"/>
      <c r="O589" s="4"/>
      <c r="P589"/>
      <c r="Q589" s="4"/>
      <c r="R589"/>
      <c r="V589"/>
      <c r="AA589" s="4"/>
      <c r="AB589" s="4"/>
      <c r="AC589"/>
      <c r="AF589" t="s">
        <v>1536</v>
      </c>
    </row>
    <row r="590" spans="6:32">
      <c r="F590" s="4"/>
      <c r="O590" s="4"/>
      <c r="P590"/>
      <c r="Q590" s="4"/>
      <c r="R590"/>
      <c r="V590"/>
      <c r="AA590" s="4"/>
      <c r="AB590" s="4"/>
      <c r="AC590"/>
      <c r="AF590" t="s">
        <v>1537</v>
      </c>
    </row>
    <row r="591" spans="6:32">
      <c r="F591" s="4"/>
      <c r="O591" s="4"/>
      <c r="P591"/>
      <c r="Q591" s="4"/>
      <c r="R591"/>
      <c r="V591"/>
      <c r="AA591" s="4"/>
      <c r="AB591" s="4"/>
      <c r="AC591"/>
      <c r="AF591" t="s">
        <v>1538</v>
      </c>
    </row>
    <row r="592" spans="6:32">
      <c r="F592" s="4"/>
      <c r="O592" s="4"/>
      <c r="P592"/>
      <c r="Q592" s="4"/>
      <c r="R592"/>
      <c r="V592"/>
      <c r="AA592" s="4"/>
      <c r="AB592" s="4"/>
      <c r="AC592"/>
      <c r="AF592" t="s">
        <v>1539</v>
      </c>
    </row>
    <row r="593" spans="6:32">
      <c r="F593" s="4"/>
      <c r="O593" s="4"/>
      <c r="P593"/>
      <c r="Q593" s="4"/>
      <c r="R593"/>
      <c r="V593"/>
      <c r="AA593" s="4"/>
      <c r="AB593" s="4"/>
      <c r="AC593"/>
      <c r="AF593" t="s">
        <v>1540</v>
      </c>
    </row>
    <row r="594" spans="6:32">
      <c r="F594" s="4"/>
      <c r="O594" s="4"/>
      <c r="P594"/>
      <c r="Q594" s="4"/>
      <c r="R594"/>
      <c r="V594"/>
      <c r="AA594" s="4"/>
      <c r="AB594" s="4"/>
      <c r="AC594"/>
      <c r="AF594" t="s">
        <v>1541</v>
      </c>
    </row>
    <row r="595" spans="6:32">
      <c r="F595" s="4"/>
      <c r="O595" s="4"/>
      <c r="P595"/>
      <c r="Q595" s="4"/>
      <c r="R595"/>
      <c r="V595"/>
      <c r="AA595" s="4"/>
      <c r="AB595" s="4"/>
      <c r="AC595"/>
      <c r="AF595" t="s">
        <v>1542</v>
      </c>
    </row>
    <row r="596" spans="6:32">
      <c r="F596" s="4"/>
      <c r="O596" s="4"/>
      <c r="P596"/>
      <c r="Q596" s="4"/>
      <c r="R596"/>
      <c r="V596"/>
      <c r="AA596" s="4"/>
      <c r="AB596" s="4"/>
      <c r="AC596"/>
      <c r="AF596" t="s">
        <v>1543</v>
      </c>
    </row>
    <row r="597" spans="6:32">
      <c r="F597" s="4"/>
      <c r="O597" s="4"/>
      <c r="P597"/>
      <c r="Q597" s="4"/>
      <c r="R597"/>
      <c r="V597"/>
      <c r="AA597" s="4"/>
      <c r="AB597" s="4"/>
      <c r="AC597"/>
      <c r="AF597" t="s">
        <v>1544</v>
      </c>
    </row>
    <row r="598" spans="6:32">
      <c r="F598" s="4"/>
      <c r="O598" s="4"/>
      <c r="P598"/>
      <c r="Q598" s="4"/>
      <c r="R598"/>
      <c r="V598"/>
      <c r="AA598" s="4"/>
      <c r="AB598" s="4"/>
      <c r="AC598"/>
      <c r="AF598" t="s">
        <v>1545</v>
      </c>
    </row>
    <row r="599" spans="6:32">
      <c r="F599" s="4"/>
      <c r="O599" s="4"/>
      <c r="P599"/>
      <c r="Q599" s="4"/>
      <c r="R599"/>
      <c r="V599"/>
      <c r="AA599" s="4"/>
      <c r="AB599" s="4"/>
      <c r="AC599"/>
      <c r="AF599" t="s">
        <v>1546</v>
      </c>
    </row>
    <row r="600" spans="6:32">
      <c r="F600" s="4"/>
      <c r="O600" s="4"/>
      <c r="P600"/>
      <c r="Q600" s="4"/>
      <c r="R600"/>
      <c r="V600"/>
      <c r="AA600" s="4"/>
      <c r="AB600" s="4"/>
      <c r="AC600"/>
      <c r="AF600" t="s">
        <v>1547</v>
      </c>
    </row>
    <row r="601" spans="6:32">
      <c r="F601" s="4"/>
      <c r="O601" s="4"/>
      <c r="P601"/>
      <c r="Q601" s="4"/>
      <c r="R601"/>
      <c r="V601"/>
      <c r="AA601" s="4"/>
      <c r="AB601" s="4"/>
      <c r="AC601"/>
      <c r="AF601" t="s">
        <v>1548</v>
      </c>
    </row>
    <row r="602" spans="6:32">
      <c r="F602" s="4"/>
      <c r="O602" s="4"/>
      <c r="P602"/>
      <c r="Q602" s="4"/>
      <c r="R602"/>
      <c r="V602"/>
      <c r="AA602" s="4"/>
      <c r="AB602" s="4"/>
      <c r="AC602"/>
      <c r="AF602" t="s">
        <v>1549</v>
      </c>
    </row>
    <row r="603" spans="6:32">
      <c r="F603" s="4"/>
      <c r="O603" s="4"/>
      <c r="P603"/>
      <c r="Q603" s="4"/>
      <c r="R603"/>
      <c r="V603"/>
      <c r="AA603" s="4"/>
      <c r="AB603" s="4"/>
      <c r="AC603"/>
      <c r="AF603" t="s">
        <v>1550</v>
      </c>
    </row>
    <row r="604" spans="6:32">
      <c r="F604" s="4"/>
      <c r="O604" s="4"/>
      <c r="P604"/>
      <c r="Q604" s="4"/>
      <c r="R604"/>
      <c r="V604"/>
      <c r="AA604" s="4"/>
      <c r="AB604" s="4"/>
      <c r="AC604"/>
      <c r="AF604" t="s">
        <v>1551</v>
      </c>
    </row>
    <row r="605" spans="6:32">
      <c r="F605" s="4"/>
      <c r="O605" s="4"/>
      <c r="P605"/>
      <c r="Q605" s="4"/>
      <c r="R605"/>
      <c r="V605"/>
      <c r="AA605" s="4"/>
      <c r="AB605" s="4"/>
      <c r="AC605"/>
      <c r="AF605" t="s">
        <v>1552</v>
      </c>
    </row>
    <row r="606" spans="6:32">
      <c r="F606" s="4"/>
      <c r="O606" s="4"/>
      <c r="P606"/>
      <c r="Q606" s="4"/>
      <c r="R606"/>
      <c r="V606"/>
      <c r="AA606" s="4"/>
      <c r="AB606" s="4"/>
      <c r="AC606"/>
      <c r="AF606" t="s">
        <v>1553</v>
      </c>
    </row>
    <row r="607" spans="6:32">
      <c r="F607" s="4"/>
      <c r="O607" s="4"/>
      <c r="P607"/>
      <c r="Q607" s="4"/>
      <c r="R607"/>
      <c r="V607"/>
      <c r="AA607" s="4"/>
      <c r="AB607" s="4"/>
      <c r="AC607"/>
      <c r="AF607" t="s">
        <v>1554</v>
      </c>
    </row>
    <row r="608" spans="6:32">
      <c r="F608" s="4"/>
      <c r="O608" s="4"/>
      <c r="P608"/>
      <c r="Q608" s="4"/>
      <c r="R608"/>
      <c r="V608"/>
      <c r="AA608" s="4"/>
      <c r="AB608" s="4"/>
      <c r="AC608"/>
      <c r="AF608" t="s">
        <v>1555</v>
      </c>
    </row>
    <row r="609" spans="6:32">
      <c r="F609" s="4"/>
      <c r="O609" s="4"/>
      <c r="P609"/>
      <c r="Q609" s="4"/>
      <c r="R609"/>
      <c r="V609"/>
      <c r="AA609" s="4"/>
      <c r="AB609" s="4"/>
      <c r="AC609"/>
      <c r="AF609" t="s">
        <v>1556</v>
      </c>
    </row>
    <row r="610" spans="6:32">
      <c r="F610" s="4"/>
      <c r="O610" s="4"/>
      <c r="P610"/>
      <c r="Q610" s="4"/>
      <c r="R610"/>
      <c r="V610"/>
      <c r="AA610" s="4"/>
      <c r="AB610" s="4"/>
      <c r="AC610"/>
      <c r="AF610" t="s">
        <v>1557</v>
      </c>
    </row>
    <row r="611" spans="6:32">
      <c r="F611" s="4"/>
      <c r="O611" s="4"/>
      <c r="P611"/>
      <c r="Q611" s="4"/>
      <c r="R611"/>
      <c r="V611"/>
      <c r="AA611" s="4"/>
      <c r="AB611" s="4"/>
      <c r="AC611"/>
      <c r="AF611" t="s">
        <v>1558</v>
      </c>
    </row>
    <row r="612" spans="6:32">
      <c r="F612" s="4"/>
      <c r="O612" s="4"/>
      <c r="P612"/>
      <c r="Q612" s="4"/>
      <c r="R612"/>
      <c r="V612"/>
      <c r="AA612" s="4"/>
      <c r="AB612" s="4"/>
      <c r="AC612"/>
      <c r="AF612" t="s">
        <v>1559</v>
      </c>
    </row>
    <row r="613" spans="6:32">
      <c r="F613" s="4"/>
      <c r="O613" s="4"/>
      <c r="P613"/>
      <c r="Q613" s="4"/>
      <c r="R613"/>
      <c r="V613"/>
      <c r="AA613" s="4"/>
      <c r="AB613" s="4"/>
      <c r="AC613"/>
      <c r="AF613" t="s">
        <v>1560</v>
      </c>
    </row>
    <row r="614" spans="6:32">
      <c r="F614" s="4"/>
      <c r="O614" s="4"/>
      <c r="P614"/>
      <c r="Q614" s="4"/>
      <c r="R614"/>
      <c r="V614"/>
      <c r="AA614" s="4"/>
      <c r="AB614" s="4"/>
      <c r="AC614"/>
      <c r="AF614" t="s">
        <v>1561</v>
      </c>
    </row>
    <row r="615" spans="6:32">
      <c r="F615" s="4"/>
      <c r="O615" s="4"/>
      <c r="P615"/>
      <c r="Q615" s="4"/>
      <c r="R615"/>
      <c r="V615"/>
      <c r="AA615" s="4"/>
      <c r="AB615" s="4"/>
      <c r="AC615"/>
      <c r="AF615" t="s">
        <v>1562</v>
      </c>
    </row>
    <row r="616" spans="6:32">
      <c r="F616" s="4"/>
      <c r="O616" s="4"/>
      <c r="P616"/>
      <c r="Q616" s="4"/>
      <c r="R616"/>
      <c r="V616"/>
      <c r="AA616" s="4"/>
      <c r="AB616" s="4"/>
      <c r="AC616"/>
      <c r="AF616" t="s">
        <v>1563</v>
      </c>
    </row>
    <row r="617" spans="6:32">
      <c r="F617" s="4"/>
      <c r="O617" s="4"/>
      <c r="P617"/>
      <c r="Q617" s="4"/>
      <c r="R617"/>
      <c r="V617"/>
      <c r="AA617" s="4"/>
      <c r="AB617" s="4"/>
      <c r="AC617"/>
      <c r="AF617" t="s">
        <v>1564</v>
      </c>
    </row>
    <row r="618" spans="6:32">
      <c r="F618" s="4"/>
      <c r="O618" s="4"/>
      <c r="P618"/>
      <c r="Q618" s="4"/>
      <c r="R618"/>
      <c r="V618"/>
      <c r="AA618" s="4"/>
      <c r="AB618" s="4"/>
      <c r="AC618"/>
      <c r="AF618" t="s">
        <v>1565</v>
      </c>
    </row>
    <row r="619" spans="6:32">
      <c r="F619" s="4"/>
      <c r="O619" s="4"/>
      <c r="P619"/>
      <c r="Q619" s="4"/>
      <c r="R619"/>
      <c r="V619"/>
      <c r="AA619" s="4"/>
      <c r="AB619" s="4"/>
      <c r="AC619"/>
      <c r="AF619" t="s">
        <v>1566</v>
      </c>
    </row>
    <row r="620" spans="6:32">
      <c r="F620" s="4"/>
      <c r="O620" s="4"/>
      <c r="P620"/>
      <c r="Q620" s="4"/>
      <c r="R620"/>
      <c r="V620"/>
      <c r="AA620" s="4"/>
      <c r="AB620" s="4"/>
      <c r="AC620"/>
      <c r="AF620" t="s">
        <v>1567</v>
      </c>
    </row>
    <row r="621" spans="6:32">
      <c r="F621" s="4"/>
      <c r="O621" s="4"/>
      <c r="P621"/>
      <c r="Q621" s="4"/>
      <c r="R621"/>
      <c r="V621"/>
      <c r="AA621" s="4"/>
      <c r="AB621" s="4"/>
      <c r="AC621"/>
      <c r="AF621" t="s">
        <v>1568</v>
      </c>
    </row>
    <row r="622" spans="6:32">
      <c r="F622" s="4"/>
      <c r="O622" s="4"/>
      <c r="P622"/>
      <c r="Q622" s="4"/>
      <c r="R622"/>
      <c r="V622"/>
      <c r="AA622" s="4"/>
      <c r="AB622" s="4"/>
      <c r="AC622"/>
      <c r="AF622" t="s">
        <v>1569</v>
      </c>
    </row>
    <row r="623" spans="6:32">
      <c r="F623" s="4"/>
      <c r="O623" s="4"/>
      <c r="P623"/>
      <c r="Q623" s="4"/>
      <c r="R623"/>
      <c r="V623"/>
      <c r="AA623" s="4"/>
      <c r="AB623" s="4"/>
      <c r="AC623"/>
      <c r="AF623" t="s">
        <v>1570</v>
      </c>
    </row>
    <row r="624" spans="6:32">
      <c r="F624" s="4"/>
      <c r="O624" s="4"/>
      <c r="P624"/>
      <c r="Q624" s="4"/>
      <c r="R624"/>
      <c r="V624"/>
      <c r="AA624" s="4"/>
      <c r="AB624" s="4"/>
      <c r="AC624"/>
      <c r="AF624" t="s">
        <v>1571</v>
      </c>
    </row>
    <row r="625" spans="6:32">
      <c r="F625" s="4"/>
      <c r="O625" s="4"/>
      <c r="P625"/>
      <c r="Q625" s="4"/>
      <c r="R625"/>
      <c r="V625"/>
      <c r="AA625" s="4"/>
      <c r="AB625" s="4"/>
      <c r="AC625"/>
      <c r="AF625" t="s">
        <v>1572</v>
      </c>
    </row>
    <row r="626" spans="6:32">
      <c r="F626" s="4"/>
      <c r="O626" s="4"/>
      <c r="P626"/>
      <c r="Q626" s="4"/>
      <c r="R626"/>
      <c r="V626"/>
      <c r="AA626" s="4"/>
      <c r="AB626" s="4"/>
      <c r="AC626"/>
      <c r="AF626" t="s">
        <v>1573</v>
      </c>
    </row>
    <row r="627" spans="6:32">
      <c r="F627" s="4"/>
      <c r="O627" s="4"/>
      <c r="P627"/>
      <c r="Q627" s="4"/>
      <c r="R627"/>
      <c r="V627"/>
      <c r="AA627" s="4"/>
      <c r="AB627" s="4"/>
      <c r="AC627"/>
      <c r="AF627" t="s">
        <v>1574</v>
      </c>
    </row>
    <row r="628" spans="6:32">
      <c r="F628" s="4"/>
      <c r="O628" s="4"/>
      <c r="P628"/>
      <c r="Q628" s="4"/>
      <c r="R628"/>
      <c r="V628"/>
      <c r="AA628" s="4"/>
      <c r="AB628" s="4"/>
      <c r="AC628"/>
      <c r="AF628" t="s">
        <v>1575</v>
      </c>
    </row>
    <row r="629" spans="6:32">
      <c r="F629" s="4"/>
      <c r="O629" s="4"/>
      <c r="P629"/>
      <c r="Q629" s="4"/>
      <c r="R629"/>
      <c r="V629"/>
      <c r="AA629" s="4"/>
      <c r="AB629" s="4"/>
      <c r="AC629"/>
      <c r="AF629" t="s">
        <v>1576</v>
      </c>
    </row>
    <row r="630" spans="6:32">
      <c r="F630" s="4"/>
      <c r="O630" s="4"/>
      <c r="P630"/>
      <c r="Q630" s="4"/>
      <c r="R630"/>
      <c r="V630"/>
      <c r="AA630" s="4"/>
      <c r="AB630" s="4"/>
      <c r="AC630"/>
      <c r="AF630" t="s">
        <v>1577</v>
      </c>
    </row>
    <row r="631" spans="6:32">
      <c r="F631" s="4"/>
      <c r="O631" s="4"/>
      <c r="P631"/>
      <c r="Q631" s="4"/>
      <c r="R631"/>
      <c r="V631"/>
      <c r="AA631" s="4"/>
      <c r="AB631" s="4"/>
      <c r="AC631"/>
      <c r="AF631" t="s">
        <v>1578</v>
      </c>
    </row>
    <row r="632" spans="6:32">
      <c r="F632" s="4"/>
      <c r="O632" s="4"/>
      <c r="P632"/>
      <c r="Q632" s="4"/>
      <c r="R632"/>
      <c r="V632"/>
      <c r="AA632" s="4"/>
      <c r="AB632" s="4"/>
      <c r="AC632"/>
      <c r="AF632" t="s">
        <v>1579</v>
      </c>
    </row>
    <row r="633" spans="6:32">
      <c r="F633" s="4"/>
      <c r="O633" s="4"/>
      <c r="P633"/>
      <c r="Q633" s="4"/>
      <c r="R633"/>
      <c r="V633"/>
      <c r="AA633" s="4"/>
      <c r="AB633" s="4"/>
      <c r="AC633"/>
      <c r="AF633" t="s">
        <v>1580</v>
      </c>
    </row>
    <row r="634" spans="6:32">
      <c r="F634" s="4"/>
      <c r="O634" s="4"/>
      <c r="P634"/>
      <c r="Q634" s="4"/>
      <c r="R634"/>
      <c r="V634"/>
      <c r="AA634" s="4"/>
      <c r="AB634" s="4"/>
      <c r="AC634"/>
      <c r="AF634" t="s">
        <v>1581</v>
      </c>
    </row>
    <row r="635" spans="6:32">
      <c r="F635" s="4"/>
      <c r="O635" s="4"/>
      <c r="P635"/>
      <c r="Q635" s="4"/>
      <c r="R635"/>
      <c r="V635"/>
      <c r="AA635" s="4"/>
      <c r="AB635" s="4"/>
      <c r="AC635"/>
      <c r="AF635" t="s">
        <v>1582</v>
      </c>
    </row>
    <row r="636" spans="6:32">
      <c r="F636" s="4"/>
      <c r="O636" s="4"/>
      <c r="P636"/>
      <c r="Q636" s="4"/>
      <c r="R636"/>
      <c r="V636"/>
      <c r="AA636" s="4"/>
      <c r="AB636" s="4"/>
      <c r="AC636"/>
      <c r="AF636" t="s">
        <v>1583</v>
      </c>
    </row>
    <row r="637" spans="6:32">
      <c r="F637" s="4"/>
      <c r="O637" s="4"/>
      <c r="P637"/>
      <c r="Q637" s="4"/>
      <c r="R637"/>
      <c r="V637"/>
      <c r="AA637" s="4"/>
      <c r="AB637" s="4"/>
      <c r="AC637"/>
      <c r="AF637" t="s">
        <v>1584</v>
      </c>
    </row>
    <row r="638" spans="6:32">
      <c r="F638" s="4"/>
      <c r="O638" s="4"/>
      <c r="P638"/>
      <c r="Q638" s="4"/>
      <c r="R638"/>
      <c r="V638"/>
      <c r="AA638" s="4"/>
      <c r="AB638" s="4"/>
      <c r="AC638"/>
      <c r="AF638" t="s">
        <v>1585</v>
      </c>
    </row>
    <row r="639" spans="6:32">
      <c r="F639" s="4"/>
      <c r="O639" s="4"/>
      <c r="P639"/>
      <c r="Q639" s="4"/>
      <c r="R639"/>
      <c r="V639"/>
      <c r="AA639" s="4"/>
      <c r="AB639" s="4"/>
      <c r="AC639"/>
      <c r="AF639" t="s">
        <v>1586</v>
      </c>
    </row>
    <row r="640" spans="6:32">
      <c r="F640" s="4"/>
      <c r="O640" s="4"/>
      <c r="P640"/>
      <c r="Q640" s="4"/>
      <c r="R640"/>
      <c r="V640"/>
      <c r="AA640" s="4"/>
      <c r="AB640" s="4"/>
      <c r="AC640"/>
      <c r="AF640" t="s">
        <v>1587</v>
      </c>
    </row>
    <row r="641" spans="6:32">
      <c r="F641" s="4"/>
      <c r="O641" s="4"/>
      <c r="P641"/>
      <c r="Q641" s="4"/>
      <c r="R641"/>
      <c r="V641"/>
      <c r="AA641" s="4"/>
      <c r="AB641" s="4"/>
      <c r="AC641"/>
      <c r="AF641" t="s">
        <v>1588</v>
      </c>
    </row>
    <row r="642" spans="6:32">
      <c r="F642" s="4"/>
      <c r="O642" s="4"/>
      <c r="P642"/>
      <c r="Q642" s="4"/>
      <c r="R642"/>
      <c r="V642"/>
      <c r="AA642" s="4"/>
      <c r="AB642" s="4"/>
      <c r="AC642"/>
      <c r="AF642" t="s">
        <v>1589</v>
      </c>
    </row>
    <row r="643" spans="6:32">
      <c r="F643" s="4"/>
      <c r="O643" s="4"/>
      <c r="P643"/>
      <c r="Q643" s="4"/>
      <c r="R643"/>
      <c r="V643"/>
      <c r="AA643" s="4"/>
      <c r="AB643" s="4"/>
      <c r="AC643"/>
      <c r="AF643" t="s">
        <v>1590</v>
      </c>
    </row>
    <row r="644" spans="6:32">
      <c r="F644" s="4"/>
      <c r="O644" s="4"/>
      <c r="P644"/>
      <c r="Q644" s="4"/>
      <c r="R644"/>
      <c r="V644"/>
      <c r="AA644" s="4"/>
      <c r="AB644" s="4"/>
      <c r="AC644"/>
      <c r="AF644" t="s">
        <v>1591</v>
      </c>
    </row>
    <row r="645" spans="6:32">
      <c r="F645" s="4"/>
      <c r="O645" s="4"/>
      <c r="P645"/>
      <c r="Q645" s="4"/>
      <c r="R645"/>
      <c r="V645"/>
      <c r="AA645" s="4"/>
      <c r="AB645" s="4"/>
      <c r="AC645"/>
      <c r="AF645" t="s">
        <v>1592</v>
      </c>
    </row>
    <row r="646" spans="6:32">
      <c r="F646" s="4"/>
      <c r="O646" s="4"/>
      <c r="P646"/>
      <c r="Q646" s="4"/>
      <c r="R646"/>
      <c r="V646"/>
      <c r="AA646" s="4"/>
      <c r="AB646" s="4"/>
      <c r="AC646"/>
      <c r="AF646" t="s">
        <v>1593</v>
      </c>
    </row>
    <row r="647" spans="6:32">
      <c r="F647" s="4"/>
      <c r="O647" s="4"/>
      <c r="P647"/>
      <c r="Q647" s="4"/>
      <c r="R647"/>
      <c r="V647"/>
      <c r="AA647" s="4"/>
      <c r="AB647" s="4"/>
      <c r="AC647"/>
      <c r="AF647" t="s">
        <v>1594</v>
      </c>
    </row>
    <row r="648" spans="6:32">
      <c r="F648" s="4"/>
      <c r="O648" s="4"/>
      <c r="P648"/>
      <c r="Q648" s="4"/>
      <c r="R648"/>
      <c r="V648"/>
      <c r="AA648" s="4"/>
      <c r="AB648" s="4"/>
      <c r="AC648"/>
      <c r="AF648" t="s">
        <v>1595</v>
      </c>
    </row>
    <row r="649" spans="6:32">
      <c r="F649" s="4"/>
      <c r="O649" s="4"/>
      <c r="P649"/>
      <c r="Q649" s="4"/>
      <c r="R649"/>
      <c r="V649"/>
      <c r="AA649" s="4"/>
      <c r="AB649" s="4"/>
      <c r="AC649"/>
      <c r="AF649" t="s">
        <v>1596</v>
      </c>
    </row>
    <row r="650" spans="6:32">
      <c r="F650" s="4"/>
      <c r="O650" s="4"/>
      <c r="P650"/>
      <c r="Q650" s="4"/>
      <c r="R650"/>
      <c r="V650"/>
      <c r="AA650" s="4"/>
      <c r="AB650" s="4"/>
      <c r="AC650"/>
      <c r="AF650" t="s">
        <v>1597</v>
      </c>
    </row>
    <row r="651" spans="6:32">
      <c r="F651" s="4"/>
      <c r="O651" s="4"/>
      <c r="P651"/>
      <c r="Q651" s="4"/>
      <c r="R651"/>
      <c r="V651"/>
      <c r="AA651" s="4"/>
      <c r="AB651" s="4"/>
      <c r="AC651"/>
      <c r="AF651" t="s">
        <v>1598</v>
      </c>
    </row>
    <row r="652" spans="6:32">
      <c r="F652" s="4"/>
      <c r="O652" s="4"/>
      <c r="P652"/>
      <c r="Q652" s="4"/>
      <c r="R652"/>
      <c r="V652"/>
      <c r="AA652" s="4"/>
      <c r="AB652" s="4"/>
      <c r="AC652"/>
      <c r="AF652" t="s">
        <v>1599</v>
      </c>
    </row>
    <row r="653" spans="6:32">
      <c r="F653" s="4"/>
      <c r="O653" s="4"/>
      <c r="P653"/>
      <c r="Q653" s="4"/>
      <c r="R653"/>
      <c r="V653"/>
      <c r="AA653" s="4"/>
      <c r="AB653" s="4"/>
      <c r="AC653"/>
      <c r="AF653" t="s">
        <v>1600</v>
      </c>
    </row>
    <row r="654" spans="6:32">
      <c r="F654" s="4"/>
      <c r="O654" s="4"/>
      <c r="P654"/>
      <c r="Q654" s="4"/>
      <c r="R654"/>
      <c r="V654"/>
      <c r="AA654" s="4"/>
      <c r="AB654" s="4"/>
      <c r="AC654"/>
      <c r="AF654" t="s">
        <v>1601</v>
      </c>
    </row>
    <row r="655" spans="6:32">
      <c r="F655" s="4"/>
      <c r="O655" s="4"/>
      <c r="P655"/>
      <c r="Q655" s="4"/>
      <c r="R655"/>
      <c r="V655"/>
      <c r="AA655" s="4"/>
      <c r="AB655" s="4"/>
      <c r="AC655"/>
      <c r="AF655" t="s">
        <v>1602</v>
      </c>
    </row>
    <row r="656" spans="6:32">
      <c r="F656" s="4"/>
      <c r="O656" s="4"/>
      <c r="P656"/>
      <c r="Q656" s="4"/>
      <c r="R656"/>
      <c r="V656"/>
      <c r="AA656" s="4"/>
      <c r="AB656" s="4"/>
      <c r="AC656"/>
      <c r="AF656" t="s">
        <v>1603</v>
      </c>
    </row>
    <row r="657" spans="6:32">
      <c r="F657" s="4"/>
      <c r="O657" s="4"/>
      <c r="P657"/>
      <c r="Q657" s="4"/>
      <c r="R657"/>
      <c r="V657"/>
      <c r="AA657" s="4"/>
      <c r="AB657" s="4"/>
      <c r="AC657"/>
      <c r="AF657" t="s">
        <v>1604</v>
      </c>
    </row>
    <row r="658" spans="6:32">
      <c r="F658" s="4"/>
      <c r="O658" s="4"/>
      <c r="P658"/>
      <c r="Q658" s="4"/>
      <c r="R658"/>
      <c r="V658"/>
      <c r="AA658" s="4"/>
      <c r="AB658" s="4"/>
      <c r="AC658"/>
      <c r="AF658" t="s">
        <v>1605</v>
      </c>
    </row>
    <row r="659" spans="6:32">
      <c r="F659" s="4"/>
      <c r="O659" s="4"/>
      <c r="P659"/>
      <c r="Q659" s="4"/>
      <c r="R659"/>
      <c r="V659"/>
      <c r="AA659" s="4"/>
      <c r="AB659" s="4"/>
      <c r="AC659"/>
      <c r="AF659" t="s">
        <v>1606</v>
      </c>
    </row>
    <row r="660" spans="6:32">
      <c r="F660" s="4"/>
      <c r="O660" s="4"/>
      <c r="P660"/>
      <c r="Q660" s="4"/>
      <c r="R660"/>
      <c r="V660"/>
      <c r="AA660" s="4"/>
      <c r="AB660" s="4"/>
      <c r="AC660"/>
      <c r="AF660" t="s">
        <v>1607</v>
      </c>
    </row>
    <row r="661" spans="6:32">
      <c r="F661" s="4"/>
      <c r="O661" s="4"/>
      <c r="P661"/>
      <c r="Q661" s="4"/>
      <c r="R661"/>
      <c r="V661"/>
      <c r="AA661" s="4"/>
      <c r="AB661" s="4"/>
      <c r="AC661"/>
      <c r="AF661" t="s">
        <v>1608</v>
      </c>
    </row>
    <row r="662" spans="6:32">
      <c r="F662" s="4"/>
      <c r="O662" s="4"/>
      <c r="P662"/>
      <c r="Q662" s="4"/>
      <c r="R662"/>
      <c r="V662"/>
      <c r="AA662" s="4"/>
      <c r="AB662" s="4"/>
      <c r="AC662"/>
      <c r="AF662" t="s">
        <v>1609</v>
      </c>
    </row>
    <row r="663" spans="6:32">
      <c r="F663" s="4"/>
      <c r="O663" s="4"/>
      <c r="P663"/>
      <c r="Q663" s="4"/>
      <c r="R663"/>
      <c r="V663"/>
      <c r="AA663" s="4"/>
      <c r="AB663" s="4"/>
      <c r="AC663"/>
      <c r="AF663" t="s">
        <v>1610</v>
      </c>
    </row>
    <row r="664" spans="6:32">
      <c r="F664" s="4"/>
      <c r="O664" s="4"/>
      <c r="P664"/>
      <c r="Q664" s="4"/>
      <c r="R664"/>
      <c r="V664"/>
      <c r="AA664" s="4"/>
      <c r="AB664" s="4"/>
      <c r="AC664"/>
      <c r="AF664" t="s">
        <v>1611</v>
      </c>
    </row>
    <row r="665" spans="6:32">
      <c r="F665" s="4"/>
      <c r="O665" s="4"/>
      <c r="P665"/>
      <c r="Q665" s="4"/>
      <c r="R665"/>
      <c r="V665"/>
      <c r="AA665" s="4"/>
      <c r="AB665" s="4"/>
      <c r="AC665"/>
      <c r="AF665" t="s">
        <v>1612</v>
      </c>
    </row>
    <row r="666" spans="6:32">
      <c r="F666" s="4"/>
      <c r="O666" s="4"/>
      <c r="P666"/>
      <c r="Q666" s="4"/>
      <c r="R666"/>
      <c r="V666"/>
      <c r="AA666" s="4"/>
      <c r="AB666" s="4"/>
      <c r="AC666"/>
      <c r="AF666" t="s">
        <v>1613</v>
      </c>
    </row>
    <row r="667" spans="6:32">
      <c r="F667" s="4"/>
      <c r="O667" s="4"/>
      <c r="P667"/>
      <c r="Q667" s="4"/>
      <c r="R667"/>
      <c r="V667"/>
      <c r="AA667" s="4"/>
      <c r="AB667" s="4"/>
      <c r="AC667"/>
      <c r="AF667" t="s">
        <v>1614</v>
      </c>
    </row>
    <row r="668" spans="6:32">
      <c r="F668" s="4"/>
      <c r="O668" s="4"/>
      <c r="P668"/>
      <c r="Q668" s="4"/>
      <c r="R668"/>
      <c r="V668"/>
      <c r="AA668" s="4"/>
      <c r="AB668" s="4"/>
      <c r="AC668"/>
      <c r="AF668" t="s">
        <v>1615</v>
      </c>
    </row>
    <row r="669" spans="6:32">
      <c r="F669" s="4"/>
      <c r="O669" s="4"/>
      <c r="P669"/>
      <c r="Q669" s="4"/>
      <c r="R669"/>
      <c r="V669"/>
      <c r="AA669" s="4"/>
      <c r="AB669" s="4"/>
      <c r="AC669"/>
      <c r="AF669" t="s">
        <v>1616</v>
      </c>
    </row>
    <row r="670" spans="6:32">
      <c r="F670" s="4"/>
      <c r="O670" s="4"/>
      <c r="P670"/>
      <c r="Q670" s="4"/>
      <c r="R670"/>
      <c r="V670"/>
      <c r="AA670" s="4"/>
      <c r="AB670" s="4"/>
      <c r="AC670"/>
      <c r="AF670" t="s">
        <v>1617</v>
      </c>
    </row>
    <row r="671" spans="6:32">
      <c r="F671" s="4"/>
      <c r="O671" s="4"/>
      <c r="P671"/>
      <c r="Q671" s="4"/>
      <c r="R671"/>
      <c r="V671"/>
      <c r="AA671" s="4"/>
      <c r="AB671" s="4"/>
      <c r="AC671"/>
      <c r="AF671" t="s">
        <v>1618</v>
      </c>
    </row>
    <row r="672" spans="6:32">
      <c r="F672" s="4"/>
      <c r="O672" s="4"/>
      <c r="P672"/>
      <c r="Q672" s="4"/>
      <c r="R672"/>
      <c r="V672"/>
      <c r="AA672" s="4"/>
      <c r="AB672" s="4"/>
      <c r="AC672"/>
      <c r="AF672" t="s">
        <v>1619</v>
      </c>
    </row>
    <row r="673" spans="6:32">
      <c r="F673" s="4"/>
      <c r="O673" s="4"/>
      <c r="P673"/>
      <c r="Q673" s="4"/>
      <c r="R673"/>
      <c r="V673"/>
      <c r="AA673" s="4"/>
      <c r="AB673" s="4"/>
      <c r="AC673"/>
      <c r="AF673" t="s">
        <v>1620</v>
      </c>
    </row>
    <row r="674" spans="6:32">
      <c r="F674" s="4"/>
      <c r="O674" s="4"/>
      <c r="P674"/>
      <c r="Q674" s="4"/>
      <c r="R674"/>
      <c r="V674"/>
      <c r="AA674" s="4"/>
      <c r="AB674" s="4"/>
      <c r="AC674"/>
      <c r="AF674" t="s">
        <v>1621</v>
      </c>
    </row>
    <row r="675" spans="6:32">
      <c r="F675" s="4"/>
      <c r="O675" s="4"/>
      <c r="P675"/>
      <c r="Q675" s="4"/>
      <c r="R675"/>
      <c r="V675"/>
      <c r="AA675" s="4"/>
      <c r="AB675" s="4"/>
      <c r="AC675"/>
      <c r="AF675" t="s">
        <v>1622</v>
      </c>
    </row>
    <row r="676" spans="6:32">
      <c r="F676" s="4"/>
      <c r="O676" s="4"/>
      <c r="P676"/>
      <c r="Q676" s="4"/>
      <c r="R676"/>
      <c r="V676"/>
      <c r="AA676" s="4"/>
      <c r="AB676" s="4"/>
      <c r="AC676"/>
      <c r="AF676" t="s">
        <v>1623</v>
      </c>
    </row>
    <row r="677" spans="6:32">
      <c r="F677" s="4"/>
      <c r="O677" s="4"/>
      <c r="P677"/>
      <c r="Q677" s="4"/>
      <c r="R677"/>
      <c r="V677"/>
      <c r="AA677" s="4"/>
      <c r="AB677" s="4"/>
      <c r="AC677"/>
      <c r="AF677" t="s">
        <v>1624</v>
      </c>
    </row>
    <row r="678" spans="6:32">
      <c r="F678" s="4"/>
      <c r="O678" s="4"/>
      <c r="P678"/>
      <c r="Q678" s="4"/>
      <c r="R678"/>
      <c r="V678"/>
      <c r="AA678" s="4"/>
      <c r="AB678" s="4"/>
      <c r="AC678"/>
      <c r="AF678" t="s">
        <v>1625</v>
      </c>
    </row>
    <row r="679" spans="6:32">
      <c r="F679" s="4"/>
      <c r="O679" s="4"/>
      <c r="P679"/>
      <c r="Q679" s="4"/>
      <c r="R679"/>
      <c r="V679"/>
      <c r="AA679" s="4"/>
      <c r="AB679" s="4"/>
      <c r="AC679"/>
      <c r="AF679" t="s">
        <v>1626</v>
      </c>
    </row>
    <row r="680" spans="6:32">
      <c r="F680" s="4"/>
      <c r="O680" s="4"/>
      <c r="P680"/>
      <c r="Q680" s="4"/>
      <c r="R680"/>
      <c r="V680"/>
      <c r="AA680" s="4"/>
      <c r="AB680" s="4"/>
      <c r="AC680"/>
      <c r="AF680" t="s">
        <v>1627</v>
      </c>
    </row>
    <row r="681" spans="6:32">
      <c r="F681" s="4"/>
      <c r="O681" s="4"/>
      <c r="P681"/>
      <c r="Q681" s="4"/>
      <c r="R681"/>
      <c r="V681"/>
      <c r="AA681" s="4"/>
      <c r="AB681" s="4"/>
      <c r="AC681"/>
      <c r="AF681" t="s">
        <v>1628</v>
      </c>
    </row>
    <row r="682" spans="6:32">
      <c r="F682" s="4"/>
      <c r="O682" s="4"/>
      <c r="P682"/>
      <c r="Q682" s="4"/>
      <c r="R682"/>
      <c r="V682"/>
      <c r="AA682" s="4"/>
      <c r="AB682" s="4"/>
      <c r="AC682"/>
      <c r="AF682" t="s">
        <v>1629</v>
      </c>
    </row>
    <row r="683" spans="6:32">
      <c r="F683" s="4"/>
      <c r="O683" s="4"/>
      <c r="P683"/>
      <c r="Q683" s="4"/>
      <c r="R683"/>
      <c r="V683"/>
      <c r="AA683" s="4"/>
      <c r="AB683" s="4"/>
      <c r="AC683"/>
      <c r="AF683" t="s">
        <v>1630</v>
      </c>
    </row>
    <row r="684" spans="6:32">
      <c r="F684" s="4"/>
      <c r="O684" s="4"/>
      <c r="P684"/>
      <c r="Q684" s="4"/>
      <c r="R684"/>
      <c r="V684"/>
      <c r="AA684" s="4"/>
      <c r="AB684" s="4"/>
      <c r="AC684"/>
      <c r="AF684" t="s">
        <v>1631</v>
      </c>
    </row>
    <row r="685" spans="6:32">
      <c r="F685" s="4"/>
      <c r="O685" s="4"/>
      <c r="P685"/>
      <c r="Q685" s="4"/>
      <c r="R685"/>
      <c r="V685"/>
      <c r="AA685" s="4"/>
      <c r="AB685" s="4"/>
      <c r="AC685"/>
      <c r="AF685" t="s">
        <v>1632</v>
      </c>
    </row>
    <row r="686" spans="6:32">
      <c r="F686" s="4"/>
      <c r="O686" s="4"/>
      <c r="P686"/>
      <c r="Q686" s="4"/>
      <c r="R686"/>
      <c r="V686"/>
      <c r="AA686" s="4"/>
      <c r="AB686" s="4"/>
      <c r="AC686"/>
      <c r="AF686" t="s">
        <v>1633</v>
      </c>
    </row>
    <row r="687" spans="6:32">
      <c r="F687" s="4"/>
      <c r="O687" s="4"/>
      <c r="P687"/>
      <c r="Q687" s="4"/>
      <c r="R687"/>
      <c r="V687"/>
      <c r="AA687" s="4"/>
      <c r="AB687" s="4"/>
      <c r="AC687"/>
      <c r="AF687" t="s">
        <v>128</v>
      </c>
    </row>
    <row r="688" spans="6:32">
      <c r="F688" s="4"/>
      <c r="O688" s="4"/>
      <c r="P688"/>
      <c r="Q688" s="4"/>
      <c r="R688"/>
      <c r="V688"/>
      <c r="AA688" s="4"/>
      <c r="AB688" s="4"/>
      <c r="AC688"/>
      <c r="AF688" t="s">
        <v>1634</v>
      </c>
    </row>
    <row r="689" spans="6:32">
      <c r="F689" s="4"/>
      <c r="O689" s="4"/>
      <c r="P689"/>
      <c r="Q689" s="4"/>
      <c r="R689"/>
      <c r="V689"/>
      <c r="AA689" s="4"/>
      <c r="AB689" s="4"/>
      <c r="AC689"/>
      <c r="AF689" t="s">
        <v>1635</v>
      </c>
    </row>
    <row r="690" spans="6:32">
      <c r="F690" s="4"/>
      <c r="O690" s="4"/>
      <c r="P690"/>
      <c r="Q690" s="4"/>
      <c r="R690"/>
      <c r="V690"/>
      <c r="AA690" s="4"/>
      <c r="AB690" s="4"/>
      <c r="AC690"/>
      <c r="AF690" t="s">
        <v>1636</v>
      </c>
    </row>
    <row r="691" spans="6:32">
      <c r="F691" s="4"/>
      <c r="O691" s="4"/>
      <c r="P691"/>
      <c r="Q691" s="4"/>
      <c r="R691"/>
      <c r="V691"/>
      <c r="AA691" s="4"/>
      <c r="AB691" s="4"/>
      <c r="AC691"/>
      <c r="AF691" t="s">
        <v>1637</v>
      </c>
    </row>
    <row r="692" spans="6:32">
      <c r="F692" s="4"/>
      <c r="O692" s="4"/>
      <c r="P692"/>
      <c r="Q692" s="4"/>
      <c r="R692"/>
      <c r="V692"/>
      <c r="AA692" s="4"/>
      <c r="AB692" s="4"/>
      <c r="AC692"/>
      <c r="AF692" t="s">
        <v>1638</v>
      </c>
    </row>
    <row r="693" spans="6:32">
      <c r="F693" s="4"/>
      <c r="O693" s="4"/>
      <c r="P693"/>
      <c r="Q693" s="4"/>
      <c r="R693"/>
      <c r="V693"/>
      <c r="AA693" s="4"/>
      <c r="AB693" s="4"/>
      <c r="AC693"/>
      <c r="AF693" t="s">
        <v>1639</v>
      </c>
    </row>
    <row r="694" spans="6:32">
      <c r="F694" s="4"/>
      <c r="O694" s="4"/>
      <c r="P694"/>
      <c r="Q694" s="4"/>
      <c r="R694"/>
      <c r="V694"/>
      <c r="AA694" s="4"/>
      <c r="AB694" s="4"/>
      <c r="AC694"/>
      <c r="AF694" t="s">
        <v>1640</v>
      </c>
    </row>
    <row r="695" spans="6:32">
      <c r="F695" s="4"/>
      <c r="O695" s="4"/>
      <c r="P695"/>
      <c r="Q695" s="4"/>
      <c r="R695"/>
      <c r="V695"/>
      <c r="AA695" s="4"/>
      <c r="AB695" s="4"/>
      <c r="AC695"/>
      <c r="AF695" t="s">
        <v>1641</v>
      </c>
    </row>
    <row r="696" spans="6:32">
      <c r="F696" s="4"/>
      <c r="O696" s="4"/>
      <c r="P696"/>
      <c r="Q696" s="4"/>
      <c r="R696"/>
      <c r="V696"/>
      <c r="AA696" s="4"/>
      <c r="AB696" s="4"/>
      <c r="AC696"/>
      <c r="AF696" t="s">
        <v>1642</v>
      </c>
    </row>
    <row r="697" spans="6:32">
      <c r="F697" s="4"/>
      <c r="O697" s="4"/>
      <c r="P697"/>
      <c r="Q697" s="4"/>
      <c r="R697"/>
      <c r="V697"/>
      <c r="AA697" s="4"/>
      <c r="AB697" s="4"/>
      <c r="AC697"/>
      <c r="AF697" t="s">
        <v>1643</v>
      </c>
    </row>
    <row r="698" spans="6:32">
      <c r="F698" s="4"/>
      <c r="O698" s="4"/>
      <c r="P698"/>
      <c r="Q698" s="4"/>
      <c r="R698"/>
      <c r="V698"/>
      <c r="AA698" s="4"/>
      <c r="AB698" s="4"/>
      <c r="AC698"/>
      <c r="AF698" t="s">
        <v>1644</v>
      </c>
    </row>
    <row r="699" spans="6:32">
      <c r="F699" s="4"/>
      <c r="O699" s="4"/>
      <c r="P699"/>
      <c r="Q699" s="4"/>
      <c r="R699"/>
      <c r="V699"/>
      <c r="AA699" s="4"/>
      <c r="AB699" s="4"/>
      <c r="AC699"/>
      <c r="AF699" t="s">
        <v>1645</v>
      </c>
    </row>
    <row r="700" spans="6:32">
      <c r="F700" s="4"/>
      <c r="O700" s="4"/>
      <c r="P700"/>
      <c r="Q700" s="4"/>
      <c r="R700"/>
      <c r="V700"/>
      <c r="AA700" s="4"/>
      <c r="AB700" s="4"/>
      <c r="AC700"/>
      <c r="AF700" t="s">
        <v>1646</v>
      </c>
    </row>
    <row r="701" spans="6:32">
      <c r="F701" s="4"/>
      <c r="O701" s="4"/>
      <c r="P701"/>
      <c r="Q701" s="4"/>
      <c r="R701"/>
      <c r="V701"/>
      <c r="AA701" s="4"/>
      <c r="AB701" s="4"/>
      <c r="AC701"/>
      <c r="AF701" t="s">
        <v>1647</v>
      </c>
    </row>
    <row r="702" spans="6:32">
      <c r="F702" s="4"/>
      <c r="O702" s="4"/>
      <c r="P702"/>
      <c r="Q702" s="4"/>
      <c r="R702"/>
      <c r="V702"/>
      <c r="AA702" s="4"/>
      <c r="AB702" s="4"/>
      <c r="AC702"/>
      <c r="AF702" t="s">
        <v>1648</v>
      </c>
    </row>
    <row r="703" spans="6:32">
      <c r="F703" s="4"/>
      <c r="O703" s="4"/>
      <c r="P703"/>
      <c r="Q703" s="4"/>
      <c r="R703"/>
      <c r="V703"/>
      <c r="AA703" s="4"/>
      <c r="AB703" s="4"/>
      <c r="AC703"/>
      <c r="AF703" t="s">
        <v>1649</v>
      </c>
    </row>
    <row r="704" spans="6:32">
      <c r="F704" s="4"/>
      <c r="O704" s="4"/>
      <c r="P704"/>
      <c r="Q704" s="4"/>
      <c r="R704"/>
      <c r="V704"/>
      <c r="AA704" s="4"/>
      <c r="AB704" s="4"/>
      <c r="AC704"/>
      <c r="AF704" t="s">
        <v>1650</v>
      </c>
    </row>
    <row r="705" spans="6:32">
      <c r="F705" s="4"/>
      <c r="O705" s="4"/>
      <c r="P705"/>
      <c r="Q705" s="4"/>
      <c r="R705"/>
      <c r="V705"/>
      <c r="AA705" s="4"/>
      <c r="AB705" s="4"/>
      <c r="AC705"/>
      <c r="AF705" t="s">
        <v>1651</v>
      </c>
    </row>
    <row r="706" spans="6:32">
      <c r="F706" s="4"/>
      <c r="O706" s="4"/>
      <c r="P706"/>
      <c r="Q706" s="4"/>
      <c r="R706"/>
      <c r="V706"/>
      <c r="AA706" s="4"/>
      <c r="AB706" s="4"/>
      <c r="AC706"/>
      <c r="AF706" t="s">
        <v>1652</v>
      </c>
    </row>
    <row r="707" spans="6:32">
      <c r="F707" s="4"/>
      <c r="O707" s="4"/>
      <c r="P707"/>
      <c r="Q707" s="4"/>
      <c r="R707"/>
      <c r="V707"/>
      <c r="AA707" s="4"/>
      <c r="AB707" s="4"/>
      <c r="AC707"/>
      <c r="AF707" t="s">
        <v>1653</v>
      </c>
    </row>
    <row r="708" spans="6:32">
      <c r="F708" s="4"/>
      <c r="O708" s="4"/>
      <c r="P708"/>
      <c r="Q708" s="4"/>
      <c r="R708"/>
      <c r="V708"/>
      <c r="AA708" s="4"/>
      <c r="AB708" s="4"/>
      <c r="AC708"/>
      <c r="AF708" t="s">
        <v>1654</v>
      </c>
    </row>
    <row r="709" spans="6:32">
      <c r="F709" s="4"/>
      <c r="O709" s="4"/>
      <c r="P709"/>
      <c r="Q709" s="4"/>
      <c r="R709"/>
      <c r="V709"/>
      <c r="AA709" s="4"/>
      <c r="AB709" s="4"/>
      <c r="AC709"/>
      <c r="AF709" t="s">
        <v>1655</v>
      </c>
    </row>
    <row r="710" spans="6:32">
      <c r="F710" s="4"/>
      <c r="O710" s="4"/>
      <c r="P710"/>
      <c r="Q710" s="4"/>
      <c r="R710"/>
      <c r="V710"/>
      <c r="AA710" s="4"/>
      <c r="AB710" s="4"/>
      <c r="AC710"/>
      <c r="AF710" t="s">
        <v>1656</v>
      </c>
    </row>
    <row r="711" spans="6:32">
      <c r="F711" s="4"/>
      <c r="O711" s="4"/>
      <c r="P711"/>
      <c r="Q711" s="4"/>
      <c r="R711"/>
      <c r="V711"/>
      <c r="AA711" s="4"/>
      <c r="AB711" s="4"/>
      <c r="AC711"/>
      <c r="AF711" t="s">
        <v>1657</v>
      </c>
    </row>
    <row r="712" spans="6:32">
      <c r="F712" s="4"/>
      <c r="O712" s="4"/>
      <c r="P712"/>
      <c r="Q712" s="4"/>
      <c r="R712"/>
      <c r="V712"/>
      <c r="AA712" s="4"/>
      <c r="AB712" s="4"/>
      <c r="AC712"/>
      <c r="AF712" t="s">
        <v>1658</v>
      </c>
    </row>
    <row r="713" spans="6:32">
      <c r="F713" s="4"/>
      <c r="O713" s="4"/>
      <c r="P713"/>
      <c r="Q713" s="4"/>
      <c r="R713"/>
      <c r="V713"/>
      <c r="AA713" s="4"/>
      <c r="AB713" s="4"/>
      <c r="AC713"/>
      <c r="AF713" t="s">
        <v>1659</v>
      </c>
    </row>
    <row r="714" spans="6:32">
      <c r="F714" s="4"/>
      <c r="O714" s="4"/>
      <c r="P714"/>
      <c r="Q714" s="4"/>
      <c r="R714"/>
      <c r="V714"/>
      <c r="AA714" s="4"/>
      <c r="AB714" s="4"/>
      <c r="AC714"/>
      <c r="AF714" t="s">
        <v>1660</v>
      </c>
    </row>
    <row r="715" spans="6:32">
      <c r="F715" s="4"/>
      <c r="O715" s="4"/>
      <c r="P715"/>
      <c r="Q715" s="4"/>
      <c r="R715"/>
      <c r="V715"/>
      <c r="AA715" s="4"/>
      <c r="AB715" s="4"/>
      <c r="AC715"/>
      <c r="AF715" t="s">
        <v>1661</v>
      </c>
    </row>
    <row r="716" spans="6:32">
      <c r="F716" s="4"/>
      <c r="O716" s="4"/>
      <c r="P716"/>
      <c r="Q716" s="4"/>
      <c r="R716"/>
      <c r="V716"/>
      <c r="AA716" s="4"/>
      <c r="AB716" s="4"/>
      <c r="AC716"/>
      <c r="AF716" t="s">
        <v>1662</v>
      </c>
    </row>
    <row r="717" spans="6:32">
      <c r="F717" s="4"/>
      <c r="O717" s="4"/>
      <c r="P717"/>
      <c r="Q717" s="4"/>
      <c r="R717"/>
      <c r="V717"/>
      <c r="AA717" s="4"/>
      <c r="AB717" s="4"/>
      <c r="AC717"/>
      <c r="AF717" t="s">
        <v>1663</v>
      </c>
    </row>
    <row r="718" spans="6:32">
      <c r="F718" s="4"/>
      <c r="O718" s="4"/>
      <c r="P718"/>
      <c r="Q718" s="4"/>
      <c r="R718"/>
      <c r="V718"/>
      <c r="AA718" s="4"/>
      <c r="AB718" s="4"/>
      <c r="AC718"/>
      <c r="AF718" t="s">
        <v>1664</v>
      </c>
    </row>
    <row r="719" spans="6:32">
      <c r="F719" s="4"/>
      <c r="O719" s="4"/>
      <c r="P719"/>
      <c r="Q719" s="4"/>
      <c r="R719"/>
      <c r="V719"/>
      <c r="AA719" s="4"/>
      <c r="AB719" s="4"/>
      <c r="AC719"/>
      <c r="AF719" t="s">
        <v>1665</v>
      </c>
    </row>
    <row r="720" spans="6:32">
      <c r="F720" s="4"/>
      <c r="O720" s="4"/>
      <c r="P720"/>
      <c r="Q720" s="4"/>
      <c r="R720"/>
      <c r="V720"/>
      <c r="AA720" s="4"/>
      <c r="AB720" s="4"/>
      <c r="AC720"/>
      <c r="AF720" t="s">
        <v>1666</v>
      </c>
    </row>
    <row r="721" spans="6:32">
      <c r="F721" s="4"/>
      <c r="O721" s="4"/>
      <c r="P721"/>
      <c r="Q721" s="4"/>
      <c r="R721"/>
      <c r="V721"/>
      <c r="AA721" s="4"/>
      <c r="AB721" s="4"/>
      <c r="AC721"/>
      <c r="AF721" t="s">
        <v>1667</v>
      </c>
    </row>
    <row r="722" spans="6:32">
      <c r="F722" s="4"/>
      <c r="O722" s="4"/>
      <c r="P722"/>
      <c r="Q722" s="4"/>
      <c r="R722"/>
      <c r="V722"/>
      <c r="AA722" s="4"/>
      <c r="AB722" s="4"/>
      <c r="AC722"/>
      <c r="AF722" t="s">
        <v>1668</v>
      </c>
    </row>
    <row r="723" spans="6:32">
      <c r="F723" s="4"/>
      <c r="O723" s="4"/>
      <c r="P723"/>
      <c r="Q723" s="4"/>
      <c r="R723"/>
      <c r="V723"/>
      <c r="AA723" s="4"/>
      <c r="AB723" s="4"/>
      <c r="AC723"/>
      <c r="AF723" t="s">
        <v>1669</v>
      </c>
    </row>
    <row r="724" spans="6:32">
      <c r="F724" s="4"/>
      <c r="O724" s="4"/>
      <c r="P724"/>
      <c r="Q724" s="4"/>
      <c r="R724"/>
      <c r="V724"/>
      <c r="AA724" s="4"/>
      <c r="AB724" s="4"/>
      <c r="AC724"/>
      <c r="AF724" t="s">
        <v>1670</v>
      </c>
    </row>
    <row r="725" spans="6:32">
      <c r="F725" s="4"/>
      <c r="O725" s="4"/>
      <c r="P725"/>
      <c r="Q725" s="4"/>
      <c r="R725"/>
      <c r="V725"/>
      <c r="AA725" s="4"/>
      <c r="AB725" s="4"/>
      <c r="AC725"/>
      <c r="AF725" t="s">
        <v>1671</v>
      </c>
    </row>
    <row r="726" spans="6:32">
      <c r="F726" s="4"/>
      <c r="O726" s="4"/>
      <c r="P726"/>
      <c r="Q726" s="4"/>
      <c r="R726"/>
      <c r="V726"/>
      <c r="AA726" s="4"/>
      <c r="AB726" s="4"/>
      <c r="AC726"/>
      <c r="AF726" t="s">
        <v>1672</v>
      </c>
    </row>
    <row r="727" spans="6:32">
      <c r="F727" s="4"/>
      <c r="O727" s="4"/>
      <c r="P727"/>
      <c r="Q727" s="4"/>
      <c r="R727"/>
      <c r="V727"/>
      <c r="AA727" s="4"/>
      <c r="AB727" s="4"/>
      <c r="AC727"/>
      <c r="AF727" t="s">
        <v>1673</v>
      </c>
    </row>
    <row r="728" spans="6:32">
      <c r="F728" s="4"/>
      <c r="O728" s="4"/>
      <c r="P728"/>
      <c r="Q728" s="4"/>
      <c r="R728"/>
      <c r="V728"/>
      <c r="AA728" s="4"/>
      <c r="AB728" s="4"/>
      <c r="AC728"/>
      <c r="AF728" t="s">
        <v>1674</v>
      </c>
    </row>
    <row r="729" spans="6:32">
      <c r="F729" s="4"/>
      <c r="O729" s="4"/>
      <c r="P729"/>
      <c r="Q729" s="4"/>
      <c r="R729"/>
      <c r="V729"/>
      <c r="AA729" s="4"/>
      <c r="AB729" s="4"/>
      <c r="AC729"/>
      <c r="AF729" t="s">
        <v>1675</v>
      </c>
    </row>
    <row r="730" spans="6:32">
      <c r="F730" s="4"/>
      <c r="O730" s="4"/>
      <c r="P730"/>
      <c r="Q730" s="4"/>
      <c r="R730"/>
      <c r="V730"/>
      <c r="AA730" s="4"/>
      <c r="AB730" s="4"/>
      <c r="AC730"/>
      <c r="AF730" t="s">
        <v>1676</v>
      </c>
    </row>
    <row r="731" spans="6:32">
      <c r="F731" s="4"/>
      <c r="O731" s="4"/>
      <c r="P731"/>
      <c r="Q731" s="4"/>
      <c r="R731"/>
      <c r="V731"/>
      <c r="AA731" s="4"/>
      <c r="AB731" s="4"/>
      <c r="AC731"/>
      <c r="AF731" t="s">
        <v>1677</v>
      </c>
    </row>
    <row r="732" spans="6:32">
      <c r="F732" s="4"/>
      <c r="O732" s="4"/>
      <c r="P732"/>
      <c r="Q732" s="4"/>
      <c r="R732"/>
      <c r="V732"/>
      <c r="AA732" s="4"/>
      <c r="AB732" s="4"/>
      <c r="AC732"/>
      <c r="AF732" t="s">
        <v>1678</v>
      </c>
    </row>
    <row r="733" spans="6:32">
      <c r="F733" s="4"/>
      <c r="O733" s="4"/>
      <c r="P733"/>
      <c r="Q733" s="4"/>
      <c r="R733"/>
      <c r="V733"/>
      <c r="AA733" s="4"/>
      <c r="AB733" s="4"/>
      <c r="AC733"/>
      <c r="AF733" t="s">
        <v>1679</v>
      </c>
    </row>
    <row r="734" spans="6:32">
      <c r="F734" s="4"/>
      <c r="O734" s="4"/>
      <c r="P734"/>
      <c r="Q734" s="4"/>
      <c r="R734"/>
      <c r="V734"/>
      <c r="AA734" s="4"/>
      <c r="AB734" s="4"/>
      <c r="AC734"/>
      <c r="AF734" t="s">
        <v>1680</v>
      </c>
    </row>
    <row r="735" spans="6:32">
      <c r="F735" s="4"/>
      <c r="O735" s="4"/>
      <c r="P735"/>
      <c r="Q735" s="4"/>
      <c r="R735"/>
      <c r="V735"/>
      <c r="AA735" s="4"/>
      <c r="AB735" s="4"/>
      <c r="AC735"/>
      <c r="AF735" t="s">
        <v>1681</v>
      </c>
    </row>
    <row r="736" spans="6:32">
      <c r="F736" s="4"/>
      <c r="O736" s="4"/>
      <c r="P736"/>
      <c r="Q736" s="4"/>
      <c r="R736"/>
      <c r="V736"/>
      <c r="AA736" s="4"/>
      <c r="AB736" s="4"/>
      <c r="AC736"/>
      <c r="AF736" t="s">
        <v>1682</v>
      </c>
    </row>
    <row r="737" spans="6:32">
      <c r="F737" s="4"/>
      <c r="O737" s="4"/>
      <c r="P737"/>
      <c r="Q737" s="4"/>
      <c r="R737"/>
      <c r="V737"/>
      <c r="AA737" s="4"/>
      <c r="AB737" s="4"/>
      <c r="AC737"/>
      <c r="AF737" t="s">
        <v>129</v>
      </c>
    </row>
    <row r="738" spans="6:32">
      <c r="F738" s="4"/>
      <c r="O738" s="4"/>
      <c r="P738"/>
      <c r="Q738" s="4"/>
      <c r="R738"/>
      <c r="V738"/>
      <c r="AA738" s="4"/>
      <c r="AB738" s="4"/>
      <c r="AC738"/>
      <c r="AF738" t="s">
        <v>1683</v>
      </c>
    </row>
    <row r="739" spans="6:32">
      <c r="F739" s="4"/>
      <c r="O739" s="4"/>
      <c r="P739"/>
      <c r="Q739" s="4"/>
      <c r="R739"/>
      <c r="V739"/>
      <c r="AA739" s="4"/>
      <c r="AB739" s="4"/>
      <c r="AC739"/>
      <c r="AF739" t="s">
        <v>1684</v>
      </c>
    </row>
    <row r="740" spans="6:32">
      <c r="F740" s="4"/>
      <c r="O740" s="4"/>
      <c r="P740"/>
      <c r="Q740" s="4"/>
      <c r="R740"/>
      <c r="V740"/>
      <c r="AA740" s="4"/>
      <c r="AB740" s="4"/>
      <c r="AC740"/>
      <c r="AF740" t="s">
        <v>1685</v>
      </c>
    </row>
    <row r="741" spans="6:32">
      <c r="F741" s="4"/>
      <c r="O741" s="4"/>
      <c r="P741"/>
      <c r="Q741" s="4"/>
      <c r="R741"/>
      <c r="V741"/>
      <c r="AA741" s="4"/>
      <c r="AB741" s="4"/>
      <c r="AC741"/>
      <c r="AF741" t="s">
        <v>1686</v>
      </c>
    </row>
    <row r="742" spans="6:32">
      <c r="F742" s="4"/>
      <c r="O742" s="4"/>
      <c r="P742"/>
      <c r="Q742" s="4"/>
      <c r="R742"/>
      <c r="V742"/>
      <c r="AA742" s="4"/>
      <c r="AB742" s="4"/>
      <c r="AC742"/>
      <c r="AF742" t="s">
        <v>1687</v>
      </c>
    </row>
    <row r="743" spans="6:32">
      <c r="F743" s="4"/>
      <c r="O743" s="4"/>
      <c r="P743"/>
      <c r="Q743" s="4"/>
      <c r="R743"/>
      <c r="V743"/>
      <c r="AA743" s="4"/>
      <c r="AB743" s="4"/>
      <c r="AC743"/>
      <c r="AF743" t="s">
        <v>1688</v>
      </c>
    </row>
    <row r="744" spans="6:32">
      <c r="F744" s="4"/>
      <c r="O744" s="4"/>
      <c r="P744"/>
      <c r="Q744" s="4"/>
      <c r="R744"/>
      <c r="V744"/>
      <c r="AA744" s="4"/>
      <c r="AB744" s="4"/>
      <c r="AC744"/>
      <c r="AF744" t="s">
        <v>1689</v>
      </c>
    </row>
    <row r="745" spans="6:32">
      <c r="F745" s="4"/>
      <c r="O745" s="4"/>
      <c r="P745"/>
      <c r="Q745" s="4"/>
      <c r="R745"/>
      <c r="V745"/>
      <c r="AA745" s="4"/>
      <c r="AB745" s="4"/>
      <c r="AC745"/>
      <c r="AF745" t="s">
        <v>1690</v>
      </c>
    </row>
    <row r="746" spans="6:32">
      <c r="F746" s="4"/>
      <c r="O746" s="4"/>
      <c r="P746"/>
      <c r="Q746" s="4"/>
      <c r="R746"/>
      <c r="V746"/>
      <c r="AA746" s="4"/>
      <c r="AB746" s="4"/>
      <c r="AC746"/>
      <c r="AF746" t="s">
        <v>1691</v>
      </c>
    </row>
    <row r="747" spans="6:32">
      <c r="F747" s="4"/>
      <c r="O747" s="4"/>
      <c r="P747"/>
      <c r="Q747" s="4"/>
      <c r="R747"/>
      <c r="V747"/>
      <c r="AA747" s="4"/>
      <c r="AB747" s="4"/>
      <c r="AC747"/>
      <c r="AF747" t="s">
        <v>1692</v>
      </c>
    </row>
    <row r="748" spans="6:32">
      <c r="F748" s="4"/>
      <c r="O748" s="4"/>
      <c r="P748"/>
      <c r="Q748" s="4"/>
      <c r="R748"/>
      <c r="V748"/>
      <c r="AA748" s="4"/>
      <c r="AB748" s="4"/>
      <c r="AC748"/>
      <c r="AF748" t="s">
        <v>1693</v>
      </c>
    </row>
    <row r="749" spans="6:32">
      <c r="F749" s="4"/>
      <c r="O749" s="4"/>
      <c r="P749"/>
      <c r="Q749" s="4"/>
      <c r="R749"/>
      <c r="V749"/>
      <c r="AA749" s="4"/>
      <c r="AB749" s="4"/>
      <c r="AC749"/>
      <c r="AF749" t="s">
        <v>1694</v>
      </c>
    </row>
    <row r="750" spans="6:32">
      <c r="F750" s="4"/>
      <c r="O750" s="4"/>
      <c r="P750"/>
      <c r="Q750" s="4"/>
      <c r="R750"/>
      <c r="V750"/>
      <c r="AA750" s="4"/>
      <c r="AB750" s="4"/>
      <c r="AC750"/>
      <c r="AF750" t="s">
        <v>1695</v>
      </c>
    </row>
    <row r="751" spans="6:32">
      <c r="F751" s="4"/>
      <c r="O751" s="4"/>
      <c r="P751"/>
      <c r="Q751" s="4"/>
      <c r="R751"/>
      <c r="V751"/>
      <c r="AA751" s="4"/>
      <c r="AB751" s="4"/>
      <c r="AC751"/>
      <c r="AF751" t="s">
        <v>1696</v>
      </c>
    </row>
    <row r="752" spans="6:32">
      <c r="F752" s="4"/>
      <c r="O752" s="4"/>
      <c r="P752"/>
      <c r="Q752" s="4"/>
      <c r="R752"/>
      <c r="V752"/>
      <c r="AA752" s="4"/>
      <c r="AB752" s="4"/>
      <c r="AC752"/>
      <c r="AF752" t="s">
        <v>1697</v>
      </c>
    </row>
    <row r="753" spans="6:32">
      <c r="F753" s="4"/>
      <c r="O753" s="4"/>
      <c r="P753"/>
      <c r="Q753" s="4"/>
      <c r="R753"/>
      <c r="V753"/>
      <c r="AA753" s="4"/>
      <c r="AB753" s="4"/>
      <c r="AC753"/>
      <c r="AF753" t="s">
        <v>1698</v>
      </c>
    </row>
    <row r="754" spans="6:32">
      <c r="F754" s="4"/>
      <c r="O754" s="4"/>
      <c r="P754"/>
      <c r="Q754" s="4"/>
      <c r="R754"/>
      <c r="V754"/>
      <c r="AA754" s="4"/>
      <c r="AB754" s="4"/>
      <c r="AC754"/>
      <c r="AF754" t="s">
        <v>839</v>
      </c>
    </row>
    <row r="755" spans="6:32">
      <c r="F755" s="4"/>
      <c r="O755" s="4"/>
      <c r="P755"/>
      <c r="Q755" s="4"/>
      <c r="R755"/>
      <c r="V755"/>
      <c r="AA755" s="4"/>
      <c r="AB755" s="4"/>
      <c r="AC755"/>
      <c r="AF755" t="s">
        <v>1699</v>
      </c>
    </row>
    <row r="756" spans="6:32">
      <c r="F756" s="4"/>
      <c r="O756" s="4"/>
      <c r="P756"/>
      <c r="Q756" s="4"/>
      <c r="R756"/>
      <c r="V756"/>
      <c r="AA756" s="4"/>
      <c r="AB756" s="4"/>
      <c r="AC756"/>
      <c r="AF756" t="s">
        <v>1700</v>
      </c>
    </row>
    <row r="757" spans="6:32">
      <c r="F757" s="4"/>
      <c r="O757" s="4"/>
      <c r="P757"/>
      <c r="Q757" s="4"/>
      <c r="R757"/>
      <c r="V757"/>
      <c r="AA757" s="4"/>
      <c r="AB757" s="4"/>
      <c r="AC757"/>
      <c r="AF757" t="s">
        <v>1701</v>
      </c>
    </row>
    <row r="758" spans="6:32">
      <c r="F758" s="4"/>
      <c r="O758" s="4"/>
      <c r="P758"/>
      <c r="Q758" s="4"/>
      <c r="R758"/>
      <c r="V758"/>
      <c r="AA758" s="4"/>
      <c r="AB758" s="4"/>
      <c r="AC758"/>
      <c r="AF758" t="s">
        <v>1702</v>
      </c>
    </row>
    <row r="759" spans="6:32">
      <c r="F759" s="4"/>
      <c r="O759" s="4"/>
      <c r="P759"/>
      <c r="Q759" s="4"/>
      <c r="R759"/>
      <c r="V759"/>
      <c r="AA759" s="4"/>
      <c r="AB759" s="4"/>
      <c r="AC759"/>
      <c r="AF759" t="s">
        <v>1703</v>
      </c>
    </row>
    <row r="760" spans="6:32">
      <c r="F760" s="4"/>
      <c r="O760" s="4"/>
      <c r="P760"/>
      <c r="Q760" s="4"/>
      <c r="R760"/>
      <c r="V760"/>
      <c r="AA760" s="4"/>
      <c r="AB760" s="4"/>
      <c r="AC760"/>
      <c r="AF760" t="s">
        <v>1704</v>
      </c>
    </row>
    <row r="761" spans="6:32">
      <c r="F761" s="4"/>
      <c r="O761" s="4"/>
      <c r="P761"/>
      <c r="Q761" s="4"/>
      <c r="R761"/>
      <c r="V761"/>
      <c r="AA761" s="4"/>
      <c r="AB761" s="4"/>
      <c r="AC761"/>
      <c r="AF761" t="s">
        <v>1705</v>
      </c>
    </row>
    <row r="762" spans="6:32">
      <c r="F762" s="4"/>
      <c r="O762" s="4"/>
      <c r="P762"/>
      <c r="Q762" s="4"/>
      <c r="R762"/>
      <c r="V762"/>
      <c r="AA762" s="4"/>
      <c r="AB762" s="4"/>
      <c r="AC762"/>
      <c r="AF762" t="s">
        <v>1706</v>
      </c>
    </row>
    <row r="763" spans="6:32">
      <c r="F763" s="4"/>
      <c r="O763" s="4"/>
      <c r="P763"/>
      <c r="Q763" s="4"/>
      <c r="R763"/>
      <c r="V763"/>
      <c r="AA763" s="4"/>
      <c r="AB763" s="4"/>
      <c r="AC763"/>
      <c r="AF763" t="s">
        <v>1707</v>
      </c>
    </row>
    <row r="764" spans="6:32">
      <c r="F764" s="4"/>
      <c r="O764" s="4"/>
      <c r="P764"/>
      <c r="Q764" s="4"/>
      <c r="R764"/>
      <c r="V764"/>
      <c r="AA764" s="4"/>
      <c r="AB764" s="4"/>
      <c r="AC764"/>
      <c r="AF764" t="s">
        <v>1708</v>
      </c>
    </row>
    <row r="765" spans="6:32">
      <c r="F765" s="4"/>
      <c r="O765" s="4"/>
      <c r="P765"/>
      <c r="Q765" s="4"/>
      <c r="R765"/>
      <c r="V765"/>
      <c r="AA765" s="4"/>
      <c r="AB765" s="4"/>
      <c r="AC765"/>
      <c r="AF765" t="s">
        <v>1709</v>
      </c>
    </row>
    <row r="766" spans="6:32">
      <c r="F766" s="4"/>
      <c r="O766" s="4"/>
      <c r="P766"/>
      <c r="Q766" s="4"/>
      <c r="R766"/>
      <c r="V766"/>
      <c r="AA766" s="4"/>
      <c r="AB766" s="4"/>
      <c r="AC766"/>
      <c r="AF766" t="s">
        <v>1710</v>
      </c>
    </row>
    <row r="767" spans="6:32">
      <c r="AF767" t="s">
        <v>1711</v>
      </c>
    </row>
    <row r="768" spans="6:32">
      <c r="AF768" t="s">
        <v>1712</v>
      </c>
    </row>
    <row r="769" spans="32:32">
      <c r="AF769" t="s">
        <v>1713</v>
      </c>
    </row>
    <row r="770" spans="32:32">
      <c r="AF770" t="s">
        <v>1714</v>
      </c>
    </row>
    <row r="771" spans="32:32">
      <c r="AF771" t="s">
        <v>1715</v>
      </c>
    </row>
    <row r="772" spans="32:32">
      <c r="AF772" t="s">
        <v>1716</v>
      </c>
    </row>
    <row r="773" spans="32:32">
      <c r="AF773" t="s">
        <v>1717</v>
      </c>
    </row>
    <row r="774" spans="32:32">
      <c r="AF774" t="s">
        <v>1718</v>
      </c>
    </row>
    <row r="775" spans="32:32">
      <c r="AF775" t="s">
        <v>1719</v>
      </c>
    </row>
    <row r="776" spans="32:32">
      <c r="AF776" t="s">
        <v>1720</v>
      </c>
    </row>
    <row r="777" spans="32:32">
      <c r="AF777" t="s">
        <v>1721</v>
      </c>
    </row>
    <row r="778" spans="32:32">
      <c r="AF778" t="s">
        <v>1722</v>
      </c>
    </row>
    <row r="779" spans="32:32">
      <c r="AF779" t="s">
        <v>1723</v>
      </c>
    </row>
    <row r="780" spans="32:32">
      <c r="AF780" t="s">
        <v>1724</v>
      </c>
    </row>
    <row r="781" spans="32:32">
      <c r="AF781" t="s">
        <v>1725</v>
      </c>
    </row>
    <row r="782" spans="32:32">
      <c r="AF782" t="s">
        <v>1726</v>
      </c>
    </row>
    <row r="783" spans="32:32">
      <c r="AF783" t="s">
        <v>1727</v>
      </c>
    </row>
    <row r="784" spans="32:32">
      <c r="AF784" t="s">
        <v>1728</v>
      </c>
    </row>
    <row r="785" spans="32:32">
      <c r="AF785" t="s">
        <v>1729</v>
      </c>
    </row>
    <row r="786" spans="32:32">
      <c r="AF786" t="s">
        <v>1730</v>
      </c>
    </row>
    <row r="787" spans="32:32">
      <c r="AF787" t="s">
        <v>1731</v>
      </c>
    </row>
    <row r="788" spans="32:32">
      <c r="AF788" t="s">
        <v>1732</v>
      </c>
    </row>
    <row r="789" spans="32:32">
      <c r="AF789" t="s">
        <v>1733</v>
      </c>
    </row>
    <row r="790" spans="32:32">
      <c r="AF790" t="s">
        <v>1734</v>
      </c>
    </row>
    <row r="791" spans="32:32">
      <c r="AF791" t="s">
        <v>1735</v>
      </c>
    </row>
    <row r="792" spans="32:32">
      <c r="AF792" t="s">
        <v>1736</v>
      </c>
    </row>
    <row r="793" spans="32:32">
      <c r="AF793" t="s">
        <v>1737</v>
      </c>
    </row>
  </sheetData>
  <dataConsolidate/>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
  <sheetViews>
    <sheetView workbookViewId="0">
      <selection activeCell="N40" sqref="N40"/>
    </sheetView>
  </sheetViews>
  <sheetFormatPr baseColWidth="10" defaultColWidth="8.83203125" defaultRowHeight="14" x14ac:dyDescent="0"/>
  <sheetData>
    <row r="1" spans="1:1">
      <c r="A1" s="4" t="s">
        <v>194</v>
      </c>
    </row>
  </sheetData>
  <pageMargins left="0.7" right="0.7" top="0.75" bottom="0.75" header="0.3" footer="0.3"/>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D8"/>
  <sheetViews>
    <sheetView workbookViewId="0">
      <selection activeCell="D27" sqref="D27"/>
    </sheetView>
  </sheetViews>
  <sheetFormatPr baseColWidth="10" defaultColWidth="8.83203125" defaultRowHeight="14" x14ac:dyDescent="0"/>
  <cols>
    <col min="1" max="1" width="13.5" customWidth="1"/>
    <col min="2" max="2" width="11.5" customWidth="1"/>
    <col min="3" max="3" width="66.83203125" customWidth="1"/>
    <col min="4" max="4" width="68.6640625" bestFit="1" customWidth="1"/>
  </cols>
  <sheetData>
    <row r="1" spans="1:4">
      <c r="A1" s="4" t="s">
        <v>194</v>
      </c>
    </row>
    <row r="2" spans="1:4" ht="15" thickBot="1"/>
    <row r="3" spans="1:4" ht="15" thickTop="1">
      <c r="A3" s="245" t="s">
        <v>199</v>
      </c>
      <c r="B3" s="246"/>
      <c r="C3" s="246"/>
      <c r="D3" s="247"/>
    </row>
    <row r="4" spans="1:4" ht="15" thickBot="1">
      <c r="A4" s="86" t="s">
        <v>195</v>
      </c>
      <c r="B4" s="87" t="s">
        <v>196</v>
      </c>
      <c r="C4" s="87" t="s">
        <v>197</v>
      </c>
      <c r="D4" s="88" t="s">
        <v>198</v>
      </c>
    </row>
    <row r="5" spans="1:4" ht="15" thickTop="1">
      <c r="A5" s="95" t="s">
        <v>14</v>
      </c>
      <c r="B5" s="89" t="s">
        <v>14</v>
      </c>
      <c r="C5" s="90" t="s">
        <v>209</v>
      </c>
      <c r="D5" s="96"/>
    </row>
    <row r="6" spans="1:4" ht="42">
      <c r="A6" s="97" t="s">
        <v>200</v>
      </c>
      <c r="B6" s="91" t="s">
        <v>35</v>
      </c>
      <c r="C6" s="92" t="s">
        <v>201</v>
      </c>
      <c r="D6" s="98" t="s">
        <v>202</v>
      </c>
    </row>
    <row r="7" spans="1:4" ht="56">
      <c r="A7" s="97" t="s">
        <v>203</v>
      </c>
      <c r="B7" s="91" t="s">
        <v>36</v>
      </c>
      <c r="C7" s="92" t="s">
        <v>204</v>
      </c>
      <c r="D7" s="98" t="s">
        <v>205</v>
      </c>
    </row>
    <row r="8" spans="1:4" ht="29" thickBot="1">
      <c r="A8" s="99" t="s">
        <v>206</v>
      </c>
      <c r="B8" s="100" t="s">
        <v>37</v>
      </c>
      <c r="C8" s="101" t="s">
        <v>207</v>
      </c>
      <c r="D8" s="102" t="s">
        <v>208</v>
      </c>
    </row>
  </sheetData>
  <mergeCells count="1">
    <mergeCell ref="A3:D3"/>
  </mergeCells>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F20"/>
  <sheetViews>
    <sheetView workbookViewId="0">
      <selection activeCell="G6" sqref="G6"/>
    </sheetView>
  </sheetViews>
  <sheetFormatPr baseColWidth="10" defaultColWidth="8.83203125" defaultRowHeight="14" x14ac:dyDescent="0"/>
  <cols>
    <col min="1" max="1" width="39" customWidth="1"/>
    <col min="2" max="2" width="32.5" customWidth="1"/>
    <col min="3" max="3" width="53.5" style="85" customWidth="1"/>
    <col min="4" max="4" width="48.1640625" customWidth="1"/>
    <col min="5" max="5" width="38.5" bestFit="1" customWidth="1"/>
  </cols>
  <sheetData>
    <row r="1" spans="1:6">
      <c r="A1" t="s">
        <v>194</v>
      </c>
    </row>
    <row r="2" spans="1:6" ht="15" thickBot="1"/>
    <row r="3" spans="1:6" s="5" customFormat="1">
      <c r="A3" s="248" t="s">
        <v>232</v>
      </c>
      <c r="B3" s="249"/>
      <c r="C3" s="249"/>
      <c r="D3" s="249"/>
      <c r="E3" s="250"/>
      <c r="F3"/>
    </row>
    <row r="4" spans="1:6" s="5" customFormat="1" ht="15" thickBot="1">
      <c r="A4" s="69" t="s">
        <v>50</v>
      </c>
      <c r="B4" s="53" t="s">
        <v>51</v>
      </c>
      <c r="C4" s="53" t="s">
        <v>19</v>
      </c>
      <c r="D4" s="60" t="s">
        <v>52</v>
      </c>
      <c r="E4" s="61" t="s">
        <v>53</v>
      </c>
    </row>
    <row r="5" spans="1:6" s="5" customFormat="1" ht="57" thickTop="1">
      <c r="A5" s="110" t="s">
        <v>54</v>
      </c>
      <c r="B5" s="17" t="s">
        <v>213</v>
      </c>
      <c r="C5" s="17" t="s">
        <v>213</v>
      </c>
      <c r="D5" s="40" t="s">
        <v>225</v>
      </c>
      <c r="E5" s="111" t="s">
        <v>214</v>
      </c>
    </row>
    <row r="6" spans="1:6" s="5" customFormat="1" ht="112">
      <c r="A6" s="104" t="s">
        <v>54</v>
      </c>
      <c r="B6" s="9" t="s">
        <v>226</v>
      </c>
      <c r="C6" s="9" t="s">
        <v>227</v>
      </c>
      <c r="D6" s="10" t="s">
        <v>228</v>
      </c>
      <c r="E6" s="105" t="s">
        <v>229</v>
      </c>
    </row>
    <row r="7" spans="1:6" s="5" customFormat="1" ht="57" thickBot="1">
      <c r="A7" s="106" t="s">
        <v>54</v>
      </c>
      <c r="B7" s="107" t="s">
        <v>219</v>
      </c>
      <c r="C7" s="107" t="s">
        <v>230</v>
      </c>
      <c r="D7" s="108" t="s">
        <v>231</v>
      </c>
      <c r="E7" s="109" t="s">
        <v>217</v>
      </c>
    </row>
    <row r="8" spans="1:6">
      <c r="C8"/>
    </row>
    <row r="9" spans="1:6" s="4" customFormat="1"/>
    <row r="10" spans="1:6" s="4" customFormat="1"/>
    <row r="11" spans="1:6" s="4" customFormat="1"/>
    <row r="12" spans="1:6" s="4" customFormat="1"/>
    <row r="13" spans="1:6" s="4" customFormat="1"/>
    <row r="14" spans="1:6">
      <c r="C14"/>
    </row>
    <row r="15" spans="1:6" ht="15" thickBot="1">
      <c r="C15"/>
    </row>
    <row r="16" spans="1:6" s="4" customFormat="1">
      <c r="A16" s="251" t="s">
        <v>224</v>
      </c>
      <c r="B16" s="252"/>
      <c r="C16" s="252"/>
      <c r="D16" s="252"/>
      <c r="E16" s="253"/>
    </row>
    <row r="17" spans="1:5" ht="15" thickBot="1">
      <c r="A17" s="86" t="s">
        <v>210</v>
      </c>
      <c r="B17" s="87" t="s">
        <v>233</v>
      </c>
      <c r="C17" s="103" t="s">
        <v>211</v>
      </c>
      <c r="D17" s="88" t="s">
        <v>212</v>
      </c>
      <c r="E17" s="87" t="s">
        <v>237</v>
      </c>
    </row>
    <row r="18" spans="1:5" ht="71" thickTop="1">
      <c r="A18" s="112" t="s">
        <v>213</v>
      </c>
      <c r="B18" s="89" t="s">
        <v>213</v>
      </c>
      <c r="C18" s="90" t="s">
        <v>215</v>
      </c>
      <c r="D18" s="114" t="s">
        <v>214</v>
      </c>
      <c r="E18" s="119" t="s">
        <v>214</v>
      </c>
    </row>
    <row r="19" spans="1:5" s="4" customFormat="1" ht="28">
      <c r="A19" s="113" t="s">
        <v>223</v>
      </c>
      <c r="B19" s="91" t="s">
        <v>227</v>
      </c>
      <c r="C19" s="92" t="s">
        <v>220</v>
      </c>
      <c r="D19" s="115" t="s">
        <v>221</v>
      </c>
      <c r="E19" s="98"/>
    </row>
    <row r="20" spans="1:5" ht="71" thickBot="1">
      <c r="A20" s="116" t="s">
        <v>222</v>
      </c>
      <c r="B20" s="93" t="s">
        <v>230</v>
      </c>
      <c r="C20" s="94" t="s">
        <v>216</v>
      </c>
      <c r="D20" s="117" t="s">
        <v>217</v>
      </c>
      <c r="E20" s="118" t="s">
        <v>238</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tableParts count="2">
    <tablePart r:id="rId9"/>
    <tablePart r:id="rId10"/>
  </tablePart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22</vt:i4>
      </vt:variant>
    </vt:vector>
  </HeadingPairs>
  <TitlesOfParts>
    <vt:vector size="22" baseType="lpstr">
      <vt:lpstr>Instructions</vt:lpstr>
      <vt:lpstr>People and Organizations</vt:lpstr>
      <vt:lpstr>Dataset Citation</vt:lpstr>
      <vt:lpstr>Sampling Features</vt:lpstr>
      <vt:lpstr>Spatial Offsets</vt:lpstr>
      <vt:lpstr>Related Features (optional)</vt:lpstr>
      <vt:lpstr>Methods</vt:lpstr>
      <vt:lpstr>Variables</vt:lpstr>
      <vt:lpstr>Processing Levels</vt:lpstr>
      <vt:lpstr>Taxonomic Classifiers</vt:lpstr>
      <vt:lpstr>Data Columns</vt:lpstr>
      <vt:lpstr>Data Values</vt:lpstr>
      <vt:lpstr>Specimen Column Finder</vt:lpstr>
      <vt:lpstr>Result Column Labels</vt:lpstr>
      <vt:lpstr>Result Column Finder</vt:lpstr>
      <vt:lpstr>YODA Header Blocks</vt:lpstr>
      <vt:lpstr>YODA Generator</vt:lpstr>
      <vt:lpstr>YODA File</vt:lpstr>
      <vt:lpstr>Controlled Vocabularies</vt:lpstr>
      <vt:lpstr>Units</vt:lpstr>
      <vt:lpstr>SpatialReferences</vt:lpstr>
      <vt:lpstr>ExternalIdentifierSystems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Megan Carter</cp:lastModifiedBy>
  <cp:lastPrinted>2015-04-20T21:18:48Z</cp:lastPrinted>
  <dcterms:created xsi:type="dcterms:W3CDTF">2015-02-03T15:37:42Z</dcterms:created>
  <dcterms:modified xsi:type="dcterms:W3CDTF">2015-05-11T19:18:30Z</dcterms:modified>
</cp:coreProperties>
</file>