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firstSheet="3"/>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AG4" i="11" l="1"/>
  <c r="H8" i="7" l="1"/>
  <c r="I6" i="11" s="1"/>
  <c r="I24" i="7"/>
  <c r="I25" i="7"/>
  <c r="I27" i="7"/>
  <c r="I28" i="7"/>
  <c r="I29" i="7"/>
  <c r="I30" i="7"/>
  <c r="I31" i="7"/>
  <c r="I32" i="7"/>
  <c r="I33" i="7"/>
  <c r="J4" i="11"/>
  <c r="C4" i="11"/>
  <c r="I5" i="11" l="1"/>
  <c r="I4" i="11"/>
  <c r="I8" i="11"/>
  <c r="I7" i="11"/>
  <c r="I26" i="7"/>
  <c r="H9" i="7" s="1"/>
  <c r="A8" i="11"/>
  <c r="A7" i="11"/>
  <c r="A6" i="11"/>
  <c r="A5" i="11"/>
  <c r="AF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C3" i="15"/>
  <c r="A3" i="15"/>
  <c r="X5" i="11" l="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AA5" i="11" s="1"/>
  <c r="Q13" i="2"/>
  <c r="Q14" i="2" s="1"/>
  <c r="Q3" i="11"/>
  <c r="L2" i="11"/>
  <c r="C4" i="15"/>
  <c r="A4" i="15"/>
  <c r="B4" i="15" l="1"/>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A5" i="15"/>
  <c r="C5" i="15"/>
  <c r="B5" i="15" l="1"/>
  <c r="Q8" i="11"/>
  <c r="Q6" i="11"/>
  <c r="Q4" i="11"/>
  <c r="Q7" i="11"/>
  <c r="Q5" i="11"/>
  <c r="Q18" i="2"/>
  <c r="S7" i="2" s="1"/>
  <c r="Q2" i="11"/>
  <c r="A6" i="15"/>
  <c r="C6" i="15"/>
  <c r="B6" i="15" l="1"/>
  <c r="R7" i="11"/>
  <c r="R8" i="11"/>
  <c r="R6" i="11"/>
  <c r="R4" i="11"/>
  <c r="R5" i="11"/>
  <c r="R2" i="11"/>
  <c r="AI4" i="11" s="1"/>
  <c r="R3" i="11"/>
  <c r="C7" i="15"/>
  <c r="A7" i="15"/>
  <c r="D59" i="15" l="1"/>
  <c r="D58" i="15"/>
  <c r="D3" i="15"/>
  <c r="D4" i="15"/>
  <c r="D5" i="15"/>
  <c r="D6" i="15"/>
  <c r="B7" i="15"/>
  <c r="D7" i="15"/>
  <c r="AI3" i="11"/>
  <c r="D2" i="15"/>
  <c r="C8" i="15"/>
  <c r="A8" i="15"/>
  <c r="B8" i="15" l="1"/>
  <c r="D8" i="15"/>
  <c r="C9" i="15"/>
  <c r="A9" i="15"/>
  <c r="D9" i="15" l="1"/>
  <c r="B9" i="15"/>
  <c r="C10" i="15"/>
  <c r="A10" i="15"/>
  <c r="D10" i="15" l="1"/>
  <c r="B10" i="15"/>
  <c r="C11" i="15"/>
  <c r="A11" i="15"/>
  <c r="B11" i="15" l="1"/>
  <c r="D11" i="15"/>
  <c r="A12" i="15"/>
  <c r="C12" i="15"/>
  <c r="B12" i="15" l="1"/>
  <c r="D12" i="15"/>
  <c r="C13" i="15"/>
  <c r="A13" i="15"/>
  <c r="D13" i="15" l="1"/>
  <c r="B13" i="15"/>
  <c r="C14" i="15"/>
  <c r="A14" i="15"/>
  <c r="D14" i="15" l="1"/>
  <c r="B14" i="15"/>
  <c r="C15" i="15"/>
  <c r="A15" i="15"/>
  <c r="B15" i="15" l="1"/>
  <c r="D15" i="15"/>
  <c r="C16" i="15"/>
  <c r="A16" i="15"/>
  <c r="D16" i="15" l="1"/>
  <c r="B16" i="15"/>
  <c r="A17" i="15"/>
  <c r="C17" i="15"/>
  <c r="B17" i="15" l="1"/>
  <c r="D17" i="15"/>
  <c r="C18" i="15"/>
  <c r="A18" i="15"/>
  <c r="D18" i="15" l="1"/>
  <c r="B18" i="15"/>
  <c r="A19" i="15"/>
  <c r="C19" i="15"/>
  <c r="B19" i="15" l="1"/>
  <c r="D19" i="15"/>
  <c r="C20" i="15"/>
  <c r="A20" i="15"/>
  <c r="D20" i="15" l="1"/>
  <c r="B20" i="15"/>
  <c r="A21" i="15"/>
  <c r="C21" i="15"/>
  <c r="D21" i="15" l="1"/>
  <c r="B21" i="15"/>
  <c r="C22" i="15"/>
  <c r="A22" i="15"/>
  <c r="D22" i="15" l="1"/>
  <c r="B22" i="15"/>
  <c r="A23" i="15"/>
  <c r="C23" i="15"/>
  <c r="B23" i="15" l="1"/>
  <c r="D23" i="15"/>
  <c r="C24" i="15"/>
  <c r="A24" i="15"/>
  <c r="D24" i="15" l="1"/>
  <c r="B24" i="15"/>
  <c r="A25" i="15"/>
  <c r="C25" i="15"/>
  <c r="B25" i="15" l="1"/>
  <c r="D25" i="15"/>
  <c r="C26" i="15"/>
  <c r="A26" i="15"/>
  <c r="D26" i="15" l="1"/>
  <c r="B26" i="15"/>
  <c r="A27" i="15"/>
  <c r="C27" i="15"/>
  <c r="B27" i="15" l="1"/>
  <c r="D27" i="15"/>
  <c r="C28" i="15"/>
  <c r="A28" i="15"/>
  <c r="D28" i="15" l="1"/>
  <c r="B28" i="15"/>
  <c r="C29" i="15"/>
  <c r="A29" i="15"/>
  <c r="B29" i="15" l="1"/>
  <c r="D29" i="15"/>
  <c r="A30" i="15"/>
  <c r="C30" i="15"/>
  <c r="B30" i="15" l="1"/>
  <c r="D30" i="15"/>
  <c r="A31" i="15"/>
  <c r="C31" i="15"/>
  <c r="B31" i="15" l="1"/>
  <c r="D31" i="15"/>
  <c r="C32" i="15"/>
  <c r="A32" i="15"/>
  <c r="D32" i="15" l="1"/>
  <c r="B32" i="15"/>
  <c r="A33" i="15"/>
  <c r="C33" i="15"/>
  <c r="B33" i="15" l="1"/>
  <c r="D33" i="15"/>
  <c r="C34" i="15"/>
  <c r="A34" i="15"/>
  <c r="D34" i="15" l="1"/>
  <c r="B34" i="15"/>
  <c r="C35" i="15"/>
  <c r="A35" i="15"/>
  <c r="B35" i="15" l="1"/>
  <c r="D35" i="15"/>
  <c r="C36" i="15"/>
  <c r="A36" i="15"/>
  <c r="D36" i="15" l="1"/>
  <c r="B36" i="15"/>
  <c r="A37" i="15"/>
  <c r="C37" i="15"/>
  <c r="D37" i="15" l="1"/>
  <c r="B37" i="15"/>
  <c r="C38" i="15"/>
  <c r="A38" i="15"/>
  <c r="D38" i="15" l="1"/>
  <c r="B38" i="15"/>
  <c r="C39" i="15"/>
  <c r="A39" i="15"/>
  <c r="B39" i="15" l="1"/>
  <c r="D39" i="15"/>
  <c r="C40" i="15"/>
  <c r="A40" i="15"/>
  <c r="D40" i="15" l="1"/>
  <c r="B40" i="15"/>
  <c r="A41" i="15"/>
  <c r="C41" i="15"/>
  <c r="B41" i="15" l="1"/>
  <c r="D41" i="15"/>
  <c r="C42" i="15"/>
  <c r="A42" i="15"/>
  <c r="D42" i="15" l="1"/>
  <c r="B42" i="15"/>
  <c r="A43" i="15"/>
  <c r="C43" i="15"/>
  <c r="B43" i="15" l="1"/>
  <c r="D43" i="15"/>
  <c r="C44" i="15"/>
  <c r="A44" i="15"/>
  <c r="B44" i="15" l="1"/>
  <c r="D44" i="15"/>
  <c r="C45" i="15"/>
  <c r="A45" i="15"/>
  <c r="B45" i="15" l="1"/>
  <c r="D45" i="15"/>
  <c r="C46" i="15"/>
  <c r="A46" i="15"/>
  <c r="B46" i="15" l="1"/>
  <c r="D46" i="15"/>
  <c r="C47" i="15"/>
  <c r="A47" i="15"/>
  <c r="B47" i="15" l="1"/>
  <c r="D47" i="15"/>
  <c r="A48" i="15"/>
  <c r="C48" i="15"/>
  <c r="D48" i="15" l="1"/>
  <c r="B48" i="15"/>
  <c r="A49" i="15"/>
  <c r="C49" i="15"/>
  <c r="D49" i="15" l="1"/>
  <c r="B49" i="15"/>
  <c r="A50" i="15"/>
  <c r="C50" i="15"/>
  <c r="D50" i="15" l="1"/>
  <c r="B50" i="15"/>
  <c r="C51" i="15"/>
  <c r="A51" i="15"/>
  <c r="B51" i="15" l="1"/>
  <c r="D51" i="15"/>
  <c r="C52" i="15"/>
  <c r="A52" i="15"/>
  <c r="B52" i="15" l="1"/>
  <c r="D52" i="15"/>
  <c r="A53" i="15"/>
  <c r="C53" i="15"/>
  <c r="B53" i="15" l="1"/>
  <c r="D53" i="15"/>
  <c r="A54" i="15"/>
  <c r="C54" i="15"/>
  <c r="D54" i="15" l="1"/>
  <c r="B54" i="15"/>
  <c r="C55" i="15"/>
  <c r="A55" i="15"/>
  <c r="B55" i="15" l="1"/>
  <c r="D55" i="15"/>
  <c r="C56" i="15"/>
  <c r="A56" i="15"/>
  <c r="B56" i="15" l="1"/>
  <c r="D56" i="15"/>
  <c r="C57" i="15"/>
  <c r="A57" i="15"/>
  <c r="B57" i="15" l="1"/>
  <c r="D5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<sst xmlns="http://schemas.openxmlformats.org/spreadsheetml/2006/main" count="1485" uniqueCount="1396">
  <si>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</si>
  <si>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</si>
  <si>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</si>
  <si>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</si>
  <si>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</si>
  <si>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</si>
  <si>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</si>
  <si>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</si>
  <si>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</si>
  <si>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</si>
  <si>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</si>
  <si>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</si>
  <si>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</si>
  <si>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</si>
  <si>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</si>
  <si>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</si>
  <si>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</si>
  <si>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</si>
  <si>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</si>
  <si>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</si>
  <si>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</si>
  <si>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</si>
  <si>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</si>
  <si>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</si>
  <si>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</si>
  <si>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</si>
  <si>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</si>
  <si>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</si>
  <si>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</si>
  <si>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</si>
  <si>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</si>
  <si>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</si>
  <si>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</si>
  <si>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</si>
  <si>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</si>
  <si>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</si>
  <si>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</si>
  <si>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</si>
  <si>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</si>
  <si>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</si>
  <si>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</si>
  <si>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</si>
  <si>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</si>
  <si>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</si>
  <si>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</si>
  <si>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</si>
  <si>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</si>
  <si>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</si>
  <si>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</si>
  <si>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</si>
  <si>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</si>
  <si>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</si>
  <si>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</si>
  <si>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</si>
  <si>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</si>
  <si>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</si>
  <si>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</si>
  <si>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</si>
  <si>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</si>
  <si>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</si>
  <si>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</si>
  <si>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</si>
  <si>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</si>
  <si>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</si>
  <si>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</si>
  <si>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</si>
  <si>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</si>
  <si>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</si>
  <si>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</si>
  <si>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</si>
  <si>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</si>
  <si>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</si>
  <si>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</si>
  <si>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</si>
  <si>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</si>
  <si>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</si>
  <si>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</si>
  <si>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</si>
  <si>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</si>
  <si>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</si>
  <si>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</si>
  <si>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</si>
  <si>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</si>
  <si>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</si>
  <si>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</si>
  <si>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</si>
  <si>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</si>
  <si>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</si>
  <si>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</si>
  <si>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</si>
  <si>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</si>
  <si>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</si>
  <si>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</si>
  <si>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</si>
  <si>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</si>
  <si>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</si>
  <si>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</si>
  <si>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</si>
  <si>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</si>
  <si>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</si>
  <si>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</si>
  <si>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</si>
  <si>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</si>
  <si>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</si>
  <si>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</si>
  <si>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</si>
  <si>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</si>
  <si>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</si>
  <si>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</si>
  <si>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</si>
  <si>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</si>
  <si>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</si>
  <si>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</si>
  <si>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</si>
  <si>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</si>
  <si>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</si>
  <si>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</si>
  <si>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</si>
  <si>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</si>
  <si>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</si>
  <si>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</si>
  <si>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</si>
  <si>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</si>
  <si>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</si>
  <si>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</si>
  <si>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</si>
  <si>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</si>
  <si>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</si>
  <si>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</si>
  <si>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</si>
  <si>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</si>
  <si>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</si>
  <si>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</si>
  <si>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</si>
  <si>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</si>
  <si>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</si>
  <si>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</si>
  <si>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</si>
  <si>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</si>
  <si>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</si>
  <si>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</si>
  <si>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</si>
  <si>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</si>
  <si>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</si>
  <si>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</si>
  <si>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</si>
  <si>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</si>
  <si>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</si>
  <si>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</si>
  <si>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</si>
  <si>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</si>
  <si>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</si>
  <si>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</si>
  <si>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</si>
  <si>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</si>
  <si>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</si>
  <si>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</si>
  <si>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</si>
  <si>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</si>
  <si>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</si>
  <si>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</si>
  <si>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</si>
  <si>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</si>
  <si>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</si>
  <si>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</si>
  <si>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</si>
  <si>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</si>
  <si>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</si>
  <si>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</si>
  <si>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</si>
  <si>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</si>
  <si>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</si>
  <si>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</si>
  <si>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</si>
  <si>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</si>
  <si>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</si>
  <si>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</si>
  <si>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</si>
  <si>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</si>
  <si>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</si>
  <si>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</si>
  <si>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</si>
  <si>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</si>
  <si>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</si>
  <si>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</si>
  <si>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</si>
  <si>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</si>
  <si>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</si>
  <si>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</si>
  <si>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</si>
  <si>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</si>
  <si>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</si>
  <si>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</si>
  <si>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</si>
  <si>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</si>
  <si>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</si>
  <si>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</si>
  <si>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</si>
  <si>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</si>
  <si>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</si>
  <si>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</si>
  <si>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</si>
  <si>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</si>
  <si>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</si>
  <si>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</si>
  <si>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</si>
  <si>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</si>
  <si>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</si>
  <si>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</si>
  <si>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</si>
  <si>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</si>
  <si>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</si>
  <si>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</si>
  <si>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</si>
  <si>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</si>
  <si>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</si>
  <si>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</si>
  <si>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</si>
  <si>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</si>
  <si>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</si>
  <si>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</si>
  <si>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</si>
  <si>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</si>
  <si>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</si>
  <si>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</si>
  <si>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</si>
  <si>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</si>
  <si>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</si>
  <si>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</si>
  <si>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</si>
  <si>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</si>
  <si>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</si>
  <si>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</si>
  <si>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</si>
  <si>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</si>
  <si>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</si>
  <si>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</si>
  <si>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</si>
  <si>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</si>
  <si>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</si>
  <si>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</si>
  <si>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</si>
  <si>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</si>
  <si>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</si>
  <si>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</si>
  <si>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</si>
  <si>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</si>
  <si>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</si>
  <si>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</si>
  <si>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</si>
  <si>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</si>
  <si>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</si>
  <si>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</si>
  <si>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</si>
  <si>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</si>
  <si>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</si>
  <si>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</si>
  <si>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</si>
  <si>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</si>
  <si>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</si>
  <si>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</si>
  <si>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</si>
  <si>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</si>
  <si>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</si>
  <si>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</si>
  <si>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</si>
  <si>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</si>
  <si>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</si>
  <si>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</si>
  <si>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</si>
  <si>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</si>
  <si>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</si>
  <si>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</si>
  <si>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</si>
  <si>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</si>
  <si>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</si>
  <si>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</si>
  <si>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</si>
  <si>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</si>
  <si>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</si>
  <si>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</si>
  <si>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</si>
  <si>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</si>
  <si>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</si>
  <si>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</si>
  <si>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</si>
  <si>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</si>
  <si>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</si>
  <si>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</si>
  <si>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</si>
  <si>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</si>
  <si>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</si>
  <si>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</si>
  <si>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</si>
  <si>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</si>
  <si>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</si>
  <si>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</si>
  <si>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</si>
  <si>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</si>
  <si>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</si>
  <si>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</si>
  <si>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</si>
  <si>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</si>
  <si>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</si>
  <si>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</si>
  <si>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</si>
  <si>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</si>
  <si>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</si>
  <si>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</si>
  <si>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</si>
  <si>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</si>
  <si>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</si>
  <si>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</si>
  <si>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</si>
  <si>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</si>
  <si>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</si>
  <si>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</si>
  <si>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</si>
  <si>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</si>
  <si>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</si>
  <si>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</si>
  <si>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</si>
  <si>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</si>
  <si>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</si>
  <si>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</si>
  <si>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</si>
  <si>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</si>
  <si>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</si>
  <si>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</si>
  <si>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</si>
  <si>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</si>
  <si>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</si>
  <si>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</si>
  <si>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</si>
  <si>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</si>
  <si>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</si>
  <si>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</si>
  <si>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</si>
  <si>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</si>
  <si>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</si>
  <si>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</si>
  <si>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</si>
  <si>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</si>
  <si>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</si>
  <si>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</si>
  <si>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</si>
  <si>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</si>
  <si>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</si>
  <si>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</si>
  <si>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</si>
  <si>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</si>
  <si>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</si>
  <si>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</si>
  <si>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</si>
  <si>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</si>
  <si>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</si>
  <si>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</si>
  <si>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</si>
  <si>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</si>
  <si>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</si>
  <si>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</si>
  <si>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</si>
  <si>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</si>
  <si>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</si>
  <si>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</si>
  <si>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</si>
  <si>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</si>
  <si>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</si>
  <si>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</si>
  <si>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</si>
  <si>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</si>
  <si>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</si>
  <si>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</si>
  <si>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</si>
  <si>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</si>
  <si>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</si>
  <si>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</si>
  <si>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</si>
  <si>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</si>
  <si>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</si>
  <si>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</si>
  <si>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</si>
  <si>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</si>
  <si>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</si>
  <si>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</si>
  <si>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</si>
  <si>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</si>
  <si>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</si>
  <si>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</si>
  <si>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</si>
  <si>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</si>
  <si>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</si>
  <si>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</si>
  <si>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</si>
  <si>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</si>
  <si>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</si>
  <si>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</si>
  <si>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</si>
  <si>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</si>
  <si>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</si>
  <si>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</si>
  <si>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</si>
  <si>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</si>
  <si>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</si>
  <si>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</si>
  <si>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</si>
  <si>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</si>
  <si>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</si>
  <si>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</si>
  <si>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</si>
  <si>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</si>
  <si>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</si>
  <si>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</si>
  <si>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</si>
  <si>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</si>
  <si>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</si>
  <si>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</si>
  <si>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</si>
  <si>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</si>
  <si>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</si>
  <si>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</si>
  <si>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</si>
  <si>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</si>
  <si>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</si>
  <si>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</si>
  <si>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</si>
  <si>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</si>
  <si>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</si>
  <si>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</si>
  <si>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</si>
  <si>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</si>
  <si>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</si>
  <si>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</si>
  <si>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</si>
  <si>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</si>
  <si>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</si>
  <si>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</si>
  <si>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</si>
  <si>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</si>
  <si>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</si>
  <si>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</si>
  <si>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</si>
  <si>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</si>
  <si>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</si>
  <si>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</si>
  <si>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</si>
  <si>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</si>
  <si>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</si>
  <si>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</si>
  <si>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</si>
  <si>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</si>
  <si>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</si>
  <si>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</si>
  <si>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</si>
  <si>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</si>
  <si>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</si>
  <si>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</si>
  <si>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</si>
  <si>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</si>
  <si>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</si>
  <si>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</si>
  <si>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</si>
  <si>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</si>
  <si>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</si>
  <si>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</si>
  <si>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</si>
  <si>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</si>
  <si>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</si>
  <si>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</si>
  <si>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</si>
  <si>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</si>
  <si>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</si>
  <si>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</si>
  <si>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</si>
  <si>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</si>
  <si>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</si>
  <si>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</si>
  <si>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</si>
  <si>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</si>
  <si>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</si>
  <si>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</si>
  <si>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</si>
  <si>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</si>
  <si>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</si>
  <si>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</si>
  <si>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</si>
  <si>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</si>
  <si>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</si>
  <si>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</si>
  <si>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</si>
  <si>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</si>
  <si>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</si>
  <si>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</si>
  <si>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</si>
  <si>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</si>
  <si>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</si>
  <si>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</si>
  <si>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</si>
  <si>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</si>
  <si>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</si>
  <si>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</si>
  <si>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</si>
  <si>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</si>
  <si>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</si>
  <si>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</si>
  <si>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</si>
  <si>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</si>
  <si>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</si>
  <si>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</si>
  <si>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</si>
  <si>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</si>
  <si>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</si>
  <si>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</si>
  <si>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</si>
  <si>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</si>
  <si>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</si>
  <si>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</si>
  <si>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</si>
  <si>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</si>
  <si>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</si>
  <si>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</si>
  <si>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</si>
  <si>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</si>
  <si>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</si>
  <si>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</si>
  <si>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</si>
  <si>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</si>
  <si>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</si>
  <si>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</si>
  <si>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</si>
  <si>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</si>
  <si>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</si>
  <si>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</si>
  <si>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</si>
  <si>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</si>
  <si>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</si>
  <si>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</si>
  <si>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</si>
  <si>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</si>
  <si>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</si>
  <si>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</si>
  <si>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</si>
  <si>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</si>
  <si>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</si>
  <si>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</si>
  <si>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</si>
  <si>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</si>
  <si>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</si>
  <si>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</si>
  <si>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</si>
  <si>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</si>
  <si>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</si>
  <si>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</si>
  <si>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</si>
  <si>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</si>
  <si>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</si>
  <si>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</si>
  <si>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</si>
  <si>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</si>
  <si>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</si>
  <si>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</si>
  <si>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</si>
  <si>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</si>
  <si>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</si>
  <si>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</si>
  <si>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</si>
  <si>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</si>
  <si>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</si>
  <si>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</si>
  <si>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</si>
  <si>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</si>
  <si>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</si>
  <si>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</si>
  <si>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</si>
  <si>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</si>
  <si>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</si>
  <si>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</si>
  <si>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</si>
  <si>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</si>
  <si>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</si>
  <si>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</si>
  <si>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</si>
  <si>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</si>
  <si>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</si>
  <si>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</si>
  <si>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</si>
  <si>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</si>
  <si>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</si>
  <si>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</si>
  <si>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</si>
  <si>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</si>
  <si>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</si>
  <si>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</si>
  <si>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</si>
  <si>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</si>
  <si>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</si>
  <si>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</si>
  <si>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</si>
  <si>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</si>
  <si>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</si>
  <si>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</si>
  <si>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</si>
  <si>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</si>
  <si>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</si>
  <si>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</si>
  <si>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</si>
  <si>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</si>
  <si>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</si>
  <si>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</si>
  <si>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</si>
  <si>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</si>
  <si>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</si>
  <si>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</si>
  <si>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</si>
  <si>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</si>
  <si>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</si>
  <si>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</si>
  <si>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</si>
  <si>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</si>
  <si>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</si>
  <si>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</si>
  <si>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</si>
  <si>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</si>
  <si>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</si>
  <si>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</si>
  <si>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</si>
  <si>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</si>
  <si>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</si>
  <si>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</si>
  <si>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</si>
  <si>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</si>
  <si>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</si>
  <si>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</si>
  <si>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</si>
  <si>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</si>
  <si>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</si>
  <si>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</si>
  <si>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</si>
  <si>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</si>
  <si>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</si>
  <si>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</si>
  <si>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</si>
  <si>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</si>
  <si>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</si>
  <si>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</si>
  <si>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</si>
  <si>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</si>
  <si>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</si>
  <si>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</si>
  <si>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</si>
  <si>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</si>
  <si>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</si>
  <si>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</si>
  <si>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</si>
  <si>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</si>
  <si>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</si>
  <si>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</si>
  <si>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</si>
  <si>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</si>
  <si>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</si>
  <si>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</si>
  <si>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</si>
  <si>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</si>
  <si>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</si>
  <si>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</si>
  <si>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</si>
  <si>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</si>
  <si>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</si>
  <si>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</si>
  <si>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</si>
  <si>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</si>
  <si>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</si>
  <si>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</si>
  <si>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</si>
  <si>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</si>
  <si>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</si>
  <si>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</si>
  <si>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</si>
  <si>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</si>
  <si>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</si>
  <si>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</si>
  <si>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</si>
  <si>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</si>
  <si>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</si>
  <si>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</si>
  <si>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</si>
  <si>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</si>
  <si>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</si>
  <si>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</si>
  <si>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</si>
  <si>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</si>
  <si>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</si>
  <si>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</si>
  <si>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</si>
  <si>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</si>
  <si>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</si>
  <si>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</si>
  <si>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</si>
  <si>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</si>
  <si>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</si>
  <si>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</si>
  <si>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</si>
  <si>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</si>
  <si>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</si>
  <si>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</si>
  <si>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</si>
  <si>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</si>
  <si>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</si>
  <si>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</si>
  <si>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</si>
  <si>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</si>
  <si>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</si>
  <si>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</si>
  <si>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</si>
  <si>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</si>
  <si>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</si>
  <si>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</si>
  <si>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</si>
  <si>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</si>
  <si>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</si>
  <si>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</si>
  <si>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</si>
  <si>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</si>
  <si>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</si>
  <si>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</si>
  <si>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</si>
  <si>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</si>
  <si>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</si>
  <si>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</si>
  <si>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</si>
  <si>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</si>
  <si>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</si>
  <si>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</si>
  <si>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</si>
  <si>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</si>
  <si>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</si>
  <si>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</si>
  <si>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</si>
  <si>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</si>
  <si>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</si>
  <si>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</si>
  <si>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</si>
  <si>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</si>
  <si>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</si>
  <si>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</si>
  <si>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</si>
  <si>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</si>
  <si>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</si>
  <si>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</si>
  <si>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</si>
  <si>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</si>
  <si>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</si>
  <si>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</si>
  <si>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</si>
  <si>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</si>
  <si>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</si>
  <si>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</si>
  <si>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</si>
  <si>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</si>
  <si>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</si>
  <si>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</si>
  <si>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</si>
  <si>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</si>
  <si>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</si>
  <si>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</si>
  <si>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</si>
  <si>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</si>
  <si>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</si>
  <si>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</si>
  <si>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</si>
  <si>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</si>
  <si>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</si>
  <si>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</si>
  <si>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</si>
  <si>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</si>
  <si>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</si>
  <si>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</si>
  <si>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</si>
  <si>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</si>
  <si>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</si>
  <si>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</si>
  <si>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</si>
  <si>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</si>
  <si>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</si>
  <si>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</si>
  <si>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</si>
  <si>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</si>
  <si>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</si>
  <si>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</si>
  <si>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</si>
  <si>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</si>
  <si>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</si>
  <si>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</si>
  <si>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</si>
  <si>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</si>
  <si>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</si>
  <si>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</si>
  <si>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</si>
  <si>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</si>
  <si>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</si>
  <si>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</si>
  <si>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</si>
  <si>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</si>
  <si>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</si>
  <si>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</si>
  <si>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</si>
  <si>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</si>
  <si>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</si>
  <si>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</si>
  <si>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</si>
  <si>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</si>
  <si>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</si>
  <si>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</si>
  <si>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</si>
  <si>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</si>
  <si>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</si>
  <si>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</si>
  <si>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</si>
  <si>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</si>
  <si>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</si>
  <si>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</si>
  <si>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</si>
  <si>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</si>
  <si>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</si>
  <si>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</si>
  <si>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</si>
  <si>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</si>
  <si>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</si>
  <si>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</si>
  <si>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</si>
  <si>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</si>
  <si>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</si>
  <si>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</si>
  <si>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</si>
  <si>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</si>
  <si>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</si>
  <si>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</si>
  <si>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</si>
  <si>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</si>
  <si>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</si>
  <si>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</si>
  <si>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</si>
  <si>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</si>
  <si>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</si>
  <si>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</si>
  <si>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</si>
  <si>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</si>
  <si>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</si>
  <si>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</si>
  <si>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</si>
  <si>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</si>
  <si>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</si>
  <si>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</si>
  <si>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</si>
  <si>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</si>
  <si>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</si>
  <si>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</si>
  <si>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</si>
  <si>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</si>
  <si>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</si>
  <si>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</si>
  <si>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</si>
  <si>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</si>
  <si>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</si>
  <si>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</si>
  <si>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</si>
  <si>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</si>
  <si>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</si>
  <si>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</si>
  <si>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</si>
  <si>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</si>
  <si>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</si>
  <si>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</si>
  <si>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</si>
  <si>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</si>
  <si>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</si>
  <si>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</si>
  <si>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</si>
  <si>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</si>
  <si>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</si>
  <si>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</si>
  <si>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</si>
  <si>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</si>
  <si>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</si>
  <si>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</si>
  <si>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</si>
  <si>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</si>
  <si>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</si>
  <si>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</si>
  <si>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</si>
  <si>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</si>
  <si>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</si>
  <si>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</si>
  <si>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</si>
  <si>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</si>
  <si>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</si>
  <si>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</si>
  <si>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</si>
  <si>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</si>
  <si>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</si>
  <si>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</si>
  <si>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</si>
  <si>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</si>
  <si>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</si>
  <si>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</si>
  <si>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</si>
  <si>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</si>
  <si>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</si>
  <si>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</si>
  <si>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</si>
  <si>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</si>
  <si>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</si>
  <si>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</si>
  <si>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</si>
  <si>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</si>
  <si>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</si>
  <si>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</si>
  <si>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</si>
  <si>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</si>
  <si>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</si>
  <si>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</si>
  <si>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</si>
  <si>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</si>
  <si>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</si>
  <si>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</si>
  <si>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</si>
  <si>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</si>
  <si>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</si>
  <si>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</si>
  <si>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</si>
  <si>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</si>
  <si>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</si>
  <si>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</si>
  <si>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</si>
  <si>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</si>
  <si>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</si>
  <si>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</si>
  <si>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</si>
  <si>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</si>
  <si>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</si>
  <si>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</si>
  <si>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</si>
  <si>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</si>
  <si>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</si>
  <si>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</si>
  <si>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</si>
  <si>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</si>
  <si>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</si>
  <si>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</si>
  <si>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</si>
  <si>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</si>
  <si>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</si>
  <si>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</si>
  <si>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</si>
  <si>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</si>
  <si>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</si>
  <si>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</si>
  <si>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</si>
  <si>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</si>
  <si>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</si>
  <si>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</si>
  <si>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</si>
  <si>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</si>
  <si>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</si>
  <si>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</si>
  <si>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</si>
  <si>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</si>
  <si>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</si>
  <si>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</si>
  <si>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</si>
  <si>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</si>
  <si>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</si>
  <si>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</si>
  <si>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</si>
  <si>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</si>
  <si>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</si>
  <si>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</si>
  <si>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</si>
  <si>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</si>
  <si>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</si>
  <si>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</si>
  <si>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</si>
  <si>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</si>
  <si>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</si>
  <si>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</si>
  <si>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</si>
  <si>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</si>
  <si>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</si>
  <si>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</si>
  <si>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</si>
  <si>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</si>
  <si>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</si>
  <si>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</si>
  <si>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</si>
  <si>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</si>
  <si>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</si>
  <si>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</si>
  <si>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</si>
  <si>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</si>
  <si>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</si>
  <si>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</si>
  <si>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</si>
  <si>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</si>
  <si>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</si>
  <si>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</si>
  <si>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</si>
  <si>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</si>
  <si>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</si>
  <si>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</si>
  <si>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</si>
  <si>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</si>
  <si>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</si>
  <si>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</si>
  <si>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</si>
  <si>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</si>
  <si>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</si>
  <si>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</si>
  <si>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</si>
  <si>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</si>
  <si>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</si>
  <si>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</si>
  <si>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</si>
  <si>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</si>
  <si>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</si>
  <si>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</si>
  <si>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</si>
  <si>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</si>
  <si>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</si>
  <si>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</si>
  <si>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</si>
  <si>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</si>
  <si>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</si>
  <si>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</si>
  <si>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</si>
  <si>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</si>
  <si>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</si>
  <si>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</si>
  <si>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</si>
  <si>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</si>
  <si>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</si>
  <si>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</si>
  <si>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</si>
  <si>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</si>
  <si>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</si>
  <si>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</si>
  <si>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</si>
  <si>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</si>
  <si>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</si>
  <si>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</si>
  <si>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</si>
  <si>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</si>
  <si>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</si>
  <si>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</si>
  <si>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</si>
  <si>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</si>
  <si>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</si>
  <si>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</si>
  <si>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</si>
  <si>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</si>
  <si>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</si>
  <si>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</si>
  <si>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</si>
  <si>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</si>
  <si>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</si>
  <si>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</si>
  <si>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</si>
  <si>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</si>
  <si>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</si>
  <si>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</si>
  <si>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</si>
  <si>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</si>
  <si>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</si>
  <si>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</si>
  <si>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</si>
  <si>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</si>
  <si>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</si>
  <si>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</si>
  <si>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</si>
  <si>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</si>
  <si>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</si>
  <si>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</si>
  <si>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</si>
  <si>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</si>
  <si>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</si>
  <si>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</si>
  <si>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</si>
  <si>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</si>
  <si>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</si>
  <si>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</si>
  <si>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</si>
  <si>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</si>
  <si>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</si>
  <si>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</si>
  <si>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</si>
  <si>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</si>
  <si>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</si>
  <si>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</si>
  <si>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</si>
  <si>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</si>
  <si>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</si>
  <si>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</si>
  <si>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</si>
  <si>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</si>
  <si>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</si>
  <si>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</si>
  <si>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</si>
  <si>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</si>
  <si>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</si>
  <si>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</si>
  <si>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</si>
  <si>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</si>
  <si>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</si>
  <si>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</si>
  <si>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</si>
  <si>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</si>
  <si>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</si>
  <si>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</si>
  <si>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</si>
  <si>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</si>
  <si>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</si>
  <si>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</si>
  <si>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</si>
  <si>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</si>
  <si>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</si>
  <si>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</si>
  <si>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</si>
  <si>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</si>
  <si>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</si>
  <si>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</si>
  <si>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</si>
  <si>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</si>
  <si>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</si>
  <si>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</si>
  <si>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</si>
  <si>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</si>
  <si>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</si>
  <si>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</si>
  <si>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</si>
  <si>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</si>
  <si>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</si>
  <si>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</si>
  <si>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</si>
  <si>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</si>
  <si>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</si>
  <si>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</si>
  <si>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</si>
  <si>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</si>
  <si>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</si>
  <si>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</si>
  <si>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</si>
  <si>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</si>
  <si>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</si>
  <si>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</si>
  <si>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</si>
  <si>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</si>
  <si>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</si>
  <si>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</si>
  <si>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</si>
  <si>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</si>
  <si>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</si>
  <si>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</si>
  <si>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</si>
  <si>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</si>
  <si>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</si>
  <si>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</si>
  <si>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</si>
  <si>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</si>
  <si>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</si>
  <si>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</si>
  <si>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</si>
  <si>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</si>
  <si>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</si>
  <si>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</si>
  <si>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</si>
  <si>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</si>
  <si>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</si>
  <si>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</si>
  <si>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</si>
  <si>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</si>
  <si>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</si>
  <si>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</si>
  <si>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</si>
  <si>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</si>
  <si>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</si>
  <si>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</si>
  <si>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</si>
  <si>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</si>
  <si>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</si>
  <si>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</si>
  <si>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</si>
  <si>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</si>
  <si>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</si>
  <si>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</si>
  <si>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</si>
  <si>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</si>
  <si>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</si>
  <si>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</si>
  <si>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</si>
  <si>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</si>
  <si>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</si>
  <si>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</si>
  <si>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</si>
  <si>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</si>
  <si>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</si>
  <si>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</si>
  <si>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</si>
  <si>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</si>
  <si>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</si>
  <si>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</si>
  <si>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</si>
  <si>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</si>
  <si>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</si>
  <si>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</si>
  <si>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</si>
  <si>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</si>
  <si>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</si>
  <si>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</si>
  <si>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</si>
  <si>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</si>
  <si>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</si>
  <si>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</si>
  <si>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</si>
  <si>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</si>
  <si>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</si>
  <si>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</si>
  <si>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</si>
  <si>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</si>
  <si>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</si>
  <si>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</si>
  <si>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</si>
  <si>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</si>
  <si>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</si>
  <si>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</si>
  <si>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</si>
  <si>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</si>
  <si>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</si>
  <si>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</si>
  <si>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</si>
  <si>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</si>
  <si>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</si>
  <si>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</si>
  <si>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</si>
  <si>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</si>
  <si>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</si>
  <si>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</si>
  <si>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</si>
  <si>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</si>
  <si>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</si>
  <si>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</si>
  <si>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</si>
  <si>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</si>
  <si>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</si>
  <si>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</si>
  <si>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</si>
  <si>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</si>
  <si>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</si>
  <si>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</si>
  <si>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</si>
  <si>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</si>
  <si>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</si>
  <si>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</si>
  <si>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</si>
  <si>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</si>
  <si>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</si>
  <si>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</si>
  <si>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</si>
  <si>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</si>
  <si>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</si>
  <si>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</si>
  <si>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</si>
  <si>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</si>
  <si>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</si>
  <si>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</si>
  <si>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</si>
  <si>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</si>
  <si>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</si>
  <si>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</si>
  <si>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</si>
  <si>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</si>
  <si>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</si>
  <si>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</si>
  <si>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</si>
  <si>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</si>
  <si>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</si>
  <si>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</si>
  <si>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</si>
  <si>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</si>
  <si>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</si>
  <si>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</si>
  <si>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</si>
  <si>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</si>
  <si>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</si>
  <si>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</si>
  <si>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</si>
  <si>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</si>
  <si>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</si>
  <si>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</si>
  <si>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</si>
  <si>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</si>
  <si>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</si>
  <si>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</si>
  <si>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</si>
  <si>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</si>
  <si>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</si>
  <si>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</si>
  <si>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</si>
  <si>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</si>
  <si>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</si>
  <si>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</si>
  <si>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</si>
  <si>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</si>
  <si>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</si>
  <si>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</si>
  <si>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</si>
  <si>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</si>
  <si>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</si>
  <si>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</si>
  <si>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</si>
  <si>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</si>
  <si>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</si>
  <si>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</si>
  <si>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</si>
  <si>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</si>
  <si>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</si>
  <si>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</si>
  <si>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</si>
  <si>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</si>
  <si>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</si>
  <si>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</si>
  <si>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</si>
  <si>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</si>
  <si>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</si>
  <si>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</si>
  <si>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</si>
  <si>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</si>
  <si>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</si>
  <si>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</si>
  <si>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</si>
  <si>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</si>
  <si>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</si>
  <si>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</si>
  <si>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</si>
  <si>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</si>
  <si>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</si>
  <si>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</si>
  <si>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</si>
  <si>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</si>
  <si>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</si>
  <si>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</si>
  <si>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</si>
  <si>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</si>
  <si>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</si>
  <si>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</si>
  <si>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</si>
  <si>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</si>
  <si>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</si>
  <si>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</si>
  <si>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</si>
  <si>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</si>
  <si>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</si>
  <si>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</si>
  <si>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</si>
  <si>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</si>
  <si>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</si>
  <si>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</si>
  <si>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</si>
  <si>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</si>
  <si>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</si>
  <si>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</si>
  <si>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</si>
  <si>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YODA: {Version: 1.0.0, Profile: TimeSeries, DateCreated: "2015-03-12", DateUpdated: "2015-03-12"}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</si>
  <si>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</si>
  <si>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</si>
  <si>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</si>
  <si>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</si>
  <si>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</si>
  <si>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</si>
  <si>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</si>
  <si>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</si>
  <si>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</si>
  <si>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</si>
  <si>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</si>
  <si>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</si>
  <si>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</si>
  <si>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</si>
  <si>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</si>
  <si>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</si>
  <si>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</si>
  <si>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</si>
  <si>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</si>
  <si>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</si>
  <si>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</si>
  <si>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</si>
  <si>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Fill in information in the yellow boxes on each of the worksheets.</t>
  </si>
  <si>
    <t>Paler yellow columns are optional.  If they are left empty, NULL values will be put in their place in the YODA file.</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</si>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</sst>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ont>
        <b/>
        <i/>
        <color rgb="FFFF0000"/>
      </font>
      <fill>
        <patternFill>
          <bgColor rgb="FFFFC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6" dataDxfId="114" headerRowBorderDxfId="115" tableBorderDxfId="113">
  <autoFilter ref="A10:J60"/>
  <tableColumns count="10">
    <tableColumn id="1" name="Sampling Feature UUID" dataDxfId="112"/>
    <tableColumn id="2" name="Sampling Feature Type" dataDxfId="111"/>
    <tableColumn id="3" name="Feature Geo Type" dataDxfId="110"/>
    <tableColumn id="4" name="Feature Code" dataDxfId="109"/>
    <tableColumn id="5" name="Feature Name" dataDxfId="108"/>
    <tableColumn id="6" name="Feature Description" dataDxfId="107"/>
    <tableColumn id="7" name="Feature Geometry" dataDxfId="106"/>
    <tableColumn id="8" name="Elevation_m" dataDxfId="105"/>
    <tableColumn id="9" name="Feature IGSN" dataDxfId="104"/>
    <tableColumn id="10" name="IGSNID" dataDxfId="103">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2" dataDxfId="100" headerRowBorderDxfId="101" tableBorderDxfId="99">
  <autoFilter ref="L10:O60"/>
  <tableColumns count="4">
    <tableColumn id="4" name="SiteID" dataDxfId="98">
      <calculatedColumnFormula>IF(SamplingFeatures[[#This Row],[Sampling Feature Type]]="Site",MAX(L$10:L10)+1,"")</calculatedColumnFormula>
    </tableColumn>
    <tableColumn id="1" name="Site Type" dataDxfId="97">
      <calculatedColumnFormula>IF($B11="Site","SELECT VALUE","")</calculatedColumnFormula>
    </tableColumn>
    <tableColumn id="2" name="Latitude" dataDxfId="96">
      <calculatedColumnFormula>IF($B11="site","ENTER VALUE","")</calculatedColumnFormula>
    </tableColumn>
    <tableColumn id="3" name="Longitude" dataDxfId="95">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4" dataDxfId="92" headerRowBorderDxfId="93" tableBorderDxfId="91">
  <autoFilter ref="Q10:T60"/>
  <tableColumns count="4">
    <tableColumn id="4" name="SpecimenID" dataDxfId="90">
      <calculatedColumnFormula>IF(SamplingFeatures[[#This Row],[Sampling Feature Type]]="Specimen",MAX(Q$10:Q10)+1,"")</calculatedColumnFormula>
    </tableColumn>
    <tableColumn id="1" name="Specimen Type" dataDxfId="89">
      <calculatedColumnFormula>IF($B11="Specimen","SELECT VALUE","")</calculatedColumnFormula>
    </tableColumn>
    <tableColumn id="2" name="Specimen Medium" dataDxfId="88">
      <calculatedColumnFormula>IF($B11="Specimen","SELECT VALUE","")</calculatedColumnFormula>
    </tableColumn>
    <tableColumn id="3" name="Is Field Specimen?" dataDxfId="87">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6" dataDxfId="84" headerRowBorderDxfId="85" tableBorderDxfId="83">
  <autoFilter ref="A6:K38"/>
  <tableColumns count="11">
    <tableColumn id="1" name="First Sampling Feature Code" dataDxfId="82"/>
    <tableColumn id="2" name="Relationship Type" dataDxfId="81"/>
    <tableColumn id="3" name="Second Sampling Feature Code" dataDxfId="80"/>
    <tableColumn id="5" name="Spatial Offset Type" dataDxfId="79"/>
    <tableColumn id="6" name="Offset 1 Value" dataDxfId="78"/>
    <tableColumn id="7" name="Offset 1 Unit" dataDxfId="77"/>
    <tableColumn id="8" name="Offset 2 Value" dataDxfId="76"/>
    <tableColumn id="9" name="Offset 2 Unit" dataDxfId="75"/>
    <tableColumn id="10" name="Offset 3 Value" dataDxfId="74"/>
    <tableColumn id="11" name="Offset 3 Unit" dataDxfId="73"/>
    <tableColumn id="12" name="OffsetID" dataDxfId="72">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1" dataDxfId="69" headerRowBorderDxfId="70" tableBorderDxfId="68">
  <autoFilter ref="A6:F27"/>
  <tableColumns count="6">
    <tableColumn id="1" name="Method Type" dataDxfId="67"/>
    <tableColumn id="2" name="Method Code" dataDxfId="66"/>
    <tableColumn id="3" name="Method Name" dataDxfId="65"/>
    <tableColumn id="4" name="Method Description" dataDxfId="64"/>
    <tableColumn id="5" name="Method Link" dataDxfId="63"/>
    <tableColumn id="6" name="Organization Name" dataDxfId="62"/>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1" dataDxfId="59" headerRowBorderDxfId="60" tableBorderDxfId="58">
  <autoFilter ref="A6:F25"/>
  <tableColumns count="6">
    <tableColumn id="1" name="Variable Type" dataDxfId="57"/>
    <tableColumn id="2" name="Variable Code" dataDxfId="56"/>
    <tableColumn id="3" name="Variable Name" dataDxfId="55"/>
    <tableColumn id="4" name="Variable Definition" dataDxfId="54"/>
    <tableColumn id="5" name="Speciation" dataDxfId="53"/>
    <tableColumn id="6" name="No Data Value" dataDxfId="52"/>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1" dataDxfId="49" headerRowBorderDxfId="50" tableBorderDxfId="48">
  <autoFilter ref="A6:C24"/>
  <tableColumns count="3">
    <tableColumn id="1" name="Processing Level Code" dataDxfId="47"/>
    <tableColumn id="2" name="Definition" dataDxfId="46"/>
    <tableColumn id="3" name="Explanation" dataDxfId="45"/>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4" dataDxfId="42" headerRowBorderDxfId="43" tableBorderDxfId="41">
  <autoFilter ref="A11:O98"/>
  <tableColumns count="15">
    <tableColumn id="1" name="Col #" dataDxfId="40">
      <calculatedColumnFormula>IF(COUNTA(DataColumns[[#This Row],[Column Label]:[Quality Code]])&gt;0,IF(MAX(A$11:A11)=0,3,MAX(A$11:A11)+1),"")</calculatedColumnFormula>
    </tableColumn>
    <tableColumn id="2" name="Column Label" dataDxfId="39"/>
    <tableColumn id="3" name="ResultUUID" dataDxfId="38"/>
    <tableColumn id="4" name="Sampling Feature Code" dataDxfId="37"/>
    <tableColumn id="5" name="Method Code" dataDxfId="36"/>
    <tableColumn id="6" name="Result Type" dataDxfId="35"/>
    <tableColumn id="7" name="Variable Code" dataDxfId="34"/>
    <tableColumn id="8" name="Unit Name" dataDxfId="33"/>
    <tableColumn id="9" name="Processing Level" dataDxfId="32"/>
    <tableColumn id="11" name="Sampled Medium" dataDxfId="31"/>
    <tableColumn id="12" name="Time Aggregation Interval" dataDxfId="30"/>
    <tableColumn id="13" name="Time Aggregation Unit" dataDxfId="29"/>
    <tableColumn id="14" name="Aggregation Statistic" dataDxfId="28"/>
    <tableColumn id="15" name="Censor Code" dataDxfId="27"/>
    <tableColumn id="16" name="Quality Code" dataDxfId="26"/>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5">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4" headerRowBorderDxfId="23" tableBorderDxfId="22">
  <autoFilter ref="A4:D8"/>
  <tableColumns count="4">
    <tableColumn id="1" name="SRSCode" dataDxfId="21"/>
    <tableColumn id="2" name="SRSName" dataDxfId="20"/>
    <tableColumn id="3" name="SRSDescription" dataDxfId="19"/>
    <tableColumn id="4" name="SRSLink" dataDxfId="18"/>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7" headerRowBorderDxfId="16" tableBorderDxfId="15">
  <autoFilter ref="A17:E20"/>
  <tableColumns count="5">
    <tableColumn id="1" name="External Identifier System Name" dataDxfId="14"/>
    <tableColumn id="2" name="Identifier System Organization Name" dataDxfId="13"/>
    <tableColumn id="3" name="External Identifier System Descrption" dataDxfId="12"/>
    <tableColumn id="4" name="External Identifier System URL" dataDxfId="11" dataCellStyle="Hyperlink"/>
    <tableColumn id="5" name="URI Structure" dataDxfId="10"/>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9" headerRowBorderDxfId="8" tableBorderDxfId="7">
  <autoFilter ref="A4:E7"/>
  <tableColumns count="5">
    <tableColumn id="1" name="Organization Type [CV]" dataDxfId="6"/>
    <tableColumn id="2" name="Organization Code" dataDxfId="5"/>
    <tableColumn id="3" name="Organization Name" dataDxfId="4"/>
    <tableColumn id="4" name="Organization Description" dataDxfId="3"/>
    <tableColumn id="5" name="Organization Link" dataDxfId="2"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tabSelected="1" workbookViewId="0">
      <selection activeCell="D34" sqref="D34"/>
    </sheetView>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1303</v>
      </c>
    </row>
    <row r="6" spans="1:1" s="5" customFormat="1" x14ac:dyDescent="0.25">
      <c r="A6" s="5" t="s">
        <v>1393</v>
      </c>
    </row>
    <row r="7" spans="1:1" s="5" customFormat="1" x14ac:dyDescent="0.25">
      <c r="A7" s="5" t="s">
        <v>1395</v>
      </c>
    </row>
    <row r="8" spans="1:1" s="5" customFormat="1" x14ac:dyDescent="0.25">
      <c r="A8" s="5" t="s">
        <v>1394</v>
      </c>
    </row>
    <row r="9" spans="1:1" s="5" customFormat="1" x14ac:dyDescent="0.25">
      <c r="A9" s="5" t="s">
        <v>1311</v>
      </c>
    </row>
    <row r="10" spans="1:1" s="5" customFormat="1" x14ac:dyDescent="0.25">
      <c r="A10" s="5" t="s">
        <v>1292</v>
      </c>
    </row>
    <row r="11" spans="1:1" s="5" customFormat="1" x14ac:dyDescent="0.25">
      <c r="A11" s="5" t="s">
        <v>1283</v>
      </c>
    </row>
    <row r="12" spans="1:1" s="5" customFormat="1" x14ac:dyDescent="0.25">
      <c r="A12" s="5" t="s">
        <v>1282</v>
      </c>
    </row>
    <row r="13" spans="1:1" s="5" customFormat="1" x14ac:dyDescent="0.25">
      <c r="A13" s="5" t="s">
        <v>1284</v>
      </c>
    </row>
    <row r="14" spans="1:1" s="5" customFormat="1" x14ac:dyDescent="0.25">
      <c r="A14" s="5" t="s">
        <v>1302</v>
      </c>
    </row>
    <row r="15" spans="1:1" s="5" customFormat="1" x14ac:dyDescent="0.25">
      <c r="A15" s="5" t="s">
        <v>1300</v>
      </c>
    </row>
    <row r="16" spans="1:1" s="5" customFormat="1" x14ac:dyDescent="0.25">
      <c r="A16" s="5" t="s">
        <v>1285</v>
      </c>
    </row>
    <row r="17" spans="1:1" s="5" customFormat="1" x14ac:dyDescent="0.25">
      <c r="A17" s="5" t="s">
        <v>1286</v>
      </c>
    </row>
    <row r="18" spans="1:1" s="5" customFormat="1" x14ac:dyDescent="0.25">
      <c r="A18" s="5" t="s">
        <v>1299</v>
      </c>
    </row>
    <row r="19" spans="1:1" s="5" customFormat="1" x14ac:dyDescent="0.25">
      <c r="A19" s="5" t="s">
        <v>1301</v>
      </c>
    </row>
    <row r="20" spans="1:1" s="5" customFormat="1" x14ac:dyDescent="0.25">
      <c r="A20" s="5" t="s">
        <v>1307</v>
      </c>
    </row>
    <row r="21" spans="1:1" s="5" customFormat="1" x14ac:dyDescent="0.25">
      <c r="A21" s="5" t="s">
        <v>1304</v>
      </c>
    </row>
    <row r="22" spans="1:1" s="5" customFormat="1" x14ac:dyDescent="0.25">
      <c r="A22" s="5" t="s">
        <v>1306</v>
      </c>
    </row>
    <row r="23" spans="1:1" s="5" customFormat="1" x14ac:dyDescent="0.25">
      <c r="A23" s="5" t="s">
        <v>1309</v>
      </c>
    </row>
    <row r="24" spans="1:1" s="5" customFormat="1" x14ac:dyDescent="0.25">
      <c r="A24" s="5" t="s">
        <v>1310</v>
      </c>
    </row>
    <row r="25" spans="1:1" s="5" customFormat="1" x14ac:dyDescent="0.25">
      <c r="A25" s="5" t="s">
        <v>1312</v>
      </c>
    </row>
    <row r="26" spans="1:1" s="5" customFormat="1" x14ac:dyDescent="0.25">
      <c r="A26" s="5" t="s">
        <v>1313</v>
      </c>
    </row>
    <row r="27" spans="1:1" s="5" customFormat="1" x14ac:dyDescent="0.25">
      <c r="A27" s="5" t="s">
        <v>1314</v>
      </c>
    </row>
    <row r="28" spans="1:1" s="5" customFormat="1" x14ac:dyDescent="0.25"/>
    <row r="29" spans="1:1" ht="18.75" x14ac:dyDescent="0.3">
      <c r="A29" s="6" t="s">
        <v>1253</v>
      </c>
    </row>
    <row r="30" spans="1:1" s="5" customFormat="1" x14ac:dyDescent="0.25">
      <c r="A30" s="5" t="s">
        <v>1305</v>
      </c>
    </row>
    <row r="31" spans="1:1" x14ac:dyDescent="0.25">
      <c r="A31" s="5" t="s">
        <v>1288</v>
      </c>
    </row>
    <row r="32" spans="1:1" x14ac:dyDescent="0.25">
      <c r="A32" s="5" t="s">
        <v>1289</v>
      </c>
    </row>
    <row r="33" spans="1:1" s="5" customFormat="1" x14ac:dyDescent="0.25">
      <c r="A33" s="5" t="s">
        <v>1290</v>
      </c>
    </row>
    <row r="34" spans="1:1" s="5" customFormat="1" x14ac:dyDescent="0.25">
      <c r="A34" s="5" t="s">
        <v>1318</v>
      </c>
    </row>
    <row r="35" spans="1:1" x14ac:dyDescent="0.25">
      <c r="A35" s="5" t="s">
        <v>1287</v>
      </c>
    </row>
    <row r="36" spans="1:1" x14ac:dyDescent="0.25">
      <c r="A36" t="s">
        <v>1291</v>
      </c>
    </row>
    <row r="37" spans="1:1" x14ac:dyDescent="0.25">
      <c r="A37" s="5" t="s">
        <v>1293</v>
      </c>
    </row>
    <row r="38" spans="1:1" x14ac:dyDescent="0.25">
      <c r="A38" s="5" t="s">
        <v>1294</v>
      </c>
    </row>
    <row r="39" spans="1:1" x14ac:dyDescent="0.25">
      <c r="A39" s="5" t="s">
        <v>1295</v>
      </c>
    </row>
    <row r="40" spans="1:1" x14ac:dyDescent="0.25">
      <c r="A40" s="5" t="s">
        <v>1296</v>
      </c>
    </row>
    <row r="41" spans="1:1" x14ac:dyDescent="0.25">
      <c r="A41" s="5" t="s">
        <v>1297</v>
      </c>
    </row>
    <row r="42" spans="1:1" x14ac:dyDescent="0.25">
      <c r="A42" s="5" t="s">
        <v>1298</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59" t="s">
        <v>155</v>
      </c>
      <c r="B7" s="160"/>
      <c r="C7" s="160"/>
      <c r="D7" s="160"/>
      <c r="E7" s="161"/>
      <c r="G7" s="29" t="s">
        <v>1271</v>
      </c>
      <c r="H7" s="65">
        <f>COUNTA(OrganizationNames)</f>
        <v>0</v>
      </c>
    </row>
    <row r="8" spans="1:9" ht="15.75" thickBot="1" x14ac:dyDescent="0.3">
      <c r="A8" s="151" t="s">
        <v>156</v>
      </c>
      <c r="B8" s="152" t="s">
        <v>157</v>
      </c>
      <c r="C8" s="152" t="s">
        <v>19</v>
      </c>
      <c r="D8" s="153" t="s">
        <v>158</v>
      </c>
      <c r="E8" s="154" t="s">
        <v>159</v>
      </c>
      <c r="G8" s="29" t="s">
        <v>1272</v>
      </c>
      <c r="H8" s="65">
        <f>COUNTA(People[Last Name])</f>
        <v>0</v>
      </c>
      <c r="I8" s="7"/>
    </row>
    <row r="9" spans="1:9" ht="16.5" thickTop="1" thickBot="1" x14ac:dyDescent="0.3">
      <c r="A9" s="155"/>
      <c r="B9" s="8"/>
      <c r="C9" s="8"/>
      <c r="D9" s="9"/>
      <c r="E9" s="156"/>
      <c r="G9" s="29" t="s">
        <v>1366</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2" t="s">
        <v>154</v>
      </c>
      <c r="B22" s="163"/>
      <c r="C22" s="163"/>
      <c r="D22" s="163"/>
      <c r="E22" s="163"/>
      <c r="F22" s="163"/>
      <c r="G22" s="163"/>
      <c r="H22" s="163"/>
      <c r="I22" s="164"/>
    </row>
    <row r="23" spans="1:9" ht="15.75" thickBot="1" x14ac:dyDescent="0.3">
      <c r="A23" s="74" t="s">
        <v>15</v>
      </c>
      <c r="B23" s="76" t="s">
        <v>16</v>
      </c>
      <c r="C23" s="69" t="s">
        <v>17</v>
      </c>
      <c r="D23" s="69" t="s">
        <v>19</v>
      </c>
      <c r="E23" s="69" t="s">
        <v>18</v>
      </c>
      <c r="F23" s="72" t="s">
        <v>190</v>
      </c>
      <c r="G23" s="77" t="s">
        <v>1343</v>
      </c>
      <c r="H23" s="31" t="s">
        <v>303</v>
      </c>
      <c r="I23" s="31" t="s">
        <v>1364</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5" t="s">
        <v>20</v>
      </c>
      <c r="B3" s="166"/>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67" t="s">
        <v>21</v>
      </c>
      <c r="B16" s="168"/>
      <c r="C16" s="37"/>
      <c r="D16" s="38"/>
      <c r="E16" s="38"/>
    </row>
    <row r="17" spans="1:5" ht="15.75" thickBot="1" x14ac:dyDescent="0.3">
      <c r="A17" s="74" t="s">
        <v>185</v>
      </c>
      <c r="B17" s="75" t="s">
        <v>304</v>
      </c>
      <c r="D17" s="29" t="s">
        <v>1270</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5" t="s">
        <v>129</v>
      </c>
      <c r="B6" s="166"/>
    </row>
    <row r="7" spans="1:20" ht="16.5" thickTop="1" thickBot="1" x14ac:dyDescent="0.3">
      <c r="A7" s="66" t="s">
        <v>27</v>
      </c>
      <c r="B7" s="32"/>
      <c r="D7" s="28" t="s">
        <v>296</v>
      </c>
      <c r="H7" s="29" t="s">
        <v>1269</v>
      </c>
      <c r="I7" s="65">
        <f>COUNTA(SamplingFeatures[Feature Code])</f>
        <v>0</v>
      </c>
      <c r="M7" s="29" t="s">
        <v>1265</v>
      </c>
      <c r="N7" s="65">
        <f>MAX(Sites[SiteID])</f>
        <v>0</v>
      </c>
      <c r="R7" s="29" t="s">
        <v>1266</v>
      </c>
      <c r="S7" s="30">
        <f>MAX(Specimens[SpecimenID])</f>
        <v>0</v>
      </c>
    </row>
    <row r="8" spans="1:20" ht="15.75" thickBot="1" x14ac:dyDescent="0.3">
      <c r="A8" s="67" t="s">
        <v>128</v>
      </c>
      <c r="B8" s="36"/>
      <c r="D8" s="28" t="s">
        <v>1368</v>
      </c>
      <c r="H8" s="29" t="s">
        <v>1367</v>
      </c>
      <c r="I8" s="65">
        <f>MAX(SamplingFeatures[IGSNID])</f>
        <v>0</v>
      </c>
    </row>
    <row r="9" spans="1:20" ht="15.75" thickBot="1" x14ac:dyDescent="0.3">
      <c r="K9" s="169" t="s">
        <v>207</v>
      </c>
      <c r="L9" s="169"/>
      <c r="M9" s="169"/>
      <c r="N9" s="169"/>
      <c r="P9" s="169" t="s">
        <v>206</v>
      </c>
      <c r="Q9" s="169"/>
      <c r="R9" s="169"/>
      <c r="S9" s="169"/>
    </row>
    <row r="10" spans="1:20" ht="15.75" thickBot="1" x14ac:dyDescent="0.3">
      <c r="A10" s="68" t="s">
        <v>22</v>
      </c>
      <c r="B10" s="69" t="s">
        <v>23</v>
      </c>
      <c r="C10" s="69" t="s">
        <v>127</v>
      </c>
      <c r="D10" s="69" t="s">
        <v>211</v>
      </c>
      <c r="E10" s="70" t="s">
        <v>209</v>
      </c>
      <c r="F10" s="71" t="s">
        <v>210</v>
      </c>
      <c r="G10" s="72" t="s">
        <v>212</v>
      </c>
      <c r="H10" s="72" t="s">
        <v>26</v>
      </c>
      <c r="I10" s="73" t="s">
        <v>1234</v>
      </c>
      <c r="J10" s="147" t="s">
        <v>1365</v>
      </c>
      <c r="K10" s="52"/>
      <c r="L10" s="63" t="s">
        <v>1165</v>
      </c>
      <c r="M10" s="74" t="s">
        <v>203</v>
      </c>
      <c r="N10" s="69" t="s">
        <v>24</v>
      </c>
      <c r="O10" s="75" t="s">
        <v>25</v>
      </c>
      <c r="P10" s="53"/>
      <c r="Q10" s="63" t="s">
        <v>1166</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0</v>
      </c>
      <c r="I3" s="29" t="s">
        <v>1268</v>
      </c>
      <c r="J3" s="30">
        <f>MAX(RelatedFeatures[OffsetID])</f>
        <v>0</v>
      </c>
    </row>
    <row r="4" spans="1:11" ht="15.75" thickBot="1" x14ac:dyDescent="0.3"/>
    <row r="5" spans="1:11" x14ac:dyDescent="0.25">
      <c r="A5" s="167" t="s">
        <v>264</v>
      </c>
      <c r="B5" s="170"/>
      <c r="C5" s="170"/>
      <c r="D5" s="170"/>
      <c r="E5" s="170"/>
      <c r="F5" s="170"/>
      <c r="G5" s="170"/>
      <c r="H5" s="170"/>
      <c r="I5" s="170"/>
      <c r="J5" s="170"/>
      <c r="K5" s="168"/>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0</v>
      </c>
    </row>
    <row r="4" spans="1:6" ht="15.75" thickBot="1" x14ac:dyDescent="0.3"/>
    <row r="5" spans="1:6" x14ac:dyDescent="0.25">
      <c r="A5" s="171" t="s">
        <v>271</v>
      </c>
      <c r="B5" s="172"/>
      <c r="C5" s="172"/>
      <c r="D5" s="172"/>
      <c r="E5" s="172"/>
      <c r="F5" s="173"/>
    </row>
    <row r="6" spans="1:6" ht="15.75" thickBot="1" x14ac:dyDescent="0.3">
      <c r="A6" s="74" t="s">
        <v>268</v>
      </c>
      <c r="B6" s="69" t="s">
        <v>148</v>
      </c>
      <c r="C6" s="69" t="s">
        <v>147</v>
      </c>
      <c r="D6" s="76" t="s">
        <v>149</v>
      </c>
      <c r="E6" s="76" t="s">
        <v>269</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0</v>
      </c>
    </row>
    <row r="4" spans="1:6" ht="15.75" thickBot="1" x14ac:dyDescent="0.3"/>
    <row r="5" spans="1:6" x14ac:dyDescent="0.25">
      <c r="A5" s="171" t="s">
        <v>312</v>
      </c>
      <c r="B5" s="172"/>
      <c r="C5" s="172"/>
      <c r="D5" s="172"/>
      <c r="E5" s="172"/>
      <c r="F5" s="173"/>
    </row>
    <row r="6" spans="1:6" ht="15.75" thickBot="1" x14ac:dyDescent="0.3">
      <c r="A6" s="74" t="s">
        <v>308</v>
      </c>
      <c r="B6" s="69" t="s">
        <v>145</v>
      </c>
      <c r="C6" s="69" t="s">
        <v>144</v>
      </c>
      <c r="D6" s="76" t="s">
        <v>309</v>
      </c>
      <c r="E6" s="76" t="s">
        <v>310</v>
      </c>
      <c r="F6" s="75" t="s">
        <v>311</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7" t="s">
        <v>1225</v>
      </c>
      <c r="B5" s="170"/>
      <c r="C5" s="168"/>
    </row>
    <row r="6" spans="1:5" ht="15.75" thickBot="1" x14ac:dyDescent="0.3">
      <c r="A6" s="74" t="s">
        <v>1223</v>
      </c>
      <c r="B6" s="69" t="s">
        <v>1224</v>
      </c>
      <c r="C6" s="103" t="s">
        <v>1226</v>
      </c>
    </row>
    <row r="7" spans="1:5" ht="90.75" thickTop="1" x14ac:dyDescent="0.25">
      <c r="A7" s="99">
        <v>0</v>
      </c>
      <c r="B7" s="100" t="s">
        <v>1315</v>
      </c>
      <c r="C7" s="101" t="s">
        <v>1316</v>
      </c>
    </row>
    <row r="8" spans="1:5" ht="75" x14ac:dyDescent="0.25">
      <c r="A8" s="92">
        <v>1</v>
      </c>
      <c r="B8" s="80" t="s">
        <v>1317</v>
      </c>
      <c r="C8" s="102" t="s">
        <v>1377</v>
      </c>
    </row>
    <row r="9" spans="1:5" ht="60" x14ac:dyDescent="0.25">
      <c r="A9" s="92">
        <v>2</v>
      </c>
      <c r="B9" s="80" t="s">
        <v>1373</v>
      </c>
      <c r="C9" s="102" t="s">
        <v>1376</v>
      </c>
    </row>
    <row r="10" spans="1:5" ht="60" x14ac:dyDescent="0.25">
      <c r="A10" s="92">
        <v>3</v>
      </c>
      <c r="B10" s="80" t="s">
        <v>1374</v>
      </c>
      <c r="C10" s="102" t="s">
        <v>1378</v>
      </c>
    </row>
    <row r="11" spans="1:5" ht="75" x14ac:dyDescent="0.25">
      <c r="A11" s="92">
        <v>4</v>
      </c>
      <c r="B11" s="80" t="s">
        <v>1375</v>
      </c>
      <c r="C11" s="102" t="s">
        <v>1379</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1308</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-2</v>
      </c>
      <c r="O9" s="104"/>
    </row>
    <row r="10" spans="1:15" x14ac:dyDescent="0.25">
      <c r="A10" s="174" t="s">
        <v>143</v>
      </c>
      <c r="B10" s="175"/>
      <c r="C10" s="175"/>
      <c r="D10" s="175"/>
      <c r="E10" s="175"/>
      <c r="F10" s="175"/>
      <c r="G10" s="175"/>
      <c r="H10" s="175"/>
      <c r="I10" s="175"/>
      <c r="J10" s="175"/>
      <c r="K10" s="175"/>
      <c r="L10" s="175"/>
      <c r="M10" s="175"/>
      <c r="N10" s="175"/>
      <c r="O10" s="175"/>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40"/>
    </row>
    <row r="13" spans="1:15" x14ac:dyDescent="0.25">
      <c r="A13" s="62" t="str">
        <f>IF(COUNTA(DataColumns[[#This Row],[Column Label]:[Quality Code]])&gt;0,IF(MAX(A$11:A12)=0,3,MAX(A$11:A12)+1),"")</f>
        <v/>
      </c>
      <c r="B13" s="10"/>
      <c r="C13" s="23"/>
      <c r="D13" s="11"/>
      <c r="E13" s="11"/>
      <c r="F13" s="11"/>
      <c r="G13" s="11"/>
      <c r="H13" s="11"/>
      <c r="I13" s="11"/>
      <c r="J13" s="11"/>
      <c r="K13" s="11"/>
      <c r="L13" s="11"/>
      <c r="M13" s="11"/>
      <c r="N13" s="11"/>
      <c r="O13" s="42"/>
    </row>
    <row r="14" spans="1:15" x14ac:dyDescent="0.25">
      <c r="A14" s="62" t="str">
        <f>IF(COUNTA(DataColumns[[#This Row],[Column Label]:[Quality Code]])&gt;0,IF(MAX(A$11:A13)=0,3,MAX(A$11:A13)+1),"")</f>
        <v/>
      </c>
      <c r="B14" s="10"/>
      <c r="C14" s="23"/>
      <c r="D14" s="11"/>
      <c r="E14" s="11"/>
      <c r="F14" s="11"/>
      <c r="G14" s="11"/>
      <c r="H14" s="11"/>
      <c r="I14" s="11"/>
      <c r="J14" s="11"/>
      <c r="K14" s="11"/>
      <c r="L14" s="11"/>
      <c r="M14" s="11"/>
      <c r="N14" s="11"/>
      <c r="O14" s="42"/>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C1" workbookViewId="0">
      <selection activeCell="AG4" sqref="AG4"/>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1369</v>
      </c>
      <c r="F1" s="28" t="s">
        <v>1349</v>
      </c>
      <c r="G1" s="28" t="s">
        <v>238</v>
      </c>
      <c r="H1" s="28" t="s">
        <v>1360</v>
      </c>
      <c r="I1" s="28" t="s">
        <v>240</v>
      </c>
      <c r="J1" s="28" t="s">
        <v>241</v>
      </c>
      <c r="K1" s="28" t="s">
        <v>1359</v>
      </c>
      <c r="L1" s="28" t="s">
        <v>242</v>
      </c>
      <c r="M1" s="28" t="s">
        <v>243</v>
      </c>
      <c r="N1" s="28" t="s">
        <v>244</v>
      </c>
      <c r="O1" s="28" t="s">
        <v>245</v>
      </c>
      <c r="P1" s="28" t="s">
        <v>1361</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MAX(NumDataColumns+1,2)</f>
        <v>2</v>
      </c>
      <c r="Z2" s="28">
        <f>MAX(NumDataColumns+1,2)</f>
        <v>2</v>
      </c>
      <c r="AA2" s="28">
        <f>MAX(NumDataColumns+1,2)</f>
        <v>2</v>
      </c>
      <c r="AB2" s="28">
        <f>MAX(NumDataColumns+1,2)</f>
        <v>2</v>
      </c>
      <c r="AC2" s="28">
        <f>IF(NumDataColumns&lt;1,5,NumDataColumns+4)</f>
        <v>5</v>
      </c>
      <c r="AD2" s="28">
        <v>1</v>
      </c>
      <c r="AE2" s="28">
        <v>1</v>
      </c>
      <c r="AF2" s="28">
        <v>1</v>
      </c>
      <c r="AG2" s="28">
        <f>IF(NumDataValues=0,3,2)</f>
        <v>3</v>
      </c>
    </row>
    <row r="3" spans="1:35" x14ac:dyDescent="0.25">
      <c r="A3" s="28">
        <f t="shared" ref="A3:A8"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6</v>
      </c>
    </row>
    <row r="4" spans="1:35" x14ac:dyDescent="0.25">
      <c r="A4" s="28">
        <f t="shared" si="0"/>
        <v>1</v>
      </c>
      <c r="B4" s="28" t="str">
        <f>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28" t="s">
        <v>1247</v>
      </c>
      <c r="AF4" s="28" t="str">
        <f>IF(INDEX(DataColumns[Column Label],ROW()-3)="",
"PLEASE FILL IN METADATA FOR AT LEAST ONE DATA COLUMN",
INDEX(DataColumns[Column Label],ROW()-3))</f>
        <v>PLEASE FILL IN METADATA FOR AT LEAST ONE DATA COLUMN</v>
      </c>
      <c r="AG4" s="28" t="str">
        <f>IF(INDEX(DataColumns[Col '#],ROW()-3)="",
"PLEASE FILL IN METADATA FOR AT LEAST ONE DATA COLUMN",
CONCATENATE("ValueDateTime",", ","ValueDateTimeUTCOffset",", ",INDIRECT(CONCATENATE("R",NumDataColumns+3,"C[-1]"),FALSE)," ],["))</f>
        <v>PLEASE FILL IN METADATA FOR AT LEAST ONE DATA COLUMN</v>
      </c>
      <c r="AH4" s="28" t="s">
        <v>1277</v>
      </c>
      <c r="AI4" s="28">
        <f>SUM(B2:AG2)</f>
        <v>56</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28" t="s">
        <v>1248</v>
      </c>
      <c r="AF5" s="28" t="str">
        <f>IF(ROW()-3&gt;NumDataColumns,
"",
CONCATENATE(AF4,", ",INDEX(DataColumns[Column Label],ROW()-3)))</f>
        <v/>
      </c>
      <c r="AG5" s="28" t="str">
        <f>IF(NumDataValues=0,"PLEASE FILL IN DATA IN THE DATA VALUES WORKSHEET","")</f>
        <v>PLEASE FILL IN DATA IN THE DATA VALUES WORKSHEET</v>
      </c>
      <c r="AH5" s="28" t="s">
        <v>1278</v>
      </c>
      <c r="AI5" s="28">
        <f>COUNT('Data Values'!C2:C91844)</f>
        <v>0</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28" t="s">
        <v>1249</v>
      </c>
      <c r="AF6" s="28" t="str">
        <f>IF(ROW()-3&gt;NumDataColumns,
"",
CONCATENATE(AF5,", ",INDEX(DataColumns[Column Label],ROW()-3)))</f>
        <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28"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OFFSET('YODA Header Blocks'!$A$1,0,A2)</f>
        <v>YAML Header</v>
      </c>
      <c r="C2" s="28">
        <v>1</v>
      </c>
      <c r="D2" s="28"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IF(C2=INDIRECT(CONCATENATE("'YODA Header Blocks'!R2C",A2+1,":R2C",A2+1),FALSE),A2+1,A2)</f>
        <v>1</v>
      </c>
      <c r="B3" s="28" t="str">
        <f>OFFSET('YODA Header Blocks'!$A$1,0,A3)</f>
        <v>YAML Header</v>
      </c>
      <c r="C3" s="28">
        <f>IF(C2=SUM(INDIRECT(CONCATENATE("'YODA Header Blocks'!R2C",A2+1,":R2C",A2+1),FALSE)),1,C2+1)</f>
        <v>2</v>
      </c>
      <c r="D3" s="28"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57" si="0">IF(C3=INDIRECT(CONCATENATE("'YODA Header Blocks'!R2C",A3+1,":R2C",A3+1),FALSE),A3+1,A3)</f>
        <v>2</v>
      </c>
      <c r="B4" s="28" t="str">
        <f>OFFSET('YODA Header Blocks'!$A$1,0,A4)</f>
        <v>Dataset</v>
      </c>
      <c r="C4" s="28">
        <f t="shared" ref="C4:C57" si="1">IF(C3=SUM(INDIRECT(CONCATENATE("'YODA Header Blocks'!R2C",A3+1,":R2C",A3+1),FALSE)),1,C3+1)</f>
        <v>1</v>
      </c>
      <c r="D4" s="28"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si="0"/>
        <v>2</v>
      </c>
      <c r="B5" s="28" t="str">
        <f>OFFSET('YODA Header Blocks'!$A$1,0,A5)</f>
        <v>Dataset</v>
      </c>
      <c r="C5" s="28">
        <f t="shared" si="1"/>
        <v>2</v>
      </c>
      <c r="D5" s="28"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si="0"/>
        <v>3</v>
      </c>
      <c r="B6" s="28" t="str">
        <f>OFFSET('YODA Header Blocks'!$A$1,0,A6)</f>
        <v>Organizations</v>
      </c>
      <c r="C6" s="28">
        <f t="shared" si="1"/>
        <v>1</v>
      </c>
      <c r="D6" s="28"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si="0"/>
        <v>3</v>
      </c>
      <c r="B7" s="28" t="str">
        <f>OFFSET('YODA Header Blocks'!$A$1,0,A7)</f>
        <v>Organizations</v>
      </c>
      <c r="C7" s="28">
        <f t="shared" si="1"/>
        <v>2</v>
      </c>
      <c r="D7" s="28"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si="0"/>
        <v>4</v>
      </c>
      <c r="B8" s="28" t="str">
        <f>OFFSET('YODA Header Blocks'!$A$1,0,A8)</f>
        <v>External Identifier Organizations</v>
      </c>
      <c r="C8" s="28">
        <f t="shared" si="1"/>
        <v>1</v>
      </c>
      <c r="D8" s="28"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si="0"/>
        <v>5</v>
      </c>
      <c r="B9" s="28" t="str">
        <f>OFFSET('YODA Header Blocks'!$A$1,0,A9)</f>
        <v>External Identifier Systems</v>
      </c>
      <c r="C9" s="28">
        <f t="shared" si="1"/>
        <v>1</v>
      </c>
      <c r="D9" s="28"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si="0"/>
        <v>6</v>
      </c>
      <c r="B10" s="28" t="str">
        <f>OFFSET('YODA Header Blocks'!$A$1,0,A10)</f>
        <v>People</v>
      </c>
      <c r="C10" s="28">
        <f t="shared" si="1"/>
        <v>1</v>
      </c>
      <c r="D10" s="28"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si="0"/>
        <v>6</v>
      </c>
      <c r="B11" s="28" t="str">
        <f>OFFSET('YODA Header Blocks'!$A$1,0,A11)</f>
        <v>People</v>
      </c>
      <c r="C11" s="28">
        <f t="shared" si="1"/>
        <v>2</v>
      </c>
      <c r="D11" s="28"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si="0"/>
        <v>7</v>
      </c>
      <c r="B12" s="28" t="str">
        <f>OFFSET('YODA Header Blocks'!$A$1,0,A12)</f>
        <v>Person External Identifiers</v>
      </c>
      <c r="C12" s="28">
        <f t="shared" si="1"/>
        <v>1</v>
      </c>
      <c r="D12" s="28"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si="0"/>
        <v>8</v>
      </c>
      <c r="B13" s="28" t="str">
        <f>OFFSET('YODA Header Blocks'!$A$1,0,A13)</f>
        <v>Affiliations</v>
      </c>
      <c r="C13" s="28">
        <f t="shared" si="1"/>
        <v>1</v>
      </c>
      <c r="D13" s="28"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si="0"/>
        <v>8</v>
      </c>
      <c r="B14" s="28" t="str">
        <f>OFFSET('YODA Header Blocks'!$A$1,0,A14)</f>
        <v>Affiliations</v>
      </c>
      <c r="C14" s="28">
        <f t="shared" si="1"/>
        <v>2</v>
      </c>
      <c r="D14" s="28"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si="0"/>
        <v>9</v>
      </c>
      <c r="B15" s="28" t="str">
        <f>OFFSET('YODA Header Blocks'!$A$1,0,A15)</f>
        <v>Citation</v>
      </c>
      <c r="C15" s="28">
        <f t="shared" si="1"/>
        <v>1</v>
      </c>
      <c r="D15" s="28"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si="0"/>
        <v>10</v>
      </c>
      <c r="B16" s="28" t="str">
        <f>OFFSET('YODA Header Blocks'!$A$1,0,A16)</f>
        <v>Citation External Identifiers</v>
      </c>
      <c r="C16" s="28">
        <f t="shared" si="1"/>
        <v>1</v>
      </c>
      <c r="D16" s="28"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si="0"/>
        <v>11</v>
      </c>
      <c r="B17" s="28" t="str">
        <f>OFFSET('YODA Header Blocks'!$A$1,0,A17)</f>
        <v>AuthorList</v>
      </c>
      <c r="C17" s="28">
        <f t="shared" si="1"/>
        <v>1</v>
      </c>
      <c r="D17" s="28"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si="0"/>
        <v>12</v>
      </c>
      <c r="B18" s="28" t="str">
        <f>OFFSET('YODA Header Blocks'!$A$1,0,A18)</f>
        <v>DatasetCitations</v>
      </c>
      <c r="C18" s="28">
        <f t="shared" si="1"/>
        <v>1</v>
      </c>
      <c r="D18" s="28"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si="0"/>
        <v>13</v>
      </c>
      <c r="B19" s="28" t="str">
        <f>OFFSET('YODA Header Blocks'!$A$1,0,A19)</f>
        <v>Spatial References</v>
      </c>
      <c r="C19" s="28">
        <f t="shared" si="1"/>
        <v>1</v>
      </c>
      <c r="D19" s="28"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si="0"/>
        <v>13</v>
      </c>
      <c r="B20" s="28" t="str">
        <f>OFFSET('YODA Header Blocks'!$A$1,0,A20)</f>
        <v>Spatial References</v>
      </c>
      <c r="C20" s="28">
        <f t="shared" si="1"/>
        <v>2</v>
      </c>
      <c r="D20" s="28"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si="0"/>
        <v>14</v>
      </c>
      <c r="B21" s="28" t="str">
        <f>OFFSET('YODA Header Blocks'!$A$1,0,A21)</f>
        <v>Sampling Features</v>
      </c>
      <c r="C21" s="28">
        <f t="shared" si="1"/>
        <v>1</v>
      </c>
      <c r="D21" s="28"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si="0"/>
        <v>14</v>
      </c>
      <c r="B22" s="28" t="str">
        <f>OFFSET('YODA Header Blocks'!$A$1,0,A22)</f>
        <v>Sampling Features</v>
      </c>
      <c r="C22" s="28">
        <f t="shared" si="1"/>
        <v>2</v>
      </c>
      <c r="D22" s="28"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si="0"/>
        <v>15</v>
      </c>
      <c r="B23" s="28" t="str">
        <f>OFFSET('YODA Header Blocks'!$A$1,0,A23)</f>
        <v>Sampling Feature External Identifiers</v>
      </c>
      <c r="C23" s="28">
        <f t="shared" si="1"/>
        <v>1</v>
      </c>
      <c r="D23" s="28"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si="0"/>
        <v>16</v>
      </c>
      <c r="B24" s="28" t="str">
        <f>OFFSET('YODA Header Blocks'!$A$1,0,A24)</f>
        <v>Sites</v>
      </c>
      <c r="C24" s="28">
        <f t="shared" si="1"/>
        <v>1</v>
      </c>
      <c r="D24" s="28"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si="0"/>
        <v>17</v>
      </c>
      <c r="B25" s="28" t="str">
        <f>OFFSET('YODA Header Blocks'!$A$1,0,A25)</f>
        <v>Specimens</v>
      </c>
      <c r="C25" s="28">
        <f t="shared" si="1"/>
        <v>1</v>
      </c>
      <c r="D25" s="28"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si="0"/>
        <v>18</v>
      </c>
      <c r="B26" s="28" t="str">
        <f>OFFSET('YODA Header Blocks'!$A$1,0,A26)</f>
        <v>SpatialOffsets</v>
      </c>
      <c r="C26" s="28">
        <f t="shared" si="1"/>
        <v>1</v>
      </c>
      <c r="D26" s="28"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si="0"/>
        <v>19</v>
      </c>
      <c r="B27" s="28" t="str">
        <f>OFFSET('YODA Header Blocks'!$A$1,0,A27)</f>
        <v>RelatedFeatures</v>
      </c>
      <c r="C27" s="28">
        <f t="shared" si="1"/>
        <v>1</v>
      </c>
      <c r="D27" s="28"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si="0"/>
        <v>20</v>
      </c>
      <c r="B28" s="28" t="str">
        <f>OFFSET('YODA Header Blocks'!$A$1,0,A28)</f>
        <v>Methods</v>
      </c>
      <c r="C28" s="28">
        <f t="shared" si="1"/>
        <v>1</v>
      </c>
      <c r="D28" s="28"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si="0"/>
        <v>20</v>
      </c>
      <c r="B29" s="28" t="str">
        <f>OFFSET('YODA Header Blocks'!$A$1,0,A29)</f>
        <v>Methods</v>
      </c>
      <c r="C29" s="28">
        <f t="shared" si="1"/>
        <v>2</v>
      </c>
      <c r="D29" s="28"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si="0"/>
        <v>21</v>
      </c>
      <c r="B30" s="28" t="str">
        <f>OFFSET('YODA Header Blocks'!$A$1,0,A30)</f>
        <v>Variables</v>
      </c>
      <c r="C30" s="28">
        <f t="shared" si="1"/>
        <v>1</v>
      </c>
      <c r="D30" s="28"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si="0"/>
        <v>21</v>
      </c>
      <c r="B31" s="28" t="str">
        <f>OFFSET('YODA Header Blocks'!$A$1,0,A31)</f>
        <v>Variables</v>
      </c>
      <c r="C31" s="28">
        <f t="shared" si="1"/>
        <v>2</v>
      </c>
      <c r="D31" s="28"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si="0"/>
        <v>22</v>
      </c>
      <c r="B32" s="28" t="str">
        <f>OFFSET('YODA Header Blocks'!$A$1,0,A32)</f>
        <v>Units</v>
      </c>
      <c r="C32" s="28">
        <f t="shared" si="1"/>
        <v>1</v>
      </c>
      <c r="D32" s="28"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si="0"/>
        <v>23</v>
      </c>
      <c r="B33" s="28" t="str">
        <f>OFFSET('YODA Header Blocks'!$A$1,0,A33)</f>
        <v>Processing Levels</v>
      </c>
      <c r="C33" s="28">
        <f t="shared" si="1"/>
        <v>1</v>
      </c>
      <c r="D33" s="28"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si="0"/>
        <v>23</v>
      </c>
      <c r="B34" s="28" t="str">
        <f>OFFSET('YODA Header Blocks'!$A$1,0,A34)</f>
        <v>Processing Levels</v>
      </c>
      <c r="C34" s="28">
        <f t="shared" si="1"/>
        <v>2</v>
      </c>
      <c r="D34" s="28"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si="0"/>
        <v>23</v>
      </c>
      <c r="B35" s="28" t="str">
        <f>OFFSET('YODA Header Blocks'!$A$1,0,A35)</f>
        <v>Processing Levels</v>
      </c>
      <c r="C35" s="28">
        <f t="shared" si="1"/>
        <v>3</v>
      </c>
      <c r="D35" s="28"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si="0"/>
        <v>23</v>
      </c>
      <c r="B36" s="28" t="str">
        <f>OFFSET('YODA Header Blocks'!$A$1,0,A36)</f>
        <v>Processing Levels</v>
      </c>
      <c r="C36" s="28">
        <f t="shared" si="1"/>
        <v>4</v>
      </c>
      <c r="D36" s="28"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si="0"/>
        <v>23</v>
      </c>
      <c r="B37" s="28" t="str">
        <f>OFFSET('YODA Header Blocks'!$A$1,0,A37)</f>
        <v>Processing Levels</v>
      </c>
      <c r="C37" s="28">
        <f t="shared" si="1"/>
        <v>5</v>
      </c>
      <c r="D37" s="28"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si="0"/>
        <v>23</v>
      </c>
      <c r="B38" s="28" t="str">
        <f>OFFSET('YODA Header Blocks'!$A$1,0,A38)</f>
        <v>Processing Levels</v>
      </c>
      <c r="C38" s="28">
        <f t="shared" si="1"/>
        <v>6</v>
      </c>
      <c r="D38" s="28"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si="0"/>
        <v>24</v>
      </c>
      <c r="B39" s="28" t="str">
        <f>OFFSET('YODA Header Blocks'!$A$1,0,A39)</f>
        <v>Actions</v>
      </c>
      <c r="C39" s="28">
        <f t="shared" si="1"/>
        <v>1</v>
      </c>
      <c r="D39" s="28"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si="0"/>
        <v>24</v>
      </c>
      <c r="B40" s="28" t="str">
        <f>OFFSET('YODA Header Blocks'!$A$1,0,A40)</f>
        <v>Actions</v>
      </c>
      <c r="C40" s="28">
        <f t="shared" si="1"/>
        <v>2</v>
      </c>
      <c r="D40" s="28"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si="0"/>
        <v>25</v>
      </c>
      <c r="B41" s="28" t="str">
        <f>OFFSET('YODA Header Blocks'!$A$1,0,A41)</f>
        <v>Feature Actions</v>
      </c>
      <c r="C41" s="28">
        <f t="shared" si="1"/>
        <v>1</v>
      </c>
      <c r="D41" s="28"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si="0"/>
        <v>25</v>
      </c>
      <c r="B42" s="28" t="str">
        <f>OFFSET('YODA Header Blocks'!$A$1,0,A42)</f>
        <v>Feature Actions</v>
      </c>
      <c r="C42" s="28">
        <f t="shared" si="1"/>
        <v>2</v>
      </c>
      <c r="D42" s="28"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si="0"/>
        <v>26</v>
      </c>
      <c r="B43" s="28" t="str">
        <f>OFFSET('YODA Header Blocks'!$A$1,0,A43)</f>
        <v>Results</v>
      </c>
      <c r="C43" s="28">
        <f t="shared" si="1"/>
        <v>1</v>
      </c>
      <c r="D43" s="28"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28">
        <f t="shared" si="0"/>
        <v>26</v>
      </c>
      <c r="B44" s="28" t="str">
        <f>OFFSET('YODA Header Blocks'!$A$1,0,A44)</f>
        <v>Results</v>
      </c>
      <c r="C44" s="28">
        <f t="shared" si="1"/>
        <v>2</v>
      </c>
      <c r="D44" s="28"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si="0"/>
        <v>27</v>
      </c>
      <c r="B45" s="28" t="str">
        <f>OFFSET('YODA Header Blocks'!$A$1,0,A45)</f>
        <v>Time Series Results</v>
      </c>
      <c r="C45" s="28">
        <f t="shared" si="1"/>
        <v>1</v>
      </c>
      <c r="D45" s="28"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TimeSeriesResults:</v>
      </c>
    </row>
    <row r="46" spans="1:4" x14ac:dyDescent="0.25">
      <c r="A46" s="28">
        <f t="shared" si="0"/>
        <v>27</v>
      </c>
      <c r="B46" s="28" t="str">
        <f>OFFSET('YODA Header Blocks'!$A$1,0,A46)</f>
        <v>Time Series Results</v>
      </c>
      <c r="C46" s="28">
        <f t="shared" si="1"/>
        <v>2</v>
      </c>
      <c r="D46" s="28"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si="0"/>
        <v>28</v>
      </c>
      <c r="B47" s="28" t="str">
        <f>OFFSET('YODA Header Blocks'!$A$1,0,A47)</f>
        <v>Time Series Result Values</v>
      </c>
      <c r="C47" s="28">
        <f t="shared" si="1"/>
        <v>1</v>
      </c>
      <c r="D47" s="28"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TimeSeriesResultValues:</v>
      </c>
    </row>
    <row r="48" spans="1:4" x14ac:dyDescent="0.25">
      <c r="A48" s="28">
        <f t="shared" si="0"/>
        <v>28</v>
      </c>
      <c r="B48" s="28" t="str">
        <f>OFFSET('YODA Header Blocks'!$A$1,0,A48)</f>
        <v>Time Series Result Values</v>
      </c>
      <c r="C48" s="28">
        <f t="shared" si="1"/>
        <v>2</v>
      </c>
      <c r="D48" s="28"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ColumnDefinitions:</v>
      </c>
    </row>
    <row r="49" spans="1:4" x14ac:dyDescent="0.25">
      <c r="A49" s="28">
        <f t="shared" si="0"/>
        <v>28</v>
      </c>
      <c r="B49" s="28" t="str">
        <f>OFFSET('YODA Header Blocks'!$A$1,0,A49)</f>
        <v>Time Series Result Values</v>
      </c>
      <c r="C49" s="28">
        <f t="shared" si="1"/>
        <v>3</v>
      </c>
      <c r="D49" s="28"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0" spans="1:4" x14ac:dyDescent="0.25">
      <c r="A50" s="28">
        <f t="shared" si="0"/>
        <v>28</v>
      </c>
      <c r="B50" s="28" t="str">
        <f>OFFSET('YODA Header Blocks'!$A$1,0,A50)</f>
        <v>Time Series Result Values</v>
      </c>
      <c r="C50" s="28">
        <f t="shared" si="1"/>
        <v>4</v>
      </c>
      <c r="D50" s="28"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1" spans="1:4" x14ac:dyDescent="0.25">
      <c r="A51" s="28">
        <f t="shared" si="0"/>
        <v>28</v>
      </c>
      <c r="B51" s="28" t="str">
        <f>OFFSET('YODA Header Blocks'!$A$1,0,A51)</f>
        <v>Time Series Result Values</v>
      </c>
      <c r="C51" s="28">
        <f t="shared" si="1"/>
        <v>5</v>
      </c>
      <c r="D51" s="28"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28">
        <f t="shared" si="0"/>
        <v>29</v>
      </c>
      <c r="B52" s="28" t="str">
        <f>OFFSET('YODA Header Blocks'!$A$1,0,A52)</f>
        <v>Measurement Results</v>
      </c>
      <c r="C52" s="28">
        <f t="shared" si="1"/>
        <v>1</v>
      </c>
      <c r="D52" s="28"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c>
    </row>
    <row r="53" spans="1:4" x14ac:dyDescent="0.25">
      <c r="A53" s="28">
        <f t="shared" si="0"/>
        <v>30</v>
      </c>
      <c r="B53" s="28" t="str">
        <f>OFFSET('YODA Header Blocks'!$A$1,0,A53)</f>
        <v>Measurement Result Values</v>
      </c>
      <c r="C53" s="28">
        <f t="shared" si="1"/>
        <v>1</v>
      </c>
      <c r="D53" s="28"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28">
        <f t="shared" si="0"/>
        <v>31</v>
      </c>
      <c r="B54" s="28" t="str">
        <f>OFFSET('YODA Header Blocks'!$A$1,0,A54)</f>
        <v>Data Helper</v>
      </c>
      <c r="C54" s="28">
        <f t="shared" si="1"/>
        <v>1</v>
      </c>
      <c r="D54" s="28"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Data:</v>
      </c>
    </row>
    <row r="55" spans="1:4" x14ac:dyDescent="0.25">
      <c r="A55" s="28">
        <f t="shared" si="0"/>
        <v>32</v>
      </c>
      <c r="B55" s="28" t="str">
        <f>OFFSET('YODA Header Blocks'!$A$1,0,A55)</f>
        <v>Data Helper2</v>
      </c>
      <c r="C55" s="28">
        <f t="shared" si="1"/>
        <v>1</v>
      </c>
      <c r="D55" s="28"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v>
      </c>
    </row>
    <row r="56" spans="1:4" x14ac:dyDescent="0.25">
      <c r="A56" s="28">
        <f t="shared" si="0"/>
        <v>32</v>
      </c>
      <c r="B56" s="28" t="str">
        <f>OFFSET('YODA Header Blocks'!$A$1,0,A56)</f>
        <v>Data Helper2</v>
      </c>
      <c r="C56" s="28">
        <f t="shared" si="1"/>
        <v>2</v>
      </c>
      <c r="D56" s="28"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28">
        <f t="shared" si="0"/>
        <v>32</v>
      </c>
      <c r="B57" s="28" t="str">
        <f>OFFSET('YODA Header Blocks'!$A$1,0,A57)</f>
        <v>Data Helper2</v>
      </c>
      <c r="C57" s="28">
        <f t="shared" si="1"/>
        <v>3</v>
      </c>
      <c r="D57" s="28"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DATA IN THE DATA VALUES WORKSHEET</v>
      </c>
    </row>
    <row r="58" spans="1:4" x14ac:dyDescent="0.25">
      <c r="D58" s="28"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v>
      </c>
    </row>
    <row r="59" spans="1:4" x14ac:dyDescent="0.25">
      <c r="D59" s="28"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sqref="A1:A58"/>
    </sheetView>
  </sheetViews>
  <sheetFormatPr defaultRowHeight="15" x14ac:dyDescent="0.25"/>
  <sheetData>
    <row r="1" spans="1:1" x14ac:dyDescent="0.25">
      <c r="A1" t="s">
        <v>136</v>
      </c>
    </row>
    <row r="2" spans="1:1" x14ac:dyDescent="0.25">
      <c r="A2" t="s">
        <v>1370</v>
      </c>
    </row>
    <row r="3" spans="1:1" x14ac:dyDescent="0.25">
      <c r="A3" t="s">
        <v>1281</v>
      </c>
    </row>
    <row r="4" spans="1:1" x14ac:dyDescent="0.25">
      <c r="A4" t="s">
        <v>1392</v>
      </c>
    </row>
    <row r="5" spans="1:1" x14ac:dyDescent="0.25">
      <c r="A5" t="s">
        <v>191</v>
      </c>
    </row>
    <row r="6" spans="1:1" x14ac:dyDescent="0.25">
      <c r="A6" t="s">
        <v>1380</v>
      </c>
    </row>
    <row r="7" spans="1:1" x14ac:dyDescent="0.25">
      <c r="A7" t="s">
        <v>189</v>
      </c>
    </row>
    <row r="8" spans="1:1" x14ac:dyDescent="0.25">
      <c r="A8" t="s">
        <v>1381</v>
      </c>
    </row>
    <row r="9" spans="1:1" x14ac:dyDescent="0.25">
      <c r="A9" t="s">
        <v>192</v>
      </c>
    </row>
    <row r="10" spans="1:1" x14ac:dyDescent="0.25">
      <c r="A10" t="s">
        <v>234</v>
      </c>
    </row>
    <row r="11" spans="1:1" x14ac:dyDescent="0.25">
      <c r="A11" t="s">
        <v>1382</v>
      </c>
    </row>
    <row r="12" spans="1:1" x14ac:dyDescent="0.25">
      <c r="A12" t="s">
        <v>235</v>
      </c>
    </row>
    <row r="13" spans="1:1" x14ac:dyDescent="0.25">
      <c r="A13" t="s">
        <v>1383</v>
      </c>
    </row>
    <row r="14" spans="1:1" x14ac:dyDescent="0.25">
      <c r="A14" t="s">
        <v>295</v>
      </c>
    </row>
    <row r="15" spans="1:1" x14ac:dyDescent="0.25">
      <c r="A15" t="s">
        <v>1384</v>
      </c>
    </row>
    <row r="16" spans="1:1" x14ac:dyDescent="0.25">
      <c r="A16" t="s">
        <v>1106</v>
      </c>
    </row>
    <row r="17" spans="1:1" x14ac:dyDescent="0.25">
      <c r="A17" t="s">
        <v>1385</v>
      </c>
    </row>
    <row r="18" spans="1:1" x14ac:dyDescent="0.25">
      <c r="A18" t="s">
        <v>1228</v>
      </c>
    </row>
    <row r="19" spans="1:1" x14ac:dyDescent="0.25">
      <c r="A19" t="s">
        <v>1371</v>
      </c>
    </row>
    <row r="20" spans="1:1" x14ac:dyDescent="0.25">
      <c r="A20" t="s">
        <v>1386</v>
      </c>
    </row>
    <row r="21" spans="1:1" x14ac:dyDescent="0.25">
      <c r="A21" t="s">
        <v>1387</v>
      </c>
    </row>
    <row r="22" spans="1:1" x14ac:dyDescent="0.25">
      <c r="A22" t="s">
        <v>1388</v>
      </c>
    </row>
    <row r="23" spans="1:1" x14ac:dyDescent="0.25">
      <c r="A23" t="s">
        <v>1389</v>
      </c>
    </row>
    <row r="24" spans="1:1" x14ac:dyDescent="0.25">
      <c r="A24" t="s">
        <v>1235</v>
      </c>
    </row>
    <row r="25" spans="1:1" x14ac:dyDescent="0.25">
      <c r="A25" t="s">
        <v>1390</v>
      </c>
    </row>
    <row r="26" spans="1:1" x14ac:dyDescent="0.25">
      <c r="A26" t="s">
        <v>1237</v>
      </c>
    </row>
    <row r="27" spans="1:1" x14ac:dyDescent="0.25">
      <c r="A27" t="s">
        <v>1390</v>
      </c>
    </row>
    <row r="28" spans="1:1" x14ac:dyDescent="0.25">
      <c r="A28" t="s">
        <v>1239</v>
      </c>
    </row>
    <row r="29" spans="1:1" x14ac:dyDescent="0.25">
      <c r="A29" t="s">
        <v>1390</v>
      </c>
    </row>
    <row r="30" spans="1:1" x14ac:dyDescent="0.25">
      <c r="A30" t="s">
        <v>1240</v>
      </c>
    </row>
    <row r="31" spans="1:1" x14ac:dyDescent="0.25">
      <c r="A31" t="s">
        <v>1390</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1390</v>
      </c>
    </row>
    <row r="37" spans="1:1" x14ac:dyDescent="0.25">
      <c r="A37" t="s">
        <v>1254</v>
      </c>
    </row>
    <row r="38" spans="1:1" x14ac:dyDescent="0.25">
      <c r="A38" t="s">
        <v>1257</v>
      </c>
    </row>
    <row r="39" spans="1:1" x14ac:dyDescent="0.25">
      <c r="A39" t="s">
        <v>1390</v>
      </c>
    </row>
    <row r="40" spans="1:1" x14ac:dyDescent="0.25">
      <c r="A40" t="s">
        <v>1391</v>
      </c>
    </row>
    <row r="41" spans="1:1" x14ac:dyDescent="0.25">
      <c r="A41" t="s">
        <v>1372</v>
      </c>
    </row>
  </sheetData>
  <conditionalFormatting sqref="A1:A1048576">
    <cfRule type="containsText" dxfId="0"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76" t="s">
        <v>1324</v>
      </c>
      <c r="B3" s="177"/>
      <c r="C3" s="177"/>
      <c r="D3" s="178"/>
    </row>
    <row r="4" spans="1:4" ht="15.75" thickBot="1" x14ac:dyDescent="0.3">
      <c r="A4" s="109" t="s">
        <v>1320</v>
      </c>
      <c r="B4" s="110" t="s">
        <v>1321</v>
      </c>
      <c r="C4" s="110" t="s">
        <v>1322</v>
      </c>
      <c r="D4" s="111" t="s">
        <v>1323</v>
      </c>
    </row>
    <row r="5" spans="1:4" ht="15.75" thickTop="1" x14ac:dyDescent="0.25">
      <c r="A5" s="118" t="s">
        <v>14</v>
      </c>
      <c r="B5" s="112" t="s">
        <v>14</v>
      </c>
      <c r="C5" s="113" t="s">
        <v>1334</v>
      </c>
      <c r="D5" s="119"/>
    </row>
    <row r="6" spans="1:4" ht="60" x14ac:dyDescent="0.25">
      <c r="A6" s="120" t="s">
        <v>1325</v>
      </c>
      <c r="B6" s="114" t="s">
        <v>130</v>
      </c>
      <c r="C6" s="115" t="s">
        <v>1326</v>
      </c>
      <c r="D6" s="121" t="s">
        <v>1327</v>
      </c>
    </row>
    <row r="7" spans="1:4" ht="60" x14ac:dyDescent="0.25">
      <c r="A7" s="120" t="s">
        <v>1328</v>
      </c>
      <c r="B7" s="114" t="s">
        <v>131</v>
      </c>
      <c r="C7" s="115" t="s">
        <v>1329</v>
      </c>
      <c r="D7" s="121" t="s">
        <v>1330</v>
      </c>
    </row>
    <row r="8" spans="1:4" ht="30.75" thickBot="1" x14ac:dyDescent="0.3">
      <c r="A8" s="122" t="s">
        <v>1331</v>
      </c>
      <c r="B8" s="123" t="s">
        <v>132</v>
      </c>
      <c r="C8" s="124" t="s">
        <v>1332</v>
      </c>
      <c r="D8" s="125"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79" t="s">
        <v>1357</v>
      </c>
      <c r="B3" s="180"/>
      <c r="C3" s="180"/>
      <c r="D3" s="180"/>
      <c r="E3" s="181"/>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1338</v>
      </c>
      <c r="C5" s="19" t="s">
        <v>1338</v>
      </c>
      <c r="D5" s="54" t="s">
        <v>1350</v>
      </c>
      <c r="E5" s="134" t="s">
        <v>1339</v>
      </c>
    </row>
    <row r="6" spans="1:6" s="7" customFormat="1" ht="150" x14ac:dyDescent="0.25">
      <c r="A6" s="127" t="s">
        <v>171</v>
      </c>
      <c r="B6" s="11" t="s">
        <v>1351</v>
      </c>
      <c r="C6" s="11" t="s">
        <v>1352</v>
      </c>
      <c r="D6" s="12" t="s">
        <v>1353</v>
      </c>
      <c r="E6" s="128" t="s">
        <v>1354</v>
      </c>
    </row>
    <row r="7" spans="1:6" s="7" customFormat="1" ht="75.75" thickBot="1" x14ac:dyDescent="0.3">
      <c r="A7" s="129" t="s">
        <v>171</v>
      </c>
      <c r="B7" s="130" t="s">
        <v>1344</v>
      </c>
      <c r="C7" s="130" t="s">
        <v>1355</v>
      </c>
      <c r="D7" s="131" t="s">
        <v>1356</v>
      </c>
      <c r="E7" s="132"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2" t="s">
        <v>1349</v>
      </c>
      <c r="B16" s="183"/>
      <c r="C16" s="183"/>
      <c r="D16" s="183"/>
      <c r="E16" s="184"/>
    </row>
    <row r="17" spans="1:5" ht="15.75" thickBot="1" x14ac:dyDescent="0.3">
      <c r="A17" s="109" t="s">
        <v>1335</v>
      </c>
      <c r="B17" s="110" t="s">
        <v>1358</v>
      </c>
      <c r="C17" s="126" t="s">
        <v>1336</v>
      </c>
      <c r="D17" s="111" t="s">
        <v>1337</v>
      </c>
      <c r="E17" s="110" t="s">
        <v>1362</v>
      </c>
    </row>
    <row r="18" spans="1:5" ht="90.75" thickTop="1" x14ac:dyDescent="0.25">
      <c r="A18" s="135" t="s">
        <v>1338</v>
      </c>
      <c r="B18" s="112" t="s">
        <v>1338</v>
      </c>
      <c r="C18" s="113" t="s">
        <v>1340</v>
      </c>
      <c r="D18" s="137" t="s">
        <v>1339</v>
      </c>
      <c r="E18" s="142" t="s">
        <v>1339</v>
      </c>
    </row>
    <row r="19" spans="1:5" s="5" customFormat="1" ht="30" x14ac:dyDescent="0.25">
      <c r="A19" s="136" t="s">
        <v>1348</v>
      </c>
      <c r="B19" s="114" t="s">
        <v>1352</v>
      </c>
      <c r="C19" s="115" t="s">
        <v>1345</v>
      </c>
      <c r="D19" s="138" t="s">
        <v>1346</v>
      </c>
      <c r="E19" s="121"/>
    </row>
    <row r="20" spans="1:5" ht="90.75" thickBot="1" x14ac:dyDescent="0.3">
      <c r="A20" s="139" t="s">
        <v>1347</v>
      </c>
      <c r="B20" s="116" t="s">
        <v>1355</v>
      </c>
      <c r="C20" s="117" t="s">
        <v>1341</v>
      </c>
      <c r="D20" s="140" t="s">
        <v>1342</v>
      </c>
      <c r="E20" s="141"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2015-03-13T15:26:53Z</dcterms:modified>
</cp:coreProperties>
</file>