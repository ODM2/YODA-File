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L3" i="11" l="1"/>
  <c r="L2" i="11"/>
  <c r="B4" i="11" l="1"/>
  <c r="H8" i="7" l="1"/>
  <c r="I24" i="7"/>
  <c r="I25" i="7"/>
  <c r="I27" i="7"/>
  <c r="I28" i="7"/>
  <c r="I29" i="7"/>
  <c r="I30" i="7"/>
  <c r="I31" i="7"/>
  <c r="I32" i="7"/>
  <c r="I33" i="7"/>
  <c r="J4" i="11"/>
  <c r="C4" i="11"/>
  <c r="I6" i="11" l="1"/>
  <c r="I5" i="11"/>
  <c r="I4" i="11"/>
  <c r="I8" i="11"/>
  <c r="I7" i="11"/>
  <c r="I26" i="7"/>
  <c r="H9" i="7" s="1"/>
  <c r="A8" i="11"/>
  <c r="A7" i="11"/>
  <c r="A6" i="11"/>
  <c r="A5" i="11"/>
  <c r="AH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2" i="15" l="1"/>
  <c r="AK5" i="11" l="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7" i="2"/>
  <c r="Q12" i="2"/>
  <c r="Q11" i="2"/>
  <c r="I7" i="2"/>
  <c r="E17" i="1"/>
  <c r="H33" i="7"/>
  <c r="H32" i="7"/>
  <c r="H31" i="7"/>
  <c r="H30" i="7"/>
  <c r="H29" i="7"/>
  <c r="H28" i="7"/>
  <c r="H27" i="7"/>
  <c r="H26" i="7"/>
  <c r="H25" i="7"/>
  <c r="H24" i="7"/>
  <c r="L4" i="11" s="1"/>
  <c r="A3" i="15"/>
  <c r="C3" i="15"/>
  <c r="AA4" i="11" l="1"/>
  <c r="Y4" i="11"/>
  <c r="Z4" i="11"/>
  <c r="AC4" i="11"/>
  <c r="X5" i="11"/>
  <c r="X8" i="11"/>
  <c r="X7" i="11"/>
  <c r="X6" i="11"/>
  <c r="T6" i="11"/>
  <c r="T4" i="11"/>
  <c r="T7" i="11"/>
  <c r="T5" i="11"/>
  <c r="T8" i="11"/>
  <c r="AD4" i="11"/>
  <c r="AE7" i="11"/>
  <c r="L7" i="11"/>
  <c r="L8" i="11"/>
  <c r="L5" i="11"/>
  <c r="L6" i="11"/>
  <c r="V7" i="11"/>
  <c r="V6" i="11"/>
  <c r="V8" i="11"/>
  <c r="V5" i="11"/>
  <c r="O5" i="11"/>
  <c r="O7" i="11"/>
  <c r="O6" i="11"/>
  <c r="O8" i="11"/>
  <c r="U8" i="11"/>
  <c r="U5" i="11"/>
  <c r="U6" i="11"/>
  <c r="U7" i="11"/>
  <c r="AB4" i="11"/>
  <c r="AI5" i="11"/>
  <c r="AI2" i="11"/>
  <c r="O2" i="11"/>
  <c r="D2" i="11"/>
  <c r="X2" i="11"/>
  <c r="U2" i="11"/>
  <c r="V2" i="11"/>
  <c r="J3" i="9"/>
  <c r="B3" i="15"/>
  <c r="T2" i="11"/>
  <c r="T3" i="11"/>
  <c r="A13" i="4"/>
  <c r="A14" i="4" s="1"/>
  <c r="Q13" i="2"/>
  <c r="Q14" i="2" s="1"/>
  <c r="Q3" i="11"/>
  <c r="C4" i="15"/>
  <c r="A4" i="15"/>
  <c r="B4" i="15" l="1"/>
  <c r="N3" i="4"/>
  <c r="AH8" i="11" s="1"/>
  <c r="S5" i="11"/>
  <c r="S8" i="11"/>
  <c r="S7" i="11"/>
  <c r="S4" i="11"/>
  <c r="S6" i="11"/>
  <c r="AE2" i="11"/>
  <c r="G2" i="11"/>
  <c r="S3" i="11"/>
  <c r="N7" i="2"/>
  <c r="S2" i="11"/>
  <c r="Q15" i="2"/>
  <c r="Q16" i="2" s="1"/>
  <c r="AI4" i="11"/>
  <c r="C5" i="15"/>
  <c r="A5" i="15"/>
  <c r="AE8" i="11" l="1"/>
  <c r="AD7" i="11"/>
  <c r="B5" i="15"/>
  <c r="Z7" i="11"/>
  <c r="Z2" i="11"/>
  <c r="Z6" i="11"/>
  <c r="AB6" i="11"/>
  <c r="Y2" i="11"/>
  <c r="AD6" i="11"/>
  <c r="AB7" i="11"/>
  <c r="AB2" i="11"/>
  <c r="AD8" i="11"/>
  <c r="AH7" i="11"/>
  <c r="Z8" i="11"/>
  <c r="AD2" i="11"/>
  <c r="AH5" i="11"/>
  <c r="AH6" i="11" s="1"/>
  <c r="AB8" i="11"/>
  <c r="AD5" i="11"/>
  <c r="AA7" i="11"/>
  <c r="Y8" i="11"/>
  <c r="AA6" i="11"/>
  <c r="Z5" i="11"/>
  <c r="Y7" i="11"/>
  <c r="AA2" i="11"/>
  <c r="AA8" i="11"/>
  <c r="Y5" i="11"/>
  <c r="AA5" i="11"/>
  <c r="Y6" i="11"/>
  <c r="AC6" i="11"/>
  <c r="AC7" i="11"/>
  <c r="AC2" i="11"/>
  <c r="AC8" i="11"/>
  <c r="AC5" i="11"/>
  <c r="AB5" i="11"/>
  <c r="Q8" i="11"/>
  <c r="Q6" i="11"/>
  <c r="Q4" i="11"/>
  <c r="Q7" i="11"/>
  <c r="Q5" i="11"/>
  <c r="Q18" i="2"/>
  <c r="S7" i="2" s="1"/>
  <c r="Q2" i="11"/>
  <c r="A6" i="15"/>
  <c r="C6" i="15"/>
  <c r="B6" i="15" l="1"/>
  <c r="R7" i="11"/>
  <c r="R8" i="11"/>
  <c r="R6" i="11"/>
  <c r="R4" i="11"/>
  <c r="R5" i="11"/>
  <c r="R2" i="11"/>
  <c r="AK4" i="11" s="1"/>
  <c r="R3" i="11"/>
  <c r="A7" i="15"/>
  <c r="C7" i="15"/>
  <c r="D63" i="15" l="1"/>
  <c r="D62" i="15"/>
  <c r="D3" i="15"/>
  <c r="D4" i="15"/>
  <c r="D5" i="15"/>
  <c r="D6" i="15"/>
  <c r="D7" i="15"/>
  <c r="B7" i="15"/>
  <c r="AK3" i="11"/>
  <c r="D2" i="15"/>
  <c r="A8" i="15"/>
  <c r="C8" i="15"/>
  <c r="D8" i="15" l="1"/>
  <c r="B8" i="15"/>
  <c r="C9" i="15"/>
  <c r="A9" i="15"/>
  <c r="B9" i="15" l="1"/>
  <c r="D9" i="15"/>
  <c r="A10" i="15"/>
  <c r="C10" i="15"/>
  <c r="D10" i="15" l="1"/>
  <c r="B10" i="15"/>
  <c r="A11" i="15"/>
  <c r="C11" i="15"/>
  <c r="D11" i="15" l="1"/>
  <c r="B11" i="15"/>
  <c r="A12" i="15"/>
  <c r="C12" i="15"/>
  <c r="D12" i="15" l="1"/>
  <c r="B12" i="15"/>
  <c r="C13" i="15"/>
  <c r="A13" i="15"/>
  <c r="B13" i="15" l="1"/>
  <c r="D13" i="15"/>
  <c r="A14" i="15"/>
  <c r="C14" i="15"/>
  <c r="D14" i="15" l="1"/>
  <c r="B14" i="15"/>
  <c r="C15" i="15"/>
  <c r="A15" i="15"/>
  <c r="B15" i="15" l="1"/>
  <c r="D15" i="15"/>
  <c r="C16" i="15"/>
  <c r="A16" i="15"/>
  <c r="B16" i="15" l="1"/>
  <c r="D16" i="15"/>
  <c r="A17" i="15"/>
  <c r="C17" i="15"/>
  <c r="B17" i="15" l="1"/>
  <c r="D17" i="15"/>
  <c r="A18" i="15"/>
  <c r="C18" i="15"/>
  <c r="D18" i="15" l="1"/>
  <c r="B18" i="15"/>
  <c r="A19" i="15"/>
  <c r="C19" i="15"/>
  <c r="D19" i="15" l="1"/>
  <c r="B19" i="15"/>
  <c r="C20" i="15"/>
  <c r="A20" i="15"/>
  <c r="B20" i="15" l="1"/>
  <c r="D20" i="15"/>
  <c r="C21" i="15"/>
  <c r="A21" i="15"/>
  <c r="B21" i="15" l="1"/>
  <c r="D21" i="15"/>
  <c r="A22" i="15"/>
  <c r="C22" i="15"/>
  <c r="D22" i="15" l="1"/>
  <c r="B22" i="15"/>
  <c r="A23" i="15"/>
  <c r="C23" i="15"/>
  <c r="D23" i="15" l="1"/>
  <c r="B23" i="15"/>
  <c r="C24" i="15"/>
  <c r="A24" i="15"/>
  <c r="B24" i="15" l="1"/>
  <c r="D24" i="15"/>
  <c r="A25" i="15"/>
  <c r="C25" i="15"/>
  <c r="D25" i="15" l="1"/>
  <c r="B25" i="15"/>
  <c r="A26" i="15"/>
  <c r="C26" i="15"/>
  <c r="D26" i="15" l="1"/>
  <c r="B26" i="15"/>
  <c r="A27" i="15"/>
  <c r="C27" i="15"/>
  <c r="D27" i="15" l="1"/>
  <c r="B27" i="15"/>
  <c r="C28" i="15"/>
  <c r="A28" i="15"/>
  <c r="B28" i="15" l="1"/>
  <c r="D28" i="15"/>
  <c r="A29" i="15"/>
  <c r="C29" i="15"/>
  <c r="D29" i="15" l="1"/>
  <c r="B29" i="15"/>
  <c r="A30" i="15"/>
  <c r="C30" i="15"/>
  <c r="D30" i="15" l="1"/>
  <c r="B30" i="15"/>
  <c r="A31" i="15"/>
  <c r="C31" i="15"/>
  <c r="D31" i="15" l="1"/>
  <c r="B31" i="15"/>
  <c r="C32" i="15"/>
  <c r="A32" i="15"/>
  <c r="B32" i="15" l="1"/>
  <c r="D32" i="15"/>
  <c r="C33" i="15"/>
  <c r="A33" i="15"/>
  <c r="B33" i="15" l="1"/>
  <c r="D33" i="15"/>
  <c r="A34" i="15"/>
  <c r="C34" i="15"/>
  <c r="D34" i="15" l="1"/>
  <c r="B34" i="15"/>
  <c r="C35" i="15"/>
  <c r="A35" i="15"/>
  <c r="B35" i="15" l="1"/>
  <c r="D35" i="15"/>
  <c r="C36" i="15"/>
  <c r="A36" i="15"/>
  <c r="B36" i="15" l="1"/>
  <c r="D36" i="15"/>
  <c r="C37" i="15"/>
  <c r="A37" i="15"/>
  <c r="B37" i="15" l="1"/>
  <c r="D37" i="15"/>
  <c r="A38" i="15"/>
  <c r="C38" i="15"/>
  <c r="D38" i="15" l="1"/>
  <c r="B38" i="15"/>
  <c r="A39" i="15"/>
  <c r="C39" i="15"/>
  <c r="D39" i="15" l="1"/>
  <c r="B39" i="15"/>
  <c r="C40" i="15"/>
  <c r="A40" i="15"/>
  <c r="B40" i="15" l="1"/>
  <c r="D40" i="15"/>
  <c r="A41" i="15"/>
  <c r="C41" i="15"/>
  <c r="D41" i="15" l="1"/>
  <c r="B41" i="15"/>
  <c r="A42" i="15"/>
  <c r="C42" i="15"/>
  <c r="D42" i="15" l="1"/>
  <c r="B42" i="15"/>
  <c r="A43" i="15"/>
  <c r="C43" i="15"/>
  <c r="D43" i="15" l="1"/>
  <c r="B43" i="15"/>
  <c r="A44" i="15"/>
  <c r="C44" i="15"/>
  <c r="D44" i="15" l="1"/>
  <c r="B44" i="15"/>
  <c r="C45" i="15"/>
  <c r="A45" i="15"/>
  <c r="B45" i="15" l="1"/>
  <c r="D45" i="15"/>
  <c r="A46" i="15"/>
  <c r="C46" i="15"/>
  <c r="D46" i="15" l="1"/>
  <c r="B46" i="15"/>
  <c r="A47" i="15"/>
  <c r="C47" i="15"/>
  <c r="D47" i="15" l="1"/>
  <c r="B47" i="15"/>
  <c r="C48" i="15"/>
  <c r="A48" i="15"/>
  <c r="B48" i="15" l="1"/>
  <c r="D48" i="15"/>
  <c r="C49" i="15"/>
  <c r="A49" i="15"/>
  <c r="B49" i="15" l="1"/>
  <c r="D49" i="15"/>
  <c r="A50" i="15"/>
  <c r="C50" i="15"/>
  <c r="D50" i="15" l="1"/>
  <c r="B50" i="15"/>
  <c r="A51" i="15"/>
  <c r="C51" i="15"/>
  <c r="D51" i="15" l="1"/>
  <c r="B51" i="15"/>
  <c r="A52" i="15"/>
  <c r="C52" i="15"/>
  <c r="D52" i="15" l="1"/>
  <c r="B52" i="15"/>
  <c r="C53" i="15"/>
  <c r="A53" i="15"/>
  <c r="B53" i="15" l="1"/>
  <c r="D53" i="15"/>
  <c r="A54" i="15"/>
  <c r="C54" i="15"/>
  <c r="D54" i="15" l="1"/>
  <c r="B54" i="15"/>
  <c r="A55" i="15"/>
  <c r="C55" i="15"/>
  <c r="D55" i="15" l="1"/>
  <c r="B55" i="15"/>
  <c r="A56" i="15"/>
  <c r="C56" i="15"/>
  <c r="D56" i="15" l="1"/>
  <c r="B56" i="15"/>
  <c r="C57" i="15"/>
  <c r="A57" i="15"/>
  <c r="B57" i="15" l="1"/>
  <c r="D57" i="15"/>
  <c r="A58" i="15"/>
  <c r="C58" i="15"/>
  <c r="D58" i="15" l="1"/>
  <c r="B58" i="15"/>
  <c r="A59" i="15"/>
  <c r="C59" i="15"/>
  <c r="D59" i="15" l="1"/>
  <c r="B59" i="15"/>
  <c r="A60" i="15"/>
  <c r="C60" i="15"/>
  <c r="B60" i="15" l="1"/>
  <c r="D60" i="15"/>
  <c r="C61" i="15"/>
  <c r="A61" i="15"/>
  <c r="B61" i="15" l="1"/>
  <c r="D61"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<sst xmlns="http://schemas.openxmlformats.org/spreadsheetml/2006/main" count="1501" uniqueCount="1407">
  <si>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</si>
  <si>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</si>
  <si>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</si>
  <si>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</si>
  <si>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</si>
  <si>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</si>
  <si>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</si>
  <si>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</si>
  <si>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</si>
  <si>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</si>
  <si>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</si>
  <si>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</si>
  <si>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</si>
  <si>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</si>
  <si>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</si>
  <si>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</si>
  <si>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</si>
  <si>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</si>
  <si>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</si>
  <si>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</si>
  <si>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</si>
  <si>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</si>
  <si>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</si>
  <si>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</si>
  <si>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</si>
  <si>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</si>
  <si>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</si>
  <si>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</si>
  <si>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</si>
  <si>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</si>
  <si>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</si>
  <si>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</si>
  <si>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</si>
  <si>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</si>
  <si>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</si>
  <si>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</si>
  <si>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</si>
  <si>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</si>
  <si>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</si>
  <si>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</si>
  <si>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</si>
  <si>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</si>
  <si>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</si>
  <si>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</si>
  <si>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</si>
  <si>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</si>
  <si>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</si>
  <si>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</si>
  <si>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</si>
  <si>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</si>
  <si>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</si>
  <si>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</si>
  <si>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</si>
  <si>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</si>
  <si>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</si>
  <si>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</si>
  <si>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</si>
  <si>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</si>
  <si>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</si>
  <si>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</si>
  <si>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</si>
  <si>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</si>
  <si>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</si>
  <si>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</si>
  <si>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</si>
  <si>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</si>
  <si>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</si>
  <si>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</si>
  <si>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</si>
  <si>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</si>
  <si>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</si>
  <si>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</si>
  <si>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</si>
  <si>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</si>
  <si>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</si>
  <si>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</si>
  <si>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</si>
  <si>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</si>
  <si>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</si>
  <si>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</si>
  <si>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</si>
  <si>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</si>
  <si>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</si>
  <si>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</si>
  <si>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</si>
  <si>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</si>
  <si>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</si>
  <si>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</si>
  <si>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</si>
  <si>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</si>
  <si>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</si>
  <si>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</si>
  <si>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</si>
  <si>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</si>
  <si>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</si>
  <si>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</si>
  <si>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</si>
  <si>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</si>
  <si>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</si>
  <si>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</si>
  <si>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</si>
  <si>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</si>
  <si>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</si>
  <si>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</si>
  <si>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</si>
  <si>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</si>
  <si>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</si>
  <si>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</si>
  <si>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</si>
  <si>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</si>
  <si>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</si>
  <si>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</si>
  <si>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</si>
  <si>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</si>
  <si>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</si>
  <si>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</si>
  <si>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</si>
  <si>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</si>
  <si>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</si>
  <si>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</si>
  <si>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</si>
  <si>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</si>
  <si>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</si>
  <si>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</si>
  <si>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</si>
  <si>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</si>
  <si>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</si>
  <si>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</si>
  <si>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</si>
  <si>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</si>
  <si>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</si>
  <si>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</si>
  <si>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</si>
  <si>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</si>
  <si>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</si>
  <si>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</si>
  <si>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</si>
  <si>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</si>
  <si>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</si>
  <si>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</si>
  <si>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</si>
  <si>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</si>
  <si>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</si>
  <si>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</si>
  <si>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</si>
  <si>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</si>
  <si>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</si>
  <si>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</si>
  <si>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</si>
  <si>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</si>
  <si>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</si>
  <si>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</si>
  <si>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</si>
  <si>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</si>
  <si>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</si>
  <si>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</si>
  <si>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</si>
  <si>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</si>
  <si>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</si>
  <si>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</si>
  <si>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</si>
  <si>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</si>
  <si>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</si>
  <si>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</si>
  <si>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</si>
  <si>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</si>
  <si>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</si>
  <si>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</si>
  <si>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</si>
  <si>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</si>
  <si>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</si>
  <si>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</si>
  <si>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</si>
  <si>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</si>
  <si>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</si>
  <si>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</si>
  <si>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</si>
  <si>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</si>
  <si>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</si>
  <si>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</si>
  <si>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</si>
  <si>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</si>
  <si>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</si>
  <si>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</si>
  <si>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</si>
  <si>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</si>
  <si>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</si>
  <si>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</si>
  <si>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</si>
  <si>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</si>
  <si>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</si>
  <si>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</si>
  <si>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</si>
  <si>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</si>
  <si>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</si>
  <si>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</si>
  <si>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</si>
  <si>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</si>
  <si>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</si>
  <si>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</si>
  <si>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</si>
  <si>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</si>
  <si>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</si>
  <si>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</si>
  <si>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</si>
  <si>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</si>
  <si>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</si>
  <si>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</si>
  <si>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</si>
  <si>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</si>
  <si>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</si>
  <si>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</si>
  <si>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</si>
  <si>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</si>
  <si>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</si>
  <si>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</si>
  <si>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</si>
  <si>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</si>
  <si>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</si>
  <si>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</si>
  <si>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</si>
  <si>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</si>
  <si>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</si>
  <si>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</si>
  <si>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</si>
  <si>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</si>
  <si>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</si>
  <si>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</si>
  <si>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</si>
  <si>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</si>
  <si>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</si>
  <si>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</si>
  <si>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</si>
  <si>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</si>
  <si>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</si>
  <si>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</si>
  <si>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</si>
  <si>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</si>
  <si>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</si>
  <si>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</si>
  <si>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</si>
  <si>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</si>
  <si>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</si>
  <si>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</si>
  <si>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</si>
  <si>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</si>
  <si>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</si>
  <si>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</si>
  <si>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</si>
  <si>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</si>
  <si>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</si>
  <si>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</si>
  <si>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</si>
  <si>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</si>
  <si>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</si>
  <si>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</si>
  <si>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</si>
  <si>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</si>
  <si>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</si>
  <si>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</si>
  <si>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</si>
  <si>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</si>
  <si>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</si>
  <si>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</si>
  <si>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</si>
  <si>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</si>
  <si>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</si>
  <si>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</si>
  <si>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</si>
  <si>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</si>
  <si>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</si>
  <si>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</si>
  <si>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</si>
  <si>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</si>
  <si>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</si>
  <si>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</si>
  <si>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</si>
  <si>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</si>
  <si>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</si>
  <si>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</si>
  <si>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</si>
  <si>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</si>
  <si>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</si>
  <si>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</si>
  <si>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</si>
  <si>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</si>
  <si>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</si>
  <si>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</si>
  <si>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</si>
  <si>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</si>
  <si>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</si>
  <si>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</si>
  <si>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</si>
  <si>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</si>
  <si>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</si>
  <si>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</si>
  <si>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</si>
  <si>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</si>
  <si>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</si>
  <si>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</si>
  <si>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</si>
  <si>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</si>
  <si>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</si>
  <si>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</si>
  <si>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</si>
  <si>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</si>
  <si>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</si>
  <si>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</si>
  <si>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</si>
  <si>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</si>
  <si>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</si>
  <si>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</si>
  <si>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</si>
  <si>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</si>
  <si>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</si>
  <si>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</si>
  <si>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</si>
  <si>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</si>
  <si>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</si>
  <si>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</si>
  <si>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</si>
  <si>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</si>
  <si>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</si>
  <si>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</si>
  <si>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</si>
  <si>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</si>
  <si>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</si>
  <si>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</si>
  <si>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</si>
  <si>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</si>
  <si>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</si>
  <si>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</si>
  <si>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</si>
  <si>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</si>
  <si>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</si>
  <si>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</si>
  <si>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</si>
  <si>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</si>
  <si>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</si>
  <si>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</si>
  <si>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</si>
  <si>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</si>
  <si>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</si>
  <si>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</si>
  <si>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</si>
  <si>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</si>
  <si>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</si>
  <si>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</si>
  <si>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</si>
  <si>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</si>
  <si>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</si>
  <si>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</si>
  <si>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</si>
  <si>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</si>
  <si>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</si>
  <si>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</si>
  <si>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</si>
  <si>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</si>
  <si>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</si>
  <si>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</si>
  <si>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</si>
  <si>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</si>
  <si>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</si>
  <si>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</si>
  <si>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</si>
  <si>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</si>
  <si>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</si>
  <si>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</si>
  <si>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</si>
  <si>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</si>
  <si>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</si>
  <si>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</si>
  <si>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</si>
  <si>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</si>
  <si>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</si>
  <si>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</si>
  <si>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</si>
  <si>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</si>
  <si>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</si>
  <si>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</si>
  <si>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</si>
  <si>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</si>
  <si>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</si>
  <si>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</si>
  <si>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</si>
  <si>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</si>
  <si>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</si>
  <si>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</si>
  <si>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</si>
  <si>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</si>
  <si>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</si>
  <si>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</si>
  <si>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</si>
  <si>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</si>
  <si>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</si>
  <si>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</si>
  <si>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</si>
  <si>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</si>
  <si>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</si>
  <si>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</si>
  <si>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</si>
  <si>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</si>
  <si>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</si>
  <si>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</si>
  <si>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</si>
  <si>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</si>
  <si>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</si>
  <si>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</si>
  <si>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</si>
  <si>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</si>
  <si>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</si>
  <si>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</si>
  <si>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</si>
  <si>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</si>
  <si>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</si>
  <si>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</si>
  <si>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</si>
  <si>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</si>
  <si>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</si>
  <si>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</si>
  <si>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</si>
  <si>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</si>
  <si>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</si>
  <si>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</si>
  <si>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</si>
  <si>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</si>
  <si>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</si>
  <si>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</si>
  <si>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</si>
  <si>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</si>
  <si>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</si>
  <si>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</si>
  <si>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</si>
  <si>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</si>
  <si>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</si>
  <si>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</si>
  <si>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</si>
  <si>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</si>
  <si>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</si>
  <si>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</si>
  <si>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</si>
  <si>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</si>
  <si>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</si>
  <si>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</si>
  <si>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</si>
  <si>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</si>
  <si>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</si>
  <si>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</si>
  <si>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</si>
  <si>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</si>
  <si>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</si>
  <si>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</si>
  <si>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</si>
  <si>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</si>
  <si>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</si>
  <si>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</si>
  <si>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</si>
  <si>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</si>
  <si>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</si>
  <si>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</si>
  <si>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</si>
  <si>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</si>
  <si>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</si>
  <si>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</si>
  <si>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</si>
  <si>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</si>
  <si>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</si>
  <si>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</si>
  <si>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</si>
  <si>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</si>
  <si>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</si>
  <si>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</si>
  <si>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</si>
  <si>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</si>
  <si>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</si>
  <si>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</si>
  <si>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</si>
  <si>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</si>
  <si>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</si>
  <si>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</si>
  <si>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</si>
  <si>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</si>
  <si>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</si>
  <si>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</si>
  <si>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</si>
  <si>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</si>
  <si>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</si>
  <si>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</si>
  <si>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</si>
  <si>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</si>
  <si>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</si>
  <si>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</si>
  <si>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</si>
  <si>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</si>
  <si>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</si>
  <si>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</si>
  <si>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</si>
  <si>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</si>
  <si>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</si>
  <si>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</si>
  <si>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</si>
  <si>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</si>
  <si>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</si>
  <si>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</si>
  <si>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</si>
  <si>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</si>
  <si>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</si>
  <si>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</si>
  <si>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</si>
  <si>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</si>
  <si>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</si>
  <si>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</si>
  <si>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</si>
  <si>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</si>
  <si>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</si>
  <si>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</si>
  <si>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</si>
  <si>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</si>
  <si>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</si>
  <si>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</si>
  <si>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</si>
  <si>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</si>
  <si>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</si>
  <si>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</si>
  <si>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</si>
  <si>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</si>
  <si>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</si>
  <si>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</si>
  <si>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</si>
  <si>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</si>
  <si>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</si>
  <si>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</si>
  <si>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</si>
  <si>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</si>
  <si>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</si>
  <si>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</si>
  <si>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</si>
  <si>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</si>
  <si>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</si>
  <si>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</si>
  <si>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</si>
  <si>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</si>
  <si>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</si>
  <si>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</si>
  <si>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</si>
  <si>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</si>
  <si>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</si>
  <si>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</si>
  <si>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</si>
  <si>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</si>
  <si>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</si>
  <si>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</si>
  <si>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</si>
  <si>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</si>
  <si>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</si>
  <si>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</si>
  <si>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</si>
  <si>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</si>
  <si>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</si>
  <si>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</si>
  <si>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</si>
  <si>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</si>
  <si>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</si>
  <si>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</si>
  <si>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</si>
  <si>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</si>
  <si>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</si>
  <si>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</si>
  <si>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</si>
  <si>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</si>
  <si>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</si>
  <si>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</si>
  <si>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</si>
  <si>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</si>
  <si>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</si>
  <si>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</si>
  <si>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</si>
  <si>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</si>
  <si>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</si>
  <si>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</si>
  <si>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</si>
  <si>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</si>
  <si>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</si>
  <si>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</si>
  <si>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</si>
  <si>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</si>
  <si>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</si>
  <si>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</si>
  <si>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</si>
  <si>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</si>
  <si>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</si>
  <si>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</si>
  <si>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</si>
  <si>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</si>
  <si>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</si>
  <si>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</si>
  <si>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</si>
  <si>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</si>
  <si>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</si>
  <si>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</si>
  <si>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</si>
  <si>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</si>
  <si>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</si>
  <si>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</si>
  <si>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</si>
  <si>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</si>
  <si>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</si>
  <si>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</si>
  <si>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</si>
  <si>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</si>
  <si>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</si>
  <si>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</si>
  <si>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</si>
  <si>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</si>
  <si>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</si>
  <si>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</si>
  <si>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</si>
  <si>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</si>
  <si>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</si>
  <si>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</si>
  <si>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</si>
  <si>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</si>
  <si>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</si>
  <si>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</si>
  <si>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</si>
  <si>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</si>
  <si>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</si>
  <si>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</si>
  <si>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</si>
  <si>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</si>
  <si>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</si>
  <si>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</si>
  <si>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</si>
  <si>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</si>
  <si>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</si>
  <si>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</si>
  <si>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</si>
  <si>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</si>
  <si>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</si>
  <si>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</si>
  <si>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</si>
  <si>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</si>
  <si>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</si>
  <si>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</si>
  <si>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</si>
  <si>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</si>
  <si>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</si>
  <si>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</si>
  <si>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</si>
  <si>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</si>
  <si>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</si>
  <si>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</si>
  <si>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</si>
  <si>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</si>
  <si>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</si>
  <si>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</si>
  <si>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</si>
  <si>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</si>
  <si>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</si>
  <si>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</si>
  <si>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</si>
  <si>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</si>
  <si>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</si>
  <si>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</si>
  <si>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</si>
  <si>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</si>
  <si>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</si>
  <si>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</si>
  <si>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</si>
  <si>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</si>
  <si>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</si>
  <si>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</si>
  <si>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</si>
  <si>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</si>
  <si>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</si>
  <si>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</si>
  <si>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</si>
  <si>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</si>
  <si>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</si>
  <si>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</si>
  <si>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</si>
  <si>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</si>
  <si>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</si>
  <si>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</si>
  <si>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</si>
  <si>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</si>
  <si>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</si>
  <si>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</si>
  <si>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</si>
  <si>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</si>
  <si>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</si>
  <si>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</si>
  <si>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</si>
  <si>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</si>
  <si>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</si>
  <si>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</si>
  <si>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</si>
  <si>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</si>
  <si>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</si>
  <si>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</si>
  <si>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</si>
  <si>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</si>
  <si>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</si>
  <si>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</si>
  <si>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</si>
  <si>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</si>
  <si>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</si>
  <si>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</si>
  <si>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</si>
  <si>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</si>
  <si>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</si>
  <si>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</si>
  <si>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</si>
  <si>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</si>
  <si>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</si>
  <si>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</si>
  <si>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</si>
  <si>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</si>
  <si>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</si>
  <si>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</si>
  <si>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</si>
  <si>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</si>
  <si>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</si>
  <si>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</si>
  <si>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</si>
  <si>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</si>
  <si>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</si>
  <si>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</si>
  <si>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</si>
  <si>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</si>
  <si>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</si>
  <si>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</si>
  <si>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</si>
  <si>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</si>
  <si>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</si>
  <si>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</si>
  <si>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</si>
  <si>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</si>
  <si>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</si>
  <si>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</si>
  <si>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</si>
  <si>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</si>
  <si>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</si>
  <si>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</si>
  <si>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</si>
  <si>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</si>
  <si>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</si>
  <si>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</si>
  <si>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</si>
  <si>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</si>
  <si>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</si>
  <si>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</si>
  <si>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</si>
  <si>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</si>
  <si>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</si>
  <si>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</si>
  <si>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</si>
  <si>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</si>
  <si>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</si>
  <si>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</si>
  <si>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</si>
  <si>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</si>
  <si>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</si>
  <si>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</si>
  <si>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</si>
  <si>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</si>
  <si>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</si>
  <si>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</si>
  <si>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</si>
  <si>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</si>
  <si>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</si>
  <si>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</si>
  <si>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</si>
  <si>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</si>
  <si>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</si>
  <si>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</si>
  <si>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</si>
  <si>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</si>
  <si>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</si>
  <si>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</si>
  <si>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</si>
  <si>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</si>
  <si>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</si>
  <si>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</si>
  <si>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</si>
  <si>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</si>
  <si>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</si>
  <si>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</si>
  <si>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</si>
  <si>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</si>
  <si>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</si>
  <si>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</si>
  <si>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</si>
  <si>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</si>
  <si>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</si>
  <si>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</si>
  <si>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</si>
  <si>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</si>
  <si>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</si>
  <si>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</si>
  <si>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</si>
  <si>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</si>
  <si>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</si>
  <si>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</si>
  <si>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</si>
  <si>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</si>
  <si>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</si>
  <si>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</si>
  <si>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</si>
  <si>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</si>
  <si>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</si>
  <si>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</si>
  <si>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</si>
  <si>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</si>
  <si>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</si>
  <si>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</si>
  <si>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</si>
  <si>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</si>
  <si>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</si>
  <si>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</si>
  <si>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</si>
  <si>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</si>
  <si>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</si>
  <si>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</si>
  <si>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</si>
  <si>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</si>
  <si>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</si>
  <si>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</si>
  <si>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</si>
  <si>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</si>
  <si>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</si>
  <si>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</si>
  <si>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</si>
  <si>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</si>
  <si>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</si>
  <si>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</si>
  <si>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</si>
  <si>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</si>
  <si>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</si>
  <si>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</si>
  <si>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</si>
  <si>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</si>
  <si>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</si>
  <si>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</si>
  <si>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</si>
  <si>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</si>
  <si>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</si>
  <si>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</si>
  <si>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</si>
  <si>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</si>
  <si>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</si>
  <si>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</si>
  <si>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</si>
  <si>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</si>
  <si>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</si>
  <si>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</si>
  <si>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</si>
  <si>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</si>
  <si>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</si>
  <si>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</si>
  <si>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</si>
  <si>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</si>
  <si>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</si>
  <si>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</si>
  <si>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</si>
  <si>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</si>
  <si>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</si>
  <si>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</si>
  <si>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</si>
  <si>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</si>
  <si>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</si>
  <si>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</si>
  <si>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</si>
  <si>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</si>
  <si>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</si>
  <si>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</si>
  <si>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</si>
  <si>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</si>
  <si>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</si>
  <si>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</si>
  <si>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</si>
  <si>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</si>
  <si>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</si>
  <si>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</si>
  <si>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</si>
  <si>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</si>
  <si>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</si>
  <si>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</si>
  <si>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</si>
  <si>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</si>
  <si>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</si>
  <si>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</si>
  <si>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</si>
  <si>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</si>
  <si>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</si>
  <si>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</si>
  <si>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</si>
  <si>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</si>
  <si>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</si>
  <si>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</si>
  <si>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</si>
  <si>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</si>
  <si>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</si>
  <si>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</si>
  <si>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</si>
  <si>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</si>
  <si>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</si>
  <si>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</si>
  <si>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</si>
  <si>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</si>
  <si>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</si>
  <si>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</si>
  <si>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</si>
  <si>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</si>
  <si>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</si>
  <si>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</si>
  <si>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</si>
  <si>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</si>
  <si>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</si>
  <si>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</si>
  <si>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</si>
  <si>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</si>
  <si>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</si>
  <si>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</si>
  <si>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</si>
  <si>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</si>
  <si>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</si>
  <si>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</si>
  <si>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</si>
  <si>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</si>
  <si>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</si>
  <si>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</si>
  <si>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</si>
  <si>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</si>
  <si>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</si>
  <si>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</si>
  <si>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</si>
  <si>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</si>
  <si>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</si>
  <si>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</si>
  <si>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</si>
  <si>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</si>
  <si>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</si>
  <si>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</si>
  <si>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</si>
  <si>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</si>
  <si>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</si>
  <si>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</si>
  <si>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</si>
  <si>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</si>
  <si>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</si>
  <si>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</si>
  <si>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</si>
  <si>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</si>
  <si>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</si>
  <si>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</si>
  <si>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</si>
  <si>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</si>
  <si>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</si>
  <si>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</si>
  <si>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</si>
  <si>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</si>
  <si>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</si>
  <si>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</si>
  <si>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</si>
  <si>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</si>
  <si>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</si>
  <si>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</si>
  <si>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</si>
  <si>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</si>
  <si>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</si>
  <si>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</si>
  <si>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</si>
  <si>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</si>
  <si>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</si>
  <si>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</si>
  <si>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</si>
  <si>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</si>
  <si>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</si>
  <si>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</si>
  <si>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</si>
  <si>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</si>
  <si>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</si>
  <si>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</si>
  <si>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</si>
  <si>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</si>
  <si>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</si>
  <si>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</si>
  <si>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</si>
  <si>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</si>
  <si>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</si>
  <si>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</si>
  <si>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</si>
  <si>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</si>
  <si>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</si>
  <si>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</si>
  <si>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</si>
  <si>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</si>
  <si>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</si>
  <si>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</si>
  <si>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</si>
  <si>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</si>
  <si>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</si>
  <si>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</si>
  <si>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</si>
  <si>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</si>
  <si>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</si>
  <si>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</si>
  <si>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</si>
  <si>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</si>
  <si>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</si>
  <si>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</si>
  <si>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</si>
  <si>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</si>
  <si>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</si>
  <si>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</si>
  <si>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</si>
  <si>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</si>
  <si>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</si>
  <si>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</si>
  <si>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</si>
  <si>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</si>
  <si>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</si>
  <si>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</si>
  <si>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</si>
  <si>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</si>
  <si>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</si>
  <si>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</si>
  <si>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</si>
  <si>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</si>
  <si>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</si>
  <si>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</si>
  <si>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</si>
  <si>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</si>
  <si>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</si>
  <si>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</si>
  <si>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</si>
  <si>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</si>
  <si>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</si>
  <si>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</si>
  <si>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</si>
  <si>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</si>
  <si>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</si>
  <si>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</si>
  <si>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</si>
  <si>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</si>
  <si>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</si>
  <si>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</si>
  <si>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</si>
  <si>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</si>
  <si>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</si>
  <si>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</si>
  <si>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</si>
  <si>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</si>
  <si>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</si>
  <si>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</si>
  <si>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</si>
  <si>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</si>
  <si>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</si>
  <si>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</si>
  <si>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</si>
  <si>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</si>
  <si>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</si>
  <si>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</si>
  <si>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</si>
  <si>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</si>
  <si>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</si>
  <si>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</si>
  <si>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</si>
  <si>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</si>
  <si>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</si>
  <si>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</si>
  <si>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</si>
  <si>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</si>
  <si>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</si>
  <si>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</si>
  <si>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</si>
  <si>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</si>
  <si>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</si>
  <si>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</si>
  <si>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</si>
  <si>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</si>
  <si>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</si>
  <si>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</si>
  <si>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</si>
  <si>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</si>
  <si>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</si>
  <si>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</si>
  <si>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</si>
  <si>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</si>
  <si>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</si>
  <si>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</si>
  <si>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</si>
  <si>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</si>
  <si>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</si>
  <si>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</si>
  <si>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</si>
  <si>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</si>
  <si>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</si>
  <si>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</si>
  <si>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</si>
  <si>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</si>
  <si>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</si>
  <si>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</si>
  <si>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</si>
  <si>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</si>
  <si>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</si>
  <si>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</si>
  <si>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</si>
  <si>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</si>
  <si>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</si>
  <si>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</si>
  <si>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</si>
  <si>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</si>
  <si>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</si>
  <si>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</si>
  <si>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</si>
  <si>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</si>
  <si>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</si>
  <si>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</si>
  <si>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</si>
  <si>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</si>
  <si>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</si>
  <si>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</si>
  <si>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</si>
  <si>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</si>
  <si>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</si>
  <si>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</si>
  <si>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</si>
  <si>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</si>
  <si>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</si>
  <si>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</si>
  <si>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</si>
  <si>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</si>
  <si>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</si>
  <si>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</si>
  <si>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</si>
  <si>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</si>
  <si>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</si>
  <si>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</si>
  <si>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</si>
  <si>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</si>
  <si>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</si>
  <si>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</si>
  <si>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</si>
  <si>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</si>
  <si>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</si>
  <si>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</si>
  <si>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</si>
  <si>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</si>
  <si>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</si>
  <si>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</si>
  <si>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</si>
  <si>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</si>
  <si>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</si>
  <si>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</si>
  <si>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</si>
  <si>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</si>
  <si>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</si>
  <si>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</si>
  <si>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</si>
  <si>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</si>
  <si>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</si>
  <si>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</si>
  <si>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</si>
  <si>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</si>
  <si>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</si>
  <si>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</si>
  <si>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</si>
  <si>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</si>
  <si>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</si>
  <si>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</si>
  <si>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</si>
  <si>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</si>
  <si>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</si>
  <si>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</si>
  <si>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</si>
  <si>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</si>
  <si>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</si>
  <si>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</si>
  <si>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</si>
  <si>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</si>
  <si>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</si>
  <si>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</si>
  <si>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</si>
  <si>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</si>
  <si>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</si>
  <si>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</si>
  <si>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</si>
  <si>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</si>
  <si>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</si>
  <si>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</si>
  <si>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</si>
  <si>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</si>
  <si>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</si>
  <si>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</si>
  <si>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</si>
  <si>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</si>
  <si>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</si>
  <si>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</si>
  <si>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</si>
  <si>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</si>
  <si>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</si>
  <si>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</si>
  <si>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</si>
  <si>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</si>
  <si>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</si>
  <si>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</si>
  <si>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</si>
  <si>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</si>
  <si>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</si>
  <si>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</si>
  <si>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</si>
  <si>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</si>
  <si>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</si>
  <si>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</si>
  <si>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</si>
  <si>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</si>
  <si>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</si>
  <si>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</si>
  <si>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</si>
  <si>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</si>
  <si>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</si>
  <si>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</si>
  <si>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</si>
  <si>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</si>
  <si>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</si>
  <si>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</si>
  <si>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</si>
  <si>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</si>
  <si>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</si>
  <si>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</si>
  <si>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</si>
  <si>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</si>
  <si>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</si>
  <si>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</si>
  <si>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</si>
  <si>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</si>
  <si>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</si>
  <si>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</si>
  <si>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</si>
  <si>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</si>
  <si>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</si>
  <si>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</si>
  <si>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</si>
  <si>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</si>
  <si>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</si>
  <si>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</si>
  <si>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</si>
  <si>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</si>
  <si>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</si>
  <si>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</si>
  <si>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</si>
  <si>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</si>
  <si>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</si>
  <si>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</si>
  <si>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</si>
  <si>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</si>
  <si>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</si>
  <si>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</si>
  <si>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</si>
  <si>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</si>
  <si>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</si>
  <si>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</si>
  <si>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</si>
  <si>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</si>
  <si>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</si>
  <si>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</si>
  <si>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</si>
  <si>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</si>
  <si>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</si>
  <si>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</si>
  <si>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</si>
  <si>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</si>
  <si>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</si>
  <si>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</si>
  <si>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</si>
  <si>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</si>
  <si>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</si>
  <si>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</si>
  <si>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</si>
  <si>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</si>
  <si>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</si>
  <si>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</si>
  <si>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</si>
  <si>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</si>
  <si>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</si>
  <si>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</si>
  <si>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</si>
  <si>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</si>
  <si>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</si>
  <si>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</si>
  <si>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</si>
  <si>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</si>
  <si>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</si>
  <si>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</si>
  <si>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</si>
  <si>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</si>
  <si>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</si>
  <si>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</si>
  <si>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</si>
  <si>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</si>
  <si>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</si>
  <si>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</si>
  <si>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</si>
  <si>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</si>
  <si>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</si>
  <si>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</si>
  <si>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</si>
  <si>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</si>
  <si>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</si>
  <si>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</si>
  <si>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</si>
  <si>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</si>
  <si>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</si>
  <si>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</si>
  <si>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</si>
  <si>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</si>
  <si>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</si>
  <si>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</si>
  <si>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</si>
  <si>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</si>
  <si>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</si>
  <si>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</si>
  <si>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</si>
  <si>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</si>
  <si>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</si>
  <si>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</si>
  <si>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</si>
  <si>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</si>
  <si>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</si>
  <si>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</si>
  <si>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</si>
  <si>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</si>
  <si>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</si>
  <si>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</si>
  <si>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</si>
  <si>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</si>
  <si>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</si>
  <si>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</si>
  <si>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</si>
  <si>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</si>
  <si>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</si>
  <si>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</si>
  <si>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</si>
  <si>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</si>
  <si>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</si>
  <si>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</si>
  <si>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</si>
  <si>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</si>
  <si>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</si>
  <si>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</si>
  <si>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</si>
  <si>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</si>
  <si>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</si>
  <si>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</si>
  <si>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</si>
  <si>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</si>
  <si>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</si>
  <si>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</si>
  <si>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</si>
  <si>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</si>
  <si>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</si>
  <si>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</si>
  <si>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</si>
  <si>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</si>
  <si>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</si>
  <si>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</si>
  <si>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</si>
  <si>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</si>
  <si>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</si>
  <si>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</si>
  <si>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</si>
  <si>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</si>
  <si>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</si>
  <si>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</si>
  <si>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</si>
  <si>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</si>
  <si>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</si>
  <si>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</si>
  <si>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</si>
  <si>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</si>
  <si>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</si>
  <si>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</si>
  <si>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</si>
  <si>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</si>
  <si>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</si>
  <si>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</si>
  <si>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</si>
  <si>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</si>
  <si>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</si>
  <si>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</si>
  <si>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Template Profile:</t>
  </si>
  <si>
    <t>Template version:</t>
  </si>
  <si>
    <t>1.0.0</t>
  </si>
  <si>
    <t>TimeSeries</t>
  </si>
  <si>
    <t>YODA Specification Version:</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</si>
  <si>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</si>
  <si>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</si>
  <si>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</si>
  <si>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</si>
  <si>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</si>
  <si>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</si>
  <si>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</si>
  <si>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</si>
  <si>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</si>
  <si>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YODA: {YODAVersion: "1.0.0", Profile: "TimeSeries", CreationTool: "Excel Template v1.0.0", DateCreated: "2015-03-13", DateUpdated: "2015-03-13"}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</si>
</sst>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809625</xdr:colOff>
          <xdr:row>2</xdr:row>
          <xdr:rowOff>38100</xdr:rowOff>
        </xdr:from>
        <xdr:to>
          <xdr:col>10</xdr:col>
          <xdr:colOff>600075</xdr:colOff>
          <xdr:row>4</xdr:row>
          <xdr:rowOff>104775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tableColumn id="2" name="Latitude" dataDxfId="96"/>
    <tableColumn id="3" name="Longitude" dataDxfId="95"/>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tableColumn id="2" name="Specimen Medium" dataDxfId="88"/>
    <tableColumn id="3" name="Is Field Specimen?" dataDxfId="87"/>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1" dataDxfId="69" headerRowBorderDxfId="70" tableBorderDxfId="68">
  <autoFilter ref="A7:F28"/>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4" dataDxfId="42" headerRowBorderDxfId="43" tableBorderDxfId="41">
  <autoFilter ref="A11:P98"/>
  <tableColumns count="16">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10" name="Data Collector"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abSelected="1" workbookViewId="0">
      <selection activeCell="K26" sqref="K26"/>
    </sheetView>
  </sheetViews>
  <sheetFormatPr defaultRowHeight="15" x14ac:dyDescent="0.25"/>
  <sheetData>
    <row r="1" spans="1:1" s="5" customFormat="1" ht="18.75" x14ac:dyDescent="0.3">
      <c r="A1" s="6" t="s">
        <v>1396</v>
      </c>
    </row>
    <row r="2" spans="1:1" s="5" customFormat="1" ht="18.75" x14ac:dyDescent="0.3">
      <c r="A2" s="162" t="s">
        <v>1394</v>
      </c>
    </row>
    <row r="3" spans="1:1" s="5" customFormat="1" ht="18.75" x14ac:dyDescent="0.3">
      <c r="A3" s="6" t="s">
        <v>1392</v>
      </c>
    </row>
    <row r="4" spans="1:1" s="5" customFormat="1" ht="18.75" x14ac:dyDescent="0.3">
      <c r="A4" s="162" t="s">
        <v>1395</v>
      </c>
    </row>
    <row r="5" spans="1:1" s="5" customFormat="1" ht="18.75" x14ac:dyDescent="0.3">
      <c r="A5" s="6" t="s">
        <v>1393</v>
      </c>
    </row>
    <row r="6" spans="1:1" s="5" customFormat="1" ht="18.75" x14ac:dyDescent="0.3">
      <c r="A6" s="162" t="s">
        <v>1394</v>
      </c>
    </row>
    <row r="7" spans="1:1" s="5" customFormat="1" x14ac:dyDescent="0.25"/>
    <row r="8" spans="1:1" ht="18.75" x14ac:dyDescent="0.3">
      <c r="A8" s="6" t="s">
        <v>1251</v>
      </c>
    </row>
    <row r="9" spans="1:1" s="5" customFormat="1" x14ac:dyDescent="0.25">
      <c r="A9" s="5" t="s">
        <v>1278</v>
      </c>
    </row>
    <row r="10" spans="1:1" s="5" customFormat="1" x14ac:dyDescent="0.25"/>
    <row r="11" spans="1:1" ht="18.75" x14ac:dyDescent="0.3">
      <c r="A11" s="6" t="s">
        <v>1250</v>
      </c>
    </row>
    <row r="12" spans="1:1" s="5" customFormat="1" x14ac:dyDescent="0.25">
      <c r="A12" s="5" t="s">
        <v>1302</v>
      </c>
    </row>
    <row r="13" spans="1:1" s="5" customFormat="1" x14ac:dyDescent="0.25">
      <c r="A13" s="5" t="s">
        <v>1382</v>
      </c>
    </row>
    <row r="14" spans="1:1" s="5" customFormat="1" x14ac:dyDescent="0.25">
      <c r="A14" s="5" t="s">
        <v>1383</v>
      </c>
    </row>
    <row r="15" spans="1:1" s="5" customFormat="1" x14ac:dyDescent="0.25">
      <c r="A15" s="5" t="s">
        <v>1384</v>
      </c>
    </row>
    <row r="16" spans="1:1" s="5" customFormat="1" x14ac:dyDescent="0.25">
      <c r="A16" s="5" t="s">
        <v>1310</v>
      </c>
    </row>
    <row r="17" spans="1:1" s="5" customFormat="1" x14ac:dyDescent="0.25">
      <c r="A17" s="5" t="s">
        <v>1291</v>
      </c>
    </row>
    <row r="18" spans="1:1" s="5" customFormat="1" x14ac:dyDescent="0.25">
      <c r="A18" s="5" t="s">
        <v>1282</v>
      </c>
    </row>
    <row r="19" spans="1:1" s="5" customFormat="1" x14ac:dyDescent="0.25">
      <c r="A19" s="5" t="s">
        <v>1281</v>
      </c>
    </row>
    <row r="20" spans="1:1" s="5" customFormat="1" x14ac:dyDescent="0.25">
      <c r="A20" s="5" t="s">
        <v>1283</v>
      </c>
    </row>
    <row r="21" spans="1:1" s="5" customFormat="1" x14ac:dyDescent="0.25">
      <c r="A21" s="5" t="s">
        <v>1301</v>
      </c>
    </row>
    <row r="22" spans="1:1" s="5" customFormat="1" x14ac:dyDescent="0.25">
      <c r="A22" s="5" t="s">
        <v>1299</v>
      </c>
    </row>
    <row r="23" spans="1:1" s="5" customFormat="1" x14ac:dyDescent="0.25">
      <c r="A23" s="5" t="s">
        <v>1284</v>
      </c>
    </row>
    <row r="24" spans="1:1" s="5" customFormat="1" x14ac:dyDescent="0.25">
      <c r="A24" s="5" t="s">
        <v>1285</v>
      </c>
    </row>
    <row r="25" spans="1:1" s="5" customFormat="1" x14ac:dyDescent="0.25">
      <c r="A25" s="5" t="s">
        <v>1298</v>
      </c>
    </row>
    <row r="26" spans="1:1" s="5" customFormat="1" x14ac:dyDescent="0.25">
      <c r="A26" s="5" t="s">
        <v>1300</v>
      </c>
    </row>
    <row r="27" spans="1:1" s="5" customFormat="1" x14ac:dyDescent="0.25">
      <c r="A27" s="5" t="s">
        <v>1306</v>
      </c>
    </row>
    <row r="28" spans="1:1" s="5" customFormat="1" x14ac:dyDescent="0.25">
      <c r="A28" s="5" t="s">
        <v>1303</v>
      </c>
    </row>
    <row r="29" spans="1:1" s="5" customFormat="1" x14ac:dyDescent="0.25">
      <c r="A29" s="5" t="s">
        <v>1305</v>
      </c>
    </row>
    <row r="30" spans="1:1" s="5" customFormat="1" x14ac:dyDescent="0.25">
      <c r="A30" s="5" t="s">
        <v>1308</v>
      </c>
    </row>
    <row r="31" spans="1:1" s="5" customFormat="1" x14ac:dyDescent="0.25">
      <c r="A31" s="5" t="s">
        <v>1309</v>
      </c>
    </row>
    <row r="32" spans="1:1" s="5" customFormat="1" x14ac:dyDescent="0.25">
      <c r="A32" s="5" t="s">
        <v>1311</v>
      </c>
    </row>
    <row r="33" spans="1:1" s="5" customFormat="1" x14ac:dyDescent="0.25">
      <c r="A33" s="5" t="s">
        <v>1312</v>
      </c>
    </row>
    <row r="34" spans="1:1" x14ac:dyDescent="0.25">
      <c r="A34" s="5" t="s">
        <v>1313</v>
      </c>
    </row>
    <row r="35" spans="1:1" s="5" customFormat="1" x14ac:dyDescent="0.25"/>
    <row r="36" spans="1:1" ht="18.75" x14ac:dyDescent="0.3">
      <c r="A36" s="6" t="s">
        <v>1252</v>
      </c>
    </row>
    <row r="37" spans="1:1" x14ac:dyDescent="0.25">
      <c r="A37" s="5" t="s">
        <v>1304</v>
      </c>
    </row>
    <row r="38" spans="1:1" s="5" customFormat="1" x14ac:dyDescent="0.25">
      <c r="A38" s="5" t="s">
        <v>1287</v>
      </c>
    </row>
    <row r="39" spans="1:1" s="5" customFormat="1" x14ac:dyDescent="0.25">
      <c r="A39" s="5" t="s">
        <v>1288</v>
      </c>
    </row>
    <row r="40" spans="1:1" x14ac:dyDescent="0.25">
      <c r="A40" s="5" t="s">
        <v>1289</v>
      </c>
    </row>
    <row r="41" spans="1:1" x14ac:dyDescent="0.25">
      <c r="A41" s="5" t="s">
        <v>1317</v>
      </c>
    </row>
    <row r="42" spans="1:1" x14ac:dyDescent="0.25">
      <c r="A42" s="5" t="s">
        <v>1286</v>
      </c>
    </row>
    <row r="43" spans="1:1" x14ac:dyDescent="0.25">
      <c r="A43" s="5" t="s">
        <v>1290</v>
      </c>
    </row>
    <row r="44" spans="1:1" x14ac:dyDescent="0.25">
      <c r="A44" s="5" t="s">
        <v>1292</v>
      </c>
    </row>
    <row r="45" spans="1:1" x14ac:dyDescent="0.25">
      <c r="A45" s="5" t="s">
        <v>1293</v>
      </c>
    </row>
    <row r="46" spans="1:1" x14ac:dyDescent="0.25">
      <c r="A46" s="5" t="s">
        <v>1294</v>
      </c>
    </row>
    <row r="47" spans="1:1" x14ac:dyDescent="0.25">
      <c r="A47" s="5" t="s">
        <v>1295</v>
      </c>
    </row>
    <row r="48" spans="1:1" x14ac:dyDescent="0.25">
      <c r="A48" s="5" t="s">
        <v>1296</v>
      </c>
    </row>
    <row r="49" spans="1:1" x14ac:dyDescent="0.25">
      <c r="A49" s="5" t="s">
        <v>1297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3" t="s">
        <v>155</v>
      </c>
      <c r="B7" s="164"/>
      <c r="C7" s="164"/>
      <c r="D7" s="164"/>
      <c r="E7" s="165"/>
      <c r="G7" s="29" t="s">
        <v>1270</v>
      </c>
      <c r="H7" s="65">
        <f>COUNTA(OrganizationNames)</f>
        <v>0</v>
      </c>
    </row>
    <row r="8" spans="1:9" ht="15.75" thickBot="1" x14ac:dyDescent="0.3">
      <c r="A8" s="151" t="s">
        <v>156</v>
      </c>
      <c r="B8" s="152" t="s">
        <v>157</v>
      </c>
      <c r="C8" s="152" t="s">
        <v>19</v>
      </c>
      <c r="D8" s="153" t="s">
        <v>158</v>
      </c>
      <c r="E8" s="154" t="s">
        <v>159</v>
      </c>
      <c r="G8" s="29" t="s">
        <v>1271</v>
      </c>
      <c r="H8" s="65">
        <f>COUNTA(People[Last Name])</f>
        <v>0</v>
      </c>
      <c r="I8" s="7"/>
    </row>
    <row r="9" spans="1:9" ht="16.5" thickTop="1" thickBot="1" x14ac:dyDescent="0.3">
      <c r="A9" s="155"/>
      <c r="B9" s="8"/>
      <c r="C9" s="8"/>
      <c r="D9" s="9"/>
      <c r="E9" s="156"/>
      <c r="G9" s="29" t="s">
        <v>1365</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6" t="s">
        <v>154</v>
      </c>
      <c r="B22" s="167"/>
      <c r="C22" s="167"/>
      <c r="D22" s="167"/>
      <c r="E22" s="167"/>
      <c r="F22" s="167"/>
      <c r="G22" s="167"/>
      <c r="H22" s="167"/>
      <c r="I22" s="168"/>
    </row>
    <row r="23" spans="1:9" ht="15.75" thickBot="1" x14ac:dyDescent="0.3">
      <c r="A23" s="74" t="s">
        <v>15</v>
      </c>
      <c r="B23" s="76" t="s">
        <v>16</v>
      </c>
      <c r="C23" s="69" t="s">
        <v>17</v>
      </c>
      <c r="D23" s="69" t="s">
        <v>19</v>
      </c>
      <c r="E23" s="69" t="s">
        <v>18</v>
      </c>
      <c r="F23" s="72" t="s">
        <v>190</v>
      </c>
      <c r="G23" s="77" t="s">
        <v>1342</v>
      </c>
      <c r="H23" s="31" t="s">
        <v>302</v>
      </c>
      <c r="I23" s="31" t="s">
        <v>1363</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69" t="s">
        <v>20</v>
      </c>
      <c r="B3" s="170"/>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71" t="s">
        <v>21</v>
      </c>
      <c r="B16" s="172"/>
      <c r="C16" s="37"/>
      <c r="D16" s="38"/>
      <c r="E16" s="38"/>
    </row>
    <row r="17" spans="1:5" ht="15.75" thickBot="1" x14ac:dyDescent="0.3">
      <c r="A17" s="74" t="s">
        <v>185</v>
      </c>
      <c r="B17" s="75" t="s">
        <v>303</v>
      </c>
      <c r="D17" s="29" t="s">
        <v>1269</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69" t="s">
        <v>129</v>
      </c>
      <c r="B6" s="170"/>
    </row>
    <row r="7" spans="1:20" ht="16.5" thickTop="1" thickBot="1" x14ac:dyDescent="0.3">
      <c r="A7" s="66" t="s">
        <v>27</v>
      </c>
      <c r="B7" s="32"/>
      <c r="D7" s="28" t="s">
        <v>295</v>
      </c>
      <c r="H7" s="29" t="s">
        <v>1268</v>
      </c>
      <c r="I7" s="65">
        <f>COUNTA(SamplingFeatures[Feature Code])</f>
        <v>0</v>
      </c>
      <c r="M7" s="29" t="s">
        <v>1264</v>
      </c>
      <c r="N7" s="65">
        <f>MAX(Sites[SiteID])</f>
        <v>0</v>
      </c>
      <c r="R7" s="29" t="s">
        <v>1265</v>
      </c>
      <c r="S7" s="30">
        <f>MAX(Specimens[SpecimenID])</f>
        <v>0</v>
      </c>
    </row>
    <row r="8" spans="1:20" ht="15.75" thickBot="1" x14ac:dyDescent="0.3">
      <c r="A8" s="67" t="s">
        <v>128</v>
      </c>
      <c r="B8" s="36"/>
      <c r="D8" s="28" t="s">
        <v>1367</v>
      </c>
      <c r="H8" s="29" t="s">
        <v>1366</v>
      </c>
      <c r="I8" s="65">
        <f>MAX(SamplingFeatures[IGSNID])</f>
        <v>0</v>
      </c>
    </row>
    <row r="9" spans="1:20" ht="15.75" thickBot="1" x14ac:dyDescent="0.3">
      <c r="K9" s="173" t="s">
        <v>207</v>
      </c>
      <c r="L9" s="173"/>
      <c r="M9" s="173"/>
      <c r="N9" s="173"/>
      <c r="P9" s="173" t="s">
        <v>206</v>
      </c>
      <c r="Q9" s="173"/>
      <c r="R9" s="173"/>
      <c r="S9" s="173"/>
    </row>
    <row r="10" spans="1:20" ht="15.75" thickBot="1" x14ac:dyDescent="0.3">
      <c r="A10" s="68" t="s">
        <v>22</v>
      </c>
      <c r="B10" s="69" t="s">
        <v>23</v>
      </c>
      <c r="C10" s="69" t="s">
        <v>127</v>
      </c>
      <c r="D10" s="69" t="s">
        <v>211</v>
      </c>
      <c r="E10" s="70" t="s">
        <v>209</v>
      </c>
      <c r="F10" s="71" t="s">
        <v>210</v>
      </c>
      <c r="G10" s="72" t="s">
        <v>212</v>
      </c>
      <c r="H10" s="72" t="s">
        <v>26</v>
      </c>
      <c r="I10" s="73" t="s">
        <v>1233</v>
      </c>
      <c r="J10" s="147" t="s">
        <v>1364</v>
      </c>
      <c r="K10" s="52"/>
      <c r="L10" s="63" t="s">
        <v>1164</v>
      </c>
      <c r="M10" s="74" t="s">
        <v>203</v>
      </c>
      <c r="N10" s="69" t="s">
        <v>24</v>
      </c>
      <c r="O10" s="75" t="s">
        <v>25</v>
      </c>
      <c r="P10" s="53"/>
      <c r="Q10" s="63" t="s">
        <v>1165</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c r="N20" s="11"/>
      <c r="O20" s="42"/>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c r="N21" s="11"/>
      <c r="O21" s="42"/>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c r="N22" s="11"/>
      <c r="O22" s="42"/>
      <c r="P22" s="57"/>
      <c r="Q22" s="62" t="str">
        <f>IF(SamplingFeatures[[#This Row],[Sampling Feature Type]]="Specimen",MAX(Q$10:Q21)+1,"")</f>
        <v/>
      </c>
      <c r="R22" s="10"/>
      <c r="S22" s="11"/>
      <c r="T22" s="42"/>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c r="N23" s="11"/>
      <c r="O23" s="42"/>
      <c r="P23" s="57"/>
      <c r="Q23" s="62" t="str">
        <f>IF(SamplingFeatures[[#This Row],[Sampling Feature Type]]="Specimen",MAX(Q$10:Q22)+1,"")</f>
        <v/>
      </c>
      <c r="R23" s="10"/>
      <c r="S23" s="11"/>
      <c r="T23" s="42"/>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c r="N24" s="11"/>
      <c r="O24" s="42"/>
      <c r="P24" s="57"/>
      <c r="Q24" s="62" t="str">
        <f>IF(SamplingFeatures[[#This Row],[Sampling Feature Type]]="Specimen",MAX(Q$10:Q23)+1,"")</f>
        <v/>
      </c>
      <c r="R24" s="10"/>
      <c r="S24" s="11"/>
      <c r="T24" s="42"/>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c r="N25" s="11"/>
      <c r="O25" s="42"/>
      <c r="P25" s="57"/>
      <c r="Q25" s="62" t="str">
        <f>IF(SamplingFeatures[[#This Row],[Sampling Feature Type]]="Specimen",MAX(Q$10:Q24)+1,"")</f>
        <v/>
      </c>
      <c r="R25" s="10"/>
      <c r="S25" s="11"/>
      <c r="T25" s="42"/>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c r="N26" s="11"/>
      <c r="O26" s="42"/>
      <c r="P26" s="57"/>
      <c r="Q26" s="62" t="str">
        <f>IF(SamplingFeatures[[#This Row],[Sampling Feature Type]]="Specimen",MAX(Q$10:Q25)+1,"")</f>
        <v/>
      </c>
      <c r="R26" s="10"/>
      <c r="S26" s="11"/>
      <c r="T26" s="42"/>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c r="N27" s="11"/>
      <c r="O27" s="42"/>
      <c r="P27" s="57"/>
      <c r="Q27" s="62" t="str">
        <f>IF(SamplingFeatures[[#This Row],[Sampling Feature Type]]="Specimen",MAX(Q$10:Q26)+1,"")</f>
        <v/>
      </c>
      <c r="R27" s="10"/>
      <c r="S27" s="11"/>
      <c r="T27" s="42"/>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c r="N28" s="11"/>
      <c r="O28" s="42"/>
      <c r="P28" s="57"/>
      <c r="Q28" s="62" t="str">
        <f>IF(SamplingFeatures[[#This Row],[Sampling Feature Type]]="Specimen",MAX(Q$10:Q27)+1,"")</f>
        <v/>
      </c>
      <c r="R28" s="10"/>
      <c r="S28" s="11"/>
      <c r="T28" s="42"/>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c r="N29" s="11"/>
      <c r="O29" s="42"/>
      <c r="P29" s="57"/>
      <c r="Q29" s="62" t="str">
        <f>IF(SamplingFeatures[[#This Row],[Sampling Feature Type]]="Specimen",MAX(Q$10:Q28)+1,"")</f>
        <v/>
      </c>
      <c r="R29" s="10"/>
      <c r="S29" s="11"/>
      <c r="T29" s="42"/>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c r="N30" s="11"/>
      <c r="O30" s="42"/>
      <c r="P30" s="57"/>
      <c r="Q30" s="62" t="str">
        <f>IF(SamplingFeatures[[#This Row],[Sampling Feature Type]]="Specimen",MAX(Q$10:Q29)+1,"")</f>
        <v/>
      </c>
      <c r="R30" s="10"/>
      <c r="S30" s="11"/>
      <c r="T30" s="42"/>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c r="N31" s="11"/>
      <c r="O31" s="42"/>
      <c r="P31" s="57"/>
      <c r="Q31" s="62" t="str">
        <f>IF(SamplingFeatures[[#This Row],[Sampling Feature Type]]="Specimen",MAX(Q$10:Q30)+1,"")</f>
        <v/>
      </c>
      <c r="R31" s="10"/>
      <c r="S31" s="11"/>
      <c r="T31" s="42"/>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c r="N32" s="11"/>
      <c r="O32" s="42"/>
      <c r="P32" s="57"/>
      <c r="Q32" s="62" t="str">
        <f>IF(SamplingFeatures[[#This Row],[Sampling Feature Type]]="Specimen",MAX(Q$10:Q31)+1,"")</f>
        <v/>
      </c>
      <c r="R32" s="10"/>
      <c r="S32" s="11"/>
      <c r="T32" s="42"/>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c r="N33" s="11"/>
      <c r="O33" s="42"/>
      <c r="P33" s="57"/>
      <c r="Q33" s="62" t="str">
        <f>IF(SamplingFeatures[[#This Row],[Sampling Feature Type]]="Specimen",MAX(Q$10:Q32)+1,"")</f>
        <v/>
      </c>
      <c r="R33" s="10"/>
      <c r="S33" s="11"/>
      <c r="T33" s="42"/>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c r="N34" s="11"/>
      <c r="O34" s="42"/>
      <c r="P34" s="57"/>
      <c r="Q34" s="62" t="str">
        <f>IF(SamplingFeatures[[#This Row],[Sampling Feature Type]]="Specimen",MAX(Q$10:Q33)+1,"")</f>
        <v/>
      </c>
      <c r="R34" s="10"/>
      <c r="S34" s="11"/>
      <c r="T34" s="42"/>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c r="N35" s="11"/>
      <c r="O35" s="42"/>
      <c r="P35" s="57"/>
      <c r="Q35" s="62" t="str">
        <f>IF(SamplingFeatures[[#This Row],[Sampling Feature Type]]="Specimen",MAX(Q$10:Q34)+1,"")</f>
        <v/>
      </c>
      <c r="R35" s="10"/>
      <c r="S35" s="11"/>
      <c r="T35" s="42"/>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c r="N36" s="11"/>
      <c r="O36" s="42"/>
      <c r="P36" s="57"/>
      <c r="Q36" s="62" t="str">
        <f>IF(SamplingFeatures[[#This Row],[Sampling Feature Type]]="Specimen",MAX(Q$10:Q35)+1,"")</f>
        <v/>
      </c>
      <c r="R36" s="10"/>
      <c r="S36" s="11"/>
      <c r="T36" s="42"/>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c r="N37" s="11"/>
      <c r="O37" s="42"/>
      <c r="P37" s="57"/>
      <c r="Q37" s="62" t="str">
        <f>IF(SamplingFeatures[[#This Row],[Sampling Feature Type]]="Specimen",MAX(Q$10:Q36)+1,"")</f>
        <v/>
      </c>
      <c r="R37" s="10"/>
      <c r="S37" s="11"/>
      <c r="T37" s="42"/>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c r="N38" s="11"/>
      <c r="O38" s="42"/>
      <c r="P38" s="57"/>
      <c r="Q38" s="62" t="str">
        <f>IF(SamplingFeatures[[#This Row],[Sampling Feature Type]]="Specimen",MAX(Q$10:Q37)+1,"")</f>
        <v/>
      </c>
      <c r="R38" s="10"/>
      <c r="S38" s="11"/>
      <c r="T38" s="42"/>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c r="N39" s="11"/>
      <c r="O39" s="42"/>
      <c r="P39" s="57"/>
      <c r="Q39" s="62" t="str">
        <f>IF(SamplingFeatures[[#This Row],[Sampling Feature Type]]="Specimen",MAX(Q$10:Q38)+1,"")</f>
        <v/>
      </c>
      <c r="R39" s="10"/>
      <c r="S39" s="11"/>
      <c r="T39" s="42"/>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c r="N40" s="11"/>
      <c r="O40" s="42"/>
      <c r="P40" s="57"/>
      <c r="Q40" s="62" t="str">
        <f>IF(SamplingFeatures[[#This Row],[Sampling Feature Type]]="Specimen",MAX(Q$10:Q39)+1,"")</f>
        <v/>
      </c>
      <c r="R40" s="10"/>
      <c r="S40" s="11"/>
      <c r="T40" s="42"/>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c r="N41" s="11"/>
      <c r="O41" s="42"/>
      <c r="P41" s="57"/>
      <c r="Q41" s="62" t="str">
        <f>IF(SamplingFeatures[[#This Row],[Sampling Feature Type]]="Specimen",MAX(Q$10:Q40)+1,"")</f>
        <v/>
      </c>
      <c r="R41" s="10"/>
      <c r="S41" s="11"/>
      <c r="T41" s="42"/>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c r="N42" s="11"/>
      <c r="O42" s="42"/>
      <c r="P42" s="57"/>
      <c r="Q42" s="62" t="str">
        <f>IF(SamplingFeatures[[#This Row],[Sampling Feature Type]]="Specimen",MAX(Q$10:Q41)+1,"")</f>
        <v/>
      </c>
      <c r="R42" s="10"/>
      <c r="S42" s="11"/>
      <c r="T42" s="42"/>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c r="N43" s="11"/>
      <c r="O43" s="42"/>
      <c r="P43" s="57"/>
      <c r="Q43" s="62" t="str">
        <f>IF(SamplingFeatures[[#This Row],[Sampling Feature Type]]="Specimen",MAX(Q$10:Q42)+1,"")</f>
        <v/>
      </c>
      <c r="R43" s="10"/>
      <c r="S43" s="11"/>
      <c r="T43" s="42"/>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c r="N44" s="11"/>
      <c r="O44" s="42"/>
      <c r="P44" s="57"/>
      <c r="Q44" s="62" t="str">
        <f>IF(SamplingFeatures[[#This Row],[Sampling Feature Type]]="Specimen",MAX(Q$10:Q43)+1,"")</f>
        <v/>
      </c>
      <c r="R44" s="10"/>
      <c r="S44" s="11"/>
      <c r="T44" s="42"/>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c r="N45" s="11"/>
      <c r="O45" s="42"/>
      <c r="P45" s="57"/>
      <c r="Q45" s="62" t="str">
        <f>IF(SamplingFeatures[[#This Row],[Sampling Feature Type]]="Specimen",MAX(Q$10:Q44)+1,"")</f>
        <v/>
      </c>
      <c r="R45" s="10"/>
      <c r="S45" s="11"/>
      <c r="T45" s="42"/>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c r="N46" s="11"/>
      <c r="O46" s="42"/>
      <c r="P46" s="57"/>
      <c r="Q46" s="62" t="str">
        <f>IF(SamplingFeatures[[#This Row],[Sampling Feature Type]]="Specimen",MAX(Q$10:Q45)+1,"")</f>
        <v/>
      </c>
      <c r="R46" s="10"/>
      <c r="S46" s="11"/>
      <c r="T46" s="42"/>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c r="N47" s="11"/>
      <c r="O47" s="42"/>
      <c r="P47" s="57"/>
      <c r="Q47" s="62" t="str">
        <f>IF(SamplingFeatures[[#This Row],[Sampling Feature Type]]="Specimen",MAX(Q$10:Q46)+1,"")</f>
        <v/>
      </c>
      <c r="R47" s="10"/>
      <c r="S47" s="11"/>
      <c r="T47" s="42"/>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c r="N48" s="11"/>
      <c r="O48" s="42"/>
      <c r="P48" s="57"/>
      <c r="Q48" s="62" t="str">
        <f>IF(SamplingFeatures[[#This Row],[Sampling Feature Type]]="Specimen",MAX(Q$10:Q47)+1,"")</f>
        <v/>
      </c>
      <c r="R48" s="10"/>
      <c r="S48" s="11"/>
      <c r="T48" s="42"/>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c r="N49" s="11"/>
      <c r="O49" s="42"/>
      <c r="P49" s="57"/>
      <c r="Q49" s="62" t="str">
        <f>IF(SamplingFeatures[[#This Row],[Sampling Feature Type]]="Specimen",MAX(Q$10:Q48)+1,"")</f>
        <v/>
      </c>
      <c r="R49" s="10"/>
      <c r="S49" s="11"/>
      <c r="T49" s="42"/>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c r="N50" s="11"/>
      <c r="O50" s="42"/>
      <c r="P50" s="57"/>
      <c r="Q50" s="62" t="str">
        <f>IF(SamplingFeatures[[#This Row],[Sampling Feature Type]]="Specimen",MAX(Q$10:Q49)+1,"")</f>
        <v/>
      </c>
      <c r="R50" s="10"/>
      <c r="S50" s="11"/>
      <c r="T50" s="42"/>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c r="N51" s="11"/>
      <c r="O51" s="42"/>
      <c r="P51" s="57"/>
      <c r="Q51" s="62" t="str">
        <f>IF(SamplingFeatures[[#This Row],[Sampling Feature Type]]="Specimen",MAX(Q$10:Q50)+1,"")</f>
        <v/>
      </c>
      <c r="R51" s="10"/>
      <c r="S51" s="11"/>
      <c r="T51" s="42"/>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c r="N52" s="11"/>
      <c r="O52" s="42"/>
      <c r="P52" s="57"/>
      <c r="Q52" s="62" t="str">
        <f>IF(SamplingFeatures[[#This Row],[Sampling Feature Type]]="Specimen",MAX(Q$10:Q51)+1,"")</f>
        <v/>
      </c>
      <c r="R52" s="10"/>
      <c r="S52" s="11"/>
      <c r="T52" s="42"/>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c r="N53" s="11"/>
      <c r="O53" s="42"/>
      <c r="P53" s="57"/>
      <c r="Q53" s="62" t="str">
        <f>IF(SamplingFeatures[[#This Row],[Sampling Feature Type]]="Specimen",MAX(Q$10:Q52)+1,"")</f>
        <v/>
      </c>
      <c r="R53" s="10"/>
      <c r="S53" s="11"/>
      <c r="T53" s="42"/>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c r="N54" s="11"/>
      <c r="O54" s="42"/>
      <c r="P54" s="57"/>
      <c r="Q54" s="62" t="str">
        <f>IF(SamplingFeatures[[#This Row],[Sampling Feature Type]]="Specimen",MAX(Q$10:Q53)+1,"")</f>
        <v/>
      </c>
      <c r="R54" s="10"/>
      <c r="S54" s="11"/>
      <c r="T54" s="42"/>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c r="N55" s="11"/>
      <c r="O55" s="42"/>
      <c r="P55" s="57"/>
      <c r="Q55" s="62" t="str">
        <f>IF(SamplingFeatures[[#This Row],[Sampling Feature Type]]="Specimen",MAX(Q$10:Q54)+1,"")</f>
        <v/>
      </c>
      <c r="R55" s="10"/>
      <c r="S55" s="11"/>
      <c r="T55" s="42"/>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c r="N56" s="11"/>
      <c r="O56" s="42"/>
      <c r="P56" s="57"/>
      <c r="Q56" s="62" t="str">
        <f>IF(SamplingFeatures[[#This Row],[Sampling Feature Type]]="Specimen",MAX(Q$10:Q55)+1,"")</f>
        <v/>
      </c>
      <c r="R56" s="10"/>
      <c r="S56" s="11"/>
      <c r="T56" s="42"/>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c r="N57" s="11"/>
      <c r="O57" s="42"/>
      <c r="P57" s="57"/>
      <c r="Q57" s="62" t="str">
        <f>IF(SamplingFeatures[[#This Row],[Sampling Feature Type]]="Specimen",MAX(Q$10:Q56)+1,"")</f>
        <v/>
      </c>
      <c r="R57" s="10"/>
      <c r="S57" s="11"/>
      <c r="T57" s="42"/>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c r="N58" s="11"/>
      <c r="O58" s="42"/>
      <c r="P58" s="57"/>
      <c r="Q58" s="62" t="str">
        <f>IF(SamplingFeatures[[#This Row],[Sampling Feature Type]]="Specimen",MAX(Q$10:Q57)+1,"")</f>
        <v/>
      </c>
      <c r="R58" s="10"/>
      <c r="S58" s="11"/>
      <c r="T58" s="42"/>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c r="N59" s="11"/>
      <c r="O59" s="42"/>
      <c r="P59" s="57"/>
      <c r="Q59" s="62" t="str">
        <f>IF(SamplingFeatures[[#This Row],[Sampling Feature Type]]="Specimen",MAX(Q$10:Q58)+1,"")</f>
        <v/>
      </c>
      <c r="R59" s="10"/>
      <c r="S59" s="11"/>
      <c r="T59" s="42"/>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c r="N60" s="15"/>
      <c r="O60" s="44"/>
      <c r="P60" s="57"/>
      <c r="Q60" s="64" t="str">
        <f>IF(SamplingFeatures[[#This Row],[Sampling Feature Type]]="Specimen",MAX(Q$10:Q59)+1,"")</f>
        <v/>
      </c>
      <c r="R60" s="14"/>
      <c r="S60" s="15"/>
      <c r="T60" s="44"/>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7"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0</v>
      </c>
      <c r="I3" s="29" t="s">
        <v>1267</v>
      </c>
      <c r="J3" s="30">
        <f>MAX(RelatedFeatures[OffsetID])</f>
        <v>0</v>
      </c>
    </row>
    <row r="4" spans="1:11" ht="15.75" thickBot="1" x14ac:dyDescent="0.3"/>
    <row r="5" spans="1:11" x14ac:dyDescent="0.25">
      <c r="A5" s="171" t="s">
        <v>263</v>
      </c>
      <c r="B5" s="174"/>
      <c r="C5" s="174"/>
      <c r="D5" s="174"/>
      <c r="E5" s="174"/>
      <c r="F5" s="174"/>
      <c r="G5" s="174"/>
      <c r="H5" s="174"/>
      <c r="I5" s="174"/>
      <c r="J5" s="174"/>
      <c r="K5" s="172"/>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1390</v>
      </c>
    </row>
    <row r="3" spans="1:6" ht="15.75" thickBot="1" x14ac:dyDescent="0.3">
      <c r="A3" s="28" t="s">
        <v>1167</v>
      </c>
    </row>
    <row r="4" spans="1:6" ht="15.75" thickBot="1" x14ac:dyDescent="0.3">
      <c r="A4" s="28" t="s">
        <v>297</v>
      </c>
      <c r="E4" s="29" t="s">
        <v>1272</v>
      </c>
      <c r="F4" s="30">
        <f>COUNTA(MethodCodes)</f>
        <v>0</v>
      </c>
    </row>
    <row r="5" spans="1:6" ht="15.75" thickBot="1" x14ac:dyDescent="0.3"/>
    <row r="6" spans="1:6" x14ac:dyDescent="0.25">
      <c r="A6" s="175" t="s">
        <v>270</v>
      </c>
      <c r="B6" s="176"/>
      <c r="C6" s="176"/>
      <c r="D6" s="176"/>
      <c r="E6" s="176"/>
      <c r="F6" s="177"/>
    </row>
    <row r="7" spans="1:6" ht="15.75" thickBot="1" x14ac:dyDescent="0.3">
      <c r="A7" s="74" t="s">
        <v>267</v>
      </c>
      <c r="B7" s="69" t="s">
        <v>148</v>
      </c>
      <c r="C7" s="69" t="s">
        <v>147</v>
      </c>
      <c r="D7" s="76" t="s">
        <v>149</v>
      </c>
      <c r="E7" s="76" t="s">
        <v>268</v>
      </c>
      <c r="F7" s="72" t="s">
        <v>19</v>
      </c>
    </row>
    <row r="8" spans="1:6" ht="15.75" thickTop="1"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95"/>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password="CA31" sheet="1" objects="1" scenarios="1"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0</v>
      </c>
    </row>
    <row r="4" spans="1:6" ht="15.75" thickBot="1" x14ac:dyDescent="0.3"/>
    <row r="5" spans="1:6" x14ac:dyDescent="0.25">
      <c r="A5" s="175" t="s">
        <v>311</v>
      </c>
      <c r="B5" s="176"/>
      <c r="C5" s="176"/>
      <c r="D5" s="176"/>
      <c r="E5" s="176"/>
      <c r="F5" s="177"/>
    </row>
    <row r="6" spans="1:6" ht="15.75" thickBot="1" x14ac:dyDescent="0.3">
      <c r="A6" s="74" t="s">
        <v>307</v>
      </c>
      <c r="B6" s="69" t="s">
        <v>145</v>
      </c>
      <c r="C6" s="69" t="s">
        <v>144</v>
      </c>
      <c r="D6" s="76" t="s">
        <v>308</v>
      </c>
      <c r="E6" s="76" t="s">
        <v>309</v>
      </c>
      <c r="F6" s="75" t="s">
        <v>310</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2" sqref="A2"/>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71" t="s">
        <v>1224</v>
      </c>
      <c r="B5" s="174"/>
      <c r="C5" s="172"/>
    </row>
    <row r="6" spans="1:5" ht="15.75" thickBot="1" x14ac:dyDescent="0.3">
      <c r="A6" s="74" t="s">
        <v>1222</v>
      </c>
      <c r="B6" s="69" t="s">
        <v>1223</v>
      </c>
      <c r="C6" s="103" t="s">
        <v>1225</v>
      </c>
    </row>
    <row r="7" spans="1:5" ht="90.75" thickTop="1" x14ac:dyDescent="0.25">
      <c r="A7" s="99">
        <v>0</v>
      </c>
      <c r="B7" s="100" t="s">
        <v>1314</v>
      </c>
      <c r="C7" s="101" t="s">
        <v>1315</v>
      </c>
    </row>
    <row r="8" spans="1:5" ht="75" x14ac:dyDescent="0.25">
      <c r="A8" s="92">
        <v>1</v>
      </c>
      <c r="B8" s="80" t="s">
        <v>1316</v>
      </c>
      <c r="C8" s="102" t="s">
        <v>1375</v>
      </c>
    </row>
    <row r="9" spans="1:5" ht="60" x14ac:dyDescent="0.25">
      <c r="A9" s="92">
        <v>2</v>
      </c>
      <c r="B9" s="80" t="s">
        <v>1371</v>
      </c>
      <c r="C9" s="102" t="s">
        <v>1374</v>
      </c>
    </row>
    <row r="10" spans="1:5" ht="60" x14ac:dyDescent="0.25">
      <c r="A10" s="92">
        <v>3</v>
      </c>
      <c r="B10" s="80" t="s">
        <v>1372</v>
      </c>
      <c r="C10" s="102" t="s">
        <v>1376</v>
      </c>
    </row>
    <row r="11" spans="1:5" ht="75" x14ac:dyDescent="0.25">
      <c r="A11" s="92">
        <v>4</v>
      </c>
      <c r="B11" s="80" t="s">
        <v>1373</v>
      </c>
      <c r="C11" s="102" t="s">
        <v>1377</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zoomScale="115" zoomScaleNormal="115" zoomScalePageLayoutView="150" workbookViewId="0"/>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-2</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78" t="s">
        <v>143</v>
      </c>
      <c r="B10" s="179"/>
      <c r="C10" s="179"/>
      <c r="D10" s="179"/>
      <c r="E10" s="179"/>
      <c r="F10" s="179"/>
      <c r="G10" s="179"/>
      <c r="H10" s="179"/>
      <c r="I10" s="179"/>
      <c r="J10" s="179"/>
      <c r="K10" s="179"/>
      <c r="L10" s="179"/>
      <c r="M10" s="179"/>
      <c r="N10" s="179"/>
      <c r="O10" s="179"/>
      <c r="P10" s="180"/>
    </row>
    <row r="11" spans="1:16" ht="15.75" thickBot="1" x14ac:dyDescent="0.3">
      <c r="A11" s="105" t="s">
        <v>1218</v>
      </c>
      <c r="B11" s="74" t="s">
        <v>1230</v>
      </c>
      <c r="C11" s="76" t="s">
        <v>1169</v>
      </c>
      <c r="D11" s="69" t="s">
        <v>1211</v>
      </c>
      <c r="E11" s="69" t="s">
        <v>148</v>
      </c>
      <c r="F11" s="69" t="s">
        <v>1391</v>
      </c>
      <c r="G11" s="69" t="s">
        <v>138</v>
      </c>
      <c r="H11" s="69" t="s">
        <v>145</v>
      </c>
      <c r="I11" s="69" t="s">
        <v>146</v>
      </c>
      <c r="J11" s="69" t="s">
        <v>139</v>
      </c>
      <c r="K11" s="69" t="s">
        <v>1170</v>
      </c>
      <c r="L11" s="69" t="s">
        <v>142</v>
      </c>
      <c r="M11" s="69" t="s">
        <v>1213</v>
      </c>
      <c r="N11" s="69" t="s">
        <v>1195</v>
      </c>
      <c r="O11" s="69" t="s">
        <v>140</v>
      </c>
      <c r="P11" s="159" t="s">
        <v>141</v>
      </c>
    </row>
    <row r="12" spans="1:16"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19"/>
      <c r="P12" s="32"/>
    </row>
    <row r="13" spans="1:16" x14ac:dyDescent="0.25">
      <c r="A13" s="62" t="str">
        <f>IF(COUNTA(DataColumns[[#This Row],[Column Label]:[Quality Code]])&gt;0,IF(MAX(A$11:A12)=0,3,MAX(A$11:A12)+1),"")</f>
        <v/>
      </c>
      <c r="B13" s="10"/>
      <c r="C13" s="23"/>
      <c r="D13" s="11"/>
      <c r="E13" s="11"/>
      <c r="F13" s="11"/>
      <c r="G13" s="11"/>
      <c r="H13" s="11"/>
      <c r="I13" s="11"/>
      <c r="J13" s="11"/>
      <c r="K13" s="11"/>
      <c r="L13" s="11"/>
      <c r="M13" s="11"/>
      <c r="N13" s="11"/>
      <c r="O13" s="11"/>
      <c r="P13" s="33"/>
    </row>
    <row r="14" spans="1:16" x14ac:dyDescent="0.25">
      <c r="A14" s="62" t="str">
        <f>IF(COUNTA(DataColumns[[#This Row],[Column Label]:[Quality Code]])&gt;0,IF(MAX(A$11:A13)=0,3,MAX(A$11:A13)+1),"")</f>
        <v/>
      </c>
      <c r="B14" s="10"/>
      <c r="C14" s="23"/>
      <c r="D14" s="11"/>
      <c r="E14" s="11"/>
      <c r="F14" s="11"/>
      <c r="G14" s="11"/>
      <c r="H14" s="11"/>
      <c r="I14" s="11"/>
      <c r="J14" s="11"/>
      <c r="K14" s="11"/>
      <c r="L14" s="11"/>
      <c r="M14" s="11"/>
      <c r="N14" s="11"/>
      <c r="O14" s="11"/>
      <c r="P14" s="33"/>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60"/>
      <c r="C98" s="161"/>
      <c r="D98" s="130"/>
      <c r="E98" s="130"/>
      <c r="F98" s="130"/>
      <c r="G98" s="130"/>
      <c r="H98" s="130"/>
      <c r="I98" s="130"/>
      <c r="J98" s="130"/>
      <c r="K98" s="130"/>
      <c r="L98" s="130"/>
      <c r="M98" s="130"/>
      <c r="N98" s="130"/>
      <c r="O98" s="130"/>
      <c r="P98" s="36"/>
    </row>
  </sheetData>
  <sheetProtection password="CA31" sheet="1" objects="1" scenarios="1"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8"/>
  <sheetViews>
    <sheetView topLeftCell="F1" workbookViewId="0">
      <selection activeCell="L1" sqref="L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1385</v>
      </c>
      <c r="D1" s="28" t="s">
        <v>238</v>
      </c>
      <c r="E1" s="28" t="s">
        <v>1368</v>
      </c>
      <c r="F1" s="28" t="s">
        <v>1348</v>
      </c>
      <c r="G1" s="28" t="s">
        <v>237</v>
      </c>
      <c r="H1" s="28" t="s">
        <v>1359</v>
      </c>
      <c r="I1" s="28" t="s">
        <v>239</v>
      </c>
      <c r="J1" s="28" t="s">
        <v>240</v>
      </c>
      <c r="K1" s="28" t="s">
        <v>1358</v>
      </c>
      <c r="L1" s="28" t="s">
        <v>241</v>
      </c>
      <c r="M1" s="28" t="s">
        <v>242</v>
      </c>
      <c r="N1" s="28" t="s">
        <v>243</v>
      </c>
      <c r="O1" s="28" t="s">
        <v>244</v>
      </c>
      <c r="P1" s="28" t="s">
        <v>1360</v>
      </c>
      <c r="Q1" s="28" t="s">
        <v>245</v>
      </c>
      <c r="R1" s="28" t="s">
        <v>247</v>
      </c>
      <c r="S1" s="28" t="s">
        <v>264</v>
      </c>
      <c r="T1" s="28" t="s">
        <v>265</v>
      </c>
      <c r="U1" s="28" t="s">
        <v>269</v>
      </c>
      <c r="V1" s="28" t="s">
        <v>1104</v>
      </c>
      <c r="W1" s="28" t="s">
        <v>259</v>
      </c>
      <c r="X1" s="28" t="s">
        <v>1226</v>
      </c>
      <c r="Y1" s="28" t="s">
        <v>1231</v>
      </c>
      <c r="Z1" s="28" t="s">
        <v>1232</v>
      </c>
      <c r="AA1" s="28" t="s">
        <v>1387</v>
      </c>
      <c r="AB1" s="28" t="s">
        <v>1237</v>
      </c>
      <c r="AC1" s="28" t="s">
        <v>1388</v>
      </c>
      <c r="AD1" s="28" t="s">
        <v>1240</v>
      </c>
      <c r="AE1" s="28" t="s">
        <v>1242</v>
      </c>
      <c r="AF1" s="28" t="s">
        <v>1243</v>
      </c>
      <c r="AG1" s="28" t="s">
        <v>1244</v>
      </c>
      <c r="AH1" s="28" t="s">
        <v>1254</v>
      </c>
      <c r="AI1" s="28" t="s">
        <v>1255</v>
      </c>
      <c r="AJ1" s="28" t="s">
        <v>1275</v>
      </c>
    </row>
    <row r="2" spans="1:37" x14ac:dyDescent="0.25">
      <c r="A2" s="28" t="s">
        <v>1106</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IF(COUNTA(CitationInformation)=0,1,NumAuthors+1)</f>
        <v>0</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 t="shared" ref="Y2:AD2" si="0">MAX(NumDataColumns+1,2)</f>
        <v>2</v>
      </c>
      <c r="Z2" s="28">
        <f t="shared" si="0"/>
        <v>2</v>
      </c>
      <c r="AA2" s="28">
        <f t="shared" si="0"/>
        <v>2</v>
      </c>
      <c r="AB2" s="28">
        <f t="shared" si="0"/>
        <v>2</v>
      </c>
      <c r="AC2" s="28">
        <f t="shared" si="0"/>
        <v>2</v>
      </c>
      <c r="AD2" s="28">
        <f t="shared" si="0"/>
        <v>2</v>
      </c>
      <c r="AE2" s="28">
        <f>IF(NumDataColumns&lt;1,5,NumDataColumns+4)</f>
        <v>5</v>
      </c>
      <c r="AF2" s="28">
        <v>1</v>
      </c>
      <c r="AG2" s="28">
        <v>1</v>
      </c>
      <c r="AH2" s="28">
        <v>1</v>
      </c>
      <c r="AI2" s="28">
        <f>IF(NumDataValues=0,3,2)</f>
        <v>3</v>
      </c>
    </row>
    <row r="3" spans="1:37" x14ac:dyDescent="0.25">
      <c r="A3" s="28">
        <f t="shared" ref="A3:A8" si="1">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f>IF(COUNTA(CitationInformation)=0,"","AuthorList:")</f>
        <v>0</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294</v>
      </c>
      <c r="V3" s="28" t="s">
        <v>1105</v>
      </c>
      <c r="W3" s="28" t="str">
        <f>""</f>
        <v/>
      </c>
      <c r="X3" s="28" t="s">
        <v>1227</v>
      </c>
      <c r="Y3" s="28" t="s">
        <v>1234</v>
      </c>
      <c r="Z3" s="28" t="s">
        <v>1236</v>
      </c>
      <c r="AA3" s="28" t="s">
        <v>1389</v>
      </c>
      <c r="AB3" s="28" t="s">
        <v>1238</v>
      </c>
      <c r="AC3" s="28" t="s">
        <v>1386</v>
      </c>
      <c r="AD3" s="28" t="s">
        <v>1239</v>
      </c>
      <c r="AE3" s="28" t="s">
        <v>1241</v>
      </c>
      <c r="AF3" s="28" t="str">
        <f>""</f>
        <v/>
      </c>
      <c r="AG3" s="28" t="str">
        <f>""</f>
        <v/>
      </c>
      <c r="AH3" s="28" t="s">
        <v>1253</v>
      </c>
      <c r="AI3" s="28" t="s">
        <v>1256</v>
      </c>
      <c r="AJ3" s="28" t="s">
        <v>1279</v>
      </c>
      <c r="AK3" s="28">
        <f>MAX(B2:AI2)</f>
        <v>6</v>
      </c>
    </row>
    <row r="4" spans="1:37" x14ac:dyDescent="0.25">
      <c r="A4" s="28">
        <f t="shared" si="1"/>
        <v>1</v>
      </c>
      <c r="B4" s="28" t="str">
        <f>CONCATENATE("YODA: ",
"{YODAVersion: ",CHAR(34),YODAVersion,CHAR(34),
", Profile: ",CHAR(34),TemplateProfile,CHAR(34),
", CreationTool: ",CHAR(34),"Excel Template v",TemplateVersion,CHAR(34),
", DateCreated: ",CHAR(34),TEXT(TODAY(),"yyyy-mm-dd"),CHAR(34),
", DateUpdated: ",CHAR(34),TEXT(TODAY(),"yyyy-mm-dd"),CHAR(34),
"}")</f>
        <v>YODA: {YODAVersion: "1.0.0", Profile: "TimeSeries", CreationTool: "Excel Template v1.0.0", DateCreated: "2015-03-17", DateUpdated: "2015-03-17"}</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PLEASE FILL IN METADATA FOR AT LEAST ONE DATA COLUMN</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C4" s="28" t="str">
        <f>IF(INDEX(DataColumns[Col '#],ROW()-3)="","PLEASE FILL IN METADATA FOR AT LEAST ONE DATA COLUMN",
CONCATENATE("    - {DataSetObj: *DataSetID0001, ",
"ResultObj: *ResultID",TEXT(ROW()-3,"0000"),
"}"))</f>
        <v>PLEASE FILL IN METADATA FOR AT LEAST ONE DATA COLUMN</v>
      </c>
      <c r="AD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E4" s="28" t="s">
        <v>1246</v>
      </c>
      <c r="AH4" s="28" t="str">
        <f>IF(INDEX(DataColumns[Column Label],ROW()-3)="",
"PLEASE FILL IN METADATA FOR AT LEAST ONE DATA COLUMN",
INDEX(DataColumns[Column Label],ROW()-3))</f>
        <v>PLEASE FILL IN METADATA FOR AT LEAST ONE DATA COLUMN</v>
      </c>
      <c r="AI4" s="28" t="str">
        <f>IF(INDEX(DataColumns[Col '#],ROW()-3)="",
"PLEASE FILL IN METADATA FOR AT LEAST ONE DATA COLUMN",
CONCATENATE("ValueDateTime",", ","ValueDateTimeUTCOffset",", ",INDIRECT(CONCATENATE("R",NumDataColumns+3,"C[-1]"),FALSE)," ],["))</f>
        <v>PLEASE FILL IN METADATA FOR AT LEAST ONE DATA COLUMN</v>
      </c>
      <c r="AJ4" s="28" t="s">
        <v>1276</v>
      </c>
      <c r="AK4" s="28">
        <f>SUM(B2:AI2)</f>
        <v>60</v>
      </c>
    </row>
    <row r="5" spans="1:37" x14ac:dyDescent="0.25">
      <c r="A5" s="28">
        <f t="shared" si="1"/>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5" s="28" t="str">
        <f t="shared" ref="AC5:AC8" si="2">IF(ROW()-3&gt;NumDataColumns,"",
CONCATENATE("    - {DataSetObj: *DataSetID0001, ",
"ResultObj: *ResultID",TEXT(ROW()-3,"0000"),
"}"))</f>
        <v/>
      </c>
      <c r="AD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5" s="28" t="s">
        <v>1247</v>
      </c>
      <c r="AH5" s="28" t="str">
        <f>IF(ROW()-3&gt;NumDataColumns,
"",
CONCATENATE(AH4,", ",INDEX(DataColumns[Column Label],ROW()-3)))</f>
        <v/>
      </c>
      <c r="AI5" s="28" t="str">
        <f>IF(NumDataValues=0,"PLEASE FILL IN DATA IN THE DATA VALUES WORKSHEET","")</f>
        <v>PLEASE FILL IN DATA IN THE DATA VALUES WORKSHEET</v>
      </c>
      <c r="AJ5" s="28" t="s">
        <v>1277</v>
      </c>
      <c r="AK5" s="28">
        <f>COUNT('Data Values'!C2:C89250)</f>
        <v>0</v>
      </c>
    </row>
    <row r="6" spans="1:37" x14ac:dyDescent="0.25">
      <c r="A6" s="28">
        <f t="shared" si="1"/>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6" s="28" t="str">
        <f t="shared" si="2"/>
        <v/>
      </c>
      <c r="AD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6" s="28" t="s">
        <v>1248</v>
      </c>
      <c r="AH6" s="28" t="str">
        <f>IF(ROW()-3&gt;NumDataColumns,
"",
CONCATENATE(AH5,", ",INDEX(DataColumns[Column Label],ROW()-3)))</f>
        <v/>
      </c>
    </row>
    <row r="7" spans="1:37" x14ac:dyDescent="0.25">
      <c r="A7" s="28">
        <f t="shared" si="1"/>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 t="shared" si="2"/>
        <v/>
      </c>
      <c r="AD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H7" s="28" t="str">
        <f>IF(ROW()-3&gt;NumDataColumns,
"",
CONCATENATE(AH6,", ",INDEX(DataColumns[Column Label],ROW()-3)))</f>
        <v/>
      </c>
    </row>
    <row r="8" spans="1:37" x14ac:dyDescent="0.25">
      <c r="A8" s="28">
        <f t="shared" si="1"/>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 t="shared" si="2"/>
        <v/>
      </c>
      <c r="AD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8" s="28" t="str">
        <f>IF(ROW()-3&gt;NumDataColumns,
"",
CONCATENATE(AH7,",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63"/>
  <sheetViews>
    <sheetView workbookViewId="0">
      <selection activeCell="D2" sqref="D2:D63"/>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{YODAVersion: "1.0.0", Profile: "TimeSeries", CreationTool: "Excel Template v1.0.0", DateCreated: "2015-03-17", DateUpdated: "2015-03-17"}</v>
      </c>
    </row>
    <row r="4" spans="1:4" x14ac:dyDescent="0.25">
      <c r="A4" s="28">
        <f t="shared" ref="A4:A61" si="0">IF(C3=INDIRECT(CONCATENATE("'YODA Header Blocks'!R2C",A3+1,":R2C",A3+1),FALSE),A3+1,A3)</f>
        <v>2</v>
      </c>
      <c r="B4" s="28" t="str">
        <f>OFFSET('YODA Header Blocks'!$A$1,0,A4)</f>
        <v>Datasets</v>
      </c>
      <c r="C4" s="28">
        <f t="shared" ref="C4:C61"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Datasets</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Action By</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ActionBy:</v>
      </c>
    </row>
    <row r="44" spans="1:4" x14ac:dyDescent="0.25">
      <c r="A44" s="28">
        <f t="shared" si="0"/>
        <v>26</v>
      </c>
      <c r="B44" s="28" t="str">
        <f>OFFSET('YODA Header Blocks'!$A$1,0,A44)</f>
        <v>Action By</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Results:</v>
      </c>
    </row>
    <row r="46" spans="1:4" x14ac:dyDescent="0.25">
      <c r="A46" s="28">
        <f t="shared" si="0"/>
        <v>27</v>
      </c>
      <c r="B46" s="28" t="str">
        <f>OFFSET('YODA Header Blocks'!$A$1,0,A46)</f>
        <v>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DataSets Results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DataSetsResults:</v>
      </c>
    </row>
    <row r="48" spans="1:4" x14ac:dyDescent="0.25">
      <c r="A48" s="28">
        <f t="shared" si="0"/>
        <v>28</v>
      </c>
      <c r="B48" s="28" t="str">
        <f>OFFSET('YODA Header Blocks'!$A$1,0,A48)</f>
        <v>DataSets Results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PLEASE FILL IN METADATA FOR AT LEAST ONE DATA COLUMN</v>
      </c>
    </row>
    <row r="49" spans="1:4" x14ac:dyDescent="0.25">
      <c r="A49" s="28">
        <f t="shared" si="0"/>
        <v>29</v>
      </c>
      <c r="B49" s="28" t="str">
        <f>OFFSET('YODA Header Blocks'!$A$1,0,A49)</f>
        <v>Time Series Results</v>
      </c>
      <c r="C49" s="28">
        <f t="shared" si="1"/>
        <v>1</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TimeSeriesResults:</v>
      </c>
    </row>
    <row r="50" spans="1:4" x14ac:dyDescent="0.25">
      <c r="A50" s="28">
        <f t="shared" si="0"/>
        <v>29</v>
      </c>
      <c r="B50" s="28" t="str">
        <f>OFFSET('YODA Header Blocks'!$A$1,0,A50)</f>
        <v>Time Series Results</v>
      </c>
      <c r="C50" s="28">
        <f t="shared" si="1"/>
        <v>2</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PLEASE FILL IN METADATA FOR AT LEAST ONE DATA COLUMN</v>
      </c>
    </row>
    <row r="51" spans="1:4" x14ac:dyDescent="0.25">
      <c r="A51" s="28">
        <f t="shared" si="0"/>
        <v>30</v>
      </c>
      <c r="B51" s="28" t="str">
        <f>OFFSET('YODA Header Blocks'!$A$1,0,A51)</f>
        <v>Time Series Result Values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TimeSeriesResultValues:</v>
      </c>
    </row>
    <row r="52" spans="1:4" x14ac:dyDescent="0.25">
      <c r="A52" s="28">
        <f t="shared" si="0"/>
        <v>30</v>
      </c>
      <c r="B52" s="28" t="str">
        <f>OFFSET('YODA Header Blocks'!$A$1,0,A52)</f>
        <v>Time Series Result Values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ColumnDefinitions:</v>
      </c>
    </row>
    <row r="53" spans="1:4" x14ac:dyDescent="0.25">
      <c r="A53" s="28">
        <f t="shared" si="0"/>
        <v>30</v>
      </c>
      <c r="B53" s="28" t="str">
        <f>OFFSET('YODA Header Blocks'!$A$1,0,A53)</f>
        <v>Time Series Result Values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4" spans="1:4" x14ac:dyDescent="0.25">
      <c r="A54" s="28">
        <f t="shared" si="0"/>
        <v>30</v>
      </c>
      <c r="B54" s="28" t="str">
        <f>OFFSET('YODA Header Blocks'!$A$1,0,A54)</f>
        <v>Time Series Result Values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5" spans="1:4" x14ac:dyDescent="0.25">
      <c r="A55" s="28">
        <f t="shared" si="0"/>
        <v>30</v>
      </c>
      <c r="B55" s="28" t="str">
        <f>OFFSET('YODA Header Blocks'!$A$1,0,A55)</f>
        <v>Time Series Result Values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PLEASE FILL IN METADATA FOR AT LEAST ONE DATA COLUMN</v>
      </c>
    </row>
    <row r="56" spans="1:4" x14ac:dyDescent="0.25">
      <c r="A56" s="28">
        <f t="shared" si="0"/>
        <v>31</v>
      </c>
      <c r="B56" s="28" t="str">
        <f>OFFSET('YODA Header Blocks'!$A$1,0,A56)</f>
        <v>Measurement Results</v>
      </c>
      <c r="C56" s="28">
        <f t="shared" si="1"/>
        <v>1</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c>
    </row>
    <row r="57" spans="1:4" x14ac:dyDescent="0.25">
      <c r="A57" s="28">
        <f t="shared" si="0"/>
        <v>32</v>
      </c>
      <c r="B57" s="28" t="str">
        <f>OFFSET('YODA Header Blocks'!$A$1,0,A57)</f>
        <v>Measurement Result Values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c>
    </row>
    <row r="58" spans="1:4" x14ac:dyDescent="0.25">
      <c r="A58" s="28">
        <f t="shared" si="0"/>
        <v>33</v>
      </c>
      <c r="B58" s="28" t="str">
        <f>OFFSET('YODA Header Blocks'!$A$1,0,A58)</f>
        <v>Data Helper</v>
      </c>
      <c r="C58" s="28">
        <f t="shared" si="1"/>
        <v>1</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Data:</v>
      </c>
    </row>
    <row r="59" spans="1:4" x14ac:dyDescent="0.25">
      <c r="A59" s="28">
        <f t="shared" si="0"/>
        <v>34</v>
      </c>
      <c r="B59" s="28" t="str">
        <f>OFFSET('YODA Header Blocks'!$A$1,0,A59)</f>
        <v>Data Helper2</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v>
      </c>
    </row>
    <row r="60" spans="1:4" x14ac:dyDescent="0.25">
      <c r="A60" s="28">
        <f t="shared" si="0"/>
        <v>34</v>
      </c>
      <c r="B60" s="28" t="str">
        <f>OFFSET('YODA Header Blocks'!$A$1,0,A60)</f>
        <v>Data Helper2</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PLEASE FILL IN METADATA FOR AT LEAST ONE DATA COLUMN</v>
      </c>
    </row>
    <row r="61" spans="1:4" x14ac:dyDescent="0.25">
      <c r="A61" s="28">
        <f t="shared" si="0"/>
        <v>34</v>
      </c>
      <c r="B61" s="28" t="str">
        <f>OFFSET('YODA Header Blocks'!$A$1,0,A61)</f>
        <v>Data Helper2</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PLEASE FILL IN DATA IN THE DATA VALUES WORKSHEET</v>
      </c>
    </row>
    <row r="62" spans="1:4" x14ac:dyDescent="0.25">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v>
      </c>
    </row>
    <row r="63" spans="1:4" x14ac:dyDescent="0.25">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5"/>
  <sheetViews>
    <sheetView workbookViewId="0">
      <selection activeCell="F32" sqref="F32"/>
    </sheetView>
  </sheetViews>
  <sheetFormatPr defaultRowHeight="15" x14ac:dyDescent="0.25"/>
  <sheetData>
    <row r="1" spans="1:1" x14ac:dyDescent="0.25">
      <c r="A1" t="s">
        <v>136</v>
      </c>
    </row>
    <row r="2" spans="1:1" x14ac:dyDescent="0.25">
      <c r="A2" t="s">
        <v>1406</v>
      </c>
    </row>
    <row r="3" spans="1:1" x14ac:dyDescent="0.25">
      <c r="A3" t="s">
        <v>1280</v>
      </c>
    </row>
    <row r="4" spans="1:1" x14ac:dyDescent="0.25">
      <c r="A4" t="s">
        <v>1405</v>
      </c>
    </row>
    <row r="5" spans="1:1" x14ac:dyDescent="0.25">
      <c r="A5" t="s">
        <v>191</v>
      </c>
    </row>
    <row r="6" spans="1:1" x14ac:dyDescent="0.25">
      <c r="A6" t="s">
        <v>1397</v>
      </c>
    </row>
    <row r="7" spans="1:1" x14ac:dyDescent="0.25">
      <c r="A7" t="s">
        <v>189</v>
      </c>
    </row>
    <row r="8" spans="1:1" x14ac:dyDescent="0.25">
      <c r="A8" t="s">
        <v>1398</v>
      </c>
    </row>
    <row r="9" spans="1:1" x14ac:dyDescent="0.25">
      <c r="A9" t="s">
        <v>192</v>
      </c>
    </row>
    <row r="10" spans="1:1" x14ac:dyDescent="0.25">
      <c r="A10" t="s">
        <v>234</v>
      </c>
    </row>
    <row r="11" spans="1:1" x14ac:dyDescent="0.25">
      <c r="A11" t="s">
        <v>1399</v>
      </c>
    </row>
    <row r="12" spans="1:1" x14ac:dyDescent="0.25">
      <c r="A12" t="s">
        <v>235</v>
      </c>
    </row>
    <row r="13" spans="1:1" x14ac:dyDescent="0.25">
      <c r="A13" t="s">
        <v>1400</v>
      </c>
    </row>
    <row r="14" spans="1:1" x14ac:dyDescent="0.25">
      <c r="A14" t="s">
        <v>294</v>
      </c>
    </row>
    <row r="15" spans="1:1" x14ac:dyDescent="0.25">
      <c r="A15" t="s">
        <v>1401</v>
      </c>
    </row>
    <row r="16" spans="1:1" x14ac:dyDescent="0.25">
      <c r="A16" t="s">
        <v>1105</v>
      </c>
    </row>
    <row r="17" spans="1:1" x14ac:dyDescent="0.25">
      <c r="A17" t="s">
        <v>1402</v>
      </c>
    </row>
    <row r="18" spans="1:1" x14ac:dyDescent="0.25">
      <c r="A18" t="s">
        <v>1227</v>
      </c>
    </row>
    <row r="19" spans="1:1" x14ac:dyDescent="0.25">
      <c r="A19" t="s">
        <v>1369</v>
      </c>
    </row>
    <row r="20" spans="1:1" x14ac:dyDescent="0.25">
      <c r="A20" t="s">
        <v>1378</v>
      </c>
    </row>
    <row r="21" spans="1:1" x14ac:dyDescent="0.25">
      <c r="A21" t="s">
        <v>1379</v>
      </c>
    </row>
    <row r="22" spans="1:1" x14ac:dyDescent="0.25">
      <c r="A22" t="s">
        <v>1380</v>
      </c>
    </row>
    <row r="23" spans="1:1" x14ac:dyDescent="0.25">
      <c r="A23" t="s">
        <v>1381</v>
      </c>
    </row>
    <row r="24" spans="1:1" x14ac:dyDescent="0.25">
      <c r="A24" t="s">
        <v>1234</v>
      </c>
    </row>
    <row r="25" spans="1:1" x14ac:dyDescent="0.25">
      <c r="A25" t="s">
        <v>1403</v>
      </c>
    </row>
    <row r="26" spans="1:1" x14ac:dyDescent="0.25">
      <c r="A26" t="s">
        <v>1236</v>
      </c>
    </row>
    <row r="27" spans="1:1" x14ac:dyDescent="0.25">
      <c r="A27" t="s">
        <v>1403</v>
      </c>
    </row>
    <row r="28" spans="1:1" x14ac:dyDescent="0.25">
      <c r="A28" t="s">
        <v>1389</v>
      </c>
    </row>
    <row r="29" spans="1:1" x14ac:dyDescent="0.25">
      <c r="A29" t="s">
        <v>1403</v>
      </c>
    </row>
    <row r="30" spans="1:1" x14ac:dyDescent="0.25">
      <c r="A30" t="s">
        <v>1238</v>
      </c>
    </row>
    <row r="31" spans="1:1" x14ac:dyDescent="0.25">
      <c r="A31" t="s">
        <v>1403</v>
      </c>
    </row>
    <row r="32" spans="1:1" x14ac:dyDescent="0.25">
      <c r="A32" t="s">
        <v>1386</v>
      </c>
    </row>
    <row r="33" spans="1:1" x14ac:dyDescent="0.25">
      <c r="A33" t="s">
        <v>1403</v>
      </c>
    </row>
    <row r="34" spans="1:1" x14ac:dyDescent="0.25">
      <c r="A34" t="s">
        <v>1239</v>
      </c>
    </row>
    <row r="35" spans="1:1" x14ac:dyDescent="0.25">
      <c r="A35" t="s">
        <v>1403</v>
      </c>
    </row>
    <row r="36" spans="1:1" x14ac:dyDescent="0.25">
      <c r="A36" t="s">
        <v>1241</v>
      </c>
    </row>
    <row r="37" spans="1:1" x14ac:dyDescent="0.25">
      <c r="A37" t="s">
        <v>1246</v>
      </c>
    </row>
    <row r="38" spans="1:1" x14ac:dyDescent="0.25">
      <c r="A38" t="s">
        <v>1247</v>
      </c>
    </row>
    <row r="39" spans="1:1" x14ac:dyDescent="0.25">
      <c r="A39" t="s">
        <v>1248</v>
      </c>
    </row>
    <row r="40" spans="1:1" x14ac:dyDescent="0.25">
      <c r="A40" t="s">
        <v>1403</v>
      </c>
    </row>
    <row r="41" spans="1:1" x14ac:dyDescent="0.25">
      <c r="A41" t="s">
        <v>1253</v>
      </c>
    </row>
    <row r="42" spans="1:1" x14ac:dyDescent="0.25">
      <c r="A42" t="s">
        <v>1256</v>
      </c>
    </row>
    <row r="43" spans="1:1" x14ac:dyDescent="0.25">
      <c r="A43" t="s">
        <v>1403</v>
      </c>
    </row>
    <row r="44" spans="1:1" x14ac:dyDescent="0.25">
      <c r="A44" t="s">
        <v>1404</v>
      </c>
    </row>
    <row r="45" spans="1:1" x14ac:dyDescent="0.25">
      <c r="A45" t="s">
        <v>1370</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1" t="s">
        <v>1323</v>
      </c>
      <c r="B3" s="182"/>
      <c r="C3" s="182"/>
      <c r="D3" s="183"/>
    </row>
    <row r="4" spans="1:4" ht="15.75" thickBot="1" x14ac:dyDescent="0.3">
      <c r="A4" s="109" t="s">
        <v>1319</v>
      </c>
      <c r="B4" s="110" t="s">
        <v>1320</v>
      </c>
      <c r="C4" s="110" t="s">
        <v>1321</v>
      </c>
      <c r="D4" s="111" t="s">
        <v>1322</v>
      </c>
    </row>
    <row r="5" spans="1:4" ht="15.75" thickTop="1" x14ac:dyDescent="0.25">
      <c r="A5" s="118" t="s">
        <v>14</v>
      </c>
      <c r="B5" s="112" t="s">
        <v>14</v>
      </c>
      <c r="C5" s="113" t="s">
        <v>1333</v>
      </c>
      <c r="D5" s="119"/>
    </row>
    <row r="6" spans="1:4" ht="60" x14ac:dyDescent="0.25">
      <c r="A6" s="120" t="s">
        <v>1324</v>
      </c>
      <c r="B6" s="114" t="s">
        <v>130</v>
      </c>
      <c r="C6" s="115" t="s">
        <v>1325</v>
      </c>
      <c r="D6" s="121" t="s">
        <v>1326</v>
      </c>
    </row>
    <row r="7" spans="1:4" ht="60" x14ac:dyDescent="0.25">
      <c r="A7" s="120" t="s">
        <v>1327</v>
      </c>
      <c r="B7" s="114" t="s">
        <v>131</v>
      </c>
      <c r="C7" s="115" t="s">
        <v>1328</v>
      </c>
      <c r="D7" s="121" t="s">
        <v>1329</v>
      </c>
    </row>
    <row r="8" spans="1:4" ht="30.75" thickBot="1" x14ac:dyDescent="0.3">
      <c r="A8" s="122" t="s">
        <v>1330</v>
      </c>
      <c r="B8" s="123" t="s">
        <v>132</v>
      </c>
      <c r="C8" s="124" t="s">
        <v>1331</v>
      </c>
      <c r="D8" s="125"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78" t="s">
        <v>1356</v>
      </c>
      <c r="B3" s="179"/>
      <c r="C3" s="179"/>
      <c r="D3" s="179"/>
      <c r="E3" s="180"/>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1337</v>
      </c>
      <c r="C5" s="19" t="s">
        <v>1337</v>
      </c>
      <c r="D5" s="54" t="s">
        <v>1349</v>
      </c>
      <c r="E5" s="134" t="s">
        <v>1338</v>
      </c>
    </row>
    <row r="6" spans="1:6" s="7" customFormat="1" ht="150" x14ac:dyDescent="0.25">
      <c r="A6" s="127" t="s">
        <v>171</v>
      </c>
      <c r="B6" s="11" t="s">
        <v>1350</v>
      </c>
      <c r="C6" s="11" t="s">
        <v>1351</v>
      </c>
      <c r="D6" s="12" t="s">
        <v>1352</v>
      </c>
      <c r="E6" s="128" t="s">
        <v>1353</v>
      </c>
    </row>
    <row r="7" spans="1:6" s="7" customFormat="1" ht="75.75" thickBot="1" x14ac:dyDescent="0.3">
      <c r="A7" s="129" t="s">
        <v>171</v>
      </c>
      <c r="B7" s="130" t="s">
        <v>1343</v>
      </c>
      <c r="C7" s="130" t="s">
        <v>1354</v>
      </c>
      <c r="D7" s="131" t="s">
        <v>1355</v>
      </c>
      <c r="E7" s="132"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4" t="s">
        <v>1348</v>
      </c>
      <c r="B16" s="185"/>
      <c r="C16" s="185"/>
      <c r="D16" s="185"/>
      <c r="E16" s="186"/>
    </row>
    <row r="17" spans="1:5" ht="15.75" thickBot="1" x14ac:dyDescent="0.3">
      <c r="A17" s="109" t="s">
        <v>1334</v>
      </c>
      <c r="B17" s="110" t="s">
        <v>1357</v>
      </c>
      <c r="C17" s="126" t="s">
        <v>1335</v>
      </c>
      <c r="D17" s="111" t="s">
        <v>1336</v>
      </c>
      <c r="E17" s="110" t="s">
        <v>1361</v>
      </c>
    </row>
    <row r="18" spans="1:5" ht="90.75" thickTop="1" x14ac:dyDescent="0.25">
      <c r="A18" s="135" t="s">
        <v>1337</v>
      </c>
      <c r="B18" s="112" t="s">
        <v>1337</v>
      </c>
      <c r="C18" s="113" t="s">
        <v>1339</v>
      </c>
      <c r="D18" s="137" t="s">
        <v>1338</v>
      </c>
      <c r="E18" s="142" t="s">
        <v>1338</v>
      </c>
    </row>
    <row r="19" spans="1:5" s="5" customFormat="1" ht="30" x14ac:dyDescent="0.25">
      <c r="A19" s="136" t="s">
        <v>1347</v>
      </c>
      <c r="B19" s="114" t="s">
        <v>1351</v>
      </c>
      <c r="C19" s="115" t="s">
        <v>1344</v>
      </c>
      <c r="D19" s="138" t="s">
        <v>1345</v>
      </c>
      <c r="E19" s="121"/>
    </row>
    <row r="20" spans="1:5" ht="90.75" thickBot="1" x14ac:dyDescent="0.3">
      <c r="A20" s="139" t="s">
        <v>1346</v>
      </c>
      <c r="B20" s="116" t="s">
        <v>1354</v>
      </c>
      <c r="C20" s="117" t="s">
        <v>1340</v>
      </c>
      <c r="D20" s="140" t="s">
        <v>1341</v>
      </c>
      <c r="E20" s="141"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2015-03-17T17:55:14Z</dcterms:modified>
</cp:coreProperties>
</file>