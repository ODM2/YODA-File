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D59" i="15" l="1"/>
  <c r="D58" i="15"/>
  <c r="H8" i="7" l="1"/>
  <c r="I6" i="11" s="1"/>
  <c r="I24" i="7"/>
  <c r="I25" i="7"/>
  <c r="I27" i="7"/>
  <c r="I28" i="7"/>
  <c r="I29" i="7"/>
  <c r="I30" i="7"/>
  <c r="I31" i="7"/>
  <c r="I32" i="7"/>
  <c r="I33" i="7"/>
  <c r="J4" i="11"/>
  <c r="C4" i="11"/>
  <c r="I5" i="11" l="1"/>
  <c r="I4" i="11"/>
  <c r="I8" i="11"/>
  <c r="I7" i="11"/>
  <c r="I26" i="7"/>
  <c r="H9" i="7" s="1"/>
  <c r="A8" i="11"/>
  <c r="A7" i="11"/>
  <c r="A6" i="11"/>
  <c r="A5" i="11"/>
  <c r="AF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4"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A3" i="15"/>
  <c r="C3" i="15"/>
  <c r="D3" i="15" l="1"/>
  <c r="X5" i="11"/>
  <c r="X8" i="11"/>
  <c r="X7" i="11"/>
  <c r="X6" i="11"/>
  <c r="T6" i="11"/>
  <c r="T4" i="11"/>
  <c r="T7" i="11"/>
  <c r="T5" i="11"/>
  <c r="T8" i="11"/>
  <c r="Y4" i="11"/>
  <c r="AB4" i="11"/>
  <c r="AC7" i="11"/>
  <c r="Z4" i="11"/>
  <c r="L7" i="11"/>
  <c r="L8" i="11"/>
  <c r="L5" i="11"/>
  <c r="L6" i="11"/>
  <c r="V7" i="11"/>
  <c r="V6" i="11"/>
  <c r="V8" i="11"/>
  <c r="V5" i="11"/>
  <c r="O5" i="11"/>
  <c r="O7" i="11"/>
  <c r="O6" i="11"/>
  <c r="O8" i="11"/>
  <c r="U8" i="11"/>
  <c r="U5" i="11"/>
  <c r="U6" i="11"/>
  <c r="U7" i="11"/>
  <c r="AA4" i="11"/>
  <c r="AG5" i="11"/>
  <c r="AG2" i="11"/>
  <c r="O2" i="11"/>
  <c r="D2" i="11"/>
  <c r="X2" i="11"/>
  <c r="U2" i="11"/>
  <c r="V2" i="11"/>
  <c r="L3" i="11"/>
  <c r="J3" i="9"/>
  <c r="B3" i="15"/>
  <c r="T2" i="11"/>
  <c r="T3" i="11"/>
  <c r="A13" i="4"/>
  <c r="A14" i="4" s="1"/>
  <c r="N9" i="4" s="1"/>
  <c r="AA5" i="11" s="1"/>
  <c r="Q13" i="2"/>
  <c r="Q14" i="2" s="1"/>
  <c r="Q3" i="11"/>
  <c r="L2" i="11"/>
  <c r="A4" i="15"/>
  <c r="C4" i="15"/>
  <c r="D4" i="15" l="1"/>
  <c r="B4" i="15"/>
  <c r="AA6" i="11"/>
  <c r="AF8" i="11"/>
  <c r="Z8" i="11"/>
  <c r="AA7" i="11"/>
  <c r="Y6" i="11"/>
  <c r="Y8" i="11"/>
  <c r="Z7" i="11"/>
  <c r="AB5" i="11"/>
  <c r="AC8" i="11"/>
  <c r="AF7" i="11"/>
  <c r="Y7" i="11"/>
  <c r="AB6" i="11"/>
  <c r="Z5" i="11"/>
  <c r="AA8" i="11"/>
  <c r="AB7" i="11"/>
  <c r="Z6" i="11"/>
  <c r="Y5" i="11"/>
  <c r="AB8" i="11"/>
  <c r="AF5" i="11"/>
  <c r="AF6" i="11" s="1"/>
  <c r="S5" i="11"/>
  <c r="S8" i="11"/>
  <c r="S7" i="11"/>
  <c r="S4" i="11"/>
  <c r="S6" i="11"/>
  <c r="AC2" i="11"/>
  <c r="G2" i="11"/>
  <c r="AB2" i="11"/>
  <c r="AA2" i="11"/>
  <c r="Y2" i="11"/>
  <c r="Z2" i="11"/>
  <c r="S3" i="11"/>
  <c r="N7" i="2"/>
  <c r="S2" i="11"/>
  <c r="Q15" i="2"/>
  <c r="Q16" i="2" s="1"/>
  <c r="A5" i="15"/>
  <c r="C5" i="15"/>
  <c r="AG4" i="11"/>
  <c r="D5" i="15" l="1"/>
  <c r="B5" i="15"/>
  <c r="Q8" i="11"/>
  <c r="Q6" i="11"/>
  <c r="Q4" i="11"/>
  <c r="Q7" i="11"/>
  <c r="Q5" i="11"/>
  <c r="Q18" i="2"/>
  <c r="S7" i="2" s="1"/>
  <c r="Q2" i="11"/>
  <c r="A6" i="15"/>
  <c r="C6" i="15"/>
  <c r="D6" i="15" l="1"/>
  <c r="B6" i="15"/>
  <c r="R7" i="11"/>
  <c r="R8" i="11"/>
  <c r="R6" i="11"/>
  <c r="R4" i="11"/>
  <c r="R5" i="11"/>
  <c r="R2" i="11"/>
  <c r="AI4" i="11" s="1"/>
  <c r="R3" i="11"/>
  <c r="C7" i="15"/>
  <c r="A7" i="15"/>
  <c r="B7" i="15" l="1"/>
  <c r="D7" i="15"/>
  <c r="AI3" i="11"/>
  <c r="D2" i="15"/>
  <c r="C8" i="15"/>
  <c r="A8" i="15"/>
  <c r="B8" i="15" l="1"/>
  <c r="D8" i="15"/>
  <c r="A9" i="15"/>
  <c r="C9" i="15"/>
  <c r="D9" i="15" l="1"/>
  <c r="B9" i="15"/>
  <c r="A10" i="15"/>
  <c r="C10" i="15"/>
  <c r="D10" i="15" l="1"/>
  <c r="B10" i="15"/>
  <c r="C11" i="15"/>
  <c r="A11" i="15"/>
  <c r="B11" i="15" l="1"/>
  <c r="D11" i="15"/>
  <c r="C12" i="15"/>
  <c r="A12" i="15"/>
  <c r="B12" i="15" l="1"/>
  <c r="D12" i="15"/>
  <c r="A13" i="15"/>
  <c r="C13" i="15"/>
  <c r="D13" i="15" l="1"/>
  <c r="B13" i="15"/>
  <c r="A14" i="15"/>
  <c r="C14" i="15"/>
  <c r="D14" i="15" l="1"/>
  <c r="B14" i="15"/>
  <c r="C15" i="15"/>
  <c r="A15" i="15"/>
  <c r="B15" i="15" l="1"/>
  <c r="D15" i="15"/>
  <c r="A16" i="15"/>
  <c r="C16" i="15"/>
  <c r="D16" i="15" l="1"/>
  <c r="B16" i="15"/>
  <c r="C17" i="15"/>
  <c r="A17" i="15"/>
  <c r="B17" i="15" l="1"/>
  <c r="D17" i="15"/>
  <c r="A18" i="15"/>
  <c r="C18" i="15"/>
  <c r="D18" i="15" l="1"/>
  <c r="B18" i="15"/>
  <c r="C19" i="15"/>
  <c r="A19" i="15"/>
  <c r="B19" i="15" l="1"/>
  <c r="D19" i="15"/>
  <c r="A20" i="15"/>
  <c r="C20" i="15"/>
  <c r="D20" i="15" l="1"/>
  <c r="B20" i="15"/>
  <c r="A21" i="15"/>
  <c r="C21" i="15"/>
  <c r="D21" i="15" l="1"/>
  <c r="B21" i="15"/>
  <c r="A22" i="15"/>
  <c r="C22" i="15"/>
  <c r="D22" i="15" l="1"/>
  <c r="B22" i="15"/>
  <c r="C23" i="15"/>
  <c r="A23" i="15"/>
  <c r="B23" i="15" l="1"/>
  <c r="D23" i="15"/>
  <c r="A24" i="15"/>
  <c r="C24" i="15"/>
  <c r="D24" i="15" l="1"/>
  <c r="B24" i="15"/>
  <c r="C25" i="15"/>
  <c r="A25" i="15"/>
  <c r="B25" i="15" l="1"/>
  <c r="D25" i="15"/>
  <c r="A26" i="15"/>
  <c r="C26" i="15"/>
  <c r="D26" i="15" l="1"/>
  <c r="B26" i="15"/>
  <c r="C27" i="15"/>
  <c r="A27" i="15"/>
  <c r="B27" i="15" l="1"/>
  <c r="D27" i="15"/>
  <c r="A28" i="15"/>
  <c r="C28" i="15"/>
  <c r="D28" i="15" l="1"/>
  <c r="B28" i="15"/>
  <c r="C29" i="15"/>
  <c r="A29" i="15"/>
  <c r="B29" i="15" l="1"/>
  <c r="D29" i="15"/>
  <c r="C30" i="15"/>
  <c r="A30" i="15"/>
  <c r="B30" i="15" l="1"/>
  <c r="D30" i="15"/>
  <c r="C31" i="15"/>
  <c r="A31" i="15"/>
  <c r="B31" i="15" l="1"/>
  <c r="D31" i="15"/>
  <c r="A32" i="15"/>
  <c r="C32" i="15"/>
  <c r="D32" i="15" l="1"/>
  <c r="B32" i="15"/>
  <c r="C33" i="15"/>
  <c r="A33" i="15"/>
  <c r="B33" i="15" l="1"/>
  <c r="D33" i="15"/>
  <c r="A34" i="15"/>
  <c r="C34" i="15"/>
  <c r="D34" i="15" l="1"/>
  <c r="B34" i="15"/>
  <c r="C35" i="15"/>
  <c r="A35" i="15"/>
  <c r="B35" i="15" l="1"/>
  <c r="D35" i="15"/>
  <c r="A36" i="15"/>
  <c r="C36" i="15"/>
  <c r="D36" i="15" l="1"/>
  <c r="B36" i="15"/>
  <c r="A37" i="15"/>
  <c r="C37" i="15"/>
  <c r="D37" i="15" l="1"/>
  <c r="B37" i="15"/>
  <c r="A38" i="15"/>
  <c r="C38" i="15"/>
  <c r="D38" i="15" l="1"/>
  <c r="B38" i="15"/>
  <c r="C39" i="15"/>
  <c r="A39" i="15"/>
  <c r="B39" i="15" l="1"/>
  <c r="D39" i="15"/>
  <c r="A40" i="15"/>
  <c r="C40" i="15"/>
  <c r="D40" i="15" l="1"/>
  <c r="B40" i="15"/>
  <c r="C41" i="15"/>
  <c r="A41" i="15"/>
  <c r="B41" i="15" l="1"/>
  <c r="D41" i="15"/>
  <c r="A42" i="15"/>
  <c r="C42" i="15"/>
  <c r="D42" i="15" l="1"/>
  <c r="B42" i="15"/>
  <c r="C43" i="15"/>
  <c r="A43" i="15"/>
  <c r="B43" i="15" l="1"/>
  <c r="D43" i="15"/>
  <c r="C44" i="15"/>
  <c r="A44" i="15"/>
  <c r="B44" i="15" l="1"/>
  <c r="D44" i="15"/>
  <c r="C45" i="15"/>
  <c r="A45" i="15"/>
  <c r="B45" i="15" l="1"/>
  <c r="D45" i="15"/>
  <c r="C46" i="15"/>
  <c r="A46" i="15"/>
  <c r="B46" i="15" l="1"/>
  <c r="D46" i="15"/>
  <c r="C47" i="15"/>
  <c r="A47" i="15"/>
  <c r="B47" i="15" l="1"/>
  <c r="D47" i="15"/>
  <c r="A48" i="15"/>
  <c r="C48" i="15"/>
  <c r="D48" i="15" l="1"/>
  <c r="B48" i="15"/>
  <c r="A49" i="15"/>
  <c r="C49" i="15"/>
  <c r="D49" i="15" l="1"/>
  <c r="B49" i="15"/>
  <c r="A50" i="15"/>
  <c r="C50" i="15"/>
  <c r="D50" i="15" l="1"/>
  <c r="B50" i="15"/>
  <c r="C51" i="15"/>
  <c r="A51" i="15"/>
  <c r="B51" i="15" l="1"/>
  <c r="D51" i="15"/>
  <c r="C52" i="15"/>
  <c r="A52" i="15"/>
  <c r="B52" i="15" l="1"/>
  <c r="D52" i="15"/>
  <c r="C53" i="15"/>
  <c r="A53" i="15"/>
  <c r="B53" i="15" l="1"/>
  <c r="D53" i="15"/>
  <c r="A54" i="15"/>
  <c r="C54" i="15"/>
  <c r="D54" i="15" l="1"/>
  <c r="B54" i="15"/>
  <c r="C55" i="15"/>
  <c r="A55" i="15"/>
  <c r="B55" i="15" l="1"/>
  <c r="D55" i="15"/>
  <c r="C56" i="15"/>
  <c r="A56" i="15"/>
  <c r="B56" i="15" l="1"/>
  <c r="D56" i="15"/>
  <c r="C57" i="15"/>
  <c r="A57" i="15"/>
  <c r="B57" i="15" l="1"/>
  <c r="D57"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<sst xmlns="http://schemas.openxmlformats.org/spreadsheetml/2006/main" count="1483" uniqueCount="1394">
  <si>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</si>
  <si>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</si>
  <si>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</si>
  <si>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</si>
  <si>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</si>
  <si>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</si>
  <si>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</si>
  <si>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</si>
  <si>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</si>
  <si>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</si>
  <si>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</si>
  <si>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</si>
  <si>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</si>
  <si>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</si>
  <si>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</si>
  <si>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</si>
  <si>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</si>
  <si>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</si>
  <si>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</si>
  <si>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</si>
  <si>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</si>
  <si>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</si>
  <si>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</si>
  <si>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</si>
  <si>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</si>
  <si>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</si>
  <si>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</si>
  <si>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</si>
  <si>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</si>
  <si>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</si>
  <si>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</si>
  <si>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</si>
  <si>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</si>
  <si>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</si>
  <si>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</si>
  <si>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</si>
  <si>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</si>
  <si>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</si>
  <si>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</si>
  <si>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</si>
  <si>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</si>
  <si>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</si>
  <si>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</si>
  <si>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</si>
  <si>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</si>
  <si>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</si>
  <si>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</si>
  <si>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</si>
  <si>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</si>
  <si>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</si>
  <si>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</si>
  <si>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</si>
  <si>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</si>
  <si>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</si>
  <si>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</si>
  <si>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</si>
  <si>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</si>
  <si>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</si>
  <si>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</si>
  <si>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</si>
  <si>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</si>
  <si>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</si>
  <si>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</si>
  <si>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</si>
  <si>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</si>
  <si>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</si>
  <si>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</si>
  <si>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</si>
  <si>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</si>
  <si>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</si>
  <si>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</si>
  <si>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</si>
  <si>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</si>
  <si>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</si>
  <si>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</si>
  <si>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</si>
  <si>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</si>
  <si>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</si>
  <si>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</si>
  <si>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</si>
  <si>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</si>
  <si>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</si>
  <si>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</si>
  <si>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</si>
  <si>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</si>
  <si>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</si>
  <si>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</si>
  <si>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</si>
  <si>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</si>
  <si>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</si>
  <si>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</si>
  <si>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</si>
  <si>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</si>
  <si>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</si>
  <si>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</si>
  <si>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</si>
  <si>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</si>
  <si>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</si>
  <si>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</si>
  <si>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</si>
  <si>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</si>
  <si>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</si>
  <si>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</si>
  <si>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</si>
  <si>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</si>
  <si>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</si>
  <si>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</si>
  <si>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</si>
  <si>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</si>
  <si>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</si>
  <si>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</si>
  <si>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</si>
  <si>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</si>
  <si>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</si>
  <si>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</si>
  <si>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</si>
  <si>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</si>
  <si>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</si>
  <si>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</si>
  <si>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</si>
  <si>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</si>
  <si>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</si>
  <si>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</si>
  <si>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</si>
  <si>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</si>
  <si>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</si>
  <si>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</si>
  <si>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</si>
  <si>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</si>
  <si>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</si>
  <si>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</si>
  <si>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</si>
  <si>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</si>
  <si>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</si>
  <si>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</si>
  <si>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</si>
  <si>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</si>
  <si>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</si>
  <si>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</si>
  <si>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</si>
  <si>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</si>
  <si>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</si>
  <si>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</si>
  <si>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</si>
  <si>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</si>
  <si>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</si>
  <si>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</si>
  <si>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</si>
  <si>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</si>
  <si>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</si>
  <si>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</si>
  <si>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</si>
  <si>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</si>
  <si>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</si>
  <si>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</si>
  <si>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</si>
  <si>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</si>
  <si>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</si>
  <si>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</si>
  <si>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</si>
  <si>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</si>
  <si>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</si>
  <si>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</si>
  <si>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</si>
  <si>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</si>
  <si>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</si>
  <si>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</si>
  <si>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</si>
  <si>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</si>
  <si>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</si>
  <si>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</si>
  <si>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</si>
  <si>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</si>
  <si>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</si>
  <si>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</si>
  <si>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</si>
  <si>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</si>
  <si>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</si>
  <si>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</si>
  <si>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</si>
  <si>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</si>
  <si>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</si>
  <si>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</si>
  <si>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</si>
  <si>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</si>
  <si>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</si>
  <si>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</si>
  <si>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</si>
  <si>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</si>
  <si>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</si>
  <si>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</si>
  <si>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</si>
  <si>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</si>
  <si>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</si>
  <si>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</si>
  <si>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</si>
  <si>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</si>
  <si>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</si>
  <si>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</si>
  <si>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</si>
  <si>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</si>
  <si>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</si>
  <si>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</si>
  <si>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</si>
  <si>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</si>
  <si>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</si>
  <si>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</si>
  <si>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</si>
  <si>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</si>
  <si>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</si>
  <si>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</si>
  <si>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</si>
  <si>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</si>
  <si>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</si>
  <si>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</si>
  <si>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</si>
  <si>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</si>
  <si>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</si>
  <si>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</si>
  <si>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</si>
  <si>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</si>
  <si>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</si>
  <si>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</si>
  <si>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</si>
  <si>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</si>
  <si>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</si>
  <si>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</si>
  <si>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</si>
  <si>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</si>
  <si>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</si>
  <si>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</si>
  <si>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</si>
  <si>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</si>
  <si>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</si>
  <si>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</si>
  <si>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</si>
  <si>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</si>
  <si>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</si>
  <si>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</si>
  <si>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</si>
  <si>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</si>
  <si>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</si>
  <si>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</si>
  <si>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</si>
  <si>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</si>
  <si>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</si>
  <si>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</si>
  <si>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</si>
  <si>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</si>
  <si>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</si>
  <si>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</si>
  <si>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</si>
  <si>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</si>
  <si>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</si>
  <si>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</si>
  <si>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</si>
  <si>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</si>
  <si>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</si>
  <si>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</si>
  <si>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</si>
  <si>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</si>
  <si>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</si>
  <si>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</si>
  <si>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</si>
  <si>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</si>
  <si>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</si>
  <si>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</si>
  <si>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</si>
  <si>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</si>
  <si>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</si>
  <si>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</si>
  <si>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</si>
  <si>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</si>
  <si>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</si>
  <si>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</si>
  <si>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</si>
  <si>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</si>
  <si>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</si>
  <si>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</si>
  <si>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</si>
  <si>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</si>
  <si>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</si>
  <si>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</si>
  <si>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</si>
  <si>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</si>
  <si>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</si>
  <si>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</si>
  <si>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</si>
  <si>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</si>
  <si>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</si>
  <si>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</si>
  <si>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</si>
  <si>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</si>
  <si>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</si>
  <si>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</si>
  <si>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</si>
  <si>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</si>
  <si>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</si>
  <si>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</si>
  <si>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</si>
  <si>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</si>
  <si>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</si>
  <si>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</si>
  <si>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</si>
  <si>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</si>
  <si>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</si>
  <si>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</si>
  <si>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</si>
  <si>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</si>
  <si>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</si>
  <si>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</si>
  <si>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</si>
  <si>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</si>
  <si>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</si>
  <si>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</si>
  <si>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</si>
  <si>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</si>
  <si>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</si>
  <si>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</si>
  <si>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</si>
  <si>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</si>
  <si>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</si>
  <si>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</si>
  <si>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</si>
  <si>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</si>
  <si>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</si>
  <si>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</si>
  <si>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</si>
  <si>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</si>
  <si>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</si>
  <si>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</si>
  <si>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</si>
  <si>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</si>
  <si>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</si>
  <si>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</si>
  <si>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</si>
  <si>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</si>
  <si>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</si>
  <si>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</si>
  <si>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</si>
  <si>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</si>
  <si>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</si>
  <si>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</si>
  <si>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</si>
  <si>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</si>
  <si>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</si>
  <si>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</si>
  <si>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</si>
  <si>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</si>
  <si>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</si>
  <si>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</si>
  <si>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</si>
  <si>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</si>
  <si>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</si>
  <si>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</si>
  <si>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</si>
  <si>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</si>
  <si>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</si>
  <si>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</si>
  <si>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</si>
  <si>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</si>
  <si>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</si>
  <si>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</si>
  <si>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</si>
  <si>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</si>
  <si>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</si>
  <si>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</si>
  <si>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</si>
  <si>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</si>
  <si>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</si>
  <si>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</si>
  <si>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</si>
  <si>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</si>
  <si>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</si>
  <si>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</si>
  <si>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</si>
  <si>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</si>
  <si>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</si>
  <si>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</si>
  <si>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</si>
  <si>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</si>
  <si>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</si>
  <si>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</si>
  <si>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</si>
  <si>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</si>
  <si>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</si>
  <si>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</si>
  <si>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</si>
  <si>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</si>
  <si>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</si>
  <si>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</si>
  <si>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</si>
  <si>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</si>
  <si>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</si>
  <si>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</si>
  <si>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</si>
  <si>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</si>
  <si>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</si>
  <si>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</si>
  <si>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</si>
  <si>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</si>
  <si>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</si>
  <si>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</si>
  <si>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</si>
  <si>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</si>
  <si>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</si>
  <si>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</si>
  <si>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</si>
  <si>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</si>
  <si>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</si>
  <si>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</si>
  <si>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</si>
  <si>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</si>
  <si>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</si>
  <si>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</si>
  <si>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</si>
  <si>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</si>
  <si>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</si>
  <si>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</si>
  <si>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</si>
  <si>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</si>
  <si>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</si>
  <si>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</si>
  <si>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</si>
  <si>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</si>
  <si>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</si>
  <si>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</si>
  <si>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</si>
  <si>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</si>
  <si>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</si>
  <si>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</si>
  <si>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</si>
  <si>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</si>
  <si>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</si>
  <si>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</si>
  <si>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</si>
  <si>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</si>
  <si>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</si>
  <si>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</si>
  <si>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</si>
  <si>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</si>
  <si>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</si>
  <si>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</si>
  <si>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</si>
  <si>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</si>
  <si>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</si>
  <si>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</si>
  <si>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</si>
  <si>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</si>
  <si>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</si>
  <si>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</si>
  <si>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</si>
  <si>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</si>
  <si>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</si>
  <si>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</si>
  <si>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</si>
  <si>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</si>
  <si>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</si>
  <si>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</si>
  <si>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</si>
  <si>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</si>
  <si>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</si>
  <si>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</si>
  <si>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</si>
  <si>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</si>
  <si>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</si>
  <si>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</si>
  <si>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</si>
  <si>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</si>
  <si>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</si>
  <si>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</si>
  <si>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</si>
  <si>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</si>
  <si>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</si>
  <si>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</si>
  <si>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</si>
  <si>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</si>
  <si>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</si>
  <si>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</si>
  <si>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</si>
  <si>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</si>
  <si>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</si>
  <si>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</si>
  <si>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</si>
  <si>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</si>
  <si>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</si>
  <si>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</si>
  <si>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</si>
  <si>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</si>
  <si>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</si>
  <si>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</si>
  <si>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</si>
  <si>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</si>
  <si>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</si>
  <si>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</si>
  <si>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</si>
  <si>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</si>
  <si>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</si>
  <si>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</si>
  <si>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</si>
  <si>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</si>
  <si>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</si>
  <si>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</si>
  <si>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</si>
  <si>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</si>
  <si>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</si>
  <si>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</si>
  <si>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</si>
  <si>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</si>
  <si>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</si>
  <si>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</si>
  <si>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</si>
  <si>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</si>
  <si>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</si>
  <si>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</si>
  <si>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</si>
  <si>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</si>
  <si>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</si>
  <si>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</si>
  <si>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</si>
  <si>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</si>
  <si>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</si>
  <si>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</si>
  <si>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</si>
  <si>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</si>
  <si>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</si>
  <si>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</si>
  <si>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</si>
  <si>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</si>
  <si>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</si>
  <si>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</si>
  <si>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</si>
  <si>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</si>
  <si>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</si>
  <si>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</si>
  <si>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</si>
  <si>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</si>
  <si>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</si>
  <si>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</si>
  <si>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</si>
  <si>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</si>
  <si>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</si>
  <si>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</si>
  <si>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</si>
  <si>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</si>
  <si>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</si>
  <si>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</si>
  <si>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</si>
  <si>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</si>
  <si>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</si>
  <si>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</si>
  <si>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</si>
  <si>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</si>
  <si>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</si>
  <si>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</si>
  <si>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</si>
  <si>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</si>
  <si>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</si>
  <si>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</si>
  <si>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</si>
  <si>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</si>
  <si>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</si>
  <si>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</si>
  <si>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</si>
  <si>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</si>
  <si>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</si>
  <si>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</si>
  <si>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</si>
  <si>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</si>
  <si>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</si>
  <si>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</si>
  <si>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</si>
  <si>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</si>
  <si>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</si>
  <si>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</si>
  <si>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</si>
  <si>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</si>
  <si>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</si>
  <si>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</si>
  <si>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</si>
  <si>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</si>
  <si>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</si>
  <si>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</si>
  <si>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</si>
  <si>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</si>
  <si>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</si>
  <si>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</si>
  <si>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</si>
  <si>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</si>
  <si>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</si>
  <si>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</si>
  <si>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</si>
  <si>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</si>
  <si>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</si>
  <si>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</si>
  <si>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</si>
  <si>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</si>
  <si>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</si>
  <si>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</si>
  <si>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</si>
  <si>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</si>
  <si>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</si>
  <si>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</si>
  <si>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</si>
  <si>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</si>
  <si>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</si>
  <si>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</si>
  <si>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</si>
  <si>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</si>
  <si>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</si>
  <si>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</si>
  <si>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</si>
  <si>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</si>
  <si>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</si>
  <si>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</si>
  <si>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</si>
  <si>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</si>
  <si>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</si>
  <si>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</si>
  <si>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</si>
  <si>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</si>
  <si>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</si>
  <si>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</si>
  <si>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</si>
  <si>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</si>
  <si>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</si>
  <si>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</si>
  <si>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</si>
  <si>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</si>
  <si>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</si>
  <si>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</si>
  <si>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</si>
  <si>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</si>
  <si>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</si>
  <si>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</si>
  <si>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</si>
  <si>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</si>
  <si>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</si>
  <si>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</si>
  <si>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</si>
  <si>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</si>
  <si>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</si>
  <si>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</si>
  <si>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</si>
  <si>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</si>
  <si>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</si>
  <si>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</si>
  <si>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</si>
  <si>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</si>
  <si>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</si>
  <si>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</si>
  <si>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</si>
  <si>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</si>
  <si>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</si>
  <si>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</si>
  <si>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</si>
  <si>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</si>
  <si>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</si>
  <si>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</si>
  <si>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</si>
  <si>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</si>
  <si>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</si>
  <si>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</si>
  <si>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</si>
  <si>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</si>
  <si>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</si>
  <si>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</si>
  <si>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</si>
  <si>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</si>
  <si>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</si>
  <si>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</si>
  <si>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</si>
  <si>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</si>
  <si>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</si>
  <si>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</si>
  <si>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</si>
  <si>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</si>
  <si>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</si>
  <si>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</si>
  <si>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</si>
  <si>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</si>
  <si>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</si>
  <si>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</si>
  <si>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</si>
  <si>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</si>
  <si>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</si>
  <si>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</si>
  <si>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</si>
  <si>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</si>
  <si>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</si>
  <si>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</si>
  <si>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</si>
  <si>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</si>
  <si>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</si>
  <si>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</si>
  <si>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</si>
  <si>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</si>
  <si>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</si>
  <si>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</si>
  <si>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</si>
  <si>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</si>
  <si>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</si>
  <si>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</si>
  <si>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</si>
  <si>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</si>
  <si>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</si>
  <si>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</si>
  <si>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</si>
  <si>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</si>
  <si>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</si>
  <si>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</si>
  <si>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</si>
  <si>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</si>
  <si>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</si>
  <si>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</si>
  <si>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</si>
  <si>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</si>
  <si>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</si>
  <si>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</si>
  <si>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</si>
  <si>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</si>
  <si>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</si>
  <si>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</si>
  <si>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</si>
  <si>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</si>
  <si>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</si>
  <si>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</si>
  <si>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</si>
  <si>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</si>
  <si>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</si>
  <si>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</si>
  <si>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</si>
  <si>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</si>
  <si>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</si>
  <si>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</si>
  <si>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</si>
  <si>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</si>
  <si>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</si>
  <si>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</si>
  <si>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</si>
  <si>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</si>
  <si>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</si>
  <si>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</si>
  <si>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</si>
  <si>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</si>
  <si>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</si>
  <si>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</si>
  <si>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</si>
  <si>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</si>
  <si>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</si>
  <si>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</si>
  <si>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</si>
  <si>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</si>
  <si>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</si>
  <si>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</si>
  <si>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</si>
  <si>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</si>
  <si>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</si>
  <si>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</si>
  <si>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</si>
  <si>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</si>
  <si>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</si>
  <si>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</si>
  <si>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</si>
  <si>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</si>
  <si>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</si>
  <si>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</si>
  <si>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</si>
  <si>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</si>
  <si>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</si>
  <si>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</si>
  <si>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</si>
  <si>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</si>
  <si>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</si>
  <si>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</si>
  <si>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</si>
  <si>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</si>
  <si>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</si>
  <si>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</si>
  <si>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</si>
  <si>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</si>
  <si>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</si>
  <si>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</si>
  <si>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</si>
  <si>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</si>
  <si>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</si>
  <si>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</si>
  <si>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</si>
  <si>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</si>
  <si>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</si>
  <si>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</si>
  <si>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</si>
  <si>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</si>
  <si>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</si>
  <si>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</si>
  <si>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</si>
  <si>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</si>
  <si>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</si>
  <si>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</si>
  <si>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</si>
  <si>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</si>
  <si>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</si>
  <si>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</si>
  <si>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</si>
  <si>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</si>
  <si>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</si>
  <si>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</si>
  <si>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</si>
  <si>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</si>
  <si>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</si>
  <si>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</si>
  <si>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</si>
  <si>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</si>
  <si>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</si>
  <si>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</si>
  <si>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</si>
  <si>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</si>
  <si>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</si>
  <si>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</si>
  <si>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</si>
  <si>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</si>
  <si>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</si>
  <si>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</si>
  <si>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</si>
  <si>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</si>
  <si>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</si>
  <si>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</si>
  <si>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</si>
  <si>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</si>
  <si>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</si>
  <si>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</si>
  <si>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</si>
  <si>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</si>
  <si>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</si>
  <si>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</si>
  <si>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</si>
  <si>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</si>
  <si>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</si>
  <si>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</si>
  <si>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</si>
  <si>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</si>
  <si>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</si>
  <si>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</si>
  <si>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</si>
  <si>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</si>
  <si>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</si>
  <si>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</si>
  <si>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</si>
  <si>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</si>
  <si>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</si>
  <si>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</si>
  <si>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</si>
  <si>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</si>
  <si>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</si>
  <si>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</si>
  <si>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</si>
  <si>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</si>
  <si>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</si>
  <si>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</si>
  <si>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</si>
  <si>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</si>
  <si>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</si>
  <si>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</si>
  <si>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</si>
  <si>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</si>
  <si>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</si>
  <si>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</si>
  <si>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</si>
  <si>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</si>
  <si>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</si>
  <si>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</si>
  <si>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</si>
  <si>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</si>
  <si>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</si>
  <si>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</si>
  <si>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</si>
  <si>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</si>
  <si>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</si>
  <si>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</si>
  <si>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</si>
  <si>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</si>
  <si>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</si>
  <si>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</si>
  <si>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</si>
  <si>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</si>
  <si>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</si>
  <si>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</si>
  <si>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</si>
  <si>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</si>
  <si>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</si>
  <si>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</si>
  <si>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</si>
  <si>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</si>
  <si>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</si>
  <si>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</si>
  <si>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</si>
  <si>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</si>
  <si>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</si>
  <si>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</si>
  <si>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</si>
  <si>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</si>
  <si>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</si>
  <si>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</si>
  <si>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</si>
  <si>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</si>
  <si>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</si>
  <si>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</si>
  <si>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</si>
  <si>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</si>
  <si>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</si>
  <si>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</si>
  <si>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</si>
  <si>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</si>
  <si>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</si>
  <si>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</si>
  <si>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</si>
  <si>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</si>
  <si>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</si>
  <si>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</si>
  <si>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</si>
  <si>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</si>
  <si>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</si>
  <si>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</si>
  <si>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</si>
  <si>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</si>
  <si>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</si>
  <si>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</si>
  <si>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</si>
  <si>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</si>
  <si>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</si>
  <si>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</si>
  <si>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</si>
  <si>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</si>
  <si>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</si>
  <si>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</si>
  <si>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</si>
  <si>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</si>
  <si>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</si>
  <si>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</si>
  <si>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</si>
  <si>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</si>
  <si>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</si>
  <si>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</si>
  <si>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</si>
  <si>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</si>
  <si>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</si>
  <si>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</si>
  <si>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</si>
  <si>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</si>
  <si>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</si>
  <si>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</si>
  <si>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</si>
  <si>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</si>
  <si>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</si>
  <si>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</si>
  <si>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</si>
  <si>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</si>
  <si>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</si>
  <si>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</si>
  <si>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</si>
  <si>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</si>
  <si>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</si>
  <si>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</si>
  <si>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</si>
  <si>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</si>
  <si>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</si>
  <si>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</si>
  <si>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</si>
  <si>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</si>
  <si>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</si>
  <si>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</si>
  <si>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</si>
  <si>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</si>
  <si>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</si>
  <si>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</si>
  <si>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</si>
  <si>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</si>
  <si>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</si>
  <si>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</si>
  <si>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</si>
  <si>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</si>
  <si>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</si>
  <si>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</si>
  <si>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</si>
  <si>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</si>
  <si>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</si>
  <si>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</si>
  <si>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</si>
  <si>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</si>
  <si>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</si>
  <si>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</si>
  <si>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</si>
  <si>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</si>
  <si>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</si>
  <si>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</si>
  <si>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</si>
  <si>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</si>
  <si>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</si>
  <si>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</si>
  <si>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</si>
  <si>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</si>
  <si>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</si>
  <si>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</si>
  <si>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</si>
  <si>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</si>
  <si>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</si>
  <si>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</si>
  <si>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</si>
  <si>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</si>
  <si>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</si>
  <si>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</si>
  <si>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</si>
  <si>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</si>
  <si>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</si>
  <si>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</si>
  <si>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</si>
  <si>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</si>
  <si>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</si>
  <si>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</si>
  <si>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</si>
  <si>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</si>
  <si>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</si>
  <si>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</si>
  <si>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</si>
  <si>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</si>
  <si>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</si>
  <si>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</si>
  <si>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</si>
  <si>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</si>
  <si>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</si>
  <si>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</si>
  <si>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</si>
  <si>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</si>
  <si>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</si>
  <si>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</si>
  <si>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</si>
  <si>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</si>
  <si>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</si>
  <si>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</si>
  <si>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</si>
  <si>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</si>
  <si>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</si>
  <si>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</si>
  <si>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</si>
  <si>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</si>
  <si>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</si>
  <si>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</si>
  <si>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</si>
  <si>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</si>
  <si>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</si>
  <si>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</si>
  <si>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</si>
  <si>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</si>
  <si>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</si>
  <si>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</si>
  <si>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</si>
  <si>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</si>
  <si>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</si>
  <si>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</si>
  <si>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</si>
  <si>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</si>
  <si>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</si>
  <si>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</si>
  <si>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</si>
  <si>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</si>
  <si>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</si>
  <si>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</si>
  <si>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</si>
  <si>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</si>
  <si>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</si>
  <si>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</si>
  <si>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</si>
  <si>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</si>
  <si>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</si>
  <si>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</si>
  <si>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</si>
  <si>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</si>
  <si>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</si>
  <si>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</si>
  <si>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</si>
  <si>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</si>
  <si>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</si>
  <si>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</si>
  <si>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</si>
  <si>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</si>
  <si>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</si>
  <si>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</si>
  <si>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</si>
  <si>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</si>
  <si>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</si>
  <si>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</si>
  <si>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</si>
  <si>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</si>
  <si>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</si>
  <si>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</si>
  <si>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</si>
  <si>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</si>
  <si>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</si>
  <si>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</si>
  <si>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</si>
  <si>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</si>
  <si>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</si>
  <si>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</si>
  <si>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</si>
  <si>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</si>
  <si>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</si>
  <si>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</si>
  <si>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</si>
  <si>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</si>
  <si>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</si>
  <si>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</si>
  <si>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</si>
  <si>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</si>
  <si>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</si>
  <si>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</si>
  <si>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</si>
  <si>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</si>
  <si>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</si>
  <si>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</si>
  <si>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</si>
  <si>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</si>
  <si>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</si>
  <si>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</si>
  <si>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</si>
  <si>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</si>
  <si>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</si>
  <si>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</si>
  <si>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</si>
  <si>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</si>
  <si>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</si>
  <si>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</si>
  <si>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</si>
  <si>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</si>
  <si>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</si>
  <si>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</si>
  <si>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</si>
  <si>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</si>
  <si>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</si>
  <si>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</si>
  <si>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</si>
  <si>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</si>
  <si>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</si>
  <si>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</si>
  <si>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</si>
  <si>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</si>
  <si>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</si>
  <si>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</si>
  <si>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</si>
  <si>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</si>
  <si>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</si>
  <si>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</si>
  <si>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</si>
  <si>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</si>
  <si>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</si>
  <si>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</si>
  <si>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</si>
  <si>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</si>
  <si>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</si>
  <si>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</si>
  <si>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</si>
  <si>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</si>
  <si>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</si>
  <si>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</si>
  <si>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</si>
  <si>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</si>
  <si>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</si>
  <si>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</si>
  <si>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</si>
  <si>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</si>
  <si>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</si>
  <si>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</si>
  <si>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</si>
  <si>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</si>
  <si>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</si>
  <si>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</si>
  <si>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</si>
  <si>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</si>
  <si>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</si>
  <si>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</si>
  <si>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</si>
  <si>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</si>
  <si>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</si>
  <si>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</si>
  <si>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</si>
  <si>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</si>
  <si>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</si>
  <si>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</si>
  <si>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</si>
  <si>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</si>
  <si>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</si>
  <si>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</si>
  <si>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</si>
  <si>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</si>
  <si>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</si>
  <si>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</si>
  <si>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</si>
  <si>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</si>
  <si>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</si>
  <si>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</si>
  <si>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</si>
  <si>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</si>
  <si>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</si>
  <si>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</si>
  <si>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</si>
  <si>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</si>
  <si>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</si>
  <si>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</si>
  <si>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</si>
  <si>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</si>
  <si>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</si>
  <si>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</si>
  <si>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</si>
  <si>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</si>
  <si>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</si>
  <si>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</si>
  <si>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</si>
  <si>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</si>
  <si>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</si>
  <si>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</si>
  <si>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</si>
  <si>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</si>
  <si>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</si>
  <si>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</si>
  <si>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</si>
  <si>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</si>
  <si>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</si>
  <si>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</si>
  <si>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</si>
  <si>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</si>
  <si>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</si>
  <si>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</si>
  <si>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</si>
  <si>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</si>
  <si>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</si>
  <si>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</si>
  <si>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</si>
  <si>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</si>
  <si>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</si>
  <si>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</si>
  <si>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</si>
  <si>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</si>
  <si>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</si>
  <si>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</si>
  <si>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</si>
  <si>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</si>
  <si>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</si>
  <si>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</si>
  <si>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</si>
  <si>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</si>
  <si>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</si>
  <si>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</si>
  <si>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</si>
  <si>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</si>
  <si>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</si>
  <si>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</si>
  <si>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</si>
  <si>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</si>
  <si>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</si>
  <si>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</si>
  <si>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</si>
  <si>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</si>
  <si>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</si>
  <si>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</si>
  <si>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</si>
  <si>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</si>
  <si>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</si>
  <si>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</si>
  <si>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</si>
  <si>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</si>
  <si>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</si>
  <si>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</si>
  <si>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</si>
  <si>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</si>
  <si>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</si>
  <si>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</si>
  <si>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</si>
  <si>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</si>
  <si>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</si>
  <si>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</si>
  <si>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</si>
  <si>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</si>
  <si>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</si>
  <si>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</si>
  <si>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</si>
  <si>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</si>
  <si>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</si>
  <si>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</si>
  <si>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</si>
  <si>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</si>
  <si>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</si>
  <si>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</si>
  <si>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</si>
  <si>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</si>
  <si>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</si>
  <si>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</si>
  <si>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</si>
  <si>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</si>
  <si>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</si>
  <si>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</si>
  <si>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</si>
  <si>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</si>
  <si>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</si>
  <si>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</si>
  <si>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</si>
  <si>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</si>
  <si>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</si>
  <si>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</si>
  <si>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</si>
  <si>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</si>
  <si>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</si>
  <si>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</si>
  <si>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</si>
  <si>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</si>
  <si>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</si>
  <si>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</si>
  <si>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</si>
  <si>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</si>
  <si>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</si>
  <si>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</si>
  <si>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</si>
  <si>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</si>
  <si>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</si>
  <si>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</si>
  <si>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</si>
  <si>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</si>
  <si>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</si>
  <si>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</si>
  <si>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</si>
  <si>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</si>
  <si>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</si>
  <si>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</si>
  <si>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</si>
  <si>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</si>
  <si>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</si>
  <si>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</si>
  <si>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</si>
  <si>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</si>
  <si>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</si>
  <si>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</si>
  <si>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</si>
  <si>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</si>
  <si>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</si>
  <si>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</si>
  <si>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</si>
  <si>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</si>
  <si>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</si>
  <si>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</si>
  <si>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</si>
  <si>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</si>
  <si>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</si>
  <si>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</si>
  <si>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</si>
  <si>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</si>
  <si>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</si>
  <si>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</si>
  <si>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</si>
  <si>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</si>
  <si>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</si>
  <si>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</si>
  <si>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</si>
  <si>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</si>
  <si>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</si>
  <si>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</si>
  <si>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</si>
  <si>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</si>
  <si>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</si>
  <si>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</si>
  <si>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</si>
  <si>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</si>
  <si>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</si>
  <si>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</si>
  <si>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YODA: {Version: 1.0.0, Profile: TimeSeries, DateCreated: "2015-03-12", DateUpdated: "2015-03-12"}</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</si>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</sst>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9" xfId="0" applyFont="1" applyBorder="1" applyAlignment="1" applyProtection="1">
      <alignment horizontal="center"/>
    </xf>
  </cellXfs>
  <cellStyles count="4">
    <cellStyle name="Followed Hyperlink" xfId="2" builtinId="9" hidden="1"/>
    <cellStyle name="Hyperlink" xfId="1" builtinId="8" hidden="1"/>
    <cellStyle name="Hyperlink" xfId="3" builtinId="8"/>
    <cellStyle name="Normal" xfId="0" builtinId="0"/>
  </cellStyles>
  <dxfs count="144">
    <dxf>
      <font>
        <b/>
        <i/>
        <color rgb="FFFF0000"/>
      </font>
      <fill>
        <patternFill>
          <bgColor rgb="FFFFC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6"/>
    <tableColumn id="2" name="Organization Code" dataDxfId="5"/>
    <tableColumn id="3" name="Organization Name" dataDxfId="4"/>
    <tableColumn id="4" name="Organization Description" dataDxfId="3"/>
    <tableColumn id="5" name="Organization Link" dataDxfId="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40" dataDxfId="138" headerRowBorderDxfId="139" tableBorderDxfId="137">
  <autoFilter ref="A23:I33"/>
  <tableColumns count="9">
    <tableColumn id="1" name="First Name" dataDxfId="136"/>
    <tableColumn id="2" name="Middle Name" dataDxfId="135"/>
    <tableColumn id="3" name="Last Name" dataDxfId="134"/>
    <tableColumn id="5" name="Organization Name" dataDxfId="133"/>
    <tableColumn id="6" name="Primary Email" dataDxfId="132"/>
    <tableColumn id="7" name="Primary Address" dataDxfId="131"/>
    <tableColumn id="10" name="Person OrcID" dataDxfId="130"/>
    <tableColumn id="8" name="Full Name" dataDxfId="129">
      <calculatedColumnFormula>CONCATENATE(People[[#This Row],[First Name]]," ",People[[#This Row],[Middle Name]]," ",People[[#This Row],[Last Name]])</calculatedColumnFormula>
    </tableColumn>
    <tableColumn id="9" name="ExternalIDNum" dataDxfId="128">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7" dataDxfId="125" headerRowBorderDxfId="126" tableBorderDxfId="124">
  <autoFilter ref="A17:B27"/>
  <tableColumns count="2">
    <tableColumn id="1" name="Author Number" dataDxfId="123"/>
    <tableColumn id="2" name="Author Name" dataDxfId="122"/>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21" dataDxfId="119" headerRowBorderDxfId="120" tableBorderDxfId="118">
  <autoFilter ref="A10:J60"/>
  <tableColumns count="10">
    <tableColumn id="1" name="Sampling Feature UUID" dataDxfId="117"/>
    <tableColumn id="2" name="Sampling Feature Type" dataDxfId="116"/>
    <tableColumn id="3" name="Feature Geo Type" dataDxfId="115"/>
    <tableColumn id="4" name="Feature Code" dataDxfId="114"/>
    <tableColumn id="5" name="Feature Name" dataDxfId="113"/>
    <tableColumn id="6" name="Feature Description" dataDxfId="112"/>
    <tableColumn id="7" name="Feature Geometry" dataDxfId="111"/>
    <tableColumn id="8" name="Elevation_m" dataDxfId="110"/>
    <tableColumn id="9" name="Feature IGSN" dataDxfId="109"/>
    <tableColumn id="10" name="IGSNID" dataDxfId="108">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7" dataDxfId="105" headerRowBorderDxfId="106" tableBorderDxfId="104">
  <autoFilter ref="L10:O60"/>
  <tableColumns count="4">
    <tableColumn id="4" name="SiteID" dataDxfId="103">
      <calculatedColumnFormula>IF(SamplingFeatures[[#This Row],[Sampling Feature Type]]="Site",MAX(L$10:L10)+1,"")</calculatedColumnFormula>
    </tableColumn>
    <tableColumn id="1" name="Site Type" dataDxfId="102">
      <calculatedColumnFormula>IF($B11="Site","SELECT VALUE","")</calculatedColumnFormula>
    </tableColumn>
    <tableColumn id="2" name="Latitude" dataDxfId="101">
      <calculatedColumnFormula>IF($B11="site","ENTER VALUE","")</calculatedColumnFormula>
    </tableColumn>
    <tableColumn id="3" name="Longitude" dataDxfId="100">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9" dataDxfId="97" headerRowBorderDxfId="98" tableBorderDxfId="96">
  <autoFilter ref="Q10:T60"/>
  <tableColumns count="4">
    <tableColumn id="4" name="SpecimenID" dataDxfId="95">
      <calculatedColumnFormula>IF(SamplingFeatures[[#This Row],[Sampling Feature Type]]="Specimen",MAX(Q$10:Q10)+1,"")</calculatedColumnFormula>
    </tableColumn>
    <tableColumn id="1" name="Specimen Type" dataDxfId="94">
      <calculatedColumnFormula>IF($B11="Specimen","SELECT VALUE","")</calculatedColumnFormula>
    </tableColumn>
    <tableColumn id="2" name="Specimen Medium" dataDxfId="93">
      <calculatedColumnFormula>IF($B11="Specimen","SELECT VALUE","")</calculatedColumnFormula>
    </tableColumn>
    <tableColumn id="3" name="Is Field Specimen?" dataDxfId="92">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91" dataDxfId="89" headerRowBorderDxfId="90" tableBorderDxfId="88">
  <autoFilter ref="A6:K38"/>
  <tableColumns count="11">
    <tableColumn id="1" name="First Sampling Feature Code" dataDxfId="87"/>
    <tableColumn id="2" name="Relationship Type" dataDxfId="86"/>
    <tableColumn id="3" name="Second Sampling Feature Code" dataDxfId="85"/>
    <tableColumn id="5" name="Spatial Offset Type" dataDxfId="84"/>
    <tableColumn id="6" name="Offset 1 Value" dataDxfId="83"/>
    <tableColumn id="7" name="Offset 1 Unit" dataDxfId="82"/>
    <tableColumn id="8" name="Offset 2 Value" dataDxfId="81"/>
    <tableColumn id="9" name="Offset 2 Unit" dataDxfId="80"/>
    <tableColumn id="10" name="Offset 3 Value" dataDxfId="79"/>
    <tableColumn id="11" name="Offset 3 Unit" dataDxfId="78"/>
    <tableColumn id="12" name="OffsetID" dataDxfId="77">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6" dataDxfId="74" headerRowBorderDxfId="75" tableBorderDxfId="73">
  <autoFilter ref="A6:F27"/>
  <tableColumns count="6">
    <tableColumn id="1" name="Method Type" dataDxfId="72"/>
    <tableColumn id="2" name="Method Code" dataDxfId="71"/>
    <tableColumn id="3" name="Method Name" dataDxfId="70"/>
    <tableColumn id="4" name="Method Description" dataDxfId="69"/>
    <tableColumn id="5" name="Method Link" dataDxfId="68"/>
    <tableColumn id="6" name="Organization Name" dataDxfId="67"/>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6" dataDxfId="64" headerRowBorderDxfId="65" tableBorderDxfId="63">
  <autoFilter ref="A6:F25"/>
  <tableColumns count="6">
    <tableColumn id="1" name="Variable Type" dataDxfId="62"/>
    <tableColumn id="2" name="Variable Code" dataDxfId="61"/>
    <tableColumn id="3" name="Variable Name" dataDxfId="60"/>
    <tableColumn id="4" name="Variable Definition" dataDxfId="59"/>
    <tableColumn id="5" name="Speciation" dataDxfId="58"/>
    <tableColumn id="6" name="No Data Value" dataDxfId="57"/>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6" dataDxfId="54" headerRowBorderDxfId="55" tableBorderDxfId="53">
  <autoFilter ref="A6:C24"/>
  <tableColumns count="3">
    <tableColumn id="1" name="Processing Level Code" dataDxfId="52"/>
    <tableColumn id="2" name="Definition" dataDxfId="51"/>
    <tableColumn id="3" name="Explanation" dataDxfId="50"/>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9" dataDxfId="47" headerRowBorderDxfId="48" tableBorderDxfId="46">
  <autoFilter ref="A11:O98"/>
  <tableColumns count="15">
    <tableColumn id="1" name="Col #" dataDxfId="45">
      <calculatedColumnFormula>IF(COUNTA(DataColumns[[#This Row],[Column Label]:[Quality Code]])&gt;0,IF(MAX(A$11:A11)=0,3,MAX(A$11:A11)+1),"")</calculatedColumnFormula>
    </tableColumn>
    <tableColumn id="2" name="Column Label" dataDxfId="44"/>
    <tableColumn id="3" name="ResultUUID" dataDxfId="43"/>
    <tableColumn id="4" name="Sampling Feature Code" dataDxfId="42"/>
    <tableColumn id="5" name="Method Code" dataDxfId="41"/>
    <tableColumn id="6" name="Result Type" dataDxfId="40"/>
    <tableColumn id="7" name="Variable Code" dataDxfId="39"/>
    <tableColumn id="8" name="Unit Name" dataDxfId="38"/>
    <tableColumn id="9" name="Processing Level" dataDxfId="37"/>
    <tableColumn id="11" name="Sampled Medium" dataDxfId="36"/>
    <tableColumn id="12" name="Time Aggregation Interval" dataDxfId="35"/>
    <tableColumn id="13" name="Time Aggregation Unit" dataDxfId="34"/>
    <tableColumn id="14" name="Aggregation Statistic" dataDxfId="33"/>
    <tableColumn id="15" name="Censor Code" dataDxfId="32"/>
    <tableColumn id="16" name="Quality Code" dataDxfId="31"/>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30">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9" headerRowBorderDxfId="28" tableBorderDxfId="27">
  <autoFilter ref="A4:D8"/>
  <tableColumns count="4">
    <tableColumn id="1" name="SRSCode" dataDxfId="26"/>
    <tableColumn id="2" name="SRSName" dataDxfId="25"/>
    <tableColumn id="3" name="SRSDescription" dataDxfId="24"/>
    <tableColumn id="4" name="SRSLink" dataDxfId="23"/>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22" headerRowBorderDxfId="21" tableBorderDxfId="20">
  <autoFilter ref="A17:E20"/>
  <tableColumns count="5">
    <tableColumn id="1" name="External Identifier System Name" dataDxfId="19"/>
    <tableColumn id="2" name="Identifier System Organization Name" dataDxfId="18"/>
    <tableColumn id="3" name="External Identifier System Descrption" dataDxfId="17"/>
    <tableColumn id="4" name="External Identifier System URL" dataDxfId="16" dataCellStyle="Hyperlink"/>
    <tableColumn id="5" name="URI Structure" dataDxfId="15"/>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14" headerRowBorderDxfId="13" tableBorderDxfId="12">
  <autoFilter ref="A4:E7"/>
  <tableColumns count="5">
    <tableColumn id="1" name="Organization Type [CV]" dataDxfId="11"/>
    <tableColumn id="2" name="Organization Code" dataDxfId="10"/>
    <tableColumn id="3" name="Organization Name" dataDxfId="9"/>
    <tableColumn id="4" name="Organization Description" dataDxfId="8"/>
    <tableColumn id="5" name="Organization Link" dataDxfId="7"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0"/>
  <sheetViews>
    <sheetView tabSelected="1" topLeftCell="A7" workbookViewId="0">
      <selection activeCell="A33" sqref="A33"/>
    </sheetView>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1304</v>
      </c>
    </row>
    <row r="6" spans="1:1" s="5" customFormat="1" x14ac:dyDescent="0.25">
      <c r="A6" s="5" t="s">
        <v>1283</v>
      </c>
    </row>
    <row r="7" spans="1:1" s="5" customFormat="1" x14ac:dyDescent="0.25">
      <c r="A7" s="5" t="s">
        <v>1312</v>
      </c>
    </row>
    <row r="8" spans="1:1" s="5" customFormat="1" x14ac:dyDescent="0.25">
      <c r="A8" s="5" t="s">
        <v>1293</v>
      </c>
    </row>
    <row r="9" spans="1:1" s="5" customFormat="1" x14ac:dyDescent="0.25">
      <c r="A9" s="5" t="s">
        <v>1284</v>
      </c>
    </row>
    <row r="10" spans="1:1" s="5" customFormat="1" x14ac:dyDescent="0.25">
      <c r="A10" s="5" t="s">
        <v>1282</v>
      </c>
    </row>
    <row r="11" spans="1:1" s="5" customFormat="1" x14ac:dyDescent="0.25">
      <c r="A11" s="5" t="s">
        <v>1285</v>
      </c>
    </row>
    <row r="12" spans="1:1" s="5" customFormat="1" x14ac:dyDescent="0.25">
      <c r="A12" s="5" t="s">
        <v>1303</v>
      </c>
    </row>
    <row r="13" spans="1:1" s="5" customFormat="1" x14ac:dyDescent="0.25">
      <c r="A13" s="5" t="s">
        <v>1301</v>
      </c>
    </row>
    <row r="14" spans="1:1" s="5" customFormat="1" x14ac:dyDescent="0.25">
      <c r="A14" s="5" t="s">
        <v>1286</v>
      </c>
    </row>
    <row r="15" spans="1:1" s="5" customFormat="1" x14ac:dyDescent="0.25">
      <c r="A15" s="5" t="s">
        <v>1287</v>
      </c>
    </row>
    <row r="16" spans="1:1" s="5" customFormat="1" x14ac:dyDescent="0.25">
      <c r="A16" s="5" t="s">
        <v>1300</v>
      </c>
    </row>
    <row r="17" spans="1:1" s="5" customFormat="1" x14ac:dyDescent="0.25">
      <c r="A17" s="5" t="s">
        <v>1302</v>
      </c>
    </row>
    <row r="18" spans="1:1" s="5" customFormat="1" x14ac:dyDescent="0.25">
      <c r="A18" s="5" t="s">
        <v>1308</v>
      </c>
    </row>
    <row r="19" spans="1:1" s="5" customFormat="1" x14ac:dyDescent="0.25">
      <c r="A19" s="5" t="s">
        <v>1305</v>
      </c>
    </row>
    <row r="20" spans="1:1" s="5" customFormat="1" x14ac:dyDescent="0.25">
      <c r="A20" s="5" t="s">
        <v>1307</v>
      </c>
    </row>
    <row r="21" spans="1:1" s="5" customFormat="1" x14ac:dyDescent="0.25">
      <c r="A21" s="5" t="s">
        <v>1310</v>
      </c>
    </row>
    <row r="22" spans="1:1" s="5" customFormat="1" x14ac:dyDescent="0.25">
      <c r="A22" s="5" t="s">
        <v>1311</v>
      </c>
    </row>
    <row r="23" spans="1:1" s="5" customFormat="1" x14ac:dyDescent="0.25">
      <c r="A23" s="5" t="s">
        <v>1313</v>
      </c>
    </row>
    <row r="24" spans="1:1" s="5" customFormat="1" x14ac:dyDescent="0.25">
      <c r="A24" s="5" t="s">
        <v>1314</v>
      </c>
    </row>
    <row r="25" spans="1:1" s="5" customFormat="1" x14ac:dyDescent="0.25">
      <c r="A25" s="5" t="s">
        <v>1315</v>
      </c>
    </row>
    <row r="26" spans="1:1" s="5" customFormat="1" x14ac:dyDescent="0.25"/>
    <row r="27" spans="1:1" ht="18.75" x14ac:dyDescent="0.3">
      <c r="A27" s="6" t="s">
        <v>1253</v>
      </c>
    </row>
    <row r="28" spans="1:1" s="5" customFormat="1" x14ac:dyDescent="0.25">
      <c r="A28" s="5" t="s">
        <v>1306</v>
      </c>
    </row>
    <row r="29" spans="1:1" x14ac:dyDescent="0.25">
      <c r="A29" s="5" t="s">
        <v>1289</v>
      </c>
    </row>
    <row r="30" spans="1:1" x14ac:dyDescent="0.25">
      <c r="A30" s="5" t="s">
        <v>1290</v>
      </c>
    </row>
    <row r="31" spans="1:1" s="5" customFormat="1" x14ac:dyDescent="0.25">
      <c r="A31" s="5" t="s">
        <v>1291</v>
      </c>
    </row>
    <row r="32" spans="1:1" s="5" customFormat="1" x14ac:dyDescent="0.25">
      <c r="A32" s="5" t="s">
        <v>1319</v>
      </c>
    </row>
    <row r="33" spans="1:1" x14ac:dyDescent="0.25">
      <c r="A33" s="5" t="s">
        <v>1288</v>
      </c>
    </row>
    <row r="34" spans="1:1" x14ac:dyDescent="0.25">
      <c r="A34" t="s">
        <v>1292</v>
      </c>
    </row>
    <row r="35" spans="1:1" x14ac:dyDescent="0.25">
      <c r="A35" s="5" t="s">
        <v>1294</v>
      </c>
    </row>
    <row r="36" spans="1:1" x14ac:dyDescent="0.25">
      <c r="A36" s="5" t="s">
        <v>1295</v>
      </c>
    </row>
    <row r="37" spans="1:1" x14ac:dyDescent="0.25">
      <c r="A37" s="5" t="s">
        <v>1296</v>
      </c>
    </row>
    <row r="38" spans="1:1" x14ac:dyDescent="0.25">
      <c r="A38" s="5" t="s">
        <v>1297</v>
      </c>
    </row>
    <row r="39" spans="1:1" x14ac:dyDescent="0.25">
      <c r="A39" s="5" t="s">
        <v>1298</v>
      </c>
    </row>
    <row r="40" spans="1:1" x14ac:dyDescent="0.25">
      <c r="A40" s="5" t="s">
        <v>1299</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302</v>
      </c>
    </row>
    <row r="2" spans="1:9" x14ac:dyDescent="0.25">
      <c r="A2" s="28" t="s">
        <v>1112</v>
      </c>
    </row>
    <row r="3" spans="1:9" x14ac:dyDescent="0.25">
      <c r="A3" s="28" t="s">
        <v>193</v>
      </c>
    </row>
    <row r="4" spans="1:9" x14ac:dyDescent="0.25">
      <c r="A4" s="28" t="s">
        <v>305</v>
      </c>
    </row>
    <row r="5" spans="1:9" x14ac:dyDescent="0.25">
      <c r="A5" s="28" t="s">
        <v>202</v>
      </c>
    </row>
    <row r="6" spans="1:9" ht="15.75" thickBot="1" x14ac:dyDescent="0.3"/>
    <row r="7" spans="1:9" ht="15.75" thickBot="1" x14ac:dyDescent="0.3">
      <c r="A7" s="151" t="s">
        <v>155</v>
      </c>
      <c r="B7" s="152"/>
      <c r="C7" s="152"/>
      <c r="D7" s="152"/>
      <c r="E7" s="153"/>
      <c r="G7" s="29" t="s">
        <v>1271</v>
      </c>
      <c r="H7" s="65">
        <f>COUNTA(OrganizationNames)</f>
        <v>0</v>
      </c>
    </row>
    <row r="8" spans="1:9" ht="15.75" thickBot="1" x14ac:dyDescent="0.3">
      <c r="A8" s="176" t="s">
        <v>156</v>
      </c>
      <c r="B8" s="177" t="s">
        <v>157</v>
      </c>
      <c r="C8" s="177" t="s">
        <v>19</v>
      </c>
      <c r="D8" s="178" t="s">
        <v>158</v>
      </c>
      <c r="E8" s="179" t="s">
        <v>159</v>
      </c>
      <c r="G8" s="29" t="s">
        <v>1272</v>
      </c>
      <c r="H8" s="65">
        <f>COUNTA(People[Last Name])</f>
        <v>0</v>
      </c>
      <c r="I8" s="7"/>
    </row>
    <row r="9" spans="1:9" ht="16.5" thickTop="1" thickBot="1" x14ac:dyDescent="0.3">
      <c r="A9" s="180"/>
      <c r="B9" s="8"/>
      <c r="C9" s="8"/>
      <c r="D9" s="9"/>
      <c r="E9" s="181"/>
      <c r="G9" s="29" t="s">
        <v>1367</v>
      </c>
      <c r="H9" s="65">
        <f>MAX(People[ExternalIDNum])</f>
        <v>0</v>
      </c>
      <c r="I9" s="7"/>
    </row>
    <row r="10" spans="1:9" x14ac:dyDescent="0.25">
      <c r="A10" s="127"/>
      <c r="B10" s="11"/>
      <c r="C10" s="11"/>
      <c r="D10" s="12"/>
      <c r="E10" s="128"/>
      <c r="G10" s="49"/>
      <c r="I10" s="7"/>
    </row>
    <row r="11" spans="1:9" x14ac:dyDescent="0.25">
      <c r="A11" s="127"/>
      <c r="B11" s="11"/>
      <c r="C11" s="11"/>
      <c r="D11" s="12"/>
      <c r="E11" s="182"/>
      <c r="G11" s="49"/>
      <c r="I11" s="7"/>
    </row>
    <row r="12" spans="1:9" x14ac:dyDescent="0.25">
      <c r="A12" s="127"/>
      <c r="B12" s="11"/>
      <c r="C12" s="11"/>
      <c r="D12" s="12"/>
      <c r="E12" s="182"/>
      <c r="G12" s="49"/>
      <c r="I12" s="7"/>
    </row>
    <row r="13" spans="1:9" x14ac:dyDescent="0.25">
      <c r="A13" s="127"/>
      <c r="B13" s="11"/>
      <c r="C13" s="11"/>
      <c r="D13" s="12"/>
      <c r="E13" s="182"/>
      <c r="G13" s="49"/>
      <c r="I13" s="7"/>
    </row>
    <row r="14" spans="1:9" x14ac:dyDescent="0.25">
      <c r="A14" s="127"/>
      <c r="B14" s="11"/>
      <c r="C14" s="11"/>
      <c r="D14" s="12"/>
      <c r="E14" s="182"/>
      <c r="G14" s="49"/>
      <c r="I14" s="7"/>
    </row>
    <row r="15" spans="1:9" x14ac:dyDescent="0.25">
      <c r="A15" s="127"/>
      <c r="B15" s="11"/>
      <c r="C15" s="11"/>
      <c r="D15" s="12"/>
      <c r="E15" s="182"/>
      <c r="G15" s="49"/>
      <c r="I15" s="7"/>
    </row>
    <row r="16" spans="1:9" x14ac:dyDescent="0.25">
      <c r="A16" s="127"/>
      <c r="B16" s="11"/>
      <c r="C16" s="11"/>
      <c r="D16" s="12"/>
      <c r="E16" s="182"/>
      <c r="G16" s="49"/>
      <c r="I16" s="7"/>
    </row>
    <row r="17" spans="1:9" x14ac:dyDescent="0.25">
      <c r="A17" s="127"/>
      <c r="B17" s="11"/>
      <c r="C17" s="11"/>
      <c r="D17" s="12"/>
      <c r="E17" s="182"/>
      <c r="G17" s="49"/>
      <c r="I17" s="7"/>
    </row>
    <row r="18" spans="1:9" ht="15.75" thickBot="1" x14ac:dyDescent="0.3">
      <c r="A18" s="129"/>
      <c r="B18" s="130"/>
      <c r="C18" s="130"/>
      <c r="D18" s="131"/>
      <c r="E18" s="183"/>
      <c r="G18" s="49"/>
      <c r="I18" s="7"/>
    </row>
    <row r="19" spans="1:9" x14ac:dyDescent="0.25">
      <c r="H19" s="7"/>
      <c r="I19" s="7"/>
    </row>
    <row r="20" spans="1:9" x14ac:dyDescent="0.25">
      <c r="H20" s="7"/>
      <c r="I20" s="7"/>
    </row>
    <row r="21" spans="1:9" ht="15.75" thickBot="1" x14ac:dyDescent="0.3">
      <c r="H21" s="7"/>
      <c r="I21" s="7"/>
    </row>
    <row r="22" spans="1:9" x14ac:dyDescent="0.25">
      <c r="A22" s="154" t="s">
        <v>154</v>
      </c>
      <c r="B22" s="155"/>
      <c r="C22" s="155"/>
      <c r="D22" s="155"/>
      <c r="E22" s="155"/>
      <c r="F22" s="155"/>
      <c r="G22" s="155"/>
      <c r="H22" s="155"/>
      <c r="I22" s="184"/>
    </row>
    <row r="23" spans="1:9" ht="15.75" thickBot="1" x14ac:dyDescent="0.3">
      <c r="A23" s="74" t="s">
        <v>15</v>
      </c>
      <c r="B23" s="76" t="s">
        <v>16</v>
      </c>
      <c r="C23" s="69" t="s">
        <v>17</v>
      </c>
      <c r="D23" s="69" t="s">
        <v>19</v>
      </c>
      <c r="E23" s="69" t="s">
        <v>18</v>
      </c>
      <c r="F23" s="72" t="s">
        <v>190</v>
      </c>
      <c r="G23" s="77" t="s">
        <v>1344</v>
      </c>
      <c r="H23" s="31" t="s">
        <v>303</v>
      </c>
      <c r="I23" s="31" t="s">
        <v>1365</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B21"/>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301</v>
      </c>
    </row>
    <row r="2" spans="1:5" ht="15.75" thickBot="1" x14ac:dyDescent="0.3"/>
    <row r="3" spans="1:5" ht="15.75" thickBot="1" x14ac:dyDescent="0.3">
      <c r="A3" s="156" t="s">
        <v>20</v>
      </c>
      <c r="B3" s="157"/>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58" t="s">
        <v>21</v>
      </c>
      <c r="B16" s="159"/>
      <c r="C16" s="37"/>
      <c r="D16" s="38"/>
      <c r="E16" s="38"/>
    </row>
    <row r="17" spans="1:5" ht="15.75" thickBot="1" x14ac:dyDescent="0.3">
      <c r="A17" s="74" t="s">
        <v>185</v>
      </c>
      <c r="B17" s="75" t="s">
        <v>304</v>
      </c>
      <c r="D17" s="29" t="s">
        <v>1270</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topLeftCell="E1" zoomScaleNormal="100" zoomScalePageLayoutView="150" workbookViewId="0">
      <selection activeCell="R11" sqref="R11:T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300</v>
      </c>
    </row>
    <row r="2" spans="1:20" x14ac:dyDescent="0.25">
      <c r="A2" s="28" t="s">
        <v>1111</v>
      </c>
    </row>
    <row r="3" spans="1:20" x14ac:dyDescent="0.25">
      <c r="A3" s="28" t="s">
        <v>1167</v>
      </c>
    </row>
    <row r="4" spans="1:20" x14ac:dyDescent="0.25">
      <c r="A4" s="28" t="s">
        <v>297</v>
      </c>
    </row>
    <row r="5" spans="1:20" ht="15.75" thickBot="1" x14ac:dyDescent="0.3"/>
    <row r="6" spans="1:20" ht="15.75" thickBot="1" x14ac:dyDescent="0.3">
      <c r="A6" s="156" t="s">
        <v>129</v>
      </c>
      <c r="B6" s="157"/>
    </row>
    <row r="7" spans="1:20" ht="16.5" thickTop="1" thickBot="1" x14ac:dyDescent="0.3">
      <c r="A7" s="66" t="s">
        <v>27</v>
      </c>
      <c r="B7" s="32"/>
      <c r="D7" s="28" t="s">
        <v>296</v>
      </c>
      <c r="H7" s="29" t="s">
        <v>1269</v>
      </c>
      <c r="I7" s="65">
        <f>COUNTA(SamplingFeatures[Feature Code])</f>
        <v>0</v>
      </c>
      <c r="M7" s="29" t="s">
        <v>1265</v>
      </c>
      <c r="N7" s="65">
        <f>MAX(Sites[SiteID])</f>
        <v>0</v>
      </c>
      <c r="R7" s="29" t="s">
        <v>1266</v>
      </c>
      <c r="S7" s="30">
        <f>MAX(Specimens[SpecimenID])</f>
        <v>0</v>
      </c>
    </row>
    <row r="8" spans="1:20" ht="15.75" thickBot="1" x14ac:dyDescent="0.3">
      <c r="A8" s="67" t="s">
        <v>128</v>
      </c>
      <c r="B8" s="36"/>
      <c r="D8" s="28" t="s">
        <v>1369</v>
      </c>
      <c r="H8" s="29" t="s">
        <v>1368</v>
      </c>
      <c r="I8" s="65">
        <f>MAX(SamplingFeatures[IGSNID])</f>
        <v>0</v>
      </c>
    </row>
    <row r="9" spans="1:20" ht="15.75" thickBot="1" x14ac:dyDescent="0.3">
      <c r="K9" s="160" t="s">
        <v>207</v>
      </c>
      <c r="L9" s="160"/>
      <c r="M9" s="160"/>
      <c r="N9" s="160"/>
      <c r="P9" s="160" t="s">
        <v>206</v>
      </c>
      <c r="Q9" s="160"/>
      <c r="R9" s="160"/>
      <c r="S9" s="160"/>
    </row>
    <row r="10" spans="1:20" ht="15.75" thickBot="1" x14ac:dyDescent="0.3">
      <c r="A10" s="68" t="s">
        <v>22</v>
      </c>
      <c r="B10" s="69" t="s">
        <v>23</v>
      </c>
      <c r="C10" s="69" t="s">
        <v>127</v>
      </c>
      <c r="D10" s="69" t="s">
        <v>211</v>
      </c>
      <c r="E10" s="70" t="s">
        <v>209</v>
      </c>
      <c r="F10" s="71" t="s">
        <v>210</v>
      </c>
      <c r="G10" s="72" t="s">
        <v>212</v>
      </c>
      <c r="H10" s="72" t="s">
        <v>26</v>
      </c>
      <c r="I10" s="73" t="s">
        <v>1234</v>
      </c>
      <c r="J10" s="147" t="s">
        <v>1366</v>
      </c>
      <c r="K10" s="52"/>
      <c r="L10" s="63" t="s">
        <v>1165</v>
      </c>
      <c r="M10" s="74" t="s">
        <v>203</v>
      </c>
      <c r="N10" s="69" t="s">
        <v>24</v>
      </c>
      <c r="O10" s="75" t="s">
        <v>25</v>
      </c>
      <c r="P10" s="53"/>
      <c r="Q10" s="63" t="s">
        <v>1166</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1258</v>
      </c>
    </row>
    <row r="2" spans="1:11" ht="15.75" thickBot="1" x14ac:dyDescent="0.3">
      <c r="A2" s="28" t="s">
        <v>1260</v>
      </c>
    </row>
    <row r="3" spans="1:11" ht="15.75" thickBot="1" x14ac:dyDescent="0.3">
      <c r="G3" s="29" t="s">
        <v>1267</v>
      </c>
      <c r="H3" s="30">
        <f>COUNTA(RelatedFeatures[First Sampling Feature Code])</f>
        <v>0</v>
      </c>
      <c r="I3" s="29" t="s">
        <v>1268</v>
      </c>
      <c r="J3" s="30">
        <f>MAX(RelatedFeatures[OffsetID])</f>
        <v>0</v>
      </c>
    </row>
    <row r="4" spans="1:11" ht="15.75" thickBot="1" x14ac:dyDescent="0.3"/>
    <row r="5" spans="1:11" x14ac:dyDescent="0.25">
      <c r="A5" s="158" t="s">
        <v>264</v>
      </c>
      <c r="B5" s="161"/>
      <c r="C5" s="161"/>
      <c r="D5" s="161"/>
      <c r="E5" s="161"/>
      <c r="F5" s="161"/>
      <c r="G5" s="161"/>
      <c r="H5" s="161"/>
      <c r="I5" s="161"/>
      <c r="J5" s="161"/>
      <c r="K5" s="159"/>
    </row>
    <row r="6" spans="1:11" ht="15.75" thickBot="1" x14ac:dyDescent="0.3">
      <c r="A6" s="86" t="s">
        <v>261</v>
      </c>
      <c r="B6" s="69" t="s">
        <v>262</v>
      </c>
      <c r="C6" s="69" t="s">
        <v>263</v>
      </c>
      <c r="D6" s="87" t="s">
        <v>249</v>
      </c>
      <c r="E6" s="87" t="s">
        <v>250</v>
      </c>
      <c r="F6" s="87" t="s">
        <v>251</v>
      </c>
      <c r="G6" s="87" t="s">
        <v>252</v>
      </c>
      <c r="H6" s="87" t="s">
        <v>253</v>
      </c>
      <c r="I6" s="87" t="s">
        <v>254</v>
      </c>
      <c r="J6" s="88" t="s">
        <v>255</v>
      </c>
      <c r="K6" s="89" t="s">
        <v>1259</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8" t="s">
        <v>1168</v>
      </c>
    </row>
    <row r="3" spans="1:6" ht="15.75" thickBot="1" x14ac:dyDescent="0.3">
      <c r="A3" s="28" t="s">
        <v>298</v>
      </c>
      <c r="E3" s="29" t="s">
        <v>1273</v>
      </c>
      <c r="F3" s="30">
        <f>COUNTA(MethodCodes)</f>
        <v>0</v>
      </c>
    </row>
    <row r="4" spans="1:6" ht="15.75" thickBot="1" x14ac:dyDescent="0.3"/>
    <row r="5" spans="1:6" x14ac:dyDescent="0.25">
      <c r="A5" s="162" t="s">
        <v>271</v>
      </c>
      <c r="B5" s="163"/>
      <c r="C5" s="163"/>
      <c r="D5" s="163"/>
      <c r="E5" s="163"/>
      <c r="F5" s="164"/>
    </row>
    <row r="6" spans="1:6" ht="15.75" thickBot="1" x14ac:dyDescent="0.3">
      <c r="A6" s="74" t="s">
        <v>268</v>
      </c>
      <c r="B6" s="69" t="s">
        <v>148</v>
      </c>
      <c r="C6" s="69" t="s">
        <v>147</v>
      </c>
      <c r="D6" s="76" t="s">
        <v>149</v>
      </c>
      <c r="E6" s="76" t="s">
        <v>269</v>
      </c>
      <c r="F6" s="72" t="s">
        <v>19</v>
      </c>
    </row>
    <row r="7" spans="1:6" ht="15.75" thickTop="1" x14ac:dyDescent="0.25">
      <c r="A7" s="92"/>
      <c r="B7" s="79"/>
      <c r="C7" s="93"/>
      <c r="D7" s="94"/>
      <c r="E7" s="95"/>
      <c r="F7" s="96"/>
    </row>
    <row r="8" spans="1:6"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306</v>
      </c>
    </row>
    <row r="2" spans="1:6" ht="15.75" thickBot="1" x14ac:dyDescent="0.3">
      <c r="A2" s="28" t="s">
        <v>1169</v>
      </c>
    </row>
    <row r="3" spans="1:6" ht="15.75" thickBot="1" x14ac:dyDescent="0.3">
      <c r="A3" s="28" t="s">
        <v>307</v>
      </c>
      <c r="E3" s="29" t="s">
        <v>1274</v>
      </c>
      <c r="F3" s="30">
        <f>COUNTA(VariableCodes)</f>
        <v>0</v>
      </c>
    </row>
    <row r="4" spans="1:6" ht="15.75" thickBot="1" x14ac:dyDescent="0.3"/>
    <row r="5" spans="1:6" x14ac:dyDescent="0.25">
      <c r="A5" s="162" t="s">
        <v>312</v>
      </c>
      <c r="B5" s="163"/>
      <c r="C5" s="163"/>
      <c r="D5" s="163"/>
      <c r="E5" s="163"/>
      <c r="F5" s="164"/>
    </row>
    <row r="6" spans="1:6" ht="15.75" thickBot="1" x14ac:dyDescent="0.3">
      <c r="A6" s="74" t="s">
        <v>308</v>
      </c>
      <c r="B6" s="69" t="s">
        <v>145</v>
      </c>
      <c r="C6" s="69" t="s">
        <v>144</v>
      </c>
      <c r="D6" s="76" t="s">
        <v>309</v>
      </c>
      <c r="E6" s="76" t="s">
        <v>310</v>
      </c>
      <c r="F6" s="75" t="s">
        <v>311</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1220</v>
      </c>
    </row>
    <row r="2" spans="1:5" ht="15.75" thickBot="1" x14ac:dyDescent="0.3">
      <c r="A2" s="28" t="s">
        <v>1221</v>
      </c>
    </row>
    <row r="3" spans="1:5" ht="15.75" thickBot="1" x14ac:dyDescent="0.3">
      <c r="A3" s="28" t="s">
        <v>1222</v>
      </c>
      <c r="D3" s="29" t="s">
        <v>1275</v>
      </c>
      <c r="E3" s="30">
        <f>COUNTA(ProcessingLevelCodes)</f>
        <v>5</v>
      </c>
    </row>
    <row r="4" spans="1:5" ht="15.75" thickBot="1" x14ac:dyDescent="0.3"/>
    <row r="5" spans="1:5" x14ac:dyDescent="0.25">
      <c r="A5" s="158" t="s">
        <v>1225</v>
      </c>
      <c r="B5" s="161"/>
      <c r="C5" s="159"/>
    </row>
    <row r="6" spans="1:5" ht="15.75" thickBot="1" x14ac:dyDescent="0.3">
      <c r="A6" s="74" t="s">
        <v>1223</v>
      </c>
      <c r="B6" s="69" t="s">
        <v>1224</v>
      </c>
      <c r="C6" s="103" t="s">
        <v>1226</v>
      </c>
    </row>
    <row r="7" spans="1:5" ht="90.75" thickTop="1" x14ac:dyDescent="0.25">
      <c r="A7" s="99">
        <v>0</v>
      </c>
      <c r="B7" s="100" t="s">
        <v>1316</v>
      </c>
      <c r="C7" s="101" t="s">
        <v>1317</v>
      </c>
    </row>
    <row r="8" spans="1:5" ht="75" x14ac:dyDescent="0.25">
      <c r="A8" s="92">
        <v>1</v>
      </c>
      <c r="B8" s="80" t="s">
        <v>1318</v>
      </c>
      <c r="C8" s="102" t="s">
        <v>1378</v>
      </c>
    </row>
    <row r="9" spans="1:5" ht="60" x14ac:dyDescent="0.25">
      <c r="A9" s="92">
        <v>2</v>
      </c>
      <c r="B9" s="80" t="s">
        <v>1374</v>
      </c>
      <c r="C9" s="102" t="s">
        <v>1377</v>
      </c>
    </row>
    <row r="10" spans="1:5" ht="60" x14ac:dyDescent="0.25">
      <c r="A10" s="92">
        <v>3</v>
      </c>
      <c r="B10" s="80" t="s">
        <v>1375</v>
      </c>
      <c r="C10" s="102" t="s">
        <v>1379</v>
      </c>
    </row>
    <row r="11" spans="1:5" ht="75" x14ac:dyDescent="0.25">
      <c r="A11" s="92">
        <v>4</v>
      </c>
      <c r="B11" s="80" t="s">
        <v>1376</v>
      </c>
      <c r="C11" s="102" t="s">
        <v>1380</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8" t="s">
        <v>137</v>
      </c>
    </row>
    <row r="2" spans="1:15" x14ac:dyDescent="0.25">
      <c r="A2" s="28" t="s">
        <v>1229</v>
      </c>
    </row>
    <row r="3" spans="1:15" x14ac:dyDescent="0.25">
      <c r="A3" s="28" t="s">
        <v>1262</v>
      </c>
      <c r="D3" s="98"/>
    </row>
    <row r="4" spans="1:15" x14ac:dyDescent="0.25">
      <c r="A4" s="28" t="s">
        <v>1309</v>
      </c>
      <c r="D4" s="98"/>
    </row>
    <row r="5" spans="1:15" x14ac:dyDescent="0.25">
      <c r="A5" s="28" t="s">
        <v>1263</v>
      </c>
      <c r="D5" s="98"/>
    </row>
    <row r="6" spans="1:15" x14ac:dyDescent="0.25">
      <c r="A6" s="28" t="s">
        <v>1230</v>
      </c>
      <c r="D6" s="98"/>
    </row>
    <row r="7" spans="1:15" x14ac:dyDescent="0.25">
      <c r="A7" s="28" t="s">
        <v>1250</v>
      </c>
      <c r="D7" s="98"/>
    </row>
    <row r="8" spans="1:15" ht="15.75" thickBot="1" x14ac:dyDescent="0.3">
      <c r="A8" s="28" t="s">
        <v>1246</v>
      </c>
      <c r="D8" s="98"/>
    </row>
    <row r="9" spans="1:15" ht="15.75" thickBot="1" x14ac:dyDescent="0.3">
      <c r="M9" s="106" t="s">
        <v>1264</v>
      </c>
      <c r="N9" s="30">
        <f>MAX(DataColumns[Col '#])-2</f>
        <v>-2</v>
      </c>
      <c r="O9" s="104"/>
    </row>
    <row r="10" spans="1:15" x14ac:dyDescent="0.25">
      <c r="A10" s="165" t="s">
        <v>143</v>
      </c>
      <c r="B10" s="166"/>
      <c r="C10" s="166"/>
      <c r="D10" s="166"/>
      <c r="E10" s="166"/>
      <c r="F10" s="166"/>
      <c r="G10" s="166"/>
      <c r="H10" s="166"/>
      <c r="I10" s="166"/>
      <c r="J10" s="166"/>
      <c r="K10" s="166"/>
      <c r="L10" s="166"/>
      <c r="M10" s="166"/>
      <c r="N10" s="166"/>
      <c r="O10" s="166"/>
    </row>
    <row r="11" spans="1:15" ht="15.75" thickBot="1" x14ac:dyDescent="0.3">
      <c r="A11" s="105" t="s">
        <v>1219</v>
      </c>
      <c r="B11" s="74" t="s">
        <v>1231</v>
      </c>
      <c r="C11" s="76" t="s">
        <v>1170</v>
      </c>
      <c r="D11" s="69" t="s">
        <v>1212</v>
      </c>
      <c r="E11" s="69" t="s">
        <v>148</v>
      </c>
      <c r="F11" s="69" t="s">
        <v>138</v>
      </c>
      <c r="G11" s="69" t="s">
        <v>145</v>
      </c>
      <c r="H11" s="69" t="s">
        <v>146</v>
      </c>
      <c r="I11" s="69" t="s">
        <v>139</v>
      </c>
      <c r="J11" s="69" t="s">
        <v>1171</v>
      </c>
      <c r="K11" s="69" t="s">
        <v>142</v>
      </c>
      <c r="L11" s="69" t="s">
        <v>1214</v>
      </c>
      <c r="M11" s="69" t="s">
        <v>1196</v>
      </c>
      <c r="N11" s="69" t="s">
        <v>140</v>
      </c>
      <c r="O11" s="75" t="s">
        <v>141</v>
      </c>
    </row>
    <row r="12" spans="1:15"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40"/>
    </row>
    <row r="13" spans="1:15" x14ac:dyDescent="0.25">
      <c r="A13" s="62" t="str">
        <f>IF(COUNTA(DataColumns[[#This Row],[Column Label]:[Quality Code]])&gt;0,IF(MAX(A$11:A12)=0,3,MAX(A$11:A12)+1),"")</f>
        <v/>
      </c>
      <c r="B13" s="10"/>
      <c r="C13" s="23"/>
      <c r="D13" s="11"/>
      <c r="E13" s="11"/>
      <c r="F13" s="11"/>
      <c r="G13" s="11"/>
      <c r="H13" s="11"/>
      <c r="I13" s="11"/>
      <c r="J13" s="11"/>
      <c r="K13" s="11"/>
      <c r="L13" s="11"/>
      <c r="M13" s="11"/>
      <c r="N13" s="11"/>
      <c r="O13" s="42"/>
    </row>
    <row r="14" spans="1:15" x14ac:dyDescent="0.25">
      <c r="A14" s="62" t="str">
        <f>IF(COUNTA(DataColumns[[#This Row],[Column Label]:[Quality Code]])&gt;0,IF(MAX(A$11:A13)=0,3,MAX(A$11:A13)+1),"")</f>
        <v/>
      </c>
      <c r="B14" s="10"/>
      <c r="C14" s="23"/>
      <c r="D14" s="11"/>
      <c r="E14" s="11"/>
      <c r="F14" s="11"/>
      <c r="G14" s="11"/>
      <c r="H14" s="11"/>
      <c r="I14" s="11"/>
      <c r="J14" s="11"/>
      <c r="K14" s="11"/>
      <c r="L14" s="11"/>
      <c r="M14" s="11"/>
      <c r="N14" s="11"/>
      <c r="O14" s="42"/>
    </row>
    <row r="15" spans="1:15" x14ac:dyDescent="0.25">
      <c r="A15" s="62" t="str">
        <f>IF(COUNTA(DataColumns[[#This Row],[Column Label]:[Quality Code]])&gt;0,IF(MAX(A$11:A14)=0,3,MAX(A$11:A14)+1),"")</f>
        <v/>
      </c>
      <c r="B15" s="10"/>
      <c r="C15" s="23"/>
      <c r="D15" s="11"/>
      <c r="E15" s="11"/>
      <c r="F15" s="11"/>
      <c r="G15" s="11"/>
      <c r="H15" s="11"/>
      <c r="I15" s="11"/>
      <c r="J15" s="11"/>
      <c r="K15" s="11"/>
      <c r="L15" s="11"/>
      <c r="M15" s="11"/>
      <c r="N15" s="11"/>
      <c r="O15" s="42"/>
    </row>
    <row r="16" spans="1:15" x14ac:dyDescent="0.25">
      <c r="A16" s="62" t="str">
        <f>IF(COUNTA(DataColumns[[#This Row],[Column Label]:[Quality Code]])&gt;0,IF(MAX(A$11:A15)=0,3,MAX(A$11:A15)+1),"")</f>
        <v/>
      </c>
      <c r="B16" s="10"/>
      <c r="C16" s="23"/>
      <c r="D16" s="11"/>
      <c r="E16" s="11"/>
      <c r="F16" s="11"/>
      <c r="G16" s="11"/>
      <c r="H16" s="11"/>
      <c r="I16" s="11"/>
      <c r="J16" s="11"/>
      <c r="K16" s="11"/>
      <c r="L16" s="11"/>
      <c r="M16" s="11"/>
      <c r="N16" s="11"/>
      <c r="O16" s="42"/>
    </row>
    <row r="17" spans="1:15" x14ac:dyDescent="0.25">
      <c r="A17" s="62" t="str">
        <f>IF(COUNTA(DataColumns[[#This Row],[Column Label]:[Quality Code]])&gt;0,IF(MAX(A$11:A16)=0,3,MAX(A$11:A16)+1),"")</f>
        <v/>
      </c>
      <c r="B17" s="10"/>
      <c r="C17" s="23"/>
      <c r="D17" s="11"/>
      <c r="E17" s="11"/>
      <c r="F17" s="11"/>
      <c r="G17" s="11"/>
      <c r="H17" s="11"/>
      <c r="I17" s="11"/>
      <c r="J17" s="11"/>
      <c r="K17" s="11"/>
      <c r="L17" s="11"/>
      <c r="M17" s="11"/>
      <c r="N17" s="11"/>
      <c r="O17" s="42"/>
    </row>
    <row r="18" spans="1:15" x14ac:dyDescent="0.25">
      <c r="A18" s="62" t="str">
        <f>IF(COUNTA(DataColumns[[#This Row],[Column Label]:[Quality Code]])&gt;0,IF(MAX(A$11:A17)=0,3,MAX(A$11:A17)+1),"")</f>
        <v/>
      </c>
      <c r="B18" s="10"/>
      <c r="C18" s="23"/>
      <c r="D18" s="11"/>
      <c r="E18" s="11"/>
      <c r="F18" s="11"/>
      <c r="G18" s="11"/>
      <c r="H18" s="11"/>
      <c r="I18" s="11"/>
      <c r="J18" s="11"/>
      <c r="K18" s="11"/>
      <c r="L18" s="11"/>
      <c r="M18" s="11"/>
      <c r="N18" s="11"/>
      <c r="O18" s="42"/>
    </row>
    <row r="19" spans="1:15" x14ac:dyDescent="0.25">
      <c r="A19" s="62" t="str">
        <f>IF(COUNTA(DataColumns[[#This Row],[Column Label]:[Quality Code]])&gt;0,IF(MAX(A$11:A18)=0,3,MAX(A$11:A18)+1),"")</f>
        <v/>
      </c>
      <c r="B19" s="10"/>
      <c r="C19" s="23"/>
      <c r="D19" s="11"/>
      <c r="E19" s="11"/>
      <c r="F19" s="11"/>
      <c r="G19" s="11"/>
      <c r="H19" s="11"/>
      <c r="I19" s="11"/>
      <c r="J19" s="11"/>
      <c r="K19" s="11"/>
      <c r="L19" s="11"/>
      <c r="M19" s="11"/>
      <c r="N19" s="11"/>
      <c r="O19" s="42"/>
    </row>
    <row r="20" spans="1:15" x14ac:dyDescent="0.25">
      <c r="A20" s="62" t="str">
        <f>IF(COUNTA(DataColumns[[#This Row],[Column Label]:[Quality Code]])&gt;0,IF(MAX(A$11:A19)=0,3,MAX(A$11:A19)+1),"")</f>
        <v/>
      </c>
      <c r="B20" s="10"/>
      <c r="C20" s="23"/>
      <c r="D20" s="11"/>
      <c r="E20" s="11"/>
      <c r="F20" s="11"/>
      <c r="G20" s="11"/>
      <c r="H20" s="11"/>
      <c r="I20" s="11"/>
      <c r="J20" s="11"/>
      <c r="K20" s="11"/>
      <c r="L20" s="11"/>
      <c r="M20" s="11"/>
      <c r="N20" s="11"/>
      <c r="O20" s="42"/>
    </row>
    <row r="21" spans="1:15" x14ac:dyDescent="0.25">
      <c r="A21" s="62" t="str">
        <f>IF(COUNTA(DataColumns[[#This Row],[Column Label]:[Quality Code]])&gt;0,IF(MAX(A$11:A20)=0,3,MAX(A$11:A20)+1),"")</f>
        <v/>
      </c>
      <c r="B21" s="10"/>
      <c r="C21" s="23"/>
      <c r="D21" s="11"/>
      <c r="E21" s="11"/>
      <c r="F21" s="11"/>
      <c r="G21" s="11"/>
      <c r="H21" s="11"/>
      <c r="I21" s="11"/>
      <c r="J21" s="11"/>
      <c r="K21" s="11"/>
      <c r="L21" s="11"/>
      <c r="M21" s="11"/>
      <c r="N21" s="11"/>
      <c r="O21" s="42"/>
    </row>
    <row r="22" spans="1:15" x14ac:dyDescent="0.25">
      <c r="A22" s="62" t="str">
        <f>IF(COUNTA(DataColumns[[#This Row],[Column Label]:[Quality Code]])&gt;0,IF(MAX(A$11:A21)=0,3,MAX(A$11:A21)+1),"")</f>
        <v/>
      </c>
      <c r="B22" s="10"/>
      <c r="C22" s="23"/>
      <c r="D22" s="11"/>
      <c r="E22" s="11"/>
      <c r="F22" s="11"/>
      <c r="G22" s="11"/>
      <c r="H22" s="11"/>
      <c r="I22" s="11"/>
      <c r="J22" s="11"/>
      <c r="K22" s="11"/>
      <c r="L22" s="11"/>
      <c r="M22" s="11"/>
      <c r="N22" s="11"/>
      <c r="O22" s="42"/>
    </row>
    <row r="23" spans="1:15" x14ac:dyDescent="0.25">
      <c r="A23" s="62" t="str">
        <f>IF(COUNTA(DataColumns[[#This Row],[Column Label]:[Quality Code]])&gt;0,IF(MAX(A$11:A22)=0,3,MAX(A$11:A22)+1),"")</f>
        <v/>
      </c>
      <c r="B23" s="10"/>
      <c r="C23" s="23"/>
      <c r="D23" s="11"/>
      <c r="E23" s="11"/>
      <c r="F23" s="11"/>
      <c r="G23" s="11"/>
      <c r="H23" s="11"/>
      <c r="I23" s="11"/>
      <c r="J23" s="11"/>
      <c r="K23" s="11"/>
      <c r="L23" s="11"/>
      <c r="M23" s="11"/>
      <c r="N23" s="11"/>
      <c r="O23" s="42"/>
    </row>
    <row r="24" spans="1:15" x14ac:dyDescent="0.25">
      <c r="A24" s="62" t="str">
        <f>IF(COUNTA(DataColumns[[#This Row],[Column Label]:[Quality Code]])&gt;0,IF(MAX(A$11:A23)=0,3,MAX(A$11:A23)+1),"")</f>
        <v/>
      </c>
      <c r="B24" s="10"/>
      <c r="C24" s="23"/>
      <c r="D24" s="11"/>
      <c r="E24" s="11"/>
      <c r="F24" s="11"/>
      <c r="G24" s="11"/>
      <c r="H24" s="11"/>
      <c r="I24" s="11"/>
      <c r="J24" s="11"/>
      <c r="K24" s="11"/>
      <c r="L24" s="11"/>
      <c r="M24" s="11"/>
      <c r="N24" s="11"/>
      <c r="O24" s="42"/>
    </row>
    <row r="25" spans="1:15" x14ac:dyDescent="0.25">
      <c r="A25" s="62" t="str">
        <f>IF(COUNTA(DataColumns[[#This Row],[Column Label]:[Quality Code]])&gt;0,IF(MAX(A$11:A24)=0,3,MAX(A$11:A24)+1),"")</f>
        <v/>
      </c>
      <c r="B25" s="10"/>
      <c r="C25" s="23"/>
      <c r="D25" s="11"/>
      <c r="E25" s="11"/>
      <c r="F25" s="11"/>
      <c r="G25" s="11"/>
      <c r="H25" s="11"/>
      <c r="I25" s="11"/>
      <c r="J25" s="11"/>
      <c r="K25" s="11"/>
      <c r="L25" s="11"/>
      <c r="M25" s="11"/>
      <c r="N25" s="11"/>
      <c r="O25" s="42"/>
    </row>
    <row r="26" spans="1:15" x14ac:dyDescent="0.25">
      <c r="A26" s="62" t="str">
        <f>IF(COUNTA(DataColumns[[#This Row],[Column Label]:[Quality Code]])&gt;0,IF(MAX(A$11:A25)=0,3,MAX(A$11:A25)+1),"")</f>
        <v/>
      </c>
      <c r="B26" s="10"/>
      <c r="C26" s="23"/>
      <c r="D26" s="11"/>
      <c r="E26" s="11"/>
      <c r="F26" s="11"/>
      <c r="G26" s="11"/>
      <c r="H26" s="11"/>
      <c r="I26" s="11"/>
      <c r="J26" s="11"/>
      <c r="K26" s="11"/>
      <c r="L26" s="11"/>
      <c r="M26" s="11"/>
      <c r="N26" s="11"/>
      <c r="O26" s="42"/>
    </row>
    <row r="27" spans="1:15" x14ac:dyDescent="0.25">
      <c r="A27" s="62" t="str">
        <f>IF(COUNTA(DataColumns[[#This Row],[Column Label]:[Quality Code]])&gt;0,IF(MAX(A$11:A26)=0,3,MAX(A$11:A26)+1),"")</f>
        <v/>
      </c>
      <c r="B27" s="10"/>
      <c r="C27" s="23"/>
      <c r="D27" s="11"/>
      <c r="E27" s="11"/>
      <c r="F27" s="11"/>
      <c r="G27" s="11"/>
      <c r="H27" s="11"/>
      <c r="I27" s="11"/>
      <c r="J27" s="11"/>
      <c r="K27" s="11"/>
      <c r="L27" s="11"/>
      <c r="M27" s="11"/>
      <c r="N27" s="11"/>
      <c r="O27" s="42"/>
    </row>
    <row r="28" spans="1:15" x14ac:dyDescent="0.25">
      <c r="A28" s="62" t="str">
        <f>IF(COUNTA(DataColumns[[#This Row],[Column Label]:[Quality Code]])&gt;0,IF(MAX(A$11:A27)=0,3,MAX(A$11:A27)+1),"")</f>
        <v/>
      </c>
      <c r="B28" s="10"/>
      <c r="C28" s="23"/>
      <c r="D28" s="11"/>
      <c r="E28" s="11"/>
      <c r="F28" s="11"/>
      <c r="G28" s="11"/>
      <c r="H28" s="11"/>
      <c r="I28" s="11"/>
      <c r="J28" s="11"/>
      <c r="K28" s="11"/>
      <c r="L28" s="11"/>
      <c r="M28" s="11"/>
      <c r="N28" s="11"/>
      <c r="O28" s="42"/>
    </row>
    <row r="29" spans="1:15" x14ac:dyDescent="0.25">
      <c r="A29" s="62" t="str">
        <f>IF(COUNTA(DataColumns[[#This Row],[Column Label]:[Quality Code]])&gt;0,IF(MAX(A$11:A28)=0,3,MAX(A$11:A28)+1),"")</f>
        <v/>
      </c>
      <c r="B29" s="10"/>
      <c r="C29" s="23"/>
      <c r="D29" s="11"/>
      <c r="E29" s="11"/>
      <c r="F29" s="11"/>
      <c r="G29" s="11"/>
      <c r="H29" s="11"/>
      <c r="I29" s="11"/>
      <c r="J29" s="11"/>
      <c r="K29" s="11"/>
      <c r="L29" s="11"/>
      <c r="M29" s="11"/>
      <c r="N29" s="11"/>
      <c r="O29" s="42"/>
    </row>
    <row r="30" spans="1:15" x14ac:dyDescent="0.25">
      <c r="A30" s="62" t="str">
        <f>IF(COUNTA(DataColumns[[#This Row],[Column Label]:[Quality Code]])&gt;0,IF(MAX(A$11:A29)=0,3,MAX(A$11:A29)+1),"")</f>
        <v/>
      </c>
      <c r="B30" s="10"/>
      <c r="C30" s="23"/>
      <c r="D30" s="11"/>
      <c r="E30" s="11"/>
      <c r="F30" s="11"/>
      <c r="G30" s="11"/>
      <c r="H30" s="11"/>
      <c r="I30" s="11"/>
      <c r="J30" s="11"/>
      <c r="K30" s="11"/>
      <c r="L30" s="11"/>
      <c r="M30" s="11"/>
      <c r="N30" s="11"/>
      <c r="O30" s="42"/>
    </row>
    <row r="31" spans="1:15" x14ac:dyDescent="0.25">
      <c r="A31" s="62" t="str">
        <f>IF(COUNTA(DataColumns[[#This Row],[Column Label]:[Quality Code]])&gt;0,IF(MAX(A$11:A30)=0,3,MAX(A$11:A30)+1),"")</f>
        <v/>
      </c>
      <c r="B31" s="10"/>
      <c r="C31" s="23"/>
      <c r="D31" s="11"/>
      <c r="E31" s="11"/>
      <c r="F31" s="11"/>
      <c r="G31" s="11"/>
      <c r="H31" s="11"/>
      <c r="I31" s="11"/>
      <c r="J31" s="11"/>
      <c r="K31" s="11"/>
      <c r="L31" s="11"/>
      <c r="M31" s="11"/>
      <c r="N31" s="11"/>
      <c r="O31" s="42"/>
    </row>
    <row r="32" spans="1:15" x14ac:dyDescent="0.25">
      <c r="A32" s="62" t="str">
        <f>IF(COUNTA(DataColumns[[#This Row],[Column Label]:[Quality Code]])&gt;0,IF(MAX(A$11:A31)=0,3,MAX(A$11:A31)+1),"")</f>
        <v/>
      </c>
      <c r="B32" s="10"/>
      <c r="C32" s="23"/>
      <c r="D32" s="11"/>
      <c r="E32" s="11"/>
      <c r="F32" s="11"/>
      <c r="G32" s="11"/>
      <c r="H32" s="11"/>
      <c r="I32" s="11"/>
      <c r="J32" s="11"/>
      <c r="K32" s="11"/>
      <c r="L32" s="11"/>
      <c r="M32" s="11"/>
      <c r="N32" s="11"/>
      <c r="O32" s="42"/>
    </row>
    <row r="33" spans="1:15" x14ac:dyDescent="0.25">
      <c r="A33" s="62" t="str">
        <f>IF(COUNTA(DataColumns[[#This Row],[Column Label]:[Quality Code]])&gt;0,IF(MAX(A$11:A32)=0,3,MAX(A$11:A32)+1),"")</f>
        <v/>
      </c>
      <c r="B33" s="10"/>
      <c r="C33" s="23"/>
      <c r="D33" s="11"/>
      <c r="E33" s="11"/>
      <c r="F33" s="11"/>
      <c r="G33" s="11"/>
      <c r="H33" s="11"/>
      <c r="I33" s="11"/>
      <c r="J33" s="11"/>
      <c r="K33" s="11"/>
      <c r="L33" s="11"/>
      <c r="M33" s="11"/>
      <c r="N33" s="11"/>
      <c r="O33" s="42"/>
    </row>
    <row r="34" spans="1:15" x14ac:dyDescent="0.25">
      <c r="A34" s="62" t="str">
        <f>IF(COUNTA(DataColumns[[#This Row],[Column Label]:[Quality Code]])&gt;0,IF(MAX(A$11:A33)=0,3,MAX(A$11:A33)+1),"")</f>
        <v/>
      </c>
      <c r="B34" s="10"/>
      <c r="C34" s="23"/>
      <c r="D34" s="11"/>
      <c r="E34" s="11"/>
      <c r="F34" s="11"/>
      <c r="G34" s="11"/>
      <c r="H34" s="11"/>
      <c r="I34" s="11"/>
      <c r="J34" s="11"/>
      <c r="K34" s="11"/>
      <c r="L34" s="11"/>
      <c r="M34" s="11"/>
      <c r="N34" s="11"/>
      <c r="O34" s="42"/>
    </row>
    <row r="35" spans="1:15" x14ac:dyDescent="0.25">
      <c r="A35" s="62" t="str">
        <f>IF(COUNTA(DataColumns[[#This Row],[Column Label]:[Quality Code]])&gt;0,IF(MAX(A$11:A34)=0,3,MAX(A$11:A34)+1),"")</f>
        <v/>
      </c>
      <c r="B35" s="10"/>
      <c r="C35" s="23"/>
      <c r="D35" s="11"/>
      <c r="E35" s="11"/>
      <c r="F35" s="11"/>
      <c r="G35" s="11"/>
      <c r="H35" s="11"/>
      <c r="I35" s="11"/>
      <c r="J35" s="11"/>
      <c r="K35" s="11"/>
      <c r="L35" s="11"/>
      <c r="M35" s="11"/>
      <c r="N35" s="11"/>
      <c r="O35" s="42"/>
    </row>
    <row r="36" spans="1:15" x14ac:dyDescent="0.25">
      <c r="A36" s="62" t="str">
        <f>IF(COUNTA(DataColumns[[#This Row],[Column Label]:[Quality Code]])&gt;0,IF(MAX(A$11:A35)=0,3,MAX(A$11:A35)+1),"")</f>
        <v/>
      </c>
      <c r="B36" s="10"/>
      <c r="C36" s="23"/>
      <c r="D36" s="11"/>
      <c r="E36" s="11"/>
      <c r="F36" s="11"/>
      <c r="G36" s="11"/>
      <c r="H36" s="11"/>
      <c r="I36" s="11"/>
      <c r="J36" s="11"/>
      <c r="K36" s="11"/>
      <c r="L36" s="11"/>
      <c r="M36" s="11"/>
      <c r="N36" s="11"/>
      <c r="O36" s="42"/>
    </row>
    <row r="37" spans="1:15" x14ac:dyDescent="0.25">
      <c r="A37" s="62" t="str">
        <f>IF(COUNTA(DataColumns[[#This Row],[Column Label]:[Quality Code]])&gt;0,IF(MAX(A$11:A36)=0,3,MAX(A$11:A36)+1),"")</f>
        <v/>
      </c>
      <c r="B37" s="10"/>
      <c r="C37" s="23"/>
      <c r="D37" s="11"/>
      <c r="E37" s="11"/>
      <c r="F37" s="11"/>
      <c r="G37" s="11"/>
      <c r="H37" s="11"/>
      <c r="I37" s="11"/>
      <c r="J37" s="11"/>
      <c r="K37" s="11"/>
      <c r="L37" s="11"/>
      <c r="M37" s="11"/>
      <c r="N37" s="11"/>
      <c r="O37" s="42"/>
    </row>
    <row r="38" spans="1:15" x14ac:dyDescent="0.25">
      <c r="A38" s="62" t="str">
        <f>IF(COUNTA(DataColumns[[#This Row],[Column Label]:[Quality Code]])&gt;0,IF(MAX(A$11:A37)=0,3,MAX(A$11:A37)+1),"")</f>
        <v/>
      </c>
      <c r="B38" s="10"/>
      <c r="C38" s="23"/>
      <c r="D38" s="11"/>
      <c r="E38" s="11"/>
      <c r="F38" s="11"/>
      <c r="G38" s="11"/>
      <c r="H38" s="11"/>
      <c r="I38" s="11"/>
      <c r="J38" s="11"/>
      <c r="K38" s="11"/>
      <c r="L38" s="11"/>
      <c r="M38" s="11"/>
      <c r="N38" s="11"/>
      <c r="O38" s="42"/>
    </row>
    <row r="39" spans="1:15" x14ac:dyDescent="0.25">
      <c r="A39" s="62" t="str">
        <f>IF(COUNTA(DataColumns[[#This Row],[Column Label]:[Quality Code]])&gt;0,IF(MAX(A$11:A38)=0,3,MAX(A$11:A38)+1),"")</f>
        <v/>
      </c>
      <c r="B39" s="10"/>
      <c r="C39" s="23"/>
      <c r="D39" s="11"/>
      <c r="E39" s="11"/>
      <c r="F39" s="11"/>
      <c r="G39" s="11"/>
      <c r="H39" s="11"/>
      <c r="I39" s="11"/>
      <c r="J39" s="11"/>
      <c r="K39" s="11"/>
      <c r="L39" s="11"/>
      <c r="M39" s="11"/>
      <c r="N39" s="11"/>
      <c r="O39" s="42"/>
    </row>
    <row r="40" spans="1:15" x14ac:dyDescent="0.25">
      <c r="A40" s="62" t="str">
        <f>IF(COUNTA(DataColumns[[#This Row],[Column Label]:[Quality Code]])&gt;0,IF(MAX(A$11:A39)=0,3,MAX(A$11:A39)+1),"")</f>
        <v/>
      </c>
      <c r="B40" s="10"/>
      <c r="C40" s="23"/>
      <c r="D40" s="11"/>
      <c r="E40" s="11"/>
      <c r="F40" s="11"/>
      <c r="G40" s="11"/>
      <c r="H40" s="11"/>
      <c r="I40" s="11"/>
      <c r="J40" s="11"/>
      <c r="K40" s="11"/>
      <c r="L40" s="11"/>
      <c r="M40" s="11"/>
      <c r="N40" s="11"/>
      <c r="O40" s="42"/>
    </row>
    <row r="41" spans="1:15" x14ac:dyDescent="0.25">
      <c r="A41" s="62" t="str">
        <f>IF(COUNTA(DataColumns[[#This Row],[Column Label]:[Quality Code]])&gt;0,IF(MAX(A$11:A40)=0,3,MAX(A$11:A40)+1),"")</f>
        <v/>
      </c>
      <c r="B41" s="10"/>
      <c r="C41" s="23"/>
      <c r="D41" s="11"/>
      <c r="E41" s="11"/>
      <c r="F41" s="11"/>
      <c r="G41" s="11"/>
      <c r="H41" s="11"/>
      <c r="I41" s="11"/>
      <c r="J41" s="11"/>
      <c r="K41" s="11"/>
      <c r="L41" s="11"/>
      <c r="M41" s="11"/>
      <c r="N41" s="11"/>
      <c r="O41" s="42"/>
    </row>
    <row r="42" spans="1:15" x14ac:dyDescent="0.25">
      <c r="A42" s="62" t="str">
        <f>IF(COUNTA(DataColumns[[#This Row],[Column Label]:[Quality Code]])&gt;0,IF(MAX(A$11:A41)=0,3,MAX(A$11:A41)+1),"")</f>
        <v/>
      </c>
      <c r="B42" s="10"/>
      <c r="C42" s="23"/>
      <c r="D42" s="11"/>
      <c r="E42" s="11"/>
      <c r="F42" s="11"/>
      <c r="G42" s="11"/>
      <c r="H42" s="11"/>
      <c r="I42" s="11"/>
      <c r="J42" s="11"/>
      <c r="K42" s="11"/>
      <c r="L42" s="11"/>
      <c r="M42" s="11"/>
      <c r="N42" s="11"/>
      <c r="O42" s="42"/>
    </row>
    <row r="43" spans="1:15" x14ac:dyDescent="0.25">
      <c r="A43" s="62" t="str">
        <f>IF(COUNTA(DataColumns[[#This Row],[Column Label]:[Quality Code]])&gt;0,IF(MAX(A$11:A42)=0,3,MAX(A$11:A42)+1),"")</f>
        <v/>
      </c>
      <c r="B43" s="10"/>
      <c r="C43" s="23"/>
      <c r="D43" s="11"/>
      <c r="E43" s="11"/>
      <c r="F43" s="11"/>
      <c r="G43" s="11"/>
      <c r="H43" s="11"/>
      <c r="I43" s="11"/>
      <c r="J43" s="11"/>
      <c r="K43" s="11"/>
      <c r="L43" s="11"/>
      <c r="M43" s="11"/>
      <c r="N43" s="11"/>
      <c r="O43" s="42"/>
    </row>
    <row r="44" spans="1:15" x14ac:dyDescent="0.25">
      <c r="A44" s="62" t="str">
        <f>IF(COUNTA(DataColumns[[#This Row],[Column Label]:[Quality Code]])&gt;0,IF(MAX(A$11:A43)=0,3,MAX(A$11:A43)+1),"")</f>
        <v/>
      </c>
      <c r="B44" s="10"/>
      <c r="C44" s="23"/>
      <c r="D44" s="11"/>
      <c r="E44" s="11"/>
      <c r="F44" s="11"/>
      <c r="G44" s="11"/>
      <c r="H44" s="11"/>
      <c r="I44" s="11"/>
      <c r="J44" s="11"/>
      <c r="K44" s="11"/>
      <c r="L44" s="11"/>
      <c r="M44" s="11"/>
      <c r="N44" s="11"/>
      <c r="O44" s="42"/>
    </row>
    <row r="45" spans="1:15" x14ac:dyDescent="0.25">
      <c r="A45" s="62" t="str">
        <f>IF(COUNTA(DataColumns[[#This Row],[Column Label]:[Quality Code]])&gt;0,IF(MAX(A$11:A44)=0,3,MAX(A$11:A44)+1),"")</f>
        <v/>
      </c>
      <c r="B45" s="10"/>
      <c r="C45" s="23"/>
      <c r="D45" s="11"/>
      <c r="E45" s="11"/>
      <c r="F45" s="11"/>
      <c r="G45" s="11"/>
      <c r="H45" s="11"/>
      <c r="I45" s="11"/>
      <c r="J45" s="11"/>
      <c r="K45" s="11"/>
      <c r="L45" s="11"/>
      <c r="M45" s="11"/>
      <c r="N45" s="11"/>
      <c r="O45" s="42"/>
    </row>
    <row r="46" spans="1:15" x14ac:dyDescent="0.25">
      <c r="A46" s="62" t="str">
        <f>IF(COUNTA(DataColumns[[#This Row],[Column Label]:[Quality Code]])&gt;0,IF(MAX(A$11:A45)=0,3,MAX(A$11:A45)+1),"")</f>
        <v/>
      </c>
      <c r="B46" s="10"/>
      <c r="C46" s="23"/>
      <c r="D46" s="11"/>
      <c r="E46" s="11"/>
      <c r="F46" s="11"/>
      <c r="G46" s="11"/>
      <c r="H46" s="11"/>
      <c r="I46" s="11"/>
      <c r="J46" s="11"/>
      <c r="K46" s="11"/>
      <c r="L46" s="11"/>
      <c r="M46" s="11"/>
      <c r="N46" s="11"/>
      <c r="O46" s="42"/>
    </row>
    <row r="47" spans="1:15" x14ac:dyDescent="0.25">
      <c r="A47" s="62" t="str">
        <f>IF(COUNTA(DataColumns[[#This Row],[Column Label]:[Quality Code]])&gt;0,IF(MAX(A$11:A46)=0,3,MAX(A$11:A46)+1),"")</f>
        <v/>
      </c>
      <c r="B47" s="10"/>
      <c r="C47" s="23"/>
      <c r="D47" s="11"/>
      <c r="E47" s="11"/>
      <c r="F47" s="11"/>
      <c r="G47" s="11"/>
      <c r="H47" s="11"/>
      <c r="I47" s="11"/>
      <c r="J47" s="11"/>
      <c r="K47" s="11"/>
      <c r="L47" s="11"/>
      <c r="M47" s="11"/>
      <c r="N47" s="11"/>
      <c r="O47" s="42"/>
    </row>
    <row r="48" spans="1:15" x14ac:dyDescent="0.25">
      <c r="A48" s="62" t="str">
        <f>IF(COUNTA(DataColumns[[#This Row],[Column Label]:[Quality Code]])&gt;0,IF(MAX(A$11:A47)=0,3,MAX(A$11:A47)+1),"")</f>
        <v/>
      </c>
      <c r="B48" s="10"/>
      <c r="C48" s="23"/>
      <c r="D48" s="11"/>
      <c r="E48" s="11"/>
      <c r="F48" s="11"/>
      <c r="G48" s="11"/>
      <c r="H48" s="11"/>
      <c r="I48" s="11"/>
      <c r="J48" s="11"/>
      <c r="K48" s="11"/>
      <c r="L48" s="11"/>
      <c r="M48" s="11"/>
      <c r="N48" s="11"/>
      <c r="O48" s="42"/>
    </row>
    <row r="49" spans="1:15" x14ac:dyDescent="0.25">
      <c r="A49" s="62" t="str">
        <f>IF(COUNTA(DataColumns[[#This Row],[Column Label]:[Quality Code]])&gt;0,IF(MAX(A$11:A48)=0,3,MAX(A$11:A48)+1),"")</f>
        <v/>
      </c>
      <c r="B49" s="10"/>
      <c r="C49" s="23"/>
      <c r="D49" s="11"/>
      <c r="E49" s="11"/>
      <c r="F49" s="11"/>
      <c r="G49" s="11"/>
      <c r="H49" s="11"/>
      <c r="I49" s="11"/>
      <c r="J49" s="11"/>
      <c r="K49" s="11"/>
      <c r="L49" s="11"/>
      <c r="M49" s="11"/>
      <c r="N49" s="11"/>
      <c r="O49" s="42"/>
    </row>
    <row r="50" spans="1:15" x14ac:dyDescent="0.25">
      <c r="A50" s="62" t="str">
        <f>IF(COUNTA(DataColumns[[#This Row],[Column Label]:[Quality Code]])&gt;0,IF(MAX(A$11:A49)=0,3,MAX(A$11:A49)+1),"")</f>
        <v/>
      </c>
      <c r="B50" s="10"/>
      <c r="C50" s="23"/>
      <c r="D50" s="11"/>
      <c r="E50" s="11"/>
      <c r="F50" s="11"/>
      <c r="G50" s="11"/>
      <c r="H50" s="11"/>
      <c r="I50" s="11"/>
      <c r="J50" s="11"/>
      <c r="K50" s="11"/>
      <c r="L50" s="11"/>
      <c r="M50" s="11"/>
      <c r="N50" s="11"/>
      <c r="O50" s="42"/>
    </row>
    <row r="51" spans="1:15" x14ac:dyDescent="0.25">
      <c r="A51" s="62" t="str">
        <f>IF(COUNTA(DataColumns[[#This Row],[Column Label]:[Quality Code]])&gt;0,IF(MAX(A$11:A50)=0,3,MAX(A$11:A50)+1),"")</f>
        <v/>
      </c>
      <c r="B51" s="10"/>
      <c r="C51" s="23"/>
      <c r="D51" s="11"/>
      <c r="E51" s="11"/>
      <c r="F51" s="11"/>
      <c r="G51" s="11"/>
      <c r="H51" s="11"/>
      <c r="I51" s="11"/>
      <c r="J51" s="11"/>
      <c r="K51" s="11"/>
      <c r="L51" s="11"/>
      <c r="M51" s="11"/>
      <c r="N51" s="11"/>
      <c r="O51" s="42"/>
    </row>
    <row r="52" spans="1:15" x14ac:dyDescent="0.25">
      <c r="A52" s="62" t="str">
        <f>IF(COUNTA(DataColumns[[#This Row],[Column Label]:[Quality Code]])&gt;0,IF(MAX(A$11:A51)=0,3,MAX(A$11:A51)+1),"")</f>
        <v/>
      </c>
      <c r="B52" s="10"/>
      <c r="C52" s="23"/>
      <c r="D52" s="11"/>
      <c r="E52" s="11"/>
      <c r="F52" s="11"/>
      <c r="G52" s="11"/>
      <c r="H52" s="11"/>
      <c r="I52" s="11"/>
      <c r="J52" s="11"/>
      <c r="K52" s="11"/>
      <c r="L52" s="11"/>
      <c r="M52" s="11"/>
      <c r="N52" s="11"/>
      <c r="O52" s="42"/>
    </row>
    <row r="53" spans="1:15" x14ac:dyDescent="0.25">
      <c r="A53" s="62" t="str">
        <f>IF(COUNTA(DataColumns[[#This Row],[Column Label]:[Quality Code]])&gt;0,IF(MAX(A$11:A52)=0,3,MAX(A$11:A52)+1),"")</f>
        <v/>
      </c>
      <c r="B53" s="10"/>
      <c r="C53" s="23"/>
      <c r="D53" s="11"/>
      <c r="E53" s="11"/>
      <c r="F53" s="11"/>
      <c r="G53" s="11"/>
      <c r="H53" s="11"/>
      <c r="I53" s="11"/>
      <c r="J53" s="11"/>
      <c r="K53" s="11"/>
      <c r="L53" s="11"/>
      <c r="M53" s="11"/>
      <c r="N53" s="11"/>
      <c r="O53" s="42"/>
    </row>
    <row r="54" spans="1:15" x14ac:dyDescent="0.25">
      <c r="A54" s="62" t="str">
        <f>IF(COUNTA(DataColumns[[#This Row],[Column Label]:[Quality Code]])&gt;0,IF(MAX(A$11:A53)=0,3,MAX(A$11:A53)+1),"")</f>
        <v/>
      </c>
      <c r="B54" s="10"/>
      <c r="C54" s="23"/>
      <c r="D54" s="11"/>
      <c r="E54" s="11"/>
      <c r="F54" s="11"/>
      <c r="G54" s="11"/>
      <c r="H54" s="11"/>
      <c r="I54" s="11"/>
      <c r="J54" s="11"/>
      <c r="K54" s="11"/>
      <c r="L54" s="11"/>
      <c r="M54" s="11"/>
      <c r="N54" s="11"/>
      <c r="O54" s="42"/>
    </row>
    <row r="55" spans="1:15" x14ac:dyDescent="0.25">
      <c r="A55" s="62" t="str">
        <f>IF(COUNTA(DataColumns[[#This Row],[Column Label]:[Quality Code]])&gt;0,IF(MAX(A$11:A54)=0,3,MAX(A$11:A54)+1),"")</f>
        <v/>
      </c>
      <c r="B55" s="10"/>
      <c r="C55" s="23"/>
      <c r="D55" s="11"/>
      <c r="E55" s="11"/>
      <c r="F55" s="11"/>
      <c r="G55" s="11"/>
      <c r="H55" s="11"/>
      <c r="I55" s="11"/>
      <c r="J55" s="11"/>
      <c r="K55" s="11"/>
      <c r="L55" s="11"/>
      <c r="M55" s="11"/>
      <c r="N55" s="11"/>
      <c r="O55" s="42"/>
    </row>
    <row r="56" spans="1:15" x14ac:dyDescent="0.25">
      <c r="A56" s="62" t="str">
        <f>IF(COUNTA(DataColumns[[#This Row],[Column Label]:[Quality Code]])&gt;0,IF(MAX(A$11:A55)=0,3,MAX(A$11:A55)+1),"")</f>
        <v/>
      </c>
      <c r="B56" s="10"/>
      <c r="C56" s="23"/>
      <c r="D56" s="11"/>
      <c r="E56" s="11"/>
      <c r="F56" s="11"/>
      <c r="G56" s="11"/>
      <c r="H56" s="11"/>
      <c r="I56" s="11"/>
      <c r="J56" s="11"/>
      <c r="K56" s="11"/>
      <c r="L56" s="11"/>
      <c r="M56" s="11"/>
      <c r="N56" s="11"/>
      <c r="O56" s="42"/>
    </row>
    <row r="57" spans="1:15" x14ac:dyDescent="0.25">
      <c r="A57" s="62" t="str">
        <f>IF(COUNTA(DataColumns[[#This Row],[Column Label]:[Quality Code]])&gt;0,IF(MAX(A$11:A56)=0,3,MAX(A$11:A56)+1),"")</f>
        <v/>
      </c>
      <c r="B57" s="10"/>
      <c r="C57" s="23"/>
      <c r="D57" s="11"/>
      <c r="E57" s="11"/>
      <c r="F57" s="11"/>
      <c r="G57" s="11"/>
      <c r="H57" s="11"/>
      <c r="I57" s="11"/>
      <c r="J57" s="11"/>
      <c r="K57" s="11"/>
      <c r="L57" s="11"/>
      <c r="M57" s="11"/>
      <c r="N57" s="11"/>
      <c r="O57" s="42"/>
    </row>
    <row r="58" spans="1:15" x14ac:dyDescent="0.25">
      <c r="A58" s="62" t="str">
        <f>IF(COUNTA(DataColumns[[#This Row],[Column Label]:[Quality Code]])&gt;0,IF(MAX(A$11:A57)=0,3,MAX(A$11:A57)+1),"")</f>
        <v/>
      </c>
      <c r="B58" s="10"/>
      <c r="C58" s="23"/>
      <c r="D58" s="11"/>
      <c r="E58" s="11"/>
      <c r="F58" s="11"/>
      <c r="G58" s="11"/>
      <c r="H58" s="11"/>
      <c r="I58" s="11"/>
      <c r="J58" s="11"/>
      <c r="K58" s="11"/>
      <c r="L58" s="11"/>
      <c r="M58" s="11"/>
      <c r="N58" s="11"/>
      <c r="O58" s="42"/>
    </row>
    <row r="59" spans="1:15" x14ac:dyDescent="0.25">
      <c r="A59" s="62" t="str">
        <f>IF(COUNTA(DataColumns[[#This Row],[Column Label]:[Quality Code]])&gt;0,IF(MAX(A$11:A58)=0,3,MAX(A$11:A58)+1),"")</f>
        <v/>
      </c>
      <c r="B59" s="10"/>
      <c r="C59" s="23"/>
      <c r="D59" s="11"/>
      <c r="E59" s="11"/>
      <c r="F59" s="11"/>
      <c r="G59" s="11"/>
      <c r="H59" s="11"/>
      <c r="I59" s="11"/>
      <c r="J59" s="11"/>
      <c r="K59" s="11"/>
      <c r="L59" s="11"/>
      <c r="M59" s="11"/>
      <c r="N59" s="11"/>
      <c r="O59" s="42"/>
    </row>
    <row r="60" spans="1:15" x14ac:dyDescent="0.25">
      <c r="A60" s="62" t="str">
        <f>IF(COUNTA(DataColumns[[#This Row],[Column Label]:[Quality Code]])&gt;0,IF(MAX(A$11:A59)=0,3,MAX(A$11:A59)+1),"")</f>
        <v/>
      </c>
      <c r="B60" s="10"/>
      <c r="C60" s="23"/>
      <c r="D60" s="11"/>
      <c r="E60" s="11"/>
      <c r="F60" s="11"/>
      <c r="G60" s="11"/>
      <c r="H60" s="11"/>
      <c r="I60" s="11"/>
      <c r="J60" s="11"/>
      <c r="K60" s="11"/>
      <c r="L60" s="11"/>
      <c r="M60" s="11"/>
      <c r="N60" s="11"/>
      <c r="O60" s="42"/>
    </row>
    <row r="61" spans="1:15" x14ac:dyDescent="0.25">
      <c r="A61" s="62" t="str">
        <f>IF(COUNTA(DataColumns[[#This Row],[Column Label]:[Quality Code]])&gt;0,IF(MAX(A$11:A60)=0,3,MAX(A$11:A60)+1),"")</f>
        <v/>
      </c>
      <c r="B61" s="10"/>
      <c r="C61" s="23"/>
      <c r="D61" s="11"/>
      <c r="E61" s="11"/>
      <c r="F61" s="11"/>
      <c r="G61" s="11"/>
      <c r="H61" s="11"/>
      <c r="I61" s="11"/>
      <c r="J61" s="11"/>
      <c r="K61" s="11"/>
      <c r="L61" s="11"/>
      <c r="M61" s="11"/>
      <c r="N61" s="11"/>
      <c r="O61" s="42"/>
    </row>
    <row r="62" spans="1:15" x14ac:dyDescent="0.25">
      <c r="A62" s="62" t="str">
        <f>IF(COUNTA(DataColumns[[#This Row],[Column Label]:[Quality Code]])&gt;0,IF(MAX(A$11:A61)=0,3,MAX(A$11:A61)+1),"")</f>
        <v/>
      </c>
      <c r="B62" s="10"/>
      <c r="C62" s="23"/>
      <c r="D62" s="11"/>
      <c r="E62" s="11"/>
      <c r="F62" s="11"/>
      <c r="G62" s="11"/>
      <c r="H62" s="11"/>
      <c r="I62" s="11"/>
      <c r="J62" s="11"/>
      <c r="K62" s="11"/>
      <c r="L62" s="11"/>
      <c r="M62" s="11"/>
      <c r="N62" s="11"/>
      <c r="O62" s="42"/>
    </row>
    <row r="63" spans="1:15" x14ac:dyDescent="0.25">
      <c r="A63" s="62" t="str">
        <f>IF(COUNTA(DataColumns[[#This Row],[Column Label]:[Quality Code]])&gt;0,IF(MAX(A$11:A62)=0,3,MAX(A$11:A62)+1),"")</f>
        <v/>
      </c>
      <c r="B63" s="10"/>
      <c r="C63" s="23"/>
      <c r="D63" s="11"/>
      <c r="E63" s="11"/>
      <c r="F63" s="11"/>
      <c r="G63" s="11"/>
      <c r="H63" s="11"/>
      <c r="I63" s="11"/>
      <c r="J63" s="11"/>
      <c r="K63" s="11"/>
      <c r="L63" s="11"/>
      <c r="M63" s="11"/>
      <c r="N63" s="11"/>
      <c r="O63" s="42"/>
    </row>
    <row r="64" spans="1:15" x14ac:dyDescent="0.25">
      <c r="A64" s="62" t="str">
        <f>IF(COUNTA(DataColumns[[#This Row],[Column Label]:[Quality Code]])&gt;0,IF(MAX(A$11:A63)=0,3,MAX(A$11:A63)+1),"")</f>
        <v/>
      </c>
      <c r="B64" s="10"/>
      <c r="C64" s="23"/>
      <c r="D64" s="11"/>
      <c r="E64" s="11"/>
      <c r="F64" s="11"/>
      <c r="G64" s="11"/>
      <c r="H64" s="11"/>
      <c r="I64" s="11"/>
      <c r="J64" s="11"/>
      <c r="K64" s="11"/>
      <c r="L64" s="11"/>
      <c r="M64" s="11"/>
      <c r="N64" s="11"/>
      <c r="O64" s="42"/>
    </row>
    <row r="65" spans="1:15" x14ac:dyDescent="0.25">
      <c r="A65" s="62" t="str">
        <f>IF(COUNTA(DataColumns[[#This Row],[Column Label]:[Quality Code]])&gt;0,IF(MAX(A$11:A64)=0,3,MAX(A$11:A64)+1),"")</f>
        <v/>
      </c>
      <c r="B65" s="10"/>
      <c r="C65" s="23"/>
      <c r="D65" s="11"/>
      <c r="E65" s="11"/>
      <c r="F65" s="11"/>
      <c r="G65" s="11"/>
      <c r="H65" s="11"/>
      <c r="I65" s="11"/>
      <c r="J65" s="11"/>
      <c r="K65" s="11"/>
      <c r="L65" s="11"/>
      <c r="M65" s="11"/>
      <c r="N65" s="11"/>
      <c r="O65" s="42"/>
    </row>
    <row r="66" spans="1:15" x14ac:dyDescent="0.25">
      <c r="A66" s="62" t="str">
        <f>IF(COUNTA(DataColumns[[#This Row],[Column Label]:[Quality Code]])&gt;0,IF(MAX(A$11:A65)=0,3,MAX(A$11:A65)+1),"")</f>
        <v/>
      </c>
      <c r="B66" s="10"/>
      <c r="C66" s="23"/>
      <c r="D66" s="11"/>
      <c r="E66" s="11"/>
      <c r="F66" s="11"/>
      <c r="G66" s="11"/>
      <c r="H66" s="11"/>
      <c r="I66" s="11"/>
      <c r="J66" s="11"/>
      <c r="K66" s="11"/>
      <c r="L66" s="11"/>
      <c r="M66" s="11"/>
      <c r="N66" s="11"/>
      <c r="O66" s="42"/>
    </row>
    <row r="67" spans="1:15" x14ac:dyDescent="0.25">
      <c r="A67" s="62" t="str">
        <f>IF(COUNTA(DataColumns[[#This Row],[Column Label]:[Quality Code]])&gt;0,IF(MAX(A$11:A66)=0,3,MAX(A$11:A66)+1),"")</f>
        <v/>
      </c>
      <c r="B67" s="10"/>
      <c r="C67" s="23"/>
      <c r="D67" s="11"/>
      <c r="E67" s="11"/>
      <c r="F67" s="11"/>
      <c r="G67" s="11"/>
      <c r="H67" s="11"/>
      <c r="I67" s="11"/>
      <c r="J67" s="11"/>
      <c r="K67" s="11"/>
      <c r="L67" s="11"/>
      <c r="M67" s="11"/>
      <c r="N67" s="11"/>
      <c r="O67" s="42"/>
    </row>
    <row r="68" spans="1:15" x14ac:dyDescent="0.25">
      <c r="A68" s="62" t="str">
        <f>IF(COUNTA(DataColumns[[#This Row],[Column Label]:[Quality Code]])&gt;0,IF(MAX(A$11:A67)=0,3,MAX(A$11:A67)+1),"")</f>
        <v/>
      </c>
      <c r="B68" s="10"/>
      <c r="C68" s="23"/>
      <c r="D68" s="11"/>
      <c r="E68" s="11"/>
      <c r="F68" s="11"/>
      <c r="G68" s="11"/>
      <c r="H68" s="11"/>
      <c r="I68" s="11"/>
      <c r="J68" s="11"/>
      <c r="K68" s="11"/>
      <c r="L68" s="11"/>
      <c r="M68" s="11"/>
      <c r="N68" s="11"/>
      <c r="O68" s="42"/>
    </row>
    <row r="69" spans="1:15" x14ac:dyDescent="0.25">
      <c r="A69" s="62" t="str">
        <f>IF(COUNTA(DataColumns[[#This Row],[Column Label]:[Quality Code]])&gt;0,IF(MAX(A$11:A68)=0,3,MAX(A$11:A68)+1),"")</f>
        <v/>
      </c>
      <c r="B69" s="10"/>
      <c r="C69" s="23"/>
      <c r="D69" s="11"/>
      <c r="E69" s="11"/>
      <c r="F69" s="11"/>
      <c r="G69" s="11"/>
      <c r="H69" s="11"/>
      <c r="I69" s="11"/>
      <c r="J69" s="11"/>
      <c r="K69" s="11"/>
      <c r="L69" s="11"/>
      <c r="M69" s="11"/>
      <c r="N69" s="11"/>
      <c r="O69" s="42"/>
    </row>
    <row r="70" spans="1:15" x14ac:dyDescent="0.25">
      <c r="A70" s="62" t="str">
        <f>IF(COUNTA(DataColumns[[#This Row],[Column Label]:[Quality Code]])&gt;0,IF(MAX(A$11:A69)=0,3,MAX(A$11:A69)+1),"")</f>
        <v/>
      </c>
      <c r="B70" s="10"/>
      <c r="C70" s="23"/>
      <c r="D70" s="11"/>
      <c r="E70" s="11"/>
      <c r="F70" s="11"/>
      <c r="G70" s="11"/>
      <c r="H70" s="11"/>
      <c r="I70" s="11"/>
      <c r="J70" s="11"/>
      <c r="K70" s="11"/>
      <c r="L70" s="11"/>
      <c r="M70" s="11"/>
      <c r="N70" s="11"/>
      <c r="O70" s="42"/>
    </row>
    <row r="71" spans="1:15" x14ac:dyDescent="0.25">
      <c r="A71" s="62" t="str">
        <f>IF(COUNTA(DataColumns[[#This Row],[Column Label]:[Quality Code]])&gt;0,IF(MAX(A$11:A70)=0,3,MAX(A$11:A70)+1),"")</f>
        <v/>
      </c>
      <c r="B71" s="10"/>
      <c r="C71" s="23"/>
      <c r="D71" s="11"/>
      <c r="E71" s="11"/>
      <c r="F71" s="11"/>
      <c r="G71" s="11"/>
      <c r="H71" s="11"/>
      <c r="I71" s="11"/>
      <c r="J71" s="11"/>
      <c r="K71" s="11"/>
      <c r="L71" s="11"/>
      <c r="M71" s="11"/>
      <c r="N71" s="11"/>
      <c r="O71" s="42"/>
    </row>
    <row r="72" spans="1:15" x14ac:dyDescent="0.25">
      <c r="A72" s="62" t="str">
        <f>IF(COUNTA(DataColumns[[#This Row],[Column Label]:[Quality Code]])&gt;0,IF(MAX(A$11:A71)=0,3,MAX(A$11:A71)+1),"")</f>
        <v/>
      </c>
      <c r="B72" s="10"/>
      <c r="C72" s="23"/>
      <c r="D72" s="11"/>
      <c r="E72" s="11"/>
      <c r="F72" s="11"/>
      <c r="G72" s="11"/>
      <c r="H72" s="11"/>
      <c r="I72" s="11"/>
      <c r="J72" s="11"/>
      <c r="K72" s="11"/>
      <c r="L72" s="11"/>
      <c r="M72" s="11"/>
      <c r="N72" s="11"/>
      <c r="O72" s="42"/>
    </row>
    <row r="73" spans="1:15" x14ac:dyDescent="0.25">
      <c r="A73" s="62" t="str">
        <f>IF(COUNTA(DataColumns[[#This Row],[Column Label]:[Quality Code]])&gt;0,IF(MAX(A$11:A72)=0,3,MAX(A$11:A72)+1),"")</f>
        <v/>
      </c>
      <c r="B73" s="10"/>
      <c r="C73" s="23"/>
      <c r="D73" s="11"/>
      <c r="E73" s="11"/>
      <c r="F73" s="11"/>
      <c r="G73" s="11"/>
      <c r="H73" s="11"/>
      <c r="I73" s="11"/>
      <c r="J73" s="11"/>
      <c r="K73" s="11"/>
      <c r="L73" s="11"/>
      <c r="M73" s="11"/>
      <c r="N73" s="11"/>
      <c r="O73" s="42"/>
    </row>
    <row r="74" spans="1:15" x14ac:dyDescent="0.25">
      <c r="A74" s="62" t="str">
        <f>IF(COUNTA(DataColumns[[#This Row],[Column Label]:[Quality Code]])&gt;0,IF(MAX(A$11:A73)=0,3,MAX(A$11:A73)+1),"")</f>
        <v/>
      </c>
      <c r="B74" s="10"/>
      <c r="C74" s="23"/>
      <c r="D74" s="11"/>
      <c r="E74" s="11"/>
      <c r="F74" s="11"/>
      <c r="G74" s="11"/>
      <c r="H74" s="11"/>
      <c r="I74" s="11"/>
      <c r="J74" s="11"/>
      <c r="K74" s="11"/>
      <c r="L74" s="11"/>
      <c r="M74" s="11"/>
      <c r="N74" s="11"/>
      <c r="O74" s="42"/>
    </row>
    <row r="75" spans="1:15" x14ac:dyDescent="0.25">
      <c r="A75" s="62" t="str">
        <f>IF(COUNTA(DataColumns[[#This Row],[Column Label]:[Quality Code]])&gt;0,IF(MAX(A$11:A74)=0,3,MAX(A$11:A74)+1),"")</f>
        <v/>
      </c>
      <c r="B75" s="10"/>
      <c r="C75" s="23"/>
      <c r="D75" s="11"/>
      <c r="E75" s="11"/>
      <c r="F75" s="11"/>
      <c r="G75" s="11"/>
      <c r="H75" s="11"/>
      <c r="I75" s="11"/>
      <c r="J75" s="11"/>
      <c r="K75" s="11"/>
      <c r="L75" s="11"/>
      <c r="M75" s="11"/>
      <c r="N75" s="11"/>
      <c r="O75" s="42"/>
    </row>
    <row r="76" spans="1:15" x14ac:dyDescent="0.25">
      <c r="A76" s="62" t="str">
        <f>IF(COUNTA(DataColumns[[#This Row],[Column Label]:[Quality Code]])&gt;0,IF(MAX(A$11:A75)=0,3,MAX(A$11:A75)+1),"")</f>
        <v/>
      </c>
      <c r="B76" s="10"/>
      <c r="C76" s="23"/>
      <c r="D76" s="11"/>
      <c r="E76" s="11"/>
      <c r="F76" s="11"/>
      <c r="G76" s="11"/>
      <c r="H76" s="11"/>
      <c r="I76" s="11"/>
      <c r="J76" s="11"/>
      <c r="K76" s="11"/>
      <c r="L76" s="11"/>
      <c r="M76" s="11"/>
      <c r="N76" s="11"/>
      <c r="O76" s="42"/>
    </row>
    <row r="77" spans="1:15" x14ac:dyDescent="0.25">
      <c r="A77" s="62" t="str">
        <f>IF(COUNTA(DataColumns[[#This Row],[Column Label]:[Quality Code]])&gt;0,IF(MAX(A$11:A76)=0,3,MAX(A$11:A76)+1),"")</f>
        <v/>
      </c>
      <c r="B77" s="10"/>
      <c r="C77" s="23"/>
      <c r="D77" s="11"/>
      <c r="E77" s="11"/>
      <c r="F77" s="11"/>
      <c r="G77" s="11"/>
      <c r="H77" s="11"/>
      <c r="I77" s="11"/>
      <c r="J77" s="11"/>
      <c r="K77" s="11"/>
      <c r="L77" s="11"/>
      <c r="M77" s="11"/>
      <c r="N77" s="11"/>
      <c r="O77" s="42"/>
    </row>
    <row r="78" spans="1:15" x14ac:dyDescent="0.25">
      <c r="A78" s="62" t="str">
        <f>IF(COUNTA(DataColumns[[#This Row],[Column Label]:[Quality Code]])&gt;0,IF(MAX(A$11:A77)=0,3,MAX(A$11:A77)+1),"")</f>
        <v/>
      </c>
      <c r="B78" s="10"/>
      <c r="C78" s="23"/>
      <c r="D78" s="11"/>
      <c r="E78" s="11"/>
      <c r="F78" s="11"/>
      <c r="G78" s="11"/>
      <c r="H78" s="11"/>
      <c r="I78" s="11"/>
      <c r="J78" s="11"/>
      <c r="K78" s="11"/>
      <c r="L78" s="11"/>
      <c r="M78" s="11"/>
      <c r="N78" s="11"/>
      <c r="O78" s="42"/>
    </row>
    <row r="79" spans="1:15" x14ac:dyDescent="0.25">
      <c r="A79" s="62" t="str">
        <f>IF(COUNTA(DataColumns[[#This Row],[Column Label]:[Quality Code]])&gt;0,IF(MAX(A$11:A78)=0,3,MAX(A$11:A78)+1),"")</f>
        <v/>
      </c>
      <c r="B79" s="10"/>
      <c r="C79" s="23"/>
      <c r="D79" s="11"/>
      <c r="E79" s="11"/>
      <c r="F79" s="11"/>
      <c r="G79" s="11"/>
      <c r="H79" s="11"/>
      <c r="I79" s="11"/>
      <c r="J79" s="11"/>
      <c r="K79" s="11"/>
      <c r="L79" s="11"/>
      <c r="M79" s="11"/>
      <c r="N79" s="11"/>
      <c r="O79" s="42"/>
    </row>
    <row r="80" spans="1:15" x14ac:dyDescent="0.25">
      <c r="A80" s="62" t="str">
        <f>IF(COUNTA(DataColumns[[#This Row],[Column Label]:[Quality Code]])&gt;0,IF(MAX(A$11:A79)=0,3,MAX(A$11:A79)+1),"")</f>
        <v/>
      </c>
      <c r="B80" s="10"/>
      <c r="C80" s="23"/>
      <c r="D80" s="11"/>
      <c r="E80" s="11"/>
      <c r="F80" s="11"/>
      <c r="G80" s="11"/>
      <c r="H80" s="11"/>
      <c r="I80" s="11"/>
      <c r="J80" s="11"/>
      <c r="K80" s="11"/>
      <c r="L80" s="11"/>
      <c r="M80" s="11"/>
      <c r="N80" s="11"/>
      <c r="O80" s="42"/>
    </row>
    <row r="81" spans="1:15" x14ac:dyDescent="0.25">
      <c r="A81" s="62" t="str">
        <f>IF(COUNTA(DataColumns[[#This Row],[Column Label]:[Quality Code]])&gt;0,IF(MAX(A$11:A80)=0,3,MAX(A$11:A80)+1),"")</f>
        <v/>
      </c>
      <c r="B81" s="10"/>
      <c r="C81" s="23"/>
      <c r="D81" s="11"/>
      <c r="E81" s="11"/>
      <c r="F81" s="11"/>
      <c r="G81" s="11"/>
      <c r="H81" s="11"/>
      <c r="I81" s="11"/>
      <c r="J81" s="11"/>
      <c r="K81" s="11"/>
      <c r="L81" s="11"/>
      <c r="M81" s="11"/>
      <c r="N81" s="11"/>
      <c r="O81" s="42"/>
    </row>
    <row r="82" spans="1:15" x14ac:dyDescent="0.25">
      <c r="A82" s="62" t="str">
        <f>IF(COUNTA(DataColumns[[#This Row],[Column Label]:[Quality Code]])&gt;0,IF(MAX(A$11:A81)=0,3,MAX(A$11:A81)+1),"")</f>
        <v/>
      </c>
      <c r="B82" s="10"/>
      <c r="C82" s="23"/>
      <c r="D82" s="11"/>
      <c r="E82" s="11"/>
      <c r="F82" s="11"/>
      <c r="G82" s="11"/>
      <c r="H82" s="11"/>
      <c r="I82" s="11"/>
      <c r="J82" s="11"/>
      <c r="K82" s="11"/>
      <c r="L82" s="11"/>
      <c r="M82" s="11"/>
      <c r="N82" s="11"/>
      <c r="O82" s="42"/>
    </row>
    <row r="83" spans="1:15" x14ac:dyDescent="0.25">
      <c r="A83" s="62" t="str">
        <f>IF(COUNTA(DataColumns[[#This Row],[Column Label]:[Quality Code]])&gt;0,IF(MAX(A$11:A82)=0,3,MAX(A$11:A82)+1),"")</f>
        <v/>
      </c>
      <c r="B83" s="10"/>
      <c r="C83" s="23"/>
      <c r="D83" s="11"/>
      <c r="E83" s="11"/>
      <c r="F83" s="11"/>
      <c r="G83" s="11"/>
      <c r="H83" s="11"/>
      <c r="I83" s="11"/>
      <c r="J83" s="11"/>
      <c r="K83" s="11"/>
      <c r="L83" s="11"/>
      <c r="M83" s="11"/>
      <c r="N83" s="11"/>
      <c r="O83" s="42"/>
    </row>
    <row r="84" spans="1:15" x14ac:dyDescent="0.25">
      <c r="A84" s="62" t="str">
        <f>IF(COUNTA(DataColumns[[#This Row],[Column Label]:[Quality Code]])&gt;0,IF(MAX(A$11:A83)=0,3,MAX(A$11:A83)+1),"")</f>
        <v/>
      </c>
      <c r="B84" s="10"/>
      <c r="C84" s="23"/>
      <c r="D84" s="11"/>
      <c r="E84" s="11"/>
      <c r="F84" s="11"/>
      <c r="G84" s="11"/>
      <c r="H84" s="11"/>
      <c r="I84" s="11"/>
      <c r="J84" s="11"/>
      <c r="K84" s="11"/>
      <c r="L84" s="11"/>
      <c r="M84" s="11"/>
      <c r="N84" s="11"/>
      <c r="O84" s="42"/>
    </row>
    <row r="85" spans="1:15" x14ac:dyDescent="0.25">
      <c r="A85" s="62" t="str">
        <f>IF(COUNTA(DataColumns[[#This Row],[Column Label]:[Quality Code]])&gt;0,IF(MAX(A$11:A84)=0,3,MAX(A$11:A84)+1),"")</f>
        <v/>
      </c>
      <c r="B85" s="10"/>
      <c r="C85" s="23"/>
      <c r="D85" s="11"/>
      <c r="E85" s="11"/>
      <c r="F85" s="11"/>
      <c r="G85" s="11"/>
      <c r="H85" s="11"/>
      <c r="I85" s="11"/>
      <c r="J85" s="11"/>
      <c r="K85" s="11"/>
      <c r="L85" s="11"/>
      <c r="M85" s="11"/>
      <c r="N85" s="11"/>
      <c r="O85" s="42"/>
    </row>
    <row r="86" spans="1:15" x14ac:dyDescent="0.25">
      <c r="A86" s="62" t="str">
        <f>IF(COUNTA(DataColumns[[#This Row],[Column Label]:[Quality Code]])&gt;0,IF(MAX(A$11:A85)=0,3,MAX(A$11:A85)+1),"")</f>
        <v/>
      </c>
      <c r="B86" s="10"/>
      <c r="C86" s="23"/>
      <c r="D86" s="11"/>
      <c r="E86" s="11"/>
      <c r="F86" s="11"/>
      <c r="G86" s="11"/>
      <c r="H86" s="11"/>
      <c r="I86" s="11"/>
      <c r="J86" s="11"/>
      <c r="K86" s="11"/>
      <c r="L86" s="11"/>
      <c r="M86" s="11"/>
      <c r="N86" s="11"/>
      <c r="O86" s="42"/>
    </row>
    <row r="87" spans="1:15" x14ac:dyDescent="0.25">
      <c r="A87" s="62" t="str">
        <f>IF(COUNTA(DataColumns[[#This Row],[Column Label]:[Quality Code]])&gt;0,IF(MAX(A$11:A86)=0,3,MAX(A$11:A86)+1),"")</f>
        <v/>
      </c>
      <c r="B87" s="10"/>
      <c r="C87" s="23"/>
      <c r="D87" s="11"/>
      <c r="E87" s="11"/>
      <c r="F87" s="11"/>
      <c r="G87" s="11"/>
      <c r="H87" s="11"/>
      <c r="I87" s="11"/>
      <c r="J87" s="11"/>
      <c r="K87" s="11"/>
      <c r="L87" s="11"/>
      <c r="M87" s="11"/>
      <c r="N87" s="11"/>
      <c r="O87" s="42"/>
    </row>
    <row r="88" spans="1:15" x14ac:dyDescent="0.25">
      <c r="A88" s="62" t="str">
        <f>IF(COUNTA(DataColumns[[#This Row],[Column Label]:[Quality Code]])&gt;0,IF(MAX(A$11:A87)=0,3,MAX(A$11:A87)+1),"")</f>
        <v/>
      </c>
      <c r="B88" s="10"/>
      <c r="C88" s="23"/>
      <c r="D88" s="11"/>
      <c r="E88" s="11"/>
      <c r="F88" s="11"/>
      <c r="G88" s="11"/>
      <c r="H88" s="11"/>
      <c r="I88" s="11"/>
      <c r="J88" s="11"/>
      <c r="K88" s="11"/>
      <c r="L88" s="11"/>
      <c r="M88" s="11"/>
      <c r="N88" s="11"/>
      <c r="O88" s="42"/>
    </row>
    <row r="89" spans="1:15" x14ac:dyDescent="0.25">
      <c r="A89" s="62" t="str">
        <f>IF(COUNTA(DataColumns[[#This Row],[Column Label]:[Quality Code]])&gt;0,IF(MAX(A$11:A88)=0,3,MAX(A$11:A88)+1),"")</f>
        <v/>
      </c>
      <c r="B89" s="10"/>
      <c r="C89" s="23"/>
      <c r="D89" s="11"/>
      <c r="E89" s="11"/>
      <c r="F89" s="11"/>
      <c r="G89" s="11"/>
      <c r="H89" s="11"/>
      <c r="I89" s="11"/>
      <c r="J89" s="11"/>
      <c r="K89" s="11"/>
      <c r="L89" s="11"/>
      <c r="M89" s="11"/>
      <c r="N89" s="11"/>
      <c r="O89" s="42"/>
    </row>
    <row r="90" spans="1:15" x14ac:dyDescent="0.25">
      <c r="A90" s="62" t="str">
        <f>IF(COUNTA(DataColumns[[#This Row],[Column Label]:[Quality Code]])&gt;0,IF(MAX(A$11:A89)=0,3,MAX(A$11:A89)+1),"")</f>
        <v/>
      </c>
      <c r="B90" s="10"/>
      <c r="C90" s="23"/>
      <c r="D90" s="11"/>
      <c r="E90" s="11"/>
      <c r="F90" s="11"/>
      <c r="G90" s="11"/>
      <c r="H90" s="11"/>
      <c r="I90" s="11"/>
      <c r="J90" s="11"/>
      <c r="K90" s="11"/>
      <c r="L90" s="11"/>
      <c r="M90" s="11"/>
      <c r="N90" s="11"/>
      <c r="O90" s="42"/>
    </row>
    <row r="91" spans="1:15" x14ac:dyDescent="0.25">
      <c r="A91" s="62" t="str">
        <f>IF(COUNTA(DataColumns[[#This Row],[Column Label]:[Quality Code]])&gt;0,IF(MAX(A$11:A90)=0,3,MAX(A$11:A90)+1),"")</f>
        <v/>
      </c>
      <c r="B91" s="10"/>
      <c r="C91" s="23"/>
      <c r="D91" s="11"/>
      <c r="E91" s="11"/>
      <c r="F91" s="11"/>
      <c r="G91" s="11"/>
      <c r="H91" s="11"/>
      <c r="I91" s="11"/>
      <c r="J91" s="11"/>
      <c r="K91" s="11"/>
      <c r="L91" s="11"/>
      <c r="M91" s="11"/>
      <c r="N91" s="11"/>
      <c r="O91" s="42"/>
    </row>
    <row r="92" spans="1:15" x14ac:dyDescent="0.25">
      <c r="A92" s="62" t="str">
        <f>IF(COUNTA(DataColumns[[#This Row],[Column Label]:[Quality Code]])&gt;0,IF(MAX(A$11:A91)=0,3,MAX(A$11:A91)+1),"")</f>
        <v/>
      </c>
      <c r="B92" s="10"/>
      <c r="C92" s="23"/>
      <c r="D92" s="11"/>
      <c r="E92" s="11"/>
      <c r="F92" s="11"/>
      <c r="G92" s="11"/>
      <c r="H92" s="11"/>
      <c r="I92" s="11"/>
      <c r="J92" s="11"/>
      <c r="K92" s="11"/>
      <c r="L92" s="11"/>
      <c r="M92" s="11"/>
      <c r="N92" s="11"/>
      <c r="O92" s="42"/>
    </row>
    <row r="93" spans="1:15" x14ac:dyDescent="0.25">
      <c r="A93" s="62" t="str">
        <f>IF(COUNTA(DataColumns[[#This Row],[Column Label]:[Quality Code]])&gt;0,IF(MAX(A$11:A92)=0,3,MAX(A$11:A92)+1),"")</f>
        <v/>
      </c>
      <c r="B93" s="10"/>
      <c r="C93" s="23"/>
      <c r="D93" s="11"/>
      <c r="E93" s="11"/>
      <c r="F93" s="11"/>
      <c r="G93" s="11"/>
      <c r="H93" s="11"/>
      <c r="I93" s="11"/>
      <c r="J93" s="11"/>
      <c r="K93" s="11"/>
      <c r="L93" s="11"/>
      <c r="M93" s="11"/>
      <c r="N93" s="11"/>
      <c r="O93" s="42"/>
    </row>
    <row r="94" spans="1:15" x14ac:dyDescent="0.25">
      <c r="A94" s="62" t="str">
        <f>IF(COUNTA(DataColumns[[#This Row],[Column Label]:[Quality Code]])&gt;0,IF(MAX(A$11:A93)=0,3,MAX(A$11:A93)+1),"")</f>
        <v/>
      </c>
      <c r="B94" s="10"/>
      <c r="C94" s="23"/>
      <c r="D94" s="11"/>
      <c r="E94" s="11"/>
      <c r="F94" s="11"/>
      <c r="G94" s="11"/>
      <c r="H94" s="11"/>
      <c r="I94" s="11"/>
      <c r="J94" s="11"/>
      <c r="K94" s="11"/>
      <c r="L94" s="11"/>
      <c r="M94" s="11"/>
      <c r="N94" s="11"/>
      <c r="O94" s="42"/>
    </row>
    <row r="95" spans="1:15" x14ac:dyDescent="0.25">
      <c r="A95" s="62" t="str">
        <f>IF(COUNTA(DataColumns[[#This Row],[Column Label]:[Quality Code]])&gt;0,IF(MAX(A$11:A94)=0,3,MAX(A$11:A94)+1),"")</f>
        <v/>
      </c>
      <c r="B95" s="10"/>
      <c r="C95" s="23"/>
      <c r="D95" s="11"/>
      <c r="E95" s="11"/>
      <c r="F95" s="11"/>
      <c r="G95" s="11"/>
      <c r="H95" s="11"/>
      <c r="I95" s="11"/>
      <c r="J95" s="11"/>
      <c r="K95" s="11"/>
      <c r="L95" s="11"/>
      <c r="M95" s="11"/>
      <c r="N95" s="11"/>
      <c r="O95" s="42"/>
    </row>
    <row r="96" spans="1:15" x14ac:dyDescent="0.25">
      <c r="A96" s="62" t="str">
        <f>IF(COUNTA(DataColumns[[#This Row],[Column Label]:[Quality Code]])&gt;0,IF(MAX(A$11:A95)=0,3,MAX(A$11:A95)+1),"")</f>
        <v/>
      </c>
      <c r="B96" s="10"/>
      <c r="C96" s="23"/>
      <c r="D96" s="11"/>
      <c r="E96" s="11"/>
      <c r="F96" s="11"/>
      <c r="G96" s="11"/>
      <c r="H96" s="11"/>
      <c r="I96" s="11"/>
      <c r="J96" s="11"/>
      <c r="K96" s="11"/>
      <c r="L96" s="11"/>
      <c r="M96" s="11"/>
      <c r="N96" s="11"/>
      <c r="O96" s="42"/>
    </row>
    <row r="97" spans="1:15" x14ac:dyDescent="0.25">
      <c r="A97" s="62" t="str">
        <f>IF(COUNTA(DataColumns[[#This Row],[Column Label]:[Quality Code]])&gt;0,IF(MAX(A$11:A96)=0,3,MAX(A$11:A96)+1),"")</f>
        <v/>
      </c>
      <c r="B97" s="10"/>
      <c r="C97" s="23"/>
      <c r="D97" s="11"/>
      <c r="E97" s="11"/>
      <c r="F97" s="11"/>
      <c r="G97" s="11"/>
      <c r="H97" s="11"/>
      <c r="I97" s="11"/>
      <c r="J97" s="11"/>
      <c r="K97" s="11"/>
      <c r="L97" s="11"/>
      <c r="M97" s="11"/>
      <c r="N97" s="11"/>
      <c r="O97" s="42"/>
    </row>
    <row r="98" spans="1:15" ht="15.75" thickBot="1" x14ac:dyDescent="0.3">
      <c r="A98" s="64" t="str">
        <f>IF(COUNTA(DataColumns[[#This Row],[Column Label]:[Quality Code]])&gt;0,IF(MAX(A$11:A97)=0,3,MAX(A$11:A97)+1),"")</f>
        <v/>
      </c>
      <c r="B98" s="14"/>
      <c r="C98" s="26"/>
      <c r="D98" s="15"/>
      <c r="E98" s="15"/>
      <c r="F98" s="15"/>
      <c r="G98" s="15"/>
      <c r="H98" s="15"/>
      <c r="I98" s="15"/>
      <c r="J98" s="15"/>
      <c r="K98" s="15"/>
      <c r="L98" s="15"/>
      <c r="M98" s="15"/>
      <c r="N98" s="15"/>
      <c r="O98" s="44"/>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8"/>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6" width="15.42578125" style="28" customWidth="1"/>
    <col min="27" max="27" width="17.140625" style="28" customWidth="1"/>
    <col min="28" max="28" width="18.42578125" style="28" bestFit="1" customWidth="1"/>
    <col min="29" max="29" width="24.140625" style="28" bestFit="1" customWidth="1"/>
    <col min="30" max="30" width="20.7109375" style="28" bestFit="1" customWidth="1"/>
    <col min="31" max="31" width="26.5703125" style="28" bestFit="1" customWidth="1"/>
    <col min="32" max="32" width="40.140625" style="28" bestFit="1" customWidth="1"/>
    <col min="33" max="33" width="78.140625" style="28" bestFit="1" customWidth="1"/>
    <col min="34" max="34" width="20.7109375" style="28" bestFit="1" customWidth="1"/>
    <col min="35" max="16384" width="8.85546875" style="28"/>
  </cols>
  <sheetData>
    <row r="1" spans="1:35" x14ac:dyDescent="0.25">
      <c r="A1" s="28" t="s">
        <v>247</v>
      </c>
      <c r="B1" s="28" t="s">
        <v>236</v>
      </c>
      <c r="C1" s="28" t="s">
        <v>237</v>
      </c>
      <c r="D1" s="28" t="s">
        <v>239</v>
      </c>
      <c r="E1" s="28" t="s">
        <v>1370</v>
      </c>
      <c r="F1" s="28" t="s">
        <v>1350</v>
      </c>
      <c r="G1" s="28" t="s">
        <v>238</v>
      </c>
      <c r="H1" s="28" t="s">
        <v>1361</v>
      </c>
      <c r="I1" s="28" t="s">
        <v>240</v>
      </c>
      <c r="J1" s="28" t="s">
        <v>241</v>
      </c>
      <c r="K1" s="28" t="s">
        <v>1360</v>
      </c>
      <c r="L1" s="28" t="s">
        <v>242</v>
      </c>
      <c r="M1" s="28" t="s">
        <v>243</v>
      </c>
      <c r="N1" s="28" t="s">
        <v>244</v>
      </c>
      <c r="O1" s="28" t="s">
        <v>245</v>
      </c>
      <c r="P1" s="28" t="s">
        <v>1362</v>
      </c>
      <c r="Q1" s="28" t="s">
        <v>246</v>
      </c>
      <c r="R1" s="28" t="s">
        <v>248</v>
      </c>
      <c r="S1" s="28" t="s">
        <v>265</v>
      </c>
      <c r="T1" s="28" t="s">
        <v>266</v>
      </c>
      <c r="U1" s="28" t="s">
        <v>270</v>
      </c>
      <c r="V1" s="28" t="s">
        <v>1105</v>
      </c>
      <c r="W1" s="28" t="s">
        <v>260</v>
      </c>
      <c r="X1" s="28" t="s">
        <v>1227</v>
      </c>
      <c r="Y1" s="28" t="s">
        <v>1232</v>
      </c>
      <c r="Z1" s="28" t="s">
        <v>1233</v>
      </c>
      <c r="AA1" s="28" t="s">
        <v>1238</v>
      </c>
      <c r="AB1" s="28" t="s">
        <v>1241</v>
      </c>
      <c r="AC1" s="28" t="s">
        <v>1243</v>
      </c>
      <c r="AD1" s="28" t="s">
        <v>1244</v>
      </c>
      <c r="AE1" s="28" t="s">
        <v>1245</v>
      </c>
      <c r="AF1" s="28" t="s">
        <v>1255</v>
      </c>
      <c r="AG1" s="28" t="s">
        <v>1256</v>
      </c>
      <c r="AH1" s="28" t="s">
        <v>1276</v>
      </c>
    </row>
    <row r="2" spans="1:35" x14ac:dyDescent="0.25">
      <c r="A2" s="28" t="s">
        <v>1107</v>
      </c>
      <c r="B2" s="28">
        <v>2</v>
      </c>
      <c r="C2" s="28">
        <v>2</v>
      </c>
      <c r="D2" s="28">
        <f>MAX(NumOrganizations+1,2)</f>
        <v>2</v>
      </c>
      <c r="E2" s="28">
        <f>IF(AND(CitationDOI="",NumORCIDs=0,NumIGSNs=0),1,3)</f>
        <v>1</v>
      </c>
      <c r="F2" s="28">
        <f>IF(AND(CitationDOI="",NumORCIDs=0,NumIGSNs=0),1,4)</f>
        <v>1</v>
      </c>
      <c r="G2" s="28">
        <f>MAX(NumPeople+1,2)</f>
        <v>2</v>
      </c>
      <c r="H2" s="28">
        <f>IF(NumORCIDs=0,1,MAX(NumORCIDs+1,2))</f>
        <v>1</v>
      </c>
      <c r="I2" s="28">
        <f>MAX(NumOrganizations+1,NumPeople+1,2)</f>
        <v>2</v>
      </c>
      <c r="J2" s="28">
        <f>IF(COUNTA(CitationInformation)=0,1,2)</f>
        <v>1</v>
      </c>
      <c r="K2" s="28">
        <f>IF(CitationDOI="",1,2)</f>
        <v>1</v>
      </c>
      <c r="L2" s="28">
        <f>NumAuthors+1</f>
        <v>1</v>
      </c>
      <c r="M2" s="28">
        <f>IF(COUNTA(CitationInformation)=0,1,2)</f>
        <v>1</v>
      </c>
      <c r="N2" s="28">
        <v>2</v>
      </c>
      <c r="O2" s="28">
        <f>MAX(NumSamplingFeatures+1,2)</f>
        <v>2</v>
      </c>
      <c r="P2" s="28">
        <f>IF(NumIGSNs=0,1,MAX(NumIGSNs+1,2))</f>
        <v>1</v>
      </c>
      <c r="Q2" s="28">
        <f>IF(NumSites=0,1,NumSites+1)</f>
        <v>1</v>
      </c>
      <c r="R2" s="28">
        <f>IF(NumSpecimens=0,1,NumSpecimens+1)</f>
        <v>1</v>
      </c>
      <c r="S2" s="28">
        <f>IF(NumSpatialOffsets=0,1,NumSpatialOffsets+1)</f>
        <v>1</v>
      </c>
      <c r="T2" s="28">
        <f>IF(NumRelatedFeatures=0,1,NumRelatedFeatures+1)</f>
        <v>1</v>
      </c>
      <c r="U2" s="28">
        <f>MAX(NumMethods+1,2)</f>
        <v>2</v>
      </c>
      <c r="V2" s="28">
        <f>MAX(NumVariables+1,2)</f>
        <v>2</v>
      </c>
      <c r="W2" s="28">
        <v>1</v>
      </c>
      <c r="X2" s="28">
        <f>MAX(NumProcessingLevels+1,2)</f>
        <v>6</v>
      </c>
      <c r="Y2" s="28">
        <f>MAX(NumDataColumns+1,2)</f>
        <v>2</v>
      </c>
      <c r="Z2" s="28">
        <f>MAX(NumDataColumns+1,2)</f>
        <v>2</v>
      </c>
      <c r="AA2" s="28">
        <f>MAX(NumDataColumns+1,2)</f>
        <v>2</v>
      </c>
      <c r="AB2" s="28">
        <f>MAX(NumDataColumns+1,2)</f>
        <v>2</v>
      </c>
      <c r="AC2" s="28">
        <f>IF(NumDataColumns&lt;1,5,NumDataColumns+4)</f>
        <v>5</v>
      </c>
      <c r="AD2" s="28">
        <v>1</v>
      </c>
      <c r="AE2" s="28">
        <v>1</v>
      </c>
      <c r="AF2" s="28">
        <v>1</v>
      </c>
      <c r="AG2" s="28">
        <f>IF(NumDataValues=0,3,2)</f>
        <v>3</v>
      </c>
    </row>
    <row r="3" spans="1:35" x14ac:dyDescent="0.25">
      <c r="A3" s="28">
        <f t="shared" ref="A3:A8" si="0">ROW()-3</f>
        <v>0</v>
      </c>
      <c r="B3" s="28" t="s">
        <v>136</v>
      </c>
      <c r="C3" s="28" t="s">
        <v>1281</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8" t="str">
        <f>IF(AND(CitationDOI="",NumORCIDs=0,NumIGSNs=0),"","ExternalIdentifierSystems:")</f>
        <v/>
      </c>
      <c r="G3" s="28" t="s">
        <v>189</v>
      </c>
      <c r="H3" s="28" t="str">
        <f>IF(NumORCIDs=0,"","PersonExternalIdentifiers:")</f>
        <v/>
      </c>
      <c r="I3" s="28" t="s">
        <v>192</v>
      </c>
      <c r="J3" s="28" t="str">
        <f>IF(COUNTA(CitationInformation)=0,"","Citation:")</f>
        <v/>
      </c>
      <c r="K3" s="28" t="str">
        <f>IF(CitationDOI="","","CitationExternalIdentifiers:")</f>
        <v/>
      </c>
      <c r="L3" s="28" t="str">
        <f>IF(NumAuthors=0,"","AuthorList:")</f>
        <v/>
      </c>
      <c r="M3" s="28" t="str">
        <f>IF(COUNTA(CitationInformation)=0,"","DataSetCitations:")</f>
        <v/>
      </c>
      <c r="N3" s="28" t="s">
        <v>234</v>
      </c>
      <c r="O3" s="28" t="s">
        <v>235</v>
      </c>
      <c r="P3" s="28" t="str">
        <f>IF(NumIGSNs=0,"","SamplingFeaturesExternalIdentifiers:")</f>
        <v/>
      </c>
      <c r="Q3" s="28" t="str">
        <f>IF(MAX(Sites[SiteID])=0,"","Sites:")</f>
        <v/>
      </c>
      <c r="R3" s="28" t="str">
        <f>IF(MAX(Specimens[SpecimenID])=0,"","Specimens:")</f>
        <v/>
      </c>
      <c r="S3" s="28" t="str">
        <f>IF(NumSpatialOffsets=0,"","Spatialoffsets:")</f>
        <v/>
      </c>
      <c r="T3" s="28" t="str">
        <f>IF(NumRelatedFeatures=0,"","RelatedFeatures:")</f>
        <v/>
      </c>
      <c r="U3" s="28" t="s">
        <v>295</v>
      </c>
      <c r="V3" s="28" t="s">
        <v>1106</v>
      </c>
      <c r="W3" s="28" t="str">
        <f>""</f>
        <v/>
      </c>
      <c r="X3" s="28" t="s">
        <v>1228</v>
      </c>
      <c r="Y3" s="28" t="s">
        <v>1235</v>
      </c>
      <c r="Z3" s="28" t="s">
        <v>1237</v>
      </c>
      <c r="AA3" s="28" t="s">
        <v>1239</v>
      </c>
      <c r="AB3" s="28" t="s">
        <v>1240</v>
      </c>
      <c r="AC3" s="28" t="s">
        <v>1242</v>
      </c>
      <c r="AD3" s="28" t="str">
        <f>""</f>
        <v/>
      </c>
      <c r="AE3" s="28" t="str">
        <f>""</f>
        <v/>
      </c>
      <c r="AF3" s="28" t="s">
        <v>1254</v>
      </c>
      <c r="AG3" s="28" t="s">
        <v>1257</v>
      </c>
      <c r="AH3" s="28" t="s">
        <v>1280</v>
      </c>
      <c r="AI3" s="28">
        <f>MAX(B2:AG2)</f>
        <v>6</v>
      </c>
    </row>
    <row r="4" spans="1:35" x14ac:dyDescent="0.25">
      <c r="A4" s="28">
        <f t="shared" si="0"/>
        <v>1</v>
      </c>
      <c r="B4" s="28" t="str">
        <f>CONCATENATE("YODA: {Version: 1.0.0, Profile: TimeSeries, DateCreated: ",CHAR(34),TEXT(TODAY(),"yyyy-mm-dd"),CHAR(34),", DateUpdated: ",CHAR(34),TEXT(TODAY(),"yyyy-mm-dd"),CHAR(34),"}")</f>
        <v>YODA: {Version: 1.0.0, Profile: TimeSeries, DateCreated: "2015-03-12", DateUpdated: "2015-03-12"}</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8" t="str">
        <f>IF(COUNTA(CitationInformation)=0,"",
CONCATENATE("  - {",
"DataSetObj: *DataSetID0001",
", CitationObj: *CitationID0001",
IF(DatasetCitationRelationship="","PLEASE FILL IN THE RELATIONSHIP BETWEEN THE DATASET AND THE CITATION",CONCATENATE(", RelationshipTypeCV: ",DatasetCitationRelationship)),
"}"))</f>
        <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C4" s="28" t="s">
        <v>1247</v>
      </c>
      <c r="AF4" s="28" t="str">
        <f>IF(INDEX(DataColumns[Column Label],ROW()-3)="",
"PLEASE FILL IN METADATA FOR AT LEAST ONE DATA COLUMN",
INDEX(DataColumns[Column Label],ROW()-3))</f>
        <v>PLEASE FILL IN METADATA FOR AT LEAST ONE DATA COLUMN</v>
      </c>
      <c r="AG4" s="28" t="str">
        <f>IF(INDEX(DataColumns[Col '#],ROW()-3)="",
"PLEASE FILL IN METADATA FOR AT LEAST ONE DATA COLUMN",
CONCATENATE("ValueDateTime",", ","ValueDateTimeUTCOffset",", ",INDIRECT(CONCATENATE("R",NumDataColumns+1,"C[-1]"),FALSE)," ],["))</f>
        <v>PLEASE FILL IN METADATA FOR AT LEAST ONE DATA COLUMN</v>
      </c>
      <c r="AH4" s="28" t="s">
        <v>1277</v>
      </c>
      <c r="AI4" s="28">
        <f>SUM(B2:AG2)</f>
        <v>56</v>
      </c>
    </row>
    <row r="5" spans="1:35"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8" t="str">
        <f>IF(COUNTA(CitationInformation)=0,"",
IF(ROW()-3&gt;NumAuthors,"",
CONCATENATE("  - &amp;AuthorListID",TEXT(ROW()-3,"0000"),
"  {CitationObj: *CitationID0001",
", PersonObj: *PersonID",TEXT(MATCH(INDEX(AuthorList[Author Name],ROW()-3),People[Full Name],0),"0000"),
", AuthorOrder: ",INDEX(AuthorList[Author Number],ROW()-3),"}")))</f>
        <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5" s="28" t="s">
        <v>1248</v>
      </c>
      <c r="AF5" s="28" t="str">
        <f>IF(ROW()-3&gt;NumDataColumns,
"",
CONCATENATE(AF4,", ",INDEX(DataColumns[Column Label],ROW()-3)))</f>
        <v/>
      </c>
      <c r="AG5" s="28" t="str">
        <f>IF(NumDataValues=0,"PLEASE FILL IN DATA IN THE DATA VALUES WORKSHEET","")</f>
        <v>PLEASE FILL IN DATA IN THE DATA VALUES WORKSHEET</v>
      </c>
      <c r="AH5" s="28" t="s">
        <v>1278</v>
      </c>
      <c r="AI5" s="28">
        <f>COUNT('Data Values'!C2:C91844)</f>
        <v>0</v>
      </c>
    </row>
    <row r="6" spans="1:35"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6" s="28" t="s">
        <v>1249</v>
      </c>
      <c r="AF6" s="28" t="str">
        <f>IF(ROW()-3&gt;NumDataColumns,
"",
CONCATENATE(AF5,", ",INDEX(DataColumns[Column Label],ROW()-3)))</f>
        <v/>
      </c>
    </row>
    <row r="7" spans="1:35"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F7" s="28" t="str">
        <f>IF(ROW()-3&gt;NumDataColumns,
"",
CONCATENATE(AF6,", ",INDEX(DataColumns[Column Label],ROW()-3)))</f>
        <v/>
      </c>
    </row>
    <row r="8" spans="1:35"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8" s="28"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59"/>
  <sheetViews>
    <sheetView workbookViewId="0">
      <selection activeCell="D2" sqref="D2:D59"/>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1109</v>
      </c>
      <c r="B1" s="28" t="s">
        <v>1261</v>
      </c>
      <c r="C1" s="28" t="s">
        <v>1110</v>
      </c>
      <c r="D1" s="28" t="s">
        <v>1108</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"2015-03-12", DateUpdated: "2015-03-12"}</v>
      </c>
    </row>
    <row r="4" spans="1:4" x14ac:dyDescent="0.25">
      <c r="A4" s="28">
        <f t="shared" ref="A4:A57" si="0">IF(C3=INDIRECT(CONCATENATE("'YODA Header Blocks'!R2C",A3+1,":R2C",A3+1),FALSE),A3+1,A3)</f>
        <v>2</v>
      </c>
      <c r="B4" s="28" t="str">
        <f>OFFSET('YODA Header Blocks'!$A$1,0,A4)</f>
        <v>Dataset</v>
      </c>
      <c r="C4" s="28">
        <f t="shared" ref="C4:C57" si="1">IF(C3=SUM(INDIRECT(CONCATENATE("'YODA Header Blocks'!R2C",A3+1,":R2C",A3+1),FALSE)),1,C3+1)</f>
        <v>1</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si="0"/>
        <v>2</v>
      </c>
      <c r="B5" s="28" t="str">
        <f>OFFSET('YODA Header Blocks'!$A$1,0,A5)</f>
        <v>Dataset</v>
      </c>
      <c r="C5" s="28">
        <f t="shared" si="1"/>
        <v>2</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6" spans="1:4" x14ac:dyDescent="0.25">
      <c r="A6" s="28">
        <f t="shared" si="0"/>
        <v>3</v>
      </c>
      <c r="B6" s="28" t="str">
        <f>OFFSET('YODA Header Blocks'!$A$1,0,A6)</f>
        <v>Organizations</v>
      </c>
      <c r="C6" s="28">
        <f t="shared" si="1"/>
        <v>1</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si="0"/>
        <v>3</v>
      </c>
      <c r="B7" s="28" t="str">
        <f>OFFSET('YODA Header Blocks'!$A$1,0,A7)</f>
        <v>Organizations</v>
      </c>
      <c r="C7" s="28">
        <f t="shared" si="1"/>
        <v>2</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28">
        <f t="shared" si="0"/>
        <v>4</v>
      </c>
      <c r="B8" s="28" t="str">
        <f>OFFSET('YODA Header Blocks'!$A$1,0,A8)</f>
        <v>External Identifier Organizations</v>
      </c>
      <c r="C8" s="28">
        <f t="shared" si="1"/>
        <v>1</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28">
        <f t="shared" si="0"/>
        <v>5</v>
      </c>
      <c r="B9" s="28" t="str">
        <f>OFFSET('YODA Header Blocks'!$A$1,0,A9)</f>
        <v>External Identifier Systems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8">
        <f t="shared" si="0"/>
        <v>6</v>
      </c>
      <c r="B10" s="28" t="str">
        <f>OFFSET('YODA Header Blocks'!$A$1,0,A10)</f>
        <v>People</v>
      </c>
      <c r="C10" s="28">
        <f t="shared" si="1"/>
        <v>1</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28">
        <f t="shared" si="0"/>
        <v>6</v>
      </c>
      <c r="B11" s="28" t="str">
        <f>OFFSET('YODA Header Blocks'!$A$1,0,A11)</f>
        <v>People</v>
      </c>
      <c r="C11" s="28">
        <f t="shared" si="1"/>
        <v>2</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28">
        <f t="shared" si="0"/>
        <v>7</v>
      </c>
      <c r="B12" s="28" t="str">
        <f>OFFSET('YODA Header Blocks'!$A$1,0,A12)</f>
        <v>Person External Identifiers</v>
      </c>
      <c r="C12" s="28">
        <f t="shared" si="1"/>
        <v>1</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28">
        <f t="shared" si="0"/>
        <v>8</v>
      </c>
      <c r="B13" s="28" t="str">
        <f>OFFSET('YODA Header Blocks'!$A$1,0,A13)</f>
        <v>Affiliations</v>
      </c>
      <c r="C13" s="28">
        <f t="shared" si="1"/>
        <v>1</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Affiliations:</v>
      </c>
    </row>
    <row r="14" spans="1:4" x14ac:dyDescent="0.25">
      <c r="A14" s="28">
        <f t="shared" si="0"/>
        <v>8</v>
      </c>
      <c r="B14" s="28" t="str">
        <f>OFFSET('YODA Header Blocks'!$A$1,0,A14)</f>
        <v>Affiliations</v>
      </c>
      <c r="C14" s="28">
        <f t="shared" si="1"/>
        <v>2</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28">
        <f t="shared" si="0"/>
        <v>9</v>
      </c>
      <c r="B15" s="28" t="str">
        <f>OFFSET('YODA Header Blocks'!$A$1,0,A15)</f>
        <v>Citation</v>
      </c>
      <c r="C15" s="28">
        <f t="shared" si="1"/>
        <v>1</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8">
        <f t="shared" si="0"/>
        <v>10</v>
      </c>
      <c r="B16" s="28" t="str">
        <f>OFFSET('YODA Header Blocks'!$A$1,0,A16)</f>
        <v>Citation External Identifiers</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8">
        <f t="shared" si="0"/>
        <v>11</v>
      </c>
      <c r="B17" s="28" t="str">
        <f>OFFSET('YODA Header Blocks'!$A$1,0,A17)</f>
        <v>AuthorList</v>
      </c>
      <c r="C17" s="28">
        <f t="shared" si="1"/>
        <v>1</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8">
        <f t="shared" si="0"/>
        <v>12</v>
      </c>
      <c r="B18" s="28" t="str">
        <f>OFFSET('YODA Header Blocks'!$A$1,0,A18)</f>
        <v>DatasetCitations</v>
      </c>
      <c r="C18" s="28">
        <f t="shared" si="1"/>
        <v>1</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8">
        <f t="shared" si="0"/>
        <v>13</v>
      </c>
      <c r="B19" s="28" t="str">
        <f>OFFSET('YODA Header Blocks'!$A$1,0,A19)</f>
        <v>Spatial References</v>
      </c>
      <c r="C19" s="28">
        <f t="shared" si="1"/>
        <v>1</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SpatialReferences:</v>
      </c>
    </row>
    <row r="20" spans="1:4" x14ac:dyDescent="0.25">
      <c r="A20" s="28">
        <f t="shared" si="0"/>
        <v>13</v>
      </c>
      <c r="B20" s="28" t="str">
        <f>OFFSET('YODA Header Blocks'!$A$1,0,A20)</f>
        <v>Spatial References</v>
      </c>
      <c r="C20" s="28">
        <f t="shared" si="1"/>
        <v>2</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PLEASE FILL IN A VALID LAT/LONG DATUM</v>
      </c>
    </row>
    <row r="21" spans="1:4" x14ac:dyDescent="0.25">
      <c r="A21" s="28">
        <f t="shared" si="0"/>
        <v>14</v>
      </c>
      <c r="B21" s="28" t="str">
        <f>OFFSET('YODA Header Blocks'!$A$1,0,A21)</f>
        <v>Sampling Features</v>
      </c>
      <c r="C21" s="28">
        <f t="shared" si="1"/>
        <v>1</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SamplingFeatures:</v>
      </c>
    </row>
    <row r="22" spans="1:4" x14ac:dyDescent="0.25">
      <c r="A22" s="28">
        <f t="shared" si="0"/>
        <v>14</v>
      </c>
      <c r="B22" s="28" t="str">
        <f>OFFSET('YODA Header Blocks'!$A$1,0,A22)</f>
        <v>Sampling Features</v>
      </c>
      <c r="C22" s="28">
        <f t="shared" si="1"/>
        <v>2</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PLEASE FILL IN AT LEAST ONE SAMPLING FEATURE</v>
      </c>
    </row>
    <row r="23" spans="1:4" x14ac:dyDescent="0.25">
      <c r="A23" s="28">
        <f t="shared" si="0"/>
        <v>15</v>
      </c>
      <c r="B23" s="28" t="str">
        <f>OFFSET('YODA Header Blocks'!$A$1,0,A23)</f>
        <v>Sampling Feature External Identifiers</v>
      </c>
      <c r="C23" s="28">
        <f t="shared" si="1"/>
        <v>1</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c>
    </row>
    <row r="24" spans="1:4" x14ac:dyDescent="0.25">
      <c r="A24" s="28">
        <f t="shared" si="0"/>
        <v>16</v>
      </c>
      <c r="B24" s="28" t="str">
        <f>OFFSET('YODA Header Blocks'!$A$1,0,A24)</f>
        <v>Sites</v>
      </c>
      <c r="C24" s="28">
        <f t="shared" si="1"/>
        <v>1</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8">
        <f t="shared" si="0"/>
        <v>17</v>
      </c>
      <c r="B25" s="28" t="str">
        <f>OFFSET('YODA Header Blocks'!$A$1,0,A25)</f>
        <v>Specimens</v>
      </c>
      <c r="C25" s="28">
        <f t="shared" si="1"/>
        <v>1</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8">
        <f t="shared" si="0"/>
        <v>18</v>
      </c>
      <c r="B26" s="28" t="str">
        <f>OFFSET('YODA Header Blocks'!$A$1,0,A26)</f>
        <v>SpatialOffsets</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8">
        <f t="shared" si="0"/>
        <v>19</v>
      </c>
      <c r="B27" s="28" t="str">
        <f>OFFSET('YODA Header Blocks'!$A$1,0,A27)</f>
        <v>RelatedFeatures</v>
      </c>
      <c r="C27" s="28">
        <f t="shared" si="1"/>
        <v>1</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8">
        <f t="shared" si="0"/>
        <v>20</v>
      </c>
      <c r="B28" s="28" t="str">
        <f>OFFSET('YODA Header Blocks'!$A$1,0,A28)</f>
        <v>Methods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Methods:</v>
      </c>
    </row>
    <row r="29" spans="1:4" x14ac:dyDescent="0.25">
      <c r="A29" s="28">
        <f t="shared" si="0"/>
        <v>20</v>
      </c>
      <c r="B29" s="28" t="str">
        <f>OFFSET('YODA Header Blocks'!$A$1,0,A29)</f>
        <v>Methods</v>
      </c>
      <c r="C29" s="28">
        <f t="shared" si="1"/>
        <v>2</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METHOD</v>
      </c>
    </row>
    <row r="30" spans="1:4" x14ac:dyDescent="0.25">
      <c r="A30" s="28">
        <f t="shared" si="0"/>
        <v>21</v>
      </c>
      <c r="B30" s="28" t="str">
        <f>OFFSET('YODA Header Blocks'!$A$1,0,A30)</f>
        <v>Variables</v>
      </c>
      <c r="C30" s="28">
        <f t="shared" si="1"/>
        <v>1</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Variables:</v>
      </c>
    </row>
    <row r="31" spans="1:4" x14ac:dyDescent="0.25">
      <c r="A31" s="28">
        <f t="shared" si="0"/>
        <v>21</v>
      </c>
      <c r="B31" s="28" t="str">
        <f>OFFSET('YODA Header Blocks'!$A$1,0,A31)</f>
        <v>Variables</v>
      </c>
      <c r="C31" s="28">
        <f t="shared" si="1"/>
        <v>2</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VARIABLE</v>
      </c>
    </row>
    <row r="32" spans="1:4" x14ac:dyDescent="0.25">
      <c r="A32" s="28">
        <f t="shared" si="0"/>
        <v>22</v>
      </c>
      <c r="B32" s="28" t="str">
        <f>OFFSET('YODA Header Blocks'!$A$1,0,A32)</f>
        <v>Units</v>
      </c>
      <c r="C32" s="28">
        <f t="shared" si="1"/>
        <v>1</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28">
        <f t="shared" si="0"/>
        <v>23</v>
      </c>
      <c r="B33" s="28" t="str">
        <f>OFFSET('YODA Header Blocks'!$A$1,0,A33)</f>
        <v>Processing Levels</v>
      </c>
      <c r="C33" s="28">
        <f t="shared" si="1"/>
        <v>1</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Processing Levels:</v>
      </c>
    </row>
    <row r="34" spans="1:4" x14ac:dyDescent="0.25">
      <c r="A34" s="28">
        <f t="shared" si="0"/>
        <v>23</v>
      </c>
      <c r="B34" s="28" t="str">
        <f>OFFSET('YODA Header Blocks'!$A$1,0,A34)</f>
        <v>Processing Levels</v>
      </c>
      <c r="C34" s="28">
        <f t="shared" si="1"/>
        <v>2</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5" spans="1:4" x14ac:dyDescent="0.25">
      <c r="A35" s="28">
        <f t="shared" si="0"/>
        <v>23</v>
      </c>
      <c r="B35" s="28" t="str">
        <f>OFFSET('YODA Header Blocks'!$A$1,0,A35)</f>
        <v>Processing Levels</v>
      </c>
      <c r="C35" s="28">
        <f t="shared" si="1"/>
        <v>3</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36" spans="1:4" x14ac:dyDescent="0.25">
      <c r="A36" s="28">
        <f t="shared" si="0"/>
        <v>23</v>
      </c>
      <c r="B36" s="28" t="str">
        <f>OFFSET('YODA Header Blocks'!$A$1,0,A36)</f>
        <v>Processing Levels</v>
      </c>
      <c r="C36" s="28">
        <f t="shared" si="1"/>
        <v>4</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7" spans="1:4" x14ac:dyDescent="0.25">
      <c r="A37" s="28">
        <f t="shared" si="0"/>
        <v>23</v>
      </c>
      <c r="B37" s="28" t="str">
        <f>OFFSET('YODA Header Blocks'!$A$1,0,A37)</f>
        <v>Processing Levels</v>
      </c>
      <c r="C37" s="28">
        <f t="shared" si="1"/>
        <v>5</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8" spans="1:4" x14ac:dyDescent="0.25">
      <c r="A38" s="28">
        <f t="shared" si="0"/>
        <v>23</v>
      </c>
      <c r="B38" s="28" t="str">
        <f>OFFSET('YODA Header Blocks'!$A$1,0,A38)</f>
        <v>Processing Levels</v>
      </c>
      <c r="C38" s="28">
        <f t="shared" si="1"/>
        <v>6</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39" spans="1:4" x14ac:dyDescent="0.25">
      <c r="A39" s="28">
        <f t="shared" si="0"/>
        <v>24</v>
      </c>
      <c r="B39" s="28" t="str">
        <f>OFFSET('YODA Header Blocks'!$A$1,0,A39)</f>
        <v>Actions</v>
      </c>
      <c r="C39" s="28">
        <f t="shared" si="1"/>
        <v>1</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Actions:</v>
      </c>
    </row>
    <row r="40" spans="1:4" x14ac:dyDescent="0.25">
      <c r="A40" s="28">
        <f t="shared" si="0"/>
        <v>24</v>
      </c>
      <c r="B40" s="28" t="str">
        <f>OFFSET('YODA Header Blocks'!$A$1,0,A40)</f>
        <v>Actions</v>
      </c>
      <c r="C40" s="28">
        <f t="shared" si="1"/>
        <v>2</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METADATA FOR AT LEAST ONE DATA COLUMN</v>
      </c>
    </row>
    <row r="41" spans="1:4" x14ac:dyDescent="0.25">
      <c r="A41" s="28">
        <f t="shared" si="0"/>
        <v>25</v>
      </c>
      <c r="B41" s="28" t="str">
        <f>OFFSET('YODA Header Blocks'!$A$1,0,A41)</f>
        <v>Feature Actions</v>
      </c>
      <c r="C41" s="28">
        <f t="shared" si="1"/>
        <v>1</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FeatureActions:</v>
      </c>
    </row>
    <row r="42" spans="1:4" x14ac:dyDescent="0.25">
      <c r="A42" s="28">
        <f t="shared" si="0"/>
        <v>25</v>
      </c>
      <c r="B42" s="28" t="str">
        <f>OFFSET('YODA Header Blocks'!$A$1,0,A42)</f>
        <v>Feature Actions</v>
      </c>
      <c r="C42" s="28">
        <f t="shared" si="1"/>
        <v>2</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28">
        <f t="shared" si="0"/>
        <v>26</v>
      </c>
      <c r="B43" s="28" t="str">
        <f>OFFSET('YODA Header Blocks'!$A$1,0,A43)</f>
        <v>Results</v>
      </c>
      <c r="C43" s="28">
        <f t="shared" si="1"/>
        <v>1</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Results:</v>
      </c>
    </row>
    <row r="44" spans="1:4" x14ac:dyDescent="0.25">
      <c r="A44" s="28">
        <f t="shared" si="0"/>
        <v>26</v>
      </c>
      <c r="B44" s="28" t="str">
        <f>OFFSET('YODA Header Blocks'!$A$1,0,A44)</f>
        <v>Results</v>
      </c>
      <c r="C44" s="28">
        <f t="shared" si="1"/>
        <v>2</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PLEASE FILL IN METADATA FOR AT LEAST ONE DATA COLUMN</v>
      </c>
    </row>
    <row r="45" spans="1:4" x14ac:dyDescent="0.25">
      <c r="A45" s="28">
        <f t="shared" si="0"/>
        <v>27</v>
      </c>
      <c r="B45" s="28" t="str">
        <f>OFFSET('YODA Header Blocks'!$A$1,0,A45)</f>
        <v>Time Series Results</v>
      </c>
      <c r="C45" s="28">
        <f t="shared" si="1"/>
        <v>1</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TimeSeriesResults:</v>
      </c>
    </row>
    <row r="46" spans="1:4" x14ac:dyDescent="0.25">
      <c r="A46" s="28">
        <f t="shared" si="0"/>
        <v>27</v>
      </c>
      <c r="B46" s="28" t="str">
        <f>OFFSET('YODA Header Blocks'!$A$1,0,A46)</f>
        <v>Time Series Results</v>
      </c>
      <c r="C46" s="28">
        <f t="shared" si="1"/>
        <v>2</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PLEASE FILL IN METADATA FOR AT LEAST ONE DATA COLUMN</v>
      </c>
    </row>
    <row r="47" spans="1:4" x14ac:dyDescent="0.25">
      <c r="A47" s="28">
        <f t="shared" si="0"/>
        <v>28</v>
      </c>
      <c r="B47" s="28" t="str">
        <f>OFFSET('YODA Header Blocks'!$A$1,0,A47)</f>
        <v>Time Series Result Values</v>
      </c>
      <c r="C47" s="28">
        <f t="shared" si="1"/>
        <v>1</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TimeSeriesResultValues:</v>
      </c>
    </row>
    <row r="48" spans="1:4" x14ac:dyDescent="0.25">
      <c r="A48" s="28">
        <f t="shared" si="0"/>
        <v>28</v>
      </c>
      <c r="B48" s="28" t="str">
        <f>OFFSET('YODA Header Blocks'!$A$1,0,A48)</f>
        <v>Time Series Result Values</v>
      </c>
      <c r="C48" s="28">
        <f t="shared" si="1"/>
        <v>2</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ColumnDefinitions:</v>
      </c>
    </row>
    <row r="49" spans="1:4" x14ac:dyDescent="0.25">
      <c r="A49" s="28">
        <f t="shared" si="0"/>
        <v>28</v>
      </c>
      <c r="B49" s="28" t="str">
        <f>OFFSET('YODA Header Blocks'!$A$1,0,A49)</f>
        <v>Time Series Result Values</v>
      </c>
      <c r="C49" s="28">
        <f t="shared" si="1"/>
        <v>3</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0" spans="1:4" x14ac:dyDescent="0.25">
      <c r="A50" s="28">
        <f t="shared" si="0"/>
        <v>28</v>
      </c>
      <c r="B50" s="28" t="str">
        <f>OFFSET('YODA Header Blocks'!$A$1,0,A50)</f>
        <v>Time Series Result Values</v>
      </c>
      <c r="C50" s="28">
        <f t="shared" si="1"/>
        <v>4</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1" spans="1:4" x14ac:dyDescent="0.25">
      <c r="A51" s="28">
        <f t="shared" si="0"/>
        <v>28</v>
      </c>
      <c r="B51" s="28" t="str">
        <f>OFFSET('YODA Header Blocks'!$A$1,0,A51)</f>
        <v>Time Series Result Values</v>
      </c>
      <c r="C51" s="28">
        <f t="shared" si="1"/>
        <v>5</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METADATA FOR AT LEAST ONE DATA COLUMN</v>
      </c>
    </row>
    <row r="52" spans="1:4" x14ac:dyDescent="0.25">
      <c r="A52" s="28">
        <f t="shared" si="0"/>
        <v>29</v>
      </c>
      <c r="B52" s="28" t="str">
        <f>OFFSET('YODA Header Blocks'!$A$1,0,A52)</f>
        <v>Measurement Results</v>
      </c>
      <c r="C52" s="28">
        <f t="shared" si="1"/>
        <v>1</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c>
    </row>
    <row r="53" spans="1:4" x14ac:dyDescent="0.25">
      <c r="A53" s="28">
        <f t="shared" si="0"/>
        <v>30</v>
      </c>
      <c r="B53" s="28" t="str">
        <f>OFFSET('YODA Header Blocks'!$A$1,0,A53)</f>
        <v>Measurement Result Values</v>
      </c>
      <c r="C53" s="28">
        <f t="shared" si="1"/>
        <v>1</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c>
    </row>
    <row r="54" spans="1:4" x14ac:dyDescent="0.25">
      <c r="A54" s="28">
        <f t="shared" si="0"/>
        <v>31</v>
      </c>
      <c r="B54" s="28" t="str">
        <f>OFFSET('YODA Header Blocks'!$A$1,0,A54)</f>
        <v>Data Helper</v>
      </c>
      <c r="C54" s="28">
        <f t="shared" si="1"/>
        <v>1</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Data:</v>
      </c>
    </row>
    <row r="55" spans="1:4" x14ac:dyDescent="0.25">
      <c r="A55" s="28">
        <f t="shared" si="0"/>
        <v>32</v>
      </c>
      <c r="B55" s="28" t="str">
        <f>OFFSET('YODA Header Blocks'!$A$1,0,A55)</f>
        <v>Data Helper2</v>
      </c>
      <c r="C55" s="28">
        <f t="shared" si="1"/>
        <v>1</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v>
      </c>
    </row>
    <row r="56" spans="1:4" x14ac:dyDescent="0.25">
      <c r="A56" s="28">
        <f t="shared" si="0"/>
        <v>32</v>
      </c>
      <c r="B56" s="28" t="str">
        <f>OFFSET('YODA Header Blocks'!$A$1,0,A56)</f>
        <v>Data Helper2</v>
      </c>
      <c r="C56" s="28">
        <f t="shared" si="1"/>
        <v>2</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PLEASE FILL IN METADATA FOR AT LEAST ONE DATA COLUMN</v>
      </c>
    </row>
    <row r="57" spans="1:4" x14ac:dyDescent="0.25">
      <c r="A57" s="28">
        <f t="shared" si="0"/>
        <v>32</v>
      </c>
      <c r="B57" s="28" t="str">
        <f>OFFSET('YODA Header Blocks'!$A$1,0,A57)</f>
        <v>Data Helper2</v>
      </c>
      <c r="C57" s="28">
        <f t="shared" si="1"/>
        <v>3</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PLEASE FILL IN DATA IN THE DATA VALUES WORKSHEET</v>
      </c>
    </row>
    <row r="58" spans="1:4" x14ac:dyDescent="0.25">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v>
      </c>
    </row>
    <row r="59" spans="1:4" x14ac:dyDescent="0.25">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1"/>
  <sheetViews>
    <sheetView workbookViewId="0">
      <selection sqref="A1:A58"/>
    </sheetView>
  </sheetViews>
  <sheetFormatPr defaultRowHeight="15" x14ac:dyDescent="0.25"/>
  <sheetData>
    <row r="1" spans="1:1" x14ac:dyDescent="0.25">
      <c r="A1" t="s">
        <v>136</v>
      </c>
    </row>
    <row r="2" spans="1:1" x14ac:dyDescent="0.25">
      <c r="A2" t="s">
        <v>1371</v>
      </c>
    </row>
    <row r="3" spans="1:1" x14ac:dyDescent="0.25">
      <c r="A3" t="s">
        <v>1281</v>
      </c>
    </row>
    <row r="4" spans="1:1" x14ac:dyDescent="0.25">
      <c r="A4" t="s">
        <v>1393</v>
      </c>
    </row>
    <row r="5" spans="1:1" x14ac:dyDescent="0.25">
      <c r="A5" t="s">
        <v>191</v>
      </c>
    </row>
    <row r="6" spans="1:1" x14ac:dyDescent="0.25">
      <c r="A6" t="s">
        <v>1381</v>
      </c>
    </row>
    <row r="7" spans="1:1" x14ac:dyDescent="0.25">
      <c r="A7" t="s">
        <v>189</v>
      </c>
    </row>
    <row r="8" spans="1:1" x14ac:dyDescent="0.25">
      <c r="A8" t="s">
        <v>1382</v>
      </c>
    </row>
    <row r="9" spans="1:1" x14ac:dyDescent="0.25">
      <c r="A9" t="s">
        <v>192</v>
      </c>
    </row>
    <row r="10" spans="1:1" x14ac:dyDescent="0.25">
      <c r="A10" t="s">
        <v>234</v>
      </c>
    </row>
    <row r="11" spans="1:1" x14ac:dyDescent="0.25">
      <c r="A11" t="s">
        <v>1383</v>
      </c>
    </row>
    <row r="12" spans="1:1" x14ac:dyDescent="0.25">
      <c r="A12" t="s">
        <v>235</v>
      </c>
    </row>
    <row r="13" spans="1:1" x14ac:dyDescent="0.25">
      <c r="A13" t="s">
        <v>1384</v>
      </c>
    </row>
    <row r="14" spans="1:1" x14ac:dyDescent="0.25">
      <c r="A14" t="s">
        <v>295</v>
      </c>
    </row>
    <row r="15" spans="1:1" x14ac:dyDescent="0.25">
      <c r="A15" t="s">
        <v>1385</v>
      </c>
    </row>
    <row r="16" spans="1:1" x14ac:dyDescent="0.25">
      <c r="A16" t="s">
        <v>1106</v>
      </c>
    </row>
    <row r="17" spans="1:1" x14ac:dyDescent="0.25">
      <c r="A17" t="s">
        <v>1386</v>
      </c>
    </row>
    <row r="18" spans="1:1" x14ac:dyDescent="0.25">
      <c r="A18" t="s">
        <v>1228</v>
      </c>
    </row>
    <row r="19" spans="1:1" x14ac:dyDescent="0.25">
      <c r="A19" t="s">
        <v>1372</v>
      </c>
    </row>
    <row r="20" spans="1:1" x14ac:dyDescent="0.25">
      <c r="A20" t="s">
        <v>1387</v>
      </c>
    </row>
    <row r="21" spans="1:1" x14ac:dyDescent="0.25">
      <c r="A21" t="s">
        <v>1388</v>
      </c>
    </row>
    <row r="22" spans="1:1" x14ac:dyDescent="0.25">
      <c r="A22" t="s">
        <v>1389</v>
      </c>
    </row>
    <row r="23" spans="1:1" x14ac:dyDescent="0.25">
      <c r="A23" t="s">
        <v>1390</v>
      </c>
    </row>
    <row r="24" spans="1:1" x14ac:dyDescent="0.25">
      <c r="A24" t="s">
        <v>1235</v>
      </c>
    </row>
    <row r="25" spans="1:1" x14ac:dyDescent="0.25">
      <c r="A25" t="s">
        <v>1391</v>
      </c>
    </row>
    <row r="26" spans="1:1" x14ac:dyDescent="0.25">
      <c r="A26" t="s">
        <v>1237</v>
      </c>
    </row>
    <row r="27" spans="1:1" x14ac:dyDescent="0.25">
      <c r="A27" t="s">
        <v>1391</v>
      </c>
    </row>
    <row r="28" spans="1:1" x14ac:dyDescent="0.25">
      <c r="A28" t="s">
        <v>1239</v>
      </c>
    </row>
    <row r="29" spans="1:1" x14ac:dyDescent="0.25">
      <c r="A29" t="s">
        <v>1391</v>
      </c>
    </row>
    <row r="30" spans="1:1" x14ac:dyDescent="0.25">
      <c r="A30" t="s">
        <v>1240</v>
      </c>
    </row>
    <row r="31" spans="1:1" x14ac:dyDescent="0.25">
      <c r="A31" t="s">
        <v>1391</v>
      </c>
    </row>
    <row r="32" spans="1:1" x14ac:dyDescent="0.25">
      <c r="A32" t="s">
        <v>1242</v>
      </c>
    </row>
    <row r="33" spans="1:1" x14ac:dyDescent="0.25">
      <c r="A33" t="s">
        <v>1247</v>
      </c>
    </row>
    <row r="34" spans="1:1" x14ac:dyDescent="0.25">
      <c r="A34" t="s">
        <v>1248</v>
      </c>
    </row>
    <row r="35" spans="1:1" x14ac:dyDescent="0.25">
      <c r="A35" t="s">
        <v>1249</v>
      </c>
    </row>
    <row r="36" spans="1:1" x14ac:dyDescent="0.25">
      <c r="A36" t="s">
        <v>1391</v>
      </c>
    </row>
    <row r="37" spans="1:1" x14ac:dyDescent="0.25">
      <c r="A37" t="s">
        <v>1254</v>
      </c>
    </row>
    <row r="38" spans="1:1" x14ac:dyDescent="0.25">
      <c r="A38" t="s">
        <v>1257</v>
      </c>
    </row>
    <row r="39" spans="1:1" x14ac:dyDescent="0.25">
      <c r="A39" t="s">
        <v>1391</v>
      </c>
    </row>
    <row r="40" spans="1:1" x14ac:dyDescent="0.25">
      <c r="A40" t="s">
        <v>1392</v>
      </c>
    </row>
    <row r="41" spans="1:1" x14ac:dyDescent="0.25">
      <c r="A41" t="s">
        <v>1373</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1320</v>
      </c>
    </row>
    <row r="2" spans="1:4" ht="15.75" thickBot="1" x14ac:dyDescent="0.3"/>
    <row r="3" spans="1:4" ht="15.75" thickTop="1" x14ac:dyDescent="0.25">
      <c r="A3" s="167" t="s">
        <v>1325</v>
      </c>
      <c r="B3" s="168"/>
      <c r="C3" s="168"/>
      <c r="D3" s="169"/>
    </row>
    <row r="4" spans="1:4" ht="15.75" thickBot="1" x14ac:dyDescent="0.3">
      <c r="A4" s="109" t="s">
        <v>1321</v>
      </c>
      <c r="B4" s="110" t="s">
        <v>1322</v>
      </c>
      <c r="C4" s="110" t="s">
        <v>1323</v>
      </c>
      <c r="D4" s="111" t="s">
        <v>1324</v>
      </c>
    </row>
    <row r="5" spans="1:4" ht="15.75" thickTop="1" x14ac:dyDescent="0.25">
      <c r="A5" s="118" t="s">
        <v>14</v>
      </c>
      <c r="B5" s="112" t="s">
        <v>14</v>
      </c>
      <c r="C5" s="113" t="s">
        <v>1335</v>
      </c>
      <c r="D5" s="119"/>
    </row>
    <row r="6" spans="1:4" ht="60" x14ac:dyDescent="0.25">
      <c r="A6" s="120" t="s">
        <v>1326</v>
      </c>
      <c r="B6" s="114" t="s">
        <v>130</v>
      </c>
      <c r="C6" s="115" t="s">
        <v>1327</v>
      </c>
      <c r="D6" s="121" t="s">
        <v>1328</v>
      </c>
    </row>
    <row r="7" spans="1:4" ht="60" x14ac:dyDescent="0.25">
      <c r="A7" s="120" t="s">
        <v>1329</v>
      </c>
      <c r="B7" s="114" t="s">
        <v>131</v>
      </c>
      <c r="C7" s="115" t="s">
        <v>1330</v>
      </c>
      <c r="D7" s="121" t="s">
        <v>1331</v>
      </c>
    </row>
    <row r="8" spans="1:4" ht="30.75" thickBot="1" x14ac:dyDescent="0.3">
      <c r="A8" s="122" t="s">
        <v>1332</v>
      </c>
      <c r="B8" s="123" t="s">
        <v>132</v>
      </c>
      <c r="C8" s="124" t="s">
        <v>1333</v>
      </c>
      <c r="D8" s="125" t="s">
        <v>1334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1320</v>
      </c>
    </row>
    <row r="2" spans="1:6" ht="15.75" thickBot="1" x14ac:dyDescent="0.3"/>
    <row r="3" spans="1:6" s="7" customFormat="1" x14ac:dyDescent="0.25">
      <c r="A3" s="170" t="s">
        <v>1358</v>
      </c>
      <c r="B3" s="171"/>
      <c r="C3" s="171"/>
      <c r="D3" s="171"/>
      <c r="E3" s="172"/>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1339</v>
      </c>
      <c r="C5" s="19" t="s">
        <v>1339</v>
      </c>
      <c r="D5" s="54" t="s">
        <v>1351</v>
      </c>
      <c r="E5" s="134" t="s">
        <v>1340</v>
      </c>
    </row>
    <row r="6" spans="1:6" s="7" customFormat="1" ht="150" x14ac:dyDescent="0.25">
      <c r="A6" s="127" t="s">
        <v>171</v>
      </c>
      <c r="B6" s="11" t="s">
        <v>1352</v>
      </c>
      <c r="C6" s="11" t="s">
        <v>1353</v>
      </c>
      <c r="D6" s="12" t="s">
        <v>1354</v>
      </c>
      <c r="E6" s="128" t="s">
        <v>1355</v>
      </c>
    </row>
    <row r="7" spans="1:6" s="7" customFormat="1" ht="75.75" thickBot="1" x14ac:dyDescent="0.3">
      <c r="A7" s="129" t="s">
        <v>171</v>
      </c>
      <c r="B7" s="130" t="s">
        <v>1345</v>
      </c>
      <c r="C7" s="130" t="s">
        <v>1356</v>
      </c>
      <c r="D7" s="131" t="s">
        <v>1357</v>
      </c>
      <c r="E7" s="132" t="s">
        <v>1343</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73" t="s">
        <v>1350</v>
      </c>
      <c r="B16" s="174"/>
      <c r="C16" s="174"/>
      <c r="D16" s="174"/>
      <c r="E16" s="175"/>
    </row>
    <row r="17" spans="1:5" ht="15.75" thickBot="1" x14ac:dyDescent="0.3">
      <c r="A17" s="109" t="s">
        <v>1336</v>
      </c>
      <c r="B17" s="110" t="s">
        <v>1359</v>
      </c>
      <c r="C17" s="126" t="s">
        <v>1337</v>
      </c>
      <c r="D17" s="111" t="s">
        <v>1338</v>
      </c>
      <c r="E17" s="110" t="s">
        <v>1363</v>
      </c>
    </row>
    <row r="18" spans="1:5" ht="90.75" thickTop="1" x14ac:dyDescent="0.25">
      <c r="A18" s="135" t="s">
        <v>1339</v>
      </c>
      <c r="B18" s="112" t="s">
        <v>1339</v>
      </c>
      <c r="C18" s="113" t="s">
        <v>1341</v>
      </c>
      <c r="D18" s="137" t="s">
        <v>1340</v>
      </c>
      <c r="E18" s="142" t="s">
        <v>1340</v>
      </c>
    </row>
    <row r="19" spans="1:5" s="5" customFormat="1" ht="30" x14ac:dyDescent="0.25">
      <c r="A19" s="136" t="s">
        <v>1349</v>
      </c>
      <c r="B19" s="114" t="s">
        <v>1353</v>
      </c>
      <c r="C19" s="115" t="s">
        <v>1346</v>
      </c>
      <c r="D19" s="138" t="s">
        <v>1347</v>
      </c>
      <c r="E19" s="121"/>
    </row>
    <row r="20" spans="1:5" ht="90.75" thickBot="1" x14ac:dyDescent="0.3">
      <c r="A20" s="139" t="s">
        <v>1348</v>
      </c>
      <c r="B20" s="116" t="s">
        <v>1356</v>
      </c>
      <c r="C20" s="117" t="s">
        <v>1342</v>
      </c>
      <c r="D20" s="140" t="s">
        <v>1343</v>
      </c>
      <c r="E20" s="141" t="s">
        <v>1364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2015-03-12T18:27:42Z</dcterms:modified>
</cp:coreProperties>
</file>