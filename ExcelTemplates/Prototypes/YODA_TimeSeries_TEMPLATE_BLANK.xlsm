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firstSheet="3"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File'!$A$1:$A$50</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67" i="15" l="1"/>
  <c r="D66" i="15"/>
  <c r="D10" i="11"/>
  <c r="G10" i="11"/>
  <c r="H10" i="11"/>
  <c r="I10" i="11"/>
  <c r="L10" i="11"/>
  <c r="O10" i="11"/>
  <c r="P10" i="11"/>
  <c r="Q10" i="11"/>
  <c r="R10" i="11"/>
  <c r="S10" i="11"/>
  <c r="T10" i="11"/>
  <c r="U10" i="11"/>
  <c r="V10" i="11"/>
  <c r="X10" i="11"/>
  <c r="Y10" i="11"/>
  <c r="Z10" i="11"/>
  <c r="AA10" i="11"/>
  <c r="D11" i="11"/>
  <c r="G11" i="11"/>
  <c r="H11" i="11"/>
  <c r="I11" i="11"/>
  <c r="L11" i="11"/>
  <c r="O11" i="11"/>
  <c r="P11" i="11"/>
  <c r="Q11" i="11"/>
  <c r="R11" i="11"/>
  <c r="S11" i="11"/>
  <c r="T11" i="11"/>
  <c r="U11" i="11"/>
  <c r="V11" i="11"/>
  <c r="X11" i="11"/>
  <c r="Y11" i="11"/>
  <c r="Z11" i="11"/>
  <c r="AA11" i="11"/>
  <c r="D12" i="11"/>
  <c r="G12" i="11"/>
  <c r="H12" i="11"/>
  <c r="I12" i="11"/>
  <c r="L12" i="11"/>
  <c r="O12" i="11"/>
  <c r="P12" i="11"/>
  <c r="Q12" i="11"/>
  <c r="R12" i="11"/>
  <c r="S12" i="11"/>
  <c r="T12" i="11"/>
  <c r="U12" i="11"/>
  <c r="V12" i="11"/>
  <c r="X12" i="11"/>
  <c r="Y12" i="11"/>
  <c r="Z12" i="11"/>
  <c r="AA12" i="11"/>
  <c r="D13" i="11"/>
  <c r="G13" i="11"/>
  <c r="H13" i="11"/>
  <c r="I13" i="11"/>
  <c r="L13" i="11"/>
  <c r="O13" i="11"/>
  <c r="P13" i="11"/>
  <c r="Q13" i="11"/>
  <c r="R13" i="11"/>
  <c r="S13" i="11"/>
  <c r="T13" i="11"/>
  <c r="U13" i="11"/>
  <c r="V13" i="11"/>
  <c r="X13" i="11"/>
  <c r="Y13" i="11"/>
  <c r="Z13" i="11"/>
  <c r="AA13" i="11"/>
  <c r="P5" i="11"/>
  <c r="P6" i="11"/>
  <c r="P7" i="11"/>
  <c r="P8" i="11"/>
  <c r="P9" i="11"/>
  <c r="P4" i="11"/>
  <c r="K4" i="11"/>
  <c r="H5" i="11"/>
  <c r="H6" i="11"/>
  <c r="H7" i="11"/>
  <c r="H8" i="11"/>
  <c r="H9" i="11"/>
  <c r="H4" i="11"/>
  <c r="P3" i="11"/>
  <c r="P2" i="11"/>
  <c r="E5" i="11"/>
  <c r="E4" i="11"/>
  <c r="F3" i="11"/>
  <c r="E3" i="11"/>
  <c r="F2" i="11"/>
  <c r="E2" i="11"/>
  <c r="H3" i="11"/>
  <c r="H2" i="11"/>
  <c r="AC2" i="11"/>
  <c r="F4" i="11"/>
  <c r="J11" i="2"/>
  <c r="J12" i="2"/>
  <c r="I8" i="2" s="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I24" i="7"/>
  <c r="I25" i="7"/>
  <c r="I27" i="7"/>
  <c r="I28" i="7"/>
  <c r="I29" i="7"/>
  <c r="I30" i="7"/>
  <c r="I31" i="7"/>
  <c r="I32" i="7"/>
  <c r="I33" i="7"/>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I26" i="7" l="1"/>
  <c r="H9" i="7" s="1"/>
  <c r="L17" i="2"/>
  <c r="N4" i="11"/>
  <c r="I4" i="11"/>
  <c r="M4" i="11" l="1"/>
  <c r="O4" i="11"/>
  <c r="C4" i="11"/>
  <c r="U4" i="11"/>
  <c r="J4" i="11"/>
  <c r="G4" i="11"/>
  <c r="M2" i="11"/>
  <c r="J2" i="11"/>
  <c r="J3" i="11"/>
  <c r="B4" i="11"/>
  <c r="B2" i="15" l="1"/>
  <c r="AI5" i="11" l="1"/>
  <c r="AF4" i="11"/>
  <c r="X4" i="11"/>
  <c r="V4" i="11"/>
  <c r="D4" i="1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Q19" i="2"/>
  <c r="Q18" i="2"/>
  <c r="Q17" i="2"/>
  <c r="Q12" i="2"/>
  <c r="Q11" i="2"/>
  <c r="I7" i="2"/>
  <c r="E17" i="1"/>
  <c r="H33" i="7"/>
  <c r="H32" i="7"/>
  <c r="H31" i="7"/>
  <c r="H30" i="7"/>
  <c r="H29" i="7"/>
  <c r="H28" i="7"/>
  <c r="H27" i="7"/>
  <c r="H26" i="7"/>
  <c r="H25" i="7"/>
  <c r="H24" i="7"/>
  <c r="H7" i="7"/>
  <c r="AG4" i="11"/>
  <c r="A3" i="15"/>
  <c r="C3" i="15"/>
  <c r="D3" i="15" l="1"/>
  <c r="F6" i="11"/>
  <c r="F5" i="11"/>
  <c r="H8" i="7"/>
  <c r="L4" i="11"/>
  <c r="Z4" i="11"/>
  <c r="Y4" i="11"/>
  <c r="AC7" i="11"/>
  <c r="AB4" i="11"/>
  <c r="T5" i="11"/>
  <c r="T8" i="11"/>
  <c r="T4" i="11"/>
  <c r="T7" i="11"/>
  <c r="T9" i="11"/>
  <c r="T6" i="11"/>
  <c r="O2" i="11"/>
  <c r="O6" i="11"/>
  <c r="O5" i="11"/>
  <c r="O8" i="11"/>
  <c r="O9" i="11"/>
  <c r="O7" i="11"/>
  <c r="L9" i="11"/>
  <c r="L5" i="11"/>
  <c r="L6" i="11"/>
  <c r="L7" i="11"/>
  <c r="L8" i="11"/>
  <c r="D9" i="11"/>
  <c r="D2" i="11"/>
  <c r="X9" i="11"/>
  <c r="X2" i="11"/>
  <c r="U2" i="11"/>
  <c r="V9" i="11"/>
  <c r="V2" i="11"/>
  <c r="X8" i="11"/>
  <c r="U6" i="11"/>
  <c r="U5" i="11"/>
  <c r="U9" i="11"/>
  <c r="U8" i="11"/>
  <c r="U7" i="11"/>
  <c r="D5" i="11"/>
  <c r="D7" i="11"/>
  <c r="AA4" i="11"/>
  <c r="AA5" i="11"/>
  <c r="X7" i="11"/>
  <c r="D6" i="11"/>
  <c r="D8" i="11"/>
  <c r="X6" i="11"/>
  <c r="L3" i="11"/>
  <c r="J3" i="9"/>
  <c r="V7" i="11"/>
  <c r="B3" i="15"/>
  <c r="T2" i="11"/>
  <c r="T3" i="11"/>
  <c r="A13" i="4"/>
  <c r="A14" i="4" s="1"/>
  <c r="N9" i="4" s="1"/>
  <c r="Q13" i="2"/>
  <c r="Q14" i="2" s="1"/>
  <c r="Q3" i="11"/>
  <c r="X5" i="11"/>
  <c r="V5" i="11"/>
  <c r="V6" i="11"/>
  <c r="L2" i="11"/>
  <c r="V8" i="11"/>
  <c r="C4" i="15"/>
  <c r="A4" i="15"/>
  <c r="B4" i="15" l="1"/>
  <c r="D4" i="15"/>
  <c r="I5" i="11"/>
  <c r="G7" i="11"/>
  <c r="I6" i="11"/>
  <c r="I7" i="11"/>
  <c r="I8" i="11"/>
  <c r="G6" i="11"/>
  <c r="I9" i="11"/>
  <c r="G9" i="11"/>
  <c r="G2" i="11"/>
  <c r="G5" i="11"/>
  <c r="G8" i="11"/>
  <c r="AB10" i="11"/>
  <c r="AF10" i="11"/>
  <c r="AC10" i="11"/>
  <c r="AF5" i="11"/>
  <c r="AF6" i="11" s="1"/>
  <c r="AB2" i="11"/>
  <c r="AA2" i="11"/>
  <c r="Y2" i="11"/>
  <c r="Z2" i="11"/>
  <c r="AA9" i="11"/>
  <c r="AA7" i="11"/>
  <c r="AB7" i="11"/>
  <c r="Z8" i="11"/>
  <c r="Y5" i="11"/>
  <c r="AF9" i="11"/>
  <c r="Z9" i="11"/>
  <c r="AC8" i="11"/>
  <c r="AB6" i="11"/>
  <c r="Z7" i="11"/>
  <c r="Y8" i="11"/>
  <c r="AC9" i="11"/>
  <c r="Y9" i="11"/>
  <c r="AB5" i="11"/>
  <c r="Z6" i="11"/>
  <c r="Y7" i="11"/>
  <c r="AB9" i="11"/>
  <c r="AA8" i="11"/>
  <c r="AB8" i="11"/>
  <c r="Z5" i="11"/>
  <c r="Y6" i="11"/>
  <c r="AA6" i="11"/>
  <c r="S9" i="11"/>
  <c r="S6" i="11"/>
  <c r="S5" i="11"/>
  <c r="S8" i="11"/>
  <c r="S4" i="11"/>
  <c r="S7" i="11"/>
  <c r="S3" i="11"/>
  <c r="N7" i="2"/>
  <c r="S2" i="11"/>
  <c r="AF7" i="11"/>
  <c r="AF8" i="11"/>
  <c r="I2" i="11"/>
  <c r="Q15" i="2"/>
  <c r="Q16" i="2" s="1"/>
  <c r="S7" i="2" s="1"/>
  <c r="C5" i="15"/>
  <c r="A5" i="15"/>
  <c r="B5" i="15" l="1"/>
  <c r="D5" i="15"/>
  <c r="Q7" i="11"/>
  <c r="Q5" i="11"/>
  <c r="Q6" i="11"/>
  <c r="Q9" i="11"/>
  <c r="Q4" i="11"/>
  <c r="Q8" i="11"/>
  <c r="R9" i="11"/>
  <c r="R6" i="11"/>
  <c r="R8" i="11"/>
  <c r="R5" i="11"/>
  <c r="R7" i="11"/>
  <c r="R4" i="11"/>
  <c r="Q2" i="11"/>
  <c r="R2" i="11"/>
  <c r="R3" i="11"/>
  <c r="C6" i="15"/>
  <c r="A6" i="15"/>
  <c r="B6" i="15" l="1"/>
  <c r="D6" i="15"/>
  <c r="AI3" i="11"/>
  <c r="AI4" i="11"/>
  <c r="A7" i="15"/>
  <c r="C7" i="15"/>
  <c r="D7" i="15" l="1"/>
  <c r="B7" i="15"/>
  <c r="D2" i="15"/>
  <c r="C8" i="15"/>
  <c r="A8" i="15"/>
  <c r="B8" i="15" l="1"/>
  <c r="D8" i="15"/>
  <c r="A9" i="15"/>
  <c r="C9" i="15"/>
  <c r="D9" i="15" l="1"/>
  <c r="B9" i="15"/>
  <c r="A10" i="15"/>
  <c r="C10" i="15"/>
  <c r="D10" i="15" l="1"/>
  <c r="B10" i="15"/>
  <c r="C11" i="15"/>
  <c r="A11" i="15"/>
  <c r="B11" i="15" l="1"/>
  <c r="D11" i="15"/>
  <c r="C12" i="15"/>
  <c r="A12" i="15"/>
  <c r="B12" i="15" l="1"/>
  <c r="D12" i="15"/>
  <c r="A13" i="15"/>
  <c r="C13" i="15"/>
  <c r="D13" i="15" l="1"/>
  <c r="B13" i="15"/>
  <c r="A14" i="15"/>
  <c r="C14" i="15"/>
  <c r="D14" i="15" l="1"/>
  <c r="B14" i="15"/>
  <c r="C15" i="15"/>
  <c r="A15" i="15"/>
  <c r="B15" i="15" l="1"/>
  <c r="D15" i="15"/>
  <c r="C16" i="15"/>
  <c r="A16" i="15"/>
  <c r="B16" i="15" l="1"/>
  <c r="D16" i="15"/>
  <c r="A17" i="15"/>
  <c r="C17" i="15"/>
  <c r="D17" i="15" l="1"/>
  <c r="B17" i="15"/>
  <c r="A18" i="15"/>
  <c r="C18" i="15"/>
  <c r="D18" i="15" l="1"/>
  <c r="B18" i="15"/>
  <c r="C19" i="15"/>
  <c r="A19" i="15"/>
  <c r="B19" i="15" l="1"/>
  <c r="D19" i="15"/>
  <c r="C20" i="15"/>
  <c r="A20" i="15"/>
  <c r="B20" i="15" l="1"/>
  <c r="D20" i="15"/>
  <c r="A21" i="15"/>
  <c r="C21" i="15"/>
  <c r="D21" i="15" l="1"/>
  <c r="B21" i="15"/>
  <c r="C22" i="15"/>
  <c r="A22" i="15"/>
  <c r="B22" i="15" l="1"/>
  <c r="D22" i="15"/>
  <c r="C23" i="15"/>
  <c r="A23" i="15"/>
  <c r="B23" i="15" l="1"/>
  <c r="D23" i="15"/>
  <c r="C24" i="15"/>
  <c r="A24" i="15"/>
  <c r="B24" i="15" l="1"/>
  <c r="D24" i="15"/>
  <c r="A25" i="15"/>
  <c r="C25" i="15"/>
  <c r="D25" i="15" l="1"/>
  <c r="B25" i="15"/>
  <c r="C26" i="15"/>
  <c r="A26" i="15"/>
  <c r="B26" i="15" l="1"/>
  <c r="D26" i="15"/>
  <c r="C27" i="15"/>
  <c r="A27" i="15"/>
  <c r="B27" i="15" l="1"/>
  <c r="D27" i="15"/>
  <c r="A28" i="15"/>
  <c r="C28" i="15"/>
  <c r="D28" i="15" l="1"/>
  <c r="B28" i="15"/>
  <c r="C29" i="15"/>
  <c r="A29" i="15"/>
  <c r="B29" i="15" l="1"/>
  <c r="D29" i="15"/>
  <c r="A30" i="15"/>
  <c r="C30" i="15"/>
  <c r="D30" i="15" l="1"/>
  <c r="B30" i="15"/>
  <c r="A31" i="15"/>
  <c r="C31" i="15"/>
  <c r="D31" i="15" l="1"/>
  <c r="B31" i="15"/>
  <c r="A32" i="15"/>
  <c r="C32" i="15"/>
  <c r="D32" i="15" l="1"/>
  <c r="B32" i="15"/>
  <c r="C33" i="15"/>
  <c r="A33" i="15"/>
  <c r="B33" i="15" l="1"/>
  <c r="D33" i="15"/>
  <c r="A34" i="15"/>
  <c r="C34" i="15"/>
  <c r="D34" i="15" l="1"/>
  <c r="B34" i="15"/>
  <c r="A35" i="15"/>
  <c r="C35" i="15"/>
  <c r="D35" i="15" l="1"/>
  <c r="B35" i="15"/>
  <c r="A36" i="15"/>
  <c r="C36" i="15"/>
  <c r="D36" i="15" l="1"/>
  <c r="B36" i="15"/>
  <c r="C37" i="15"/>
  <c r="A37" i="15"/>
  <c r="B37" i="15" l="1"/>
  <c r="D37" i="15"/>
  <c r="C38" i="15"/>
  <c r="A38" i="15"/>
  <c r="B38" i="15" l="1"/>
  <c r="D38" i="15"/>
  <c r="C39" i="15"/>
  <c r="A39" i="15"/>
  <c r="B39" i="15" l="1"/>
  <c r="D39" i="15"/>
  <c r="A40" i="15"/>
  <c r="C40" i="15"/>
  <c r="D40" i="15" l="1"/>
  <c r="B40" i="15"/>
  <c r="C41" i="15"/>
  <c r="A41" i="15"/>
  <c r="B41" i="15" l="1"/>
  <c r="D41" i="15"/>
  <c r="A42" i="15"/>
  <c r="C42" i="15"/>
  <c r="D42" i="15" l="1"/>
  <c r="B42" i="15"/>
  <c r="A43" i="15"/>
  <c r="C43" i="15"/>
  <c r="D43" i="15" l="1"/>
  <c r="B43" i="15"/>
  <c r="A44" i="15"/>
  <c r="C44" i="15"/>
  <c r="D44" i="15" l="1"/>
  <c r="B44" i="15"/>
  <c r="C45" i="15"/>
  <c r="A45" i="15"/>
  <c r="B45" i="15" l="1"/>
  <c r="D45" i="15"/>
  <c r="A46" i="15"/>
  <c r="C46" i="15"/>
  <c r="D46" i="15" l="1"/>
  <c r="B46" i="15"/>
  <c r="A47" i="15"/>
  <c r="C47" i="15"/>
  <c r="D47" i="15" l="1"/>
  <c r="B47" i="15"/>
  <c r="A48" i="15"/>
  <c r="C48" i="15"/>
  <c r="D48" i="15" l="1"/>
  <c r="B48" i="15"/>
  <c r="C49" i="15"/>
  <c r="A49" i="15"/>
  <c r="B49" i="15" l="1"/>
  <c r="D49" i="15"/>
  <c r="A50" i="15"/>
  <c r="C50" i="15"/>
  <c r="D50" i="15" l="1"/>
  <c r="B50" i="15"/>
  <c r="A51" i="15"/>
  <c r="C51" i="15"/>
  <c r="D51" i="15" l="1"/>
  <c r="B51" i="15"/>
  <c r="A52" i="15"/>
  <c r="C52" i="15"/>
  <c r="D52" i="15" l="1"/>
  <c r="B52" i="15"/>
  <c r="C53" i="15"/>
  <c r="A53" i="15"/>
  <c r="B53" i="15" l="1"/>
  <c r="D53" i="15"/>
  <c r="A54" i="15"/>
  <c r="C54" i="15"/>
  <c r="D54" i="15" l="1"/>
  <c r="B54" i="15"/>
  <c r="A55" i="15"/>
  <c r="C55" i="15"/>
  <c r="D55" i="15" l="1"/>
  <c r="B55" i="15"/>
  <c r="A56" i="15"/>
  <c r="C56" i="15"/>
  <c r="D56" i="15" l="1"/>
  <c r="B56" i="15"/>
  <c r="C57" i="15"/>
  <c r="A57" i="15"/>
  <c r="B57" i="15" l="1"/>
  <c r="D57" i="15"/>
  <c r="A58" i="15"/>
  <c r="C58" i="15"/>
  <c r="D58" i="15" l="1"/>
  <c r="B58" i="15"/>
  <c r="A59" i="15"/>
  <c r="C59" i="15"/>
  <c r="D59" i="15" l="1"/>
  <c r="B59" i="15"/>
  <c r="A60" i="15"/>
  <c r="C60" i="15"/>
  <c r="D60" i="15" l="1"/>
  <c r="B60" i="15"/>
  <c r="C61" i="15"/>
  <c r="A61" i="15"/>
  <c r="B61" i="15" l="1"/>
  <c r="D61" i="15"/>
  <c r="A62" i="15"/>
  <c r="C62" i="15"/>
  <c r="D62" i="15" l="1"/>
  <c r="B62" i="15"/>
  <c r="A63" i="15"/>
  <c r="C63" i="15"/>
  <c r="D63" i="15" l="1"/>
  <c r="B63" i="15"/>
  <c r="A64" i="15"/>
  <c r="C64" i="15"/>
  <c r="D64" i="15" l="1"/>
  <c r="B64" i="15"/>
  <c r="C65" i="15"/>
  <c r="A65" i="15"/>
  <c r="B65" i="15" l="1"/>
  <c r="D65" i="15"/>
</calcChain>
</file>

<file path=xl/comments1.xml><?xml version="1.0" encoding="utf-8"?>
<comments xmlns="http://schemas.openxmlformats.org/spreadsheetml/2006/main">
  <authors>
    <author>Sara Geleskie Damiano</author>
  </authors>
  <commentList>
    <comment ref="D23" authorId="0">
      <text>
        <r>
          <rPr>
            <b/>
            <sz val="9"/>
            <color indexed="81"/>
            <rFont val="Tahoma"/>
            <family val="2"/>
          </rPr>
          <t>Include dashes!!</t>
        </r>
        <r>
          <rPr>
            <sz val="9"/>
            <color indexed="81"/>
            <rFont val="Tahoma"/>
            <family val="2"/>
          </rPr>
          <t xml:space="preserve">
See http://orcid.org/ for more info on OrcID's</t>
        </r>
      </text>
    </comment>
    <comment ref="E23" authorId="0">
      <text>
        <r>
          <rPr>
            <sz val="9"/>
            <color indexed="81"/>
            <rFont val="Tahoma"/>
            <family val="2"/>
          </rPr>
          <t>If the organization doesn't appear on the drop-down list, make sure you've added it above!</t>
        </r>
      </text>
    </comment>
    <comment ref="H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<sst xmlns="http://schemas.openxmlformats.org/spreadsheetml/2006/main" count="1491" uniqueCount="1402">
  <si>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</si>
  <si>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</si>
  <si>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</si>
  <si>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</si>
  <si>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</si>
  <si>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</si>
  <si>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</si>
  <si>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</si>
  <si>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</si>
  <si>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</si>
  <si>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</si>
  <si>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</si>
  <si>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</si>
  <si>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</si>
  <si>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</si>
  <si>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</si>
  <si>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</si>
  <si>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</si>
  <si>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</si>
  <si>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</si>
  <si>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</si>
  <si>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</si>
  <si>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</si>
  <si>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</si>
  <si>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</si>
  <si>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</si>
  <si>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</si>
  <si>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</si>
  <si>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</si>
  <si>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</si>
  <si>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</si>
  <si>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</si>
  <si>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</si>
  <si>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</si>
  <si>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</si>
  <si>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</si>
  <si>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</si>
  <si>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</si>
  <si>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</si>
  <si>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</si>
  <si>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</si>
  <si>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</si>
  <si>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</si>
  <si>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</si>
  <si>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</si>
  <si>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</si>
  <si>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</si>
  <si>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</si>
  <si>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</si>
  <si>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</si>
  <si>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</si>
  <si>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</si>
  <si>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</si>
  <si>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</si>
  <si>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</si>
  <si>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</si>
  <si>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</si>
  <si>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</si>
  <si>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</si>
  <si>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</si>
  <si>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</si>
  <si>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</si>
  <si>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</si>
  <si>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</si>
  <si>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</si>
  <si>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</si>
  <si>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</si>
  <si>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</si>
  <si>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</si>
  <si>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</si>
  <si>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</si>
  <si>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</si>
  <si>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</si>
  <si>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</si>
  <si>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</si>
  <si>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</si>
  <si>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</si>
  <si>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</si>
  <si>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</si>
  <si>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</si>
  <si>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</si>
  <si>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</si>
  <si>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</si>
  <si>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</si>
  <si>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</si>
  <si>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</si>
  <si>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</si>
  <si>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</si>
  <si>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</si>
  <si>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</si>
  <si>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</si>
  <si>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</si>
  <si>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</si>
  <si>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</si>
  <si>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</si>
  <si>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</si>
  <si>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</si>
  <si>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</si>
  <si>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</si>
  <si>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</si>
  <si>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</si>
  <si>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</si>
  <si>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</si>
  <si>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</si>
  <si>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</si>
  <si>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</si>
  <si>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</si>
  <si>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</si>
  <si>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</si>
  <si>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</si>
  <si>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</si>
  <si>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</si>
  <si>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</si>
  <si>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</si>
  <si>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</si>
  <si>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</si>
  <si>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</si>
  <si>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</si>
  <si>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</si>
  <si>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</si>
  <si>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</si>
  <si>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</si>
  <si>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</si>
  <si>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</si>
  <si>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</si>
  <si>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</si>
  <si>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</si>
  <si>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</si>
  <si>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</si>
  <si>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</si>
  <si>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</si>
  <si>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</si>
  <si>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</si>
  <si>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</si>
  <si>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</si>
  <si>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</si>
  <si>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</si>
  <si>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</si>
  <si>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</si>
  <si>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</si>
  <si>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</si>
  <si>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</si>
  <si>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</si>
  <si>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</si>
  <si>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</si>
  <si>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</si>
  <si>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</si>
  <si>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</si>
  <si>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</si>
  <si>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</si>
  <si>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</si>
  <si>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</si>
  <si>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</si>
  <si>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</si>
  <si>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</si>
  <si>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</si>
  <si>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</si>
  <si>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</si>
  <si>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</si>
  <si>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</si>
  <si>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</si>
  <si>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</si>
  <si>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</si>
  <si>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</si>
  <si>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</si>
  <si>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</si>
  <si>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</si>
  <si>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</si>
  <si>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</si>
  <si>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</si>
  <si>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</si>
  <si>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</si>
  <si>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</si>
  <si>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</si>
  <si>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</si>
  <si>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</si>
  <si>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</si>
  <si>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</si>
  <si>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</si>
  <si>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</si>
  <si>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</si>
  <si>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</si>
  <si>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</si>
  <si>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</si>
  <si>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</si>
  <si>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</si>
  <si>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</si>
  <si>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</si>
  <si>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</si>
  <si>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</si>
  <si>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</si>
  <si>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</si>
  <si>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</si>
  <si>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</si>
  <si>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</si>
  <si>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</si>
  <si>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</si>
  <si>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</si>
  <si>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</si>
  <si>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</si>
  <si>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</si>
  <si>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</si>
  <si>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</si>
  <si>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</si>
  <si>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</si>
  <si>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</si>
  <si>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</si>
  <si>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</si>
  <si>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</si>
  <si>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</si>
  <si>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</si>
  <si>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</si>
  <si>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</si>
  <si>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</si>
  <si>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</si>
  <si>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</si>
  <si>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</si>
  <si>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</si>
  <si>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</si>
  <si>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</si>
  <si>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</si>
  <si>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</si>
  <si>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</si>
  <si>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</si>
  <si>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</si>
  <si>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</si>
  <si>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</si>
  <si>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</si>
  <si>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</si>
  <si>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</si>
  <si>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</si>
  <si>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</si>
  <si>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</si>
  <si>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</si>
  <si>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</si>
  <si>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</si>
  <si>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</si>
  <si>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</si>
  <si>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</si>
  <si>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</si>
  <si>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</si>
  <si>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</si>
  <si>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</si>
  <si>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</si>
  <si>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</si>
  <si>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</si>
  <si>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</si>
  <si>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</si>
  <si>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</si>
  <si>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</si>
  <si>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</si>
  <si>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</si>
  <si>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</si>
  <si>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</si>
  <si>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</si>
  <si>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</si>
  <si>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</si>
  <si>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</si>
  <si>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</si>
  <si>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</si>
  <si>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</si>
  <si>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</si>
  <si>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</si>
  <si>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</si>
  <si>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</si>
  <si>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</si>
  <si>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</si>
  <si>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</si>
  <si>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</si>
  <si>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</si>
  <si>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</si>
  <si>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</si>
  <si>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</si>
  <si>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</si>
  <si>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</si>
  <si>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</si>
  <si>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</si>
  <si>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</si>
  <si>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</si>
  <si>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</si>
  <si>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</si>
  <si>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</si>
  <si>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</si>
  <si>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</si>
  <si>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</si>
  <si>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</si>
  <si>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</si>
  <si>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</si>
  <si>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</si>
  <si>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</si>
  <si>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</si>
  <si>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</si>
  <si>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</si>
  <si>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</si>
  <si>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</si>
  <si>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</si>
  <si>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</si>
  <si>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</si>
  <si>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</si>
  <si>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</si>
  <si>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</si>
  <si>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</si>
  <si>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</si>
  <si>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</si>
  <si>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</si>
  <si>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</si>
  <si>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</si>
  <si>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</si>
  <si>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</si>
  <si>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</si>
  <si>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</si>
  <si>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</si>
  <si>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</si>
  <si>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</si>
  <si>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</si>
  <si>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</si>
  <si>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</si>
  <si>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</si>
  <si>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</si>
  <si>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</si>
  <si>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</si>
  <si>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</si>
  <si>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</si>
  <si>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</si>
  <si>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</si>
  <si>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</si>
  <si>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</si>
  <si>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</si>
  <si>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</si>
  <si>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</si>
  <si>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</si>
  <si>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</si>
  <si>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</si>
  <si>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</si>
  <si>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</si>
  <si>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</si>
  <si>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</si>
  <si>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</si>
  <si>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</si>
  <si>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</si>
  <si>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</si>
  <si>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</si>
  <si>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</si>
  <si>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</si>
  <si>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</si>
  <si>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</si>
  <si>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</si>
  <si>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</si>
  <si>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</si>
  <si>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</si>
  <si>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</si>
  <si>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</si>
  <si>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</si>
  <si>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</si>
  <si>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</si>
  <si>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</si>
  <si>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</si>
  <si>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</si>
  <si>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</si>
  <si>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</si>
  <si>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</si>
  <si>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</si>
  <si>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</si>
  <si>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</si>
  <si>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</si>
  <si>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</si>
  <si>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</si>
  <si>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</si>
  <si>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</si>
  <si>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</si>
  <si>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</si>
  <si>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</si>
  <si>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</si>
  <si>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</si>
  <si>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</si>
  <si>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</si>
  <si>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</si>
  <si>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</si>
  <si>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</si>
  <si>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</si>
  <si>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</si>
  <si>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</si>
  <si>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</si>
  <si>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</si>
  <si>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</si>
  <si>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</si>
  <si>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</si>
  <si>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</si>
  <si>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</si>
  <si>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</si>
  <si>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</si>
  <si>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</si>
  <si>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</si>
  <si>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</si>
  <si>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</si>
  <si>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</si>
  <si>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</si>
  <si>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</si>
  <si>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</si>
  <si>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</si>
  <si>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</si>
  <si>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</si>
  <si>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</si>
  <si>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</si>
  <si>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</si>
  <si>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</si>
  <si>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</si>
  <si>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</si>
  <si>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</si>
  <si>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</si>
  <si>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</si>
  <si>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</si>
  <si>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</si>
  <si>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</si>
  <si>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</si>
  <si>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</si>
  <si>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</si>
  <si>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</si>
  <si>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</si>
  <si>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</si>
  <si>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</si>
  <si>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</si>
  <si>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</si>
  <si>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</si>
  <si>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</si>
  <si>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</si>
  <si>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</si>
  <si>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</si>
  <si>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</si>
  <si>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</si>
  <si>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</si>
  <si>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</si>
  <si>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</si>
  <si>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</si>
  <si>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</si>
  <si>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</si>
  <si>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</si>
  <si>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</si>
  <si>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</si>
  <si>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</si>
  <si>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</si>
  <si>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</si>
  <si>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</si>
  <si>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</si>
  <si>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</si>
  <si>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</si>
  <si>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</si>
  <si>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</si>
  <si>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</si>
  <si>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</si>
  <si>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</si>
  <si>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</si>
  <si>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</si>
  <si>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</si>
  <si>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</si>
  <si>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</si>
  <si>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</si>
  <si>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</si>
  <si>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</si>
  <si>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</si>
  <si>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</si>
  <si>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</si>
  <si>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</si>
  <si>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</si>
  <si>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</si>
  <si>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</si>
  <si>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</si>
  <si>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</si>
  <si>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</si>
  <si>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</si>
  <si>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</si>
  <si>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</si>
  <si>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</si>
  <si>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</si>
  <si>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</si>
  <si>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</si>
  <si>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</si>
  <si>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</si>
  <si>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</si>
  <si>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</si>
  <si>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</si>
  <si>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</si>
  <si>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</si>
  <si>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</si>
  <si>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</si>
  <si>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</si>
  <si>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</si>
  <si>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</si>
  <si>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</si>
  <si>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</si>
  <si>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</si>
  <si>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</si>
  <si>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</si>
  <si>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</si>
  <si>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</si>
  <si>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</si>
  <si>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</si>
  <si>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</si>
  <si>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</si>
  <si>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</si>
  <si>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</si>
  <si>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</si>
  <si>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</si>
  <si>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</si>
  <si>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</si>
  <si>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</si>
  <si>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</si>
  <si>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</si>
  <si>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</si>
  <si>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</si>
  <si>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</si>
  <si>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</si>
  <si>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</si>
  <si>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</si>
  <si>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</si>
  <si>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</si>
  <si>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</si>
  <si>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</si>
  <si>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</si>
  <si>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</si>
  <si>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</si>
  <si>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</si>
  <si>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</si>
  <si>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</si>
  <si>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</si>
  <si>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</si>
  <si>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</si>
  <si>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</si>
  <si>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</si>
  <si>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</si>
  <si>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</si>
  <si>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</si>
  <si>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</si>
  <si>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</si>
  <si>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</si>
  <si>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</si>
  <si>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</si>
  <si>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</si>
  <si>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</si>
  <si>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</si>
  <si>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</si>
  <si>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</si>
  <si>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</si>
  <si>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</si>
  <si>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</si>
  <si>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</si>
  <si>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</si>
  <si>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</si>
  <si>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</si>
  <si>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</si>
  <si>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</si>
  <si>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</si>
  <si>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</si>
  <si>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</si>
  <si>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</si>
  <si>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</si>
  <si>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</si>
  <si>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</si>
  <si>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</si>
  <si>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</si>
  <si>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</si>
  <si>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</si>
  <si>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</si>
  <si>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</si>
  <si>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</si>
  <si>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</si>
  <si>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</si>
  <si>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</si>
  <si>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</si>
  <si>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</si>
  <si>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</si>
  <si>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</si>
  <si>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</si>
  <si>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</si>
  <si>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</si>
  <si>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</si>
  <si>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</si>
  <si>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</si>
  <si>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</si>
  <si>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</si>
  <si>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</si>
  <si>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</si>
  <si>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</si>
  <si>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</si>
  <si>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</si>
  <si>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</si>
  <si>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</si>
  <si>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</si>
  <si>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</si>
  <si>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</si>
  <si>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</si>
  <si>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</si>
  <si>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</si>
  <si>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</si>
  <si>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</si>
  <si>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</si>
  <si>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</si>
  <si>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</si>
  <si>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</si>
  <si>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</si>
  <si>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</si>
  <si>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</si>
  <si>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</si>
  <si>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</si>
  <si>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</si>
  <si>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</si>
  <si>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</si>
  <si>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</si>
  <si>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</si>
  <si>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</si>
  <si>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</si>
  <si>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</si>
  <si>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</si>
  <si>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</si>
  <si>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</si>
  <si>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</si>
  <si>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</si>
  <si>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</si>
  <si>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</si>
  <si>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</si>
  <si>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</si>
  <si>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</si>
  <si>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</si>
  <si>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</si>
  <si>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</si>
  <si>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</si>
  <si>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</si>
  <si>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</si>
  <si>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</si>
  <si>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</si>
  <si>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</si>
  <si>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</si>
  <si>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</si>
  <si>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</si>
  <si>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</si>
  <si>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</si>
  <si>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</si>
  <si>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</si>
  <si>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</si>
  <si>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</si>
  <si>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</si>
  <si>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</si>
  <si>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</si>
  <si>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</si>
  <si>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</si>
  <si>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</si>
  <si>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</si>
  <si>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</si>
  <si>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</si>
  <si>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</si>
  <si>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</si>
  <si>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</si>
  <si>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</si>
  <si>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</si>
  <si>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</si>
  <si>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</si>
  <si>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</si>
  <si>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</si>
  <si>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</si>
  <si>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</si>
  <si>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</si>
  <si>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</si>
  <si>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</si>
  <si>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</si>
  <si>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</si>
  <si>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</si>
  <si>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</si>
  <si>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</si>
  <si>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</si>
  <si>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</si>
  <si>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</si>
  <si>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</si>
  <si>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</si>
  <si>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</si>
  <si>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</si>
  <si>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</si>
  <si>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</si>
  <si>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</si>
  <si>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</si>
  <si>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</si>
  <si>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</si>
  <si>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</si>
  <si>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</si>
  <si>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</si>
  <si>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</si>
  <si>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</si>
  <si>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</si>
  <si>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</si>
  <si>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</si>
  <si>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</si>
  <si>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</si>
  <si>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</si>
  <si>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</si>
  <si>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</si>
  <si>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</si>
  <si>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</si>
  <si>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</si>
  <si>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</si>
  <si>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</si>
  <si>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</si>
  <si>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</si>
  <si>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</si>
  <si>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</si>
  <si>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</si>
  <si>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</si>
  <si>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</si>
  <si>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</si>
  <si>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</si>
  <si>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</si>
  <si>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</si>
  <si>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</si>
  <si>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</si>
  <si>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</si>
  <si>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</si>
  <si>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</si>
  <si>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</si>
  <si>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</si>
  <si>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</si>
  <si>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</si>
  <si>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</si>
  <si>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</si>
  <si>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</si>
  <si>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</si>
  <si>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</si>
  <si>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</si>
  <si>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</si>
  <si>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</si>
  <si>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</si>
  <si>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</si>
  <si>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</si>
  <si>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</si>
  <si>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</si>
  <si>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</si>
  <si>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</si>
  <si>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</si>
  <si>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</si>
  <si>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</si>
  <si>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</si>
  <si>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</si>
  <si>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</si>
  <si>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</si>
  <si>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</si>
  <si>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</si>
  <si>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</si>
  <si>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</si>
  <si>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</si>
  <si>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</si>
  <si>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</si>
  <si>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</si>
  <si>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</si>
  <si>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</si>
  <si>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</si>
  <si>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</si>
  <si>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</si>
  <si>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</si>
  <si>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</si>
  <si>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</si>
  <si>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</si>
  <si>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</si>
  <si>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</si>
  <si>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</si>
  <si>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</si>
  <si>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</si>
  <si>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</si>
  <si>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</si>
  <si>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</si>
  <si>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</si>
  <si>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</si>
  <si>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</si>
  <si>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</si>
  <si>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</si>
  <si>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</si>
  <si>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</si>
  <si>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</si>
  <si>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</si>
  <si>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</si>
  <si>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</si>
  <si>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</si>
  <si>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</si>
  <si>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</si>
  <si>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</si>
  <si>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</si>
  <si>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</si>
  <si>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</si>
  <si>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</si>
  <si>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</si>
  <si>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</si>
  <si>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</si>
  <si>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</si>
  <si>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</si>
  <si>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</si>
  <si>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</si>
  <si>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</si>
  <si>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</si>
  <si>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</si>
  <si>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</si>
  <si>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</si>
  <si>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</si>
  <si>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</si>
  <si>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</si>
  <si>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</si>
  <si>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</si>
  <si>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</si>
  <si>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</si>
  <si>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</si>
  <si>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</si>
  <si>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</si>
  <si>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</si>
  <si>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</si>
  <si>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</si>
  <si>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</si>
  <si>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</si>
  <si>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</si>
  <si>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</si>
  <si>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</si>
  <si>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</si>
  <si>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</si>
  <si>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</si>
  <si>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</si>
  <si>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</si>
  <si>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</si>
  <si>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</si>
  <si>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</si>
  <si>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</si>
  <si>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</si>
  <si>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</si>
  <si>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</si>
  <si>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</si>
  <si>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</si>
  <si>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</si>
  <si>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</si>
  <si>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</si>
  <si>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</si>
  <si>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</si>
  <si>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</si>
  <si>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</si>
  <si>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</si>
  <si>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</si>
  <si>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</si>
  <si>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</si>
  <si>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</si>
  <si>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</si>
  <si>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</si>
  <si>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</si>
  <si>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</si>
  <si>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</si>
  <si>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</si>
  <si>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</si>
  <si>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</si>
  <si>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</si>
  <si>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</si>
  <si>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</si>
  <si>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</si>
  <si>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</si>
  <si>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</si>
  <si>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</si>
  <si>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</si>
  <si>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</si>
  <si>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</si>
  <si>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</si>
  <si>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</si>
  <si>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</si>
  <si>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</si>
  <si>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</si>
  <si>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</si>
  <si>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</si>
  <si>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</si>
  <si>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</si>
  <si>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</si>
  <si>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</si>
  <si>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</si>
  <si>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</si>
  <si>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</si>
  <si>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</si>
  <si>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</si>
  <si>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</si>
  <si>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</si>
  <si>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</si>
  <si>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</si>
  <si>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</si>
  <si>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</si>
  <si>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</si>
  <si>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</si>
  <si>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</si>
  <si>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</si>
  <si>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</si>
  <si>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</si>
  <si>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</si>
  <si>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</si>
  <si>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</si>
  <si>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</si>
  <si>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</si>
  <si>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</si>
  <si>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</si>
  <si>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</si>
  <si>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</si>
  <si>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</si>
  <si>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</si>
  <si>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</si>
  <si>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</si>
  <si>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</si>
  <si>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</si>
  <si>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</si>
  <si>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</si>
  <si>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</si>
  <si>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</si>
  <si>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</si>
  <si>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</si>
  <si>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</si>
  <si>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</si>
  <si>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</si>
  <si>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</si>
  <si>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</si>
  <si>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</si>
  <si>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</si>
  <si>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</si>
  <si>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</si>
  <si>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</si>
  <si>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</si>
  <si>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</si>
  <si>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</si>
  <si>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</si>
  <si>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</si>
  <si>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</si>
  <si>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</si>
  <si>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</si>
  <si>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</si>
  <si>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</si>
  <si>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</si>
  <si>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</si>
  <si>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</si>
  <si>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</si>
  <si>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</si>
  <si>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</si>
  <si>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</si>
  <si>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</si>
  <si>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</si>
  <si>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</si>
  <si>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</si>
  <si>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</si>
  <si>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</si>
  <si>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</si>
  <si>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</si>
  <si>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</si>
  <si>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</si>
  <si>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</si>
  <si>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</si>
  <si>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</si>
  <si>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</si>
  <si>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</si>
  <si>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</si>
  <si>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</si>
  <si>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</si>
  <si>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</si>
  <si>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</si>
  <si>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</si>
  <si>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</si>
  <si>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</si>
  <si>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</si>
  <si>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</si>
  <si>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</si>
  <si>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</si>
  <si>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</si>
  <si>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</si>
  <si>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</si>
  <si>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</si>
  <si>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</si>
  <si>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</si>
  <si>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</si>
  <si>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</si>
  <si>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</si>
  <si>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</si>
  <si>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</si>
  <si>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</si>
  <si>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</si>
  <si>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</si>
  <si>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</si>
  <si>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</si>
  <si>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</si>
  <si>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</si>
  <si>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</si>
  <si>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</si>
  <si>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</si>
  <si>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</si>
  <si>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</si>
  <si>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</si>
  <si>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</si>
  <si>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</si>
  <si>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</si>
  <si>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</si>
  <si>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</si>
  <si>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</si>
  <si>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</si>
  <si>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</si>
  <si>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</si>
  <si>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</si>
  <si>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</si>
  <si>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</si>
  <si>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</si>
  <si>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</si>
  <si>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</si>
  <si>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</si>
  <si>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</si>
  <si>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</si>
  <si>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</si>
  <si>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</si>
  <si>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</si>
  <si>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</si>
  <si>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</si>
  <si>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</si>
  <si>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</si>
  <si>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</si>
  <si>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</si>
  <si>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</si>
  <si>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</si>
  <si>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</si>
  <si>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</si>
  <si>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</si>
  <si>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</si>
  <si>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</si>
  <si>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</si>
  <si>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</si>
  <si>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</si>
  <si>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</si>
  <si>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</si>
  <si>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</si>
  <si>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</si>
  <si>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</si>
  <si>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</si>
  <si>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</si>
  <si>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</si>
  <si>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</si>
  <si>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</si>
  <si>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</si>
  <si>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</si>
  <si>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</si>
  <si>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</si>
  <si>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</si>
  <si>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</si>
  <si>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</si>
  <si>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</si>
  <si>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</si>
  <si>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</si>
  <si>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</si>
  <si>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</si>
  <si>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</si>
  <si>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</si>
  <si>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</si>
  <si>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</si>
  <si>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</si>
  <si>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</si>
  <si>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</si>
  <si>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</si>
  <si>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</si>
  <si>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</si>
  <si>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</si>
  <si>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</si>
  <si>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</si>
  <si>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</si>
  <si>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</si>
  <si>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</si>
  <si>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</si>
  <si>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</si>
  <si>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</si>
  <si>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</si>
  <si>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</si>
  <si>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</si>
  <si>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</si>
  <si>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</si>
  <si>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</si>
  <si>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</si>
  <si>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</si>
  <si>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</si>
  <si>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</si>
  <si>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</si>
  <si>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</si>
  <si>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</si>
  <si>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</si>
  <si>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</si>
  <si>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</si>
  <si>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</si>
  <si>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</si>
  <si>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</si>
  <si>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</si>
  <si>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</si>
  <si>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</si>
  <si>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</si>
  <si>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</si>
  <si>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</si>
  <si>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</si>
  <si>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</si>
  <si>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</si>
  <si>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</si>
  <si>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</si>
  <si>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</si>
  <si>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</si>
  <si>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</si>
  <si>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</si>
  <si>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</si>
  <si>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</si>
  <si>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</si>
  <si>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</si>
  <si>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</si>
  <si>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</si>
  <si>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</si>
  <si>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</si>
  <si>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</si>
  <si>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</si>
  <si>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</si>
  <si>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</si>
  <si>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</si>
  <si>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</si>
  <si>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</si>
  <si>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</si>
  <si>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</si>
  <si>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</si>
  <si>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</si>
  <si>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</si>
  <si>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</si>
  <si>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</si>
  <si>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</si>
  <si>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</si>
  <si>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</si>
  <si>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</si>
  <si>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</si>
  <si>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</si>
  <si>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</si>
  <si>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</si>
  <si>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</si>
  <si>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</si>
  <si>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</si>
  <si>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</si>
  <si>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</si>
  <si>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</si>
  <si>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</si>
  <si>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</si>
  <si>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</si>
  <si>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</si>
  <si>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</si>
  <si>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</si>
  <si>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</si>
  <si>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</si>
  <si>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</si>
  <si>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</si>
  <si>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</si>
  <si>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</si>
  <si>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</si>
  <si>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</si>
  <si>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</si>
  <si>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</si>
  <si>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</si>
  <si>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</si>
  <si>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</si>
  <si>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</si>
  <si>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</si>
  <si>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</si>
  <si>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</si>
  <si>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</si>
  <si>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</si>
  <si>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</si>
  <si>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</si>
  <si>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</si>
  <si>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</si>
  <si>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</si>
  <si>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</si>
  <si>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</si>
  <si>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</si>
  <si>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</si>
  <si>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</si>
  <si>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</si>
  <si>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</si>
  <si>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</si>
  <si>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</si>
  <si>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</si>
  <si>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</si>
  <si>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</si>
  <si>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</si>
  <si>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</si>
  <si>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</si>
  <si>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</si>
  <si>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</si>
  <si>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</si>
  <si>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</si>
  <si>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</si>
  <si>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</si>
  <si>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</si>
  <si>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</si>
  <si>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</si>
  <si>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</si>
  <si>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</si>
  <si>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</si>
  <si>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</si>
  <si>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</si>
  <si>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</si>
  <si>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</si>
  <si>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</si>
  <si>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</si>
  <si>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</si>
  <si>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</si>
  <si>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</si>
  <si>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</si>
  <si>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</si>
  <si>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</si>
  <si>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</si>
  <si>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</si>
  <si>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</si>
  <si>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</si>
  <si>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</si>
  <si>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</si>
  <si>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</si>
  <si>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</si>
  <si>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</si>
  <si>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</si>
  <si>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</si>
  <si>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</si>
  <si>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</si>
  <si>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</si>
  <si>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</si>
  <si>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</si>
  <si>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</si>
  <si>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</si>
  <si>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</si>
  <si>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</si>
  <si>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</si>
  <si>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</si>
  <si>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</si>
  <si>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</si>
  <si>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</si>
  <si>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</si>
  <si>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</si>
  <si>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</si>
  <si>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</si>
  <si>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</si>
  <si>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</si>
  <si>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</si>
  <si>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</si>
  <si>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</si>
  <si>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</si>
  <si>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</si>
  <si>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</si>
  <si>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</si>
  <si>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</si>
  <si>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</si>
  <si>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</si>
  <si>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</si>
  <si>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</si>
  <si>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</si>
  <si>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</si>
  <si>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</si>
  <si>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</si>
  <si>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</si>
  <si>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</si>
  <si>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</si>
  <si>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</si>
  <si>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</si>
  <si>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</si>
  <si>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</si>
  <si>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</si>
  <si>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</si>
  <si>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</si>
  <si>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</si>
  <si>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</si>
  <si>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</si>
  <si>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</si>
  <si>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</si>
  <si>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</si>
  <si>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</si>
  <si>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</si>
  <si>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</si>
  <si>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</si>
  <si>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</si>
  <si>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</si>
  <si>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</si>
  <si>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</si>
  <si>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</si>
  <si>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</si>
  <si>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</si>
  <si>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</si>
  <si>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</si>
  <si>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</si>
  <si>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</si>
  <si>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</si>
  <si>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</si>
  <si>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</si>
  <si>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</si>
  <si>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</si>
  <si>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</si>
  <si>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</si>
  <si>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</si>
  <si>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</si>
  <si>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</si>
  <si>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</si>
  <si>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</si>
  <si>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</si>
  <si>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</si>
  <si>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</si>
  <si>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</si>
  <si>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</si>
  <si>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</si>
  <si>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</si>
  <si>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</si>
  <si>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</si>
  <si>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</si>
  <si>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</si>
  <si>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</si>
  <si>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</si>
  <si>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</si>
  <si>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</si>
  <si>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</si>
  <si>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</si>
  <si>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</si>
  <si>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</si>
  <si>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</si>
  <si>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</si>
  <si>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</si>
  <si>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</si>
  <si>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</si>
  <si>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</si>
  <si>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</si>
  <si>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</si>
  <si>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Processed data and data products that have undergone quality control</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</si>
  <si>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</si>
  <si>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"Processed data and data products that have undergone quality control"}</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</si>
  <si>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</si>
  <si>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</si>
  <si>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</si>
  <si>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</si>
  <si>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</si>
  <si>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</si>
  <si>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</si>
  <si>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</si>
  <si>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</si>
  <si>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</si>
  <si>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</si>
  <si>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</si>
  <si>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</si>
  <si>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</si>
  <si>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</si>
  <si>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</si>
  <si>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</si>
  <si>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</si>
  <si>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</si>
  <si>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</si>
  <si>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</si>
  <si>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</si>
  <si>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</si>
  <si>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</si>
  <si>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</si>
  <si>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</si>
  <si>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</si>
  <si>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</si>
  <si>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</si>
  <si>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</si>
  <si>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</si>
  <si>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</si>
  <si>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</si>
  <si>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</si>
  <si>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</si>
  <si>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</si>
  <si>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</si>
  <si>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</si>
  <si>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</si>
  <si>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</si>
  <si>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ExternalIDOrgs</t>
  </si>
  <si>
    <t>Identifier System Organization Name</t>
  </si>
  <si>
    <t>Citation External Identifiers</t>
  </si>
  <si>
    <t>Person External Identifiers</t>
  </si>
  <si>
    <t>Sampling Feature External Identifiers</t>
  </si>
  <si>
    <t>URI Structure</t>
  </si>
  <si>
    <t>http://app.geosamples.org/sample/igsn/</t>
  </si>
  <si>
    <t>ExternalIDNum</t>
  </si>
  <si>
    <t>IGSNID</t>
  </si>
  <si>
    <t>YODA: {Version: 1.0.0, Profile: TimeSeries, DateCreated: "2015-03-12", DateUpdated: "2015-03-12"}</t>
  </si>
  <si>
    <t># ORCIDs:</t>
  </si>
  <si>
    <t># IGSNS</t>
  </si>
  <si>
    <t>TODO:  Allow custom spatial references</t>
  </si>
  <si>
    <t>Derived products</t>
  </si>
  <si>
    <t>Derived products that require scientific and technical interpretation and may include multiple-sensor data. An example is basin average precipitation derived from rain gages using an interpolation procedure.</t>
  </si>
  <si>
    <t>Interpreted products</t>
  </si>
  <si>
    <t>Knowledge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</si>
  <si>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</si>
  <si>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</si>
  <si>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</si>
  <si>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</si>
  <si>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</si>
  <si>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</si>
  <si>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</si>
  <si>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</si>
  <si>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</si>
  <si>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</si>
  <si>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</si>
  <si>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</si>
  <si>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 xml:space="preserve">  - &amp;DataSetID0001 {DataSetUUID:  NULLPLEASE FILL IN THE DATASET TYPE IN THE DATASET CITATION TABPLEASE FILL IN THE DATASET CODE IN THE DATASET CITATION TABPLEASE FILL IN THE DATASET TITLE IN THE DATASET CITATION TAB,  DataSetAbstract:  NULL}</t>
  </si>
  <si>
    <t xml:space="preserve">  - &amp;PersonID0002 {PersonFirstName:  NULL, PersonMiddleName:  NULL, PersonLastName:  NULL}</t>
  </si>
  <si>
    <t xml:space="preserve">  - &amp;PersonID0003 {PersonFirstName:  NULL, PersonMiddleName:  NULL, PersonLastName:  NULL}</t>
  </si>
  <si>
    <t xml:space="preserve">  - &amp;PersonID0004 {PersonFirstName:  NULL, PersonMiddleName:  NULL, PersonLastName:  NULL}</t>
  </si>
  <si>
    <t xml:space="preserve">  - &amp;PersonID0005 {PersonFirstName:  NULL, PersonMiddleName:  NULL, PersonLastName:  NULL}</t>
  </si>
  <si>
    <t xml:space="preserve">  - &amp;PersonID0006 {PersonFirstName:  NULL, PersonMiddleName:  NULL, PersonLastName:  NULL}</t>
  </si>
  <si>
    <t xml:space="preserve">  - &amp;PersonID0007 {PersonFirstName:  NULL, PersonMiddleName:  NULL, PersonLastName:  NULL}</t>
  </si>
  <si>
    <t xml:space="preserve">  - &amp;PersonID0008 {PersonFirstName:  NULL, PersonMiddleName:  NULL, PersonLastName:  NULL}</t>
  </si>
  <si>
    <t xml:space="preserve">  - &amp;PersonID0009 {PersonFirstName:  NULL, PersonMiddleName:  NULL, PersonLastName:  NULL}</t>
  </si>
  <si>
    <t xml:space="preserve">  - &amp;PersonID0010 {PersonFirstName:  NULL, PersonMiddleName:  NULL, PersonLastName: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</si>
</sst>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3" fillId="3" borderId="4" xfId="3" applyFill="1" applyBorder="1"/>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border outline="0">
        <left style="medium">
          <color auto="1"/>
        </left>
        <right style="medium">
          <color auto="1"/>
        </right>
        <top style="thin">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5" dataDxfId="15" tableBorderDxfId="143">
  <autoFilter ref="A8:E18"/>
  <tableColumns count="5">
    <tableColumn id="1" name="Organization Type [CV]" dataDxfId="20"/>
    <tableColumn id="2" name="Organization Code" dataDxfId="19"/>
    <tableColumn id="3" name="Organization Name" dataDxfId="18"/>
    <tableColumn id="4" name="Organization Description" dataDxfId="17"/>
    <tableColumn id="5" name="Organization Link" dataDxfId="1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7" dataDxfId="6" headerRowBorderDxfId="142" tableBorderDxfId="141">
  <autoFilter ref="A23:I33"/>
  <tableColumns count="9">
    <tableColumn id="1" name="First Name" dataDxfId="14"/>
    <tableColumn id="2" name="Middle Name" dataDxfId="13"/>
    <tableColumn id="3" name="Last Name" dataDxfId="12"/>
    <tableColumn id="4" name="Person OrcID" dataDxfId="11"/>
    <tableColumn id="5" name="Organization Name" dataDxfId="10"/>
    <tableColumn id="6" name="Primary Email" dataDxfId="9"/>
    <tableColumn id="7" name="Primary Address" dataDxfId="8"/>
    <tableColumn id="8" name="Full Name" dataDxfId="4">
      <calculatedColumnFormula>CONCATENATE(People[[#This Row],[First Name]]," ",People[[#This Row],[Middle Name]]," ",People[[#This Row],[Last Name]])</calculatedColumnFormula>
    </tableColumn>
    <tableColumn id="9" name="ExternalIDNum" dataDxfId="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40" dataDxfId="138" headerRowBorderDxfId="139" tableBorderDxfId="137">
  <autoFilter ref="A17:B27"/>
  <tableColumns count="2">
    <tableColumn id="1" name="Author Number" dataDxfId="136"/>
    <tableColumn id="2" name="Author Name" dataDxfId="13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34" dataDxfId="132" headerRowBorderDxfId="133" tableBorderDxfId="131">
  <autoFilter ref="A10:J60"/>
  <tableColumns count="10">
    <tableColumn id="1" name="Sampling Feature UUID" dataDxfId="130"/>
    <tableColumn id="2" name="Sampling Feature Type" dataDxfId="129"/>
    <tableColumn id="3" name="Feature Geo Type" dataDxfId="128"/>
    <tableColumn id="4" name="Feature Code" dataDxfId="127"/>
    <tableColumn id="5" name="Feature Name" dataDxfId="126"/>
    <tableColumn id="6" name="Feature Description" dataDxfId="125"/>
    <tableColumn id="7" name="Feature Geometry" dataDxfId="124"/>
    <tableColumn id="8" name="Elevation_m" dataDxfId="123"/>
    <tableColumn id="9" name="Feature IGSN" dataDxfId="122"/>
    <tableColumn id="10" name="IGSNID" dataDxfId="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21" dataDxfId="119" headerRowBorderDxfId="120" tableBorderDxfId="118">
  <autoFilter ref="L10:O60"/>
  <tableColumns count="4">
    <tableColumn id="4" name="SiteID" dataDxfId="21">
      <calculatedColumnFormula>IF(SamplingFeatures[[#This Row],[Sampling Feature Type]]="Site",MAX(L$10:L10)+1,"")</calculatedColumnFormula>
    </tableColumn>
    <tableColumn id="1" name="Site Type" dataDxfId="117">
      <calculatedColumnFormula>IF($B11="Site","SELECT VALUE","")</calculatedColumnFormula>
    </tableColumn>
    <tableColumn id="2" name="Latitude" dataDxfId="116">
      <calculatedColumnFormula>IF($B11="site","ENTER VALUE","")</calculatedColumnFormula>
    </tableColumn>
    <tableColumn id="3" name="Longitude" dataDxfId="11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114" dataDxfId="112" headerRowBorderDxfId="113" tableBorderDxfId="111">
  <autoFilter ref="Q10:T60"/>
  <tableColumns count="4">
    <tableColumn id="4" name="SpecimenID" dataDxfId="110">
      <calculatedColumnFormula>IF(SamplingFeatures[[#This Row],[Sampling Feature Type]]="Specimen",MAX(Q$10:Q10)+1,"")</calculatedColumnFormula>
    </tableColumn>
    <tableColumn id="1" name="Specimen Type" dataDxfId="109">
      <calculatedColumnFormula>IF($B11="Specimen","SELECT VALUE","")</calculatedColumnFormula>
    </tableColumn>
    <tableColumn id="2" name="Specimen Medium" dataDxfId="108">
      <calculatedColumnFormula>IF($B11="Specimen","SELECT VALUE","")</calculatedColumnFormula>
    </tableColumn>
    <tableColumn id="3" name="Is Field Specimen?" dataDxfId="10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106" dataDxfId="104" headerRowBorderDxfId="105" tableBorderDxfId="103">
  <autoFilter ref="A6:K38"/>
  <tableColumns count="11">
    <tableColumn id="1" name="First Sampling Feature Code" dataDxfId="102"/>
    <tableColumn id="2" name="Relationship Type" dataDxfId="101"/>
    <tableColumn id="3" name="Second Sampling Feature Code" dataDxfId="100"/>
    <tableColumn id="5" name="Spatial Offset Type" dataDxfId="99"/>
    <tableColumn id="6" name="Offset 1 Value" dataDxfId="98"/>
    <tableColumn id="7" name="Offset 1 Unit" dataDxfId="97"/>
    <tableColumn id="8" name="Offset 2 Value" dataDxfId="96"/>
    <tableColumn id="9" name="Offset 2 Unit" dataDxfId="95"/>
    <tableColumn id="10" name="Offset 3 Value" dataDxfId="94"/>
    <tableColumn id="11" name="Offset 3 Unit" dataDxfId="93"/>
    <tableColumn id="12" name="OffsetID" dataDxfId="9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91" dataDxfId="89" headerRowBorderDxfId="90" tableBorderDxfId="88">
  <autoFilter ref="A6:F27"/>
  <tableColumns count="6">
    <tableColumn id="1" name="Method Type" dataDxfId="87"/>
    <tableColumn id="2" name="Method Code" dataDxfId="86"/>
    <tableColumn id="3" name="Method Name" dataDxfId="85"/>
    <tableColumn id="4" name="Method Description" dataDxfId="84"/>
    <tableColumn id="5" name="Method Link" dataDxfId="83"/>
    <tableColumn id="6" name="Organization Name" dataDxfId="8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81" dataDxfId="79" headerRowBorderDxfId="80" tableBorderDxfId="78">
  <autoFilter ref="A6:F25"/>
  <tableColumns count="6">
    <tableColumn id="1" name="Variable Type" dataDxfId="77"/>
    <tableColumn id="2" name="Variable Code" dataDxfId="76"/>
    <tableColumn id="3" name="Variable Name" dataDxfId="75"/>
    <tableColumn id="4" name="Variable Definition" dataDxfId="74"/>
    <tableColumn id="5" name="Speciation" dataDxfId="73"/>
    <tableColumn id="6" name="No Data Value" dataDxfId="7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71" dataDxfId="69" headerRowBorderDxfId="70" tableBorderDxfId="68">
  <autoFilter ref="A6:C24"/>
  <tableColumns count="3">
    <tableColumn id="1" name="Processing Level Code" dataDxfId="67"/>
    <tableColumn id="2" name="Definition" dataDxfId="66"/>
    <tableColumn id="3" name="Explanation" dataDxfId="6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64" dataDxfId="62" headerRowBorderDxfId="63" tableBorderDxfId="61">
  <autoFilter ref="A11:O98"/>
  <tableColumns count="15">
    <tableColumn id="1" name="Col #" dataDxfId="60">
      <calculatedColumnFormula>IF(COUNTA(DataColumns[[#This Row],[Column Label]:[Quality Code]])&gt;0,IF(MAX(A$11:A11)=0,3,MAX(A$11:A11)+1),"")</calculatedColumnFormula>
    </tableColumn>
    <tableColumn id="2" name="Column Label" dataDxfId="59"/>
    <tableColumn id="3" name="ResultUUID" dataDxfId="58"/>
    <tableColumn id="4" name="Sampling Feature Code" dataDxfId="57"/>
    <tableColumn id="5" name="Method Code" dataDxfId="56"/>
    <tableColumn id="6" name="Result Type" dataDxfId="55"/>
    <tableColumn id="7" name="Variable Code" dataDxfId="54"/>
    <tableColumn id="8" name="Unit Name" dataDxfId="53"/>
    <tableColumn id="9" name="Processing Level" dataDxfId="52"/>
    <tableColumn id="11" name="Sampled Medium" dataDxfId="51"/>
    <tableColumn id="12" name="Time Aggregation Interval" dataDxfId="50"/>
    <tableColumn id="13" name="Time Aggregation Unit" dataDxfId="49"/>
    <tableColumn id="14" name="Aggregation Statistic" dataDxfId="48"/>
    <tableColumn id="15" name="Censor Code" dataDxfId="47"/>
    <tableColumn id="16" name="Quality Code" dataDxfId="4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4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44" headerRowBorderDxfId="43" tableBorderDxfId="42">
  <autoFilter ref="A4:D8"/>
  <tableColumns count="4">
    <tableColumn id="1" name="SRSCode" dataDxfId="41"/>
    <tableColumn id="2" name="SRSName" dataDxfId="40"/>
    <tableColumn id="3" name="SRSDescription" dataDxfId="39"/>
    <tableColumn id="4" name="SRSLink" dataDxfId="3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37" headerRowBorderDxfId="36" tableBorderDxfId="35">
  <autoFilter ref="A17:E20"/>
  <tableColumns count="5">
    <tableColumn id="1" name="External Identifier System Name" dataDxfId="34"/>
    <tableColumn id="2" name="Identifier System Organization Name" dataDxfId="33"/>
    <tableColumn id="3" name="External Identifier System Descrption" dataDxfId="32"/>
    <tableColumn id="4" name="External Identifier System URL" dataDxfId="31" dataCellStyle="Hyperlink"/>
    <tableColumn id="5" name="URI Structure" dataDxfId="22"/>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30" headerRowBorderDxfId="29" tableBorderDxfId="28">
  <autoFilter ref="A4:E7"/>
  <tableColumns count="5">
    <tableColumn id="1" name="Organization Type [CV]" dataDxfId="27"/>
    <tableColumn id="2" name="Organization Code" dataDxfId="26"/>
    <tableColumn id="3" name="Organization Name" dataDxfId="25"/>
    <tableColumn id="4" name="Organization Description" dataDxfId="24"/>
    <tableColumn id="5" name="Organization Link" dataDxfId="2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A33" sqref="A33"/>
    </sheetView>
  </sheetViews>
  <sheetFormatPr defaultRowHeight="15" x14ac:dyDescent="0.25"/>
  <sheetData>
    <row r="1" spans="1:1" ht="18.75" x14ac:dyDescent="0.3">
      <c r="A1" s="6" t="s">
        <v>1252</v>
      </c>
    </row>
    <row r="2" spans="1:1" s="5" customFormat="1" x14ac:dyDescent="0.25">
      <c r="A2" s="5" t="s">
        <v>1280</v>
      </c>
    </row>
    <row r="3" spans="1:1" s="5" customFormat="1" x14ac:dyDescent="0.25"/>
    <row r="4" spans="1:1" ht="18.75" x14ac:dyDescent="0.3">
      <c r="A4" s="6" t="s">
        <v>1251</v>
      </c>
    </row>
    <row r="5" spans="1:1" s="5" customFormat="1" x14ac:dyDescent="0.25">
      <c r="A5" s="5" t="s">
        <v>1305</v>
      </c>
    </row>
    <row r="6" spans="1:1" s="5" customFormat="1" x14ac:dyDescent="0.25">
      <c r="A6" s="5" t="s">
        <v>1284</v>
      </c>
    </row>
    <row r="7" spans="1:1" s="5" customFormat="1" x14ac:dyDescent="0.25">
      <c r="A7" s="5" t="s">
        <v>1313</v>
      </c>
    </row>
    <row r="8" spans="1:1" s="5" customFormat="1" x14ac:dyDescent="0.25">
      <c r="A8" s="5" t="s">
        <v>1294</v>
      </c>
    </row>
    <row r="9" spans="1:1" s="5" customFormat="1" x14ac:dyDescent="0.25">
      <c r="A9" s="5" t="s">
        <v>1285</v>
      </c>
    </row>
    <row r="10" spans="1:1" s="5" customFormat="1" x14ac:dyDescent="0.25">
      <c r="A10" s="5" t="s">
        <v>1283</v>
      </c>
    </row>
    <row r="11" spans="1:1" s="5" customFormat="1" x14ac:dyDescent="0.25">
      <c r="A11" s="5" t="s">
        <v>1286</v>
      </c>
    </row>
    <row r="12" spans="1:1" s="5" customFormat="1" x14ac:dyDescent="0.25">
      <c r="A12" s="5" t="s">
        <v>1304</v>
      </c>
    </row>
    <row r="13" spans="1:1" s="5" customFormat="1" x14ac:dyDescent="0.25">
      <c r="A13" s="5" t="s">
        <v>1302</v>
      </c>
    </row>
    <row r="14" spans="1:1" s="5" customFormat="1" x14ac:dyDescent="0.25">
      <c r="A14" s="5" t="s">
        <v>1287</v>
      </c>
    </row>
    <row r="15" spans="1:1" s="5" customFormat="1" x14ac:dyDescent="0.25">
      <c r="A15" s="5" t="s">
        <v>1288</v>
      </c>
    </row>
    <row r="16" spans="1:1" s="5" customFormat="1" x14ac:dyDescent="0.25">
      <c r="A16" s="5" t="s">
        <v>1301</v>
      </c>
    </row>
    <row r="17" spans="1:1" s="5" customFormat="1" x14ac:dyDescent="0.25">
      <c r="A17" s="5" t="s">
        <v>1303</v>
      </c>
    </row>
    <row r="18" spans="1:1" s="5" customFormat="1" x14ac:dyDescent="0.25">
      <c r="A18" s="5" t="s">
        <v>1309</v>
      </c>
    </row>
    <row r="19" spans="1:1" s="5" customFormat="1" x14ac:dyDescent="0.25">
      <c r="A19" s="5" t="s">
        <v>1306</v>
      </c>
    </row>
    <row r="20" spans="1:1" s="5" customFormat="1" x14ac:dyDescent="0.25">
      <c r="A20" s="5" t="s">
        <v>1308</v>
      </c>
    </row>
    <row r="21" spans="1:1" s="5" customFormat="1" x14ac:dyDescent="0.25">
      <c r="A21" s="5" t="s">
        <v>1311</v>
      </c>
    </row>
    <row r="22" spans="1:1" s="5" customFormat="1" x14ac:dyDescent="0.25">
      <c r="A22" s="5" t="s">
        <v>1312</v>
      </c>
    </row>
    <row r="23" spans="1:1" s="5" customFormat="1" x14ac:dyDescent="0.25">
      <c r="A23" s="5" t="s">
        <v>1314</v>
      </c>
    </row>
    <row r="24" spans="1:1" s="5" customFormat="1" x14ac:dyDescent="0.25">
      <c r="A24" s="5" t="s">
        <v>1315</v>
      </c>
    </row>
    <row r="25" spans="1:1" s="5" customFormat="1" x14ac:dyDescent="0.25">
      <c r="A25" s="5" t="s">
        <v>1316</v>
      </c>
    </row>
    <row r="26" spans="1:1" s="5" customFormat="1" x14ac:dyDescent="0.25"/>
    <row r="27" spans="1:1" ht="18.75" x14ac:dyDescent="0.3">
      <c r="A27" s="6" t="s">
        <v>1253</v>
      </c>
    </row>
    <row r="28" spans="1:1" s="5" customFormat="1" x14ac:dyDescent="0.25">
      <c r="A28" s="5" t="s">
        <v>1307</v>
      </c>
    </row>
    <row r="29" spans="1:1" x14ac:dyDescent="0.25">
      <c r="A29" s="5" t="s">
        <v>1290</v>
      </c>
    </row>
    <row r="30" spans="1:1" x14ac:dyDescent="0.25">
      <c r="A30" s="5" t="s">
        <v>1291</v>
      </c>
    </row>
    <row r="31" spans="1:1" s="5" customFormat="1" x14ac:dyDescent="0.25">
      <c r="A31" s="5" t="s">
        <v>1292</v>
      </c>
    </row>
    <row r="32" spans="1:1" s="5" customFormat="1" x14ac:dyDescent="0.25">
      <c r="A32" s="5" t="s">
        <v>1323</v>
      </c>
    </row>
    <row r="33" spans="1:1" x14ac:dyDescent="0.25">
      <c r="A33" s="5" t="s">
        <v>1289</v>
      </c>
    </row>
    <row r="34" spans="1:1" x14ac:dyDescent="0.25">
      <c r="A34" t="s">
        <v>1293</v>
      </c>
    </row>
    <row r="35" spans="1:1" x14ac:dyDescent="0.25">
      <c r="A35" s="5" t="s">
        <v>1295</v>
      </c>
    </row>
    <row r="36" spans="1:1" x14ac:dyDescent="0.25">
      <c r="A36" s="5" t="s">
        <v>1296</v>
      </c>
    </row>
    <row r="37" spans="1:1" x14ac:dyDescent="0.25">
      <c r="A37" s="5" t="s">
        <v>1297</v>
      </c>
    </row>
    <row r="38" spans="1:1" x14ac:dyDescent="0.25">
      <c r="A38" s="5" t="s">
        <v>1298</v>
      </c>
    </row>
    <row r="39" spans="1:1" x14ac:dyDescent="0.25">
      <c r="A39" s="5" t="s">
        <v>1299</v>
      </c>
    </row>
    <row r="40" spans="1:1" x14ac:dyDescent="0.25">
      <c r="A40" s="5" t="s">
        <v>1300</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G15" sqref="G15"/>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25" style="7" customWidth="1"/>
    <col min="7" max="7" width="45.42578125" style="7" customWidth="1"/>
    <col min="8" max="9" width="3.7109375" style="53" customWidth="1"/>
    <col min="10" max="16384" width="8.85546875" style="7"/>
  </cols>
  <sheetData>
    <row r="1" spans="1:8" x14ac:dyDescent="0.25">
      <c r="A1" s="32" t="s">
        <v>302</v>
      </c>
    </row>
    <row r="2" spans="1:8" x14ac:dyDescent="0.25">
      <c r="A2" s="32" t="s">
        <v>1112</v>
      </c>
    </row>
    <row r="3" spans="1:8" x14ac:dyDescent="0.25">
      <c r="A3" s="32" t="s">
        <v>193</v>
      </c>
    </row>
    <row r="4" spans="1:8" x14ac:dyDescent="0.25">
      <c r="A4" s="32" t="s">
        <v>305</v>
      </c>
    </row>
    <row r="5" spans="1:8" x14ac:dyDescent="0.25">
      <c r="A5" s="32" t="s">
        <v>202</v>
      </c>
    </row>
    <row r="6" spans="1:8" ht="15.75" thickBot="1" x14ac:dyDescent="0.3"/>
    <row r="7" spans="1:8" ht="15.75" thickBot="1" x14ac:dyDescent="0.3">
      <c r="A7" s="176" t="s">
        <v>155</v>
      </c>
      <c r="B7" s="177"/>
      <c r="C7" s="177"/>
      <c r="D7" s="177"/>
      <c r="E7" s="178"/>
      <c r="G7" s="33" t="s">
        <v>1271</v>
      </c>
      <c r="H7" s="69">
        <f>COUNTA(OrganizationNames)</f>
        <v>0</v>
      </c>
    </row>
    <row r="8" spans="1:8" ht="15.75" thickBot="1" x14ac:dyDescent="0.3">
      <c r="A8" s="80" t="s">
        <v>156</v>
      </c>
      <c r="B8" s="81" t="s">
        <v>157</v>
      </c>
      <c r="C8" s="81" t="s">
        <v>19</v>
      </c>
      <c r="D8" s="82" t="s">
        <v>158</v>
      </c>
      <c r="E8" s="83" t="s">
        <v>159</v>
      </c>
      <c r="G8" s="33" t="s">
        <v>1272</v>
      </c>
      <c r="H8" s="69">
        <f>COUNTA(PeopleNames)</f>
        <v>10</v>
      </c>
    </row>
    <row r="9" spans="1:8" ht="16.5" thickTop="1" thickBot="1" x14ac:dyDescent="0.3">
      <c r="A9" s="8"/>
      <c r="B9" s="9"/>
      <c r="C9" s="9"/>
      <c r="D9" s="10"/>
      <c r="E9" s="11"/>
      <c r="G9" s="33" t="s">
        <v>1373</v>
      </c>
      <c r="H9" s="69">
        <f>MAX(People[ExternalIDNum])</f>
        <v>0</v>
      </c>
    </row>
    <row r="10" spans="1:8" x14ac:dyDescent="0.25">
      <c r="A10" s="12"/>
      <c r="B10" s="13"/>
      <c r="C10" s="13"/>
      <c r="D10" s="14"/>
      <c r="E10" s="15"/>
    </row>
    <row r="11" spans="1:8" x14ac:dyDescent="0.25">
      <c r="A11" s="12"/>
      <c r="B11" s="13"/>
      <c r="C11" s="13"/>
      <c r="D11" s="14"/>
      <c r="E11" s="16"/>
    </row>
    <row r="12" spans="1:8" x14ac:dyDescent="0.25">
      <c r="A12" s="12"/>
      <c r="B12" s="13"/>
      <c r="C12" s="13"/>
      <c r="D12" s="14"/>
      <c r="E12" s="16"/>
    </row>
    <row r="13" spans="1:8" x14ac:dyDescent="0.25">
      <c r="A13" s="12"/>
      <c r="B13" s="13"/>
      <c r="C13" s="13"/>
      <c r="D13" s="14"/>
      <c r="E13" s="16"/>
    </row>
    <row r="14" spans="1:8" x14ac:dyDescent="0.25">
      <c r="A14" s="12"/>
      <c r="B14" s="13"/>
      <c r="C14" s="13"/>
      <c r="D14" s="14"/>
      <c r="E14" s="16"/>
    </row>
    <row r="15" spans="1:8" x14ac:dyDescent="0.25">
      <c r="A15" s="12"/>
      <c r="B15" s="13"/>
      <c r="C15" s="13"/>
      <c r="D15" s="14"/>
      <c r="E15" s="16"/>
    </row>
    <row r="16" spans="1:8" x14ac:dyDescent="0.25">
      <c r="A16" s="12"/>
      <c r="B16" s="13"/>
      <c r="C16" s="13"/>
      <c r="D16" s="14"/>
      <c r="E16" s="16"/>
    </row>
    <row r="17" spans="1:9" x14ac:dyDescent="0.25">
      <c r="A17" s="12"/>
      <c r="B17" s="13"/>
      <c r="C17" s="13"/>
      <c r="D17" s="14"/>
      <c r="E17" s="16"/>
    </row>
    <row r="18" spans="1:9" x14ac:dyDescent="0.25">
      <c r="A18" s="17"/>
      <c r="B18" s="18"/>
      <c r="C18" s="18"/>
      <c r="D18" s="19"/>
      <c r="E18" s="20"/>
    </row>
    <row r="19" spans="1:9" x14ac:dyDescent="0.25">
      <c r="H19" s="7"/>
      <c r="I19" s="7"/>
    </row>
    <row r="20" spans="1:9" x14ac:dyDescent="0.25">
      <c r="H20" s="7"/>
      <c r="I20" s="7"/>
    </row>
    <row r="21" spans="1:9" ht="15.75" thickBot="1" x14ac:dyDescent="0.3">
      <c r="H21" s="7"/>
      <c r="I21" s="7"/>
    </row>
    <row r="22" spans="1:9" x14ac:dyDescent="0.25">
      <c r="A22" s="179" t="s">
        <v>154</v>
      </c>
      <c r="B22" s="180"/>
      <c r="C22" s="180"/>
      <c r="D22" s="180"/>
      <c r="E22" s="180"/>
      <c r="F22" s="180"/>
      <c r="G22" s="180"/>
      <c r="H22" s="21"/>
    </row>
    <row r="23" spans="1:9" ht="15.75" thickBot="1" x14ac:dyDescent="0.3">
      <c r="A23" s="78" t="s">
        <v>15</v>
      </c>
      <c r="B23" s="84" t="s">
        <v>16</v>
      </c>
      <c r="C23" s="73" t="s">
        <v>17</v>
      </c>
      <c r="D23" s="85" t="s">
        <v>1348</v>
      </c>
      <c r="E23" s="73" t="s">
        <v>19</v>
      </c>
      <c r="F23" s="73" t="s">
        <v>18</v>
      </c>
      <c r="G23" s="76" t="s">
        <v>190</v>
      </c>
      <c r="H23" s="35" t="s">
        <v>303</v>
      </c>
      <c r="I23" s="35" t="s">
        <v>1370</v>
      </c>
    </row>
    <row r="24" spans="1:9" ht="15.75" thickTop="1" x14ac:dyDescent="0.25">
      <c r="A24" s="22"/>
      <c r="B24" s="23"/>
      <c r="C24" s="23"/>
      <c r="D24" s="24"/>
      <c r="E24" s="23"/>
      <c r="F24" s="25"/>
      <c r="G24" s="26"/>
      <c r="H24" s="173" t="str">
        <f>CONCATENATE(People[[#This Row],[First Name]]," ",People[[#This Row],[Middle Name]]," ",People[[#This Row],[Last Name]])</f>
        <v xml:space="preserve">  </v>
      </c>
      <c r="I24" s="181" t="str">
        <f>IF(People[[#This Row],[Person OrcID]]&lt;&gt;"",MAX(I$23:I23)+1,"")</f>
        <v/>
      </c>
    </row>
    <row r="25" spans="1:9" x14ac:dyDescent="0.25">
      <c r="A25" s="12"/>
      <c r="B25" s="13"/>
      <c r="C25" s="13"/>
      <c r="D25" s="27"/>
      <c r="E25" s="13"/>
      <c r="F25" s="28"/>
      <c r="G25" s="26"/>
      <c r="H25" s="172" t="str">
        <f>CONCATENATE(People[[#This Row],[First Name]]," ",People[[#This Row],[Middle Name]]," ",People[[#This Row],[Last Name]])</f>
        <v xml:space="preserve">  </v>
      </c>
      <c r="I25" s="182" t="str">
        <f>IF(People[[#This Row],[Person OrcID]]&lt;&gt;"",MAX(I$23:I24)+1,"")</f>
        <v/>
      </c>
    </row>
    <row r="26" spans="1:9" x14ac:dyDescent="0.25">
      <c r="A26" s="12"/>
      <c r="B26" s="13"/>
      <c r="C26" s="13"/>
      <c r="D26" s="27"/>
      <c r="E26" s="13"/>
      <c r="F26" s="28"/>
      <c r="G26" s="171"/>
      <c r="H26" s="172" t="str">
        <f>CONCATENATE(People[[#This Row],[First Name]]," ",People[[#This Row],[Middle Name]]," ",People[[#This Row],[Last Name]])</f>
        <v xml:space="preserve">  </v>
      </c>
      <c r="I26" s="182" t="str">
        <f>IF(People[[#This Row],[Person OrcID]]&lt;&gt;"",MAX(I$23:I25)+1,"")</f>
        <v/>
      </c>
    </row>
    <row r="27" spans="1:9" x14ac:dyDescent="0.25">
      <c r="A27" s="12"/>
      <c r="B27" s="13"/>
      <c r="C27" s="13"/>
      <c r="D27" s="27"/>
      <c r="E27" s="13"/>
      <c r="F27" s="28"/>
      <c r="G27" s="29"/>
      <c r="H27" s="172" t="str">
        <f>CONCATENATE(People[[#This Row],[First Name]]," ",People[[#This Row],[Middle Name]]," ",People[[#This Row],[Last Name]])</f>
        <v xml:space="preserve">  </v>
      </c>
      <c r="I27" s="182" t="str">
        <f>IF(People[[#This Row],[Person OrcID]]&lt;&gt;"",MAX(I$23:I26)+1,"")</f>
        <v/>
      </c>
    </row>
    <row r="28" spans="1:9" x14ac:dyDescent="0.25">
      <c r="A28" s="12"/>
      <c r="B28" s="13"/>
      <c r="C28" s="13"/>
      <c r="D28" s="27"/>
      <c r="E28" s="13"/>
      <c r="F28" s="28"/>
      <c r="G28" s="29"/>
      <c r="H28" s="172" t="str">
        <f>CONCATENATE(People[[#This Row],[First Name]]," ",People[[#This Row],[Middle Name]]," ",People[[#This Row],[Last Name]])</f>
        <v xml:space="preserve">  </v>
      </c>
      <c r="I28" s="182" t="str">
        <f>IF(People[[#This Row],[Person OrcID]]&lt;&gt;"",MAX(I$23:I27)+1,"")</f>
        <v/>
      </c>
    </row>
    <row r="29" spans="1:9" x14ac:dyDescent="0.25">
      <c r="A29" s="12"/>
      <c r="B29" s="13"/>
      <c r="C29" s="13"/>
      <c r="D29" s="27"/>
      <c r="E29" s="13"/>
      <c r="F29" s="13"/>
      <c r="G29" s="29"/>
      <c r="H29" s="172" t="str">
        <f>CONCATENATE(People[[#This Row],[First Name]]," ",People[[#This Row],[Middle Name]]," ",People[[#This Row],[Last Name]])</f>
        <v xml:space="preserve">  </v>
      </c>
      <c r="I29" s="182" t="str">
        <f>IF(People[[#This Row],[Person OrcID]]&lt;&gt;"",MAX(I$23:I28)+1,"")</f>
        <v/>
      </c>
    </row>
    <row r="30" spans="1:9" x14ac:dyDescent="0.25">
      <c r="A30" s="12"/>
      <c r="B30" s="13"/>
      <c r="C30" s="13"/>
      <c r="D30" s="27"/>
      <c r="E30" s="13"/>
      <c r="F30" s="13"/>
      <c r="G30" s="29"/>
      <c r="H30" s="172" t="str">
        <f>CONCATENATE(People[[#This Row],[First Name]]," ",People[[#This Row],[Middle Name]]," ",People[[#This Row],[Last Name]])</f>
        <v xml:space="preserve">  </v>
      </c>
      <c r="I30" s="182" t="str">
        <f>IF(People[[#This Row],[Person OrcID]]&lt;&gt;"",MAX(I$23:I29)+1,"")</f>
        <v/>
      </c>
    </row>
    <row r="31" spans="1:9" x14ac:dyDescent="0.25">
      <c r="A31" s="12"/>
      <c r="B31" s="13"/>
      <c r="C31" s="13"/>
      <c r="D31" s="27"/>
      <c r="E31" s="13"/>
      <c r="F31" s="13"/>
      <c r="G31" s="29"/>
      <c r="H31" s="172" t="str">
        <f>CONCATENATE(People[[#This Row],[First Name]]," ",People[[#This Row],[Middle Name]]," ",People[[#This Row],[Last Name]])</f>
        <v xml:space="preserve">  </v>
      </c>
      <c r="I31" s="182" t="str">
        <f>IF(People[[#This Row],[Person OrcID]]&lt;&gt;"",MAX(I$23:I30)+1,"")</f>
        <v/>
      </c>
    </row>
    <row r="32" spans="1:9" x14ac:dyDescent="0.25">
      <c r="A32" s="12"/>
      <c r="B32" s="13"/>
      <c r="C32" s="13"/>
      <c r="D32" s="27"/>
      <c r="E32" s="13"/>
      <c r="F32" s="13"/>
      <c r="G32" s="29"/>
      <c r="H32" s="172" t="str">
        <f>CONCATENATE(People[[#This Row],[First Name]]," ",People[[#This Row],[Middle Name]]," ",People[[#This Row],[Last Name]])</f>
        <v xml:space="preserve">  </v>
      </c>
      <c r="I32" s="182" t="str">
        <f>IF(People[[#This Row],[Person OrcID]]&lt;&gt;"",MAX(I$23:I31)+1,"")</f>
        <v/>
      </c>
    </row>
    <row r="33" spans="1:9" ht="15.75" thickBot="1" x14ac:dyDescent="0.3">
      <c r="A33" s="17"/>
      <c r="B33" s="18"/>
      <c r="C33" s="18"/>
      <c r="D33" s="30"/>
      <c r="E33" s="18"/>
      <c r="F33" s="18"/>
      <c r="G33" s="31"/>
      <c r="H33" s="174" t="str">
        <f>CONCATENATE(People[[#This Row],[First Name]]," ",People[[#This Row],[Middle Name]]," ",People[[#This Row],[Last Name]])</f>
        <v xml:space="preserve">  </v>
      </c>
      <c r="I33" s="183" t="str">
        <f>IF(People[[#This Row],[Person OrcID]]&lt;&gt;"",MAX(I$23:I32)+1,"")</f>
        <v/>
      </c>
    </row>
  </sheetData>
  <sheetProtection password="CA31" sheet="1" objects="1" scenarios="1" formatColumns="0" formatRows="0" insertRows="0" insertHyperlinks="0" deleteRows="0" sort="0"/>
  <dataConsolidate/>
  <mergeCells count="2">
    <mergeCell ref="A7:E7"/>
    <mergeCell ref="A22:G22"/>
  </mergeCells>
  <dataValidations count="3">
    <dataValidation type="textLength" allowBlank="1" showInputMessage="1" showErrorMessage="1" sqref="B9:B20">
      <formula1>1</formula1>
      <formula2>50</formula2>
    </dataValidation>
    <dataValidation type="list" allowBlank="1" showInputMessage="1" showErrorMessage="1" sqref="E24:E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topLeftCell="A7"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32" t="s">
        <v>301</v>
      </c>
    </row>
    <row r="2" spans="1:5" ht="15.75" thickBot="1" x14ac:dyDescent="0.3"/>
    <row r="3" spans="1:5" ht="15.75" thickBot="1" x14ac:dyDescent="0.3">
      <c r="A3" s="154" t="s">
        <v>20</v>
      </c>
      <c r="B3" s="155"/>
    </row>
    <row r="4" spans="1:5" ht="15.75" thickTop="1" x14ac:dyDescent="0.25">
      <c r="A4" s="49" t="s">
        <v>0</v>
      </c>
      <c r="B4" s="36"/>
    </row>
    <row r="5" spans="1:5" x14ac:dyDescent="0.25">
      <c r="A5" s="50" t="s">
        <v>3</v>
      </c>
      <c r="B5" s="37"/>
    </row>
    <row r="6" spans="1:5" x14ac:dyDescent="0.25">
      <c r="A6" s="50" t="s">
        <v>2</v>
      </c>
      <c r="B6" s="37"/>
    </row>
    <row r="7" spans="1:5" x14ac:dyDescent="0.25">
      <c r="A7" s="50" t="s">
        <v>1</v>
      </c>
      <c r="B7" s="37"/>
    </row>
    <row r="8" spans="1:5" x14ac:dyDescent="0.25">
      <c r="A8" s="51" t="s">
        <v>4</v>
      </c>
      <c r="B8" s="38"/>
    </row>
    <row r="9" spans="1:5" x14ac:dyDescent="0.25">
      <c r="A9" s="51" t="s">
        <v>195</v>
      </c>
      <c r="B9" s="37"/>
    </row>
    <row r="10" spans="1:5" x14ac:dyDescent="0.25">
      <c r="A10" s="51" t="s">
        <v>186</v>
      </c>
      <c r="B10" s="37"/>
      <c r="D10" s="39"/>
    </row>
    <row r="11" spans="1:5" x14ac:dyDescent="0.25">
      <c r="A11" s="51" t="s">
        <v>181</v>
      </c>
      <c r="B11" s="37"/>
    </row>
    <row r="12" spans="1:5" x14ac:dyDescent="0.25">
      <c r="A12" s="51" t="s">
        <v>6</v>
      </c>
      <c r="B12" s="37"/>
    </row>
    <row r="13" spans="1:5" x14ac:dyDescent="0.25">
      <c r="A13" s="51" t="s">
        <v>194</v>
      </c>
      <c r="B13" s="37"/>
    </row>
    <row r="14" spans="1:5" ht="15.75" thickBot="1" x14ac:dyDescent="0.3">
      <c r="A14" s="52" t="s">
        <v>5</v>
      </c>
      <c r="B14" s="115"/>
      <c r="D14" s="39"/>
    </row>
    <row r="15" spans="1:5" ht="15.75" thickBot="1" x14ac:dyDescent="0.3"/>
    <row r="16" spans="1:5" ht="15.75" thickBot="1" x14ac:dyDescent="0.3">
      <c r="A16" s="152" t="s">
        <v>21</v>
      </c>
      <c r="B16" s="156"/>
      <c r="C16" s="41"/>
      <c r="D16" s="42"/>
      <c r="E16" s="42"/>
    </row>
    <row r="17" spans="1:5" ht="15.75" thickBot="1" x14ac:dyDescent="0.3">
      <c r="A17" s="78" t="s">
        <v>185</v>
      </c>
      <c r="B17" s="79" t="s">
        <v>304</v>
      </c>
      <c r="D17" s="33" t="s">
        <v>1270</v>
      </c>
      <c r="E17" s="34">
        <f>COUNTA(AuthorList[Author Name])</f>
        <v>0</v>
      </c>
    </row>
    <row r="18" spans="1:5" ht="15.75" thickTop="1" x14ac:dyDescent="0.25">
      <c r="A18" s="43">
        <v>1</v>
      </c>
      <c r="B18" s="44"/>
    </row>
    <row r="19" spans="1:5" x14ac:dyDescent="0.25">
      <c r="A19" s="45">
        <v>2</v>
      </c>
      <c r="B19" s="46"/>
    </row>
    <row r="20" spans="1:5" x14ac:dyDescent="0.25">
      <c r="A20" s="45">
        <v>3</v>
      </c>
      <c r="B20" s="46"/>
    </row>
    <row r="21" spans="1:5" x14ac:dyDescent="0.25">
      <c r="A21" s="45">
        <v>4</v>
      </c>
      <c r="B21" s="46"/>
    </row>
    <row r="22" spans="1:5" x14ac:dyDescent="0.25">
      <c r="A22" s="45">
        <v>5</v>
      </c>
      <c r="B22" s="46"/>
    </row>
    <row r="23" spans="1:5" x14ac:dyDescent="0.25">
      <c r="A23" s="45">
        <v>6</v>
      </c>
      <c r="B23" s="46"/>
    </row>
    <row r="24" spans="1:5" x14ac:dyDescent="0.25">
      <c r="A24" s="45">
        <v>7</v>
      </c>
      <c r="B24" s="46"/>
    </row>
    <row r="25" spans="1:5" x14ac:dyDescent="0.25">
      <c r="A25" s="45">
        <v>8</v>
      </c>
      <c r="B25" s="46"/>
    </row>
    <row r="26" spans="1:5" x14ac:dyDescent="0.25">
      <c r="A26" s="45">
        <v>9</v>
      </c>
      <c r="B26" s="46"/>
    </row>
    <row r="27" spans="1:5" x14ac:dyDescent="0.25">
      <c r="A27" s="47">
        <v>10</v>
      </c>
      <c r="B27" s="48"/>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F4" zoomScaleNormal="100" zoomScalePageLayoutView="150" workbookViewId="0">
      <selection activeCell="R11" sqref="R11:T20"/>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53" bestFit="1" customWidth="1"/>
    <col min="10" max="10" width="3.7109375" customWidth="1"/>
    <col min="11" max="11" width="2.85546875" style="54" customWidth="1"/>
    <col min="12" max="12" width="3.7109375" style="7" customWidth="1"/>
    <col min="13" max="13" width="12.7109375" style="7" bestFit="1" customWidth="1"/>
    <col min="14" max="14" width="12.140625" style="53" bestFit="1" customWidth="1"/>
    <col min="15" max="15" width="12.140625" style="55" bestFit="1" customWidth="1"/>
    <col min="16" max="16" width="2.85546875" style="54"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32" t="s">
        <v>300</v>
      </c>
    </row>
    <row r="2" spans="1:20" x14ac:dyDescent="0.25">
      <c r="A2" s="32" t="s">
        <v>1111</v>
      </c>
    </row>
    <row r="3" spans="1:20" x14ac:dyDescent="0.25">
      <c r="A3" s="32" t="s">
        <v>1167</v>
      </c>
    </row>
    <row r="4" spans="1:20" x14ac:dyDescent="0.25">
      <c r="A4" s="32" t="s">
        <v>297</v>
      </c>
    </row>
    <row r="5" spans="1:20" ht="15.75" thickBot="1" x14ac:dyDescent="0.3"/>
    <row r="6" spans="1:20" ht="15.75" thickBot="1" x14ac:dyDescent="0.3">
      <c r="A6" s="154" t="s">
        <v>129</v>
      </c>
      <c r="B6" s="155"/>
    </row>
    <row r="7" spans="1:20" ht="16.5" thickTop="1" thickBot="1" x14ac:dyDescent="0.3">
      <c r="A7" s="70" t="s">
        <v>27</v>
      </c>
      <c r="B7" s="36"/>
      <c r="D7" s="32" t="s">
        <v>296</v>
      </c>
      <c r="H7" s="33" t="s">
        <v>1269</v>
      </c>
      <c r="I7" s="69">
        <f>COUNTA(SamplingFeatures[Feature Code])</f>
        <v>0</v>
      </c>
      <c r="M7" s="33" t="s">
        <v>1265</v>
      </c>
      <c r="N7" s="69">
        <f>MAX(Sites[SiteID])</f>
        <v>0</v>
      </c>
      <c r="R7" s="33" t="s">
        <v>1266</v>
      </c>
      <c r="S7" s="34">
        <f>MAX(Specimens[SpecimenID])</f>
        <v>0</v>
      </c>
    </row>
    <row r="8" spans="1:20" ht="15.75" thickBot="1" x14ac:dyDescent="0.3">
      <c r="A8" s="71" t="s">
        <v>128</v>
      </c>
      <c r="B8" s="40"/>
      <c r="D8" s="32" t="s">
        <v>1375</v>
      </c>
      <c r="H8" s="33" t="s">
        <v>1374</v>
      </c>
      <c r="I8" s="69">
        <f>MAX(SamplingFeatures[IGSNID])</f>
        <v>0</v>
      </c>
    </row>
    <row r="9" spans="1:20" ht="15.75" thickBot="1" x14ac:dyDescent="0.3">
      <c r="K9" s="157" t="s">
        <v>207</v>
      </c>
      <c r="L9" s="157"/>
      <c r="M9" s="157"/>
      <c r="N9" s="157"/>
      <c r="P9" s="157" t="s">
        <v>206</v>
      </c>
      <c r="Q9" s="157"/>
      <c r="R9" s="157"/>
      <c r="S9" s="157"/>
    </row>
    <row r="10" spans="1:20" ht="15.75" thickBot="1" x14ac:dyDescent="0.3">
      <c r="A10" s="72" t="s">
        <v>22</v>
      </c>
      <c r="B10" s="73" t="s">
        <v>23</v>
      </c>
      <c r="C10" s="73" t="s">
        <v>127</v>
      </c>
      <c r="D10" s="73" t="s">
        <v>211</v>
      </c>
      <c r="E10" s="74" t="s">
        <v>209</v>
      </c>
      <c r="F10" s="75" t="s">
        <v>210</v>
      </c>
      <c r="G10" s="76" t="s">
        <v>212</v>
      </c>
      <c r="H10" s="76" t="s">
        <v>26</v>
      </c>
      <c r="I10" s="77" t="s">
        <v>1234</v>
      </c>
      <c r="J10" s="175" t="s">
        <v>1371</v>
      </c>
      <c r="K10" s="56"/>
      <c r="L10" s="67" t="s">
        <v>1165</v>
      </c>
      <c r="M10" s="78" t="s">
        <v>203</v>
      </c>
      <c r="N10" s="73" t="s">
        <v>24</v>
      </c>
      <c r="O10" s="79" t="s">
        <v>25</v>
      </c>
      <c r="P10" s="57"/>
      <c r="Q10" s="67" t="s">
        <v>1166</v>
      </c>
      <c r="R10" s="78" t="s">
        <v>204</v>
      </c>
      <c r="S10" s="73" t="s">
        <v>187</v>
      </c>
      <c r="T10" s="79" t="s">
        <v>205</v>
      </c>
    </row>
    <row r="11" spans="1:20" ht="15.75" thickTop="1" x14ac:dyDescent="0.25">
      <c r="A11" s="22"/>
      <c r="B11" s="23"/>
      <c r="C11" s="23"/>
      <c r="D11" s="23"/>
      <c r="E11" s="58"/>
      <c r="F11" s="59"/>
      <c r="G11" s="60"/>
      <c r="H11" s="60"/>
      <c r="I11" s="60"/>
      <c r="J11" s="182" t="str">
        <f>IF(SamplingFeatures[[#This Row],[Feature IGSN]]&lt;&gt;"",MAX(J$10:J10)+1,"")</f>
        <v/>
      </c>
      <c r="K11" s="55"/>
      <c r="L11" s="64" t="str">
        <f>IF(SamplingFeatures[[#This Row],[Sampling Feature Type]]="Site",MAX(L$10:L10)+1,"")</f>
        <v/>
      </c>
      <c r="M11" s="22"/>
      <c r="N11" s="23"/>
      <c r="O11" s="44"/>
      <c r="P11" s="61"/>
      <c r="Q11" s="64" t="str">
        <f>IF(SamplingFeatures[[#This Row],[Sampling Feature Type]]="Specimen",MAX(Q$10:Q10)+1,"")</f>
        <v/>
      </c>
      <c r="R11" s="12"/>
      <c r="S11" s="23"/>
      <c r="T11" s="44"/>
    </row>
    <row r="12" spans="1:20" x14ac:dyDescent="0.25">
      <c r="A12" s="12"/>
      <c r="B12" s="23"/>
      <c r="C12" s="13"/>
      <c r="D12" s="13"/>
      <c r="E12" s="14"/>
      <c r="F12" s="62"/>
      <c r="G12" s="16"/>
      <c r="H12" s="16"/>
      <c r="I12" s="16"/>
      <c r="J12" s="182" t="str">
        <f>IF(SamplingFeatures[[#This Row],[Feature IGSN]]&lt;&gt;"",MAX(J$10:J11)+1,"")</f>
        <v/>
      </c>
      <c r="K12" s="55"/>
      <c r="L12" s="65" t="str">
        <f>IF(SamplingFeatures[[#This Row],[Sampling Feature Type]]="Site",MAX(L$10:L11)+1,"")</f>
        <v/>
      </c>
      <c r="M12" s="22"/>
      <c r="N12" s="13"/>
      <c r="O12" s="46"/>
      <c r="P12" s="61"/>
      <c r="Q12" s="66" t="str">
        <f>IF(SamplingFeatures[[#This Row],[Sampling Feature Type]]="Specimen",MAX(Q$10:Q11)+1,"")</f>
        <v/>
      </c>
      <c r="R12" s="12"/>
      <c r="S12" s="13"/>
      <c r="T12" s="46"/>
    </row>
    <row r="13" spans="1:20" x14ac:dyDescent="0.25">
      <c r="A13" s="12"/>
      <c r="B13" s="23"/>
      <c r="C13" s="13"/>
      <c r="D13" s="13"/>
      <c r="E13" s="14"/>
      <c r="F13" s="62"/>
      <c r="G13" s="16"/>
      <c r="H13" s="16"/>
      <c r="I13" s="16"/>
      <c r="J13" s="182" t="str">
        <f>IF(SamplingFeatures[[#This Row],[Feature IGSN]]&lt;&gt;"",MAX(J$10:J12)+1,"")</f>
        <v/>
      </c>
      <c r="K13" s="55"/>
      <c r="L13" s="66" t="str">
        <f>IF(SamplingFeatures[[#This Row],[Sampling Feature Type]]="Site",MAX(L$10:L12)+1,"")</f>
        <v/>
      </c>
      <c r="M13" s="22"/>
      <c r="N13" s="13"/>
      <c r="O13" s="46"/>
      <c r="P13" s="61"/>
      <c r="Q13" s="66" t="str">
        <f>IF(SamplingFeatures[[#This Row],[Sampling Feature Type]]="Specimen",MAX(Q$10:Q12)+1,"")</f>
        <v/>
      </c>
      <c r="R13" s="12"/>
      <c r="S13" s="13"/>
      <c r="T13" s="46"/>
    </row>
    <row r="14" spans="1:20" x14ac:dyDescent="0.25">
      <c r="A14" s="12"/>
      <c r="B14" s="23"/>
      <c r="C14" s="13"/>
      <c r="D14" s="13"/>
      <c r="E14" s="14"/>
      <c r="F14" s="62"/>
      <c r="G14" s="16"/>
      <c r="H14" s="16"/>
      <c r="I14" s="16"/>
      <c r="J14" s="182" t="str">
        <f>IF(SamplingFeatures[[#This Row],[Feature IGSN]]&lt;&gt;"",MAX(J$10:J13)+1,"")</f>
        <v/>
      </c>
      <c r="K14" s="55"/>
      <c r="L14" s="66" t="str">
        <f>IF(SamplingFeatures[[#This Row],[Sampling Feature Type]]="Site",MAX(L$10:L13)+1,"")</f>
        <v/>
      </c>
      <c r="M14" s="22"/>
      <c r="N14" s="13"/>
      <c r="O14" s="46"/>
      <c r="P14" s="61"/>
      <c r="Q14" s="66" t="str">
        <f>IF(SamplingFeatures[[#This Row],[Sampling Feature Type]]="Specimen",MAX(Q$10:Q13)+1,"")</f>
        <v/>
      </c>
      <c r="R14" s="12"/>
      <c r="S14" s="13"/>
      <c r="T14" s="46"/>
    </row>
    <row r="15" spans="1:20" x14ac:dyDescent="0.25">
      <c r="A15" s="12"/>
      <c r="B15" s="23"/>
      <c r="C15" s="13"/>
      <c r="D15" s="13"/>
      <c r="E15" s="14"/>
      <c r="F15" s="62"/>
      <c r="G15" s="16"/>
      <c r="H15" s="16"/>
      <c r="I15" s="16"/>
      <c r="J15" s="182" t="str">
        <f>IF(SamplingFeatures[[#This Row],[Feature IGSN]]&lt;&gt;"",MAX(J$10:J14)+1,"")</f>
        <v/>
      </c>
      <c r="K15" s="55"/>
      <c r="L15" s="66" t="str">
        <f>IF(SamplingFeatures[[#This Row],[Sampling Feature Type]]="Site",MAX(L$10:L14)+1,"")</f>
        <v/>
      </c>
      <c r="M15" s="22"/>
      <c r="N15" s="13"/>
      <c r="O15" s="46"/>
      <c r="P15" s="61"/>
      <c r="Q15" s="66" t="str">
        <f>IF(SamplingFeatures[[#This Row],[Sampling Feature Type]]="Specimen",MAX(Q$10:Q14)+1,"")</f>
        <v/>
      </c>
      <c r="R15" s="12"/>
      <c r="S15" s="13"/>
      <c r="T15" s="46"/>
    </row>
    <row r="16" spans="1:20" x14ac:dyDescent="0.25">
      <c r="A16" s="12"/>
      <c r="B16" s="23"/>
      <c r="C16" s="13"/>
      <c r="D16" s="13"/>
      <c r="E16" s="14"/>
      <c r="F16" s="62"/>
      <c r="G16" s="16"/>
      <c r="H16" s="16"/>
      <c r="I16" s="16"/>
      <c r="J16" s="182" t="str">
        <f>IF(SamplingFeatures[[#This Row],[Feature IGSN]]&lt;&gt;"",MAX(J$10:J15)+1,"")</f>
        <v/>
      </c>
      <c r="K16" s="55"/>
      <c r="L16" s="66" t="str">
        <f>IF(SamplingFeatures[[#This Row],[Sampling Feature Type]]="Site",MAX(L$10:L15)+1,"")</f>
        <v/>
      </c>
      <c r="M16" s="22"/>
      <c r="N16" s="13"/>
      <c r="O16" s="46"/>
      <c r="P16" s="61"/>
      <c r="Q16" s="66" t="str">
        <f>IF(SamplingFeatures[[#This Row],[Sampling Feature Type]]="Specimen",MAX(Q$10:Q15)+1,"")</f>
        <v/>
      </c>
      <c r="R16" s="12"/>
      <c r="S16" s="13"/>
      <c r="T16" s="46"/>
    </row>
    <row r="17" spans="1:20" ht="15" customHeight="1" x14ac:dyDescent="0.25">
      <c r="A17" s="12"/>
      <c r="B17" s="23"/>
      <c r="C17" s="13"/>
      <c r="D17" s="13"/>
      <c r="E17" s="14"/>
      <c r="F17" s="62"/>
      <c r="G17" s="16"/>
      <c r="H17" s="16"/>
      <c r="I17" s="16"/>
      <c r="J17" s="182" t="str">
        <f>IF(SamplingFeatures[[#This Row],[Feature IGSN]]&lt;&gt;"",MAX(J$10:J16)+1,"")</f>
        <v/>
      </c>
      <c r="K17" s="55"/>
      <c r="L17" s="66" t="str">
        <f>IF(SamplingFeatures[[#This Row],[Sampling Feature Type]]="Site",MAX(L$10:L16)+1,"")</f>
        <v/>
      </c>
      <c r="M17" s="22"/>
      <c r="N17" s="13"/>
      <c r="O17" s="46"/>
      <c r="P17" s="61"/>
      <c r="Q17" s="66" t="str">
        <f>IF(SamplingFeatures[[#This Row],[Sampling Feature Type]]="Specimen",MAX(Q$10:Q16)+1,"")</f>
        <v/>
      </c>
      <c r="R17" s="12"/>
      <c r="S17" s="13"/>
      <c r="T17" s="46"/>
    </row>
    <row r="18" spans="1:20" x14ac:dyDescent="0.25">
      <c r="A18" s="12"/>
      <c r="B18" s="23"/>
      <c r="C18" s="13"/>
      <c r="D18" s="13"/>
      <c r="E18" s="14"/>
      <c r="F18" s="62"/>
      <c r="G18" s="16"/>
      <c r="H18" s="16"/>
      <c r="I18" s="16"/>
      <c r="J18" s="182" t="str">
        <f>IF(SamplingFeatures[[#This Row],[Feature IGSN]]&lt;&gt;"",MAX(J$10:J17)+1,"")</f>
        <v/>
      </c>
      <c r="K18" s="55"/>
      <c r="L18" s="66" t="str">
        <f>IF(SamplingFeatures[[#This Row],[Sampling Feature Type]]="Site",MAX(L$10:L17)+1,"")</f>
        <v/>
      </c>
      <c r="M18" s="22"/>
      <c r="N18" s="13"/>
      <c r="O18" s="46"/>
      <c r="P18" s="61"/>
      <c r="Q18" s="66" t="str">
        <f>IF(SamplingFeatures[[#This Row],[Sampling Feature Type]]="Specimen",MAX(Q$10:Q17)+1,"")</f>
        <v/>
      </c>
      <c r="R18" s="12"/>
      <c r="S18" s="13"/>
      <c r="T18" s="46"/>
    </row>
    <row r="19" spans="1:20" x14ac:dyDescent="0.25">
      <c r="A19" s="12"/>
      <c r="B19" s="23"/>
      <c r="C19" s="13"/>
      <c r="D19" s="13"/>
      <c r="E19" s="14"/>
      <c r="F19" s="62"/>
      <c r="G19" s="16"/>
      <c r="H19" s="16"/>
      <c r="I19" s="16"/>
      <c r="J19" s="182" t="str">
        <f>IF(SamplingFeatures[[#This Row],[Feature IGSN]]&lt;&gt;"",MAX(J$10:J18)+1,"")</f>
        <v/>
      </c>
      <c r="K19" s="55"/>
      <c r="L19" s="66" t="str">
        <f>IF(SamplingFeatures[[#This Row],[Sampling Feature Type]]="Site",MAX(L$10:L18)+1,"")</f>
        <v/>
      </c>
      <c r="M19" s="22"/>
      <c r="N19" s="13"/>
      <c r="O19" s="46"/>
      <c r="P19" s="61"/>
      <c r="Q19" s="66" t="str">
        <f>IF(SamplingFeatures[[#This Row],[Sampling Feature Type]]="Specimen",MAX(Q$10:Q18)+1,"")</f>
        <v/>
      </c>
      <c r="R19" s="12"/>
      <c r="S19" s="13"/>
      <c r="T19" s="46"/>
    </row>
    <row r="20" spans="1:20" x14ac:dyDescent="0.25">
      <c r="A20" s="12"/>
      <c r="B20" s="23"/>
      <c r="C20" s="13"/>
      <c r="D20" s="13"/>
      <c r="E20" s="14"/>
      <c r="F20" s="62"/>
      <c r="G20" s="16"/>
      <c r="H20" s="16"/>
      <c r="I20" s="16"/>
      <c r="J20" s="182" t="str">
        <f>IF(SamplingFeatures[[#This Row],[Feature IGSN]]&lt;&gt;"",MAX(J$10:J19)+1,"")</f>
        <v/>
      </c>
      <c r="K20" s="55"/>
      <c r="L20" s="66" t="str">
        <f>IF(SamplingFeatures[[#This Row],[Sampling Feature Type]]="Site",MAX(L$10:L19)+1,"")</f>
        <v/>
      </c>
      <c r="M20" s="22"/>
      <c r="N20" s="13"/>
      <c r="O20" s="46"/>
      <c r="P20" s="61"/>
      <c r="Q20" s="66" t="str">
        <f>IF(SamplingFeatures[[#This Row],[Sampling Feature Type]]="Specimen",MAX(Q$10:Q19)+1,"")</f>
        <v/>
      </c>
      <c r="R20" s="12"/>
      <c r="S20" s="13"/>
      <c r="T20" s="46"/>
    </row>
    <row r="21" spans="1:20" x14ac:dyDescent="0.25">
      <c r="A21" s="12"/>
      <c r="B21" s="23"/>
      <c r="C21" s="13"/>
      <c r="D21" s="13"/>
      <c r="E21" s="14"/>
      <c r="F21" s="62"/>
      <c r="G21" s="16"/>
      <c r="H21" s="16"/>
      <c r="I21" s="16"/>
      <c r="J21" s="182" t="str">
        <f>IF(SamplingFeatures[[#This Row],[Feature IGSN]]&lt;&gt;"",MAX(J$10:J20)+1,"")</f>
        <v/>
      </c>
      <c r="K21" s="55"/>
      <c r="L21" s="66" t="str">
        <f>IF(SamplingFeatures[[#This Row],[Sampling Feature Type]]="Site",MAX(L$10:L20)+1,"")</f>
        <v/>
      </c>
      <c r="M21" s="22" t="str">
        <f>IF(SamplingFeatures[[#This Row],[Sampling Feature Type]]="Site","SELECT VALUE","")</f>
        <v/>
      </c>
      <c r="N21" s="13" t="str">
        <f>IF(SamplingFeatures[[#This Row],[Sampling Feature Type]]="Site","ENTER VALUE","")</f>
        <v/>
      </c>
      <c r="O21" s="46" t="str">
        <f>IF(SamplingFeatures[[#This Row],[Sampling Feature Type]]="Site","ENTER VALUE","")</f>
        <v/>
      </c>
      <c r="P21" s="61"/>
      <c r="Q21" s="66" t="str">
        <f>IF(SamplingFeatures[[#This Row],[Sampling Feature Type]]="Specimen",MAX(Q$10:Q20)+1,"")</f>
        <v/>
      </c>
      <c r="R21" s="12" t="str">
        <f>IF(SamplingFeatures[[#This Row],[Sampling Feature Type]]="Specimen","SELECT VALUE","")</f>
        <v/>
      </c>
      <c r="S21" s="13" t="str">
        <f>IF(SamplingFeatures[[#This Row],[Sampling Feature Type]]="Specimen","SELECT VALUE","")</f>
        <v/>
      </c>
      <c r="T21" s="46" t="str">
        <f>IF(SamplingFeatures[[#This Row],[Sampling Feature Type]]="Specimen","SELECT VALUE","")</f>
        <v/>
      </c>
    </row>
    <row r="22" spans="1:20" x14ac:dyDescent="0.25">
      <c r="A22" s="12"/>
      <c r="B22" s="13"/>
      <c r="C22" s="13"/>
      <c r="D22" s="13"/>
      <c r="E22" s="14"/>
      <c r="F22" s="62"/>
      <c r="G22" s="16"/>
      <c r="H22" s="16"/>
      <c r="I22" s="16"/>
      <c r="J22" s="182" t="str">
        <f>IF(SamplingFeatures[[#This Row],[Feature IGSN]]&lt;&gt;"",MAX(J$10:J21)+1,"")</f>
        <v/>
      </c>
      <c r="K22" s="55"/>
      <c r="L22" s="66" t="str">
        <f>IF(SamplingFeatures[[#This Row],[Sampling Feature Type]]="Site",MAX(L$10:L21)+1,"")</f>
        <v/>
      </c>
      <c r="M22" s="22" t="str">
        <f>IF(SamplingFeatures[[#This Row],[Sampling Feature Type]]="Site","SELECT VALUE","")</f>
        <v/>
      </c>
      <c r="N22" s="13" t="str">
        <f>IF(SamplingFeatures[[#This Row],[Sampling Feature Type]]="Site","ENTER VALUE","")</f>
        <v/>
      </c>
      <c r="O22" s="46" t="str">
        <f>IF(SamplingFeatures[[#This Row],[Sampling Feature Type]]="Site","ENTER VALUE","")</f>
        <v/>
      </c>
      <c r="P22" s="61"/>
      <c r="Q22" s="66" t="str">
        <f>IF(SamplingFeatures[[#This Row],[Sampling Feature Type]]="Specimen",MAX(Q$10:Q21)+1,"")</f>
        <v/>
      </c>
      <c r="R22" s="12" t="str">
        <f>IF(SamplingFeatures[[#This Row],[Sampling Feature Type]]="Specimen","SELECT VALUE","")</f>
        <v/>
      </c>
      <c r="S22" s="13" t="str">
        <f>IF(SamplingFeatures[[#This Row],[Sampling Feature Type]]="Specimen","SELECT VALUE","")</f>
        <v/>
      </c>
      <c r="T22" s="46" t="str">
        <f>IF(SamplingFeatures[[#This Row],[Sampling Feature Type]]="Specimen","SELECT VALUE","")</f>
        <v/>
      </c>
    </row>
    <row r="23" spans="1:20" x14ac:dyDescent="0.25">
      <c r="A23" s="12"/>
      <c r="B23" s="13"/>
      <c r="C23" s="13"/>
      <c r="D23" s="13"/>
      <c r="E23" s="14"/>
      <c r="F23" s="62"/>
      <c r="G23" s="16"/>
      <c r="H23" s="16"/>
      <c r="I23" s="16"/>
      <c r="J23" s="182" t="str">
        <f>IF(SamplingFeatures[[#This Row],[Feature IGSN]]&lt;&gt;"",MAX(J$10:J22)+1,"")</f>
        <v/>
      </c>
      <c r="K23" s="55"/>
      <c r="L23" s="66" t="str">
        <f>IF(SamplingFeatures[[#This Row],[Sampling Feature Type]]="Site",MAX(L$10:L22)+1,"")</f>
        <v/>
      </c>
      <c r="M23" s="22" t="str">
        <f>IF(SamplingFeatures[[#This Row],[Sampling Feature Type]]="Site","SELECT VALUE","")</f>
        <v/>
      </c>
      <c r="N23" s="13" t="str">
        <f>IF(SamplingFeatures[[#This Row],[Sampling Feature Type]]="Site","ENTER VALUE","")</f>
        <v/>
      </c>
      <c r="O23" s="46" t="str">
        <f>IF(SamplingFeatures[[#This Row],[Sampling Feature Type]]="Site","ENTER VALUE","")</f>
        <v/>
      </c>
      <c r="P23" s="61"/>
      <c r="Q23" s="66" t="str">
        <f>IF(SamplingFeatures[[#This Row],[Sampling Feature Type]]="Specimen",MAX(Q$10:Q22)+1,"")</f>
        <v/>
      </c>
      <c r="R23" s="12" t="str">
        <f>IF(SamplingFeatures[[#This Row],[Sampling Feature Type]]="Specimen","SELECT VALUE","")</f>
        <v/>
      </c>
      <c r="S23" s="13" t="str">
        <f>IF(SamplingFeatures[[#This Row],[Sampling Feature Type]]="Specimen","SELECT VALUE","")</f>
        <v/>
      </c>
      <c r="T23" s="46" t="str">
        <f>IF(SamplingFeatures[[#This Row],[Sampling Feature Type]]="Specimen","SELECT VALUE","")</f>
        <v/>
      </c>
    </row>
    <row r="24" spans="1:20" x14ac:dyDescent="0.25">
      <c r="A24" s="12"/>
      <c r="B24" s="13"/>
      <c r="C24" s="13"/>
      <c r="D24" s="13"/>
      <c r="E24" s="14"/>
      <c r="F24" s="62"/>
      <c r="G24" s="16"/>
      <c r="H24" s="16"/>
      <c r="I24" s="16"/>
      <c r="J24" s="182" t="str">
        <f>IF(SamplingFeatures[[#This Row],[Feature IGSN]]&lt;&gt;"",MAX(J$10:J23)+1,"")</f>
        <v/>
      </c>
      <c r="K24" s="55"/>
      <c r="L24" s="66" t="str">
        <f>IF(SamplingFeatures[[#This Row],[Sampling Feature Type]]="Site",MAX(L$10:L23)+1,"")</f>
        <v/>
      </c>
      <c r="M24" s="22" t="str">
        <f>IF(SamplingFeatures[[#This Row],[Sampling Feature Type]]="Site","SELECT VALUE","")</f>
        <v/>
      </c>
      <c r="N24" s="13" t="str">
        <f>IF(SamplingFeatures[[#This Row],[Sampling Feature Type]]="Site","ENTER VALUE","")</f>
        <v/>
      </c>
      <c r="O24" s="46" t="str">
        <f>IF(SamplingFeatures[[#This Row],[Sampling Feature Type]]="Site","ENTER VALUE","")</f>
        <v/>
      </c>
      <c r="P24" s="61"/>
      <c r="Q24" s="66" t="str">
        <f>IF(SamplingFeatures[[#This Row],[Sampling Feature Type]]="Specimen",MAX(Q$10:Q23)+1,"")</f>
        <v/>
      </c>
      <c r="R24" s="12" t="str">
        <f>IF(SamplingFeatures[[#This Row],[Sampling Feature Type]]="Specimen","SELECT VALUE","")</f>
        <v/>
      </c>
      <c r="S24" s="13" t="str">
        <f>IF(SamplingFeatures[[#This Row],[Sampling Feature Type]]="Specimen","SELECT VALUE","")</f>
        <v/>
      </c>
      <c r="T24" s="46" t="str">
        <f>IF(SamplingFeatures[[#This Row],[Sampling Feature Type]]="Specimen","SELECT VALUE","")</f>
        <v/>
      </c>
    </row>
    <row r="25" spans="1:20" x14ac:dyDescent="0.25">
      <c r="A25" s="12"/>
      <c r="B25" s="13"/>
      <c r="C25" s="13"/>
      <c r="D25" s="13"/>
      <c r="E25" s="14"/>
      <c r="F25" s="62"/>
      <c r="G25" s="16"/>
      <c r="H25" s="16"/>
      <c r="I25" s="16"/>
      <c r="J25" s="182" t="str">
        <f>IF(SamplingFeatures[[#This Row],[Feature IGSN]]&lt;&gt;"",MAX(J$10:J24)+1,"")</f>
        <v/>
      </c>
      <c r="K25" s="55"/>
      <c r="L25" s="66" t="str">
        <f>IF(SamplingFeatures[[#This Row],[Sampling Feature Type]]="Site",MAX(L$10:L24)+1,"")</f>
        <v/>
      </c>
      <c r="M25" s="22" t="str">
        <f>IF(SamplingFeatures[[#This Row],[Sampling Feature Type]]="Site","SELECT VALUE","")</f>
        <v/>
      </c>
      <c r="N25" s="13" t="str">
        <f>IF(SamplingFeatures[[#This Row],[Sampling Feature Type]]="Site","ENTER VALUE","")</f>
        <v/>
      </c>
      <c r="O25" s="46" t="str">
        <f>IF(SamplingFeatures[[#This Row],[Sampling Feature Type]]="Site","ENTER VALUE","")</f>
        <v/>
      </c>
      <c r="P25" s="61"/>
      <c r="Q25" s="66" t="str">
        <f>IF(SamplingFeatures[[#This Row],[Sampling Feature Type]]="Specimen",MAX(Q$10:Q24)+1,"")</f>
        <v/>
      </c>
      <c r="R25" s="12" t="str">
        <f>IF(SamplingFeatures[[#This Row],[Sampling Feature Type]]="Specimen","SELECT VALUE","")</f>
        <v/>
      </c>
      <c r="S25" s="13" t="str">
        <f>IF(SamplingFeatures[[#This Row],[Sampling Feature Type]]="Specimen","SELECT VALUE","")</f>
        <v/>
      </c>
      <c r="T25" s="46" t="str">
        <f>IF(SamplingFeatures[[#This Row],[Sampling Feature Type]]="Specimen","SELECT VALUE","")</f>
        <v/>
      </c>
    </row>
    <row r="26" spans="1:20" x14ac:dyDescent="0.25">
      <c r="A26" s="12"/>
      <c r="B26" s="13"/>
      <c r="C26" s="13"/>
      <c r="D26" s="13"/>
      <c r="E26" s="14"/>
      <c r="F26" s="62"/>
      <c r="G26" s="16"/>
      <c r="H26" s="16"/>
      <c r="I26" s="16"/>
      <c r="J26" s="182" t="str">
        <f>IF(SamplingFeatures[[#This Row],[Feature IGSN]]&lt;&gt;"",MAX(J$10:J25)+1,"")</f>
        <v/>
      </c>
      <c r="K26" s="55"/>
      <c r="L26" s="66" t="str">
        <f>IF(SamplingFeatures[[#This Row],[Sampling Feature Type]]="Site",MAX(L$10:L25)+1,"")</f>
        <v/>
      </c>
      <c r="M26" s="22" t="str">
        <f>IF(SamplingFeatures[[#This Row],[Sampling Feature Type]]="Site","SELECT VALUE","")</f>
        <v/>
      </c>
      <c r="N26" s="13" t="str">
        <f>IF(SamplingFeatures[[#This Row],[Sampling Feature Type]]="Site","ENTER VALUE","")</f>
        <v/>
      </c>
      <c r="O26" s="46" t="str">
        <f>IF(SamplingFeatures[[#This Row],[Sampling Feature Type]]="Site","ENTER VALUE","")</f>
        <v/>
      </c>
      <c r="P26" s="61"/>
      <c r="Q26" s="66" t="str">
        <f>IF(SamplingFeatures[[#This Row],[Sampling Feature Type]]="Specimen",MAX(Q$10:Q25)+1,"")</f>
        <v/>
      </c>
      <c r="R26" s="12" t="str">
        <f>IF(SamplingFeatures[[#This Row],[Sampling Feature Type]]="Specimen","SELECT VALUE","")</f>
        <v/>
      </c>
      <c r="S26" s="13" t="str">
        <f>IF(SamplingFeatures[[#This Row],[Sampling Feature Type]]="Specimen","SELECT VALUE","")</f>
        <v/>
      </c>
      <c r="T26" s="46" t="str">
        <f>IF(SamplingFeatures[[#This Row],[Sampling Feature Type]]="Specimen","SELECT VALUE","")</f>
        <v/>
      </c>
    </row>
    <row r="27" spans="1:20" x14ac:dyDescent="0.25">
      <c r="A27" s="12"/>
      <c r="B27" s="13"/>
      <c r="C27" s="13"/>
      <c r="D27" s="13"/>
      <c r="E27" s="14"/>
      <c r="F27" s="62"/>
      <c r="G27" s="16"/>
      <c r="H27" s="16"/>
      <c r="I27" s="16"/>
      <c r="J27" s="182" t="str">
        <f>IF(SamplingFeatures[[#This Row],[Feature IGSN]]&lt;&gt;"",MAX(J$10:J26)+1,"")</f>
        <v/>
      </c>
      <c r="K27" s="55"/>
      <c r="L27" s="66" t="str">
        <f>IF(SamplingFeatures[[#This Row],[Sampling Feature Type]]="Site",MAX(L$10:L26)+1,"")</f>
        <v/>
      </c>
      <c r="M27" s="22" t="str">
        <f>IF(SamplingFeatures[[#This Row],[Sampling Feature Type]]="Site","SELECT VALUE","")</f>
        <v/>
      </c>
      <c r="N27" s="13" t="str">
        <f>IF(SamplingFeatures[[#This Row],[Sampling Feature Type]]="Site","ENTER VALUE","")</f>
        <v/>
      </c>
      <c r="O27" s="46" t="str">
        <f>IF(SamplingFeatures[[#This Row],[Sampling Feature Type]]="Site","ENTER VALUE","")</f>
        <v/>
      </c>
      <c r="P27" s="61"/>
      <c r="Q27" s="66" t="str">
        <f>IF(SamplingFeatures[[#This Row],[Sampling Feature Type]]="Specimen",MAX(Q$10:Q26)+1,"")</f>
        <v/>
      </c>
      <c r="R27" s="12" t="str">
        <f>IF(SamplingFeatures[[#This Row],[Sampling Feature Type]]="Specimen","SELECT VALUE","")</f>
        <v/>
      </c>
      <c r="S27" s="13" t="str">
        <f>IF(SamplingFeatures[[#This Row],[Sampling Feature Type]]="Specimen","SELECT VALUE","")</f>
        <v/>
      </c>
      <c r="T27" s="46" t="str">
        <f>IF(SamplingFeatures[[#This Row],[Sampling Feature Type]]="Specimen","SELECT VALUE","")</f>
        <v/>
      </c>
    </row>
    <row r="28" spans="1:20" x14ac:dyDescent="0.25">
      <c r="A28" s="12"/>
      <c r="B28" s="13"/>
      <c r="C28" s="13"/>
      <c r="D28" s="13"/>
      <c r="E28" s="14"/>
      <c r="F28" s="62"/>
      <c r="G28" s="16"/>
      <c r="H28" s="16"/>
      <c r="I28" s="16"/>
      <c r="J28" s="182" t="str">
        <f>IF(SamplingFeatures[[#This Row],[Feature IGSN]]&lt;&gt;"",MAX(J$10:J27)+1,"")</f>
        <v/>
      </c>
      <c r="K28" s="55"/>
      <c r="L28" s="66" t="str">
        <f>IF(SamplingFeatures[[#This Row],[Sampling Feature Type]]="Site",MAX(L$10:L27)+1,"")</f>
        <v/>
      </c>
      <c r="M28" s="22" t="str">
        <f>IF(SamplingFeatures[[#This Row],[Sampling Feature Type]]="Site","SELECT VALUE","")</f>
        <v/>
      </c>
      <c r="N28" s="13" t="str">
        <f>IF(SamplingFeatures[[#This Row],[Sampling Feature Type]]="Site","ENTER VALUE","")</f>
        <v/>
      </c>
      <c r="O28" s="46" t="str">
        <f>IF(SamplingFeatures[[#This Row],[Sampling Feature Type]]="Site","ENTER VALUE","")</f>
        <v/>
      </c>
      <c r="P28" s="61"/>
      <c r="Q28" s="66" t="str">
        <f>IF(SamplingFeatures[[#This Row],[Sampling Feature Type]]="Specimen",MAX(Q$10:Q27)+1,"")</f>
        <v/>
      </c>
      <c r="R28" s="12" t="str">
        <f>IF(SamplingFeatures[[#This Row],[Sampling Feature Type]]="Specimen","SELECT VALUE","")</f>
        <v/>
      </c>
      <c r="S28" s="13" t="str">
        <f>IF(SamplingFeatures[[#This Row],[Sampling Feature Type]]="Specimen","SELECT VALUE","")</f>
        <v/>
      </c>
      <c r="T28" s="46" t="str">
        <f>IF(SamplingFeatures[[#This Row],[Sampling Feature Type]]="Specimen","SELECT VALUE","")</f>
        <v/>
      </c>
    </row>
    <row r="29" spans="1:20" x14ac:dyDescent="0.25">
      <c r="A29" s="12"/>
      <c r="B29" s="13"/>
      <c r="C29" s="13"/>
      <c r="D29" s="13"/>
      <c r="E29" s="14"/>
      <c r="F29" s="62"/>
      <c r="G29" s="16"/>
      <c r="H29" s="16"/>
      <c r="I29" s="16"/>
      <c r="J29" s="182" t="str">
        <f>IF(SamplingFeatures[[#This Row],[Feature IGSN]]&lt;&gt;"",MAX(J$10:J28)+1,"")</f>
        <v/>
      </c>
      <c r="K29" s="55"/>
      <c r="L29" s="66" t="str">
        <f>IF(SamplingFeatures[[#This Row],[Sampling Feature Type]]="Site",MAX(L$10:L28)+1,"")</f>
        <v/>
      </c>
      <c r="M29" s="22" t="str">
        <f>IF(SamplingFeatures[[#This Row],[Sampling Feature Type]]="Site","SELECT VALUE","")</f>
        <v/>
      </c>
      <c r="N29" s="13" t="str">
        <f>IF(SamplingFeatures[[#This Row],[Sampling Feature Type]]="Site","ENTER VALUE","")</f>
        <v/>
      </c>
      <c r="O29" s="46" t="str">
        <f>IF(SamplingFeatures[[#This Row],[Sampling Feature Type]]="Site","ENTER VALUE","")</f>
        <v/>
      </c>
      <c r="P29" s="61"/>
      <c r="Q29" s="66" t="str">
        <f>IF(SamplingFeatures[[#This Row],[Sampling Feature Type]]="Specimen",MAX(Q$10:Q28)+1,"")</f>
        <v/>
      </c>
      <c r="R29" s="12" t="str">
        <f>IF(SamplingFeatures[[#This Row],[Sampling Feature Type]]="Specimen","SELECT VALUE","")</f>
        <v/>
      </c>
      <c r="S29" s="13" t="str">
        <f>IF(SamplingFeatures[[#This Row],[Sampling Feature Type]]="Specimen","SELECT VALUE","")</f>
        <v/>
      </c>
      <c r="T29" s="46" t="str">
        <f>IF(SamplingFeatures[[#This Row],[Sampling Feature Type]]="Specimen","SELECT VALUE","")</f>
        <v/>
      </c>
    </row>
    <row r="30" spans="1:20" x14ac:dyDescent="0.25">
      <c r="A30" s="12"/>
      <c r="B30" s="13"/>
      <c r="C30" s="13"/>
      <c r="D30" s="13"/>
      <c r="E30" s="14"/>
      <c r="F30" s="62"/>
      <c r="G30" s="16"/>
      <c r="H30" s="16"/>
      <c r="I30" s="16"/>
      <c r="J30" s="182" t="str">
        <f>IF(SamplingFeatures[[#This Row],[Feature IGSN]]&lt;&gt;"",MAX(J$10:J29)+1,"")</f>
        <v/>
      </c>
      <c r="K30" s="55"/>
      <c r="L30" s="66" t="str">
        <f>IF(SamplingFeatures[[#This Row],[Sampling Feature Type]]="Site",MAX(L$10:L29)+1,"")</f>
        <v/>
      </c>
      <c r="M30" s="22" t="str">
        <f>IF(SamplingFeatures[[#This Row],[Sampling Feature Type]]="Site","SELECT VALUE","")</f>
        <v/>
      </c>
      <c r="N30" s="13" t="str">
        <f>IF(SamplingFeatures[[#This Row],[Sampling Feature Type]]="Site","ENTER VALUE","")</f>
        <v/>
      </c>
      <c r="O30" s="46" t="str">
        <f>IF(SamplingFeatures[[#This Row],[Sampling Feature Type]]="Site","ENTER VALUE","")</f>
        <v/>
      </c>
      <c r="P30" s="61"/>
      <c r="Q30" s="66" t="str">
        <f>IF(SamplingFeatures[[#This Row],[Sampling Feature Type]]="Specimen",MAX(Q$10:Q29)+1,"")</f>
        <v/>
      </c>
      <c r="R30" s="12" t="str">
        <f>IF(SamplingFeatures[[#This Row],[Sampling Feature Type]]="Specimen","SELECT VALUE","")</f>
        <v/>
      </c>
      <c r="S30" s="13" t="str">
        <f>IF(SamplingFeatures[[#This Row],[Sampling Feature Type]]="Specimen","SELECT VALUE","")</f>
        <v/>
      </c>
      <c r="T30" s="46" t="str">
        <f>IF(SamplingFeatures[[#This Row],[Sampling Feature Type]]="Specimen","SELECT VALUE","")</f>
        <v/>
      </c>
    </row>
    <row r="31" spans="1:20" x14ac:dyDescent="0.25">
      <c r="A31" s="12"/>
      <c r="B31" s="13"/>
      <c r="C31" s="13"/>
      <c r="D31" s="13"/>
      <c r="E31" s="14"/>
      <c r="F31" s="62"/>
      <c r="G31" s="16"/>
      <c r="H31" s="16"/>
      <c r="I31" s="16"/>
      <c r="J31" s="182" t="str">
        <f>IF(SamplingFeatures[[#This Row],[Feature IGSN]]&lt;&gt;"",MAX(J$10:J30)+1,"")</f>
        <v/>
      </c>
      <c r="K31" s="55"/>
      <c r="L31" s="66" t="str">
        <f>IF(SamplingFeatures[[#This Row],[Sampling Feature Type]]="Site",MAX(L$10:L30)+1,"")</f>
        <v/>
      </c>
      <c r="M31" s="22" t="str">
        <f>IF(SamplingFeatures[[#This Row],[Sampling Feature Type]]="Site","SELECT VALUE","")</f>
        <v/>
      </c>
      <c r="N31" s="13" t="str">
        <f>IF(SamplingFeatures[[#This Row],[Sampling Feature Type]]="Site","ENTER VALUE","")</f>
        <v/>
      </c>
      <c r="O31" s="46" t="str">
        <f>IF(SamplingFeatures[[#This Row],[Sampling Feature Type]]="Site","ENTER VALUE","")</f>
        <v/>
      </c>
      <c r="P31" s="61"/>
      <c r="Q31" s="66" t="str">
        <f>IF(SamplingFeatures[[#This Row],[Sampling Feature Type]]="Specimen",MAX(Q$10:Q30)+1,"")</f>
        <v/>
      </c>
      <c r="R31" s="12" t="str">
        <f>IF(SamplingFeatures[[#This Row],[Sampling Feature Type]]="Specimen","SELECT VALUE","")</f>
        <v/>
      </c>
      <c r="S31" s="13" t="str">
        <f>IF(SamplingFeatures[[#This Row],[Sampling Feature Type]]="Specimen","SELECT VALUE","")</f>
        <v/>
      </c>
      <c r="T31" s="46" t="str">
        <f>IF(SamplingFeatures[[#This Row],[Sampling Feature Type]]="Specimen","SELECT VALUE","")</f>
        <v/>
      </c>
    </row>
    <row r="32" spans="1:20" x14ac:dyDescent="0.25">
      <c r="A32" s="12"/>
      <c r="B32" s="13"/>
      <c r="C32" s="13"/>
      <c r="D32" s="13"/>
      <c r="E32" s="14"/>
      <c r="F32" s="62"/>
      <c r="G32" s="16"/>
      <c r="H32" s="16"/>
      <c r="I32" s="16"/>
      <c r="J32" s="182" t="str">
        <f>IF(SamplingFeatures[[#This Row],[Feature IGSN]]&lt;&gt;"",MAX(J$10:J31)+1,"")</f>
        <v/>
      </c>
      <c r="K32" s="55"/>
      <c r="L32" s="66" t="str">
        <f>IF(SamplingFeatures[[#This Row],[Sampling Feature Type]]="Site",MAX(L$10:L31)+1,"")</f>
        <v/>
      </c>
      <c r="M32" s="22" t="str">
        <f>IF(SamplingFeatures[[#This Row],[Sampling Feature Type]]="Site","SELECT VALUE","")</f>
        <v/>
      </c>
      <c r="N32" s="13" t="str">
        <f>IF(SamplingFeatures[[#This Row],[Sampling Feature Type]]="Site","ENTER VALUE","")</f>
        <v/>
      </c>
      <c r="O32" s="46" t="str">
        <f>IF(SamplingFeatures[[#This Row],[Sampling Feature Type]]="Site","ENTER VALUE","")</f>
        <v/>
      </c>
      <c r="P32" s="61"/>
      <c r="Q32" s="66" t="str">
        <f>IF(SamplingFeatures[[#This Row],[Sampling Feature Type]]="Specimen",MAX(Q$10:Q31)+1,"")</f>
        <v/>
      </c>
      <c r="R32" s="12" t="str">
        <f>IF(SamplingFeatures[[#This Row],[Sampling Feature Type]]="Specimen","SELECT VALUE","")</f>
        <v/>
      </c>
      <c r="S32" s="13" t="str">
        <f>IF(SamplingFeatures[[#This Row],[Sampling Feature Type]]="Specimen","SELECT VALUE","")</f>
        <v/>
      </c>
      <c r="T32" s="46" t="str">
        <f>IF(SamplingFeatures[[#This Row],[Sampling Feature Type]]="Specimen","SELECT VALUE","")</f>
        <v/>
      </c>
    </row>
    <row r="33" spans="1:20" x14ac:dyDescent="0.25">
      <c r="A33" s="12"/>
      <c r="B33" s="13"/>
      <c r="C33" s="13"/>
      <c r="D33" s="13"/>
      <c r="E33" s="14"/>
      <c r="F33" s="62"/>
      <c r="G33" s="16"/>
      <c r="H33" s="16"/>
      <c r="I33" s="16"/>
      <c r="J33" s="182" t="str">
        <f>IF(SamplingFeatures[[#This Row],[Feature IGSN]]&lt;&gt;"",MAX(J$10:J32)+1,"")</f>
        <v/>
      </c>
      <c r="K33" s="55"/>
      <c r="L33" s="66" t="str">
        <f>IF(SamplingFeatures[[#This Row],[Sampling Feature Type]]="Site",MAX(L$10:L32)+1,"")</f>
        <v/>
      </c>
      <c r="M33" s="22" t="str">
        <f>IF(SamplingFeatures[[#This Row],[Sampling Feature Type]]="Site","SELECT VALUE","")</f>
        <v/>
      </c>
      <c r="N33" s="13" t="str">
        <f>IF(SamplingFeatures[[#This Row],[Sampling Feature Type]]="Site","ENTER VALUE","")</f>
        <v/>
      </c>
      <c r="O33" s="46" t="str">
        <f>IF(SamplingFeatures[[#This Row],[Sampling Feature Type]]="Site","ENTER VALUE","")</f>
        <v/>
      </c>
      <c r="P33" s="61"/>
      <c r="Q33" s="66" t="str">
        <f>IF(SamplingFeatures[[#This Row],[Sampling Feature Type]]="Specimen",MAX(Q$10:Q32)+1,"")</f>
        <v/>
      </c>
      <c r="R33" s="12" t="str">
        <f>IF(SamplingFeatures[[#This Row],[Sampling Feature Type]]="Specimen","SELECT VALUE","")</f>
        <v/>
      </c>
      <c r="S33" s="13" t="str">
        <f>IF(SamplingFeatures[[#This Row],[Sampling Feature Type]]="Specimen","SELECT VALUE","")</f>
        <v/>
      </c>
      <c r="T33" s="46" t="str">
        <f>IF(SamplingFeatures[[#This Row],[Sampling Feature Type]]="Specimen","SELECT VALUE","")</f>
        <v/>
      </c>
    </row>
    <row r="34" spans="1:20" x14ac:dyDescent="0.25">
      <c r="A34" s="12"/>
      <c r="B34" s="13"/>
      <c r="C34" s="13"/>
      <c r="D34" s="13"/>
      <c r="E34" s="14"/>
      <c r="F34" s="62"/>
      <c r="G34" s="16"/>
      <c r="H34" s="16"/>
      <c r="I34" s="16"/>
      <c r="J34" s="182" t="str">
        <f>IF(SamplingFeatures[[#This Row],[Feature IGSN]]&lt;&gt;"",MAX(J$10:J33)+1,"")</f>
        <v/>
      </c>
      <c r="K34" s="55"/>
      <c r="L34" s="66" t="str">
        <f>IF(SamplingFeatures[[#This Row],[Sampling Feature Type]]="Site",MAX(L$10:L33)+1,"")</f>
        <v/>
      </c>
      <c r="M34" s="22" t="str">
        <f>IF(SamplingFeatures[[#This Row],[Sampling Feature Type]]="Site","SELECT VALUE","")</f>
        <v/>
      </c>
      <c r="N34" s="13" t="str">
        <f>IF(SamplingFeatures[[#This Row],[Sampling Feature Type]]="Site","ENTER VALUE","")</f>
        <v/>
      </c>
      <c r="O34" s="46" t="str">
        <f>IF(SamplingFeatures[[#This Row],[Sampling Feature Type]]="Site","ENTER VALUE","")</f>
        <v/>
      </c>
      <c r="P34" s="61"/>
      <c r="Q34" s="66" t="str">
        <f>IF(SamplingFeatures[[#This Row],[Sampling Feature Type]]="Specimen",MAX(Q$10:Q33)+1,"")</f>
        <v/>
      </c>
      <c r="R34" s="12" t="str">
        <f>IF(SamplingFeatures[[#This Row],[Sampling Feature Type]]="Specimen","SELECT VALUE","")</f>
        <v/>
      </c>
      <c r="S34" s="13" t="str">
        <f>IF(SamplingFeatures[[#This Row],[Sampling Feature Type]]="Specimen","SELECT VALUE","")</f>
        <v/>
      </c>
      <c r="T34" s="46" t="str">
        <f>IF(SamplingFeatures[[#This Row],[Sampling Feature Type]]="Specimen","SELECT VALUE","")</f>
        <v/>
      </c>
    </row>
    <row r="35" spans="1:20" x14ac:dyDescent="0.25">
      <c r="A35" s="12"/>
      <c r="B35" s="13"/>
      <c r="C35" s="13"/>
      <c r="D35" s="13"/>
      <c r="E35" s="14"/>
      <c r="F35" s="62"/>
      <c r="G35" s="16"/>
      <c r="H35" s="16"/>
      <c r="I35" s="16"/>
      <c r="J35" s="182" t="str">
        <f>IF(SamplingFeatures[[#This Row],[Feature IGSN]]&lt;&gt;"",MAX(J$10:J34)+1,"")</f>
        <v/>
      </c>
      <c r="K35" s="55"/>
      <c r="L35" s="66" t="str">
        <f>IF(SamplingFeatures[[#This Row],[Sampling Feature Type]]="Site",MAX(L$10:L34)+1,"")</f>
        <v/>
      </c>
      <c r="M35" s="22" t="str">
        <f>IF(SamplingFeatures[[#This Row],[Sampling Feature Type]]="Site","SELECT VALUE","")</f>
        <v/>
      </c>
      <c r="N35" s="13" t="str">
        <f>IF(SamplingFeatures[[#This Row],[Sampling Feature Type]]="Site","ENTER VALUE","")</f>
        <v/>
      </c>
      <c r="O35" s="46" t="str">
        <f>IF(SamplingFeatures[[#This Row],[Sampling Feature Type]]="Site","ENTER VALUE","")</f>
        <v/>
      </c>
      <c r="P35" s="61"/>
      <c r="Q35" s="66" t="str">
        <f>IF(SamplingFeatures[[#This Row],[Sampling Feature Type]]="Specimen",MAX(Q$10:Q34)+1,"")</f>
        <v/>
      </c>
      <c r="R35" s="12" t="str">
        <f>IF(SamplingFeatures[[#This Row],[Sampling Feature Type]]="Specimen","SELECT VALUE","")</f>
        <v/>
      </c>
      <c r="S35" s="13" t="str">
        <f>IF(SamplingFeatures[[#This Row],[Sampling Feature Type]]="Specimen","SELECT VALUE","")</f>
        <v/>
      </c>
      <c r="T35" s="46" t="str">
        <f>IF(SamplingFeatures[[#This Row],[Sampling Feature Type]]="Specimen","SELECT VALUE","")</f>
        <v/>
      </c>
    </row>
    <row r="36" spans="1:20" x14ac:dyDescent="0.25">
      <c r="A36" s="12"/>
      <c r="B36" s="13"/>
      <c r="C36" s="13"/>
      <c r="D36" s="13"/>
      <c r="E36" s="14"/>
      <c r="F36" s="62"/>
      <c r="G36" s="16"/>
      <c r="H36" s="16"/>
      <c r="I36" s="16"/>
      <c r="J36" s="182" t="str">
        <f>IF(SamplingFeatures[[#This Row],[Feature IGSN]]&lt;&gt;"",MAX(J$10:J35)+1,"")</f>
        <v/>
      </c>
      <c r="K36" s="55"/>
      <c r="L36" s="66" t="str">
        <f>IF(SamplingFeatures[[#This Row],[Sampling Feature Type]]="Site",MAX(L$10:L35)+1,"")</f>
        <v/>
      </c>
      <c r="M36" s="22" t="str">
        <f>IF(SamplingFeatures[[#This Row],[Sampling Feature Type]]="Site","SELECT VALUE","")</f>
        <v/>
      </c>
      <c r="N36" s="13" t="str">
        <f>IF(SamplingFeatures[[#This Row],[Sampling Feature Type]]="Site","ENTER VALUE","")</f>
        <v/>
      </c>
      <c r="O36" s="46" t="str">
        <f>IF(SamplingFeatures[[#This Row],[Sampling Feature Type]]="Site","ENTER VALUE","")</f>
        <v/>
      </c>
      <c r="P36" s="61"/>
      <c r="Q36" s="66" t="str">
        <f>IF(SamplingFeatures[[#This Row],[Sampling Feature Type]]="Specimen",MAX(Q$10:Q35)+1,"")</f>
        <v/>
      </c>
      <c r="R36" s="12" t="str">
        <f>IF(SamplingFeatures[[#This Row],[Sampling Feature Type]]="Specimen","SELECT VALUE","")</f>
        <v/>
      </c>
      <c r="S36" s="13" t="str">
        <f>IF(SamplingFeatures[[#This Row],[Sampling Feature Type]]="Specimen","SELECT VALUE","")</f>
        <v/>
      </c>
      <c r="T36" s="46" t="str">
        <f>IF(SamplingFeatures[[#This Row],[Sampling Feature Type]]="Specimen","SELECT VALUE","")</f>
        <v/>
      </c>
    </row>
    <row r="37" spans="1:20" x14ac:dyDescent="0.25">
      <c r="A37" s="12"/>
      <c r="B37" s="13"/>
      <c r="C37" s="13"/>
      <c r="D37" s="13"/>
      <c r="E37" s="14"/>
      <c r="F37" s="62"/>
      <c r="G37" s="16"/>
      <c r="H37" s="16"/>
      <c r="I37" s="16"/>
      <c r="J37" s="182" t="str">
        <f>IF(SamplingFeatures[[#This Row],[Feature IGSN]]&lt;&gt;"",MAX(J$10:J36)+1,"")</f>
        <v/>
      </c>
      <c r="K37" s="55"/>
      <c r="L37" s="66" t="str">
        <f>IF(SamplingFeatures[[#This Row],[Sampling Feature Type]]="Site",MAX(L$10:L36)+1,"")</f>
        <v/>
      </c>
      <c r="M37" s="22" t="str">
        <f>IF(SamplingFeatures[[#This Row],[Sampling Feature Type]]="Site","SELECT VALUE","")</f>
        <v/>
      </c>
      <c r="N37" s="13" t="str">
        <f>IF(SamplingFeatures[[#This Row],[Sampling Feature Type]]="Site","ENTER VALUE","")</f>
        <v/>
      </c>
      <c r="O37" s="46" t="str">
        <f>IF(SamplingFeatures[[#This Row],[Sampling Feature Type]]="Site","ENTER VALUE","")</f>
        <v/>
      </c>
      <c r="P37" s="61"/>
      <c r="Q37" s="66" t="str">
        <f>IF(SamplingFeatures[[#This Row],[Sampling Feature Type]]="Specimen",MAX(Q$10:Q36)+1,"")</f>
        <v/>
      </c>
      <c r="R37" s="12" t="str">
        <f>IF(SamplingFeatures[[#This Row],[Sampling Feature Type]]="Specimen","SELECT VALUE","")</f>
        <v/>
      </c>
      <c r="S37" s="13" t="str">
        <f>IF(SamplingFeatures[[#This Row],[Sampling Feature Type]]="Specimen","SELECT VALUE","")</f>
        <v/>
      </c>
      <c r="T37" s="46" t="str">
        <f>IF(SamplingFeatures[[#This Row],[Sampling Feature Type]]="Specimen","SELECT VALUE","")</f>
        <v/>
      </c>
    </row>
    <row r="38" spans="1:20" x14ac:dyDescent="0.25">
      <c r="A38" s="12"/>
      <c r="B38" s="13"/>
      <c r="C38" s="13"/>
      <c r="D38" s="13"/>
      <c r="E38" s="14"/>
      <c r="F38" s="62"/>
      <c r="G38" s="16"/>
      <c r="H38" s="16"/>
      <c r="I38" s="16"/>
      <c r="J38" s="182" t="str">
        <f>IF(SamplingFeatures[[#This Row],[Feature IGSN]]&lt;&gt;"",MAX(J$10:J37)+1,"")</f>
        <v/>
      </c>
      <c r="K38" s="55"/>
      <c r="L38" s="66" t="str">
        <f>IF(SamplingFeatures[[#This Row],[Sampling Feature Type]]="Site",MAX(L$10:L37)+1,"")</f>
        <v/>
      </c>
      <c r="M38" s="22" t="str">
        <f>IF(SamplingFeatures[[#This Row],[Sampling Feature Type]]="Site","SELECT VALUE","")</f>
        <v/>
      </c>
      <c r="N38" s="13" t="str">
        <f>IF(SamplingFeatures[[#This Row],[Sampling Feature Type]]="Site","ENTER VALUE","")</f>
        <v/>
      </c>
      <c r="O38" s="46" t="str">
        <f>IF(SamplingFeatures[[#This Row],[Sampling Feature Type]]="Site","ENTER VALUE","")</f>
        <v/>
      </c>
      <c r="P38" s="61"/>
      <c r="Q38" s="66" t="str">
        <f>IF(SamplingFeatures[[#This Row],[Sampling Feature Type]]="Specimen",MAX(Q$10:Q37)+1,"")</f>
        <v/>
      </c>
      <c r="R38" s="12" t="str">
        <f>IF(SamplingFeatures[[#This Row],[Sampling Feature Type]]="Specimen","SELECT VALUE","")</f>
        <v/>
      </c>
      <c r="S38" s="13" t="str">
        <f>IF(SamplingFeatures[[#This Row],[Sampling Feature Type]]="Specimen","SELECT VALUE","")</f>
        <v/>
      </c>
      <c r="T38" s="46" t="str">
        <f>IF(SamplingFeatures[[#This Row],[Sampling Feature Type]]="Specimen","SELECT VALUE","")</f>
        <v/>
      </c>
    </row>
    <row r="39" spans="1:20" x14ac:dyDescent="0.25">
      <c r="A39" s="12"/>
      <c r="B39" s="13"/>
      <c r="C39" s="13"/>
      <c r="D39" s="13"/>
      <c r="E39" s="14"/>
      <c r="F39" s="62"/>
      <c r="G39" s="16"/>
      <c r="H39" s="16"/>
      <c r="I39" s="16"/>
      <c r="J39" s="182" t="str">
        <f>IF(SamplingFeatures[[#This Row],[Feature IGSN]]&lt;&gt;"",MAX(J$10:J38)+1,"")</f>
        <v/>
      </c>
      <c r="K39" s="55"/>
      <c r="L39" s="66" t="str">
        <f>IF(SamplingFeatures[[#This Row],[Sampling Feature Type]]="Site",MAX(L$10:L38)+1,"")</f>
        <v/>
      </c>
      <c r="M39" s="22" t="str">
        <f>IF(SamplingFeatures[[#This Row],[Sampling Feature Type]]="Site","SELECT VALUE","")</f>
        <v/>
      </c>
      <c r="N39" s="13" t="str">
        <f>IF(SamplingFeatures[[#This Row],[Sampling Feature Type]]="Site","ENTER VALUE","")</f>
        <v/>
      </c>
      <c r="O39" s="46" t="str">
        <f>IF(SamplingFeatures[[#This Row],[Sampling Feature Type]]="Site","ENTER VALUE","")</f>
        <v/>
      </c>
      <c r="P39" s="61"/>
      <c r="Q39" s="66" t="str">
        <f>IF(SamplingFeatures[[#This Row],[Sampling Feature Type]]="Specimen",MAX(Q$10:Q38)+1,"")</f>
        <v/>
      </c>
      <c r="R39" s="12" t="str">
        <f>IF(SamplingFeatures[[#This Row],[Sampling Feature Type]]="Specimen","SELECT VALUE","")</f>
        <v/>
      </c>
      <c r="S39" s="13" t="str">
        <f>IF(SamplingFeatures[[#This Row],[Sampling Feature Type]]="Specimen","SELECT VALUE","")</f>
        <v/>
      </c>
      <c r="T39" s="46" t="str">
        <f>IF(SamplingFeatures[[#This Row],[Sampling Feature Type]]="Specimen","SELECT VALUE","")</f>
        <v/>
      </c>
    </row>
    <row r="40" spans="1:20" x14ac:dyDescent="0.25">
      <c r="A40" s="12"/>
      <c r="B40" s="13"/>
      <c r="C40" s="13"/>
      <c r="D40" s="13"/>
      <c r="E40" s="14"/>
      <c r="F40" s="62"/>
      <c r="G40" s="16"/>
      <c r="H40" s="16"/>
      <c r="I40" s="16"/>
      <c r="J40" s="182" t="str">
        <f>IF(SamplingFeatures[[#This Row],[Feature IGSN]]&lt;&gt;"",MAX(J$10:J39)+1,"")</f>
        <v/>
      </c>
      <c r="K40" s="55"/>
      <c r="L40" s="66" t="str">
        <f>IF(SamplingFeatures[[#This Row],[Sampling Feature Type]]="Site",MAX(L$10:L39)+1,"")</f>
        <v/>
      </c>
      <c r="M40" s="22" t="str">
        <f>IF(SamplingFeatures[[#This Row],[Sampling Feature Type]]="Site","SELECT VALUE","")</f>
        <v/>
      </c>
      <c r="N40" s="13" t="str">
        <f>IF(SamplingFeatures[[#This Row],[Sampling Feature Type]]="Site","ENTER VALUE","")</f>
        <v/>
      </c>
      <c r="O40" s="46" t="str">
        <f>IF(SamplingFeatures[[#This Row],[Sampling Feature Type]]="Site","ENTER VALUE","")</f>
        <v/>
      </c>
      <c r="P40" s="61"/>
      <c r="Q40" s="66" t="str">
        <f>IF(SamplingFeatures[[#This Row],[Sampling Feature Type]]="Specimen",MAX(Q$10:Q39)+1,"")</f>
        <v/>
      </c>
      <c r="R40" s="12" t="str">
        <f>IF(SamplingFeatures[[#This Row],[Sampling Feature Type]]="Specimen","SELECT VALUE","")</f>
        <v/>
      </c>
      <c r="S40" s="13" t="str">
        <f>IF(SamplingFeatures[[#This Row],[Sampling Feature Type]]="Specimen","SELECT VALUE","")</f>
        <v/>
      </c>
      <c r="T40" s="46" t="str">
        <f>IF(SamplingFeatures[[#This Row],[Sampling Feature Type]]="Specimen","SELECT VALUE","")</f>
        <v/>
      </c>
    </row>
    <row r="41" spans="1:20" x14ac:dyDescent="0.25">
      <c r="A41" s="12"/>
      <c r="B41" s="13"/>
      <c r="C41" s="13"/>
      <c r="D41" s="13"/>
      <c r="E41" s="14"/>
      <c r="F41" s="62"/>
      <c r="G41" s="16"/>
      <c r="H41" s="16"/>
      <c r="I41" s="16"/>
      <c r="J41" s="182" t="str">
        <f>IF(SamplingFeatures[[#This Row],[Feature IGSN]]&lt;&gt;"",MAX(J$10:J40)+1,"")</f>
        <v/>
      </c>
      <c r="K41" s="55"/>
      <c r="L41" s="66" t="str">
        <f>IF(SamplingFeatures[[#This Row],[Sampling Feature Type]]="Site",MAX(L$10:L40)+1,"")</f>
        <v/>
      </c>
      <c r="M41" s="22" t="str">
        <f>IF(SamplingFeatures[[#This Row],[Sampling Feature Type]]="Site","SELECT VALUE","")</f>
        <v/>
      </c>
      <c r="N41" s="13" t="str">
        <f>IF(SamplingFeatures[[#This Row],[Sampling Feature Type]]="Site","ENTER VALUE","")</f>
        <v/>
      </c>
      <c r="O41" s="46" t="str">
        <f>IF(SamplingFeatures[[#This Row],[Sampling Feature Type]]="Site","ENTER VALUE","")</f>
        <v/>
      </c>
      <c r="P41" s="61"/>
      <c r="Q41" s="66" t="str">
        <f>IF(SamplingFeatures[[#This Row],[Sampling Feature Type]]="Specimen",MAX(Q$10:Q40)+1,"")</f>
        <v/>
      </c>
      <c r="R41" s="12" t="str">
        <f>IF(SamplingFeatures[[#This Row],[Sampling Feature Type]]="Specimen","SELECT VALUE","")</f>
        <v/>
      </c>
      <c r="S41" s="13" t="str">
        <f>IF(SamplingFeatures[[#This Row],[Sampling Feature Type]]="Specimen","SELECT VALUE","")</f>
        <v/>
      </c>
      <c r="T41" s="46" t="str">
        <f>IF(SamplingFeatures[[#This Row],[Sampling Feature Type]]="Specimen","SELECT VALUE","")</f>
        <v/>
      </c>
    </row>
    <row r="42" spans="1:20" x14ac:dyDescent="0.25">
      <c r="A42" s="12"/>
      <c r="B42" s="13"/>
      <c r="C42" s="13"/>
      <c r="D42" s="13"/>
      <c r="E42" s="14"/>
      <c r="F42" s="62"/>
      <c r="G42" s="16"/>
      <c r="H42" s="16"/>
      <c r="I42" s="16"/>
      <c r="J42" s="182" t="str">
        <f>IF(SamplingFeatures[[#This Row],[Feature IGSN]]&lt;&gt;"",MAX(J$10:J41)+1,"")</f>
        <v/>
      </c>
      <c r="K42" s="55"/>
      <c r="L42" s="66" t="str">
        <f>IF(SamplingFeatures[[#This Row],[Sampling Feature Type]]="Site",MAX(L$10:L41)+1,"")</f>
        <v/>
      </c>
      <c r="M42" s="22" t="str">
        <f>IF(SamplingFeatures[[#This Row],[Sampling Feature Type]]="Site","SELECT VALUE","")</f>
        <v/>
      </c>
      <c r="N42" s="13" t="str">
        <f>IF(SamplingFeatures[[#This Row],[Sampling Feature Type]]="Site","ENTER VALUE","")</f>
        <v/>
      </c>
      <c r="O42" s="46" t="str">
        <f>IF(SamplingFeatures[[#This Row],[Sampling Feature Type]]="Site","ENTER VALUE","")</f>
        <v/>
      </c>
      <c r="P42" s="61"/>
      <c r="Q42" s="66" t="str">
        <f>IF(SamplingFeatures[[#This Row],[Sampling Feature Type]]="Specimen",MAX(Q$10:Q41)+1,"")</f>
        <v/>
      </c>
      <c r="R42" s="12" t="str">
        <f>IF(SamplingFeatures[[#This Row],[Sampling Feature Type]]="Specimen","SELECT VALUE","")</f>
        <v/>
      </c>
      <c r="S42" s="13" t="str">
        <f>IF(SamplingFeatures[[#This Row],[Sampling Feature Type]]="Specimen","SELECT VALUE","")</f>
        <v/>
      </c>
      <c r="T42" s="46" t="str">
        <f>IF(SamplingFeatures[[#This Row],[Sampling Feature Type]]="Specimen","SELECT VALUE","")</f>
        <v/>
      </c>
    </row>
    <row r="43" spans="1:20" x14ac:dyDescent="0.25">
      <c r="A43" s="12"/>
      <c r="B43" s="13"/>
      <c r="C43" s="13"/>
      <c r="D43" s="13"/>
      <c r="E43" s="14"/>
      <c r="F43" s="62"/>
      <c r="G43" s="16"/>
      <c r="H43" s="16"/>
      <c r="I43" s="16"/>
      <c r="J43" s="182" t="str">
        <f>IF(SamplingFeatures[[#This Row],[Feature IGSN]]&lt;&gt;"",MAX(J$10:J42)+1,"")</f>
        <v/>
      </c>
      <c r="K43" s="55"/>
      <c r="L43" s="66" t="str">
        <f>IF(SamplingFeatures[[#This Row],[Sampling Feature Type]]="Site",MAX(L$10:L42)+1,"")</f>
        <v/>
      </c>
      <c r="M43" s="22" t="str">
        <f>IF(SamplingFeatures[[#This Row],[Sampling Feature Type]]="Site","SELECT VALUE","")</f>
        <v/>
      </c>
      <c r="N43" s="13" t="str">
        <f>IF(SamplingFeatures[[#This Row],[Sampling Feature Type]]="Site","ENTER VALUE","")</f>
        <v/>
      </c>
      <c r="O43" s="46" t="str">
        <f>IF(SamplingFeatures[[#This Row],[Sampling Feature Type]]="Site","ENTER VALUE","")</f>
        <v/>
      </c>
      <c r="P43" s="61"/>
      <c r="Q43" s="66" t="str">
        <f>IF(SamplingFeatures[[#This Row],[Sampling Feature Type]]="Specimen",MAX(Q$10:Q42)+1,"")</f>
        <v/>
      </c>
      <c r="R43" s="12" t="str">
        <f>IF(SamplingFeatures[[#This Row],[Sampling Feature Type]]="Specimen","SELECT VALUE","")</f>
        <v/>
      </c>
      <c r="S43" s="13" t="str">
        <f>IF(SamplingFeatures[[#This Row],[Sampling Feature Type]]="Specimen","SELECT VALUE","")</f>
        <v/>
      </c>
      <c r="T43" s="46" t="str">
        <f>IF(SamplingFeatures[[#This Row],[Sampling Feature Type]]="Specimen","SELECT VALUE","")</f>
        <v/>
      </c>
    </row>
    <row r="44" spans="1:20" x14ac:dyDescent="0.25">
      <c r="A44" s="12"/>
      <c r="B44" s="13"/>
      <c r="C44" s="13"/>
      <c r="D44" s="13"/>
      <c r="E44" s="14"/>
      <c r="F44" s="62"/>
      <c r="G44" s="16"/>
      <c r="H44" s="16"/>
      <c r="I44" s="16"/>
      <c r="J44" s="182" t="str">
        <f>IF(SamplingFeatures[[#This Row],[Feature IGSN]]&lt;&gt;"",MAX(J$10:J43)+1,"")</f>
        <v/>
      </c>
      <c r="K44" s="55"/>
      <c r="L44" s="66" t="str">
        <f>IF(SamplingFeatures[[#This Row],[Sampling Feature Type]]="Site",MAX(L$10:L43)+1,"")</f>
        <v/>
      </c>
      <c r="M44" s="22" t="str">
        <f>IF(SamplingFeatures[[#This Row],[Sampling Feature Type]]="Site","SELECT VALUE","")</f>
        <v/>
      </c>
      <c r="N44" s="13" t="str">
        <f>IF(SamplingFeatures[[#This Row],[Sampling Feature Type]]="Site","ENTER VALUE","")</f>
        <v/>
      </c>
      <c r="O44" s="46" t="str">
        <f>IF(SamplingFeatures[[#This Row],[Sampling Feature Type]]="Site","ENTER VALUE","")</f>
        <v/>
      </c>
      <c r="P44" s="61"/>
      <c r="Q44" s="66" t="str">
        <f>IF(SamplingFeatures[[#This Row],[Sampling Feature Type]]="Specimen",MAX(Q$10:Q43)+1,"")</f>
        <v/>
      </c>
      <c r="R44" s="12" t="str">
        <f>IF(SamplingFeatures[[#This Row],[Sampling Feature Type]]="Specimen","SELECT VALUE","")</f>
        <v/>
      </c>
      <c r="S44" s="13" t="str">
        <f>IF(SamplingFeatures[[#This Row],[Sampling Feature Type]]="Specimen","SELECT VALUE","")</f>
        <v/>
      </c>
      <c r="T44" s="46" t="str">
        <f>IF(SamplingFeatures[[#This Row],[Sampling Feature Type]]="Specimen","SELECT VALUE","")</f>
        <v/>
      </c>
    </row>
    <row r="45" spans="1:20" x14ac:dyDescent="0.25">
      <c r="A45" s="12"/>
      <c r="B45" s="13"/>
      <c r="C45" s="13"/>
      <c r="D45" s="13"/>
      <c r="E45" s="14"/>
      <c r="F45" s="62"/>
      <c r="G45" s="16"/>
      <c r="H45" s="16"/>
      <c r="I45" s="16"/>
      <c r="J45" s="182" t="str">
        <f>IF(SamplingFeatures[[#This Row],[Feature IGSN]]&lt;&gt;"",MAX(J$10:J44)+1,"")</f>
        <v/>
      </c>
      <c r="K45" s="55"/>
      <c r="L45" s="66" t="str">
        <f>IF(SamplingFeatures[[#This Row],[Sampling Feature Type]]="Site",MAX(L$10:L44)+1,"")</f>
        <v/>
      </c>
      <c r="M45" s="22" t="str">
        <f>IF(SamplingFeatures[[#This Row],[Sampling Feature Type]]="Site","SELECT VALUE","")</f>
        <v/>
      </c>
      <c r="N45" s="13" t="str">
        <f>IF(SamplingFeatures[[#This Row],[Sampling Feature Type]]="Site","ENTER VALUE","")</f>
        <v/>
      </c>
      <c r="O45" s="46" t="str">
        <f>IF(SamplingFeatures[[#This Row],[Sampling Feature Type]]="Site","ENTER VALUE","")</f>
        <v/>
      </c>
      <c r="P45" s="61"/>
      <c r="Q45" s="66" t="str">
        <f>IF(SamplingFeatures[[#This Row],[Sampling Feature Type]]="Specimen",MAX(Q$10:Q44)+1,"")</f>
        <v/>
      </c>
      <c r="R45" s="12" t="str">
        <f>IF(SamplingFeatures[[#This Row],[Sampling Feature Type]]="Specimen","SELECT VALUE","")</f>
        <v/>
      </c>
      <c r="S45" s="13" t="str">
        <f>IF(SamplingFeatures[[#This Row],[Sampling Feature Type]]="Specimen","SELECT VALUE","")</f>
        <v/>
      </c>
      <c r="T45" s="46" t="str">
        <f>IF(SamplingFeatures[[#This Row],[Sampling Feature Type]]="Specimen","SELECT VALUE","")</f>
        <v/>
      </c>
    </row>
    <row r="46" spans="1:20" x14ac:dyDescent="0.25">
      <c r="A46" s="12"/>
      <c r="B46" s="13"/>
      <c r="C46" s="13"/>
      <c r="D46" s="13"/>
      <c r="E46" s="14"/>
      <c r="F46" s="62"/>
      <c r="G46" s="16"/>
      <c r="H46" s="16"/>
      <c r="I46" s="16"/>
      <c r="J46" s="182" t="str">
        <f>IF(SamplingFeatures[[#This Row],[Feature IGSN]]&lt;&gt;"",MAX(J$10:J45)+1,"")</f>
        <v/>
      </c>
      <c r="K46" s="55"/>
      <c r="L46" s="66" t="str">
        <f>IF(SamplingFeatures[[#This Row],[Sampling Feature Type]]="Site",MAX(L$10:L45)+1,"")</f>
        <v/>
      </c>
      <c r="M46" s="22" t="str">
        <f>IF(SamplingFeatures[[#This Row],[Sampling Feature Type]]="Site","SELECT VALUE","")</f>
        <v/>
      </c>
      <c r="N46" s="13" t="str">
        <f>IF(SamplingFeatures[[#This Row],[Sampling Feature Type]]="Site","ENTER VALUE","")</f>
        <v/>
      </c>
      <c r="O46" s="46" t="str">
        <f>IF(SamplingFeatures[[#This Row],[Sampling Feature Type]]="Site","ENTER VALUE","")</f>
        <v/>
      </c>
      <c r="P46" s="61"/>
      <c r="Q46" s="66" t="str">
        <f>IF(SamplingFeatures[[#This Row],[Sampling Feature Type]]="Specimen",MAX(Q$10:Q45)+1,"")</f>
        <v/>
      </c>
      <c r="R46" s="12" t="str">
        <f>IF(SamplingFeatures[[#This Row],[Sampling Feature Type]]="Specimen","SELECT VALUE","")</f>
        <v/>
      </c>
      <c r="S46" s="13" t="str">
        <f>IF(SamplingFeatures[[#This Row],[Sampling Feature Type]]="Specimen","SELECT VALUE","")</f>
        <v/>
      </c>
      <c r="T46" s="46" t="str">
        <f>IF(SamplingFeatures[[#This Row],[Sampling Feature Type]]="Specimen","SELECT VALUE","")</f>
        <v/>
      </c>
    </row>
    <row r="47" spans="1:20" x14ac:dyDescent="0.25">
      <c r="A47" s="12"/>
      <c r="B47" s="13"/>
      <c r="C47" s="13"/>
      <c r="D47" s="13"/>
      <c r="E47" s="14"/>
      <c r="F47" s="62"/>
      <c r="G47" s="16"/>
      <c r="H47" s="16"/>
      <c r="I47" s="16"/>
      <c r="J47" s="182" t="str">
        <f>IF(SamplingFeatures[[#This Row],[Feature IGSN]]&lt;&gt;"",MAX(J$10:J46)+1,"")</f>
        <v/>
      </c>
      <c r="K47" s="55"/>
      <c r="L47" s="66" t="str">
        <f>IF(SamplingFeatures[[#This Row],[Sampling Feature Type]]="Site",MAX(L$10:L46)+1,"")</f>
        <v/>
      </c>
      <c r="M47" s="22" t="str">
        <f>IF(SamplingFeatures[[#This Row],[Sampling Feature Type]]="Site","SELECT VALUE","")</f>
        <v/>
      </c>
      <c r="N47" s="13" t="str">
        <f>IF(SamplingFeatures[[#This Row],[Sampling Feature Type]]="Site","ENTER VALUE","")</f>
        <v/>
      </c>
      <c r="O47" s="46" t="str">
        <f>IF(SamplingFeatures[[#This Row],[Sampling Feature Type]]="Site","ENTER VALUE","")</f>
        <v/>
      </c>
      <c r="P47" s="61"/>
      <c r="Q47" s="66" t="str">
        <f>IF(SamplingFeatures[[#This Row],[Sampling Feature Type]]="Specimen",MAX(Q$10:Q46)+1,"")</f>
        <v/>
      </c>
      <c r="R47" s="12" t="str">
        <f>IF(SamplingFeatures[[#This Row],[Sampling Feature Type]]="Specimen","SELECT VALUE","")</f>
        <v/>
      </c>
      <c r="S47" s="13" t="str">
        <f>IF(SamplingFeatures[[#This Row],[Sampling Feature Type]]="Specimen","SELECT VALUE","")</f>
        <v/>
      </c>
      <c r="T47" s="46" t="str">
        <f>IF(SamplingFeatures[[#This Row],[Sampling Feature Type]]="Specimen","SELECT VALUE","")</f>
        <v/>
      </c>
    </row>
    <row r="48" spans="1:20" x14ac:dyDescent="0.25">
      <c r="A48" s="12"/>
      <c r="B48" s="13"/>
      <c r="C48" s="13"/>
      <c r="D48" s="13"/>
      <c r="E48" s="14"/>
      <c r="F48" s="62"/>
      <c r="G48" s="16"/>
      <c r="H48" s="16"/>
      <c r="I48" s="16"/>
      <c r="J48" s="182" t="str">
        <f>IF(SamplingFeatures[[#This Row],[Feature IGSN]]&lt;&gt;"",MAX(J$10:J47)+1,"")</f>
        <v/>
      </c>
      <c r="K48" s="55"/>
      <c r="L48" s="66" t="str">
        <f>IF(SamplingFeatures[[#This Row],[Sampling Feature Type]]="Site",MAX(L$10:L47)+1,"")</f>
        <v/>
      </c>
      <c r="M48" s="22" t="str">
        <f>IF(SamplingFeatures[[#This Row],[Sampling Feature Type]]="Site","SELECT VALUE","")</f>
        <v/>
      </c>
      <c r="N48" s="13" t="str">
        <f>IF(SamplingFeatures[[#This Row],[Sampling Feature Type]]="Site","ENTER VALUE","")</f>
        <v/>
      </c>
      <c r="O48" s="46" t="str">
        <f>IF(SamplingFeatures[[#This Row],[Sampling Feature Type]]="Site","ENTER VALUE","")</f>
        <v/>
      </c>
      <c r="P48" s="61"/>
      <c r="Q48" s="66" t="str">
        <f>IF(SamplingFeatures[[#This Row],[Sampling Feature Type]]="Specimen",MAX(Q$10:Q47)+1,"")</f>
        <v/>
      </c>
      <c r="R48" s="12" t="str">
        <f>IF(SamplingFeatures[[#This Row],[Sampling Feature Type]]="Specimen","SELECT VALUE","")</f>
        <v/>
      </c>
      <c r="S48" s="13" t="str">
        <f>IF(SamplingFeatures[[#This Row],[Sampling Feature Type]]="Specimen","SELECT VALUE","")</f>
        <v/>
      </c>
      <c r="T48" s="46" t="str">
        <f>IF(SamplingFeatures[[#This Row],[Sampling Feature Type]]="Specimen","SELECT VALUE","")</f>
        <v/>
      </c>
    </row>
    <row r="49" spans="1:20" x14ac:dyDescent="0.25">
      <c r="A49" s="12"/>
      <c r="B49" s="13"/>
      <c r="C49" s="13"/>
      <c r="D49" s="13"/>
      <c r="E49" s="14"/>
      <c r="F49" s="62"/>
      <c r="G49" s="16"/>
      <c r="H49" s="16"/>
      <c r="I49" s="16"/>
      <c r="J49" s="182" t="str">
        <f>IF(SamplingFeatures[[#This Row],[Feature IGSN]]&lt;&gt;"",MAX(J$10:J48)+1,"")</f>
        <v/>
      </c>
      <c r="K49" s="55"/>
      <c r="L49" s="66" t="str">
        <f>IF(SamplingFeatures[[#This Row],[Sampling Feature Type]]="Site",MAX(L$10:L48)+1,"")</f>
        <v/>
      </c>
      <c r="M49" s="22" t="str">
        <f>IF(SamplingFeatures[[#This Row],[Sampling Feature Type]]="Site","SELECT VALUE","")</f>
        <v/>
      </c>
      <c r="N49" s="13" t="str">
        <f>IF(SamplingFeatures[[#This Row],[Sampling Feature Type]]="Site","ENTER VALUE","")</f>
        <v/>
      </c>
      <c r="O49" s="46" t="str">
        <f>IF(SamplingFeatures[[#This Row],[Sampling Feature Type]]="Site","ENTER VALUE","")</f>
        <v/>
      </c>
      <c r="P49" s="61"/>
      <c r="Q49" s="66" t="str">
        <f>IF(SamplingFeatures[[#This Row],[Sampling Feature Type]]="Specimen",MAX(Q$10:Q48)+1,"")</f>
        <v/>
      </c>
      <c r="R49" s="12" t="str">
        <f>IF(SamplingFeatures[[#This Row],[Sampling Feature Type]]="Specimen","SELECT VALUE","")</f>
        <v/>
      </c>
      <c r="S49" s="13" t="str">
        <f>IF(SamplingFeatures[[#This Row],[Sampling Feature Type]]="Specimen","SELECT VALUE","")</f>
        <v/>
      </c>
      <c r="T49" s="46" t="str">
        <f>IF(SamplingFeatures[[#This Row],[Sampling Feature Type]]="Specimen","SELECT VALUE","")</f>
        <v/>
      </c>
    </row>
    <row r="50" spans="1:20" x14ac:dyDescent="0.25">
      <c r="A50" s="12"/>
      <c r="B50" s="13"/>
      <c r="C50" s="13"/>
      <c r="D50" s="13"/>
      <c r="E50" s="14"/>
      <c r="F50" s="62"/>
      <c r="G50" s="16"/>
      <c r="H50" s="16"/>
      <c r="I50" s="16"/>
      <c r="J50" s="182" t="str">
        <f>IF(SamplingFeatures[[#This Row],[Feature IGSN]]&lt;&gt;"",MAX(J$10:J49)+1,"")</f>
        <v/>
      </c>
      <c r="K50" s="55"/>
      <c r="L50" s="66" t="str">
        <f>IF(SamplingFeatures[[#This Row],[Sampling Feature Type]]="Site",MAX(L$10:L49)+1,"")</f>
        <v/>
      </c>
      <c r="M50" s="22" t="str">
        <f>IF(SamplingFeatures[[#This Row],[Sampling Feature Type]]="Site","SELECT VALUE","")</f>
        <v/>
      </c>
      <c r="N50" s="13" t="str">
        <f>IF(SamplingFeatures[[#This Row],[Sampling Feature Type]]="Site","ENTER VALUE","")</f>
        <v/>
      </c>
      <c r="O50" s="46" t="str">
        <f>IF(SamplingFeatures[[#This Row],[Sampling Feature Type]]="Site","ENTER VALUE","")</f>
        <v/>
      </c>
      <c r="P50" s="61"/>
      <c r="Q50" s="66" t="str">
        <f>IF(SamplingFeatures[[#This Row],[Sampling Feature Type]]="Specimen",MAX(Q$10:Q49)+1,"")</f>
        <v/>
      </c>
      <c r="R50" s="12" t="str">
        <f>IF(SamplingFeatures[[#This Row],[Sampling Feature Type]]="Specimen","SELECT VALUE","")</f>
        <v/>
      </c>
      <c r="S50" s="13" t="str">
        <f>IF(SamplingFeatures[[#This Row],[Sampling Feature Type]]="Specimen","SELECT VALUE","")</f>
        <v/>
      </c>
      <c r="T50" s="46" t="str">
        <f>IF(SamplingFeatures[[#This Row],[Sampling Feature Type]]="Specimen","SELECT VALUE","")</f>
        <v/>
      </c>
    </row>
    <row r="51" spans="1:20" x14ac:dyDescent="0.25">
      <c r="A51" s="12"/>
      <c r="B51" s="13"/>
      <c r="C51" s="13"/>
      <c r="D51" s="13"/>
      <c r="E51" s="14"/>
      <c r="F51" s="62"/>
      <c r="G51" s="16"/>
      <c r="H51" s="16"/>
      <c r="I51" s="16"/>
      <c r="J51" s="182" t="str">
        <f>IF(SamplingFeatures[[#This Row],[Feature IGSN]]&lt;&gt;"",MAX(J$10:J50)+1,"")</f>
        <v/>
      </c>
      <c r="K51" s="55"/>
      <c r="L51" s="66" t="str">
        <f>IF(SamplingFeatures[[#This Row],[Sampling Feature Type]]="Site",MAX(L$10:L50)+1,"")</f>
        <v/>
      </c>
      <c r="M51" s="22" t="str">
        <f>IF(SamplingFeatures[[#This Row],[Sampling Feature Type]]="Site","SELECT VALUE","")</f>
        <v/>
      </c>
      <c r="N51" s="13" t="str">
        <f>IF(SamplingFeatures[[#This Row],[Sampling Feature Type]]="Site","ENTER VALUE","")</f>
        <v/>
      </c>
      <c r="O51" s="46" t="str">
        <f>IF(SamplingFeatures[[#This Row],[Sampling Feature Type]]="Site","ENTER VALUE","")</f>
        <v/>
      </c>
      <c r="P51" s="61"/>
      <c r="Q51" s="66" t="str">
        <f>IF(SamplingFeatures[[#This Row],[Sampling Feature Type]]="Specimen",MAX(Q$10:Q50)+1,"")</f>
        <v/>
      </c>
      <c r="R51" s="12" t="str">
        <f>IF(SamplingFeatures[[#This Row],[Sampling Feature Type]]="Specimen","SELECT VALUE","")</f>
        <v/>
      </c>
      <c r="S51" s="13" t="str">
        <f>IF(SamplingFeatures[[#This Row],[Sampling Feature Type]]="Specimen","SELECT VALUE","")</f>
        <v/>
      </c>
      <c r="T51" s="46" t="str">
        <f>IF(SamplingFeatures[[#This Row],[Sampling Feature Type]]="Specimen","SELECT VALUE","")</f>
        <v/>
      </c>
    </row>
    <row r="52" spans="1:20" x14ac:dyDescent="0.25">
      <c r="A52" s="12"/>
      <c r="B52" s="13"/>
      <c r="C52" s="13"/>
      <c r="D52" s="13"/>
      <c r="E52" s="14"/>
      <c r="F52" s="62"/>
      <c r="G52" s="16"/>
      <c r="H52" s="16"/>
      <c r="I52" s="16"/>
      <c r="J52" s="182" t="str">
        <f>IF(SamplingFeatures[[#This Row],[Feature IGSN]]&lt;&gt;"",MAX(J$10:J51)+1,"")</f>
        <v/>
      </c>
      <c r="K52" s="55"/>
      <c r="L52" s="66" t="str">
        <f>IF(SamplingFeatures[[#This Row],[Sampling Feature Type]]="Site",MAX(L$10:L51)+1,"")</f>
        <v/>
      </c>
      <c r="M52" s="22" t="str">
        <f>IF(SamplingFeatures[[#This Row],[Sampling Feature Type]]="Site","SELECT VALUE","")</f>
        <v/>
      </c>
      <c r="N52" s="13" t="str">
        <f>IF(SamplingFeatures[[#This Row],[Sampling Feature Type]]="Site","ENTER VALUE","")</f>
        <v/>
      </c>
      <c r="O52" s="46" t="str">
        <f>IF(SamplingFeatures[[#This Row],[Sampling Feature Type]]="Site","ENTER VALUE","")</f>
        <v/>
      </c>
      <c r="P52" s="61"/>
      <c r="Q52" s="66" t="str">
        <f>IF(SamplingFeatures[[#This Row],[Sampling Feature Type]]="Specimen",MAX(Q$10:Q51)+1,"")</f>
        <v/>
      </c>
      <c r="R52" s="12" t="str">
        <f>IF(SamplingFeatures[[#This Row],[Sampling Feature Type]]="Specimen","SELECT VALUE","")</f>
        <v/>
      </c>
      <c r="S52" s="13" t="str">
        <f>IF(SamplingFeatures[[#This Row],[Sampling Feature Type]]="Specimen","SELECT VALUE","")</f>
        <v/>
      </c>
      <c r="T52" s="46" t="str">
        <f>IF(SamplingFeatures[[#This Row],[Sampling Feature Type]]="Specimen","SELECT VALUE","")</f>
        <v/>
      </c>
    </row>
    <row r="53" spans="1:20" x14ac:dyDescent="0.25">
      <c r="A53" s="12"/>
      <c r="B53" s="13"/>
      <c r="C53" s="13"/>
      <c r="D53" s="13"/>
      <c r="E53" s="14"/>
      <c r="F53" s="62"/>
      <c r="G53" s="16"/>
      <c r="H53" s="16"/>
      <c r="I53" s="16"/>
      <c r="J53" s="182" t="str">
        <f>IF(SamplingFeatures[[#This Row],[Feature IGSN]]&lt;&gt;"",MAX(J$10:J52)+1,"")</f>
        <v/>
      </c>
      <c r="K53" s="55"/>
      <c r="L53" s="66" t="str">
        <f>IF(SamplingFeatures[[#This Row],[Sampling Feature Type]]="Site",MAX(L$10:L52)+1,"")</f>
        <v/>
      </c>
      <c r="M53" s="22" t="str">
        <f>IF(SamplingFeatures[[#This Row],[Sampling Feature Type]]="Site","SELECT VALUE","")</f>
        <v/>
      </c>
      <c r="N53" s="13" t="str">
        <f>IF(SamplingFeatures[[#This Row],[Sampling Feature Type]]="Site","ENTER VALUE","")</f>
        <v/>
      </c>
      <c r="O53" s="46" t="str">
        <f>IF(SamplingFeatures[[#This Row],[Sampling Feature Type]]="Site","ENTER VALUE","")</f>
        <v/>
      </c>
      <c r="P53" s="61"/>
      <c r="Q53" s="66" t="str">
        <f>IF(SamplingFeatures[[#This Row],[Sampling Feature Type]]="Specimen",MAX(Q$10:Q52)+1,"")</f>
        <v/>
      </c>
      <c r="R53" s="12" t="str">
        <f>IF(SamplingFeatures[[#This Row],[Sampling Feature Type]]="Specimen","SELECT VALUE","")</f>
        <v/>
      </c>
      <c r="S53" s="13" t="str">
        <f>IF(SamplingFeatures[[#This Row],[Sampling Feature Type]]="Specimen","SELECT VALUE","")</f>
        <v/>
      </c>
      <c r="T53" s="46" t="str">
        <f>IF(SamplingFeatures[[#This Row],[Sampling Feature Type]]="Specimen","SELECT VALUE","")</f>
        <v/>
      </c>
    </row>
    <row r="54" spans="1:20" x14ac:dyDescent="0.25">
      <c r="A54" s="12"/>
      <c r="B54" s="13"/>
      <c r="C54" s="13"/>
      <c r="D54" s="13"/>
      <c r="E54" s="14"/>
      <c r="F54" s="62"/>
      <c r="G54" s="16"/>
      <c r="H54" s="16"/>
      <c r="I54" s="16"/>
      <c r="J54" s="182" t="str">
        <f>IF(SamplingFeatures[[#This Row],[Feature IGSN]]&lt;&gt;"",MAX(J$10:J53)+1,"")</f>
        <v/>
      </c>
      <c r="K54" s="55"/>
      <c r="L54" s="66" t="str">
        <f>IF(SamplingFeatures[[#This Row],[Sampling Feature Type]]="Site",MAX(L$10:L53)+1,"")</f>
        <v/>
      </c>
      <c r="M54" s="22" t="str">
        <f>IF(SamplingFeatures[[#This Row],[Sampling Feature Type]]="Site","SELECT VALUE","")</f>
        <v/>
      </c>
      <c r="N54" s="13" t="str">
        <f>IF(SamplingFeatures[[#This Row],[Sampling Feature Type]]="Site","ENTER VALUE","")</f>
        <v/>
      </c>
      <c r="O54" s="46" t="str">
        <f>IF(SamplingFeatures[[#This Row],[Sampling Feature Type]]="Site","ENTER VALUE","")</f>
        <v/>
      </c>
      <c r="P54" s="61"/>
      <c r="Q54" s="66" t="str">
        <f>IF(SamplingFeatures[[#This Row],[Sampling Feature Type]]="Specimen",MAX(Q$10:Q53)+1,"")</f>
        <v/>
      </c>
      <c r="R54" s="12" t="str">
        <f>IF(SamplingFeatures[[#This Row],[Sampling Feature Type]]="Specimen","SELECT VALUE","")</f>
        <v/>
      </c>
      <c r="S54" s="13" t="str">
        <f>IF(SamplingFeatures[[#This Row],[Sampling Feature Type]]="Specimen","SELECT VALUE","")</f>
        <v/>
      </c>
      <c r="T54" s="46" t="str">
        <f>IF(SamplingFeatures[[#This Row],[Sampling Feature Type]]="Specimen","SELECT VALUE","")</f>
        <v/>
      </c>
    </row>
    <row r="55" spans="1:20" x14ac:dyDescent="0.25">
      <c r="A55" s="12"/>
      <c r="B55" s="13"/>
      <c r="C55" s="13"/>
      <c r="D55" s="13"/>
      <c r="E55" s="14"/>
      <c r="F55" s="62"/>
      <c r="G55" s="16"/>
      <c r="H55" s="16"/>
      <c r="I55" s="16"/>
      <c r="J55" s="182" t="str">
        <f>IF(SamplingFeatures[[#This Row],[Feature IGSN]]&lt;&gt;"",MAX(J$10:J54)+1,"")</f>
        <v/>
      </c>
      <c r="K55" s="55"/>
      <c r="L55" s="66" t="str">
        <f>IF(SamplingFeatures[[#This Row],[Sampling Feature Type]]="Site",MAX(L$10:L54)+1,"")</f>
        <v/>
      </c>
      <c r="M55" s="22" t="str">
        <f>IF(SamplingFeatures[[#This Row],[Sampling Feature Type]]="Site","SELECT VALUE","")</f>
        <v/>
      </c>
      <c r="N55" s="13" t="str">
        <f>IF(SamplingFeatures[[#This Row],[Sampling Feature Type]]="Site","ENTER VALUE","")</f>
        <v/>
      </c>
      <c r="O55" s="46" t="str">
        <f>IF(SamplingFeatures[[#This Row],[Sampling Feature Type]]="Site","ENTER VALUE","")</f>
        <v/>
      </c>
      <c r="P55" s="61"/>
      <c r="Q55" s="66" t="str">
        <f>IF(SamplingFeatures[[#This Row],[Sampling Feature Type]]="Specimen",MAX(Q$10:Q54)+1,"")</f>
        <v/>
      </c>
      <c r="R55" s="12" t="str">
        <f>IF(SamplingFeatures[[#This Row],[Sampling Feature Type]]="Specimen","SELECT VALUE","")</f>
        <v/>
      </c>
      <c r="S55" s="13" t="str">
        <f>IF(SamplingFeatures[[#This Row],[Sampling Feature Type]]="Specimen","SELECT VALUE","")</f>
        <v/>
      </c>
      <c r="T55" s="46" t="str">
        <f>IF(SamplingFeatures[[#This Row],[Sampling Feature Type]]="Specimen","SELECT VALUE","")</f>
        <v/>
      </c>
    </row>
    <row r="56" spans="1:20" x14ac:dyDescent="0.25">
      <c r="A56" s="12"/>
      <c r="B56" s="13"/>
      <c r="C56" s="13"/>
      <c r="D56" s="13"/>
      <c r="E56" s="14"/>
      <c r="F56" s="62"/>
      <c r="G56" s="16"/>
      <c r="H56" s="16"/>
      <c r="I56" s="16"/>
      <c r="J56" s="182" t="str">
        <f>IF(SamplingFeatures[[#This Row],[Feature IGSN]]&lt;&gt;"",MAX(J$10:J55)+1,"")</f>
        <v/>
      </c>
      <c r="K56" s="55"/>
      <c r="L56" s="66" t="str">
        <f>IF(SamplingFeatures[[#This Row],[Sampling Feature Type]]="Site",MAX(L$10:L55)+1,"")</f>
        <v/>
      </c>
      <c r="M56" s="22" t="str">
        <f>IF(SamplingFeatures[[#This Row],[Sampling Feature Type]]="Site","SELECT VALUE","")</f>
        <v/>
      </c>
      <c r="N56" s="13" t="str">
        <f>IF(SamplingFeatures[[#This Row],[Sampling Feature Type]]="Site","ENTER VALUE","")</f>
        <v/>
      </c>
      <c r="O56" s="46" t="str">
        <f>IF(SamplingFeatures[[#This Row],[Sampling Feature Type]]="Site","ENTER VALUE","")</f>
        <v/>
      </c>
      <c r="P56" s="61"/>
      <c r="Q56" s="66" t="str">
        <f>IF(SamplingFeatures[[#This Row],[Sampling Feature Type]]="Specimen",MAX(Q$10:Q55)+1,"")</f>
        <v/>
      </c>
      <c r="R56" s="12" t="str">
        <f>IF(SamplingFeatures[[#This Row],[Sampling Feature Type]]="Specimen","SELECT VALUE","")</f>
        <v/>
      </c>
      <c r="S56" s="13" t="str">
        <f>IF(SamplingFeatures[[#This Row],[Sampling Feature Type]]="Specimen","SELECT VALUE","")</f>
        <v/>
      </c>
      <c r="T56" s="46" t="str">
        <f>IF(SamplingFeatures[[#This Row],[Sampling Feature Type]]="Specimen","SELECT VALUE","")</f>
        <v/>
      </c>
    </row>
    <row r="57" spans="1:20" x14ac:dyDescent="0.25">
      <c r="A57" s="12"/>
      <c r="B57" s="13"/>
      <c r="C57" s="13"/>
      <c r="D57" s="13"/>
      <c r="E57" s="14"/>
      <c r="F57" s="62"/>
      <c r="G57" s="16"/>
      <c r="H57" s="16"/>
      <c r="I57" s="16"/>
      <c r="J57" s="182" t="str">
        <f>IF(SamplingFeatures[[#This Row],[Feature IGSN]]&lt;&gt;"",MAX(J$10:J56)+1,"")</f>
        <v/>
      </c>
      <c r="K57" s="55"/>
      <c r="L57" s="66" t="str">
        <f>IF(SamplingFeatures[[#This Row],[Sampling Feature Type]]="Site",MAX(L$10:L56)+1,"")</f>
        <v/>
      </c>
      <c r="M57" s="22" t="str">
        <f>IF(SamplingFeatures[[#This Row],[Sampling Feature Type]]="Site","SELECT VALUE","")</f>
        <v/>
      </c>
      <c r="N57" s="13" t="str">
        <f>IF(SamplingFeatures[[#This Row],[Sampling Feature Type]]="Site","ENTER VALUE","")</f>
        <v/>
      </c>
      <c r="O57" s="46" t="str">
        <f>IF(SamplingFeatures[[#This Row],[Sampling Feature Type]]="Site","ENTER VALUE","")</f>
        <v/>
      </c>
      <c r="P57" s="61"/>
      <c r="Q57" s="66" t="str">
        <f>IF(SamplingFeatures[[#This Row],[Sampling Feature Type]]="Specimen",MAX(Q$10:Q56)+1,"")</f>
        <v/>
      </c>
      <c r="R57" s="12" t="str">
        <f>IF(SamplingFeatures[[#This Row],[Sampling Feature Type]]="Specimen","SELECT VALUE","")</f>
        <v/>
      </c>
      <c r="S57" s="13" t="str">
        <f>IF(SamplingFeatures[[#This Row],[Sampling Feature Type]]="Specimen","SELECT VALUE","")</f>
        <v/>
      </c>
      <c r="T57" s="46" t="str">
        <f>IF(SamplingFeatures[[#This Row],[Sampling Feature Type]]="Specimen","SELECT VALUE","")</f>
        <v/>
      </c>
    </row>
    <row r="58" spans="1:20" x14ac:dyDescent="0.25">
      <c r="A58" s="12"/>
      <c r="B58" s="13"/>
      <c r="C58" s="13"/>
      <c r="D58" s="13"/>
      <c r="E58" s="14"/>
      <c r="F58" s="62"/>
      <c r="G58" s="16"/>
      <c r="H58" s="16"/>
      <c r="I58" s="16"/>
      <c r="J58" s="182" t="str">
        <f>IF(SamplingFeatures[[#This Row],[Feature IGSN]]&lt;&gt;"",MAX(J$10:J57)+1,"")</f>
        <v/>
      </c>
      <c r="K58" s="55"/>
      <c r="L58" s="66" t="str">
        <f>IF(SamplingFeatures[[#This Row],[Sampling Feature Type]]="Site",MAX(L$10:L57)+1,"")</f>
        <v/>
      </c>
      <c r="M58" s="22" t="str">
        <f>IF(SamplingFeatures[[#This Row],[Sampling Feature Type]]="Site","SELECT VALUE","")</f>
        <v/>
      </c>
      <c r="N58" s="13" t="str">
        <f>IF(SamplingFeatures[[#This Row],[Sampling Feature Type]]="Site","ENTER VALUE","")</f>
        <v/>
      </c>
      <c r="O58" s="46" t="str">
        <f>IF(SamplingFeatures[[#This Row],[Sampling Feature Type]]="Site","ENTER VALUE","")</f>
        <v/>
      </c>
      <c r="P58" s="61"/>
      <c r="Q58" s="66" t="str">
        <f>IF(SamplingFeatures[[#This Row],[Sampling Feature Type]]="Specimen",MAX(Q$10:Q57)+1,"")</f>
        <v/>
      </c>
      <c r="R58" s="12" t="str">
        <f>IF(SamplingFeatures[[#This Row],[Sampling Feature Type]]="Specimen","SELECT VALUE","")</f>
        <v/>
      </c>
      <c r="S58" s="13" t="str">
        <f>IF(SamplingFeatures[[#This Row],[Sampling Feature Type]]="Specimen","SELECT VALUE","")</f>
        <v/>
      </c>
      <c r="T58" s="46" t="str">
        <f>IF(SamplingFeatures[[#This Row],[Sampling Feature Type]]="Specimen","SELECT VALUE","")</f>
        <v/>
      </c>
    </row>
    <row r="59" spans="1:20" x14ac:dyDescent="0.25">
      <c r="A59" s="12"/>
      <c r="B59" s="13"/>
      <c r="C59" s="13"/>
      <c r="D59" s="13"/>
      <c r="E59" s="14"/>
      <c r="F59" s="62"/>
      <c r="G59" s="16"/>
      <c r="H59" s="16"/>
      <c r="I59" s="16"/>
      <c r="J59" s="182" t="str">
        <f>IF(SamplingFeatures[[#This Row],[Feature IGSN]]&lt;&gt;"",MAX(J$10:J58)+1,"")</f>
        <v/>
      </c>
      <c r="K59" s="55"/>
      <c r="L59" s="66" t="str">
        <f>IF(SamplingFeatures[[#This Row],[Sampling Feature Type]]="Site",MAX(L$10:L58)+1,"")</f>
        <v/>
      </c>
      <c r="M59" s="22" t="str">
        <f>IF(SamplingFeatures[[#This Row],[Sampling Feature Type]]="Site","SELECT VALUE","")</f>
        <v/>
      </c>
      <c r="N59" s="13" t="str">
        <f>IF(SamplingFeatures[[#This Row],[Sampling Feature Type]]="Site","ENTER VALUE","")</f>
        <v/>
      </c>
      <c r="O59" s="46" t="str">
        <f>IF(SamplingFeatures[[#This Row],[Sampling Feature Type]]="Site","ENTER VALUE","")</f>
        <v/>
      </c>
      <c r="P59" s="61"/>
      <c r="Q59" s="66" t="str">
        <f>IF(SamplingFeatures[[#This Row],[Sampling Feature Type]]="Specimen",MAX(Q$10:Q58)+1,"")</f>
        <v/>
      </c>
      <c r="R59" s="12" t="str">
        <f>IF(SamplingFeatures[[#This Row],[Sampling Feature Type]]="Specimen","SELECT VALUE","")</f>
        <v/>
      </c>
      <c r="S59" s="13" t="str">
        <f>IF(SamplingFeatures[[#This Row],[Sampling Feature Type]]="Specimen","SELECT VALUE","")</f>
        <v/>
      </c>
      <c r="T59" s="46" t="str">
        <f>IF(SamplingFeatures[[#This Row],[Sampling Feature Type]]="Specimen","SELECT VALUE","")</f>
        <v/>
      </c>
    </row>
    <row r="60" spans="1:20" ht="15.75" thickBot="1" x14ac:dyDescent="0.3">
      <c r="A60" s="17"/>
      <c r="B60" s="18"/>
      <c r="C60" s="18"/>
      <c r="D60" s="18"/>
      <c r="E60" s="19"/>
      <c r="F60" s="63"/>
      <c r="G60" s="20"/>
      <c r="H60" s="20"/>
      <c r="I60" s="20"/>
      <c r="J60" s="183" t="str">
        <f>IF(SamplingFeatures[[#This Row],[Feature IGSN]]&lt;&gt;"",MAX(J$10:J59)+1,"")</f>
        <v/>
      </c>
      <c r="K60" s="55"/>
      <c r="L60" s="66" t="str">
        <f>IF(SamplingFeatures[[#This Row],[Sampling Feature Type]]="Site",MAX(L$10:L59)+1,"")</f>
        <v/>
      </c>
      <c r="M60" s="17" t="str">
        <f>IF(SamplingFeatures[[#This Row],[Sampling Feature Type]]="Site","SELECT VALUE","")</f>
        <v/>
      </c>
      <c r="N60" s="18" t="str">
        <f>IF(SamplingFeatures[[#This Row],[Sampling Feature Type]]="Site","ENTER VALUE","")</f>
        <v/>
      </c>
      <c r="O60" s="48" t="str">
        <f>IF(SamplingFeatures[[#This Row],[Sampling Feature Type]]="Site","ENTER VALUE","")</f>
        <v/>
      </c>
      <c r="P60" s="61"/>
      <c r="Q60" s="68" t="str">
        <f>IF(SamplingFeatures[[#This Row],[Sampling Feature Type]]="Specimen",MAX(Q$10:Q59)+1,"")</f>
        <v/>
      </c>
      <c r="R60" s="17" t="str">
        <f>IF(SamplingFeatures[[#This Row],[Sampling Feature Type]]="Specimen","SELECT VALUE","")</f>
        <v/>
      </c>
      <c r="S60" s="18" t="str">
        <f>IF(SamplingFeatures[[#This Row],[Sampling Feature Type]]="Specimen","SELECT VALUE","")</f>
        <v/>
      </c>
      <c r="T60" s="48"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7"/>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32" t="s">
        <v>1258</v>
      </c>
    </row>
    <row r="2" spans="1:11" ht="15.75" thickBot="1" x14ac:dyDescent="0.3">
      <c r="A2" s="32" t="s">
        <v>1260</v>
      </c>
    </row>
    <row r="3" spans="1:11" ht="15.75" thickBot="1" x14ac:dyDescent="0.3">
      <c r="G3" s="33" t="s">
        <v>1267</v>
      </c>
      <c r="H3" s="34">
        <f>COUNTA(RelatedFeatures[First Sampling Feature Code])</f>
        <v>0</v>
      </c>
      <c r="I3" s="33" t="s">
        <v>1268</v>
      </c>
      <c r="J3" s="34">
        <f>MAX(RelatedFeatures[OffsetID])</f>
        <v>0</v>
      </c>
    </row>
    <row r="4" spans="1:11" ht="15.75" thickBot="1" x14ac:dyDescent="0.3"/>
    <row r="5" spans="1:11" x14ac:dyDescent="0.25">
      <c r="A5" s="152" t="s">
        <v>264</v>
      </c>
      <c r="B5" s="153"/>
      <c r="C5" s="153"/>
      <c r="D5" s="153"/>
      <c r="E5" s="153"/>
      <c r="F5" s="153"/>
      <c r="G5" s="153"/>
      <c r="H5" s="153"/>
      <c r="I5" s="153"/>
      <c r="J5" s="153"/>
      <c r="K5" s="156"/>
    </row>
    <row r="6" spans="1:11" ht="15.75" thickBot="1" x14ac:dyDescent="0.3">
      <c r="A6" s="94" t="s">
        <v>261</v>
      </c>
      <c r="B6" s="73" t="s">
        <v>262</v>
      </c>
      <c r="C6" s="73" t="s">
        <v>263</v>
      </c>
      <c r="D6" s="95" t="s">
        <v>249</v>
      </c>
      <c r="E6" s="95" t="s">
        <v>250</v>
      </c>
      <c r="F6" s="95" t="s">
        <v>251</v>
      </c>
      <c r="G6" s="95" t="s">
        <v>252</v>
      </c>
      <c r="H6" s="95" t="s">
        <v>253</v>
      </c>
      <c r="I6" s="95" t="s">
        <v>254</v>
      </c>
      <c r="J6" s="96" t="s">
        <v>255</v>
      </c>
      <c r="K6" s="97" t="s">
        <v>1259</v>
      </c>
    </row>
    <row r="7" spans="1:11" ht="15.75" thickTop="1" x14ac:dyDescent="0.25">
      <c r="A7" s="86"/>
      <c r="B7" s="87"/>
      <c r="C7" s="87"/>
      <c r="D7" s="88"/>
      <c r="E7" s="88"/>
      <c r="F7" s="88"/>
      <c r="G7" s="88"/>
      <c r="H7" s="88"/>
      <c r="I7" s="88"/>
      <c r="J7" s="89"/>
      <c r="K7" s="98" t="str">
        <f>IF(COUNTA(RelatedFeatures[[#This Row],[Spatial Offset Type]:[Offset 3 Unit]])&gt;0,MAX(K$6:K6)+1,"")</f>
        <v/>
      </c>
    </row>
    <row r="8" spans="1:11" x14ac:dyDescent="0.25">
      <c r="A8" s="86"/>
      <c r="B8" s="87"/>
      <c r="C8" s="87"/>
      <c r="D8" s="88"/>
      <c r="E8" s="88"/>
      <c r="F8" s="88"/>
      <c r="G8" s="88"/>
      <c r="H8" s="88"/>
      <c r="I8" s="88"/>
      <c r="J8" s="89"/>
      <c r="K8" s="98" t="str">
        <f>IF(COUNTA(RelatedFeatures[[#This Row],[Spatial Offset Type]:[Offset 3 Unit]])&gt;0,MAX(K$6:K7)+1,"")</f>
        <v/>
      </c>
    </row>
    <row r="9" spans="1:11" x14ac:dyDescent="0.25">
      <c r="A9" s="86"/>
      <c r="B9" s="87"/>
      <c r="C9" s="87"/>
      <c r="D9" s="88"/>
      <c r="E9" s="88"/>
      <c r="F9" s="88"/>
      <c r="G9" s="88"/>
      <c r="H9" s="88"/>
      <c r="I9" s="88"/>
      <c r="J9" s="89"/>
      <c r="K9" s="98" t="str">
        <f>IF(COUNTA(RelatedFeatures[[#This Row],[Spatial Offset Type]:[Offset 3 Unit]])&gt;0,MAX(K$6:K8)+1,"")</f>
        <v/>
      </c>
    </row>
    <row r="10" spans="1:11" x14ac:dyDescent="0.25">
      <c r="A10" s="86"/>
      <c r="B10" s="87"/>
      <c r="C10" s="87"/>
      <c r="D10" s="88"/>
      <c r="E10" s="88"/>
      <c r="F10" s="88"/>
      <c r="G10" s="88"/>
      <c r="H10" s="88"/>
      <c r="I10" s="88"/>
      <c r="J10" s="89"/>
      <c r="K10" s="98" t="str">
        <f>IF(COUNTA(RelatedFeatures[[#This Row],[Spatial Offset Type]:[Offset 3 Unit]])&gt;0,MAX(K$6:K9)+1,"")</f>
        <v/>
      </c>
    </row>
    <row r="11" spans="1:11" x14ac:dyDescent="0.25">
      <c r="A11" s="86"/>
      <c r="B11" s="87"/>
      <c r="C11" s="87"/>
      <c r="D11" s="88"/>
      <c r="E11" s="88"/>
      <c r="F11" s="88"/>
      <c r="G11" s="88"/>
      <c r="H11" s="88"/>
      <c r="I11" s="88"/>
      <c r="J11" s="89"/>
      <c r="K11" s="98" t="str">
        <f>IF(COUNTA(RelatedFeatures[[#This Row],[Spatial Offset Type]:[Offset 3 Unit]])&gt;0,MAX(K$6:K10)+1,"")</f>
        <v/>
      </c>
    </row>
    <row r="12" spans="1:11" x14ac:dyDescent="0.25">
      <c r="A12" s="86"/>
      <c r="B12" s="87"/>
      <c r="C12" s="87"/>
      <c r="D12" s="88"/>
      <c r="E12" s="88"/>
      <c r="F12" s="88"/>
      <c r="G12" s="88"/>
      <c r="H12" s="88"/>
      <c r="I12" s="88"/>
      <c r="J12" s="89"/>
      <c r="K12" s="98" t="str">
        <f>IF(COUNTA(RelatedFeatures[[#This Row],[Spatial Offset Type]:[Offset 3 Unit]])&gt;0,MAX(K$6:K11)+1,"")</f>
        <v/>
      </c>
    </row>
    <row r="13" spans="1:11" x14ac:dyDescent="0.25">
      <c r="A13" s="86"/>
      <c r="B13" s="87"/>
      <c r="C13" s="87"/>
      <c r="D13" s="88"/>
      <c r="E13" s="88"/>
      <c r="F13" s="88"/>
      <c r="G13" s="88"/>
      <c r="H13" s="88"/>
      <c r="I13" s="88"/>
      <c r="J13" s="89"/>
      <c r="K13" s="98" t="str">
        <f>IF(COUNTA(RelatedFeatures[[#This Row],[Spatial Offset Type]:[Offset 3 Unit]])&gt;0,MAX(K$6:K12)+1,"")</f>
        <v/>
      </c>
    </row>
    <row r="14" spans="1:11" x14ac:dyDescent="0.25">
      <c r="A14" s="86"/>
      <c r="B14" s="87"/>
      <c r="C14" s="87"/>
      <c r="D14" s="88"/>
      <c r="E14" s="88"/>
      <c r="F14" s="88"/>
      <c r="G14" s="88"/>
      <c r="H14" s="88"/>
      <c r="I14" s="88"/>
      <c r="J14" s="89"/>
      <c r="K14" s="98" t="str">
        <f>IF(COUNTA(RelatedFeatures[[#This Row],[Spatial Offset Type]:[Offset 3 Unit]])&gt;0,MAX(K$6:K13)+1,"")</f>
        <v/>
      </c>
    </row>
    <row r="15" spans="1:11" x14ac:dyDescent="0.25">
      <c r="A15" s="86"/>
      <c r="B15" s="87"/>
      <c r="C15" s="87"/>
      <c r="D15" s="88"/>
      <c r="E15" s="88"/>
      <c r="F15" s="88"/>
      <c r="G15" s="88"/>
      <c r="H15" s="88"/>
      <c r="I15" s="88"/>
      <c r="J15" s="89"/>
      <c r="K15" s="98" t="str">
        <f>IF(COUNTA(RelatedFeatures[[#This Row],[Spatial Offset Type]:[Offset 3 Unit]])&gt;0,MAX(K$6:K14)+1,"")</f>
        <v/>
      </c>
    </row>
    <row r="16" spans="1:11" x14ac:dyDescent="0.25">
      <c r="A16" s="86"/>
      <c r="B16" s="87"/>
      <c r="C16" s="87"/>
      <c r="D16" s="88"/>
      <c r="E16" s="88"/>
      <c r="F16" s="88"/>
      <c r="G16" s="88"/>
      <c r="H16" s="88"/>
      <c r="I16" s="88"/>
      <c r="J16" s="89"/>
      <c r="K16" s="98" t="str">
        <f>IF(COUNTA(RelatedFeatures[[#This Row],[Spatial Offset Type]:[Offset 3 Unit]])&gt;0,MAX(K$6:K15)+1,"")</f>
        <v/>
      </c>
    </row>
    <row r="17" spans="1:11" x14ac:dyDescent="0.25">
      <c r="A17" s="86"/>
      <c r="B17" s="87"/>
      <c r="C17" s="87"/>
      <c r="D17" s="88"/>
      <c r="E17" s="88"/>
      <c r="F17" s="88"/>
      <c r="G17" s="88"/>
      <c r="H17" s="88"/>
      <c r="I17" s="88"/>
      <c r="J17" s="89"/>
      <c r="K17" s="98" t="str">
        <f>IF(COUNTA(RelatedFeatures[[#This Row],[Spatial Offset Type]:[Offset 3 Unit]])&gt;0,MAX(K$6:K16)+1,"")</f>
        <v/>
      </c>
    </row>
    <row r="18" spans="1:11" x14ac:dyDescent="0.25">
      <c r="A18" s="86"/>
      <c r="B18" s="87"/>
      <c r="C18" s="87"/>
      <c r="D18" s="88"/>
      <c r="E18" s="88"/>
      <c r="F18" s="88"/>
      <c r="G18" s="88"/>
      <c r="H18" s="88"/>
      <c r="I18" s="88"/>
      <c r="J18" s="89"/>
      <c r="K18" s="98" t="str">
        <f>IF(COUNTA(RelatedFeatures[[#This Row],[Spatial Offset Type]:[Offset 3 Unit]])&gt;0,MAX(K$6:K17)+1,"")</f>
        <v/>
      </c>
    </row>
    <row r="19" spans="1:11" x14ac:dyDescent="0.25">
      <c r="A19" s="86"/>
      <c r="B19" s="87"/>
      <c r="C19" s="87"/>
      <c r="D19" s="88"/>
      <c r="E19" s="88"/>
      <c r="F19" s="88"/>
      <c r="G19" s="88"/>
      <c r="H19" s="88"/>
      <c r="I19" s="88"/>
      <c r="J19" s="89"/>
      <c r="K19" s="98" t="str">
        <f>IF(COUNTA(RelatedFeatures[[#This Row],[Spatial Offset Type]:[Offset 3 Unit]])&gt;0,MAX(K$6:K18)+1,"")</f>
        <v/>
      </c>
    </row>
    <row r="20" spans="1:11" x14ac:dyDescent="0.25">
      <c r="A20" s="86"/>
      <c r="B20" s="87"/>
      <c r="C20" s="87"/>
      <c r="D20" s="88"/>
      <c r="E20" s="88"/>
      <c r="F20" s="88"/>
      <c r="G20" s="88"/>
      <c r="H20" s="88"/>
      <c r="I20" s="88"/>
      <c r="J20" s="89"/>
      <c r="K20" s="98" t="str">
        <f>IF(COUNTA(RelatedFeatures[[#This Row],[Spatial Offset Type]:[Offset 3 Unit]])&gt;0,MAX(K$6:K19)+1,"")</f>
        <v/>
      </c>
    </row>
    <row r="21" spans="1:11" x14ac:dyDescent="0.25">
      <c r="A21" s="86"/>
      <c r="B21" s="87"/>
      <c r="C21" s="87"/>
      <c r="D21" s="88"/>
      <c r="E21" s="88"/>
      <c r="F21" s="88"/>
      <c r="G21" s="88"/>
      <c r="H21" s="88"/>
      <c r="I21" s="88"/>
      <c r="J21" s="89"/>
      <c r="K21" s="98" t="str">
        <f>IF(COUNTA(RelatedFeatures[[#This Row],[Spatial Offset Type]:[Offset 3 Unit]])&gt;0,MAX(K$6:K20)+1,"")</f>
        <v/>
      </c>
    </row>
    <row r="22" spans="1:11" x14ac:dyDescent="0.25">
      <c r="A22" s="86"/>
      <c r="B22" s="87"/>
      <c r="C22" s="87"/>
      <c r="D22" s="88"/>
      <c r="E22" s="88"/>
      <c r="F22" s="88"/>
      <c r="G22" s="88"/>
      <c r="H22" s="88"/>
      <c r="I22" s="88"/>
      <c r="J22" s="89"/>
      <c r="K22" s="98" t="str">
        <f>IF(COUNTA(RelatedFeatures[[#This Row],[Spatial Offset Type]:[Offset 3 Unit]])&gt;0,MAX(K$6:K21)+1,"")</f>
        <v/>
      </c>
    </row>
    <row r="23" spans="1:11" x14ac:dyDescent="0.25">
      <c r="A23" s="86"/>
      <c r="B23" s="87"/>
      <c r="C23" s="87"/>
      <c r="D23" s="88"/>
      <c r="E23" s="88"/>
      <c r="F23" s="88"/>
      <c r="G23" s="88"/>
      <c r="H23" s="88"/>
      <c r="I23" s="88"/>
      <c r="J23" s="89"/>
      <c r="K23" s="98" t="str">
        <f>IF(COUNTA(RelatedFeatures[[#This Row],[Spatial Offset Type]:[Offset 3 Unit]])&gt;0,MAX(K$6:K22)+1,"")</f>
        <v/>
      </c>
    </row>
    <row r="24" spans="1:11" x14ac:dyDescent="0.25">
      <c r="A24" s="86"/>
      <c r="B24" s="87"/>
      <c r="C24" s="87"/>
      <c r="D24" s="88"/>
      <c r="E24" s="88"/>
      <c r="F24" s="88"/>
      <c r="G24" s="88"/>
      <c r="H24" s="88"/>
      <c r="I24" s="88"/>
      <c r="J24" s="89"/>
      <c r="K24" s="98" t="str">
        <f>IF(COUNTA(RelatedFeatures[[#This Row],[Spatial Offset Type]:[Offset 3 Unit]])&gt;0,MAX(K$6:K23)+1,"")</f>
        <v/>
      </c>
    </row>
    <row r="25" spans="1:11" x14ac:dyDescent="0.25">
      <c r="A25" s="86"/>
      <c r="B25" s="87"/>
      <c r="C25" s="87"/>
      <c r="D25" s="88"/>
      <c r="E25" s="88"/>
      <c r="F25" s="88"/>
      <c r="G25" s="88"/>
      <c r="H25" s="88"/>
      <c r="I25" s="88"/>
      <c r="J25" s="89"/>
      <c r="K25" s="98" t="str">
        <f>IF(COUNTA(RelatedFeatures[[#This Row],[Spatial Offset Type]:[Offset 3 Unit]])&gt;0,MAX(K$6:K24)+1,"")</f>
        <v/>
      </c>
    </row>
    <row r="26" spans="1:11" x14ac:dyDescent="0.25">
      <c r="A26" s="86"/>
      <c r="B26" s="87"/>
      <c r="C26" s="87"/>
      <c r="D26" s="88"/>
      <c r="E26" s="88"/>
      <c r="F26" s="88"/>
      <c r="G26" s="88"/>
      <c r="H26" s="88"/>
      <c r="I26" s="88"/>
      <c r="J26" s="89"/>
      <c r="K26" s="98" t="str">
        <f>IF(COUNTA(RelatedFeatures[[#This Row],[Spatial Offset Type]:[Offset 3 Unit]])&gt;0,MAX(K$6:K25)+1,"")</f>
        <v/>
      </c>
    </row>
    <row r="27" spans="1:11" x14ac:dyDescent="0.25">
      <c r="A27" s="86"/>
      <c r="B27" s="87"/>
      <c r="C27" s="87"/>
      <c r="D27" s="88"/>
      <c r="E27" s="88"/>
      <c r="F27" s="88"/>
      <c r="G27" s="88"/>
      <c r="H27" s="88"/>
      <c r="I27" s="88"/>
      <c r="J27" s="89"/>
      <c r="K27" s="98" t="str">
        <f>IF(COUNTA(RelatedFeatures[[#This Row],[Spatial Offset Type]:[Offset 3 Unit]])&gt;0,MAX(K$6:K26)+1,"")</f>
        <v/>
      </c>
    </row>
    <row r="28" spans="1:11" x14ac:dyDescent="0.25">
      <c r="A28" s="86"/>
      <c r="B28" s="87"/>
      <c r="C28" s="87"/>
      <c r="D28" s="88"/>
      <c r="E28" s="88"/>
      <c r="F28" s="88"/>
      <c r="G28" s="88"/>
      <c r="H28" s="88"/>
      <c r="I28" s="88"/>
      <c r="J28" s="89"/>
      <c r="K28" s="98" t="str">
        <f>IF(COUNTA(RelatedFeatures[[#This Row],[Spatial Offset Type]:[Offset 3 Unit]])&gt;0,MAX(K$6:K27)+1,"")</f>
        <v/>
      </c>
    </row>
    <row r="29" spans="1:11" x14ac:dyDescent="0.25">
      <c r="A29" s="86"/>
      <c r="B29" s="87"/>
      <c r="C29" s="87"/>
      <c r="D29" s="88"/>
      <c r="E29" s="88"/>
      <c r="F29" s="88"/>
      <c r="G29" s="88"/>
      <c r="H29" s="88"/>
      <c r="I29" s="88"/>
      <c r="J29" s="89"/>
      <c r="K29" s="98" t="str">
        <f>IF(COUNTA(RelatedFeatures[[#This Row],[Spatial Offset Type]:[Offset 3 Unit]])&gt;0,MAX(K$6:K28)+1,"")</f>
        <v/>
      </c>
    </row>
    <row r="30" spans="1:11" x14ac:dyDescent="0.25">
      <c r="A30" s="86"/>
      <c r="B30" s="87"/>
      <c r="C30" s="87"/>
      <c r="D30" s="88"/>
      <c r="E30" s="88"/>
      <c r="F30" s="88"/>
      <c r="G30" s="88"/>
      <c r="H30" s="88"/>
      <c r="I30" s="88"/>
      <c r="J30" s="89"/>
      <c r="K30" s="98" t="str">
        <f>IF(COUNTA(RelatedFeatures[[#This Row],[Spatial Offset Type]:[Offset 3 Unit]])&gt;0,MAX(K$6:K29)+1,"")</f>
        <v/>
      </c>
    </row>
    <row r="31" spans="1:11" x14ac:dyDescent="0.25">
      <c r="A31" s="86"/>
      <c r="B31" s="87"/>
      <c r="C31" s="87"/>
      <c r="D31" s="88"/>
      <c r="E31" s="88"/>
      <c r="F31" s="88"/>
      <c r="G31" s="88"/>
      <c r="H31" s="88"/>
      <c r="I31" s="88"/>
      <c r="J31" s="89"/>
      <c r="K31" s="98" t="str">
        <f>IF(COUNTA(RelatedFeatures[[#This Row],[Spatial Offset Type]:[Offset 3 Unit]])&gt;0,MAX(K$6:K30)+1,"")</f>
        <v/>
      </c>
    </row>
    <row r="32" spans="1:11" x14ac:dyDescent="0.25">
      <c r="A32" s="86"/>
      <c r="B32" s="87"/>
      <c r="C32" s="87"/>
      <c r="D32" s="88"/>
      <c r="E32" s="88"/>
      <c r="F32" s="88"/>
      <c r="G32" s="88"/>
      <c r="H32" s="88"/>
      <c r="I32" s="88"/>
      <c r="J32" s="89"/>
      <c r="K32" s="98" t="str">
        <f>IF(COUNTA(RelatedFeatures[[#This Row],[Spatial Offset Type]:[Offset 3 Unit]])&gt;0,MAX(K$6:K31)+1,"")</f>
        <v/>
      </c>
    </row>
    <row r="33" spans="1:11" x14ac:dyDescent="0.25">
      <c r="A33" s="86"/>
      <c r="B33" s="87"/>
      <c r="C33" s="87"/>
      <c r="D33" s="88"/>
      <c r="E33" s="88"/>
      <c r="F33" s="88"/>
      <c r="G33" s="88"/>
      <c r="H33" s="88"/>
      <c r="I33" s="88"/>
      <c r="J33" s="89"/>
      <c r="K33" s="98" t="str">
        <f>IF(COUNTA(RelatedFeatures[[#This Row],[Spatial Offset Type]:[Offset 3 Unit]])&gt;0,MAX(K$6:K32)+1,"")</f>
        <v/>
      </c>
    </row>
    <row r="34" spans="1:11" x14ac:dyDescent="0.25">
      <c r="A34" s="86"/>
      <c r="B34" s="87"/>
      <c r="C34" s="87"/>
      <c r="D34" s="88"/>
      <c r="E34" s="88"/>
      <c r="F34" s="88"/>
      <c r="G34" s="88"/>
      <c r="H34" s="88"/>
      <c r="I34" s="88"/>
      <c r="J34" s="89"/>
      <c r="K34" s="98" t="str">
        <f>IF(COUNTA(RelatedFeatures[[#This Row],[Spatial Offset Type]:[Offset 3 Unit]])&gt;0,MAX(K$6:K33)+1,"")</f>
        <v/>
      </c>
    </row>
    <row r="35" spans="1:11" x14ac:dyDescent="0.25">
      <c r="A35" s="86"/>
      <c r="B35" s="87"/>
      <c r="C35" s="87"/>
      <c r="D35" s="88"/>
      <c r="E35" s="88"/>
      <c r="F35" s="88"/>
      <c r="G35" s="88"/>
      <c r="H35" s="88"/>
      <c r="I35" s="88"/>
      <c r="J35" s="89"/>
      <c r="K35" s="98" t="str">
        <f>IF(COUNTA(RelatedFeatures[[#This Row],[Spatial Offset Type]:[Offset 3 Unit]])&gt;0,MAX(K$6:K34)+1,"")</f>
        <v/>
      </c>
    </row>
    <row r="36" spans="1:11" x14ac:dyDescent="0.25">
      <c r="A36" s="86"/>
      <c r="B36" s="87"/>
      <c r="C36" s="87"/>
      <c r="D36" s="88"/>
      <c r="E36" s="88"/>
      <c r="F36" s="88"/>
      <c r="G36" s="88"/>
      <c r="H36" s="88"/>
      <c r="I36" s="88"/>
      <c r="J36" s="89"/>
      <c r="K36" s="98" t="str">
        <f>IF(COUNTA(RelatedFeatures[[#This Row],[Spatial Offset Type]:[Offset 3 Unit]])&gt;0,MAX(K$6:K35)+1,"")</f>
        <v/>
      </c>
    </row>
    <row r="37" spans="1:11" x14ac:dyDescent="0.25">
      <c r="A37" s="86"/>
      <c r="B37" s="87"/>
      <c r="C37" s="87"/>
      <c r="D37" s="88"/>
      <c r="E37" s="88"/>
      <c r="F37" s="88"/>
      <c r="G37" s="88"/>
      <c r="H37" s="88"/>
      <c r="I37" s="88"/>
      <c r="J37" s="89"/>
      <c r="K37" s="98" t="str">
        <f>IF(COUNTA(RelatedFeatures[[#This Row],[Spatial Offset Type]:[Offset 3 Unit]])&gt;0,MAX(K$6:K36)+1,"")</f>
        <v/>
      </c>
    </row>
    <row r="38" spans="1:11" ht="15.75" thickBot="1" x14ac:dyDescent="0.3">
      <c r="A38" s="90"/>
      <c r="B38" s="91"/>
      <c r="C38" s="91"/>
      <c r="D38" s="92"/>
      <c r="E38" s="92"/>
      <c r="F38" s="92"/>
      <c r="G38" s="92"/>
      <c r="H38" s="92"/>
      <c r="I38" s="92"/>
      <c r="J38" s="93"/>
      <c r="K38" s="99"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32" t="s">
        <v>1168</v>
      </c>
    </row>
    <row r="3" spans="1:6" ht="15.75" thickBot="1" x14ac:dyDescent="0.3">
      <c r="A3" s="32" t="s">
        <v>298</v>
      </c>
      <c r="E3" s="33" t="s">
        <v>1273</v>
      </c>
      <c r="F3" s="34">
        <f>COUNTA(MethodCodes)</f>
        <v>0</v>
      </c>
    </row>
    <row r="4" spans="1:6" ht="15.75" thickBot="1" x14ac:dyDescent="0.3"/>
    <row r="5" spans="1:6" x14ac:dyDescent="0.25">
      <c r="A5" s="149" t="s">
        <v>271</v>
      </c>
      <c r="B5" s="150"/>
      <c r="C5" s="150"/>
      <c r="D5" s="150"/>
      <c r="E5" s="150"/>
      <c r="F5" s="151"/>
    </row>
    <row r="6" spans="1:6" ht="15.75" thickBot="1" x14ac:dyDescent="0.3">
      <c r="A6" s="78" t="s">
        <v>268</v>
      </c>
      <c r="B6" s="73" t="s">
        <v>148</v>
      </c>
      <c r="C6" s="73" t="s">
        <v>147</v>
      </c>
      <c r="D6" s="84" t="s">
        <v>149</v>
      </c>
      <c r="E6" s="84" t="s">
        <v>269</v>
      </c>
      <c r="F6" s="76" t="s">
        <v>19</v>
      </c>
    </row>
    <row r="7" spans="1:6" ht="15.75" thickTop="1" x14ac:dyDescent="0.25">
      <c r="A7" s="100"/>
      <c r="B7" s="87"/>
      <c r="C7" s="101"/>
      <c r="D7" s="102"/>
      <c r="E7" s="103"/>
      <c r="F7" s="104"/>
    </row>
    <row r="8" spans="1:6" x14ac:dyDescent="0.25">
      <c r="A8" s="100"/>
      <c r="B8" s="87"/>
      <c r="C8" s="101"/>
      <c r="D8" s="102"/>
      <c r="E8" s="103"/>
      <c r="F8" s="104"/>
    </row>
    <row r="9" spans="1:6" x14ac:dyDescent="0.25">
      <c r="A9" s="100"/>
      <c r="B9" s="87"/>
      <c r="C9" s="101"/>
      <c r="D9" s="102"/>
      <c r="E9" s="103"/>
      <c r="F9" s="104"/>
    </row>
    <row r="10" spans="1:6" x14ac:dyDescent="0.25">
      <c r="A10" s="100"/>
      <c r="B10" s="87"/>
      <c r="C10" s="101"/>
      <c r="D10" s="102"/>
      <c r="E10" s="103"/>
      <c r="F10" s="104"/>
    </row>
    <row r="11" spans="1:6" x14ac:dyDescent="0.25">
      <c r="A11" s="100"/>
      <c r="B11" s="87"/>
      <c r="C11" s="101"/>
      <c r="D11" s="102"/>
      <c r="E11" s="103"/>
      <c r="F11" s="104"/>
    </row>
    <row r="12" spans="1:6" x14ac:dyDescent="0.25">
      <c r="A12" s="100"/>
      <c r="B12" s="87"/>
      <c r="C12" s="101"/>
      <c r="D12" s="102"/>
      <c r="E12" s="88"/>
      <c r="F12" s="104"/>
    </row>
    <row r="13" spans="1:6" x14ac:dyDescent="0.25">
      <c r="A13" s="100"/>
      <c r="B13" s="87"/>
      <c r="C13" s="101"/>
      <c r="D13" s="102"/>
      <c r="E13" s="88"/>
      <c r="F13" s="104"/>
    </row>
    <row r="14" spans="1:6" x14ac:dyDescent="0.25">
      <c r="A14" s="100"/>
      <c r="B14" s="87"/>
      <c r="C14" s="101"/>
      <c r="D14" s="102"/>
      <c r="E14" s="88"/>
      <c r="F14" s="104"/>
    </row>
    <row r="15" spans="1:6" x14ac:dyDescent="0.25">
      <c r="A15" s="100"/>
      <c r="B15" s="87"/>
      <c r="C15" s="101"/>
      <c r="D15" s="102"/>
      <c r="E15" s="88"/>
      <c r="F15" s="104"/>
    </row>
    <row r="16" spans="1:6" x14ac:dyDescent="0.25">
      <c r="A16" s="100"/>
      <c r="B16" s="87"/>
      <c r="C16" s="101"/>
      <c r="D16" s="102"/>
      <c r="E16" s="88"/>
      <c r="F16" s="104"/>
    </row>
    <row r="17" spans="1:6" x14ac:dyDescent="0.25">
      <c r="A17" s="100"/>
      <c r="B17" s="87"/>
      <c r="C17" s="101"/>
      <c r="D17" s="102"/>
      <c r="E17" s="88"/>
      <c r="F17" s="104"/>
    </row>
    <row r="18" spans="1:6" x14ac:dyDescent="0.25">
      <c r="A18" s="100"/>
      <c r="B18" s="87"/>
      <c r="C18" s="101"/>
      <c r="D18" s="102"/>
      <c r="E18" s="88"/>
      <c r="F18" s="104"/>
    </row>
    <row r="19" spans="1:6" x14ac:dyDescent="0.25">
      <c r="A19" s="100"/>
      <c r="B19" s="87"/>
      <c r="C19" s="101"/>
      <c r="D19" s="102"/>
      <c r="E19" s="88"/>
      <c r="F19" s="104"/>
    </row>
    <row r="20" spans="1:6" x14ac:dyDescent="0.25">
      <c r="A20" s="100"/>
      <c r="B20" s="87"/>
      <c r="C20" s="101"/>
      <c r="D20" s="102"/>
      <c r="E20" s="88"/>
      <c r="F20" s="104"/>
    </row>
    <row r="21" spans="1:6" x14ac:dyDescent="0.25">
      <c r="A21" s="100"/>
      <c r="B21" s="87"/>
      <c r="C21" s="101"/>
      <c r="D21" s="102"/>
      <c r="E21" s="88"/>
      <c r="F21" s="104"/>
    </row>
    <row r="22" spans="1:6" x14ac:dyDescent="0.25">
      <c r="A22" s="100"/>
      <c r="B22" s="87"/>
      <c r="C22" s="101"/>
      <c r="D22" s="102"/>
      <c r="E22" s="88"/>
      <c r="F22" s="104"/>
    </row>
    <row r="23" spans="1:6" x14ac:dyDescent="0.25">
      <c r="A23" s="100"/>
      <c r="B23" s="87"/>
      <c r="C23" s="101"/>
      <c r="D23" s="102"/>
      <c r="E23" s="88"/>
      <c r="F23" s="104"/>
    </row>
    <row r="24" spans="1:6" x14ac:dyDescent="0.25">
      <c r="A24" s="100"/>
      <c r="B24" s="87"/>
      <c r="C24" s="101"/>
      <c r="D24" s="102"/>
      <c r="E24" s="88"/>
      <c r="F24" s="104"/>
    </row>
    <row r="25" spans="1:6" x14ac:dyDescent="0.25">
      <c r="A25" s="100"/>
      <c r="B25" s="87"/>
      <c r="C25" s="101"/>
      <c r="D25" s="102"/>
      <c r="E25" s="88"/>
      <c r="F25" s="104"/>
    </row>
    <row r="26" spans="1:6" x14ac:dyDescent="0.25">
      <c r="A26" s="100"/>
      <c r="B26" s="87"/>
      <c r="C26" s="101"/>
      <c r="D26" s="102"/>
      <c r="E26" s="88"/>
      <c r="F26" s="104"/>
    </row>
    <row r="27" spans="1:6" x14ac:dyDescent="0.25">
      <c r="A27" s="100"/>
      <c r="B27" s="87"/>
      <c r="C27" s="101"/>
      <c r="D27" s="102"/>
      <c r="E27" s="88"/>
      <c r="F27" s="104"/>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F7" sqref="A7:F1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32" t="s">
        <v>306</v>
      </c>
    </row>
    <row r="2" spans="1:6" ht="15.75" thickBot="1" x14ac:dyDescent="0.3">
      <c r="A2" s="32" t="s">
        <v>1169</v>
      </c>
    </row>
    <row r="3" spans="1:6" ht="15.75" thickBot="1" x14ac:dyDescent="0.3">
      <c r="A3" s="32" t="s">
        <v>307</v>
      </c>
      <c r="E3" s="33" t="s">
        <v>1274</v>
      </c>
      <c r="F3" s="34">
        <f>COUNTA(VariableCodes)</f>
        <v>0</v>
      </c>
    </row>
    <row r="4" spans="1:6" ht="15.75" thickBot="1" x14ac:dyDescent="0.3"/>
    <row r="5" spans="1:6" x14ac:dyDescent="0.25">
      <c r="A5" s="149" t="s">
        <v>312</v>
      </c>
      <c r="B5" s="150"/>
      <c r="C5" s="150"/>
      <c r="D5" s="150"/>
      <c r="E5" s="150"/>
      <c r="F5" s="151"/>
    </row>
    <row r="6" spans="1:6" ht="15.75" thickBot="1" x14ac:dyDescent="0.3">
      <c r="A6" s="78" t="s">
        <v>308</v>
      </c>
      <c r="B6" s="73" t="s">
        <v>145</v>
      </c>
      <c r="C6" s="73" t="s">
        <v>144</v>
      </c>
      <c r="D6" s="84" t="s">
        <v>309</v>
      </c>
      <c r="E6" s="84" t="s">
        <v>310</v>
      </c>
      <c r="F6" s="79" t="s">
        <v>311</v>
      </c>
    </row>
    <row r="7" spans="1:6" ht="15.75" thickTop="1" x14ac:dyDescent="0.25">
      <c r="A7" s="100"/>
      <c r="B7" s="87"/>
      <c r="C7" s="87"/>
      <c r="D7" s="88"/>
      <c r="E7" s="88"/>
      <c r="F7" s="105"/>
    </row>
    <row r="8" spans="1:6" x14ac:dyDescent="0.25">
      <c r="A8" s="100"/>
      <c r="B8" s="87"/>
      <c r="C8" s="87"/>
      <c r="D8" s="88"/>
      <c r="E8" s="88"/>
      <c r="F8" s="105"/>
    </row>
    <row r="9" spans="1:6" x14ac:dyDescent="0.25">
      <c r="A9" s="100"/>
      <c r="B9" s="87"/>
      <c r="C9" s="87"/>
      <c r="D9" s="88"/>
      <c r="E9" s="88"/>
      <c r="F9" s="105"/>
    </row>
    <row r="10" spans="1:6" x14ac:dyDescent="0.25">
      <c r="A10" s="100"/>
      <c r="B10" s="87"/>
      <c r="C10" s="87"/>
      <c r="D10" s="88"/>
      <c r="E10" s="88"/>
      <c r="F10" s="105"/>
    </row>
    <row r="11" spans="1:6" x14ac:dyDescent="0.25">
      <c r="A11" s="100"/>
      <c r="B11" s="87"/>
      <c r="C11" s="87"/>
      <c r="D11" s="88"/>
      <c r="E11" s="88"/>
      <c r="F11" s="105"/>
    </row>
    <row r="12" spans="1:6" x14ac:dyDescent="0.25">
      <c r="A12" s="100"/>
      <c r="B12" s="87"/>
      <c r="C12" s="87"/>
      <c r="D12" s="88"/>
      <c r="E12" s="88"/>
      <c r="F12" s="105"/>
    </row>
    <row r="13" spans="1:6" x14ac:dyDescent="0.25">
      <c r="A13" s="100"/>
      <c r="B13" s="87"/>
      <c r="C13" s="87"/>
      <c r="D13" s="88"/>
      <c r="E13" s="88"/>
      <c r="F13" s="105"/>
    </row>
    <row r="14" spans="1:6" x14ac:dyDescent="0.25">
      <c r="A14" s="100"/>
      <c r="B14" s="87"/>
      <c r="C14" s="87"/>
      <c r="D14" s="88"/>
      <c r="E14" s="88"/>
      <c r="F14" s="105"/>
    </row>
    <row r="15" spans="1:6" x14ac:dyDescent="0.25">
      <c r="A15" s="100"/>
      <c r="B15" s="87"/>
      <c r="C15" s="87"/>
      <c r="D15" s="88"/>
      <c r="E15" s="88"/>
      <c r="F15" s="105"/>
    </row>
    <row r="16" spans="1:6" x14ac:dyDescent="0.25">
      <c r="A16" s="100"/>
      <c r="B16" s="87"/>
      <c r="C16" s="87"/>
      <c r="D16" s="88"/>
      <c r="E16" s="88"/>
      <c r="F16" s="105"/>
    </row>
    <row r="17" spans="1:6" x14ac:dyDescent="0.25">
      <c r="A17" s="100"/>
      <c r="B17" s="87"/>
      <c r="C17" s="87"/>
      <c r="D17" s="88"/>
      <c r="E17" s="88"/>
      <c r="F17" s="105"/>
    </row>
    <row r="18" spans="1:6" x14ac:dyDescent="0.25">
      <c r="A18" s="100"/>
      <c r="B18" s="87"/>
      <c r="C18" s="87"/>
      <c r="D18" s="88"/>
      <c r="E18" s="88"/>
      <c r="F18" s="105"/>
    </row>
    <row r="19" spans="1:6" x14ac:dyDescent="0.25">
      <c r="A19" s="100"/>
      <c r="B19" s="87"/>
      <c r="C19" s="87"/>
      <c r="D19" s="88"/>
      <c r="E19" s="88"/>
      <c r="F19" s="105"/>
    </row>
    <row r="20" spans="1:6" x14ac:dyDescent="0.25">
      <c r="A20" s="100"/>
      <c r="B20" s="87"/>
      <c r="C20" s="87"/>
      <c r="D20" s="88"/>
      <c r="E20" s="88"/>
      <c r="F20" s="105"/>
    </row>
    <row r="21" spans="1:6" x14ac:dyDescent="0.25">
      <c r="A21" s="100"/>
      <c r="B21" s="87"/>
      <c r="C21" s="87"/>
      <c r="D21" s="88"/>
      <c r="E21" s="88"/>
      <c r="F21" s="105"/>
    </row>
    <row r="22" spans="1:6" x14ac:dyDescent="0.25">
      <c r="A22" s="100"/>
      <c r="B22" s="87"/>
      <c r="C22" s="87"/>
      <c r="D22" s="88"/>
      <c r="E22" s="88"/>
      <c r="F22" s="105"/>
    </row>
    <row r="23" spans="1:6" x14ac:dyDescent="0.25">
      <c r="A23" s="100"/>
      <c r="B23" s="87"/>
      <c r="C23" s="87"/>
      <c r="D23" s="88"/>
      <c r="E23" s="88"/>
      <c r="F23" s="105"/>
    </row>
    <row r="24" spans="1:6" x14ac:dyDescent="0.25">
      <c r="A24" s="100"/>
      <c r="B24" s="87"/>
      <c r="C24" s="87"/>
      <c r="D24" s="88"/>
      <c r="E24" s="88"/>
      <c r="F24" s="105"/>
    </row>
    <row r="25" spans="1:6" x14ac:dyDescent="0.25">
      <c r="A25" s="100"/>
      <c r="B25" s="87"/>
      <c r="C25" s="87"/>
      <c r="D25" s="88"/>
      <c r="E25" s="88"/>
      <c r="F25" s="10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C12" sqref="C12"/>
    </sheetView>
  </sheetViews>
  <sheetFormatPr defaultRowHeight="15" x14ac:dyDescent="0.25"/>
  <cols>
    <col min="1" max="1" width="23.42578125" style="7" customWidth="1"/>
    <col min="2" max="2" width="29.7109375" style="7" customWidth="1"/>
    <col min="3" max="3" width="64" style="106" customWidth="1"/>
    <col min="4" max="4" width="8" style="7" bestFit="1" customWidth="1"/>
    <col min="5" max="16384" width="9.140625" style="7"/>
  </cols>
  <sheetData>
    <row r="1" spans="1:5" x14ac:dyDescent="0.25">
      <c r="A1" s="32" t="s">
        <v>1220</v>
      </c>
    </row>
    <row r="2" spans="1:5" ht="15.75" thickBot="1" x14ac:dyDescent="0.3">
      <c r="A2" s="32" t="s">
        <v>1221</v>
      </c>
    </row>
    <row r="3" spans="1:5" ht="15.75" thickBot="1" x14ac:dyDescent="0.3">
      <c r="A3" s="32" t="s">
        <v>1222</v>
      </c>
      <c r="D3" s="33" t="s">
        <v>1275</v>
      </c>
      <c r="E3" s="34">
        <f>COUNTA(ProcessingLevelCodes)</f>
        <v>5</v>
      </c>
    </row>
    <row r="4" spans="1:5" ht="15.75" thickBot="1" x14ac:dyDescent="0.3"/>
    <row r="5" spans="1:5" x14ac:dyDescent="0.25">
      <c r="A5" s="152" t="s">
        <v>1225</v>
      </c>
      <c r="B5" s="153"/>
      <c r="C5" s="156"/>
    </row>
    <row r="6" spans="1:5" ht="15.75" thickBot="1" x14ac:dyDescent="0.3">
      <c r="A6" s="78" t="s">
        <v>1223</v>
      </c>
      <c r="B6" s="73" t="s">
        <v>1224</v>
      </c>
      <c r="C6" s="111" t="s">
        <v>1226</v>
      </c>
    </row>
    <row r="7" spans="1:5" ht="90.75" thickTop="1" x14ac:dyDescent="0.25">
      <c r="A7" s="107">
        <v>0</v>
      </c>
      <c r="B7" s="108" t="s">
        <v>1317</v>
      </c>
      <c r="C7" s="109" t="s">
        <v>1318</v>
      </c>
    </row>
    <row r="8" spans="1:5" ht="30" x14ac:dyDescent="0.25">
      <c r="A8" s="100">
        <v>1</v>
      </c>
      <c r="B8" s="88" t="s">
        <v>1319</v>
      </c>
      <c r="C8" s="110" t="s">
        <v>1320</v>
      </c>
    </row>
    <row r="9" spans="1:5" ht="60" x14ac:dyDescent="0.25">
      <c r="A9" s="100">
        <v>2</v>
      </c>
      <c r="B9" s="88" t="s">
        <v>1376</v>
      </c>
      <c r="C9" s="110" t="s">
        <v>1377</v>
      </c>
    </row>
    <row r="10" spans="1:5" ht="60" x14ac:dyDescent="0.25">
      <c r="A10" s="100">
        <v>3</v>
      </c>
      <c r="B10" s="88" t="s">
        <v>1378</v>
      </c>
      <c r="C10" s="110" t="s">
        <v>1380</v>
      </c>
    </row>
    <row r="11" spans="1:5" ht="75" x14ac:dyDescent="0.25">
      <c r="A11" s="100">
        <v>4</v>
      </c>
      <c r="B11" s="88" t="s">
        <v>1379</v>
      </c>
      <c r="C11" s="110" t="s">
        <v>1381</v>
      </c>
    </row>
    <row r="12" spans="1:5" x14ac:dyDescent="0.25">
      <c r="A12" s="100"/>
      <c r="B12" s="88"/>
      <c r="C12" s="110"/>
    </row>
    <row r="13" spans="1:5" x14ac:dyDescent="0.25">
      <c r="A13" s="100"/>
      <c r="B13" s="88"/>
      <c r="C13" s="110"/>
    </row>
    <row r="14" spans="1:5" x14ac:dyDescent="0.25">
      <c r="A14" s="100"/>
      <c r="B14" s="88"/>
      <c r="C14" s="110"/>
    </row>
    <row r="15" spans="1:5" x14ac:dyDescent="0.25">
      <c r="A15" s="100"/>
      <c r="B15" s="88"/>
      <c r="C15" s="110"/>
    </row>
    <row r="16" spans="1:5" x14ac:dyDescent="0.25">
      <c r="A16" s="100"/>
      <c r="B16" s="88"/>
      <c r="C16" s="110"/>
    </row>
    <row r="17" spans="1:3" x14ac:dyDescent="0.25">
      <c r="A17" s="100"/>
      <c r="B17" s="88"/>
      <c r="C17" s="110"/>
    </row>
    <row r="18" spans="1:3" x14ac:dyDescent="0.25">
      <c r="A18" s="100"/>
      <c r="B18" s="88"/>
      <c r="C18" s="110"/>
    </row>
    <row r="19" spans="1:3" x14ac:dyDescent="0.25">
      <c r="A19" s="100"/>
      <c r="B19" s="88"/>
      <c r="C19" s="110"/>
    </row>
    <row r="20" spans="1:3" x14ac:dyDescent="0.25">
      <c r="A20" s="100"/>
      <c r="B20" s="88"/>
      <c r="C20" s="110"/>
    </row>
    <row r="21" spans="1:3" x14ac:dyDescent="0.25">
      <c r="A21" s="100"/>
      <c r="B21" s="88"/>
      <c r="C21" s="110"/>
    </row>
    <row r="22" spans="1:3" x14ac:dyDescent="0.25">
      <c r="A22" s="100"/>
      <c r="B22" s="88"/>
      <c r="C22" s="110"/>
    </row>
    <row r="23" spans="1:3" x14ac:dyDescent="0.25">
      <c r="A23" s="100"/>
      <c r="B23" s="88"/>
      <c r="C23" s="110"/>
    </row>
    <row r="24" spans="1:3" x14ac:dyDescent="0.25">
      <c r="A24" s="100"/>
      <c r="B24" s="88"/>
      <c r="C24" s="110"/>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B12" sqref="B12:O20"/>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32" t="s">
        <v>137</v>
      </c>
    </row>
    <row r="2" spans="1:15" x14ac:dyDescent="0.25">
      <c r="A2" s="32" t="s">
        <v>1229</v>
      </c>
    </row>
    <row r="3" spans="1:15" x14ac:dyDescent="0.25">
      <c r="A3" s="32" t="s">
        <v>1262</v>
      </c>
      <c r="D3" s="106"/>
    </row>
    <row r="4" spans="1:15" x14ac:dyDescent="0.25">
      <c r="A4" s="32" t="s">
        <v>1310</v>
      </c>
      <c r="D4" s="106"/>
    </row>
    <row r="5" spans="1:15" x14ac:dyDescent="0.25">
      <c r="A5" s="32" t="s">
        <v>1263</v>
      </c>
      <c r="D5" s="106"/>
    </row>
    <row r="6" spans="1:15" x14ac:dyDescent="0.25">
      <c r="A6" s="32" t="s">
        <v>1230</v>
      </c>
      <c r="D6" s="106"/>
    </row>
    <row r="7" spans="1:15" x14ac:dyDescent="0.25">
      <c r="A7" s="32" t="s">
        <v>1250</v>
      </c>
      <c r="D7" s="106"/>
    </row>
    <row r="8" spans="1:15" ht="15.75" thickBot="1" x14ac:dyDescent="0.3">
      <c r="A8" s="32" t="s">
        <v>1246</v>
      </c>
      <c r="D8" s="106"/>
    </row>
    <row r="9" spans="1:15" ht="15.75" thickBot="1" x14ac:dyDescent="0.3">
      <c r="M9" s="114" t="s">
        <v>1264</v>
      </c>
      <c r="N9" s="34">
        <f>MAX(DataColumns[Col '#])-2</f>
        <v>-2</v>
      </c>
      <c r="O9" s="112"/>
    </row>
    <row r="10" spans="1:15" x14ac:dyDescent="0.25">
      <c r="A10" s="158" t="s">
        <v>143</v>
      </c>
      <c r="B10" s="159"/>
      <c r="C10" s="159"/>
      <c r="D10" s="159"/>
      <c r="E10" s="159"/>
      <c r="F10" s="159"/>
      <c r="G10" s="159"/>
      <c r="H10" s="159"/>
      <c r="I10" s="159"/>
      <c r="J10" s="159"/>
      <c r="K10" s="159"/>
      <c r="L10" s="159"/>
      <c r="M10" s="159"/>
      <c r="N10" s="159"/>
      <c r="O10" s="159"/>
    </row>
    <row r="11" spans="1:15" ht="15.75" thickBot="1" x14ac:dyDescent="0.3">
      <c r="A11" s="113" t="s">
        <v>1219</v>
      </c>
      <c r="B11" s="78" t="s">
        <v>1231</v>
      </c>
      <c r="C11" s="84" t="s">
        <v>1170</v>
      </c>
      <c r="D11" s="73" t="s">
        <v>1212</v>
      </c>
      <c r="E11" s="73" t="s">
        <v>148</v>
      </c>
      <c r="F11" s="73" t="s">
        <v>138</v>
      </c>
      <c r="G11" s="73" t="s">
        <v>145</v>
      </c>
      <c r="H11" s="73" t="s">
        <v>146</v>
      </c>
      <c r="I11" s="73" t="s">
        <v>139</v>
      </c>
      <c r="J11" s="73" t="s">
        <v>1171</v>
      </c>
      <c r="K11" s="73" t="s">
        <v>142</v>
      </c>
      <c r="L11" s="73" t="s">
        <v>1214</v>
      </c>
      <c r="M11" s="73" t="s">
        <v>1196</v>
      </c>
      <c r="N11" s="73" t="s">
        <v>140</v>
      </c>
      <c r="O11" s="79" t="s">
        <v>141</v>
      </c>
    </row>
    <row r="12" spans="1:15" ht="15.75" thickTop="1" x14ac:dyDescent="0.25">
      <c r="A12" s="65" t="str">
        <f>IF(COUNTA(DataColumns[[#This Row],[Column Label]:[Quality Code]])&gt;0,IF(MAX(A$11:A11)=0,3,MAX(A$11:A11)+1),"")</f>
        <v/>
      </c>
      <c r="B12" s="22"/>
      <c r="C12" s="24"/>
      <c r="D12" s="23"/>
      <c r="E12" s="23"/>
      <c r="F12" s="23"/>
      <c r="G12" s="23"/>
      <c r="H12" s="23"/>
      <c r="I12" s="23"/>
      <c r="J12" s="23"/>
      <c r="K12" s="23"/>
      <c r="L12" s="23"/>
      <c r="M12" s="23"/>
      <c r="N12" s="23"/>
      <c r="O12" s="44"/>
    </row>
    <row r="13" spans="1:15" x14ac:dyDescent="0.25">
      <c r="A13" s="66" t="str">
        <f>IF(COUNTA(DataColumns[[#This Row],[Column Label]:[Quality Code]])&gt;0,IF(MAX(A$11:A12)=0,3,MAX(A$11:A12)+1),"")</f>
        <v/>
      </c>
      <c r="B13" s="12"/>
      <c r="C13" s="27"/>
      <c r="D13" s="13"/>
      <c r="E13" s="13"/>
      <c r="F13" s="13"/>
      <c r="G13" s="13"/>
      <c r="H13" s="13"/>
      <c r="I13" s="13"/>
      <c r="J13" s="13"/>
      <c r="K13" s="13"/>
      <c r="L13" s="13"/>
      <c r="M13" s="13"/>
      <c r="N13" s="13"/>
      <c r="O13" s="46"/>
    </row>
    <row r="14" spans="1:15" x14ac:dyDescent="0.25">
      <c r="A14" s="66" t="str">
        <f>IF(COUNTA(DataColumns[[#This Row],[Column Label]:[Quality Code]])&gt;0,IF(MAX(A$11:A13)=0,3,MAX(A$11:A13)+1),"")</f>
        <v/>
      </c>
      <c r="B14" s="12"/>
      <c r="C14" s="27"/>
      <c r="D14" s="13"/>
      <c r="E14" s="13"/>
      <c r="F14" s="13"/>
      <c r="G14" s="13"/>
      <c r="H14" s="13"/>
      <c r="I14" s="13"/>
      <c r="J14" s="13"/>
      <c r="K14" s="13"/>
      <c r="L14" s="13"/>
      <c r="M14" s="13"/>
      <c r="N14" s="13"/>
      <c r="O14" s="46"/>
    </row>
    <row r="15" spans="1:15" x14ac:dyDescent="0.25">
      <c r="A15" s="66" t="str">
        <f>IF(COUNTA(DataColumns[[#This Row],[Column Label]:[Quality Code]])&gt;0,IF(MAX(A$11:A14)=0,3,MAX(A$11:A14)+1),"")</f>
        <v/>
      </c>
      <c r="B15" s="12"/>
      <c r="C15" s="27"/>
      <c r="D15" s="13"/>
      <c r="E15" s="13"/>
      <c r="F15" s="13"/>
      <c r="G15" s="13"/>
      <c r="H15" s="13"/>
      <c r="I15" s="13"/>
      <c r="J15" s="13"/>
      <c r="K15" s="13"/>
      <c r="L15" s="13"/>
      <c r="M15" s="13"/>
      <c r="N15" s="13"/>
      <c r="O15" s="46"/>
    </row>
    <row r="16" spans="1:15" x14ac:dyDescent="0.25">
      <c r="A16" s="66" t="str">
        <f>IF(COUNTA(DataColumns[[#This Row],[Column Label]:[Quality Code]])&gt;0,IF(MAX(A$11:A15)=0,3,MAX(A$11:A15)+1),"")</f>
        <v/>
      </c>
      <c r="B16" s="12"/>
      <c r="C16" s="27"/>
      <c r="D16" s="13"/>
      <c r="E16" s="13"/>
      <c r="F16" s="13"/>
      <c r="G16" s="13"/>
      <c r="H16" s="13"/>
      <c r="I16" s="13"/>
      <c r="J16" s="13"/>
      <c r="K16" s="13"/>
      <c r="L16" s="13"/>
      <c r="M16" s="13"/>
      <c r="N16" s="13"/>
      <c r="O16" s="46"/>
    </row>
    <row r="17" spans="1:15" x14ac:dyDescent="0.25">
      <c r="A17" s="66" t="str">
        <f>IF(COUNTA(DataColumns[[#This Row],[Column Label]:[Quality Code]])&gt;0,IF(MAX(A$11:A16)=0,3,MAX(A$11:A16)+1),"")</f>
        <v/>
      </c>
      <c r="B17" s="12"/>
      <c r="C17" s="27"/>
      <c r="D17" s="13"/>
      <c r="E17" s="13"/>
      <c r="F17" s="13"/>
      <c r="G17" s="13"/>
      <c r="H17" s="13"/>
      <c r="I17" s="13"/>
      <c r="J17" s="13"/>
      <c r="K17" s="13"/>
      <c r="L17" s="13"/>
      <c r="M17" s="13"/>
      <c r="N17" s="13"/>
      <c r="O17" s="46"/>
    </row>
    <row r="18" spans="1:15" x14ac:dyDescent="0.25">
      <c r="A18" s="66" t="str">
        <f>IF(COUNTA(DataColumns[[#This Row],[Column Label]:[Quality Code]])&gt;0,IF(MAX(A$11:A17)=0,3,MAX(A$11:A17)+1),"")</f>
        <v/>
      </c>
      <c r="B18" s="12"/>
      <c r="C18" s="27"/>
      <c r="D18" s="13"/>
      <c r="E18" s="13"/>
      <c r="F18" s="13"/>
      <c r="G18" s="13"/>
      <c r="H18" s="13"/>
      <c r="I18" s="13"/>
      <c r="J18" s="13"/>
      <c r="K18" s="13"/>
      <c r="L18" s="13"/>
      <c r="M18" s="13"/>
      <c r="N18" s="13"/>
      <c r="O18" s="46"/>
    </row>
    <row r="19" spans="1:15" x14ac:dyDescent="0.25">
      <c r="A19" s="66" t="str">
        <f>IF(COUNTA(DataColumns[[#This Row],[Column Label]:[Quality Code]])&gt;0,IF(MAX(A$11:A18)=0,3,MAX(A$11:A18)+1),"")</f>
        <v/>
      </c>
      <c r="B19" s="12"/>
      <c r="C19" s="27"/>
      <c r="D19" s="13"/>
      <c r="E19" s="13"/>
      <c r="F19" s="13"/>
      <c r="G19" s="13"/>
      <c r="H19" s="13"/>
      <c r="I19" s="13"/>
      <c r="J19" s="13"/>
      <c r="K19" s="13"/>
      <c r="L19" s="13"/>
      <c r="M19" s="13"/>
      <c r="N19" s="13"/>
      <c r="O19" s="46"/>
    </row>
    <row r="20" spans="1:15" x14ac:dyDescent="0.25">
      <c r="A20" s="66" t="str">
        <f>IF(COUNTA(DataColumns[[#This Row],[Column Label]:[Quality Code]])&gt;0,IF(MAX(A$11:A19)=0,3,MAX(A$11:A19)+1),"")</f>
        <v/>
      </c>
      <c r="B20" s="12"/>
      <c r="C20" s="27"/>
      <c r="D20" s="13"/>
      <c r="E20" s="13"/>
      <c r="F20" s="13"/>
      <c r="G20" s="13"/>
      <c r="H20" s="13"/>
      <c r="I20" s="13"/>
      <c r="J20" s="13"/>
      <c r="K20" s="13"/>
      <c r="L20" s="13"/>
      <c r="M20" s="13"/>
      <c r="N20" s="13"/>
      <c r="O20" s="46"/>
    </row>
    <row r="21" spans="1:15" x14ac:dyDescent="0.25">
      <c r="A21" s="66" t="str">
        <f>IF(COUNTA(DataColumns[[#This Row],[Column Label]:[Quality Code]])&gt;0,IF(MAX(A$11:A20)=0,3,MAX(A$11:A20)+1),"")</f>
        <v/>
      </c>
      <c r="B21" s="12"/>
      <c r="C21" s="27"/>
      <c r="D21" s="13"/>
      <c r="E21" s="13"/>
      <c r="F21" s="13"/>
      <c r="G21" s="13"/>
      <c r="H21" s="13"/>
      <c r="I21" s="13"/>
      <c r="J21" s="13"/>
      <c r="K21" s="13"/>
      <c r="L21" s="13"/>
      <c r="M21" s="13"/>
      <c r="N21" s="13"/>
      <c r="O21" s="46"/>
    </row>
    <row r="22" spans="1:15" x14ac:dyDescent="0.25">
      <c r="A22" s="66" t="str">
        <f>IF(COUNTA(DataColumns[[#This Row],[Column Label]:[Quality Code]])&gt;0,IF(MAX(A$11:A21)=0,3,MAX(A$11:A21)+1),"")</f>
        <v/>
      </c>
      <c r="B22" s="12"/>
      <c r="C22" s="27"/>
      <c r="D22" s="13"/>
      <c r="E22" s="13"/>
      <c r="F22" s="13"/>
      <c r="G22" s="13"/>
      <c r="H22" s="13"/>
      <c r="I22" s="13"/>
      <c r="J22" s="13"/>
      <c r="K22" s="13"/>
      <c r="L22" s="13"/>
      <c r="M22" s="13"/>
      <c r="N22" s="13"/>
      <c r="O22" s="46"/>
    </row>
    <row r="23" spans="1:15" x14ac:dyDescent="0.25">
      <c r="A23" s="66" t="str">
        <f>IF(COUNTA(DataColumns[[#This Row],[Column Label]:[Quality Code]])&gt;0,IF(MAX(A$11:A22)=0,3,MAX(A$11:A22)+1),"")</f>
        <v/>
      </c>
      <c r="B23" s="12"/>
      <c r="C23" s="27"/>
      <c r="D23" s="13"/>
      <c r="E23" s="13"/>
      <c r="F23" s="13"/>
      <c r="G23" s="13"/>
      <c r="H23" s="13"/>
      <c r="I23" s="13"/>
      <c r="J23" s="13"/>
      <c r="K23" s="13"/>
      <c r="L23" s="13"/>
      <c r="M23" s="13"/>
      <c r="N23" s="13"/>
      <c r="O23" s="46"/>
    </row>
    <row r="24" spans="1:15" x14ac:dyDescent="0.25">
      <c r="A24" s="66" t="str">
        <f>IF(COUNTA(DataColumns[[#This Row],[Column Label]:[Quality Code]])&gt;0,IF(MAX(A$11:A23)=0,3,MAX(A$11:A23)+1),"")</f>
        <v/>
      </c>
      <c r="B24" s="12"/>
      <c r="C24" s="27"/>
      <c r="D24" s="13"/>
      <c r="E24" s="13"/>
      <c r="F24" s="13"/>
      <c r="G24" s="13"/>
      <c r="H24" s="13"/>
      <c r="I24" s="13"/>
      <c r="J24" s="13"/>
      <c r="K24" s="13"/>
      <c r="L24" s="13"/>
      <c r="M24" s="13"/>
      <c r="N24" s="13"/>
      <c r="O24" s="46"/>
    </row>
    <row r="25" spans="1:15" x14ac:dyDescent="0.25">
      <c r="A25" s="66" t="str">
        <f>IF(COUNTA(DataColumns[[#This Row],[Column Label]:[Quality Code]])&gt;0,IF(MAX(A$11:A24)=0,3,MAX(A$11:A24)+1),"")</f>
        <v/>
      </c>
      <c r="B25" s="12"/>
      <c r="C25" s="27"/>
      <c r="D25" s="13"/>
      <c r="E25" s="13"/>
      <c r="F25" s="13"/>
      <c r="G25" s="13"/>
      <c r="H25" s="13"/>
      <c r="I25" s="13"/>
      <c r="J25" s="13"/>
      <c r="K25" s="13"/>
      <c r="L25" s="13"/>
      <c r="M25" s="13"/>
      <c r="N25" s="13"/>
      <c r="O25" s="46"/>
    </row>
    <row r="26" spans="1:15" x14ac:dyDescent="0.25">
      <c r="A26" s="66" t="str">
        <f>IF(COUNTA(DataColumns[[#This Row],[Column Label]:[Quality Code]])&gt;0,IF(MAX(A$11:A25)=0,3,MAX(A$11:A25)+1),"")</f>
        <v/>
      </c>
      <c r="B26" s="12"/>
      <c r="C26" s="27"/>
      <c r="D26" s="13"/>
      <c r="E26" s="13"/>
      <c r="F26" s="13"/>
      <c r="G26" s="13"/>
      <c r="H26" s="13"/>
      <c r="I26" s="13"/>
      <c r="J26" s="13"/>
      <c r="K26" s="13"/>
      <c r="L26" s="13"/>
      <c r="M26" s="13"/>
      <c r="N26" s="13"/>
      <c r="O26" s="46"/>
    </row>
    <row r="27" spans="1:15" x14ac:dyDescent="0.25">
      <c r="A27" s="66" t="str">
        <f>IF(COUNTA(DataColumns[[#This Row],[Column Label]:[Quality Code]])&gt;0,IF(MAX(A$11:A26)=0,3,MAX(A$11:A26)+1),"")</f>
        <v/>
      </c>
      <c r="B27" s="12"/>
      <c r="C27" s="27"/>
      <c r="D27" s="13"/>
      <c r="E27" s="13"/>
      <c r="F27" s="13"/>
      <c r="G27" s="13"/>
      <c r="H27" s="13"/>
      <c r="I27" s="13"/>
      <c r="J27" s="13"/>
      <c r="K27" s="13"/>
      <c r="L27" s="13"/>
      <c r="M27" s="13"/>
      <c r="N27" s="13"/>
      <c r="O27" s="46"/>
    </row>
    <row r="28" spans="1:15" x14ac:dyDescent="0.25">
      <c r="A28" s="66" t="str">
        <f>IF(COUNTA(DataColumns[[#This Row],[Column Label]:[Quality Code]])&gt;0,IF(MAX(A$11:A27)=0,3,MAX(A$11:A27)+1),"")</f>
        <v/>
      </c>
      <c r="B28" s="12"/>
      <c r="C28" s="27"/>
      <c r="D28" s="13"/>
      <c r="E28" s="13"/>
      <c r="F28" s="13"/>
      <c r="G28" s="13"/>
      <c r="H28" s="13"/>
      <c r="I28" s="13"/>
      <c r="J28" s="13"/>
      <c r="K28" s="13"/>
      <c r="L28" s="13"/>
      <c r="M28" s="13"/>
      <c r="N28" s="13"/>
      <c r="O28" s="46"/>
    </row>
    <row r="29" spans="1:15" x14ac:dyDescent="0.25">
      <c r="A29" s="66" t="str">
        <f>IF(COUNTA(DataColumns[[#This Row],[Column Label]:[Quality Code]])&gt;0,IF(MAX(A$11:A28)=0,3,MAX(A$11:A28)+1),"")</f>
        <v/>
      </c>
      <c r="B29" s="12"/>
      <c r="C29" s="27"/>
      <c r="D29" s="13"/>
      <c r="E29" s="13"/>
      <c r="F29" s="13"/>
      <c r="G29" s="13"/>
      <c r="H29" s="13"/>
      <c r="I29" s="13"/>
      <c r="J29" s="13"/>
      <c r="K29" s="13"/>
      <c r="L29" s="13"/>
      <c r="M29" s="13"/>
      <c r="N29" s="13"/>
      <c r="O29" s="46"/>
    </row>
    <row r="30" spans="1:15" x14ac:dyDescent="0.25">
      <c r="A30" s="66" t="str">
        <f>IF(COUNTA(DataColumns[[#This Row],[Column Label]:[Quality Code]])&gt;0,IF(MAX(A$11:A29)=0,3,MAX(A$11:A29)+1),"")</f>
        <v/>
      </c>
      <c r="B30" s="12"/>
      <c r="C30" s="27"/>
      <c r="D30" s="13"/>
      <c r="E30" s="13"/>
      <c r="F30" s="13"/>
      <c r="G30" s="13"/>
      <c r="H30" s="13"/>
      <c r="I30" s="13"/>
      <c r="J30" s="13"/>
      <c r="K30" s="13"/>
      <c r="L30" s="13"/>
      <c r="M30" s="13"/>
      <c r="N30" s="13"/>
      <c r="O30" s="46"/>
    </row>
    <row r="31" spans="1:15" x14ac:dyDescent="0.25">
      <c r="A31" s="66" t="str">
        <f>IF(COUNTA(DataColumns[[#This Row],[Column Label]:[Quality Code]])&gt;0,IF(MAX(A$11:A30)=0,3,MAX(A$11:A30)+1),"")</f>
        <v/>
      </c>
      <c r="B31" s="12"/>
      <c r="C31" s="27"/>
      <c r="D31" s="13"/>
      <c r="E31" s="13"/>
      <c r="F31" s="13"/>
      <c r="G31" s="13"/>
      <c r="H31" s="13"/>
      <c r="I31" s="13"/>
      <c r="J31" s="13"/>
      <c r="K31" s="13"/>
      <c r="L31" s="13"/>
      <c r="M31" s="13"/>
      <c r="N31" s="13"/>
      <c r="O31" s="46"/>
    </row>
    <row r="32" spans="1:15" x14ac:dyDescent="0.25">
      <c r="A32" s="66" t="str">
        <f>IF(COUNTA(DataColumns[[#This Row],[Column Label]:[Quality Code]])&gt;0,IF(MAX(A$11:A31)=0,3,MAX(A$11:A31)+1),"")</f>
        <v/>
      </c>
      <c r="B32" s="12"/>
      <c r="C32" s="27"/>
      <c r="D32" s="13"/>
      <c r="E32" s="13"/>
      <c r="F32" s="13"/>
      <c r="G32" s="13"/>
      <c r="H32" s="13"/>
      <c r="I32" s="13"/>
      <c r="J32" s="13"/>
      <c r="K32" s="13"/>
      <c r="L32" s="13"/>
      <c r="M32" s="13"/>
      <c r="N32" s="13"/>
      <c r="O32" s="46"/>
    </row>
    <row r="33" spans="1:15" x14ac:dyDescent="0.25">
      <c r="A33" s="66" t="str">
        <f>IF(COUNTA(DataColumns[[#This Row],[Column Label]:[Quality Code]])&gt;0,IF(MAX(A$11:A32)=0,3,MAX(A$11:A32)+1),"")</f>
        <v/>
      </c>
      <c r="B33" s="12"/>
      <c r="C33" s="27"/>
      <c r="D33" s="13"/>
      <c r="E33" s="13"/>
      <c r="F33" s="13"/>
      <c r="G33" s="13"/>
      <c r="H33" s="13"/>
      <c r="I33" s="13"/>
      <c r="J33" s="13"/>
      <c r="K33" s="13"/>
      <c r="L33" s="13"/>
      <c r="M33" s="13"/>
      <c r="N33" s="13"/>
      <c r="O33" s="46"/>
    </row>
    <row r="34" spans="1:15" x14ac:dyDescent="0.25">
      <c r="A34" s="66" t="str">
        <f>IF(COUNTA(DataColumns[[#This Row],[Column Label]:[Quality Code]])&gt;0,IF(MAX(A$11:A33)=0,3,MAX(A$11:A33)+1),"")</f>
        <v/>
      </c>
      <c r="B34" s="12"/>
      <c r="C34" s="27"/>
      <c r="D34" s="13"/>
      <c r="E34" s="13"/>
      <c r="F34" s="13"/>
      <c r="G34" s="13"/>
      <c r="H34" s="13"/>
      <c r="I34" s="13"/>
      <c r="J34" s="13"/>
      <c r="K34" s="13"/>
      <c r="L34" s="13"/>
      <c r="M34" s="13"/>
      <c r="N34" s="13"/>
      <c r="O34" s="46"/>
    </row>
    <row r="35" spans="1:15" x14ac:dyDescent="0.25">
      <c r="A35" s="66" t="str">
        <f>IF(COUNTA(DataColumns[[#This Row],[Column Label]:[Quality Code]])&gt;0,IF(MAX(A$11:A34)=0,3,MAX(A$11:A34)+1),"")</f>
        <v/>
      </c>
      <c r="B35" s="12"/>
      <c r="C35" s="27"/>
      <c r="D35" s="13"/>
      <c r="E35" s="13"/>
      <c r="F35" s="13"/>
      <c r="G35" s="13"/>
      <c r="H35" s="13"/>
      <c r="I35" s="13"/>
      <c r="J35" s="13"/>
      <c r="K35" s="13"/>
      <c r="L35" s="13"/>
      <c r="M35" s="13"/>
      <c r="N35" s="13"/>
      <c r="O35" s="46"/>
    </row>
    <row r="36" spans="1:15" x14ac:dyDescent="0.25">
      <c r="A36" s="66" t="str">
        <f>IF(COUNTA(DataColumns[[#This Row],[Column Label]:[Quality Code]])&gt;0,IF(MAX(A$11:A35)=0,3,MAX(A$11:A35)+1),"")</f>
        <v/>
      </c>
      <c r="B36" s="12"/>
      <c r="C36" s="27"/>
      <c r="D36" s="13"/>
      <c r="E36" s="13"/>
      <c r="F36" s="13"/>
      <c r="G36" s="13"/>
      <c r="H36" s="13"/>
      <c r="I36" s="13"/>
      <c r="J36" s="13"/>
      <c r="K36" s="13"/>
      <c r="L36" s="13"/>
      <c r="M36" s="13"/>
      <c r="N36" s="13"/>
      <c r="O36" s="46"/>
    </row>
    <row r="37" spans="1:15" x14ac:dyDescent="0.25">
      <c r="A37" s="66" t="str">
        <f>IF(COUNTA(DataColumns[[#This Row],[Column Label]:[Quality Code]])&gt;0,IF(MAX(A$11:A36)=0,3,MAX(A$11:A36)+1),"")</f>
        <v/>
      </c>
      <c r="B37" s="12"/>
      <c r="C37" s="27"/>
      <c r="D37" s="13"/>
      <c r="E37" s="13"/>
      <c r="F37" s="13"/>
      <c r="G37" s="13"/>
      <c r="H37" s="13"/>
      <c r="I37" s="13"/>
      <c r="J37" s="13"/>
      <c r="K37" s="13"/>
      <c r="L37" s="13"/>
      <c r="M37" s="13"/>
      <c r="N37" s="13"/>
      <c r="O37" s="46"/>
    </row>
    <row r="38" spans="1:15" x14ac:dyDescent="0.25">
      <c r="A38" s="66" t="str">
        <f>IF(COUNTA(DataColumns[[#This Row],[Column Label]:[Quality Code]])&gt;0,IF(MAX(A$11:A37)=0,3,MAX(A$11:A37)+1),"")</f>
        <v/>
      </c>
      <c r="B38" s="12"/>
      <c r="C38" s="27"/>
      <c r="D38" s="13"/>
      <c r="E38" s="13"/>
      <c r="F38" s="13"/>
      <c r="G38" s="13"/>
      <c r="H38" s="13"/>
      <c r="I38" s="13"/>
      <c r="J38" s="13"/>
      <c r="K38" s="13"/>
      <c r="L38" s="13"/>
      <c r="M38" s="13"/>
      <c r="N38" s="13"/>
      <c r="O38" s="46"/>
    </row>
    <row r="39" spans="1:15" x14ac:dyDescent="0.25">
      <c r="A39" s="66" t="str">
        <f>IF(COUNTA(DataColumns[[#This Row],[Column Label]:[Quality Code]])&gt;0,IF(MAX(A$11:A38)=0,3,MAX(A$11:A38)+1),"")</f>
        <v/>
      </c>
      <c r="B39" s="12"/>
      <c r="C39" s="27"/>
      <c r="D39" s="13"/>
      <c r="E39" s="13"/>
      <c r="F39" s="13"/>
      <c r="G39" s="13"/>
      <c r="H39" s="13"/>
      <c r="I39" s="13"/>
      <c r="J39" s="13"/>
      <c r="K39" s="13"/>
      <c r="L39" s="13"/>
      <c r="M39" s="13"/>
      <c r="N39" s="13"/>
      <c r="O39" s="46"/>
    </row>
    <row r="40" spans="1:15" x14ac:dyDescent="0.25">
      <c r="A40" s="66" t="str">
        <f>IF(COUNTA(DataColumns[[#This Row],[Column Label]:[Quality Code]])&gt;0,IF(MAX(A$11:A39)=0,3,MAX(A$11:A39)+1),"")</f>
        <v/>
      </c>
      <c r="B40" s="12"/>
      <c r="C40" s="27"/>
      <c r="D40" s="13"/>
      <c r="E40" s="13"/>
      <c r="F40" s="13"/>
      <c r="G40" s="13"/>
      <c r="H40" s="13"/>
      <c r="I40" s="13"/>
      <c r="J40" s="13"/>
      <c r="K40" s="13"/>
      <c r="L40" s="13"/>
      <c r="M40" s="13"/>
      <c r="N40" s="13"/>
      <c r="O40" s="46"/>
    </row>
    <row r="41" spans="1:15" x14ac:dyDescent="0.25">
      <c r="A41" s="66" t="str">
        <f>IF(COUNTA(DataColumns[[#This Row],[Column Label]:[Quality Code]])&gt;0,IF(MAX(A$11:A40)=0,3,MAX(A$11:A40)+1),"")</f>
        <v/>
      </c>
      <c r="B41" s="12"/>
      <c r="C41" s="27"/>
      <c r="D41" s="13"/>
      <c r="E41" s="13"/>
      <c r="F41" s="13"/>
      <c r="G41" s="13"/>
      <c r="H41" s="13"/>
      <c r="I41" s="13"/>
      <c r="J41" s="13"/>
      <c r="K41" s="13"/>
      <c r="L41" s="13"/>
      <c r="M41" s="13"/>
      <c r="N41" s="13"/>
      <c r="O41" s="46"/>
    </row>
    <row r="42" spans="1:15" x14ac:dyDescent="0.25">
      <c r="A42" s="66" t="str">
        <f>IF(COUNTA(DataColumns[[#This Row],[Column Label]:[Quality Code]])&gt;0,IF(MAX(A$11:A41)=0,3,MAX(A$11:A41)+1),"")</f>
        <v/>
      </c>
      <c r="B42" s="12"/>
      <c r="C42" s="27"/>
      <c r="D42" s="13"/>
      <c r="E42" s="13"/>
      <c r="F42" s="13"/>
      <c r="G42" s="13"/>
      <c r="H42" s="13"/>
      <c r="I42" s="13"/>
      <c r="J42" s="13"/>
      <c r="K42" s="13"/>
      <c r="L42" s="13"/>
      <c r="M42" s="13"/>
      <c r="N42" s="13"/>
      <c r="O42" s="46"/>
    </row>
    <row r="43" spans="1:15" x14ac:dyDescent="0.25">
      <c r="A43" s="66" t="str">
        <f>IF(COUNTA(DataColumns[[#This Row],[Column Label]:[Quality Code]])&gt;0,IF(MAX(A$11:A42)=0,3,MAX(A$11:A42)+1),"")</f>
        <v/>
      </c>
      <c r="B43" s="12"/>
      <c r="C43" s="27"/>
      <c r="D43" s="13"/>
      <c r="E43" s="13"/>
      <c r="F43" s="13"/>
      <c r="G43" s="13"/>
      <c r="H43" s="13"/>
      <c r="I43" s="13"/>
      <c r="J43" s="13"/>
      <c r="K43" s="13"/>
      <c r="L43" s="13"/>
      <c r="M43" s="13"/>
      <c r="N43" s="13"/>
      <c r="O43" s="46"/>
    </row>
    <row r="44" spans="1:15" x14ac:dyDescent="0.25">
      <c r="A44" s="66" t="str">
        <f>IF(COUNTA(DataColumns[[#This Row],[Column Label]:[Quality Code]])&gt;0,IF(MAX(A$11:A43)=0,3,MAX(A$11:A43)+1),"")</f>
        <v/>
      </c>
      <c r="B44" s="12"/>
      <c r="C44" s="27"/>
      <c r="D44" s="13"/>
      <c r="E44" s="13"/>
      <c r="F44" s="13"/>
      <c r="G44" s="13"/>
      <c r="H44" s="13"/>
      <c r="I44" s="13"/>
      <c r="J44" s="13"/>
      <c r="K44" s="13"/>
      <c r="L44" s="13"/>
      <c r="M44" s="13"/>
      <c r="N44" s="13"/>
      <c r="O44" s="46"/>
    </row>
    <row r="45" spans="1:15" x14ac:dyDescent="0.25">
      <c r="A45" s="66" t="str">
        <f>IF(COUNTA(DataColumns[[#This Row],[Column Label]:[Quality Code]])&gt;0,IF(MAX(A$11:A44)=0,3,MAX(A$11:A44)+1),"")</f>
        <v/>
      </c>
      <c r="B45" s="12"/>
      <c r="C45" s="27"/>
      <c r="D45" s="13"/>
      <c r="E45" s="13"/>
      <c r="F45" s="13"/>
      <c r="G45" s="13"/>
      <c r="H45" s="13"/>
      <c r="I45" s="13"/>
      <c r="J45" s="13"/>
      <c r="K45" s="13"/>
      <c r="L45" s="13"/>
      <c r="M45" s="13"/>
      <c r="N45" s="13"/>
      <c r="O45" s="46"/>
    </row>
    <row r="46" spans="1:15" x14ac:dyDescent="0.25">
      <c r="A46" s="66" t="str">
        <f>IF(COUNTA(DataColumns[[#This Row],[Column Label]:[Quality Code]])&gt;0,IF(MAX(A$11:A45)=0,3,MAX(A$11:A45)+1),"")</f>
        <v/>
      </c>
      <c r="B46" s="12"/>
      <c r="C46" s="27"/>
      <c r="D46" s="13"/>
      <c r="E46" s="13"/>
      <c r="F46" s="13"/>
      <c r="G46" s="13"/>
      <c r="H46" s="13"/>
      <c r="I46" s="13"/>
      <c r="J46" s="13"/>
      <c r="K46" s="13"/>
      <c r="L46" s="13"/>
      <c r="M46" s="13"/>
      <c r="N46" s="13"/>
      <c r="O46" s="46"/>
    </row>
    <row r="47" spans="1:15" x14ac:dyDescent="0.25">
      <c r="A47" s="66" t="str">
        <f>IF(COUNTA(DataColumns[[#This Row],[Column Label]:[Quality Code]])&gt;0,IF(MAX(A$11:A46)=0,3,MAX(A$11:A46)+1),"")</f>
        <v/>
      </c>
      <c r="B47" s="12"/>
      <c r="C47" s="27"/>
      <c r="D47" s="13"/>
      <c r="E47" s="13"/>
      <c r="F47" s="13"/>
      <c r="G47" s="13"/>
      <c r="H47" s="13"/>
      <c r="I47" s="13"/>
      <c r="J47" s="13"/>
      <c r="K47" s="13"/>
      <c r="L47" s="13"/>
      <c r="M47" s="13"/>
      <c r="N47" s="13"/>
      <c r="O47" s="46"/>
    </row>
    <row r="48" spans="1:15" x14ac:dyDescent="0.25">
      <c r="A48" s="66" t="str">
        <f>IF(COUNTA(DataColumns[[#This Row],[Column Label]:[Quality Code]])&gt;0,IF(MAX(A$11:A47)=0,3,MAX(A$11:A47)+1),"")</f>
        <v/>
      </c>
      <c r="B48" s="12"/>
      <c r="C48" s="27"/>
      <c r="D48" s="13"/>
      <c r="E48" s="13"/>
      <c r="F48" s="13"/>
      <c r="G48" s="13"/>
      <c r="H48" s="13"/>
      <c r="I48" s="13"/>
      <c r="J48" s="13"/>
      <c r="K48" s="13"/>
      <c r="L48" s="13"/>
      <c r="M48" s="13"/>
      <c r="N48" s="13"/>
      <c r="O48" s="46"/>
    </row>
    <row r="49" spans="1:15" x14ac:dyDescent="0.25">
      <c r="A49" s="66" t="str">
        <f>IF(COUNTA(DataColumns[[#This Row],[Column Label]:[Quality Code]])&gt;0,IF(MAX(A$11:A48)=0,3,MAX(A$11:A48)+1),"")</f>
        <v/>
      </c>
      <c r="B49" s="12"/>
      <c r="C49" s="27"/>
      <c r="D49" s="13"/>
      <c r="E49" s="13"/>
      <c r="F49" s="13"/>
      <c r="G49" s="13"/>
      <c r="H49" s="13"/>
      <c r="I49" s="13"/>
      <c r="J49" s="13"/>
      <c r="K49" s="13"/>
      <c r="L49" s="13"/>
      <c r="M49" s="13"/>
      <c r="N49" s="13"/>
      <c r="O49" s="46"/>
    </row>
    <row r="50" spans="1:15" x14ac:dyDescent="0.25">
      <c r="A50" s="66" t="str">
        <f>IF(COUNTA(DataColumns[[#This Row],[Column Label]:[Quality Code]])&gt;0,IF(MAX(A$11:A49)=0,3,MAX(A$11:A49)+1),"")</f>
        <v/>
      </c>
      <c r="B50" s="12"/>
      <c r="C50" s="27"/>
      <c r="D50" s="13"/>
      <c r="E50" s="13"/>
      <c r="F50" s="13"/>
      <c r="G50" s="13"/>
      <c r="H50" s="13"/>
      <c r="I50" s="13"/>
      <c r="J50" s="13"/>
      <c r="K50" s="13"/>
      <c r="L50" s="13"/>
      <c r="M50" s="13"/>
      <c r="N50" s="13"/>
      <c r="O50" s="46"/>
    </row>
    <row r="51" spans="1:15" x14ac:dyDescent="0.25">
      <c r="A51" s="66" t="str">
        <f>IF(COUNTA(DataColumns[[#This Row],[Column Label]:[Quality Code]])&gt;0,IF(MAX(A$11:A50)=0,3,MAX(A$11:A50)+1),"")</f>
        <v/>
      </c>
      <c r="B51" s="12"/>
      <c r="C51" s="27"/>
      <c r="D51" s="13"/>
      <c r="E51" s="13"/>
      <c r="F51" s="13"/>
      <c r="G51" s="13"/>
      <c r="H51" s="13"/>
      <c r="I51" s="13"/>
      <c r="J51" s="13"/>
      <c r="K51" s="13"/>
      <c r="L51" s="13"/>
      <c r="M51" s="13"/>
      <c r="N51" s="13"/>
      <c r="O51" s="46"/>
    </row>
    <row r="52" spans="1:15" x14ac:dyDescent="0.25">
      <c r="A52" s="66" t="str">
        <f>IF(COUNTA(DataColumns[[#This Row],[Column Label]:[Quality Code]])&gt;0,IF(MAX(A$11:A51)=0,3,MAX(A$11:A51)+1),"")</f>
        <v/>
      </c>
      <c r="B52" s="12"/>
      <c r="C52" s="27"/>
      <c r="D52" s="13"/>
      <c r="E52" s="13"/>
      <c r="F52" s="13"/>
      <c r="G52" s="13"/>
      <c r="H52" s="13"/>
      <c r="I52" s="13"/>
      <c r="J52" s="13"/>
      <c r="K52" s="13"/>
      <c r="L52" s="13"/>
      <c r="M52" s="13"/>
      <c r="N52" s="13"/>
      <c r="O52" s="46"/>
    </row>
    <row r="53" spans="1:15" x14ac:dyDescent="0.25">
      <c r="A53" s="66" t="str">
        <f>IF(COUNTA(DataColumns[[#This Row],[Column Label]:[Quality Code]])&gt;0,IF(MAX(A$11:A52)=0,3,MAX(A$11:A52)+1),"")</f>
        <v/>
      </c>
      <c r="B53" s="12"/>
      <c r="C53" s="27"/>
      <c r="D53" s="13"/>
      <c r="E53" s="13"/>
      <c r="F53" s="13"/>
      <c r="G53" s="13"/>
      <c r="H53" s="13"/>
      <c r="I53" s="13"/>
      <c r="J53" s="13"/>
      <c r="K53" s="13"/>
      <c r="L53" s="13"/>
      <c r="M53" s="13"/>
      <c r="N53" s="13"/>
      <c r="O53" s="46"/>
    </row>
    <row r="54" spans="1:15" x14ac:dyDescent="0.25">
      <c r="A54" s="66" t="str">
        <f>IF(COUNTA(DataColumns[[#This Row],[Column Label]:[Quality Code]])&gt;0,IF(MAX(A$11:A53)=0,3,MAX(A$11:A53)+1),"")</f>
        <v/>
      </c>
      <c r="B54" s="12"/>
      <c r="C54" s="27"/>
      <c r="D54" s="13"/>
      <c r="E54" s="13"/>
      <c r="F54" s="13"/>
      <c r="G54" s="13"/>
      <c r="H54" s="13"/>
      <c r="I54" s="13"/>
      <c r="J54" s="13"/>
      <c r="K54" s="13"/>
      <c r="L54" s="13"/>
      <c r="M54" s="13"/>
      <c r="N54" s="13"/>
      <c r="O54" s="46"/>
    </row>
    <row r="55" spans="1:15" x14ac:dyDescent="0.25">
      <c r="A55" s="66" t="str">
        <f>IF(COUNTA(DataColumns[[#This Row],[Column Label]:[Quality Code]])&gt;0,IF(MAX(A$11:A54)=0,3,MAX(A$11:A54)+1),"")</f>
        <v/>
      </c>
      <c r="B55" s="12"/>
      <c r="C55" s="27"/>
      <c r="D55" s="13"/>
      <c r="E55" s="13"/>
      <c r="F55" s="13"/>
      <c r="G55" s="13"/>
      <c r="H55" s="13"/>
      <c r="I55" s="13"/>
      <c r="J55" s="13"/>
      <c r="K55" s="13"/>
      <c r="L55" s="13"/>
      <c r="M55" s="13"/>
      <c r="N55" s="13"/>
      <c r="O55" s="46"/>
    </row>
    <row r="56" spans="1:15" x14ac:dyDescent="0.25">
      <c r="A56" s="66" t="str">
        <f>IF(COUNTA(DataColumns[[#This Row],[Column Label]:[Quality Code]])&gt;0,IF(MAX(A$11:A55)=0,3,MAX(A$11:A55)+1),"")</f>
        <v/>
      </c>
      <c r="B56" s="12"/>
      <c r="C56" s="27"/>
      <c r="D56" s="13"/>
      <c r="E56" s="13"/>
      <c r="F56" s="13"/>
      <c r="G56" s="13"/>
      <c r="H56" s="13"/>
      <c r="I56" s="13"/>
      <c r="J56" s="13"/>
      <c r="K56" s="13"/>
      <c r="L56" s="13"/>
      <c r="M56" s="13"/>
      <c r="N56" s="13"/>
      <c r="O56" s="46"/>
    </row>
    <row r="57" spans="1:15" x14ac:dyDescent="0.25">
      <c r="A57" s="66" t="str">
        <f>IF(COUNTA(DataColumns[[#This Row],[Column Label]:[Quality Code]])&gt;0,IF(MAX(A$11:A56)=0,3,MAX(A$11:A56)+1),"")</f>
        <v/>
      </c>
      <c r="B57" s="12"/>
      <c r="C57" s="27"/>
      <c r="D57" s="13"/>
      <c r="E57" s="13"/>
      <c r="F57" s="13"/>
      <c r="G57" s="13"/>
      <c r="H57" s="13"/>
      <c r="I57" s="13"/>
      <c r="J57" s="13"/>
      <c r="K57" s="13"/>
      <c r="L57" s="13"/>
      <c r="M57" s="13"/>
      <c r="N57" s="13"/>
      <c r="O57" s="46"/>
    </row>
    <row r="58" spans="1:15" x14ac:dyDescent="0.25">
      <c r="A58" s="66" t="str">
        <f>IF(COUNTA(DataColumns[[#This Row],[Column Label]:[Quality Code]])&gt;0,IF(MAX(A$11:A57)=0,3,MAX(A$11:A57)+1),"")</f>
        <v/>
      </c>
      <c r="B58" s="12"/>
      <c r="C58" s="27"/>
      <c r="D58" s="13"/>
      <c r="E58" s="13"/>
      <c r="F58" s="13"/>
      <c r="G58" s="13"/>
      <c r="H58" s="13"/>
      <c r="I58" s="13"/>
      <c r="J58" s="13"/>
      <c r="K58" s="13"/>
      <c r="L58" s="13"/>
      <c r="M58" s="13"/>
      <c r="N58" s="13"/>
      <c r="O58" s="46"/>
    </row>
    <row r="59" spans="1:15" x14ac:dyDescent="0.25">
      <c r="A59" s="66" t="str">
        <f>IF(COUNTA(DataColumns[[#This Row],[Column Label]:[Quality Code]])&gt;0,IF(MAX(A$11:A58)=0,3,MAX(A$11:A58)+1),"")</f>
        <v/>
      </c>
      <c r="B59" s="12"/>
      <c r="C59" s="27"/>
      <c r="D59" s="13"/>
      <c r="E59" s="13"/>
      <c r="F59" s="13"/>
      <c r="G59" s="13"/>
      <c r="H59" s="13"/>
      <c r="I59" s="13"/>
      <c r="J59" s="13"/>
      <c r="K59" s="13"/>
      <c r="L59" s="13"/>
      <c r="M59" s="13"/>
      <c r="N59" s="13"/>
      <c r="O59" s="46"/>
    </row>
    <row r="60" spans="1:15" x14ac:dyDescent="0.25">
      <c r="A60" s="66" t="str">
        <f>IF(COUNTA(DataColumns[[#This Row],[Column Label]:[Quality Code]])&gt;0,IF(MAX(A$11:A59)=0,3,MAX(A$11:A59)+1),"")</f>
        <v/>
      </c>
      <c r="B60" s="12"/>
      <c r="C60" s="27"/>
      <c r="D60" s="13"/>
      <c r="E60" s="13"/>
      <c r="F60" s="13"/>
      <c r="G60" s="13"/>
      <c r="H60" s="13"/>
      <c r="I60" s="13"/>
      <c r="J60" s="13"/>
      <c r="K60" s="13"/>
      <c r="L60" s="13"/>
      <c r="M60" s="13"/>
      <c r="N60" s="13"/>
      <c r="O60" s="46"/>
    </row>
    <row r="61" spans="1:15" x14ac:dyDescent="0.25">
      <c r="A61" s="66" t="str">
        <f>IF(COUNTA(DataColumns[[#This Row],[Column Label]:[Quality Code]])&gt;0,IF(MAX(A$11:A60)=0,3,MAX(A$11:A60)+1),"")</f>
        <v/>
      </c>
      <c r="B61" s="12"/>
      <c r="C61" s="27"/>
      <c r="D61" s="13"/>
      <c r="E61" s="13"/>
      <c r="F61" s="13"/>
      <c r="G61" s="13"/>
      <c r="H61" s="13"/>
      <c r="I61" s="13"/>
      <c r="J61" s="13"/>
      <c r="K61" s="13"/>
      <c r="L61" s="13"/>
      <c r="M61" s="13"/>
      <c r="N61" s="13"/>
      <c r="O61" s="46"/>
    </row>
    <row r="62" spans="1:15" x14ac:dyDescent="0.25">
      <c r="A62" s="66" t="str">
        <f>IF(COUNTA(DataColumns[[#This Row],[Column Label]:[Quality Code]])&gt;0,IF(MAX(A$11:A61)=0,3,MAX(A$11:A61)+1),"")</f>
        <v/>
      </c>
      <c r="B62" s="12"/>
      <c r="C62" s="27"/>
      <c r="D62" s="13"/>
      <c r="E62" s="13"/>
      <c r="F62" s="13"/>
      <c r="G62" s="13"/>
      <c r="H62" s="13"/>
      <c r="I62" s="13"/>
      <c r="J62" s="13"/>
      <c r="K62" s="13"/>
      <c r="L62" s="13"/>
      <c r="M62" s="13"/>
      <c r="N62" s="13"/>
      <c r="O62" s="46"/>
    </row>
    <row r="63" spans="1:15" x14ac:dyDescent="0.25">
      <c r="A63" s="66" t="str">
        <f>IF(COUNTA(DataColumns[[#This Row],[Column Label]:[Quality Code]])&gt;0,IF(MAX(A$11:A62)=0,3,MAX(A$11:A62)+1),"")</f>
        <v/>
      </c>
      <c r="B63" s="12"/>
      <c r="C63" s="27"/>
      <c r="D63" s="13"/>
      <c r="E63" s="13"/>
      <c r="F63" s="13"/>
      <c r="G63" s="13"/>
      <c r="H63" s="13"/>
      <c r="I63" s="13"/>
      <c r="J63" s="13"/>
      <c r="K63" s="13"/>
      <c r="L63" s="13"/>
      <c r="M63" s="13"/>
      <c r="N63" s="13"/>
      <c r="O63" s="46"/>
    </row>
    <row r="64" spans="1:15" x14ac:dyDescent="0.25">
      <c r="A64" s="66" t="str">
        <f>IF(COUNTA(DataColumns[[#This Row],[Column Label]:[Quality Code]])&gt;0,IF(MAX(A$11:A63)=0,3,MAX(A$11:A63)+1),"")</f>
        <v/>
      </c>
      <c r="B64" s="12"/>
      <c r="C64" s="27"/>
      <c r="D64" s="13"/>
      <c r="E64" s="13"/>
      <c r="F64" s="13"/>
      <c r="G64" s="13"/>
      <c r="H64" s="13"/>
      <c r="I64" s="13"/>
      <c r="J64" s="13"/>
      <c r="K64" s="13"/>
      <c r="L64" s="13"/>
      <c r="M64" s="13"/>
      <c r="N64" s="13"/>
      <c r="O64" s="46"/>
    </row>
    <row r="65" spans="1:15" x14ac:dyDescent="0.25">
      <c r="A65" s="66" t="str">
        <f>IF(COUNTA(DataColumns[[#This Row],[Column Label]:[Quality Code]])&gt;0,IF(MAX(A$11:A64)=0,3,MAX(A$11:A64)+1),"")</f>
        <v/>
      </c>
      <c r="B65" s="12"/>
      <c r="C65" s="27"/>
      <c r="D65" s="13"/>
      <c r="E65" s="13"/>
      <c r="F65" s="13"/>
      <c r="G65" s="13"/>
      <c r="H65" s="13"/>
      <c r="I65" s="13"/>
      <c r="J65" s="13"/>
      <c r="K65" s="13"/>
      <c r="L65" s="13"/>
      <c r="M65" s="13"/>
      <c r="N65" s="13"/>
      <c r="O65" s="46"/>
    </row>
    <row r="66" spans="1:15" x14ac:dyDescent="0.25">
      <c r="A66" s="66" t="str">
        <f>IF(COUNTA(DataColumns[[#This Row],[Column Label]:[Quality Code]])&gt;0,IF(MAX(A$11:A65)=0,3,MAX(A$11:A65)+1),"")</f>
        <v/>
      </c>
      <c r="B66" s="12"/>
      <c r="C66" s="27"/>
      <c r="D66" s="13"/>
      <c r="E66" s="13"/>
      <c r="F66" s="13"/>
      <c r="G66" s="13"/>
      <c r="H66" s="13"/>
      <c r="I66" s="13"/>
      <c r="J66" s="13"/>
      <c r="K66" s="13"/>
      <c r="L66" s="13"/>
      <c r="M66" s="13"/>
      <c r="N66" s="13"/>
      <c r="O66" s="46"/>
    </row>
    <row r="67" spans="1:15" x14ac:dyDescent="0.25">
      <c r="A67" s="66" t="str">
        <f>IF(COUNTA(DataColumns[[#This Row],[Column Label]:[Quality Code]])&gt;0,IF(MAX(A$11:A66)=0,3,MAX(A$11:A66)+1),"")</f>
        <v/>
      </c>
      <c r="B67" s="12"/>
      <c r="C67" s="27"/>
      <c r="D67" s="13"/>
      <c r="E67" s="13"/>
      <c r="F67" s="13"/>
      <c r="G67" s="13"/>
      <c r="H67" s="13"/>
      <c r="I67" s="13"/>
      <c r="J67" s="13"/>
      <c r="K67" s="13"/>
      <c r="L67" s="13"/>
      <c r="M67" s="13"/>
      <c r="N67" s="13"/>
      <c r="O67" s="46"/>
    </row>
    <row r="68" spans="1:15" x14ac:dyDescent="0.25">
      <c r="A68" s="66" t="str">
        <f>IF(COUNTA(DataColumns[[#This Row],[Column Label]:[Quality Code]])&gt;0,IF(MAX(A$11:A67)=0,3,MAX(A$11:A67)+1),"")</f>
        <v/>
      </c>
      <c r="B68" s="12"/>
      <c r="C68" s="27"/>
      <c r="D68" s="13"/>
      <c r="E68" s="13"/>
      <c r="F68" s="13"/>
      <c r="G68" s="13"/>
      <c r="H68" s="13"/>
      <c r="I68" s="13"/>
      <c r="J68" s="13"/>
      <c r="K68" s="13"/>
      <c r="L68" s="13"/>
      <c r="M68" s="13"/>
      <c r="N68" s="13"/>
      <c r="O68" s="46"/>
    </row>
    <row r="69" spans="1:15" x14ac:dyDescent="0.25">
      <c r="A69" s="66" t="str">
        <f>IF(COUNTA(DataColumns[[#This Row],[Column Label]:[Quality Code]])&gt;0,IF(MAX(A$11:A68)=0,3,MAX(A$11:A68)+1),"")</f>
        <v/>
      </c>
      <c r="B69" s="12"/>
      <c r="C69" s="27"/>
      <c r="D69" s="13"/>
      <c r="E69" s="13"/>
      <c r="F69" s="13"/>
      <c r="G69" s="13"/>
      <c r="H69" s="13"/>
      <c r="I69" s="13"/>
      <c r="J69" s="13"/>
      <c r="K69" s="13"/>
      <c r="L69" s="13"/>
      <c r="M69" s="13"/>
      <c r="N69" s="13"/>
      <c r="O69" s="46"/>
    </row>
    <row r="70" spans="1:15" x14ac:dyDescent="0.25">
      <c r="A70" s="66" t="str">
        <f>IF(COUNTA(DataColumns[[#This Row],[Column Label]:[Quality Code]])&gt;0,IF(MAX(A$11:A69)=0,3,MAX(A$11:A69)+1),"")</f>
        <v/>
      </c>
      <c r="B70" s="12"/>
      <c r="C70" s="27"/>
      <c r="D70" s="13"/>
      <c r="E70" s="13"/>
      <c r="F70" s="13"/>
      <c r="G70" s="13"/>
      <c r="H70" s="13"/>
      <c r="I70" s="13"/>
      <c r="J70" s="13"/>
      <c r="K70" s="13"/>
      <c r="L70" s="13"/>
      <c r="M70" s="13"/>
      <c r="N70" s="13"/>
      <c r="O70" s="46"/>
    </row>
    <row r="71" spans="1:15" x14ac:dyDescent="0.25">
      <c r="A71" s="66" t="str">
        <f>IF(COUNTA(DataColumns[[#This Row],[Column Label]:[Quality Code]])&gt;0,IF(MAX(A$11:A70)=0,3,MAX(A$11:A70)+1),"")</f>
        <v/>
      </c>
      <c r="B71" s="12"/>
      <c r="C71" s="27"/>
      <c r="D71" s="13"/>
      <c r="E71" s="13"/>
      <c r="F71" s="13"/>
      <c r="G71" s="13"/>
      <c r="H71" s="13"/>
      <c r="I71" s="13"/>
      <c r="J71" s="13"/>
      <c r="K71" s="13"/>
      <c r="L71" s="13"/>
      <c r="M71" s="13"/>
      <c r="N71" s="13"/>
      <c r="O71" s="46"/>
    </row>
    <row r="72" spans="1:15" x14ac:dyDescent="0.25">
      <c r="A72" s="66" t="str">
        <f>IF(COUNTA(DataColumns[[#This Row],[Column Label]:[Quality Code]])&gt;0,IF(MAX(A$11:A71)=0,3,MAX(A$11:A71)+1),"")</f>
        <v/>
      </c>
      <c r="B72" s="12"/>
      <c r="C72" s="27"/>
      <c r="D72" s="13"/>
      <c r="E72" s="13"/>
      <c r="F72" s="13"/>
      <c r="G72" s="13"/>
      <c r="H72" s="13"/>
      <c r="I72" s="13"/>
      <c r="J72" s="13"/>
      <c r="K72" s="13"/>
      <c r="L72" s="13"/>
      <c r="M72" s="13"/>
      <c r="N72" s="13"/>
      <c r="O72" s="46"/>
    </row>
    <row r="73" spans="1:15" x14ac:dyDescent="0.25">
      <c r="A73" s="66" t="str">
        <f>IF(COUNTA(DataColumns[[#This Row],[Column Label]:[Quality Code]])&gt;0,IF(MAX(A$11:A72)=0,3,MAX(A$11:A72)+1),"")</f>
        <v/>
      </c>
      <c r="B73" s="12"/>
      <c r="C73" s="27"/>
      <c r="D73" s="13"/>
      <c r="E73" s="13"/>
      <c r="F73" s="13"/>
      <c r="G73" s="13"/>
      <c r="H73" s="13"/>
      <c r="I73" s="13"/>
      <c r="J73" s="13"/>
      <c r="K73" s="13"/>
      <c r="L73" s="13"/>
      <c r="M73" s="13"/>
      <c r="N73" s="13"/>
      <c r="O73" s="46"/>
    </row>
    <row r="74" spans="1:15" x14ac:dyDescent="0.25">
      <c r="A74" s="66" t="str">
        <f>IF(COUNTA(DataColumns[[#This Row],[Column Label]:[Quality Code]])&gt;0,IF(MAX(A$11:A73)=0,3,MAX(A$11:A73)+1),"")</f>
        <v/>
      </c>
      <c r="B74" s="12"/>
      <c r="C74" s="27"/>
      <c r="D74" s="13"/>
      <c r="E74" s="13"/>
      <c r="F74" s="13"/>
      <c r="G74" s="13"/>
      <c r="H74" s="13"/>
      <c r="I74" s="13"/>
      <c r="J74" s="13"/>
      <c r="K74" s="13"/>
      <c r="L74" s="13"/>
      <c r="M74" s="13"/>
      <c r="N74" s="13"/>
      <c r="O74" s="46"/>
    </row>
    <row r="75" spans="1:15" x14ac:dyDescent="0.25">
      <c r="A75" s="66" t="str">
        <f>IF(COUNTA(DataColumns[[#This Row],[Column Label]:[Quality Code]])&gt;0,IF(MAX(A$11:A74)=0,3,MAX(A$11:A74)+1),"")</f>
        <v/>
      </c>
      <c r="B75" s="12"/>
      <c r="C75" s="27"/>
      <c r="D75" s="13"/>
      <c r="E75" s="13"/>
      <c r="F75" s="13"/>
      <c r="G75" s="13"/>
      <c r="H75" s="13"/>
      <c r="I75" s="13"/>
      <c r="J75" s="13"/>
      <c r="K75" s="13"/>
      <c r="L75" s="13"/>
      <c r="M75" s="13"/>
      <c r="N75" s="13"/>
      <c r="O75" s="46"/>
    </row>
    <row r="76" spans="1:15" x14ac:dyDescent="0.25">
      <c r="A76" s="66" t="str">
        <f>IF(COUNTA(DataColumns[[#This Row],[Column Label]:[Quality Code]])&gt;0,IF(MAX(A$11:A75)=0,3,MAX(A$11:A75)+1),"")</f>
        <v/>
      </c>
      <c r="B76" s="12"/>
      <c r="C76" s="27"/>
      <c r="D76" s="13"/>
      <c r="E76" s="13"/>
      <c r="F76" s="13"/>
      <c r="G76" s="13"/>
      <c r="H76" s="13"/>
      <c r="I76" s="13"/>
      <c r="J76" s="13"/>
      <c r="K76" s="13"/>
      <c r="L76" s="13"/>
      <c r="M76" s="13"/>
      <c r="N76" s="13"/>
      <c r="O76" s="46"/>
    </row>
    <row r="77" spans="1:15" x14ac:dyDescent="0.25">
      <c r="A77" s="66" t="str">
        <f>IF(COUNTA(DataColumns[[#This Row],[Column Label]:[Quality Code]])&gt;0,IF(MAX(A$11:A76)=0,3,MAX(A$11:A76)+1),"")</f>
        <v/>
      </c>
      <c r="B77" s="12"/>
      <c r="C77" s="27"/>
      <c r="D77" s="13"/>
      <c r="E77" s="13"/>
      <c r="F77" s="13"/>
      <c r="G77" s="13"/>
      <c r="H77" s="13"/>
      <c r="I77" s="13"/>
      <c r="J77" s="13"/>
      <c r="K77" s="13"/>
      <c r="L77" s="13"/>
      <c r="M77" s="13"/>
      <c r="N77" s="13"/>
      <c r="O77" s="46"/>
    </row>
    <row r="78" spans="1:15" x14ac:dyDescent="0.25">
      <c r="A78" s="66" t="str">
        <f>IF(COUNTA(DataColumns[[#This Row],[Column Label]:[Quality Code]])&gt;0,IF(MAX(A$11:A77)=0,3,MAX(A$11:A77)+1),"")</f>
        <v/>
      </c>
      <c r="B78" s="12"/>
      <c r="C78" s="27"/>
      <c r="D78" s="13"/>
      <c r="E78" s="13"/>
      <c r="F78" s="13"/>
      <c r="G78" s="13"/>
      <c r="H78" s="13"/>
      <c r="I78" s="13"/>
      <c r="J78" s="13"/>
      <c r="K78" s="13"/>
      <c r="L78" s="13"/>
      <c r="M78" s="13"/>
      <c r="N78" s="13"/>
      <c r="O78" s="46"/>
    </row>
    <row r="79" spans="1:15" x14ac:dyDescent="0.25">
      <c r="A79" s="66" t="str">
        <f>IF(COUNTA(DataColumns[[#This Row],[Column Label]:[Quality Code]])&gt;0,IF(MAX(A$11:A78)=0,3,MAX(A$11:A78)+1),"")</f>
        <v/>
      </c>
      <c r="B79" s="12"/>
      <c r="C79" s="27"/>
      <c r="D79" s="13"/>
      <c r="E79" s="13"/>
      <c r="F79" s="13"/>
      <c r="G79" s="13"/>
      <c r="H79" s="13"/>
      <c r="I79" s="13"/>
      <c r="J79" s="13"/>
      <c r="K79" s="13"/>
      <c r="L79" s="13"/>
      <c r="M79" s="13"/>
      <c r="N79" s="13"/>
      <c r="O79" s="46"/>
    </row>
    <row r="80" spans="1:15" x14ac:dyDescent="0.25">
      <c r="A80" s="66" t="str">
        <f>IF(COUNTA(DataColumns[[#This Row],[Column Label]:[Quality Code]])&gt;0,IF(MAX(A$11:A79)=0,3,MAX(A$11:A79)+1),"")</f>
        <v/>
      </c>
      <c r="B80" s="12"/>
      <c r="C80" s="27"/>
      <c r="D80" s="13"/>
      <c r="E80" s="13"/>
      <c r="F80" s="13"/>
      <c r="G80" s="13"/>
      <c r="H80" s="13"/>
      <c r="I80" s="13"/>
      <c r="J80" s="13"/>
      <c r="K80" s="13"/>
      <c r="L80" s="13"/>
      <c r="M80" s="13"/>
      <c r="N80" s="13"/>
      <c r="O80" s="46"/>
    </row>
    <row r="81" spans="1:15" x14ac:dyDescent="0.25">
      <c r="A81" s="66" t="str">
        <f>IF(COUNTA(DataColumns[[#This Row],[Column Label]:[Quality Code]])&gt;0,IF(MAX(A$11:A80)=0,3,MAX(A$11:A80)+1),"")</f>
        <v/>
      </c>
      <c r="B81" s="12"/>
      <c r="C81" s="27"/>
      <c r="D81" s="13"/>
      <c r="E81" s="13"/>
      <c r="F81" s="13"/>
      <c r="G81" s="13"/>
      <c r="H81" s="13"/>
      <c r="I81" s="13"/>
      <c r="J81" s="13"/>
      <c r="K81" s="13"/>
      <c r="L81" s="13"/>
      <c r="M81" s="13"/>
      <c r="N81" s="13"/>
      <c r="O81" s="46"/>
    </row>
    <row r="82" spans="1:15" x14ac:dyDescent="0.25">
      <c r="A82" s="66" t="str">
        <f>IF(COUNTA(DataColumns[[#This Row],[Column Label]:[Quality Code]])&gt;0,IF(MAX(A$11:A81)=0,3,MAX(A$11:A81)+1),"")</f>
        <v/>
      </c>
      <c r="B82" s="12"/>
      <c r="C82" s="27"/>
      <c r="D82" s="13"/>
      <c r="E82" s="13"/>
      <c r="F82" s="13"/>
      <c r="G82" s="13"/>
      <c r="H82" s="13"/>
      <c r="I82" s="13"/>
      <c r="J82" s="13"/>
      <c r="K82" s="13"/>
      <c r="L82" s="13"/>
      <c r="M82" s="13"/>
      <c r="N82" s="13"/>
      <c r="O82" s="46"/>
    </row>
    <row r="83" spans="1:15" x14ac:dyDescent="0.25">
      <c r="A83" s="66" t="str">
        <f>IF(COUNTA(DataColumns[[#This Row],[Column Label]:[Quality Code]])&gt;0,IF(MAX(A$11:A82)=0,3,MAX(A$11:A82)+1),"")</f>
        <v/>
      </c>
      <c r="B83" s="12"/>
      <c r="C83" s="27"/>
      <c r="D83" s="13"/>
      <c r="E83" s="13"/>
      <c r="F83" s="13"/>
      <c r="G83" s="13"/>
      <c r="H83" s="13"/>
      <c r="I83" s="13"/>
      <c r="J83" s="13"/>
      <c r="K83" s="13"/>
      <c r="L83" s="13"/>
      <c r="M83" s="13"/>
      <c r="N83" s="13"/>
      <c r="O83" s="46"/>
    </row>
    <row r="84" spans="1:15" x14ac:dyDescent="0.25">
      <c r="A84" s="66" t="str">
        <f>IF(COUNTA(DataColumns[[#This Row],[Column Label]:[Quality Code]])&gt;0,IF(MAX(A$11:A83)=0,3,MAX(A$11:A83)+1),"")</f>
        <v/>
      </c>
      <c r="B84" s="12"/>
      <c r="C84" s="27"/>
      <c r="D84" s="13"/>
      <c r="E84" s="13"/>
      <c r="F84" s="13"/>
      <c r="G84" s="13"/>
      <c r="H84" s="13"/>
      <c r="I84" s="13"/>
      <c r="J84" s="13"/>
      <c r="K84" s="13"/>
      <c r="L84" s="13"/>
      <c r="M84" s="13"/>
      <c r="N84" s="13"/>
      <c r="O84" s="46"/>
    </row>
    <row r="85" spans="1:15" x14ac:dyDescent="0.25">
      <c r="A85" s="66" t="str">
        <f>IF(COUNTA(DataColumns[[#This Row],[Column Label]:[Quality Code]])&gt;0,IF(MAX(A$11:A84)=0,3,MAX(A$11:A84)+1),"")</f>
        <v/>
      </c>
      <c r="B85" s="12"/>
      <c r="C85" s="27"/>
      <c r="D85" s="13"/>
      <c r="E85" s="13"/>
      <c r="F85" s="13"/>
      <c r="G85" s="13"/>
      <c r="H85" s="13"/>
      <c r="I85" s="13"/>
      <c r="J85" s="13"/>
      <c r="K85" s="13"/>
      <c r="L85" s="13"/>
      <c r="M85" s="13"/>
      <c r="N85" s="13"/>
      <c r="O85" s="46"/>
    </row>
    <row r="86" spans="1:15" x14ac:dyDescent="0.25">
      <c r="A86" s="66" t="str">
        <f>IF(COUNTA(DataColumns[[#This Row],[Column Label]:[Quality Code]])&gt;0,IF(MAX(A$11:A85)=0,3,MAX(A$11:A85)+1),"")</f>
        <v/>
      </c>
      <c r="B86" s="12"/>
      <c r="C86" s="27"/>
      <c r="D86" s="13"/>
      <c r="E86" s="13"/>
      <c r="F86" s="13"/>
      <c r="G86" s="13"/>
      <c r="H86" s="13"/>
      <c r="I86" s="13"/>
      <c r="J86" s="13"/>
      <c r="K86" s="13"/>
      <c r="L86" s="13"/>
      <c r="M86" s="13"/>
      <c r="N86" s="13"/>
      <c r="O86" s="46"/>
    </row>
    <row r="87" spans="1:15" x14ac:dyDescent="0.25">
      <c r="A87" s="66" t="str">
        <f>IF(COUNTA(DataColumns[[#This Row],[Column Label]:[Quality Code]])&gt;0,IF(MAX(A$11:A86)=0,3,MAX(A$11:A86)+1),"")</f>
        <v/>
      </c>
      <c r="B87" s="12"/>
      <c r="C87" s="27"/>
      <c r="D87" s="13"/>
      <c r="E87" s="13"/>
      <c r="F87" s="13"/>
      <c r="G87" s="13"/>
      <c r="H87" s="13"/>
      <c r="I87" s="13"/>
      <c r="J87" s="13"/>
      <c r="K87" s="13"/>
      <c r="L87" s="13"/>
      <c r="M87" s="13"/>
      <c r="N87" s="13"/>
      <c r="O87" s="46"/>
    </row>
    <row r="88" spans="1:15" x14ac:dyDescent="0.25">
      <c r="A88" s="66" t="str">
        <f>IF(COUNTA(DataColumns[[#This Row],[Column Label]:[Quality Code]])&gt;0,IF(MAX(A$11:A87)=0,3,MAX(A$11:A87)+1),"")</f>
        <v/>
      </c>
      <c r="B88" s="12"/>
      <c r="C88" s="27"/>
      <c r="D88" s="13"/>
      <c r="E88" s="13"/>
      <c r="F88" s="13"/>
      <c r="G88" s="13"/>
      <c r="H88" s="13"/>
      <c r="I88" s="13"/>
      <c r="J88" s="13"/>
      <c r="K88" s="13"/>
      <c r="L88" s="13"/>
      <c r="M88" s="13"/>
      <c r="N88" s="13"/>
      <c r="O88" s="46"/>
    </row>
    <row r="89" spans="1:15" x14ac:dyDescent="0.25">
      <c r="A89" s="66" t="str">
        <f>IF(COUNTA(DataColumns[[#This Row],[Column Label]:[Quality Code]])&gt;0,IF(MAX(A$11:A88)=0,3,MAX(A$11:A88)+1),"")</f>
        <v/>
      </c>
      <c r="B89" s="12"/>
      <c r="C89" s="27"/>
      <c r="D89" s="13"/>
      <c r="E89" s="13"/>
      <c r="F89" s="13"/>
      <c r="G89" s="13"/>
      <c r="H89" s="13"/>
      <c r="I89" s="13"/>
      <c r="J89" s="13"/>
      <c r="K89" s="13"/>
      <c r="L89" s="13"/>
      <c r="M89" s="13"/>
      <c r="N89" s="13"/>
      <c r="O89" s="46"/>
    </row>
    <row r="90" spans="1:15" x14ac:dyDescent="0.25">
      <c r="A90" s="66" t="str">
        <f>IF(COUNTA(DataColumns[[#This Row],[Column Label]:[Quality Code]])&gt;0,IF(MAX(A$11:A89)=0,3,MAX(A$11:A89)+1),"")</f>
        <v/>
      </c>
      <c r="B90" s="12"/>
      <c r="C90" s="27"/>
      <c r="D90" s="13"/>
      <c r="E90" s="13"/>
      <c r="F90" s="13"/>
      <c r="G90" s="13"/>
      <c r="H90" s="13"/>
      <c r="I90" s="13"/>
      <c r="J90" s="13"/>
      <c r="K90" s="13"/>
      <c r="L90" s="13"/>
      <c r="M90" s="13"/>
      <c r="N90" s="13"/>
      <c r="O90" s="46"/>
    </row>
    <row r="91" spans="1:15" x14ac:dyDescent="0.25">
      <c r="A91" s="66" t="str">
        <f>IF(COUNTA(DataColumns[[#This Row],[Column Label]:[Quality Code]])&gt;0,IF(MAX(A$11:A90)=0,3,MAX(A$11:A90)+1),"")</f>
        <v/>
      </c>
      <c r="B91" s="12"/>
      <c r="C91" s="27"/>
      <c r="D91" s="13"/>
      <c r="E91" s="13"/>
      <c r="F91" s="13"/>
      <c r="G91" s="13"/>
      <c r="H91" s="13"/>
      <c r="I91" s="13"/>
      <c r="J91" s="13"/>
      <c r="K91" s="13"/>
      <c r="L91" s="13"/>
      <c r="M91" s="13"/>
      <c r="N91" s="13"/>
      <c r="O91" s="46"/>
    </row>
    <row r="92" spans="1:15" x14ac:dyDescent="0.25">
      <c r="A92" s="66" t="str">
        <f>IF(COUNTA(DataColumns[[#This Row],[Column Label]:[Quality Code]])&gt;0,IF(MAX(A$11:A91)=0,3,MAX(A$11:A91)+1),"")</f>
        <v/>
      </c>
      <c r="B92" s="12"/>
      <c r="C92" s="27"/>
      <c r="D92" s="13"/>
      <c r="E92" s="13"/>
      <c r="F92" s="13"/>
      <c r="G92" s="13"/>
      <c r="H92" s="13"/>
      <c r="I92" s="13"/>
      <c r="J92" s="13"/>
      <c r="K92" s="13"/>
      <c r="L92" s="13"/>
      <c r="M92" s="13"/>
      <c r="N92" s="13"/>
      <c r="O92" s="46"/>
    </row>
    <row r="93" spans="1:15" x14ac:dyDescent="0.25">
      <c r="A93" s="66" t="str">
        <f>IF(COUNTA(DataColumns[[#This Row],[Column Label]:[Quality Code]])&gt;0,IF(MAX(A$11:A92)=0,3,MAX(A$11:A92)+1),"")</f>
        <v/>
      </c>
      <c r="B93" s="12"/>
      <c r="C93" s="27"/>
      <c r="D93" s="13"/>
      <c r="E93" s="13"/>
      <c r="F93" s="13"/>
      <c r="G93" s="13"/>
      <c r="H93" s="13"/>
      <c r="I93" s="13"/>
      <c r="J93" s="13"/>
      <c r="K93" s="13"/>
      <c r="L93" s="13"/>
      <c r="M93" s="13"/>
      <c r="N93" s="13"/>
      <c r="O93" s="46"/>
    </row>
    <row r="94" spans="1:15" x14ac:dyDescent="0.25">
      <c r="A94" s="66" t="str">
        <f>IF(COUNTA(DataColumns[[#This Row],[Column Label]:[Quality Code]])&gt;0,IF(MAX(A$11:A93)=0,3,MAX(A$11:A93)+1),"")</f>
        <v/>
      </c>
      <c r="B94" s="12"/>
      <c r="C94" s="27"/>
      <c r="D94" s="13"/>
      <c r="E94" s="13"/>
      <c r="F94" s="13"/>
      <c r="G94" s="13"/>
      <c r="H94" s="13"/>
      <c r="I94" s="13"/>
      <c r="J94" s="13"/>
      <c r="K94" s="13"/>
      <c r="L94" s="13"/>
      <c r="M94" s="13"/>
      <c r="N94" s="13"/>
      <c r="O94" s="46"/>
    </row>
    <row r="95" spans="1:15" x14ac:dyDescent="0.25">
      <c r="A95" s="66" t="str">
        <f>IF(COUNTA(DataColumns[[#This Row],[Column Label]:[Quality Code]])&gt;0,IF(MAX(A$11:A94)=0,3,MAX(A$11:A94)+1),"")</f>
        <v/>
      </c>
      <c r="B95" s="12"/>
      <c r="C95" s="27"/>
      <c r="D95" s="13"/>
      <c r="E95" s="13"/>
      <c r="F95" s="13"/>
      <c r="G95" s="13"/>
      <c r="H95" s="13"/>
      <c r="I95" s="13"/>
      <c r="J95" s="13"/>
      <c r="K95" s="13"/>
      <c r="L95" s="13"/>
      <c r="M95" s="13"/>
      <c r="N95" s="13"/>
      <c r="O95" s="46"/>
    </row>
    <row r="96" spans="1:15" x14ac:dyDescent="0.25">
      <c r="A96" s="66" t="str">
        <f>IF(COUNTA(DataColumns[[#This Row],[Column Label]:[Quality Code]])&gt;0,IF(MAX(A$11:A95)=0,3,MAX(A$11:A95)+1),"")</f>
        <v/>
      </c>
      <c r="B96" s="12"/>
      <c r="C96" s="27"/>
      <c r="D96" s="13"/>
      <c r="E96" s="13"/>
      <c r="F96" s="13"/>
      <c r="G96" s="13"/>
      <c r="H96" s="13"/>
      <c r="I96" s="13"/>
      <c r="J96" s="13"/>
      <c r="K96" s="13"/>
      <c r="L96" s="13"/>
      <c r="M96" s="13"/>
      <c r="N96" s="13"/>
      <c r="O96" s="46"/>
    </row>
    <row r="97" spans="1:15" x14ac:dyDescent="0.25">
      <c r="A97" s="66" t="str">
        <f>IF(COUNTA(DataColumns[[#This Row],[Column Label]:[Quality Code]])&gt;0,IF(MAX(A$11:A96)=0,3,MAX(A$11:A96)+1),"")</f>
        <v/>
      </c>
      <c r="B97" s="12"/>
      <c r="C97" s="27"/>
      <c r="D97" s="13"/>
      <c r="E97" s="13"/>
      <c r="F97" s="13"/>
      <c r="G97" s="13"/>
      <c r="H97" s="13"/>
      <c r="I97" s="13"/>
      <c r="J97" s="13"/>
      <c r="K97" s="13"/>
      <c r="L97" s="13"/>
      <c r="M97" s="13"/>
      <c r="N97" s="13"/>
      <c r="O97" s="46"/>
    </row>
    <row r="98" spans="1:15" ht="15.75" thickBot="1" x14ac:dyDescent="0.3">
      <c r="A98" s="68" t="str">
        <f>IF(COUNTA(DataColumns[[#This Row],[Column Label]:[Quality Code]])&gt;0,IF(MAX(A$11:A97)=0,3,MAX(A$11:A97)+1),"")</f>
        <v/>
      </c>
      <c r="B98" s="17"/>
      <c r="C98" s="30"/>
      <c r="D98" s="18"/>
      <c r="E98" s="18"/>
      <c r="F98" s="18"/>
      <c r="G98" s="18"/>
      <c r="H98" s="18"/>
      <c r="I98" s="18"/>
      <c r="J98" s="18"/>
      <c r="K98" s="18"/>
      <c r="L98" s="18"/>
      <c r="M98" s="18"/>
      <c r="N98" s="18"/>
      <c r="O98" s="48"/>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G20" sqref="G2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3"/>
  <sheetViews>
    <sheetView topLeftCell="G1" workbookViewId="0">
      <selection activeCell="P4" sqref="P4:P11"/>
    </sheetView>
  </sheetViews>
  <sheetFormatPr defaultColWidth="8.85546875" defaultRowHeight="15" x14ac:dyDescent="0.25"/>
  <cols>
    <col min="1" max="1" width="12" style="7" bestFit="1" customWidth="1"/>
    <col min="2" max="2" width="11.28515625" style="7" customWidth="1"/>
    <col min="3" max="3" width="18.42578125" style="7" customWidth="1"/>
    <col min="4" max="4" width="16.28515625" style="7" customWidth="1"/>
    <col min="5" max="5" width="29.140625" style="7" customWidth="1"/>
    <col min="6" max="6" width="67.7109375" style="7" customWidth="1"/>
    <col min="7" max="7" width="13" style="7" customWidth="1"/>
    <col min="8" max="8" width="32.28515625" style="7" customWidth="1"/>
    <col min="9" max="9" width="15.7109375" style="7" customWidth="1"/>
    <col min="10" max="11" width="23.28515625" style="7" customWidth="1"/>
    <col min="12" max="12" width="15.7109375" style="7" customWidth="1"/>
    <col min="13" max="13" width="17.7109375" style="7" customWidth="1"/>
    <col min="14" max="14" width="25.7109375" style="7" customWidth="1"/>
    <col min="15" max="15" width="20.7109375" style="7" customWidth="1"/>
    <col min="16" max="16" width="34.28515625" style="7" customWidth="1"/>
    <col min="17" max="17" width="21.42578125" style="7" customWidth="1"/>
    <col min="18" max="18" width="20.7109375" style="7" customWidth="1"/>
    <col min="19" max="19" width="17.28515625" style="7" customWidth="1"/>
    <col min="20" max="20" width="23.5703125" style="7" customWidth="1"/>
    <col min="21" max="21" width="20" style="7" customWidth="1"/>
    <col min="22" max="23" width="8.85546875" style="7"/>
    <col min="24" max="24" width="16.42578125" style="7" customWidth="1"/>
    <col min="25" max="25" width="37.42578125" style="7" customWidth="1"/>
    <col min="26" max="26" width="15.42578125" style="7" customWidth="1"/>
    <col min="27" max="27" width="38" style="7" customWidth="1"/>
    <col min="28" max="28" width="18.42578125" style="7" bestFit="1" customWidth="1"/>
    <col min="29" max="29" width="24.140625" style="7" bestFit="1" customWidth="1"/>
    <col min="30" max="30" width="20.7109375" style="7" bestFit="1" customWidth="1"/>
    <col min="31" max="31" width="26.5703125" style="7" bestFit="1" customWidth="1"/>
    <col min="32" max="32" width="40.140625" style="7" bestFit="1" customWidth="1"/>
    <col min="33" max="33" width="78.140625" style="7" bestFit="1" customWidth="1"/>
    <col min="34" max="34" width="20.7109375" style="7" bestFit="1" customWidth="1"/>
    <col min="35" max="16384" width="8.85546875" style="7"/>
  </cols>
  <sheetData>
    <row r="1" spans="1:35" s="32" customFormat="1" x14ac:dyDescent="0.25">
      <c r="A1" s="32" t="s">
        <v>247</v>
      </c>
      <c r="B1" s="32" t="s">
        <v>236</v>
      </c>
      <c r="C1" s="32" t="s">
        <v>237</v>
      </c>
      <c r="D1" s="32" t="s">
        <v>239</v>
      </c>
      <c r="E1" s="32" t="s">
        <v>1363</v>
      </c>
      <c r="F1" s="32" t="s">
        <v>1354</v>
      </c>
      <c r="G1" s="32" t="s">
        <v>238</v>
      </c>
      <c r="H1" s="32" t="s">
        <v>1366</v>
      </c>
      <c r="I1" s="32" t="s">
        <v>240</v>
      </c>
      <c r="J1" s="32" t="s">
        <v>241</v>
      </c>
      <c r="K1" s="32" t="s">
        <v>1365</v>
      </c>
      <c r="L1" s="32" t="s">
        <v>242</v>
      </c>
      <c r="M1" s="32" t="s">
        <v>243</v>
      </c>
      <c r="N1" s="32" t="s">
        <v>244</v>
      </c>
      <c r="O1" s="32" t="s">
        <v>245</v>
      </c>
      <c r="P1" s="32" t="s">
        <v>1367</v>
      </c>
      <c r="Q1" s="32" t="s">
        <v>246</v>
      </c>
      <c r="R1" s="32" t="s">
        <v>248</v>
      </c>
      <c r="S1" s="32" t="s">
        <v>265</v>
      </c>
      <c r="T1" s="32" t="s">
        <v>266</v>
      </c>
      <c r="U1" s="32" t="s">
        <v>270</v>
      </c>
      <c r="V1" s="32" t="s">
        <v>1105</v>
      </c>
      <c r="W1" s="32" t="s">
        <v>260</v>
      </c>
      <c r="X1" s="32" t="s">
        <v>1227</v>
      </c>
      <c r="Y1" s="32" t="s">
        <v>1232</v>
      </c>
      <c r="Z1" s="32" t="s">
        <v>1233</v>
      </c>
      <c r="AA1" s="32" t="s">
        <v>1238</v>
      </c>
      <c r="AB1" s="32" t="s">
        <v>1241</v>
      </c>
      <c r="AC1" s="32" t="s">
        <v>1243</v>
      </c>
      <c r="AD1" s="32" t="s">
        <v>1244</v>
      </c>
      <c r="AE1" s="32" t="s">
        <v>1245</v>
      </c>
      <c r="AF1" s="32" t="s">
        <v>1255</v>
      </c>
      <c r="AG1" s="32" t="s">
        <v>1256</v>
      </c>
      <c r="AH1" s="32" t="s">
        <v>1276</v>
      </c>
    </row>
    <row r="2" spans="1:35" s="32" customFormat="1" x14ac:dyDescent="0.25">
      <c r="A2" s="32" t="s">
        <v>1107</v>
      </c>
      <c r="B2" s="32">
        <v>2</v>
      </c>
      <c r="C2" s="32">
        <v>2</v>
      </c>
      <c r="D2" s="32">
        <f>MAX(NumOrganizations+1,2)</f>
        <v>2</v>
      </c>
      <c r="E2" s="32">
        <f>IF(AND(CitationDOI="",NumORCIDs=0,NumIGSNs=0),1,3)</f>
        <v>1</v>
      </c>
      <c r="F2" s="32">
        <f>IF(AND(CitationDOI="",NumORCIDs=0,NumIGSNs=0),1,4)</f>
        <v>1</v>
      </c>
      <c r="G2" s="32">
        <f>MAX(NumPeople+1,2)</f>
        <v>11</v>
      </c>
      <c r="H2" s="32">
        <f>IF(NumORCIDs=0,1,MAX(NumORCIDs+1,2))</f>
        <v>1</v>
      </c>
      <c r="I2" s="32">
        <f>MAX(D2:D2)</f>
        <v>2</v>
      </c>
      <c r="J2" s="32">
        <f>IF(COUNTA(CitationInformation)=0,1,2)</f>
        <v>1</v>
      </c>
      <c r="K2" s="32">
        <f>IF(CitationDOI="",1,2)</f>
        <v>1</v>
      </c>
      <c r="L2" s="32">
        <f>NumAuthors+1</f>
        <v>1</v>
      </c>
      <c r="M2" s="32">
        <f>IF(COUNTA(CitationInformation)=0,1,2)</f>
        <v>1</v>
      </c>
      <c r="N2" s="32">
        <v>2</v>
      </c>
      <c r="O2" s="32">
        <f>MAX(NumSamplingFeatures+1,2)</f>
        <v>2</v>
      </c>
      <c r="P2" s="32">
        <f>IF(NumIGSNs=0,1,MAX(NumIGSNs+1,2))</f>
        <v>1</v>
      </c>
      <c r="Q2" s="32">
        <f>IF(NumSites=0,1,NumSites+1)</f>
        <v>1</v>
      </c>
      <c r="R2" s="32">
        <f>IF(NumSpecimens=0,1,NumSpecimens+1)</f>
        <v>1</v>
      </c>
      <c r="S2" s="32">
        <f>IF(NumSpatialOffsets=0,1,NumSpatialOffsets+1)</f>
        <v>1</v>
      </c>
      <c r="T2" s="32">
        <f>IF(NumRelatedFeatures=0,1,NumRelatedFeatures+1)</f>
        <v>1</v>
      </c>
      <c r="U2" s="32">
        <f>MAX(NumMethods+1,2)</f>
        <v>2</v>
      </c>
      <c r="V2" s="32">
        <f>MAX(NumVariables+1,2)</f>
        <v>2</v>
      </c>
      <c r="W2" s="32">
        <v>1</v>
      </c>
      <c r="X2" s="32">
        <f>MAX(NumProcessingLevels+1,2)</f>
        <v>6</v>
      </c>
      <c r="Y2" s="32">
        <f>MAX(NumDataColumns+1,2)</f>
        <v>2</v>
      </c>
      <c r="Z2" s="32">
        <f>MAX(NumDataColumns+1,2)</f>
        <v>2</v>
      </c>
      <c r="AA2" s="32">
        <f>MAX(NumDataColumns+1,2)</f>
        <v>2</v>
      </c>
      <c r="AB2" s="32">
        <f>MAX(NumDataColumns+1,2)</f>
        <v>2</v>
      </c>
      <c r="AC2" s="32">
        <f>IF(NumDataColumns&lt;1,5,NumDataColumns+4)</f>
        <v>5</v>
      </c>
      <c r="AD2" s="32">
        <v>1</v>
      </c>
      <c r="AE2" s="32">
        <v>1</v>
      </c>
      <c r="AF2" s="32">
        <v>1</v>
      </c>
      <c r="AG2" s="32">
        <v>2</v>
      </c>
    </row>
    <row r="3" spans="1:35" s="32" customFormat="1" x14ac:dyDescent="0.25">
      <c r="A3" s="32">
        <v>0</v>
      </c>
      <c r="B3" s="32" t="s">
        <v>136</v>
      </c>
      <c r="C3" s="32" t="s">
        <v>1282</v>
      </c>
      <c r="D3" s="32" t="s">
        <v>191</v>
      </c>
      <c r="E3" s="32" t="str">
        <f>IF(AND(CitationDOI="",NumORCIDs=0,NumIGSNs=0),"",
CONCATENATE("  - &amp;OrganizationID",TEXT(NumOrganizations+$A3+1,"0000"),
" {","OrganizationTypeCV:  ",CHAR(34),INDEX(ExternalIDOrgs[Organization Type '[CV']],$A3+1),CHAR(34),
", OrganizationCode:  ",CHAR(34),INDEX(ExternalIDOrgs[Organization Code],$A3+1),CHAR(34),
", OrganizationName:  ",CHAR(34),INDEX(ExternalIDOrgs[Organization Name],$A3+1),CHAR(34),
", OrganizationDescription:  ",CHAR(34),INDEX(ExternalIDOrgs[Organization Description],$A3+1),CHAR(34),
", OrganizationLink:  ",CHAR(34),INDEX(ExternalIDOrgs[Organization Link],$A3+1),CHAR(34),"}"))</f>
        <v/>
      </c>
      <c r="F3" s="32" t="str">
        <f>IF(AND(CitationDOI="",NumORCIDs=0,NumIGSNs=0),"","ExternalIdentifierSystems:")</f>
        <v/>
      </c>
      <c r="G3" s="32" t="s">
        <v>189</v>
      </c>
      <c r="H3" s="32" t="str">
        <f>IF(NumORCIDs=0,"","PersonExternalIdentifiers:")</f>
        <v/>
      </c>
      <c r="I3" s="32" t="s">
        <v>192</v>
      </c>
      <c r="J3" s="32" t="str">
        <f>IF(COUNTA(CitationInformation)=0,"","Citation:")</f>
        <v/>
      </c>
      <c r="K3" s="32" t="str">
        <f>IF(CitationDOI="","","CitationExternalIdentifiers:")</f>
        <v/>
      </c>
      <c r="L3" s="32" t="str">
        <f>IF(NumAuthors=0,"","AuthorList:")</f>
        <v/>
      </c>
      <c r="M3" s="32" t="str">
        <f>IF(COUNTA(CitationInformation)=0,"","DataSetCitations:")</f>
        <v/>
      </c>
      <c r="N3" s="32" t="s">
        <v>234</v>
      </c>
      <c r="O3" s="32" t="s">
        <v>235</v>
      </c>
      <c r="P3" s="32" t="str">
        <f>IF(NumIGSNs=0,"","SamplingFeaturesExternalIdentifiers:")</f>
        <v/>
      </c>
      <c r="Q3" s="32" t="str">
        <f>IF(MAX(Sites[SiteID])=0,"","Sites:")</f>
        <v/>
      </c>
      <c r="R3" s="32" t="str">
        <f>IF(MAX(Specimens[SpecimenID])=0,"","Specimens:")</f>
        <v/>
      </c>
      <c r="S3" s="32" t="str">
        <f>IF(NumSpatialOffsets=0,"","Spatialoffsets:")</f>
        <v/>
      </c>
      <c r="T3" s="32" t="str">
        <f>IF(NumRelatedFeatures=0,"","RelatedFeatures:")</f>
        <v/>
      </c>
      <c r="U3" s="32" t="s">
        <v>295</v>
      </c>
      <c r="V3" s="32" t="s">
        <v>1106</v>
      </c>
      <c r="W3" s="32" t="str">
        <f>""</f>
        <v/>
      </c>
      <c r="X3" s="32" t="s">
        <v>1228</v>
      </c>
      <c r="Y3" s="32" t="s">
        <v>1235</v>
      </c>
      <c r="Z3" s="32" t="s">
        <v>1237</v>
      </c>
      <c r="AA3" s="32" t="s">
        <v>1239</v>
      </c>
      <c r="AB3" s="32" t="s">
        <v>1240</v>
      </c>
      <c r="AC3" s="32" t="s">
        <v>1242</v>
      </c>
      <c r="AD3" s="32" t="str">
        <f>""</f>
        <v/>
      </c>
      <c r="AE3" s="32" t="str">
        <f>""</f>
        <v/>
      </c>
      <c r="AF3" s="32" t="s">
        <v>1254</v>
      </c>
      <c r="AG3" s="32" t="s">
        <v>1257</v>
      </c>
      <c r="AH3" s="32" t="s">
        <v>1281</v>
      </c>
      <c r="AI3" s="32">
        <f>MAX(B2:AG2)</f>
        <v>11</v>
      </c>
    </row>
    <row r="4" spans="1:35" s="32" customFormat="1" x14ac:dyDescent="0.25">
      <c r="A4" s="32">
        <v>1</v>
      </c>
      <c r="B4" s="32" t="str">
        <f>CONCATENATE("YODA: {Version: 1.0.0, Profile: TimeSeries, DateCreated: ",CHAR(34),TEXT(TODAY(),"yyyy-mm-dd"),CHAR(34),", DateUpdated: ",CHAR(34),TEXT(TODAY(),"yyyy-mm-dd"),CHAR(34),"}")</f>
        <v>YODA: {Version: 1.0.0, Profile: TimeSeries, DateCreated: "2015-03-12", DateUpdated: "2015-03-12"}</v>
      </c>
      <c r="C4" s="32"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""PLEASE FILL IN THE DATASET TYPE IN THE DATASET CITATION TABPLEASE FILL IN THE DATASET CODE IN THE DATASET CITATION TABPLEASE FILL IN THE DATASET TITLE IN THE DATASET CITATION TAB,  DataSetAbstract:  NULL}</v>
      </c>
      <c r="D4" s="32" t="str">
        <f>IF(INDEX(Organizations[Organization Type '[CV']],$A4)="","PLEASE FILL IN AT LEAST ONE ORGANIZATION WITH TYPE, CODE, AND NAME",
CONCATENATE("  - &amp;OrganizationID",TEXT($A4,"0000"),
" {","OrganizationTypeCV:  ",CHAR(34),INDEX(Organizations[Organization Type '[CV']],$A4),CHAR(34),
", OrganizationCode:  ",CHAR(34),INDEX(Organizations[Organization Code],$A4),CHAR(34),
", OrganizationName:  ",CHAR(34),INDEX(Organizations[Organization Name],$A4),CHAR(34),
", OrganizationDescription:  ",CHAR(34),INDEX(Organizations[Organization Description],$A4),CHAR(34),
", OrganizationLink:  ",CHAR(34),INDEX(Organizations[Organization Link],$A4),CHAR(34),"}"))</f>
        <v>PLEASE FILL IN AT LEAST ONE ORGANIZATION WITH TYPE, CODE, AND NAME</v>
      </c>
      <c r="E4" s="32" t="str">
        <f>IF(AND(CitationDOI="",NumORCIDs=0,NumIGSNs=0),"",
CONCATENATE("  - &amp;OrganizationID",TEXT(NumOrganizations+$A4+1,"0000"),
" {","OrganizationTypeCV:  ",CHAR(34),INDEX(ExternalIDOrgs[Organization Type '[CV']],$A4+1),CHAR(34),
", OrganizationCode:  ",CHAR(34),INDEX(ExternalIDOrgs[Organization Code],$A4+1),CHAR(34),
", OrganizationName:  ",CHAR(34),INDEX(ExternalIDOrgs[Organization Name],$A4+1),CHAR(34),
", OrganizationDescription:  ",CHAR(34),INDEX(ExternalIDOrgs[Organization Description],$A4+1),CHAR(34),
", OrganizationLink:  ",CHAR(34),INDEX(ExternalIDOrgs[Organization Link],$A4+1),CHAR(34),"}"))</f>
        <v/>
      </c>
      <c r="F4" s="32" t="str">
        <f>CONCATENATE("  - &amp;ExternalIdentifierSystemID",TEXT($A4,"0000"),
" {","ExternalIdentifierSystemName:  ",CHAR(34),INDEX(ExternalIdentifiers[External Identifier System Name],$A4),CHAR(34),
", IdentifierSystemOrganizationObj:  *OrganizationID",TEXT(NumOrganizations+$A4,"0000"),
", ExternalIdentifierSystemDescription:  ",CHAR(34),INDEX(ExternalIdentifiers[External Identifier System Descrption],$A4),CHAR(34),
", ExternalIdentifierSystemURL:  ",CHAR(34),INDEX(ExternalIdentifiers[External Identifier System URL],$A4),CHAR(34),"}")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32" t="str">
        <f>IF(INDEX(People[First Name],$A4)="","PLEASE FILL IN AT LEAST ONE PERSON WITH FIRST, MIDDLE AND LAST NAME",
CONCATENATE("  - &amp;PersonID",TEXT($A4,"0000"),
" {","PersonFirstName:  ",CHAR(34),INDEX(People[First Name],$A4),CHAR(34),
", PersonMiddleName:  ",CHAR(34),INDEX(People[Middle Name],$A4),CHAR(34),
", PersonLastName:  ",CHAR(34),INDEX(People[Last Name],$A4),CHAR(34),"}"))</f>
        <v>PLEASE FILL IN AT LEAST ONE PERSON WITH FIRST, MIDDLE AND LAST NAME</v>
      </c>
      <c r="H4" s="32" t="str">
        <f>IF(NumORCIDs=0,"",
IF(NumORCIDs&lt;$A4,"",
CONCATENATE("  - {",
"PersonObj:  *PersonID",TEXT(MATCH($A4,People[ExternalIDNum],0),"0000"),
", ExternalIdentifierSystemObj:  *ExternalIdentifierSystemID0001",
", PersonExternalIdentifier:  ",CHAR(34),INDEX(People[Person OrcID],MATCH($A4,People[ExternalIDNum],0)),CHAR(34),
", PersonExternalIdentifierURI:  ",CHAR(34),"http://orcid.org/",INDEX(People[Person OrcID],MATCH($A4,People[ExternalIDNum],0)),CHAR(34),
"}")))</f>
        <v/>
      </c>
      <c r="I4" s="32" t="e">
        <f>CONCATENATE("  - &amp;AffiliationID",TEXT($A4,"0000"),
" {PersonObj: *PersonID",TEXT($A4,"0000"),
", OrganizationObj: *OrganizationID",TEXT(MATCH(INDEX(People[Organization Name],$A4),Organizations[Organization Name],0),"0000"),
", IsPrimaryOrganizationContact: , AffiliationStartDate: , AffiliationEndDate: , PrimaryPhone: ",
", PrimaryEmail: ",CHAR(34),INDEX(People[Primary Email],$A4),CHAR(34),
", PrimaryAddress: ",CHAR(34),INDEX(People[Primary Address],$A4),CHAR(34),
", PersonLink: }")</f>
        <v>#N/A</v>
      </c>
      <c r="J4" s="32"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c>
      <c r="K4" s="32" t="str">
        <f>IF(CitationDOI="","",
CONCATENATE("  - {",
"CitationObj:  *CitationID001",
", ExternalIdentifierSystemObj:  *ExternalIdentifierSystemID0002",
", CitationExternalIdentifier:  ",CHAR(34),CitationDOI,CHAR(34),
", CitationExternalIdentifierURI:  ",CHAR(34),CHAR(34),
"}"))</f>
        <v/>
      </c>
      <c r="L4" s="32" t="str">
        <f>IF(COUNTA(CitationInformation)=0,"",
IF(INDEX(AuthorList[Author Name],$A4)="","PLEASE FILL IN AT LEAST ONE CITATION AUTHOR",
CONCATENATE("  - &amp;AuthorListID",TEXT($A4,"0000"),
"  {CitationObj: *CitationID0001",
", PersonObj: *PersonID",TEXT(MATCH(INDEX(AuthorList[Author Name],$A4),People[Full Name],0),"0000"),
", AuthorOrder: ",INDEX(AuthorList[Author Number],$A4),"}")))</f>
        <v/>
      </c>
      <c r="M4" s="32" t="str">
        <f>IF(COUNTA(CitationInformation)=0,"",
CONCATENATE("  - {",
"DataSetObj: *DataSetID0001",
", CitationObj: *CitationID0001",
IF(DatasetCitationRelationship="","PLEASE FILL IN THE RELATIONSHIP BETWEEN THE DATASET AND THE CITATION",CONCATENATE(", RelationshipTypeCV: ",DatasetCitationRelationship)),
"}"))</f>
        <v/>
      </c>
      <c r="N4" s="32" t="str">
        <f>IF(LatLonDatum="","PLEASE FILL IN A VALID LAT/LONG DATUM",
CONCATENATE("  - &amp;SRSID",TEXT($A4,"0000"),"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32" t="str">
        <f>IF(INDEX(SamplingFeatures[Feature Code],$A4)="","PLEASE FILL IN AT LEAST ONE SAMPLING FEATURE",
CONCATENATE("  - &amp;SamplingFeatureID",TEXT($A4,"0000"),
" {","SamplingFeatureUUID:  ",CHAR(34),INDEX(SamplingFeatures[Sampling Feature UUID],$A4),CHAR(34),
", SamplingFeatureTypeCV:  ",CHAR(34),INDEX(SamplingFeatures[Sampling Feature Type],$A4),CHAR(34),
", SamplingFeatureCode:  ",CHAR(34),INDEX(SamplingFeatures[Feature Code],$A4),CHAR(34),
", SamplingFeatureName:  ",CHAR(34),INDEX(SamplingFeatures[Feature Name],$A4),CHAR(34),
", SamplingFeatureDescription:  ",CHAR(34),INDEX(SamplingFeatures[Feature Description],$A4),CHAR(34),
", SamplingFeatureGeotypeCV:  ",CHAR(34),INDEX(SamplingFeatures[Feature Geo Type],$A4),CHAR(34),
", FeatureGeometry:  ",CHAR(34),INDEX(SamplingFeatures[Feature Geometry],$A4),CHAR(34),
", Elevation_m:  ",CHAR(34),INDEX(SamplingFeatures[Elevation_m],$A4),CHAR(34),
", ElevationDatumCV:  ",CHAR(34),ElevationDatum,CHAR(34),"}"))</f>
        <v>PLEASE FILL IN AT LEAST ONE SAMPLING FEATURE</v>
      </c>
      <c r="P4" s="32" t="str">
        <f>IF(NumIGSNs=0,"",
IF(NumIGSNs&lt;$A4,"",
CONCATENATE("  - {",
"SamplingFeatureObj:  *SamplingFeatureID",TEXT(MATCH($A4,SamplingFeatures[IGSNID],0),"0000"),
", ExternalIdentifierSystemObj:  *ExternalIdentifierSystemID0003",
", SamplingFeatureExternalIdentifier:  ",CHAR(34),INDEX(SamplingFeatures[Feature IGSN],MATCH($A4,SamplingFeatures[IGSNID],0)),CHAR(34),
", SamplingFeatureExternalIdentifierURI:  ",CHAR(34),"http://app.geosamples.org/sample/igsn/",INDEX(SamplingFeatures[Feature IGSN],MATCH($A4,SamplingFeatures[IGSNID],0)),CHAR(34),
"}")))</f>
        <v/>
      </c>
      <c r="Q4" s="32" t="str">
        <f>IF(NumSites=0,"",
IF(NumSites&lt;$A4,"",
CONCATENATE("  - &amp;SiteID",TEXT($A4,"0000"),
" {","SamplingFeatureObj:  *SamplingFeatureID",TEXT(MATCH($A4,Sites[SiteID],0),"0000"),
", SiteTypeCV:  ",CHAR(34),INDEX(Sites[Site Type],MATCH($A4,Sites[SiteID],0)),CHAR(34),
", Latitude:  ",INDEX(Sites[Latitude],MATCH($A4,Sites[SiteID],0)),
", Longitude:  ",INDEX(Sites[Longitude],MATCH($A4,Sites[SiteID],0)),
", SpatialReferenceObj:  *SRSID0001}")))</f>
        <v/>
      </c>
      <c r="R4" s="32" t="str">
        <f>IF(NumSpecimens=0,"",
IF(NumSpecimens&lt;$A4,"",
CONCATENATE("  - &amp;SpecimenID",TEXT($A4,"0000"),
" {","SamplingFeatureObj:  *SamplingFeatureID",TEXT(MATCH($A4,Specimens[SpecimenID],0),"0000"),
", SpecimenTypeCV:  ",CHAR(34),INDEX(Specimens[Specimen Type],MATCH($A4,Specimens[SpecimenID],0)),CHAR(34),
", SpecimenMediumCV:  ",INDEX(Specimens[Specimen Medium],MATCH($A4,Specimens[SpecimenID],0)),
", IsFieldSpecimen:  ",CHAR(34),INDEX(Specimens[Is Field Specimen?],MATCH($A4,Specimens[SpecimenID],0)),CHAR(34),"}")))</f>
        <v/>
      </c>
      <c r="S4" s="32" t="str">
        <f>IF(NumSpatialOffsets=0,"",
IF(NumSpatialOffsets&lt;$A4,"",
CONCATENATE("  - &amp;SpatialOffsetID",TEXT($A4,"0000"),
" {","SpatialOffsetTypeCV:  ",CHAR(34),INDEX(RelatedFeatures[Spatial Offset Type],MATCH($A4,RelatedFeatures[OffsetID],0)),CHAR(34),
", Offset1Value:  ",INDEX(RelatedFeatures[Offset 1 Value],MATCH($A4,RelatedFeatures[OffsetID],0)),
", Offset1UnitObj:  ",CHAR(34),INDEX(RelatedFeatures[Offset 1 Unit],MATCH($A4,RelatedFeatures[OffsetID],0)),CHAR(34),
", Offset2Value:  ",IF(INDEX(RelatedFeatures[Offset 2 Value],MATCH($A4,RelatedFeatures[OffsetID],0))="","NULL",INDEX(RelatedFeatures[Offset 2 Value],MATCH($A4,RelatedFeatures[OffsetID],0))),
", Offset2UnitObj:  ",CHAR(34),INDEX(RelatedFeatures[Offset 2 Unit],MATCH($A4,RelatedFeatures[OffsetID],0)),,CHAR(34),
", Offset3Value:  ",IF(INDEX(RelatedFeatures[Offset 3 Value],MATCH($A4,RelatedFeatures[OffsetID],0))="","NULL",INDEX(RelatedFeatures[Offset 3 Value],MATCH($A4,RelatedFeatures[OffsetID],0))),
", Offset3UnitObj:  ",CHAR(34),INDEX(RelatedFeatures[Offset 3 Unit],MATCH($A4,RelatedFeatures[OffsetID],0)),CHAR(34),"}")))</f>
        <v/>
      </c>
      <c r="T4" s="32" t="str">
        <f>IF(NumRelatedFeatures=0,"",
IF(INDEX(RelatedFeatures[First Sampling Feature Code],$A4)="","PLEASE FILL IN THE FIRST FEATURE ON THE FIRST ROW",
CONCATENATE("  - &amp;RelationID",TEXT($A4,"0000"),
" {","SamplingFeatureObj:  *SamplingFeatureID",TEXT(MATCH(INDEX(RelatedFeatures[First Sampling Feature Code],$A4),SamplingFeatures[Feature Code],0),"0000"),
", RelationshipTypeCV:  ",CHAR(34),INDEX(RelatedFeatures[Relationship Type],$A4),CHAR(34),
", RelatedFeatureObj: *SamplingFeatureID",TEXT(MATCH(INDEX(RelatedFeatures[Second Sampling Feature Code],$A4),SamplingFeatures[Feature Code],0),"0000"),
", SpatialOffsetObj:  ",IF(INDEX(RelatedFeatures[OffsetID],$A4)="",CONCATENATE(CHAR(34),CHAR(34)),CONCATENATE("*SpatialOffsetID",TEXT(INDEX(RelatedFeatures[OffsetID],$A4),"0000"))),"}")))</f>
        <v/>
      </c>
      <c r="U4" s="32" t="str">
        <f>IF(INDEX(Methods[Method Type],$A4)="","PLEASE FILL IN AT LEAST ONE METHOD",
CONCATENATE("  - &amp;MethodID",TEXT($A4,"0000"),
" {","MethodTypeCV:  ",CHAR(34),INDEX(Methods[Method Type],$A4),CHAR(34),
", MethodCode:  ",CHAR(34),INDEX(Methods[Method Code],$A4),CHAR(34),
", MethodName:  ",CHAR(34),INDEX(Methods[Method Name],$A4),CHAR(34),
", MethodDescription:  ",CHAR(34),INDEX(Methods[Method Description],$A4),CHAR(34),
", MethodLink:  ",CHAR(34),INDEX(Methods[Method Link],$A4),CHAR(34),
", OrganizationObj: *OrganizationID",TEXT(MATCH(INDEX(Methods[Organization Name],$A4),Organizations[Organization Name],0),"0000"),"}"))</f>
        <v>PLEASE FILL IN AT LEAST ONE METHOD</v>
      </c>
      <c r="V4" s="32" t="str">
        <f>IF(INDEX(Variables[Variable Type],$A4)="","PLEASE FILL IN AT LEAST ONE VARIABLE",
CONCATENATE("  - &amp;VariableID",TEXT($A4,"0000"),
" {","VariableTypeCV:  ",CHAR(34),INDEX(Variables[Variable Type],$A4),CHAR(34),
", VariableCode:  ",CHAR(34),INDEX(Variables[Variable Code],$A4),CHAR(34),
", VariableNameCV:  ",CHAR(34),INDEX(Variables[Variable Name],$A4),CHAR(34),
", VariableDefinition:  ",CHAR(34),INDEX(Variables[Variable Definition],$A4),CHAR(34),
", SpecciationCV:  ",CHAR(34),INDEX(Variables[Speciation],$A4),CHAR(34),
", NoDataValue:  ",CHAR(34),INDEX(Variables[No Data Value],$A4),CHAR(34),"}"))</f>
        <v>PLEASE FILL IN AT LEAST ONE VARIABLE</v>
      </c>
      <c r="X4" s="32" t="str">
        <f>IF(INDEX(ProcessingLevels[Processing Level Code],$A4)="","PLEASE FILL IN AT LEAST ONE PROCESSING LEVEL",
CONCATENATE("  - &amp;ProcessingLevelID",TEXT($A4,"0000"),
" {","ProcessingLevelCode:  ",CHAR(34),INDEX(ProcessingLevels[Processing Level Code],$A4),CHAR(34),
", Definition:  ",CHAR(34),INDEX(ProcessingLevels[Definition],$A4),CHAR(34),
", Explanation:  ",CHAR(34),INDEX(ProcessingLevels[Explanation],$A4),CHAR(34),"}"))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32" t="str">
        <f>IF(INDEX(DataColumns[Col '#],$A4)="","PLEASE FILL IN METADATA FOR AT LEAST ONE DATA COLUMN",
IF(INDEX(DataColumns[Method Code],$A4)="","PLEASE FILL IN A METHOD FOR EACH DATA COLUMN",
CONCATENATE("  - &amp;ActionID",TEXT($A4,"0000"),
" {","ActionTypeCV:  ",CHAR(34),"Observation",CHAR(34),
", MethodObj: *MethodID",TEXT(MATCH(INDEX(DataColumns[Method Code],$A4),Methods[Method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32" t="str">
        <f>IF(INDEX(DataColumns[Col '#],$A4)="","PLEASE FILL IN METADATA FOR AT LEAST ONE DATA COLUMN",
IF(INDEX(DataColumns[Method Code],$A4)="","PLEASE FILL IN A SAMPLING FEATURE FOR EACH DATA COLUMN",
CONCATENATE("  - &amp;FeatureActionID",TEXT($A4,"0000"),
" {","SamplingFeatureObj:  *SamplingFeatureID",TEXT(MATCH(INDEX(DataColumns[Sampling Feature Code],$A4),SamplingFeatures[Feature Code],0),"0000"),
", ActionObj:  *ActionID",TEXT($A4,"0000"),"}")))</f>
        <v>PLEASE FILL IN METADATA FOR AT LEAST ONE DATA COLUMN</v>
      </c>
      <c r="AA4" s="32" t="str">
        <f>IF(INDEX(DataColumns[Col '#],$A4)="","PLEASE FILL IN METADATA FOR AT LEAST ONE DATA COLUMN",
CONCATENATE("  - &amp;ResultID",TEXT($A4,"0000"),
" {","ResultUUID:  ",CHAR(34),INDEX(DataColumns[ResultUUID],$A4),CHAR(34),
", FeatureActionObj: *FeatureActionID",TEXT($A4,"0000"),
", ResultTypeCV:  ",CHAR(34),INDEX(DataColumns[Result Type],$A4),CHAR(34),
", VariableObj:  *VariableID",TEXT(MATCH(INDEX(DataColumns[Variable Code],$A4),Variables[Variable Code],0),"0000"),
", UnitsObj:  ",CHAR(34),INDEX(DataColumns[Unit Name],$A4),CHAR(34),
", TaxonomicClassifierObj:  ",CHAR(34),CHAR(34),
", ProcessingLevelObj:  *ProcessingLevelID",TEXT(MATCH(INDEX(DataColumns[Processing Level],$A4),ProcessingLevels[Processing Level Code],0),"0000"),
", ResultDateTime:  ",CHAR(34),CHAR(34),
", ResultDateTimeUTCOffset:  ",CHAR(34),CHAR(34),
", ValidDateTime:  ",CHAR(34),CHAR(34),
", ValidDateTimeUTCOffset:  ",CHAR(34),CHAR(34),
", StatusCV:  ",CHAR(34),CHAR(34),
", SampledMediumCV:  ",CHAR(34),INDEX(DataColumns[Sampled Medium],$A4),CHAR(34),
", ValueCount:  ",NumDataValues,"}"))</f>
        <v>PLEASE FILL IN METADATA FOR AT LEAST ONE DATA COLUMN</v>
      </c>
      <c r="AB4" s="32" t="str">
        <f>IF(INDEX(DataColumns[Col '#],$A4)="","PLEASE FILL IN METADATA FOR AT LEAST ONE DATA COLUMN",
CONCATENATE("  - &amp;TimeSeriesResultID001",TEXT($A4,"0000"),
" {","ResultObj: *ResultID",TEXT($A4,"0000"),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Statistic],$A4),CHAR(34),"}"))</f>
        <v>PLEASE FILL IN METADATA FOR AT LEAST ONE DATA COLUMN</v>
      </c>
      <c r="AC4" s="32" t="s">
        <v>1247</v>
      </c>
      <c r="AF4" s="32" t="str">
        <f>IF(INDEX(DataColumns[Column Label],$A4)="",
"PLEASE FILL IN METADATA FOR AT LEAST ONE DATA COLUMN",
INDEX(DataColumns[Column Label],$A4))</f>
        <v>PLEASE FILL IN METADATA FOR AT LEAST ONE DATA COLUMN</v>
      </c>
      <c r="AG4" s="32" t="str">
        <f>IF(INDEX(DataColumns[Col '#],$A4)="",
"PLEASE FILL IN METADATA FOR AT LEAST ONE DATA COLUMN",
CONCATENATE("ValueDateTime",", ","ValueDateTimeUTCOffset",", ",INDIRECT(CONCATENATE("R",NumDataColumns+1,"C[-1]"),FALSE)," ],["))</f>
        <v>PLEASE FILL IN METADATA FOR AT LEAST ONE DATA COLUMN</v>
      </c>
      <c r="AH4" s="32" t="s">
        <v>1277</v>
      </c>
      <c r="AI4" s="32">
        <f>SUM(B2:AG2)</f>
        <v>64</v>
      </c>
    </row>
    <row r="5" spans="1:35" s="32" customFormat="1" x14ac:dyDescent="0.25">
      <c r="A5" s="32">
        <v>2</v>
      </c>
      <c r="D5" s="32" t="str">
        <f>IF($A5&gt;NumOrganizations,"",
CONCATENATE("  - &amp;OrganizationID",TEXT($A5,"0000"),
" {","OrganizationTypeCV:  ",CHAR(34),INDEX(Organizations[Organization Type '[CV']],$A5),CHAR(34),
", OrganizationCode:  ",CHAR(34),INDEX(Organizations[Organization Code],$A5),CHAR(34),
", OrganizationName:  ",CHAR(34),INDEX(Organizations[Organization Name],$A5),CHAR(34),
", OrganizationDescription:  ",CHAR(34),INDEX(Organizations[Organization Description],$A5),CHAR(34),
", OrganizationLink:  ",CHAR(34),INDEX(Organizations[Organization Link],$A5),CHAR(34),"}"))</f>
        <v/>
      </c>
      <c r="E5" s="32" t="str">
        <f>IF(AND(CitationDOI="",NumORCIDs=0,NumIGSNs=0),"",
CONCATENATE("  - &amp;OrganizationID",TEXT(NumOrganizations+$A5+1,"0000"),
" {","OrganizationTypeCV:  ",CHAR(34),INDEX(ExternalIDOrgs[Organization Type '[CV']],$A5+1),CHAR(34),
", OrganizationCode:  ",CHAR(34),INDEX(ExternalIDOrgs[Organization Code],$A5+1),CHAR(34),
", OrganizationName:  ",CHAR(34),INDEX(ExternalIDOrgs[Organization Name],$A5+1),CHAR(34),
", OrganizationDescription:  ",CHAR(34),INDEX(ExternalIDOrgs[Organization Description],$A5+1),CHAR(34),
", OrganizationLink:  ",CHAR(34),INDEX(ExternalIDOrgs[Organization Link],$A5+1),CHAR(34),"}"))</f>
        <v/>
      </c>
      <c r="F5" s="32" t="str">
        <f>CONCATENATE("  - &amp;ExternalIdentifierSystemID",TEXT($A5,"0000"),
" {","ExternalIdentifierSystemName:  ",CHAR(34),INDEX(ExternalIdentifiers[External Identifier System Name],$A5),CHAR(34),
", IdentifierSystemOrganizationObj:  *OrganizationID",TEXT(NumOrganizations+$A5,"0000"),
", ExternalIdentifierSystemDescription:  ",CHAR(34),INDEX(ExternalIdentifiers[External Identifier System Descrption],$A5),CHAR(34),
", ExternalIdentifierSystemURL:  ",CHAR(34),INDEX(ExternalIdentifiers[External Identifier System URL],$A5),CHAR(34),"}")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32" t="str">
        <f>IF($A5&gt;NumPeople,"",
CONCATENATE("  - &amp;PersonID",TEXT($A5,"0000"),
" {","PersonFirstName:  ",CHAR(34),INDEX(People[First Name],$A5),CHAR(34),
", PersonMiddleName:  ",CHAR(34),INDEX(People[Middle Name],$A5),CHAR(34),
", PersonLastName:  ",CHAR(34),INDEX(People[Last Name],$A5),CHAR(34),"}"))</f>
        <v xml:space="preserve">  - &amp;PersonID0002 {PersonFirstName:  "", PersonMiddleName:  "", PersonLastName:  ""}</v>
      </c>
      <c r="H5" s="32" t="str">
        <f>IF(NumORCIDs=0,"",
IF(NumORCIDs&lt;$A5,"",
CONCATENATE("  - {",
"PersonObj:  *PersonID",TEXT(MATCH($A5,People[ExternalIDNum],0),"0000"),
", ExternalIdentifierSystemObj:  *ExternalIdentifierSystemID0001",
", PersonExternalIdentifier:  ",CHAR(34),INDEX(People[Person OrcID],MATCH($A5,People[ExternalIDNum],0)),CHAR(34),
", PersonExternalIdentifierURI:  ",CHAR(34),"http://orcid.org/",INDEX(People[Person OrcID],MATCH($A5,People[ExternalIDNum],0)),CHAR(34),
"}")))</f>
        <v/>
      </c>
      <c r="I5" s="32" t="e">
        <f>IF($A5&gt;NumPeople,"",
CONCATENATE("  - &amp;AffiliationID",TEXT($A5,"0000"),
" {PersonObj: *PersonID",TEXT($A5,"0000"),
", OrganizationObj: *OrganizationID",TEXT(MATCH(INDEX(People[Organization Name],$A5),Organizations[Organization Name],0),"0000"),
", IsPrimaryOrganizationContact: , AffiliationStartDate: , AffiliationEndDate: , PrimaryPhone: ",
", PrimaryEmail: ",CHAR(34),INDEX(People[Primary Email],$A5),CHAR(34),
", PrimaryAddress: ",CHAR(34),INDEX(People[Primary Address],$A5),CHAR(34),
", PersonLink: }"))</f>
        <v>#N/A</v>
      </c>
      <c r="L5" s="32" t="str">
        <f>IF(COUNTA(CitationInformation)=0,"",
IF($A5&gt;NumAuthors,"",
CONCATENATE("  - &amp;AuthorListID",TEXT($A5,"0000"),
"  {CitationObj: *CitationID0001",
", PersonObj: *PersonID",TEXT(MATCH(INDEX(AuthorList[Author Name],$A5),People[Full Name],0),"0000"),
", AuthorOrder: ",INDEX(AuthorList[Author Number],$A5),"}")))</f>
        <v/>
      </c>
      <c r="O5" s="32" t="str">
        <f>IF($A5&gt;NumSamplingFeatures,"",
CONCATENATE("  - &amp;SamplingFeatureID",TEXT($A5,"0000"),
" {","SamplingFeatureUUID:  ",CHAR(34),INDEX(SamplingFeatures[Sampling Feature UUID],$A5),CHAR(34),
", SamplingFeatureTypeCV:  ",CHAR(34),INDEX(SamplingFeatures[Sampling Feature Type],$A5),CHAR(34),
", SamplingFeatureCode:  ",CHAR(34),INDEX(SamplingFeatures[Feature Code],$A5),CHAR(34),
", SamplingFeatureName:  ",CHAR(34),INDEX(SamplingFeatures[Feature Name],$A5),CHAR(34),
", SamplingFeatureDescription:  ",CHAR(34),INDEX(SamplingFeatures[Feature Description],$A5),CHAR(34),
", SamplingFeatureGeotypeCV:  ",CHAR(34),INDEX(SamplingFeatures[Feature Geo Type],$A5),CHAR(34),
", FeatureGeometry:  ",CHAR(34),INDEX(SamplingFeatures[Feature Geometry],$A5),CHAR(34),
", Elevation_m:  ",CHAR(34),INDEX(SamplingFeatures[Elevation_m],$A5),CHAR(34),
", ElevationDatumCV:  ",CHAR(34),ElevationDatum,CHAR(34),"}"))</f>
        <v/>
      </c>
      <c r="P5" s="32" t="str">
        <f>IF(NumIGSNs=0,"",
IF(NumIGSNs&lt;$A5,"",
CONCATENATE("  - {",
"SamplingFeatureObj:  *SamplingFeatureID",TEXT(MATCH($A5,SamplingFeatures[IGSNID],0),"0000"),
", ExternalIdentifierSystemObj:  *ExternalIdentifierSystemID0003",
", SamplingFeatureExternalIdentifier:  ",CHAR(34),INDEX(SamplingFeatures[Feature IGSN],MATCH($A5,SamplingFeatures[IGSNID],0)),CHAR(34),
", SamplingFeatureExternalIdentifierURI:  ",CHAR(34),"http://app.geosamples.org/sample/igsn/",INDEX(SamplingFeatures[Feature IGSN],MATCH($A5,SamplingFeatures[IGSNID],0)),CHAR(34),
"}")))</f>
        <v/>
      </c>
      <c r="Q5" s="32" t="str">
        <f>IF(NumSites=0,"",
IF(NumSites&lt;$A5,"",
CONCATENATE("  - &amp;SiteID",TEXT($A5,"0000"),
" {","SamplingFeatureObj:  *SamplingFeatureID",TEXT(MATCH($A5,Sites[SiteID],0),"0000"),
", SiteTypeCV:  ",CHAR(34),INDEX(Sites[Site Type],MATCH($A5,Sites[SiteID],0)),CHAR(34),
", Latitude:  ",INDEX(Sites[Latitude],MATCH($A5,Sites[SiteID],0)),
", Longitude:  ",INDEX(Sites[Longitude],MATCH($A5,Sites[SiteID],0)),
", SpatialReferenceObj:  *SRSID0001}")))</f>
        <v/>
      </c>
      <c r="R5" s="32" t="str">
        <f>IF(NumSpecimens=0,"",
IF(NumSpecimens&lt;$A5,"",
CONCATENATE("  - &amp;SpecimenID",TEXT($A5,"0000"),
" {","SamplingFeatureObj:  *SamplingFeatureID",TEXT(MATCH($A5,Specimens[SpecimenID],0),"0000"),
", SpecimenTypeCV:  ",CHAR(34),INDEX(Specimens[Specimen Type],MATCH($A5,Specimens[SpecimenID],0)),CHAR(34),
", SpecimenMediumCV:  ",INDEX(Specimens[Specimen Medium],MATCH($A5,Specimens[SpecimenID],0)),
", IsFieldSpecimen:  ",CHAR(34),INDEX(Specimens[Is Field Specimen?],MATCH($A5,Specimens[SpecimenID],0)),CHAR(34),"}")))</f>
        <v/>
      </c>
      <c r="S5" s="32" t="str">
        <f>IF(NumSpatialOffsets=0,"",
IF(NumSpatialOffsets&lt;$A5,"",
CONCATENATE("  - &amp;SpatialOffsetID",TEXT($A5,"0000"),
" {","SpatialOffsetTypeCV:  ",CHAR(34),INDEX(RelatedFeatures[Spatial Offset Type],MATCH($A5,RelatedFeatures[OffsetID],0)),CHAR(34),
", Offset1Value:  ",INDEX(RelatedFeatures[Offset 1 Value],MATCH($A5,RelatedFeatures[OffsetID],0)),
", Offset1UnitObj:  ",CHAR(34),INDEX(RelatedFeatures[Offset 1 Unit],MATCH($A5,RelatedFeatures[OffsetID],0)),CHAR(34),
", Offset2Value:  ",IF(INDEX(RelatedFeatures[Offset 2 Value],MATCH($A5,RelatedFeatures[OffsetID],0))="","NULL",INDEX(RelatedFeatures[Offset 2 Value],MATCH($A5,RelatedFeatures[OffsetID],0))),
", Offset2UnitObj:  ",CHAR(34),INDEX(RelatedFeatures[Offset 2 Unit],MATCH($A5,RelatedFeatures[OffsetID],0)),,CHAR(34),
", Offset3Value:  ",IF(INDEX(RelatedFeatures[Offset 3 Value],MATCH($A5,RelatedFeatures[OffsetID],0))="","NULL",INDEX(RelatedFeatures[Offset 3 Value],MATCH($A5,RelatedFeatures[OffsetID],0))),
", Offset3UnitObj:  ",CHAR(34),INDEX(RelatedFeatures[Offset 3 Unit],MATCH($A5,RelatedFeatures[OffsetID],0)),CHAR(34),"}")))</f>
        <v/>
      </c>
      <c r="T5" s="32" t="str">
        <f>IF(NumRelatedFeatures=0,"",
IF($A5&gt;NumRelatedFeatures,"",
CONCATENATE("  - &amp;RelationID",TEXT($A5,"0000"),
" {","SamplingFeatureObj:  *SamplingFeatureID",TEXT(MATCH(INDEX(RelatedFeatures[First Sampling Feature Code],$A5),SamplingFeatures[Feature Code],0),"0000"),
", RelationshipTypeCV:  ",CHAR(34),INDEX(RelatedFeatures[Relationship Type],$A5),CHAR(34),
", RelatedFeatureObj: *SamplingFeatureID",TEXT(MATCH(INDEX(RelatedFeatures[Second Sampling Feature Code],$A5),SamplingFeatures[Feature Code],0),"0000"),
", SpatialOffsetObj:  ",IF(INDEX(RelatedFeatures[OffsetID],$A5)="",CONCATENATE(CHAR(34),CHAR(34)),CONCATENATE("*SpatialOffsetID",TEXT(INDEX(RelatedFeatures[OffsetID],$A5),"0000"))),"}")))</f>
        <v/>
      </c>
      <c r="U5" s="32" t="str">
        <f>IF($A5&gt;NumMethods,"",
CONCATENATE("  - &amp;MethodID",TEXT($A5,"0000"),
" {","MethodTypeCV:  ",CHAR(34),INDEX(Methods[Method Type],$A5),CHAR(34),
", MethodCode:  ",CHAR(34),INDEX(Methods[Method Code],$A5),CHAR(34),
", MethodName:  ",CHAR(34),INDEX(Methods[Method Name],$A5),CHAR(34),
", MethodDescription:  ",CHAR(34),INDEX(Methods[Method Description],$A5),CHAR(34),
", MethodLink:  ",CHAR(34),INDEX(Methods[Method Link],$A5),CHAR(34),
", OrganizationObj: *OrganizationID",TEXT(MATCH(INDEX(Methods[Organization Name],$A5),Organizations[Organization Name],0),"0000"),"}"))</f>
        <v/>
      </c>
      <c r="V5" s="32" t="str">
        <f>IF($A5&gt;NumVariables,"",
CONCATENATE("  - &amp;VariableID",TEXT($A5,"0000"),
" {","VariableTypeCV:  ",CHAR(34),INDEX(Variables[Variable Type],$A5),CHAR(34),
", VariableCode:  ",CHAR(34),INDEX(Variables[Variable Code],$A5),CHAR(34),
", VariableNameCV:  ",CHAR(34),INDEX(Variables[Variable Name],$A5),CHAR(34),
", VariableDefinition:  ",CHAR(34),INDEX(Variables[Variable Definition],$A5),CHAR(34),
", SpecciationCV:  ",CHAR(34),INDEX(Variables[Speciation],$A5),CHAR(34),
", NoDataValue:  ",CHAR(34),INDEX(Variables[No Data Value],$A5),CHAR(34),"}"))</f>
        <v/>
      </c>
      <c r="X5" s="32" t="str">
        <f>IF($A5&gt;NumProcessingLevels,"",
CONCATENATE("  - &amp;ProcessingLevelID",TEXT($A5,"0000"),
" {","ProcessingLevelCode:  ",CHAR(34),INDEX(ProcessingLevels[Processing Level Code],$A5),CHAR(34),
", Definition:  ",CHAR(34),INDEX(ProcessingLevels[Definition],$A5),CHAR(34),
", Explanation:  ",CHAR(34),INDEX(ProcessingLevels[Explanation],$A5),CHAR(34),"}"))</f>
        <v xml:space="preserve">  - &amp;ProcessingLevelID0002 {ProcessingLevelCode:  "1", Definition:  "Quality controlled data", Explanation:  "Processed data and data products that have undergone quality control"}</v>
      </c>
      <c r="Y5" s="32" t="str">
        <f>IF($A5&gt;NumDataColumns,"",
IF(INDEX(DataColumns[Method Code],$A5)="","PLEASE FILL IN A METHOD FOR EACH DATA COLUMN",
CONCATENATE("  - &amp;ActionID",TEXT($A5,"0000"),
" {","ActionTypeCV:  ",CHAR(34),"Observation",CHAR(34),
", MethodObj: *MethodID",TEXT(MATCH(INDEX(DataColumns[Method Code],$A5),Methods[Method Code],0),"0000"),
", BeginDateTime:  NULL",
", BeginDateTimeUTCOffset:  NULL",
", EndDateTime:  NULL",
", EndDateTimeUTCOffset:  NULL",
", ActionDescription:  ",CHAR(34),"Generic observation action generated by YODA TimeSeries Template",CHAR(34),
", ActionFileLink:  ",CHAR(34),CHAR(34),"}")))</f>
        <v/>
      </c>
      <c r="Z5" s="32" t="str">
        <f>IF($A5&gt;NumDataColumns,"",
IF(INDEX(DataColumns[Method Code],$A5)="","PLEASE FILL IN A SAMPLING FEATURE FOR EACH DATA COLUMN",
CONCATENATE("  - &amp;FeatureActionID",TEXT($A5,"0000"),
" {","SamplingFeatureObj:  *SamplingFeatureID",TEXT(MATCH(INDEX(DataColumns[Sampling Feature Code],$A5),SamplingFeatures[Feature Code],0),"0000"),
", ActionObj:  *ActionID",TEXT($A5,"0000"),"}")))</f>
        <v/>
      </c>
      <c r="AA5" s="32" t="str">
        <f>IF($A5&gt;NumDataColumns,"",
CONCATENATE("  - &amp;ResultID",TEXT($A5,"0000"),
" {","ResultUUID:  ",CHAR(34),INDEX(DataColumns[ResultUUID],$A5),CHAR(34),
", FeatureActionObj: *FeatureActionID",TEXT($A5,"0000"),
", ResultTypeCV:  ",CHAR(34),INDEX(DataColumns[Result Type],$A5),CHAR(34),
", VariableObj:  *VariableID",TEXT(MATCH(INDEX(DataColumns[Variable Code],$A5),Variables[Variable Code],0),"0000"),
", UnitsObj:  ",CHAR(34),INDEX(DataColumns[Unit Name],$A5),CHAR(34),
", TaxonomicClassifierObj:  ",CHAR(34),CHAR(34),
", ProcessingLevelObj:  *ProcessingLevelID",TEXT(MATCH(INDEX(DataColumns[Processing Level],$A5),ProcessingLevels[Processing Level Code],0),"0000"),
", ResultDateTime:  ",CHAR(34),CHAR(34),
", ResultDateTimeUTCOffset:  ",CHAR(34),CHAR(34),
", ValidDateTime:  ",CHAR(34),CHAR(34),
", ValidDateTimeUTCOffset:  ",CHAR(34),CHAR(34),
", StatusCV:  ",CHAR(34),CHAR(34),
", SampledMediumCV:  ",CHAR(34),INDEX(DataColumns[Sampled Medium],$A5),CHAR(34),
", ValueCount:  ",NumDataValues,"}"))</f>
        <v/>
      </c>
      <c r="AB5" s="32" t="str">
        <f>IF($A5&gt;NumDataColumns,"",
CONCATENATE("  - &amp;TimeSeriesResultID001",TEXT($A5,"0000"),
" {","ResultObj: *ResultID",TEXT($A5,"0000"),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Statistic],$A5),CHAR(34),"}"))</f>
        <v/>
      </c>
      <c r="AC5" s="32" t="s">
        <v>1248</v>
      </c>
      <c r="AF5" s="32" t="str">
        <f>IF($A5&gt;NumDataColumns,
"",
CONCATENATE(AF4,", ",INDEX(DataColumns[Column Label],$A5)))</f>
        <v/>
      </c>
      <c r="AH5" s="32" t="s">
        <v>1278</v>
      </c>
      <c r="AI5" s="32">
        <f>COUNT('Data Values'!C2:C91660)</f>
        <v>0</v>
      </c>
    </row>
    <row r="6" spans="1:35" s="32" customFormat="1" x14ac:dyDescent="0.25">
      <c r="A6" s="32">
        <v>3</v>
      </c>
      <c r="D6" s="32" t="str">
        <f>IF($A6&gt;NumOrganizations,"",
CONCATENATE("  - &amp;OrganizationID",TEXT($A6,"0000"),
" {","OrganizationTypeCV:  ",CHAR(34),INDEX(Organizations[Organization Type '[CV']],$A6),CHAR(34),
", OrganizationCode:  ",CHAR(34),INDEX(Organizations[Organization Code],$A6),CHAR(34),
", OrganizationName:  ",CHAR(34),INDEX(Organizations[Organization Name],$A6),CHAR(34),
", OrganizationDescription:  ",CHAR(34),INDEX(Organizations[Organization Description],$A6),CHAR(34),
", OrganizationLink:  ",CHAR(34),INDEX(Organizations[Organization Link],$A6),CHAR(34),"}"))</f>
        <v/>
      </c>
      <c r="F6" s="32" t="str">
        <f>CONCATENATE("  - &amp;ExternalIdentifierSystemID",TEXT($A6,"0000"),
" {","ExternalIdentifierSystemName:  ",CHAR(34),INDEX(ExternalIdentifiers[External Identifier System Name],$A6),CHAR(34),
", IdentifierSystemOrganizationObj:  *OrganizationID",TEXT(NumOrganizations+$A6,"0000"),
", ExternalIdentifierSystemDescription:  ",CHAR(34),INDEX(ExternalIdentifiers[External Identifier System Descrption],$A6),CHAR(34),
", ExternalIdentifierSystemURL:  ",CHAR(34),INDEX(ExternalIdentifiers[External Identifier System URL],$A6),CHAR(34),"}")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32" t="str">
        <f>IF($A6&gt;NumPeople,"",
CONCATENATE("  - &amp;PersonID",TEXT($A6,"0000"),
" {","PersonFirstName:  ",CHAR(34),INDEX(People[First Name],$A6),CHAR(34),
", PersonMiddleName:  ",CHAR(34),INDEX(People[Middle Name],$A6),CHAR(34),
", PersonLastName:  ",CHAR(34),INDEX(People[Last Name],$A6),CHAR(34),"}"))</f>
        <v xml:space="preserve">  - &amp;PersonID0003 {PersonFirstName:  "", PersonMiddleName:  "", PersonLastName:  ""}</v>
      </c>
      <c r="H6" s="32" t="str">
        <f>IF(NumORCIDs=0,"",
IF(NumORCIDs&lt;$A6,"",
CONCATENATE("  - {",
"PersonObj:  *PersonID",TEXT(MATCH($A6,People[ExternalIDNum],0),"0000"),
", ExternalIdentifierSystemObj:  *ExternalIdentifierSystemID0001",
", PersonExternalIdentifier:  ",CHAR(34),INDEX(People[Person OrcID],MATCH($A6,People[ExternalIDNum],0)),CHAR(34),
", PersonExternalIdentifierURI:  ",CHAR(34),"http://orcid.org/",INDEX(People[Person OrcID],MATCH($A6,People[ExternalIDNum],0)),CHAR(34),
"}")))</f>
        <v/>
      </c>
      <c r="I6" s="32" t="e">
        <f>IF($A6&gt;NumPeople,"",
CONCATENATE("  - &amp;AffiliationID",TEXT($A6,"0000"),
" {PersonObj: *PersonID",TEXT($A6,"0000"),
", OrganizationObj: *OrganizationID",TEXT(MATCH(INDEX(People[Organization Name],$A6),Organizations[Organization Name],0),"0000"),
", IsPrimaryOrganizationContact: , AffiliationStartDate: , AffiliationEndDate: , PrimaryPhone: ",
", PrimaryEmail: ",CHAR(34),INDEX(People[Primary Email],$A6),CHAR(34),
", PrimaryAddress: ",CHAR(34),INDEX(People[Primary Address],$A6),CHAR(34),
", PersonLink: }"))</f>
        <v>#N/A</v>
      </c>
      <c r="L6" s="32" t="str">
        <f>IF(COUNTA(CitationInformation)=0,"",
IF($A6&gt;NumAuthors,"",
CONCATENATE("  - &amp;AuthorListID",TEXT($A6,"0000"),
"  {CitationObj: *CitationID0001",
", PersonObj: *PersonID",TEXT(MATCH(INDEX(AuthorList[Author Name],$A6),People[Full Name],0),"0000"),
", AuthorOrder: ",INDEX(AuthorList[Author Number],$A6),"}")))</f>
        <v/>
      </c>
      <c r="O6" s="32" t="str">
        <f>IF($A6&gt;NumSamplingFeatures,"",
CONCATENATE("  - &amp;SamplingFeatureID",TEXT($A6,"0000"),
" {","SamplingFeatureUUID:  ",CHAR(34),INDEX(SamplingFeatures[Sampling Feature UUID],$A6),CHAR(34),
", SamplingFeatureTypeCV:  ",CHAR(34),INDEX(SamplingFeatures[Sampling Feature Type],$A6),CHAR(34),
", SamplingFeatureCode:  ",CHAR(34),INDEX(SamplingFeatures[Feature Code],$A6),CHAR(34),
", SamplingFeatureName:  ",CHAR(34),INDEX(SamplingFeatures[Feature Name],$A6),CHAR(34),
", SamplingFeatureDescription:  ",CHAR(34),INDEX(SamplingFeatures[Feature Description],$A6),CHAR(34),
", SamplingFeatureGeotypeCV:  ",CHAR(34),INDEX(SamplingFeatures[Feature Geo Type],$A6),CHAR(34),
", FeatureGeometry:  ",CHAR(34),INDEX(SamplingFeatures[Feature Geometry],$A6),CHAR(34),
", Elevation_m:  ",CHAR(34),INDEX(SamplingFeatures[Elevation_m],$A6),CHAR(34),
", ElevationDatumCV:  ",CHAR(34),ElevationDatum,CHAR(34),"}"))</f>
        <v/>
      </c>
      <c r="P6" s="32" t="str">
        <f>IF(NumIGSNs=0,"",
IF(NumIGSNs&lt;$A6,"",
CONCATENATE("  - {",
"SamplingFeatureObj:  *SamplingFeatureID",TEXT(MATCH($A6,SamplingFeatures[IGSNID],0),"0000"),
", ExternalIdentifierSystemObj:  *ExternalIdentifierSystemID0003",
", SamplingFeatureExternalIdentifier:  ",CHAR(34),INDEX(SamplingFeatures[Feature IGSN],MATCH($A6,SamplingFeatures[IGSNID],0)),CHAR(34),
", SamplingFeatureExternalIdentifierURI:  ",CHAR(34),"http://app.geosamples.org/sample/igsn/",INDEX(SamplingFeatures[Feature IGSN],MATCH($A6,SamplingFeatures[IGSNID],0)),CHAR(34),
"}")))</f>
        <v/>
      </c>
      <c r="Q6" s="32" t="str">
        <f>IF(NumSites=0,"",
IF(NumSites&lt;$A6,"",
CONCATENATE("  - &amp;SiteID",TEXT($A6,"0000"),
" {","SamplingFeatureObj:  *SamplingFeatureID",TEXT(MATCH($A6,Sites[SiteID],0),"0000"),
", SiteTypeCV:  ",CHAR(34),INDEX(Sites[Site Type],MATCH($A6,Sites[SiteID],0)),CHAR(34),
", Latitude:  ",INDEX(Sites[Latitude],MATCH($A6,Sites[SiteID],0)),
", Longitude:  ",INDEX(Sites[Longitude],MATCH($A6,Sites[SiteID],0)),
", SpatialReferenceObj:  *SRSID0001}")))</f>
        <v/>
      </c>
      <c r="R6" s="32" t="str">
        <f>IF(NumSpecimens=0,"",
IF(NumSpecimens&lt;$A6,"",
CONCATENATE("  - &amp;SpecimenID",TEXT($A6,"0000"),
" {","SamplingFeatureObj:  *SamplingFeatureID",TEXT(MATCH($A6,Specimens[SpecimenID],0),"0000"),
", SpecimenTypeCV:  ",CHAR(34),INDEX(Specimens[Specimen Type],MATCH($A6,Specimens[SpecimenID],0)),CHAR(34),
", SpecimenMediumCV:  ",INDEX(Specimens[Specimen Medium],MATCH($A6,Specimens[SpecimenID],0)),
", IsFieldSpecimen:  ",CHAR(34),INDEX(Specimens[Is Field Specimen?],MATCH($A6,Specimens[SpecimenID],0)),CHAR(34),"}")))</f>
        <v/>
      </c>
      <c r="S6" s="32" t="str">
        <f>IF(NumSpatialOffsets=0,"",
IF(NumSpatialOffsets&lt;$A6,"",
CONCATENATE("  - &amp;SpatialOffsetID",TEXT($A6,"0000"),
" {","SpatialOffsetTypeCV:  ",CHAR(34),INDEX(RelatedFeatures[Spatial Offset Type],MATCH($A6,RelatedFeatures[OffsetID],0)),CHAR(34),
", Offset1Value:  ",INDEX(RelatedFeatures[Offset 1 Value],MATCH($A6,RelatedFeatures[OffsetID],0)),
", Offset1UnitObj:  ",CHAR(34),INDEX(RelatedFeatures[Offset 1 Unit],MATCH($A6,RelatedFeatures[OffsetID],0)),CHAR(34),
", Offset2Value:  ",IF(INDEX(RelatedFeatures[Offset 2 Value],MATCH($A6,RelatedFeatures[OffsetID],0))="","NULL",INDEX(RelatedFeatures[Offset 2 Value],MATCH($A6,RelatedFeatures[OffsetID],0))),
", Offset2UnitObj:  ",CHAR(34),INDEX(RelatedFeatures[Offset 2 Unit],MATCH($A6,RelatedFeatures[OffsetID],0)),,CHAR(34),
", Offset3Value:  ",IF(INDEX(RelatedFeatures[Offset 3 Value],MATCH($A6,RelatedFeatures[OffsetID],0))="","NULL",INDEX(RelatedFeatures[Offset 3 Value],MATCH($A6,RelatedFeatures[OffsetID],0))),
", Offset3UnitObj:  ",CHAR(34),INDEX(RelatedFeatures[Offset 3 Unit],MATCH($A6,RelatedFeatures[OffsetID],0)),CHAR(34),"}")))</f>
        <v/>
      </c>
      <c r="T6" s="32" t="str">
        <f>IF(NumRelatedFeatures=0,"",
IF($A6&gt;NumRelatedFeatures,"",
CONCATENATE("  - &amp;RelationID",TEXT($A6,"0000"),
" {","SamplingFeatureObj:  *SamplingFeatureID",TEXT(MATCH(INDEX(RelatedFeatures[First Sampling Feature Code],$A6),SamplingFeatures[Feature Code],0),"0000"),
", RelationshipTypeCV:  ",CHAR(34),INDEX(RelatedFeatures[Relationship Type],$A6),CHAR(34),
", RelatedFeatureObj: *SamplingFeatureID",TEXT(MATCH(INDEX(RelatedFeatures[Second Sampling Feature Code],$A6),SamplingFeatures[Feature Code],0),"0000"),
", SpatialOffsetObj:  ",IF(INDEX(RelatedFeatures[OffsetID],$A6)="",CONCATENATE(CHAR(34),CHAR(34)),CONCATENATE("*SpatialOffsetID",TEXT(INDEX(RelatedFeatures[OffsetID],$A6),"0000"))),"}")))</f>
        <v/>
      </c>
      <c r="U6" s="32" t="str">
        <f>IF($A6&gt;NumMethods,"",
CONCATENATE("  - &amp;MethodID",TEXT($A6,"0000"),
" {","MethodTypeCV:  ",CHAR(34),INDEX(Methods[Method Type],$A6),CHAR(34),
", MethodCode:  ",CHAR(34),INDEX(Methods[Method Code],$A6),CHAR(34),
", MethodName:  ",CHAR(34),INDEX(Methods[Method Name],$A6),CHAR(34),
", MethodDescription:  ",CHAR(34),INDEX(Methods[Method Description],$A6),CHAR(34),
", MethodLink:  ",CHAR(34),INDEX(Methods[Method Link],$A6),CHAR(34),
", OrganizationObj: *OrganizationID",TEXT(MATCH(INDEX(Methods[Organization Name],$A6),Organizations[Organization Name],0),"0000"),"}"))</f>
        <v/>
      </c>
      <c r="V6" s="32" t="str">
        <f>IF($A6&gt;NumVariables,"",
CONCATENATE("  - &amp;VariableID",TEXT($A6,"0000"),
" {","VariableTypeCV:  ",CHAR(34),INDEX(Variables[Variable Type],$A6),CHAR(34),
", VariableCode:  ",CHAR(34),INDEX(Variables[Variable Code],$A6),CHAR(34),
", VariableNameCV:  ",CHAR(34),INDEX(Variables[Variable Name],$A6),CHAR(34),
", VariableDefinition:  ",CHAR(34),INDEX(Variables[Variable Definition],$A6),CHAR(34),
", SpecciationCV:  ",CHAR(34),INDEX(Variables[Speciation],$A6),CHAR(34),
", NoDataValue:  ",CHAR(34),INDEX(Variables[No Data Value],$A6),CHAR(34),"}"))</f>
        <v/>
      </c>
      <c r="X6" s="32" t="str">
        <f>IF($A6&gt;NumProcessingLevels,"",
CONCATENATE("  - &amp;ProcessingLevelID",TEXT($A6,"0000"),
" {","ProcessingLevelCode:  ",CHAR(34),INDEX(ProcessingLevels[Processing Level Code],$A6),CHAR(34),
", Definition:  ",CHAR(34),INDEX(ProcessingLevels[Definition],$A6),CHAR(34),
", Explanation:  ",CHAR(34),INDEX(ProcessingLevels[Explanation],$A6),CHAR(34),"}"))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32" t="str">
        <f>IF($A6&gt;NumDataColumns,"",
IF(INDEX(DataColumns[Method Code],$A6)="","PLEASE FILL IN A METHOD FOR EACH DATA COLUMN",
CONCATENATE("  - &amp;ActionID",TEXT($A6,"0000"),
" {","ActionTypeCV:  ",CHAR(34),"Observation",CHAR(34),
", MethodObj: *MethodID",TEXT(MATCH(INDEX(DataColumns[Method Code],$A6),Methods[Method Code],0),"0000"),
", BeginDateTime:  NULL",
", BeginDateTimeUTCOffset:  NULL",
", EndDateTime:  NULL",
", EndDateTimeUTCOffset:  NULL",
", ActionDescription:  ",CHAR(34),"Generic observation action generated by YODA TimeSeries Template",CHAR(34),
", ActionFileLink:  ",CHAR(34),CHAR(34),"}")))</f>
        <v/>
      </c>
      <c r="Z6" s="32" t="str">
        <f>IF($A6&gt;NumDataColumns,"",
IF(INDEX(DataColumns[Method Code],$A6)="","PLEASE FILL IN A SAMPLING FEATURE FOR EACH DATA COLUMN",
CONCATENATE("  - &amp;FeatureActionID",TEXT($A6,"0000"),
" {","SamplingFeatureObj:  *SamplingFeatureID",TEXT(MATCH(INDEX(DataColumns[Sampling Feature Code],$A6),SamplingFeatures[Feature Code],0),"0000"),
", ActionObj:  *ActionID",TEXT($A6,"0000"),"}")))</f>
        <v/>
      </c>
      <c r="AA6" s="32" t="str">
        <f>IF($A6&gt;NumDataColumns,"",
CONCATENATE("  - &amp;ResultID",TEXT($A6,"0000"),
" {","ResultUUID:  ",CHAR(34),INDEX(DataColumns[ResultUUID],$A6),CHAR(34),
", FeatureActionObj: *FeatureActionID",TEXT($A6,"0000"),
", ResultTypeCV:  ",CHAR(34),INDEX(DataColumns[Result Type],$A6),CHAR(34),
", VariableObj:  *VariableID",TEXT(MATCH(INDEX(DataColumns[Variable Code],$A6),Variables[Variable Code],0),"0000"),
", UnitsObj:  ",CHAR(34),INDEX(DataColumns[Unit Name],$A6),CHAR(34),
", TaxonomicClassifierObj:  ",CHAR(34),CHAR(34),
", ProcessingLevelObj:  *ProcessingLevelID",TEXT(MATCH(INDEX(DataColumns[Processing Level],$A6),ProcessingLevels[Processing Level Code],0),"0000"),
", ResultDateTime:  ",CHAR(34),CHAR(34),
", ResultDateTimeUTCOffset:  ",CHAR(34),CHAR(34),
", ValidDateTime:  ",CHAR(34),CHAR(34),
", ValidDateTimeUTCOffset:  ",CHAR(34),CHAR(34),
", StatusCV:  ",CHAR(34),CHAR(34),
", SampledMediumCV:  ",CHAR(34),INDEX(DataColumns[Sampled Medium],$A6),CHAR(34),
", ValueCount:  ",NumDataValues,"}"))</f>
        <v/>
      </c>
      <c r="AB6" s="32" t="str">
        <f>IF($A6&gt;NumDataColumns,"",
CONCATENATE("  - &amp;TimeSeriesResultID001",TEXT($A6,"0000"),
" {","ResultObj: *ResultID",TEXT($A6,"0000"),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Statistic],$A6),CHAR(34),"}"))</f>
        <v/>
      </c>
      <c r="AC6" s="32" t="s">
        <v>1249</v>
      </c>
      <c r="AF6" s="32" t="str">
        <f>IF($A6&gt;NumDataColumns,
"",
CONCATENATE(AF5,", ",INDEX(DataColumns[Column Label],$A6)))</f>
        <v/>
      </c>
    </row>
    <row r="7" spans="1:35" s="32" customFormat="1" x14ac:dyDescent="0.25">
      <c r="A7" s="32">
        <v>4</v>
      </c>
      <c r="D7" s="32" t="str">
        <f>IF($A7&gt;NumOrganizations,"",
CONCATENATE("  - &amp;OrganizationID",TEXT($A7,"0000"),
" {","OrganizationTypeCV:  ",CHAR(34),INDEX(Organizations[Organization Type '[CV']],$A7),CHAR(34),
", OrganizationCode:  ",CHAR(34),INDEX(Organizations[Organization Code],$A7),CHAR(34),
", OrganizationName:  ",CHAR(34),INDEX(Organizations[Organization Name],$A7),CHAR(34),
", OrganizationDescription:  ",CHAR(34),INDEX(Organizations[Organization Description],$A7),CHAR(34),
", OrganizationLink:  ",CHAR(34),INDEX(Organizations[Organization Link],$A7),CHAR(34),"}"))</f>
        <v/>
      </c>
      <c r="G7" s="32" t="str">
        <f>IF($A7&gt;NumPeople,"",
CONCATENATE("  - &amp;PersonID",TEXT($A7,"0000"),
" {","PersonFirstName:  ",CHAR(34),INDEX(People[First Name],$A7),CHAR(34),
", PersonMiddleName:  ",CHAR(34),INDEX(People[Middle Name],$A7),CHAR(34),
", PersonLastName:  ",CHAR(34),INDEX(People[Last Name],$A7),CHAR(34),"}"))</f>
        <v xml:space="preserve">  - &amp;PersonID0004 {PersonFirstName:  "", PersonMiddleName:  "", PersonLastName:  ""}</v>
      </c>
      <c r="H7" s="32" t="str">
        <f>IF(NumORCIDs=0,"",
IF(NumORCIDs&lt;$A7,"",
CONCATENATE("  - {",
"PersonObj:  *PersonID",TEXT(MATCH($A7,People[ExternalIDNum],0),"0000"),
", ExternalIdentifierSystemObj:  *ExternalIdentifierSystemID0001",
", PersonExternalIdentifier:  ",CHAR(34),INDEX(People[Person OrcID],MATCH($A7,People[ExternalIDNum],0)),CHAR(34),
", PersonExternalIdentifierURI:  ",CHAR(34),"http://orcid.org/",INDEX(People[Person OrcID],MATCH($A7,People[ExternalIDNum],0)),CHAR(34),
"}")))</f>
        <v/>
      </c>
      <c r="I7" s="32" t="e">
        <f>IF($A7&gt;NumPeople,"",
CONCATENATE("  - &amp;AffiliationID",TEXT($A7,"0000"),
" {PersonObj: *PersonID",TEXT($A7,"0000"),
", OrganizationObj: *OrganizationID",TEXT(MATCH(INDEX(People[Organization Name],$A7),Organizations[Organization Name],0),"0000"),
", IsPrimaryOrganizationContact: , AffiliationStartDate: , AffiliationEndDate: , PrimaryPhone: ",
", PrimaryEmail: ",CHAR(34),INDEX(People[Primary Email],$A7),CHAR(34),
", PrimaryAddress: ",CHAR(34),INDEX(People[Primary Address],$A7),CHAR(34),
", PersonLink: }"))</f>
        <v>#N/A</v>
      </c>
      <c r="L7" s="32" t="str">
        <f>IF(COUNTA(CitationInformation)=0,"",
IF($A7&gt;NumAuthors,"",
CONCATENATE("  - &amp;AuthorListID",TEXT($A7,"0000"),
"  {CitationObj: *CitationID0001",
", PersonObj: *PersonID",TEXT(MATCH(INDEX(AuthorList[Author Name],$A7),People[Full Name],0),"0000"),
", AuthorOrder: ",INDEX(AuthorList[Author Number],$A7),"}")))</f>
        <v/>
      </c>
      <c r="O7" s="32" t="str">
        <f>IF($A7&gt;NumSamplingFeatures,"",
CONCATENATE("  - &amp;SamplingFeatureID",TEXT($A7,"0000"),
" {","SamplingFeatureUUID:  ",CHAR(34),INDEX(SamplingFeatures[Sampling Feature UUID],$A7),CHAR(34),
", SamplingFeatureTypeCV:  ",CHAR(34),INDEX(SamplingFeatures[Sampling Feature Type],$A7),CHAR(34),
", SamplingFeatureCode:  ",CHAR(34),INDEX(SamplingFeatures[Feature Code],$A7),CHAR(34),
", SamplingFeatureName:  ",CHAR(34),INDEX(SamplingFeatures[Feature Name],$A7),CHAR(34),
", SamplingFeatureDescription:  ",CHAR(34),INDEX(SamplingFeatures[Feature Description],$A7),CHAR(34),
", SamplingFeatureGeotypeCV:  ",CHAR(34),INDEX(SamplingFeatures[Feature Geo Type],$A7),CHAR(34),
", FeatureGeometry:  ",CHAR(34),INDEX(SamplingFeatures[Feature Geometry],$A7),CHAR(34),
", Elevation_m:  ",CHAR(34),INDEX(SamplingFeatures[Elevation_m],$A7),CHAR(34),
", ElevationDatumCV:  ",CHAR(34),ElevationDatum,CHAR(34),"}"))</f>
        <v/>
      </c>
      <c r="P7" s="32" t="str">
        <f>IF(NumIGSNs=0,"",
IF(NumIGSNs&lt;$A7,"",
CONCATENATE("  - {",
"SamplingFeatureObj:  *SamplingFeatureID",TEXT(MATCH($A7,SamplingFeatures[IGSNID],0),"0000"),
", ExternalIdentifierSystemObj:  *ExternalIdentifierSystemID0003",
", SamplingFeatureExternalIdentifier:  ",CHAR(34),INDEX(SamplingFeatures[Feature IGSN],MATCH($A7,SamplingFeatures[IGSNID],0)),CHAR(34),
", SamplingFeatureExternalIdentifierURI:  ",CHAR(34),"http://app.geosamples.org/sample/igsn/",INDEX(SamplingFeatures[Feature IGSN],MATCH($A7,SamplingFeatures[IGSNID],0)),CHAR(34),
"}")))</f>
        <v/>
      </c>
      <c r="Q7" s="32" t="str">
        <f>IF(NumSites=0,"",
IF(NumSites&lt;$A7,"",
CONCATENATE("  - &amp;SiteID",TEXT($A7,"0000"),
" {","SamplingFeatureObj:  *SamplingFeatureID",TEXT(MATCH($A7,Sites[SiteID],0),"0000"),
", SiteTypeCV:  ",CHAR(34),INDEX(Sites[Site Type],MATCH($A7,Sites[SiteID],0)),CHAR(34),
", Latitude:  ",INDEX(Sites[Latitude],MATCH($A7,Sites[SiteID],0)),
", Longitude:  ",INDEX(Sites[Longitude],MATCH($A7,Sites[SiteID],0)),
", SpatialReferenceObj:  *SRSID0001}")))</f>
        <v/>
      </c>
      <c r="R7" s="32" t="str">
        <f>IF(NumSpecimens=0,"",
IF(NumSpecimens&lt;$A7,"",
CONCATENATE("  - &amp;SpecimenID",TEXT($A7,"0000"),
" {","SamplingFeatureObj:  *SamplingFeatureID",TEXT(MATCH($A7,Specimens[SpecimenID],0),"0000"),
", SpecimenTypeCV:  ",CHAR(34),INDEX(Specimens[Specimen Type],MATCH($A7,Specimens[SpecimenID],0)),CHAR(34),
", SpecimenMediumCV:  ",INDEX(Specimens[Specimen Medium],MATCH($A7,Specimens[SpecimenID],0)),
", IsFieldSpecimen:  ",CHAR(34),INDEX(Specimens[Is Field Specimen?],MATCH($A7,Specimens[SpecimenID],0)),CHAR(34),"}")))</f>
        <v/>
      </c>
      <c r="S7" s="32" t="str">
        <f>IF(NumSpatialOffsets=0,"",
IF(NumSpatialOffsets&lt;$A7,"",
CONCATENATE("  - &amp;SpatialOffsetID",TEXT($A7,"0000"),
" {","SpatialOffsetTypeCV:  ",CHAR(34),INDEX(RelatedFeatures[Spatial Offset Type],MATCH($A7,RelatedFeatures[OffsetID],0)),CHAR(34),
", Offset1Value:  ",INDEX(RelatedFeatures[Offset 1 Value],MATCH($A7,RelatedFeatures[OffsetID],0)),
", Offset1UnitObj:  ",CHAR(34),INDEX(RelatedFeatures[Offset 1 Unit],MATCH($A7,RelatedFeatures[OffsetID],0)),CHAR(34),
", Offset2Value:  ",IF(INDEX(RelatedFeatures[Offset 2 Value],MATCH($A7,RelatedFeatures[OffsetID],0))="","NULL",INDEX(RelatedFeatures[Offset 2 Value],MATCH($A7,RelatedFeatures[OffsetID],0))),
", Offset2UnitObj:  ",CHAR(34),INDEX(RelatedFeatures[Offset 2 Unit],MATCH($A7,RelatedFeatures[OffsetID],0)),,CHAR(34),
", Offset3Value:  ",IF(INDEX(RelatedFeatures[Offset 3 Value],MATCH($A7,RelatedFeatures[OffsetID],0))="","NULL",INDEX(RelatedFeatures[Offset 3 Value],MATCH($A7,RelatedFeatures[OffsetID],0))),
", Offset3UnitObj:  ",CHAR(34),INDEX(RelatedFeatures[Offset 3 Unit],MATCH($A7,RelatedFeatures[OffsetID],0)),CHAR(34),"}")))</f>
        <v/>
      </c>
      <c r="T7" s="32" t="str">
        <f>IF(NumRelatedFeatures=0,"",
IF($A7&gt;NumRelatedFeatures,"",
CONCATENATE("  - &amp;RelationID",TEXT($A7,"0000"),
" {","SamplingFeatureObj:  *SamplingFeatureID",TEXT(MATCH(INDEX(RelatedFeatures[First Sampling Feature Code],$A7),SamplingFeatures[Feature Code],0),"0000"),
", RelationshipTypeCV:  ",CHAR(34),INDEX(RelatedFeatures[Relationship Type],$A7),CHAR(34),
", RelatedFeatureObj: *SamplingFeatureID",TEXT(MATCH(INDEX(RelatedFeatures[Second Sampling Feature Code],$A7),SamplingFeatures[Feature Code],0),"0000"),
", SpatialOffsetObj:  ",IF(INDEX(RelatedFeatures[OffsetID],$A7)="",CONCATENATE(CHAR(34),CHAR(34)),CONCATENATE("*SpatialOffsetID",TEXT(INDEX(RelatedFeatures[OffsetID],$A7),"0000"))),"}")))</f>
        <v/>
      </c>
      <c r="U7" s="32" t="str">
        <f>IF($A7&gt;NumMethods,"",
CONCATENATE("  - &amp;MethodID",TEXT($A7,"0000"),
" {","MethodTypeCV:  ",CHAR(34),INDEX(Methods[Method Type],$A7),CHAR(34),
", MethodCode:  ",CHAR(34),INDEX(Methods[Method Code],$A7),CHAR(34),
", MethodName:  ",CHAR(34),INDEX(Methods[Method Name],$A7),CHAR(34),
", MethodDescription:  ",CHAR(34),INDEX(Methods[Method Description],$A7),CHAR(34),
", MethodLink:  ",CHAR(34),INDEX(Methods[Method Link],$A7),CHAR(34),
", OrganizationObj: *OrganizationID",TEXT(MATCH(INDEX(Methods[Organization Name],$A7),Organizations[Organization Name],0),"0000"),"}"))</f>
        <v/>
      </c>
      <c r="V7" s="32" t="str">
        <f>IF($A7&gt;NumVariables,"",
CONCATENATE("  - &amp;VariableID",TEXT($A7,"0000"),
" {","VariableTypeCV:  ",CHAR(34),INDEX(Variables[Variable Type],$A7),CHAR(34),
", VariableCode:  ",CHAR(34),INDEX(Variables[Variable Code],$A7),CHAR(34),
", VariableNameCV:  ",CHAR(34),INDEX(Variables[Variable Name],$A7),CHAR(34),
", VariableDefinition:  ",CHAR(34),INDEX(Variables[Variable Definition],$A7),CHAR(34),
", SpecciationCV:  ",CHAR(34),INDEX(Variables[Speciation],$A7),CHAR(34),
", NoDataValue:  ",CHAR(34),INDEX(Variables[No Data Value],$A7),CHAR(34),"}"))</f>
        <v/>
      </c>
      <c r="X7" s="32" t="str">
        <f>IF($A7&gt;NumProcessingLevels,"",
CONCATENATE("  - &amp;ProcessingLevelID",TEXT($A7,"0000"),
" {","ProcessingLevelCode:  ",CHAR(34),INDEX(ProcessingLevels[Processing Level Code],$A7),CHAR(34),
", Definition:  ",CHAR(34),INDEX(ProcessingLevels[Definition],$A7),CHAR(34),
", Explanation:  ",CHAR(34),INDEX(ProcessingLevels[Explanation],$A7),CHAR(34),"}"))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32" t="str">
        <f>IF($A7&gt;NumDataColumns,"",
IF(INDEX(DataColumns[Method Code],$A7)="","PLEASE FILL IN A METHOD FOR EACH DATA COLUMN",
CONCATENATE("  - &amp;ActionID",TEXT($A7,"0000"),
" {","ActionTypeCV:  ",CHAR(34),"Observation",CHAR(34),
", MethodObj: *MethodID",TEXT(MATCH(INDEX(DataColumns[Method Code],$A7),Methods[Method Code],0),"0000"),
", BeginDateTime:  NULL",
", BeginDateTimeUTCOffset:  NULL",
", EndDateTime:  NULL",
", EndDateTimeUTCOffset:  NULL",
", ActionDescription:  ",CHAR(34),"Generic observation action generated by YODA TimeSeries Template",CHAR(34),
", ActionFileLink:  ",CHAR(34),CHAR(34),"}")))</f>
        <v/>
      </c>
      <c r="Z7" s="32" t="str">
        <f>IF($A7&gt;NumDataColumns,"",
IF(INDEX(DataColumns[Method Code],$A7)="","PLEASE FILL IN A SAMPLING FEATURE FOR EACH DATA COLUMN",
CONCATENATE("  - &amp;FeatureActionID",TEXT($A7,"0000"),
" {","SamplingFeatureObj:  *SamplingFeatureID",TEXT(MATCH(INDEX(DataColumns[Sampling Feature Code],$A7),SamplingFeatures[Feature Code],0),"0000"),
", ActionObj:  *ActionID",TEXT($A7,"0000"),"}")))</f>
        <v/>
      </c>
      <c r="AA7" s="32" t="str">
        <f>IF($A7&gt;NumDataColumns,"",
CONCATENATE("  - &amp;ResultID",TEXT($A7,"0000"),
" {","ResultUUID:  ",CHAR(34),INDEX(DataColumns[ResultUUID],$A7),CHAR(34),
", FeatureActionObj: *FeatureActionID",TEXT($A7,"0000"),
", ResultTypeCV:  ",CHAR(34),INDEX(DataColumns[Result Type],$A7),CHAR(34),
", VariableObj:  *VariableID",TEXT(MATCH(INDEX(DataColumns[Variable Code],$A7),Variables[Variable Code],0),"0000"),
", UnitsObj:  ",CHAR(34),INDEX(DataColumns[Unit Name],$A7),CHAR(34),
", TaxonomicClassifierObj:  ",CHAR(34),CHAR(34),
", ProcessingLevelObj:  *ProcessingLevelID",TEXT(MATCH(INDEX(DataColumns[Processing Level],$A7),ProcessingLevels[Processing Level Code],0),"0000"),
", ResultDateTime:  ",CHAR(34),CHAR(34),
", ResultDateTimeUTCOffset:  ",CHAR(34),CHAR(34),
", ValidDateTime:  ",CHAR(34),CHAR(34),
", ValidDateTimeUTCOffset:  ",CHAR(34),CHAR(34),
", StatusCV:  ",CHAR(34),CHAR(34),
", SampledMediumCV:  ",CHAR(34),INDEX(DataColumns[Sampled Medium],$A7),CHAR(34),
", ValueCount:  ",NumDataValues,"}"))</f>
        <v/>
      </c>
      <c r="AB7" s="32" t="str">
        <f>IF($A7&gt;NumDataColumns,"",
CONCATENATE("  - &amp;TimeSeriesResultID001",TEXT($A7,"0000"),
" {","ResultObj: *ResultID",TEXT($A7,"0000"),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Statistic],$A7),CHAR(34),"}"))</f>
        <v/>
      </c>
      <c r="AC7" s="32" t="str">
        <f>IF(INDEX(DataColumns[Col '#],$A7-3)="","PLEASE FILL IN METADATA FOR AT LEAST ONE DATA COLUMN",
CONCATENATE("    - {ColumnNumber: ",TEXT($A7-1,"0000"),
", Label:  ",CHAR(34),INDEX(DataColumns[Column Label],$A7-3),CHAR(34),
", ODM2Field:  ",CHAR(34),"DataValue",CHAR(34),
", CensorCodeCV:  ",CHAR(34),INDEX(DataColumns[Censor Code],$A7-3),CHAR(34),
", QualiatyCodeCV:  ",CHAR(34),INDEX(DataColumns[Quality Code],$A7-3),CHAR(34),
", TimeAggregationInterval:  ",INDEX(DataColumns[Time Aggregation Interval],$A7-3),
", TimeAggregationIntervalUnitsObj:  ",CHAR(34),INDEX(DataColumns[Time Aggregation Unit],$A7-3),CHAR(34),"}"))</f>
        <v>PLEASE FILL IN METADATA FOR AT LEAST ONE DATA COLUMN</v>
      </c>
      <c r="AF7" s="32" t="str">
        <f>IF($A7&gt;NumDataColumns,
"",
CONCATENATE(AF6,", ",INDEX(DataColumns[Column Label],$A7)))</f>
        <v/>
      </c>
    </row>
    <row r="8" spans="1:35" s="32" customFormat="1" x14ac:dyDescent="0.25">
      <c r="A8" s="32">
        <v>5</v>
      </c>
      <c r="D8" s="32" t="str">
        <f>IF($A8&gt;NumOrganizations,"",
CONCATENATE("  - &amp;OrganizationID",TEXT($A8,"0000"),
" {","OrganizationTypeCV:  ",CHAR(34),INDEX(Organizations[Organization Type '[CV']],$A8),CHAR(34),
", OrganizationCode:  ",CHAR(34),INDEX(Organizations[Organization Code],$A8),CHAR(34),
", OrganizationName:  ",CHAR(34),INDEX(Organizations[Organization Name],$A8),CHAR(34),
", OrganizationDescription:  ",CHAR(34),INDEX(Organizations[Organization Description],$A8),CHAR(34),
", OrganizationLink:  ",CHAR(34),INDEX(Organizations[Organization Link],$A8),CHAR(34),"}"))</f>
        <v/>
      </c>
      <c r="G8" s="32" t="str">
        <f>IF($A8&gt;NumPeople,"",
CONCATENATE("  - &amp;PersonID",TEXT($A8,"0000"),
" {","PersonFirstName:  ",CHAR(34),INDEX(People[First Name],$A8),CHAR(34),
", PersonMiddleName:  ",CHAR(34),INDEX(People[Middle Name],$A8),CHAR(34),
", PersonLastName:  ",CHAR(34),INDEX(People[Last Name],$A8),CHAR(34),"}"))</f>
        <v xml:space="preserve">  - &amp;PersonID0005 {PersonFirstName:  "", PersonMiddleName:  "", PersonLastName:  ""}</v>
      </c>
      <c r="H8" s="32" t="str">
        <f>IF(NumORCIDs=0,"",
IF(NumORCIDs&lt;$A8,"",
CONCATENATE("  - {",
"PersonObj:  *PersonID",TEXT(MATCH($A8,People[ExternalIDNum],0),"0000"),
", ExternalIdentifierSystemObj:  *ExternalIdentifierSystemID0001",
", PersonExternalIdentifier:  ",CHAR(34),INDEX(People[Person OrcID],MATCH($A8,People[ExternalIDNum],0)),CHAR(34),
", PersonExternalIdentifierURI:  ",CHAR(34),"http://orcid.org/",INDEX(People[Person OrcID],MATCH($A8,People[ExternalIDNum],0)),CHAR(34),
"}")))</f>
        <v/>
      </c>
      <c r="I8" s="32" t="e">
        <f>IF($A8&gt;NumPeople,"",
CONCATENATE("  - &amp;AffiliationID",TEXT($A8,"0000"),
" {PersonObj: *PersonID",TEXT($A8,"0000"),
", OrganizationObj: *OrganizationID",TEXT(MATCH(INDEX(People[Organization Name],$A8),Organizations[Organization Name],0),"0000"),
", IsPrimaryOrganizationContact: , AffiliationStartDate: , AffiliationEndDate: , PrimaryPhone: ",
", PrimaryEmail: ",CHAR(34),INDEX(People[Primary Email],$A8),CHAR(34),
", PrimaryAddress: ",CHAR(34),INDEX(People[Primary Address],$A8),CHAR(34),
", PersonLink: }"))</f>
        <v>#N/A</v>
      </c>
      <c r="L8" s="32" t="str">
        <f>IF(COUNTA(CitationInformation)=0,"",
IF($A8&gt;NumAuthors,"",
CONCATENATE("  - &amp;AuthorListID",TEXT($A8,"0000"),
"  {CitationObj: *CitationID0001",
", PersonObj: *PersonID",TEXT(MATCH(INDEX(AuthorList[Author Name],$A8),People[Full Name],0),"0000"),
", AuthorOrder: ",INDEX(AuthorList[Author Number],$A8),"}")))</f>
        <v/>
      </c>
      <c r="O8" s="32" t="str">
        <f>IF($A8&gt;NumSamplingFeatures,"",
CONCATENATE("  - &amp;SamplingFeatureID",TEXT($A8,"0000"),
" {","SamplingFeatureUUID:  ",CHAR(34),INDEX(SamplingFeatures[Sampling Feature UUID],$A8),CHAR(34),
", SamplingFeatureTypeCV:  ",CHAR(34),INDEX(SamplingFeatures[Sampling Feature Type],$A8),CHAR(34),
", SamplingFeatureCode:  ",CHAR(34),INDEX(SamplingFeatures[Feature Code],$A8),CHAR(34),
", SamplingFeatureName:  ",CHAR(34),INDEX(SamplingFeatures[Feature Name],$A8),CHAR(34),
", SamplingFeatureDescription:  ",CHAR(34),INDEX(SamplingFeatures[Feature Description],$A8),CHAR(34),
", SamplingFeatureGeotypeCV:  ",CHAR(34),INDEX(SamplingFeatures[Feature Geo Type],$A8),CHAR(34),
", FeatureGeometry:  ",CHAR(34),INDEX(SamplingFeatures[Feature Geometry],$A8),CHAR(34),
", Elevation_m:  ",CHAR(34),INDEX(SamplingFeatures[Elevation_m],$A8),CHAR(34),
", ElevationDatumCV:  ",CHAR(34),ElevationDatum,CHAR(34),"}"))</f>
        <v/>
      </c>
      <c r="P8" s="32" t="str">
        <f>IF(NumIGSNs=0,"",
IF(NumIGSNs&lt;$A8,"",
CONCATENATE("  - {",
"SamplingFeatureObj:  *SamplingFeatureID",TEXT(MATCH($A8,SamplingFeatures[IGSNID],0),"0000"),
", ExternalIdentifierSystemObj:  *ExternalIdentifierSystemID0003",
", SamplingFeatureExternalIdentifier:  ",CHAR(34),INDEX(SamplingFeatures[Feature IGSN],MATCH($A8,SamplingFeatures[IGSNID],0)),CHAR(34),
", SamplingFeatureExternalIdentifierURI:  ",CHAR(34),"http://app.geosamples.org/sample/igsn/",INDEX(SamplingFeatures[Feature IGSN],MATCH($A8,SamplingFeatures[IGSNID],0)),CHAR(34),
"}")))</f>
        <v/>
      </c>
      <c r="Q8" s="32" t="str">
        <f>IF(NumSites=0,"",
IF(NumSites&lt;$A8,"",
CONCATENATE("  - &amp;SiteID",TEXT($A8,"0000"),
" {","SamplingFeatureObj:  *SamplingFeatureID",TEXT(MATCH($A8,Sites[SiteID],0),"0000"),
", SiteTypeCV:  ",CHAR(34),INDEX(Sites[Site Type],MATCH($A8,Sites[SiteID],0)),CHAR(34),
", Latitude:  ",INDEX(Sites[Latitude],MATCH($A8,Sites[SiteID],0)),
", Longitude:  ",INDEX(Sites[Longitude],MATCH($A8,Sites[SiteID],0)),
", SpatialReferenceObj:  *SRSID0001}")))</f>
        <v/>
      </c>
      <c r="R8" s="32" t="str">
        <f>IF(NumSpecimens=0,"",
IF(NumSpecimens&lt;$A8,"",
CONCATENATE("  - &amp;SpecimenID",TEXT($A8,"0000"),
" {","SamplingFeatureObj:  *SamplingFeatureID",TEXT(MATCH($A8,Specimens[SpecimenID],0),"0000"),
", SpecimenTypeCV:  ",CHAR(34),INDEX(Specimens[Specimen Type],MATCH($A8,Specimens[SpecimenID],0)),CHAR(34),
", SpecimenMediumCV:  ",INDEX(Specimens[Specimen Medium],MATCH($A8,Specimens[SpecimenID],0)),
", IsFieldSpecimen:  ",CHAR(34),INDEX(Specimens[Is Field Specimen?],MATCH($A8,Specimens[SpecimenID],0)),CHAR(34),"}")))</f>
        <v/>
      </c>
      <c r="S8" s="32" t="str">
        <f>IF(NumSpatialOffsets=0,"",
IF(NumSpatialOffsets&lt;$A8,"",
CONCATENATE("  - &amp;SpatialOffsetID",TEXT($A8,"0000"),
" {","SpatialOffsetTypeCV:  ",CHAR(34),INDEX(RelatedFeatures[Spatial Offset Type],MATCH($A8,RelatedFeatures[OffsetID],0)),CHAR(34),
", Offset1Value:  ",INDEX(RelatedFeatures[Offset 1 Value],MATCH($A8,RelatedFeatures[OffsetID],0)),
", Offset1UnitObj:  ",CHAR(34),INDEX(RelatedFeatures[Offset 1 Unit],MATCH($A8,RelatedFeatures[OffsetID],0)),CHAR(34),
", Offset2Value:  ",IF(INDEX(RelatedFeatures[Offset 2 Value],MATCH($A8,RelatedFeatures[OffsetID],0))="","NULL",INDEX(RelatedFeatures[Offset 2 Value],MATCH($A8,RelatedFeatures[OffsetID],0))),
", Offset2UnitObj:  ",CHAR(34),INDEX(RelatedFeatures[Offset 2 Unit],MATCH($A8,RelatedFeatures[OffsetID],0)),,CHAR(34),
", Offset3Value:  ",IF(INDEX(RelatedFeatures[Offset 3 Value],MATCH($A8,RelatedFeatures[OffsetID],0))="","NULL",INDEX(RelatedFeatures[Offset 3 Value],MATCH($A8,RelatedFeatures[OffsetID],0))),
", Offset3UnitObj:  ",CHAR(34),INDEX(RelatedFeatures[Offset 3 Unit],MATCH($A8,RelatedFeatures[OffsetID],0)),CHAR(34),"}")))</f>
        <v/>
      </c>
      <c r="T8" s="32" t="str">
        <f>IF(NumRelatedFeatures=0,"",
IF($A8&gt;NumRelatedFeatures,"",
CONCATENATE("  - &amp;RelationID",TEXT($A8,"0000"),
" {","SamplingFeatureObj:  *SamplingFeatureID",TEXT(MATCH(INDEX(RelatedFeatures[First Sampling Feature Code],$A8),SamplingFeatures[Feature Code],0),"0000"),
", RelationshipTypeCV:  ",CHAR(34),INDEX(RelatedFeatures[Relationship Type],$A8),CHAR(34),
", RelatedFeatureObj: *SamplingFeatureID",TEXT(MATCH(INDEX(RelatedFeatures[Second Sampling Feature Code],$A8),SamplingFeatures[Feature Code],0),"0000"),
", SpatialOffsetObj:  ",IF(INDEX(RelatedFeatures[OffsetID],$A8)="",CONCATENATE(CHAR(34),CHAR(34)),CONCATENATE("*SpatialOffsetID",TEXT(INDEX(RelatedFeatures[OffsetID],$A8),"0000"))),"}")))</f>
        <v/>
      </c>
      <c r="U8" s="32" t="str">
        <f>IF($A8&gt;NumMethods,"",
CONCATENATE("  - &amp;MethodID",TEXT($A8,"0000"),
" {","MethodTypeCV:  ",CHAR(34),INDEX(Methods[Method Type],$A8),CHAR(34),
", MethodCode:  ",CHAR(34),INDEX(Methods[Method Code],$A8),CHAR(34),
", MethodName:  ",CHAR(34),INDEX(Methods[Method Name],$A8),CHAR(34),
", MethodDescription:  ",CHAR(34),INDEX(Methods[Method Description],$A8),CHAR(34),
", MethodLink:  ",CHAR(34),INDEX(Methods[Method Link],$A8),CHAR(34),
", OrganizationObj: *OrganizationID",TEXT(MATCH(INDEX(Methods[Organization Name],$A8),Organizations[Organization Name],0),"0000"),"}"))</f>
        <v/>
      </c>
      <c r="V8" s="32" t="str">
        <f>IF($A8&gt;NumVariables,"",
CONCATENATE("  - &amp;VariableID",TEXT($A8,"0000"),
" {","VariableTypeCV:  ",CHAR(34),INDEX(Variables[Variable Type],$A8),CHAR(34),
", VariableCode:  ",CHAR(34),INDEX(Variables[Variable Code],$A8),CHAR(34),
", VariableNameCV:  ",CHAR(34),INDEX(Variables[Variable Name],$A8),CHAR(34),
", VariableDefinition:  ",CHAR(34),INDEX(Variables[Variable Definition],$A8),CHAR(34),
", SpecciationCV:  ",CHAR(34),INDEX(Variables[Speciation],$A8),CHAR(34),
", NoDataValue:  ",CHAR(34),INDEX(Variables[No Data Value],$A8),CHAR(34),"}"))</f>
        <v/>
      </c>
      <c r="X8" s="32" t="str">
        <f>IF($A8&gt;NumProcessingLevels,"",
CONCATENATE("  - &amp;ProcessingLevelID",TEXT($A8,"0000"),
" {","ProcessingLevelCode:  ",CHAR(34),INDEX(ProcessingLevels[Processing Level Code],$A8),CHAR(34),
", Definition:  ",CHAR(34),INDEX(ProcessingLevels[Definition],$A8),CHAR(34),
", Explanation:  ",CHAR(34),INDEX(ProcessingLevels[Explanation],$A8),CHAR(34),"}"))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32" t="str">
        <f>IF($A8&gt;NumDataColumns,"",
IF(INDEX(DataColumns[Method Code],$A8)="","PLEASE FILL IN A METHOD FOR EACH DATA COLUMN",
CONCATENATE("  - &amp;ActionID",TEXT($A8,"0000"),
" {","ActionTypeCV:  ",CHAR(34),"Observation",CHAR(34),
", MethodObj: *MethodID",TEXT(MATCH(INDEX(DataColumns[Method Code],$A8),Methods[Method Code],0),"0000"),
", BeginDateTime:  NULL",
", BeginDateTimeUTCOffset:  NULL",
", EndDateTime:  NULL",
", EndDateTimeUTCOffset:  NULL",
", ActionDescription:  ",CHAR(34),"Generic observation action generated by YODA TimeSeries Template",CHAR(34),
", ActionFileLink:  ",CHAR(34),CHAR(34),"}")))</f>
        <v/>
      </c>
      <c r="Z8" s="32" t="str">
        <f>IF($A8&gt;NumDataColumns,"",
IF(INDEX(DataColumns[Method Code],$A8)="","PLEASE FILL IN A SAMPLING FEATURE FOR EACH DATA COLUMN",
CONCATENATE("  - &amp;FeatureActionID",TEXT($A8,"0000"),
" {","SamplingFeatureObj:  *SamplingFeatureID",TEXT(MATCH(INDEX(DataColumns[Sampling Feature Code],$A8),SamplingFeatures[Feature Code],0),"0000"),
", ActionObj:  *ActionID",TEXT($A8,"0000"),"}")))</f>
        <v/>
      </c>
      <c r="AA8" s="32" t="str">
        <f>IF($A8&gt;NumDataColumns,"",
CONCATENATE("  - &amp;ResultID",TEXT($A8,"0000"),
" {","ResultUUID:  ",CHAR(34),INDEX(DataColumns[ResultUUID],$A8),CHAR(34),
", FeatureActionObj: *FeatureActionID",TEXT($A8,"0000"),
", ResultTypeCV:  ",CHAR(34),INDEX(DataColumns[Result Type],$A8),CHAR(34),
", VariableObj:  *VariableID",TEXT(MATCH(INDEX(DataColumns[Variable Code],$A8),Variables[Variable Code],0),"0000"),
", UnitsObj:  ",CHAR(34),INDEX(DataColumns[Unit Name],$A8),CHAR(34),
", TaxonomicClassifierObj:  ",CHAR(34),CHAR(34),
", ProcessingLevelObj:  *ProcessingLevelID",TEXT(MATCH(INDEX(DataColumns[Processing Level],$A8),ProcessingLevels[Processing Level Code],0),"0000"),
", ResultDateTime:  ",CHAR(34),CHAR(34),
", ResultDateTimeUTCOffset:  ",CHAR(34),CHAR(34),
", ValidDateTime:  ",CHAR(34),CHAR(34),
", ValidDateTimeUTCOffset:  ",CHAR(34),CHAR(34),
", StatusCV:  ",CHAR(34),CHAR(34),
", SampledMediumCV:  ",CHAR(34),INDEX(DataColumns[Sampled Medium],$A8),CHAR(34),
", ValueCount:  ",NumDataValues,"}"))</f>
        <v/>
      </c>
      <c r="AB8" s="32" t="str">
        <f>IF($A8&gt;NumDataColumns,"",
CONCATENATE("  - &amp;TimeSeriesResultID001",TEXT($A8,"0000"),
" {","ResultObj: *ResultID",TEXT($A8,"0000"),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Statistic],$A8),CHAR(34),"}"))</f>
        <v/>
      </c>
      <c r="AC8" s="32" t="str">
        <f>IF($A8-3&gt;NumDataColumns,"",
CONCATENATE("    - {ColumnNumber: ",TEXT($A8-1,"0000"),
", Label:  ",CHAR(34),INDEX(DataColumns[Column Label],$A8-3),CHAR(34),
", ODM2Field:  ",CHAR(34),"DataValue",CHAR(34),
", CensorCodeCV:  ",CHAR(34),INDEX(DataColumns[Censor Code],$A8-3),CHAR(34),
", QualiatyCodeCV:  ",CHAR(34),INDEX(DataColumns[Quality Code],$A8-3),CHAR(34),
", TimeAggregationInterval:  ",INDEX(DataColumns[Time Aggregation Interval],$A8-3),
", TimeAggregationIntervalUnitsObj:  ",CHAR(34),INDEX(DataColumns[Time Aggregation Unit],$A8-3),CHAR(34),"}"))</f>
        <v/>
      </c>
      <c r="AF8" s="32" t="str">
        <f>IF($A8&gt;NumDataColumns,
"",
CONCATENATE(AF7,", ",INDEX(DataColumns[Column Label],$A8)))</f>
        <v/>
      </c>
    </row>
    <row r="9" spans="1:35" s="32" customFormat="1" x14ac:dyDescent="0.25">
      <c r="A9" s="32">
        <v>6</v>
      </c>
      <c r="D9" s="32" t="str">
        <f>IF($A9&gt;NumOrganizations,"",
CONCATENATE("  - &amp;OrganizationID",TEXT($A9,"0000"),
" {","OrganizationTypeCV:  ",CHAR(34),INDEX(Organizations[Organization Type '[CV']],$A9),CHAR(34),
", OrganizationCode:  ",CHAR(34),INDEX(Organizations[Organization Code],$A9),CHAR(34),
", OrganizationName:  ",CHAR(34),INDEX(Organizations[Organization Name],$A9),CHAR(34),
", OrganizationDescription:  ",CHAR(34),INDEX(Organizations[Organization Description],$A9),CHAR(34),
", OrganizationLink:  ",CHAR(34),INDEX(Organizations[Organization Link],$A9),CHAR(34),"}"))</f>
        <v/>
      </c>
      <c r="G9" s="32" t="str">
        <f>IF($A9&gt;NumPeople,"",
CONCATENATE("  - &amp;PersonID",TEXT($A9,"0000"),
" {","PersonFirstName:  ",CHAR(34),INDEX(People[First Name],$A9),CHAR(34),
", PersonMiddleName:  ",CHAR(34),INDEX(People[Middle Name],$A9),CHAR(34),
", PersonLastName:  ",CHAR(34),INDEX(People[Last Name],$A9),CHAR(34),"}"))</f>
        <v xml:space="preserve">  - &amp;PersonID0006 {PersonFirstName:  "", PersonMiddleName:  "", PersonLastName:  ""}</v>
      </c>
      <c r="H9" s="32" t="str">
        <f>IF(NumORCIDs=0,"",
IF(NumORCIDs&lt;$A9,"",
CONCATENATE("  - {",
"PersonObj:  *PersonID",TEXT(MATCH($A9,People[ExternalIDNum],0),"0000"),
", ExternalIdentifierSystemObj:  *ExternalIdentifierSystemID0001",
", PersonExternalIdentifier:  ",CHAR(34),INDEX(People[Person OrcID],MATCH($A9,People[ExternalIDNum],0)),CHAR(34),
", PersonExternalIdentifierURI:  ",CHAR(34),"http://orcid.org/",INDEX(People[Person OrcID],MATCH($A9,People[ExternalIDNum],0)),CHAR(34),
"}")))</f>
        <v/>
      </c>
      <c r="I9" s="32" t="e">
        <f>IF($A9&gt;NumPeople,"",
CONCATENATE("  - &amp;AffiliationID",TEXT($A9,"0000"),
" {PersonObj: *PersonID",TEXT($A9,"0000"),
", OrganizationObj: *OrganizationID",TEXT(MATCH(INDEX(People[Organization Name],$A9),Organizations[Organization Name],0),"0000"),
", IsPrimaryOrganizationContact: , AffiliationStartDate: , AffiliationEndDate: , PrimaryPhone: ",
", PrimaryEmail: ",CHAR(34),INDEX(People[Primary Email],$A9),CHAR(34),
", PrimaryAddress: ",CHAR(34),INDEX(People[Primary Address],$A9),CHAR(34),
", PersonLink: }"))</f>
        <v>#N/A</v>
      </c>
      <c r="L9" s="32" t="str">
        <f>IF(COUNTA(CitationInformation)=0,"",
IF($A9&gt;NumAuthors,"",
CONCATENATE("  - &amp;AuthorListID",TEXT($A9,"0000"),
"  {CitationObj: *CitationID0001",
", PersonObj: *PersonID",TEXT(MATCH(INDEX(AuthorList[Author Name],$A9),People[Full Name],0),"0000"),
", AuthorOrder: ",INDEX(AuthorList[Author Number],$A9),"}")))</f>
        <v/>
      </c>
      <c r="O9" s="32" t="str">
        <f>IF($A9&gt;NumSamplingFeatures,"",
CONCATENATE("  - &amp;SamplingFeatureID",TEXT($A9,"0000"),
" {","SamplingFeatureUUID:  ",CHAR(34),INDEX(SamplingFeatures[Sampling Feature UUID],$A9),CHAR(34),
", SamplingFeatureTypeCV:  ",CHAR(34),INDEX(SamplingFeatures[Sampling Feature Type],$A9),CHAR(34),
", SamplingFeatureCode:  ",CHAR(34),INDEX(SamplingFeatures[Feature Code],$A9),CHAR(34),
", SamplingFeatureName:  ",CHAR(34),INDEX(SamplingFeatures[Feature Name],$A9),CHAR(34),
", SamplingFeatureDescription:  ",CHAR(34),INDEX(SamplingFeatures[Feature Description],$A9),CHAR(34),
", SamplingFeatureGeotypeCV:  ",CHAR(34),INDEX(SamplingFeatures[Feature Geo Type],$A9),CHAR(34),
", FeatureGeometry:  ",CHAR(34),INDEX(SamplingFeatures[Feature Geometry],$A9),CHAR(34),
", Elevation_m:  ",CHAR(34),INDEX(SamplingFeatures[Elevation_m],$A9),CHAR(34),
", ElevationDatumCV:  ",CHAR(34),ElevationDatum,CHAR(34),"}"))</f>
        <v/>
      </c>
      <c r="P9" s="32" t="str">
        <f>IF(NumIGSNs=0,"",
IF(NumIGSNs&lt;$A9,"",
CONCATENATE("  - {",
"SamplingFeatureObj:  *SamplingFeatureID",TEXT(MATCH($A9,SamplingFeatures[IGSNID],0),"0000"),
", ExternalIdentifierSystemObj:  *ExternalIdentifierSystemID0003",
", SamplingFeatureExternalIdentifier:  ",CHAR(34),INDEX(SamplingFeatures[Feature IGSN],MATCH($A9,SamplingFeatures[IGSNID],0)),CHAR(34),
", SamplingFeatureExternalIdentifierURI:  ",CHAR(34),"http://app.geosamples.org/sample/igsn/",INDEX(SamplingFeatures[Feature IGSN],MATCH($A9,SamplingFeatures[IGSNID],0)),CHAR(34),
"}")))</f>
        <v/>
      </c>
      <c r="Q9" s="32" t="str">
        <f>IF(NumSites=0,"",
IF(NumSites&lt;$A9,"",
CONCATENATE("  - &amp;SiteID",TEXT($A9,"0000"),
" {","SamplingFeatureObj:  *SamplingFeatureID",TEXT(MATCH($A9,Sites[SiteID],0),"0000"),
", SiteTypeCV:  ",CHAR(34),INDEX(Sites[Site Type],MATCH($A9,Sites[SiteID],0)),CHAR(34),
", Latitude:  ",INDEX(Sites[Latitude],MATCH($A9,Sites[SiteID],0)),
", Longitude:  ",INDEX(Sites[Longitude],MATCH($A9,Sites[SiteID],0)),
", SpatialReferenceObj:  *SRSID0001}")))</f>
        <v/>
      </c>
      <c r="R9" s="32" t="str">
        <f>IF(NumSpecimens=0,"",
IF(NumSpecimens&lt;$A9,"",
CONCATENATE("  - &amp;SpecimenID",TEXT($A9,"0000"),
" {","SamplingFeatureObj:  *SamplingFeatureID",TEXT(MATCH($A9,Specimens[SpecimenID],0),"0000"),
", SpecimenTypeCV:  ",CHAR(34),INDEX(Specimens[Specimen Type],MATCH($A9,Specimens[SpecimenID],0)),CHAR(34),
", SpecimenMediumCV:  ",INDEX(Specimens[Specimen Medium],MATCH($A9,Specimens[SpecimenID],0)),
", IsFieldSpecimen:  ",CHAR(34),INDEX(Specimens[Is Field Specimen?],MATCH($A9,Specimens[SpecimenID],0)),CHAR(34),"}")))</f>
        <v/>
      </c>
      <c r="S9" s="32" t="str">
        <f>IF(NumSpatialOffsets=0,"",
IF(NumSpatialOffsets&lt;$A9,"",
CONCATENATE("  - &amp;SpatialOffsetID",TEXT($A9,"0000"),
" {","SpatialOffsetTypeCV:  ",CHAR(34),INDEX(RelatedFeatures[Spatial Offset Type],MATCH($A9,RelatedFeatures[OffsetID],0)),CHAR(34),
", Offset1Value:  ",INDEX(RelatedFeatures[Offset 1 Value],MATCH($A9,RelatedFeatures[OffsetID],0)),
", Offset1UnitObj:  ",CHAR(34),INDEX(RelatedFeatures[Offset 1 Unit],MATCH($A9,RelatedFeatures[OffsetID],0)),CHAR(34),
", Offset2Value:  ",IF(INDEX(RelatedFeatures[Offset 2 Value],MATCH($A9,RelatedFeatures[OffsetID],0))="","NULL",INDEX(RelatedFeatures[Offset 2 Value],MATCH($A9,RelatedFeatures[OffsetID],0))),
", Offset2UnitObj:  ",CHAR(34),INDEX(RelatedFeatures[Offset 2 Unit],MATCH($A9,RelatedFeatures[OffsetID],0)),,CHAR(34),
", Offset3Value:  ",IF(INDEX(RelatedFeatures[Offset 3 Value],MATCH($A9,RelatedFeatures[OffsetID],0))="","NULL",INDEX(RelatedFeatures[Offset 3 Value],MATCH($A9,RelatedFeatures[OffsetID],0))),
", Offset3UnitObj:  ",CHAR(34),INDEX(RelatedFeatures[Offset 3 Unit],MATCH($A9,RelatedFeatures[OffsetID],0)),CHAR(34),"}")))</f>
        <v/>
      </c>
      <c r="T9" s="32" t="str">
        <f>IF(NumRelatedFeatures=0,"",
IF($A9&gt;NumRelatedFeatures,"",
CONCATENATE("  - &amp;RelationID",TEXT($A9,"0000"),
" {","SamplingFeatureObj:  *SamplingFeatureID",TEXT(MATCH(INDEX(RelatedFeatures[First Sampling Feature Code],$A9),SamplingFeatures[Feature Code],0),"0000"),
", RelationshipTypeCV:  ",CHAR(34),INDEX(RelatedFeatures[Relationship Type],$A9),CHAR(34),
", RelatedFeatureObj: *SamplingFeatureID",TEXT(MATCH(INDEX(RelatedFeatures[Second Sampling Feature Code],$A9),SamplingFeatures[Feature Code],0),"0000"),
", SpatialOffsetObj:  ",IF(INDEX(RelatedFeatures[OffsetID],$A9)="",CONCATENATE(CHAR(34),CHAR(34)),CONCATENATE("*SpatialOffsetID",TEXT(INDEX(RelatedFeatures[OffsetID],$A9),"0000"))),"}")))</f>
        <v/>
      </c>
      <c r="U9" s="32" t="str">
        <f>IF($A9&gt;NumMethods,"",
CONCATENATE("  - &amp;MethodID",TEXT($A9,"0000"),
" {","MethodTypeCV:  ",CHAR(34),INDEX(Methods[Method Type],$A9),CHAR(34),
", MethodCode:  ",CHAR(34),INDEX(Methods[Method Code],$A9),CHAR(34),
", MethodName:  ",CHAR(34),INDEX(Methods[Method Name],$A9),CHAR(34),
", MethodDescription:  ",CHAR(34),INDEX(Methods[Method Description],$A9),CHAR(34),
", MethodLink:  ",CHAR(34),INDEX(Methods[Method Link],$A9),CHAR(34),
", OrganizationObj: *OrganizationID",TEXT(MATCH(INDEX(Methods[Organization Name],$A9),Organizations[Organization Name],0),"0000"),"}"))</f>
        <v/>
      </c>
      <c r="V9" s="32" t="str">
        <f>IF($A9&gt;NumVariables,"",
CONCATENATE("  - &amp;VariableID",TEXT($A9,"0000"),
" {","VariableTypeCV:  ",CHAR(34),INDEX(Variables[Variable Type],$A9),CHAR(34),
", VariableCode:  ",CHAR(34),INDEX(Variables[Variable Code],$A9),CHAR(34),
", VariableNameCV:  ",CHAR(34),INDEX(Variables[Variable Name],$A9),CHAR(34),
", VariableDefinition:  ",CHAR(34),INDEX(Variables[Variable Definition],$A9),CHAR(34),
", SpecciationCV:  ",CHAR(34),INDEX(Variables[Speciation],$A9),CHAR(34),
", NoDataValue:  ",CHAR(34),INDEX(Variables[No Data Value],$A9),CHAR(34),"}"))</f>
        <v/>
      </c>
      <c r="X9" s="32" t="str">
        <f>IF($A9&gt;NumProcessingLevels,"",
CONCATENATE("  - &amp;ProcessingLevelID",TEXT($A9,"0000"),
" {","ProcessingLevelCode:  ",CHAR(34),INDEX(ProcessingLevels[Processing Level Code],$A9),CHAR(34),
", Definition:  ",CHAR(34),INDEX(ProcessingLevels[Definition],$A9),CHAR(34),
", Explanation:  ",CHAR(34),INDEX(ProcessingLevels[Explanation],$A9),CHAR(34),"}"))</f>
        <v/>
      </c>
      <c r="Y9" s="32" t="str">
        <f>IF($A9&gt;NumDataColumns,"",
IF(INDEX(DataColumns[Method Code],$A9)="","PLEASE FILL IN A METHOD FOR EACH DATA COLUMN",
CONCATENATE("  - &amp;ActionID",TEXT($A9,"0000"),
" {","ActionTypeCV:  ",CHAR(34),"Observation",CHAR(34),
", MethodObj: *MethodID",TEXT(MATCH(INDEX(DataColumns[Method Code],$A9),Methods[Method Code],0),"0000"),
", BeginDateTime:  NULL",
", BeginDateTimeUTCOffset:  NULL",
", EndDateTime:  NULL",
", EndDateTimeUTCOffset:  NULL",
", ActionDescription:  ",CHAR(34),"Generic observation action generated by YODA TimeSeries Template",CHAR(34),
", ActionFileLink:  ",CHAR(34),CHAR(34),"}")))</f>
        <v/>
      </c>
      <c r="Z9" s="32" t="str">
        <f>IF($A9&gt;NumDataColumns,"",
IF(INDEX(DataColumns[Method Code],$A9)="","PLEASE FILL IN A SAMPLING FEATURE FOR EACH DATA COLUMN",
CONCATENATE("  - &amp;FeatureActionID",TEXT($A9,"0000"),
" {","SamplingFeatureObj:  *SamplingFeatureID",TEXT(MATCH(INDEX(DataColumns[Sampling Feature Code],$A9),SamplingFeatures[Feature Code],0),"0000"),
", ActionObj:  *ActionID",TEXT($A9,"0000"),"}")))</f>
        <v/>
      </c>
      <c r="AA9" s="32" t="str">
        <f>IF($A9&gt;NumDataColumns,"",
CONCATENATE("  - &amp;ResultID",TEXT($A9,"0000"),
" {","ResultUUID:  ",CHAR(34),INDEX(DataColumns[ResultUUID],$A9),CHAR(34),
", FeatureActionObj: *FeatureActionID",TEXT($A9,"0000"),
", ResultTypeCV:  ",CHAR(34),INDEX(DataColumns[Result Type],$A9),CHAR(34),
", VariableObj:  *VariableID",TEXT(MATCH(INDEX(DataColumns[Variable Code],$A9),Variables[Variable Code],0),"0000"),
", UnitsObj:  ",CHAR(34),INDEX(DataColumns[Unit Name],$A9),CHAR(34),
", TaxonomicClassifierObj:  ",CHAR(34),CHAR(34),
", ProcessingLevelObj:  *ProcessingLevelID",TEXT(MATCH(INDEX(DataColumns[Processing Level],$A9),ProcessingLevels[Processing Level Code],0),"0000"),
", ResultDateTime:  ",CHAR(34),CHAR(34),
", ResultDateTimeUTCOffset:  ",CHAR(34),CHAR(34),
", ValidDateTime:  ",CHAR(34),CHAR(34),
", ValidDateTimeUTCOffset:  ",CHAR(34),CHAR(34),
", StatusCV:  ",CHAR(34),CHAR(34),
", SampledMediumCV:  ",CHAR(34),INDEX(DataColumns[Sampled Medium],$A9),CHAR(34),
", ValueCount:  ",NumDataValues,"}"))</f>
        <v/>
      </c>
      <c r="AB9" s="32" t="str">
        <f>IF($A9&gt;NumDataColumns,"",
CONCATENATE("  - &amp;TimeSeriesResultID001",TEXT($A9,"0000"),
" {","ResultObj: *ResultID",TEXT($A9,"0000"),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Statistic],$A9),CHAR(34),"}"))</f>
        <v/>
      </c>
      <c r="AC9" s="32" t="str">
        <f>IF($A9-3&gt;NumDataColumns,"",
CONCATENATE("    - {ColumnNumber: ",TEXT($A9-1,"0000"),
", Label:  ",CHAR(34),INDEX(DataColumns[Column Label],$A9-3),CHAR(34),
", ODM2Field:  ",CHAR(34),"DataValue",CHAR(34),
", CensorCodeCV:  ",CHAR(34),INDEX(DataColumns[Censor Code],$A9-3),CHAR(34),
", QualiatyCodeCV:  ",CHAR(34),INDEX(DataColumns[Quality Code],$A9-3),CHAR(34),
", TimeAggregationInterval:  ",INDEX(DataColumns[Time Aggregation Interval],$A9-3),
", TimeAggregationIntervalUnitsObj:  ",CHAR(34),INDEX(DataColumns[Time Aggregation Unit],$A9-3),CHAR(34),"}"))</f>
        <v/>
      </c>
      <c r="AF9" s="32" t="str">
        <f>IF($A9&gt;NumDataColumns,
"",
CONCATENATE(AF8,", ",INDEX(DataColumns[Column Label],$A9)))</f>
        <v/>
      </c>
    </row>
    <row r="10" spans="1:35" x14ac:dyDescent="0.25">
      <c r="A10" s="32">
        <v>7</v>
      </c>
      <c r="B10" s="32"/>
      <c r="C10" s="32"/>
      <c r="D10" s="32" t="str">
        <f>IF($A10&gt;NumOrganizations,"",
CONCATENATE("  - &amp;OrganizationID",TEXT($A10,"0000"),
" {","OrganizationTypeCV:  ",CHAR(34),INDEX(Organizations[Organization Type '[CV']],$A10),CHAR(34),
", OrganizationCode:  ",CHAR(34),INDEX(Organizations[Organization Code],$A10),CHAR(34),
", OrganizationName:  ",CHAR(34),INDEX(Organizations[Organization Name],$A10),CHAR(34),
", OrganizationDescription:  ",CHAR(34),INDEX(Organizations[Organization Description],$A10),CHAR(34),
", OrganizationLink:  ",CHAR(34),INDEX(Organizations[Organization Link],$A10),CHAR(34),"}"))</f>
        <v/>
      </c>
      <c r="E10" s="32"/>
      <c r="F10" s="32"/>
      <c r="G10" s="32" t="str">
        <f>IF($A10&gt;NumPeople,"",
CONCATENATE("  - &amp;PersonID",TEXT($A10,"0000"),
" {","PersonFirstName:  ",CHAR(34),INDEX(People[First Name],$A10),CHAR(34),
", PersonMiddleName:  ",CHAR(34),INDEX(People[Middle Name],$A10),CHAR(34),
", PersonLastName:  ",CHAR(34),INDEX(People[Last Name],$A10),CHAR(34),"}"))</f>
        <v xml:space="preserve">  - &amp;PersonID0007 {PersonFirstName:  "", PersonMiddleName:  "", PersonLastName:  ""}</v>
      </c>
      <c r="H10" s="32" t="str">
        <f>IF(NumORCIDs=0,"",
IF(NumORCIDs&lt;$A10,"",
CONCATENATE("  - {",
"PersonObj:  *PersonID",TEXT(MATCH($A10,People[ExternalIDNum],0),"0000"),
", ExternalIdentifierSystemObj:  *ExternalIdentifierSystemID0001",
", PersonExternalIdentifier:  ",CHAR(34),INDEX(People[Person OrcID],MATCH($A10,People[ExternalIDNum],0)),CHAR(34),
", PersonExternalIdentifierURI:  ",CHAR(34),"http://orcid.org/",INDEX(People[Person OrcID],MATCH($A10,People[ExternalIDNum],0)),CHAR(34),
"}")))</f>
        <v/>
      </c>
      <c r="I10" s="32" t="e">
        <f>IF($A10&gt;NumPeople,"",
CONCATENATE("  - &amp;AffiliationID",TEXT($A10,"0000"),
" {PersonObj: *PersonID",TEXT($A10,"0000"),
", OrganizationObj: *OrganizationID",TEXT(MATCH(INDEX(People[Organization Name],$A10),Organizations[Organization Name],0),"0000"),
", IsPrimaryOrganizationContact: , AffiliationStartDate: , AffiliationEndDate: , PrimaryPhone: ",
", PrimaryEmail: ",CHAR(34),INDEX(People[Primary Email],$A10),CHAR(34),
", PrimaryAddress: ",CHAR(34),INDEX(People[Primary Address],$A10),CHAR(34),
", PersonLink: }"))</f>
        <v>#N/A</v>
      </c>
      <c r="J10" s="32"/>
      <c r="K10" s="32"/>
      <c r="L10" s="32" t="str">
        <f>IF(COUNTA(CitationInformation)=0,"",
IF($A10&gt;NumAuthors,"",
CONCATENATE("  - &amp;AuthorListID",TEXT($A10,"0000"),
"  {CitationObj: *CitationID0001",
", PersonObj: *PersonID",TEXT(MATCH(INDEX(AuthorList[Author Name],$A10),People[Full Name],0),"0000"),
", AuthorOrder: ",INDEX(AuthorList[Author Number],$A10),"}")))</f>
        <v/>
      </c>
      <c r="M10" s="32"/>
      <c r="N10" s="32"/>
      <c r="O10" s="32" t="str">
        <f>IF($A10&gt;NumSamplingFeatures,"",
CONCATENATE("  - &amp;SamplingFeatureID",TEXT($A10,"0000"),
" {","SamplingFeatureUUID:  ",CHAR(34),INDEX(SamplingFeatures[Sampling Feature UUID],$A10),CHAR(34),
", SamplingFeatureTypeCV:  ",CHAR(34),INDEX(SamplingFeatures[Sampling Feature Type],$A10),CHAR(34),
", SamplingFeatureCode:  ",CHAR(34),INDEX(SamplingFeatures[Feature Code],$A10),CHAR(34),
", SamplingFeatureName:  ",CHAR(34),INDEX(SamplingFeatures[Feature Name],$A10),CHAR(34),
", SamplingFeatureDescription:  ",CHAR(34),INDEX(SamplingFeatures[Feature Description],$A10),CHAR(34),
", SamplingFeatureGeotypeCV:  ",CHAR(34),INDEX(SamplingFeatures[Feature Geo Type],$A10),CHAR(34),
", FeatureGeometry:  ",CHAR(34),INDEX(SamplingFeatures[Feature Geometry],$A10),CHAR(34),
", Elevation_m:  ",CHAR(34),INDEX(SamplingFeatures[Elevation_m],$A10),CHAR(34),
", ElevationDatumCV:  ",CHAR(34),ElevationDatum,CHAR(34),"}"))</f>
        <v/>
      </c>
      <c r="P10" s="32" t="str">
        <f>IF(NumIGSNs=0,"",
IF(NumIGSNs&lt;$A10,"",
CONCATENATE("  - {",
"SamplingFeatureObj:  *SamplingFeatureID",TEXT(MATCH($A10,SamplingFeatures[IGSNID],0),"0000"),
", ExternalIdentifierSystemObj:  *ExternalIdentifierSystemID0003",
", SamplingFeatureExternalIdentifier:  ",CHAR(34),INDEX(SamplingFeatures[Feature IGSN],MATCH($A10,SamplingFeatures[IGSNID],0)),CHAR(34),
", SamplingFeatureExternalIdentifierURI:  ",CHAR(34),"http://app.geosamples.org/sample/igsn/",INDEX(SamplingFeatures[Feature IGSN],MATCH($A10,SamplingFeatures[IGSNID],0)),CHAR(34),
"}")))</f>
        <v/>
      </c>
      <c r="Q10" s="32" t="str">
        <f>IF(NumSites=0,"",
IF(NumSites&lt;$A10,"",
CONCATENATE("  - &amp;SiteID",TEXT($A10,"0000"),
" {","SamplingFeatureObj:  *SamplingFeatureID",TEXT(MATCH($A10,Sites[SiteID],0),"0000"),
", SiteTypeCV:  ",CHAR(34),INDEX(Sites[Site Type],MATCH($A10,Sites[SiteID],0)),CHAR(34),
", Latitude:  ",INDEX(Sites[Latitude],MATCH($A10,Sites[SiteID],0)),
", Longitude:  ",INDEX(Sites[Longitude],MATCH($A10,Sites[SiteID],0)),
", SpatialReferenceObj:  *SRSID0001}")))</f>
        <v/>
      </c>
      <c r="R10" s="32" t="str">
        <f>IF(NumSpecimens=0,"",
IF(NumSpecimens&lt;$A10,"",
CONCATENATE("  - &amp;SpecimenID",TEXT($A10,"0000"),
" {","SamplingFeatureObj:  *SamplingFeatureID",TEXT(MATCH($A10,Specimens[SpecimenID],0),"0000"),
", SpecimenTypeCV:  ",CHAR(34),INDEX(Specimens[Specimen Type],MATCH($A10,Specimens[SpecimenID],0)),CHAR(34),
", SpecimenMediumCV:  ",INDEX(Specimens[Specimen Medium],MATCH($A10,Specimens[SpecimenID],0)),
", IsFieldSpecimen:  ",CHAR(34),INDEX(Specimens[Is Field Specimen?],MATCH($A10,Specimens[SpecimenID],0)),CHAR(34),"}")))</f>
        <v/>
      </c>
      <c r="S10" s="32" t="str">
        <f>IF(NumSpatialOffsets=0,"",
IF(NumSpatialOffsets&lt;$A10,"",
CONCATENATE("  - &amp;SpatialOffsetID",TEXT($A10,"0000"),
" {","SpatialOffsetTypeCV:  ",CHAR(34),INDEX(RelatedFeatures[Spatial Offset Type],MATCH($A10,RelatedFeatures[OffsetID],0)),CHAR(34),
", Offset1Value:  ",INDEX(RelatedFeatures[Offset 1 Value],MATCH($A10,RelatedFeatures[OffsetID],0)),
", Offset1UnitObj:  ",CHAR(34),INDEX(RelatedFeatures[Offset 1 Unit],MATCH($A10,RelatedFeatures[OffsetID],0)),CHAR(34),
", Offset2Value:  ",IF(INDEX(RelatedFeatures[Offset 2 Value],MATCH($A10,RelatedFeatures[OffsetID],0))="","NULL",INDEX(RelatedFeatures[Offset 2 Value],MATCH($A10,RelatedFeatures[OffsetID],0))),
", Offset2UnitObj:  ",CHAR(34),INDEX(RelatedFeatures[Offset 2 Unit],MATCH($A10,RelatedFeatures[OffsetID],0)),,CHAR(34),
", Offset3Value:  ",IF(INDEX(RelatedFeatures[Offset 3 Value],MATCH($A10,RelatedFeatures[OffsetID],0))="","NULL",INDEX(RelatedFeatures[Offset 3 Value],MATCH($A10,RelatedFeatures[OffsetID],0))),
", Offset3UnitObj:  ",CHAR(34),INDEX(RelatedFeatures[Offset 3 Unit],MATCH($A10,RelatedFeatures[OffsetID],0)),CHAR(34),"}")))</f>
        <v/>
      </c>
      <c r="T10" s="32" t="str">
        <f>IF(NumRelatedFeatures=0,"",
IF($A10&gt;NumRelatedFeatures,"",
CONCATENATE("  - &amp;RelationID",TEXT($A10,"0000"),
" {","SamplingFeatureObj:  *SamplingFeatureID",TEXT(MATCH(INDEX(RelatedFeatures[First Sampling Feature Code],$A10),SamplingFeatures[Feature Code],0),"0000"),
", RelationshipTypeCV:  ",CHAR(34),INDEX(RelatedFeatures[Relationship Type],$A10),CHAR(34),
", RelatedFeatureObj: *SamplingFeatureID",TEXT(MATCH(INDEX(RelatedFeatures[Second Sampling Feature Code],$A10),SamplingFeatures[Feature Code],0),"0000"),
", SpatialOffsetObj:  ",IF(INDEX(RelatedFeatures[OffsetID],$A10)="",CONCATENATE(CHAR(34),CHAR(34)),CONCATENATE("*SpatialOffsetID",TEXT(INDEX(RelatedFeatures[OffsetID],$A10),"0000"))),"}")))</f>
        <v/>
      </c>
      <c r="U10" s="32" t="str">
        <f>IF($A10&gt;NumMethods,"",
CONCATENATE("  - &amp;MethodID",TEXT($A10,"0000"),
" {","MethodTypeCV:  ",CHAR(34),INDEX(Methods[Method Type],$A10),CHAR(34),
", MethodCode:  ",CHAR(34),INDEX(Methods[Method Code],$A10),CHAR(34),
", MethodName:  ",CHAR(34),INDEX(Methods[Method Name],$A10),CHAR(34),
", MethodDescription:  ",CHAR(34),INDEX(Methods[Method Description],$A10),CHAR(34),
", MethodLink:  ",CHAR(34),INDEX(Methods[Method Link],$A10),CHAR(34),
", OrganizationObj: *OrganizationID",TEXT(MATCH(INDEX(Methods[Organization Name],$A10),Organizations[Organization Name],0),"0000"),"}"))</f>
        <v/>
      </c>
      <c r="V10" s="32" t="str">
        <f>IF($A10&gt;NumVariables,"",
CONCATENATE("  - &amp;VariableID",TEXT($A10,"0000"),
" {","VariableTypeCV:  ",CHAR(34),INDEX(Variables[Variable Type],$A10),CHAR(34),
", VariableCode:  ",CHAR(34),INDEX(Variables[Variable Code],$A10),CHAR(34),
", VariableNameCV:  ",CHAR(34),INDEX(Variables[Variable Name],$A10),CHAR(34),
", VariableDefinition:  ",CHAR(34),INDEX(Variables[Variable Definition],$A10),CHAR(34),
", SpecciationCV:  ",CHAR(34),INDEX(Variables[Speciation],$A10),CHAR(34),
", NoDataValue:  ",CHAR(34),INDEX(Variables[No Data Value],$A10),CHAR(34),"}"))</f>
        <v/>
      </c>
      <c r="W10" s="32"/>
      <c r="X10" s="32" t="str">
        <f>IF($A10&gt;NumProcessingLevels,"",
CONCATENATE("  - &amp;ProcessingLevelID",TEXT($A10,"0000"),
" {","ProcessingLevelCode:  ",CHAR(34),INDEX(ProcessingLevels[Processing Level Code],$A10),CHAR(34),
", Definition:  ",CHAR(34),INDEX(ProcessingLevels[Definition],$A10),CHAR(34),
", Explanation:  ",CHAR(34),INDEX(ProcessingLevels[Explanation],$A10),CHAR(34),"}"))</f>
        <v/>
      </c>
      <c r="Y10" s="32" t="str">
        <f>IF($A10&gt;NumDataColumns,"",
IF(INDEX(DataColumns[Method Code],$A10)="","PLEASE FILL IN A METHOD FOR EACH DATA COLUMN",
CONCATENATE("  - &amp;ActionID",TEXT($A10,"0000"),
" {","ActionTypeCV:  ",CHAR(34),"Observation",CHAR(34),
", MethodObj: *MethodID",TEXT(MATCH(INDEX(DataColumns[Method Code],$A10),Methods[Method Code],0),"0000"),
", BeginDateTime:  NULL",
", BeginDateTimeUTCOffset:  NULL",
", EndDateTime:  NULL",
", EndDateTimeUTCOffset:  NULL",
", ActionDescription:  ",CHAR(34),"Generic observation action generated by YODA TimeSeries Template",CHAR(34),
", ActionFileLink:  ",CHAR(34),CHAR(34),"}")))</f>
        <v/>
      </c>
      <c r="Z10" s="32" t="str">
        <f>IF($A10&gt;NumDataColumns,"",
IF(INDEX(DataColumns[Method Code],$A10)="","PLEASE FILL IN A SAMPLING FEATURE FOR EACH DATA COLUMN",
CONCATENATE("  - &amp;FeatureActionID",TEXT($A10,"0000"),
" {","SamplingFeatureObj:  *SamplingFeatureID",TEXT(MATCH(INDEX(DataColumns[Sampling Feature Code],$A10),SamplingFeatures[Feature Code],0),"0000"),
", ActionObj:  *ActionID",TEXT($A10,"0000"),"}")))</f>
        <v/>
      </c>
      <c r="AA10" s="32" t="str">
        <f>IF($A10&gt;NumDataColumns,"",
CONCATENATE("  - &amp;ResultID",TEXT($A10,"0000"),
" {","ResultUUID:  ",CHAR(34),INDEX(DataColumns[ResultUUID],$A10),CHAR(34),
", FeatureActionObj: *FeatureActionID",TEXT($A10,"0000"),
", ResultTypeCV:  ",CHAR(34),INDEX(DataColumns[Result Type],$A10),CHAR(34),
", VariableObj:  *VariableID",TEXT(MATCH(INDEX(DataColumns[Variable Code],$A10),Variables[Variable Code],0),"0000"),
", UnitsObj:  ",CHAR(34),INDEX(DataColumns[Unit Name],$A10),CHAR(34),
", TaxonomicClassifierObj:  ",CHAR(34),CHAR(34),
", ProcessingLevelObj:  *ProcessingLevelID",TEXT(MATCH(INDEX(DataColumns[Processing Level],$A10),ProcessingLevels[Processing Level Code],0),"0000"),
", ResultDateTime:  ",CHAR(34),CHAR(34),
", ResultDateTimeUTCOffset:  ",CHAR(34),CHAR(34),
", ValidDateTime:  ",CHAR(34),CHAR(34),
", ValidDateTimeUTCOffset:  ",CHAR(34),CHAR(34),
", StatusCV:  ",CHAR(34),CHAR(34),
", SampledMediumCV:  ",CHAR(34),INDEX(DataColumns[Sampled Medium],$A10),CHAR(34),
", ValueCount:  ",NumDataValues,"}"))</f>
        <v/>
      </c>
      <c r="AB10" s="32" t="str">
        <f>IF($A10&gt;NumDataColumns,"",
CONCATENATE("  - &amp;TimeSeriesResultID001",TEXT($A10,"0000"),
" {","ResultObj: *ResultID",TEXT($A10,"0000"),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Statistic],$A10),CHAR(34),"}"))</f>
        <v/>
      </c>
      <c r="AC10" s="32" t="str">
        <f>IF($A10-3&gt;NumDataColumns,"",
CONCATENATE("    - {ColumnNumber: ",TEXT($A10-1,"0000"),
", Label:  ",CHAR(34),INDEX(DataColumns[Column Label],$A10-3),CHAR(34),
", ODM2Field:  ",CHAR(34),"DataValue",CHAR(34),
", CensorCodeCV:  ",CHAR(34),INDEX(DataColumns[Censor Code],$A10-3),CHAR(34),
", QualiatyCodeCV:  ",CHAR(34),INDEX(DataColumns[Quality Code],$A10-3),CHAR(34),
", TimeAggregationInterval:  ",INDEX(DataColumns[Time Aggregation Interval],$A10-3),
", TimeAggregationIntervalUnitsObj:  ",CHAR(34),INDEX(DataColumns[Time Aggregation Unit],$A10-3),CHAR(34),"}"))</f>
        <v/>
      </c>
      <c r="AD10" s="32"/>
      <c r="AE10" s="32"/>
      <c r="AF10" s="32" t="str">
        <f>IF($A10&gt;NumDataColumns,
"",
CONCATENATE(AF9,", ",INDEX(DataColumns[Column Label],$A10)))</f>
        <v/>
      </c>
    </row>
    <row r="11" spans="1:35" x14ac:dyDescent="0.25">
      <c r="A11" s="32">
        <v>8</v>
      </c>
      <c r="B11" s="32"/>
      <c r="C11" s="32"/>
      <c r="D11" s="32" t="str">
        <f>IF($A11&gt;NumOrganizations,"",
CONCATENATE("  - &amp;OrganizationID",TEXT($A11,"0000"),
" {","OrganizationTypeCV:  ",CHAR(34),INDEX(Organizations[Organization Type '[CV']],$A11),CHAR(34),
", OrganizationCode:  ",CHAR(34),INDEX(Organizations[Organization Code],$A11),CHAR(34),
", OrganizationName:  ",CHAR(34),INDEX(Organizations[Organization Name],$A11),CHAR(34),
", OrganizationDescription:  ",CHAR(34),INDEX(Organizations[Organization Description],$A11),CHAR(34),
", OrganizationLink:  ",CHAR(34),INDEX(Organizations[Organization Link],$A11),CHAR(34),"}"))</f>
        <v/>
      </c>
      <c r="E11" s="32"/>
      <c r="F11" s="32"/>
      <c r="G11" s="32" t="str">
        <f>IF($A11&gt;NumPeople,"",
CONCATENATE("  - &amp;PersonID",TEXT($A11,"0000"),
" {","PersonFirstName:  ",CHAR(34),INDEX(People[First Name],$A11),CHAR(34),
", PersonMiddleName:  ",CHAR(34),INDEX(People[Middle Name],$A11),CHAR(34),
", PersonLastName:  ",CHAR(34),INDEX(People[Last Name],$A11),CHAR(34),"}"))</f>
        <v xml:space="preserve">  - &amp;PersonID0008 {PersonFirstName:  "", PersonMiddleName:  "", PersonLastName:  ""}</v>
      </c>
      <c r="H11" s="32" t="str">
        <f>IF(NumORCIDs=0,"",
IF(NumORCIDs&lt;$A11,"",
CONCATENATE("  - {",
"PersonObj:  *PersonID",TEXT(MATCH($A11,People[ExternalIDNum],0),"0000"),
", ExternalIdentifierSystemObj:  *ExternalIdentifierSystemID0001",
", PersonExternalIdentifier:  ",CHAR(34),INDEX(People[Person OrcID],MATCH($A11,People[ExternalIDNum],0)),CHAR(34),
", PersonExternalIdentifierURI:  ",CHAR(34),"http://orcid.org/",INDEX(People[Person OrcID],MATCH($A11,People[ExternalIDNum],0)),CHAR(34),
"}")))</f>
        <v/>
      </c>
      <c r="I11" s="32" t="e">
        <f>IF($A11&gt;NumPeople,"",
CONCATENATE("  - &amp;AffiliationID",TEXT($A11,"0000"),
" {PersonObj: *PersonID",TEXT($A11,"0000"),
", OrganizationObj: *OrganizationID",TEXT(MATCH(INDEX(People[Organization Name],$A11),Organizations[Organization Name],0),"0000"),
", IsPrimaryOrganizationContact: , AffiliationStartDate: , AffiliationEndDate: , PrimaryPhone: ",
", PrimaryEmail: ",CHAR(34),INDEX(People[Primary Email],$A11),CHAR(34),
", PrimaryAddress: ",CHAR(34),INDEX(People[Primary Address],$A11),CHAR(34),
", PersonLink: }"))</f>
        <v>#N/A</v>
      </c>
      <c r="J11" s="32"/>
      <c r="K11" s="32"/>
      <c r="L11" s="32" t="str">
        <f>IF(COUNTA(CitationInformation)=0,"",
IF($A11&gt;NumAuthors,"",
CONCATENATE("  - &amp;AuthorListID",TEXT($A11,"0000"),
"  {CitationObj: *CitationID0001",
", PersonObj: *PersonID",TEXT(MATCH(INDEX(AuthorList[Author Name],$A11),People[Full Name],0),"0000"),
", AuthorOrder: ",INDEX(AuthorList[Author Number],$A11),"}")))</f>
        <v/>
      </c>
      <c r="M11" s="32"/>
      <c r="N11" s="32"/>
      <c r="O11" s="32" t="str">
        <f>IF($A11&gt;NumSamplingFeatures,"",
CONCATENATE("  - &amp;SamplingFeatureID",TEXT($A11,"0000"),
" {","SamplingFeatureUUID:  ",CHAR(34),INDEX(SamplingFeatures[Sampling Feature UUID],$A11),CHAR(34),
", SamplingFeatureTypeCV:  ",CHAR(34),INDEX(SamplingFeatures[Sampling Feature Type],$A11),CHAR(34),
", SamplingFeatureCode:  ",CHAR(34),INDEX(SamplingFeatures[Feature Code],$A11),CHAR(34),
", SamplingFeatureName:  ",CHAR(34),INDEX(SamplingFeatures[Feature Name],$A11),CHAR(34),
", SamplingFeatureDescription:  ",CHAR(34),INDEX(SamplingFeatures[Feature Description],$A11),CHAR(34),
", SamplingFeatureGeotypeCV:  ",CHAR(34),INDEX(SamplingFeatures[Feature Geo Type],$A11),CHAR(34),
", FeatureGeometry:  ",CHAR(34),INDEX(SamplingFeatures[Feature Geometry],$A11),CHAR(34),
", Elevation_m:  ",CHAR(34),INDEX(SamplingFeatures[Elevation_m],$A11),CHAR(34),
", ElevationDatumCV:  ",CHAR(34),ElevationDatum,CHAR(34),"}"))</f>
        <v/>
      </c>
      <c r="P11" s="32" t="str">
        <f>IF(NumIGSNs=0,"",
IF(NumIGSNs&lt;$A11,"",
CONCATENATE("  - {",
"SamplingFeatureObj:  *SamplingFeatureID",TEXT(MATCH($A11,SamplingFeatures[IGSNID],0),"0000"),
", ExternalIdentifierSystemObj:  *ExternalIdentifierSystemID0003",
", SamplingFeatureExternalIdentifier:  ",CHAR(34),INDEX(SamplingFeatures[Feature IGSN],MATCH($A11,SamplingFeatures[IGSNID],0)),CHAR(34),
", SamplingFeatureExternalIdentifierURI:  ",CHAR(34),"http://app.geosamples.org/sample/igsn/",INDEX(SamplingFeatures[Feature IGSN],MATCH($A11,SamplingFeatures[IGSNID],0)),CHAR(34),
"}")))</f>
        <v/>
      </c>
      <c r="Q11" s="32" t="str">
        <f>IF(NumSites=0,"",
IF(NumSites&lt;$A11,"",
CONCATENATE("  - &amp;SiteID",TEXT($A11,"0000"),
" {","SamplingFeatureObj:  *SamplingFeatureID",TEXT(MATCH($A11,Sites[SiteID],0),"0000"),
", SiteTypeCV:  ",CHAR(34),INDEX(Sites[Site Type],MATCH($A11,Sites[SiteID],0)),CHAR(34),
", Latitude:  ",INDEX(Sites[Latitude],MATCH($A11,Sites[SiteID],0)),
", Longitude:  ",INDEX(Sites[Longitude],MATCH($A11,Sites[SiteID],0)),
", SpatialReferenceObj:  *SRSID0001}")))</f>
        <v/>
      </c>
      <c r="R11" s="32" t="str">
        <f>IF(NumSpecimens=0,"",
IF(NumSpecimens&lt;$A11,"",
CONCATENATE("  - &amp;SpecimenID",TEXT($A11,"0000"),
" {","SamplingFeatureObj:  *SamplingFeatureID",TEXT(MATCH($A11,Specimens[SpecimenID],0),"0000"),
", SpecimenTypeCV:  ",CHAR(34),INDEX(Specimens[Specimen Type],MATCH($A11,Specimens[SpecimenID],0)),CHAR(34),
", SpecimenMediumCV:  ",INDEX(Specimens[Specimen Medium],MATCH($A11,Specimens[SpecimenID],0)),
", IsFieldSpecimen:  ",CHAR(34),INDEX(Specimens[Is Field Specimen?],MATCH($A11,Specimens[SpecimenID],0)),CHAR(34),"}")))</f>
        <v/>
      </c>
      <c r="S11" s="32" t="str">
        <f>IF(NumSpatialOffsets=0,"",
IF(NumSpatialOffsets&lt;$A11,"",
CONCATENATE("  - &amp;SpatialOffsetID",TEXT($A11,"0000"),
" {","SpatialOffsetTypeCV:  ",CHAR(34),INDEX(RelatedFeatures[Spatial Offset Type],MATCH($A11,RelatedFeatures[OffsetID],0)),CHAR(34),
", Offset1Value:  ",INDEX(RelatedFeatures[Offset 1 Value],MATCH($A11,RelatedFeatures[OffsetID],0)),
", Offset1UnitObj:  ",CHAR(34),INDEX(RelatedFeatures[Offset 1 Unit],MATCH($A11,RelatedFeatures[OffsetID],0)),CHAR(34),
", Offset2Value:  ",IF(INDEX(RelatedFeatures[Offset 2 Value],MATCH($A11,RelatedFeatures[OffsetID],0))="","NULL",INDEX(RelatedFeatures[Offset 2 Value],MATCH($A11,RelatedFeatures[OffsetID],0))),
", Offset2UnitObj:  ",CHAR(34),INDEX(RelatedFeatures[Offset 2 Unit],MATCH($A11,RelatedFeatures[OffsetID],0)),,CHAR(34),
", Offset3Value:  ",IF(INDEX(RelatedFeatures[Offset 3 Value],MATCH($A11,RelatedFeatures[OffsetID],0))="","NULL",INDEX(RelatedFeatures[Offset 3 Value],MATCH($A11,RelatedFeatures[OffsetID],0))),
", Offset3UnitObj:  ",CHAR(34),INDEX(RelatedFeatures[Offset 3 Unit],MATCH($A11,RelatedFeatures[OffsetID],0)),CHAR(34),"}")))</f>
        <v/>
      </c>
      <c r="T11" s="32" t="str">
        <f>IF(NumRelatedFeatures=0,"",
IF($A11&gt;NumRelatedFeatures,"",
CONCATENATE("  - &amp;RelationID",TEXT($A11,"0000"),
" {","SamplingFeatureObj:  *SamplingFeatureID",TEXT(MATCH(INDEX(RelatedFeatures[First Sampling Feature Code],$A11),SamplingFeatures[Feature Code],0),"0000"),
", RelationshipTypeCV:  ",CHAR(34),INDEX(RelatedFeatures[Relationship Type],$A11),CHAR(34),
", RelatedFeatureObj: *SamplingFeatureID",TEXT(MATCH(INDEX(RelatedFeatures[Second Sampling Feature Code],$A11),SamplingFeatures[Feature Code],0),"0000"),
", SpatialOffsetObj:  ",IF(INDEX(RelatedFeatures[OffsetID],$A11)="",CONCATENATE(CHAR(34),CHAR(34)),CONCATENATE("*SpatialOffsetID",TEXT(INDEX(RelatedFeatures[OffsetID],$A11),"0000"))),"}")))</f>
        <v/>
      </c>
      <c r="U11" s="32" t="str">
        <f>IF($A11&gt;NumMethods,"",
CONCATENATE("  - &amp;MethodID",TEXT($A11,"0000"),
" {","MethodTypeCV:  ",CHAR(34),INDEX(Methods[Method Type],$A11),CHAR(34),
", MethodCode:  ",CHAR(34),INDEX(Methods[Method Code],$A11),CHAR(34),
", MethodName:  ",CHAR(34),INDEX(Methods[Method Name],$A11),CHAR(34),
", MethodDescription:  ",CHAR(34),INDEX(Methods[Method Description],$A11),CHAR(34),
", MethodLink:  ",CHAR(34),INDEX(Methods[Method Link],$A11),CHAR(34),
", OrganizationObj: *OrganizationID",TEXT(MATCH(INDEX(Methods[Organization Name],$A11),Organizations[Organization Name],0),"0000"),"}"))</f>
        <v/>
      </c>
      <c r="V11" s="32" t="str">
        <f>IF($A11&gt;NumVariables,"",
CONCATENATE("  - &amp;VariableID",TEXT($A11,"0000"),
" {","VariableTypeCV:  ",CHAR(34),INDEX(Variables[Variable Type],$A11),CHAR(34),
", VariableCode:  ",CHAR(34),INDEX(Variables[Variable Code],$A11),CHAR(34),
", VariableNameCV:  ",CHAR(34),INDEX(Variables[Variable Name],$A11),CHAR(34),
", VariableDefinition:  ",CHAR(34),INDEX(Variables[Variable Definition],$A11),CHAR(34),
", SpecciationCV:  ",CHAR(34),INDEX(Variables[Speciation],$A11),CHAR(34),
", NoDataValue:  ",CHAR(34),INDEX(Variables[No Data Value],$A11),CHAR(34),"}"))</f>
        <v/>
      </c>
      <c r="W11" s="32"/>
      <c r="X11" s="32" t="str">
        <f>IF($A11&gt;NumProcessingLevels,"",
CONCATENATE("  - &amp;ProcessingLevelID",TEXT($A11,"0000"),
" {","ProcessingLevelCode:  ",CHAR(34),INDEX(ProcessingLevels[Processing Level Code],$A11),CHAR(34),
", Definition:  ",CHAR(34),INDEX(ProcessingLevels[Definition],$A11),CHAR(34),
", Explanation:  ",CHAR(34),INDEX(ProcessingLevels[Explanation],$A11),CHAR(34),"}"))</f>
        <v/>
      </c>
      <c r="Y11" s="32" t="str">
        <f>IF($A11&gt;NumDataColumns,"",
IF(INDEX(DataColumns[Method Code],$A11)="","PLEASE FILL IN A METHOD FOR EACH DATA COLUMN",
CONCATENATE("  - &amp;ActionID",TEXT($A11,"0000"),
" {","ActionTypeCV:  ",CHAR(34),"Observation",CHAR(34),
", MethodObj: *MethodID",TEXT(MATCH(INDEX(DataColumns[Method Code],$A11),Methods[Method Code],0),"0000"),
", BeginDateTime:  NULL",
", BeginDateTimeUTCOffset:  NULL",
", EndDateTime:  NULL",
", EndDateTimeUTCOffset:  NULL",
", ActionDescription:  ",CHAR(34),"Generic observation action generated by YODA TimeSeries Template",CHAR(34),
", ActionFileLink:  ",CHAR(34),CHAR(34),"}")))</f>
        <v/>
      </c>
      <c r="Z11" s="32" t="str">
        <f>IF($A11&gt;NumDataColumns,"",
IF(INDEX(DataColumns[Method Code],$A11)="","PLEASE FILL IN A SAMPLING FEATURE FOR EACH DATA COLUMN",
CONCATENATE("  - &amp;FeatureActionID",TEXT($A11,"0000"),
" {","SamplingFeatureObj:  *SamplingFeatureID",TEXT(MATCH(INDEX(DataColumns[Sampling Feature Code],$A11),SamplingFeatures[Feature Code],0),"0000"),
", ActionObj:  *ActionID",TEXT($A11,"0000"),"}")))</f>
        <v/>
      </c>
      <c r="AA11" s="32" t="str">
        <f>IF($A11&gt;NumDataColumns,"",
CONCATENATE("  - &amp;ResultID",TEXT($A11,"0000"),
" {","ResultUUID:  ",CHAR(34),INDEX(DataColumns[ResultUUID],$A11),CHAR(34),
", FeatureActionObj: *FeatureActionID",TEXT($A11,"0000"),
", ResultTypeCV:  ",CHAR(34),INDEX(DataColumns[Result Type],$A11),CHAR(34),
", VariableObj:  *VariableID",TEXT(MATCH(INDEX(DataColumns[Variable Code],$A11),Variables[Variable Code],0),"0000"),
", UnitsObj:  ",CHAR(34),INDEX(DataColumns[Unit Name],$A11),CHAR(34),
", TaxonomicClassifierObj:  ",CHAR(34),CHAR(34),
", ProcessingLevelObj:  *ProcessingLevelID",TEXT(MATCH(INDEX(DataColumns[Processing Level],$A11),ProcessingLevels[Processing Level Code],0),"0000"),
", ResultDateTime:  ",CHAR(34),CHAR(34),
", ResultDateTimeUTCOffset:  ",CHAR(34),CHAR(34),
", ValidDateTime:  ",CHAR(34),CHAR(34),
", ValidDateTimeUTCOffset:  ",CHAR(34),CHAR(34),
", StatusCV:  ",CHAR(34),CHAR(34),
", SampledMediumCV:  ",CHAR(34),INDEX(DataColumns[Sampled Medium],$A11),CHAR(34),
", ValueCount:  ",NumDataValues,"}"))</f>
        <v/>
      </c>
    </row>
    <row r="12" spans="1:35" x14ac:dyDescent="0.25">
      <c r="A12" s="32">
        <v>9</v>
      </c>
      <c r="B12" s="32"/>
      <c r="C12" s="32"/>
      <c r="D12" s="32" t="str">
        <f>IF($A12&gt;NumOrganizations,"",
CONCATENATE("  - &amp;OrganizationID",TEXT($A12,"0000"),
" {","OrganizationTypeCV:  ",CHAR(34),INDEX(Organizations[Organization Type '[CV']],$A12),CHAR(34),
", OrganizationCode:  ",CHAR(34),INDEX(Organizations[Organization Code],$A12),CHAR(34),
", OrganizationName:  ",CHAR(34),INDEX(Organizations[Organization Name],$A12),CHAR(34),
", OrganizationDescription:  ",CHAR(34),INDEX(Organizations[Organization Description],$A12),CHAR(34),
", OrganizationLink:  ",CHAR(34),INDEX(Organizations[Organization Link],$A12),CHAR(34),"}"))</f>
        <v/>
      </c>
      <c r="E12" s="32"/>
      <c r="F12" s="32"/>
      <c r="G12" s="32" t="str">
        <f>IF($A12&gt;NumPeople,"",
CONCATENATE("  - &amp;PersonID",TEXT($A12,"0000"),
" {","PersonFirstName:  ",CHAR(34),INDEX(People[First Name],$A12),CHAR(34),
", PersonMiddleName:  ",CHAR(34),INDEX(People[Middle Name],$A12),CHAR(34),
", PersonLastName:  ",CHAR(34),INDEX(People[Last Name],$A12),CHAR(34),"}"))</f>
        <v xml:space="preserve">  - &amp;PersonID0009 {PersonFirstName:  "", PersonMiddleName:  "", PersonLastName:  ""}</v>
      </c>
      <c r="H12" s="32" t="str">
        <f>IF(NumORCIDs=0,"",
IF(NumORCIDs&lt;$A12,"",
CONCATENATE("  - {",
"PersonObj:  *PersonID",TEXT(MATCH($A12,People[ExternalIDNum],0),"0000"),
", ExternalIdentifierSystemObj:  *ExternalIdentifierSystemID0001",
", PersonExternalIdentifier:  ",CHAR(34),INDEX(People[Person OrcID],MATCH($A12,People[ExternalIDNum],0)),CHAR(34),
", PersonExternalIdentifierURI:  ",CHAR(34),"http://orcid.org/",INDEX(People[Person OrcID],MATCH($A12,People[ExternalIDNum],0)),CHAR(34),
"}")))</f>
        <v/>
      </c>
      <c r="I12" s="32" t="e">
        <f>IF($A12&gt;NumPeople,"",
CONCATENATE("  - &amp;AffiliationID",TEXT($A12,"0000"),
" {PersonObj: *PersonID",TEXT($A12,"0000"),
", OrganizationObj: *OrganizationID",TEXT(MATCH(INDEX(People[Organization Name],$A12),Organizations[Organization Name],0),"0000"),
", IsPrimaryOrganizationContact: , AffiliationStartDate: , AffiliationEndDate: , PrimaryPhone: ",
", PrimaryEmail: ",CHAR(34),INDEX(People[Primary Email],$A12),CHAR(34),
", PrimaryAddress: ",CHAR(34),INDEX(People[Primary Address],$A12),CHAR(34),
", PersonLink: }"))</f>
        <v>#N/A</v>
      </c>
      <c r="J12" s="32"/>
      <c r="K12" s="32"/>
      <c r="L12" s="32" t="str">
        <f>IF(COUNTA(CitationInformation)=0,"",
IF($A12&gt;NumAuthors,"",
CONCATENATE("  - &amp;AuthorListID",TEXT($A12,"0000"),
"  {CitationObj: *CitationID0001",
", PersonObj: *PersonID",TEXT(MATCH(INDEX(AuthorList[Author Name],$A12),People[Full Name],0),"0000"),
", AuthorOrder: ",INDEX(AuthorList[Author Number],$A12),"}")))</f>
        <v/>
      </c>
      <c r="M12" s="32"/>
      <c r="N12" s="32"/>
      <c r="O12" s="32" t="str">
        <f>IF($A12&gt;NumSamplingFeatures,"",
CONCATENATE("  - &amp;SamplingFeatureID",TEXT($A12,"0000"),
" {","SamplingFeatureUUID:  ",CHAR(34),INDEX(SamplingFeatures[Sampling Feature UUID],$A12),CHAR(34),
", SamplingFeatureTypeCV:  ",CHAR(34),INDEX(SamplingFeatures[Sampling Feature Type],$A12),CHAR(34),
", SamplingFeatureCode:  ",CHAR(34),INDEX(SamplingFeatures[Feature Code],$A12),CHAR(34),
", SamplingFeatureName:  ",CHAR(34),INDEX(SamplingFeatures[Feature Name],$A12),CHAR(34),
", SamplingFeatureDescription:  ",CHAR(34),INDEX(SamplingFeatures[Feature Description],$A12),CHAR(34),
", SamplingFeatureGeotypeCV:  ",CHAR(34),INDEX(SamplingFeatures[Feature Geo Type],$A12),CHAR(34),
", FeatureGeometry:  ",CHAR(34),INDEX(SamplingFeatures[Feature Geometry],$A12),CHAR(34),
", Elevation_m:  ",CHAR(34),INDEX(SamplingFeatures[Elevation_m],$A12),CHAR(34),
", ElevationDatumCV:  ",CHAR(34),ElevationDatum,CHAR(34),"}"))</f>
        <v/>
      </c>
      <c r="P12" s="32" t="str">
        <f>IF(NumIGSNs=0,"",
IF(NumIGSNs&lt;$A12,"",
CONCATENATE("  - {",
"SamplingFeatureObj:  *SamplingFeatureID",TEXT(MATCH($A12,SamplingFeatures[IGSNID],0),"0000"),
", ExternalIdentifierSystemObj:  *ExternalIdentifierSystemID0003",
", SamplingFeatureExternalIdentifier:  ",CHAR(34),INDEX(SamplingFeatures[Feature IGSN],MATCH($A12,SamplingFeatures[IGSNID],0)),CHAR(34),
", SamplingFeatureExternalIdentifierURI:  ",CHAR(34),"http://app.geosamples.org/sample/igsn/",INDEX(SamplingFeatures[Feature IGSN],MATCH($A12,SamplingFeatures[IGSNID],0)),CHAR(34),
"}")))</f>
        <v/>
      </c>
      <c r="Q12" s="32" t="str">
        <f>IF(NumSites=0,"",
IF(NumSites&lt;$A12,"",
CONCATENATE("  - &amp;SiteID",TEXT($A12,"0000"),
" {","SamplingFeatureObj:  *SamplingFeatureID",TEXT(MATCH($A12,Sites[SiteID],0),"0000"),
", SiteTypeCV:  ",CHAR(34),INDEX(Sites[Site Type],MATCH($A12,Sites[SiteID],0)),CHAR(34),
", Latitude:  ",INDEX(Sites[Latitude],MATCH($A12,Sites[SiteID],0)),
", Longitude:  ",INDEX(Sites[Longitude],MATCH($A12,Sites[SiteID],0)),
", SpatialReferenceObj:  *SRSID0001}")))</f>
        <v/>
      </c>
      <c r="R12" s="32" t="str">
        <f>IF(NumSpecimens=0,"",
IF(NumSpecimens&lt;$A12,"",
CONCATENATE("  - &amp;SpecimenID",TEXT($A12,"0000"),
" {","SamplingFeatureObj:  *SamplingFeatureID",TEXT(MATCH($A12,Specimens[SpecimenID],0),"0000"),
", SpecimenTypeCV:  ",CHAR(34),INDEX(Specimens[Specimen Type],MATCH($A12,Specimens[SpecimenID],0)),CHAR(34),
", SpecimenMediumCV:  ",INDEX(Specimens[Specimen Medium],MATCH($A12,Specimens[SpecimenID],0)),
", IsFieldSpecimen:  ",CHAR(34),INDEX(Specimens[Is Field Specimen?],MATCH($A12,Specimens[SpecimenID],0)),CHAR(34),"}")))</f>
        <v/>
      </c>
      <c r="S12" s="32" t="str">
        <f>IF(NumSpatialOffsets=0,"",
IF(NumSpatialOffsets&lt;$A12,"",
CONCATENATE("  - &amp;SpatialOffsetID",TEXT($A12,"0000"),
" {","SpatialOffsetTypeCV:  ",CHAR(34),INDEX(RelatedFeatures[Spatial Offset Type],MATCH($A12,RelatedFeatures[OffsetID],0)),CHAR(34),
", Offset1Value:  ",INDEX(RelatedFeatures[Offset 1 Value],MATCH($A12,RelatedFeatures[OffsetID],0)),
", Offset1UnitObj:  ",CHAR(34),INDEX(RelatedFeatures[Offset 1 Unit],MATCH($A12,RelatedFeatures[OffsetID],0)),CHAR(34),
", Offset2Value:  ",IF(INDEX(RelatedFeatures[Offset 2 Value],MATCH($A12,RelatedFeatures[OffsetID],0))="","NULL",INDEX(RelatedFeatures[Offset 2 Value],MATCH($A12,RelatedFeatures[OffsetID],0))),
", Offset2UnitObj:  ",CHAR(34),INDEX(RelatedFeatures[Offset 2 Unit],MATCH($A12,RelatedFeatures[OffsetID],0)),,CHAR(34),
", Offset3Value:  ",IF(INDEX(RelatedFeatures[Offset 3 Value],MATCH($A12,RelatedFeatures[OffsetID],0))="","NULL",INDEX(RelatedFeatures[Offset 3 Value],MATCH($A12,RelatedFeatures[OffsetID],0))),
", Offset3UnitObj:  ",CHAR(34),INDEX(RelatedFeatures[Offset 3 Unit],MATCH($A12,RelatedFeatures[OffsetID],0)),CHAR(34),"}")))</f>
        <v/>
      </c>
      <c r="T12" s="32" t="str">
        <f>IF(NumRelatedFeatures=0,"",
IF($A12&gt;NumRelatedFeatures,"",
CONCATENATE("  - &amp;RelationID",TEXT($A12,"0000"),
" {","SamplingFeatureObj:  *SamplingFeatureID",TEXT(MATCH(INDEX(RelatedFeatures[First Sampling Feature Code],$A12),SamplingFeatures[Feature Code],0),"0000"),
", RelationshipTypeCV:  ",CHAR(34),INDEX(RelatedFeatures[Relationship Type],$A12),CHAR(34),
", RelatedFeatureObj: *SamplingFeatureID",TEXT(MATCH(INDEX(RelatedFeatures[Second Sampling Feature Code],$A12),SamplingFeatures[Feature Code],0),"0000"),
", SpatialOffsetObj:  ",IF(INDEX(RelatedFeatures[OffsetID],$A12)="",CONCATENATE(CHAR(34),CHAR(34)),CONCATENATE("*SpatialOffsetID",TEXT(INDEX(RelatedFeatures[OffsetID],$A12),"0000"))),"}")))</f>
        <v/>
      </c>
      <c r="U12" s="32" t="str">
        <f>IF($A12&gt;NumMethods,"",
CONCATENATE("  - &amp;MethodID",TEXT($A12,"0000"),
" {","MethodTypeCV:  ",CHAR(34),INDEX(Methods[Method Type],$A12),CHAR(34),
", MethodCode:  ",CHAR(34),INDEX(Methods[Method Code],$A12),CHAR(34),
", MethodName:  ",CHAR(34),INDEX(Methods[Method Name],$A12),CHAR(34),
", MethodDescription:  ",CHAR(34),INDEX(Methods[Method Description],$A12),CHAR(34),
", MethodLink:  ",CHAR(34),INDEX(Methods[Method Link],$A12),CHAR(34),
", OrganizationObj: *OrganizationID",TEXT(MATCH(INDEX(Methods[Organization Name],$A12),Organizations[Organization Name],0),"0000"),"}"))</f>
        <v/>
      </c>
      <c r="V12" s="32" t="str">
        <f>IF($A12&gt;NumVariables,"",
CONCATENATE("  - &amp;VariableID",TEXT($A12,"0000"),
" {","VariableTypeCV:  ",CHAR(34),INDEX(Variables[Variable Type],$A12),CHAR(34),
", VariableCode:  ",CHAR(34),INDEX(Variables[Variable Code],$A12),CHAR(34),
", VariableNameCV:  ",CHAR(34),INDEX(Variables[Variable Name],$A12),CHAR(34),
", VariableDefinition:  ",CHAR(34),INDEX(Variables[Variable Definition],$A12),CHAR(34),
", SpecciationCV:  ",CHAR(34),INDEX(Variables[Speciation],$A12),CHAR(34),
", NoDataValue:  ",CHAR(34),INDEX(Variables[No Data Value],$A12),CHAR(34),"}"))</f>
        <v/>
      </c>
      <c r="W12" s="32"/>
      <c r="X12" s="32" t="str">
        <f>IF($A12&gt;NumProcessingLevels,"",
CONCATENATE("  - &amp;ProcessingLevelID",TEXT($A12,"0000"),
" {","ProcessingLevelCode:  ",CHAR(34),INDEX(ProcessingLevels[Processing Level Code],$A12),CHAR(34),
", Definition:  ",CHAR(34),INDEX(ProcessingLevels[Definition],$A12),CHAR(34),
", Explanation:  ",CHAR(34),INDEX(ProcessingLevels[Explanation],$A12),CHAR(34),"}"))</f>
        <v/>
      </c>
      <c r="Y12" s="32" t="str">
        <f>IF($A12&gt;NumDataColumns,"",
IF(INDEX(DataColumns[Method Code],$A12)="","PLEASE FILL IN A METHOD FOR EACH DATA COLUMN",
CONCATENATE("  - &amp;ActionID",TEXT($A12,"0000"),
" {","ActionTypeCV:  ",CHAR(34),"Observation",CHAR(34),
", MethodObj: *MethodID",TEXT(MATCH(INDEX(DataColumns[Method Code],$A12),Methods[Method Code],0),"0000"),
", BeginDateTime:  NULL",
", BeginDateTimeUTCOffset:  NULL",
", EndDateTime:  NULL",
", EndDateTimeUTCOffset:  NULL",
", ActionDescription:  ",CHAR(34),"Generic observation action generated by YODA TimeSeries Template",CHAR(34),
", ActionFileLink:  ",CHAR(34),CHAR(34),"}")))</f>
        <v/>
      </c>
      <c r="Z12" s="32" t="str">
        <f>IF($A12&gt;NumDataColumns,"",
IF(INDEX(DataColumns[Method Code],$A12)="","PLEASE FILL IN A SAMPLING FEATURE FOR EACH DATA COLUMN",
CONCATENATE("  - &amp;FeatureActionID",TEXT($A12,"0000"),
" {","SamplingFeatureObj:  *SamplingFeatureID",TEXT(MATCH(INDEX(DataColumns[Sampling Feature Code],$A12),SamplingFeatures[Feature Code],0),"0000"),
", ActionObj:  *ActionID",TEXT($A12,"0000"),"}")))</f>
        <v/>
      </c>
      <c r="AA12" s="32" t="str">
        <f>IF($A12&gt;NumDataColumns,"",
CONCATENATE("  - &amp;ResultID",TEXT($A12,"0000"),
" {","ResultUUID:  ",CHAR(34),INDEX(DataColumns[ResultUUID],$A12),CHAR(34),
", FeatureActionObj: *FeatureActionID",TEXT($A12,"0000"),
", ResultTypeCV:  ",CHAR(34),INDEX(DataColumns[Result Type],$A12),CHAR(34),
", VariableObj:  *VariableID",TEXT(MATCH(INDEX(DataColumns[Variable Code],$A12),Variables[Variable Code],0),"0000"),
", UnitsObj:  ",CHAR(34),INDEX(DataColumns[Unit Name],$A12),CHAR(34),
", TaxonomicClassifierObj:  ",CHAR(34),CHAR(34),
", ProcessingLevelObj:  *ProcessingLevelID",TEXT(MATCH(INDEX(DataColumns[Processing Level],$A12),ProcessingLevels[Processing Level Code],0),"0000"),
", ResultDateTime:  ",CHAR(34),CHAR(34),
", ResultDateTimeUTCOffset:  ",CHAR(34),CHAR(34),
", ValidDateTime:  ",CHAR(34),CHAR(34),
", ValidDateTimeUTCOffset:  ",CHAR(34),CHAR(34),
", StatusCV:  ",CHAR(34),CHAR(34),
", SampledMediumCV:  ",CHAR(34),INDEX(DataColumns[Sampled Medium],$A12),CHAR(34),
", ValueCount:  ",NumDataValues,"}"))</f>
        <v/>
      </c>
    </row>
    <row r="13" spans="1:35" x14ac:dyDescent="0.25">
      <c r="A13" s="32">
        <v>10</v>
      </c>
      <c r="B13" s="32"/>
      <c r="C13" s="32"/>
      <c r="D13" s="32" t="str">
        <f>IF($A13&gt;NumOrganizations,"",
CONCATENATE("  - &amp;OrganizationID",TEXT($A13,"0000"),
" {","OrganizationTypeCV:  ",CHAR(34),INDEX(Organizations[Organization Type '[CV']],$A13),CHAR(34),
", OrganizationCode:  ",CHAR(34),INDEX(Organizations[Organization Code],$A13),CHAR(34),
", OrganizationName:  ",CHAR(34),INDEX(Organizations[Organization Name],$A13),CHAR(34),
", OrganizationDescription:  ",CHAR(34),INDEX(Organizations[Organization Description],$A13),CHAR(34),
", OrganizationLink:  ",CHAR(34),INDEX(Organizations[Organization Link],$A13),CHAR(34),"}"))</f>
        <v/>
      </c>
      <c r="E13" s="32"/>
      <c r="F13" s="32"/>
      <c r="G13" s="32" t="str">
        <f>IF($A13&gt;NumPeople,"",
CONCATENATE("  - &amp;PersonID",TEXT($A13,"0000"),
" {","PersonFirstName:  ",CHAR(34),INDEX(People[First Name],$A13),CHAR(34),
", PersonMiddleName:  ",CHAR(34),INDEX(People[Middle Name],$A13),CHAR(34),
", PersonLastName:  ",CHAR(34),INDEX(People[Last Name],$A13),CHAR(34),"}"))</f>
        <v xml:space="preserve">  - &amp;PersonID0010 {PersonFirstName:  "", PersonMiddleName:  "", PersonLastName:  ""}</v>
      </c>
      <c r="H13" s="32" t="str">
        <f>IF(NumORCIDs=0,"",
IF(NumORCIDs&lt;$A13,"",
CONCATENATE("  - {",
"PersonObj:  *PersonID",TEXT(MATCH($A13,People[ExternalIDNum],0),"0000"),
", ExternalIdentifierSystemObj:  *ExternalIdentifierSystemID0001",
", PersonExternalIdentifier:  ",CHAR(34),INDEX(People[Person OrcID],MATCH($A13,People[ExternalIDNum],0)),CHAR(34),
", PersonExternalIdentifierURI:  ",CHAR(34),"http://orcid.org/",INDEX(People[Person OrcID],MATCH($A13,People[ExternalIDNum],0)),CHAR(34),
"}")))</f>
        <v/>
      </c>
      <c r="I13" s="32" t="e">
        <f>IF($A13&gt;NumPeople,"",
CONCATENATE("  - &amp;AffiliationID",TEXT($A13,"0000"),
" {PersonObj: *PersonID",TEXT($A13,"0000"),
", OrganizationObj: *OrganizationID",TEXT(MATCH(INDEX(People[Organization Name],$A13),Organizations[Organization Name],0),"0000"),
", IsPrimaryOrganizationContact: , AffiliationStartDate: , AffiliationEndDate: , PrimaryPhone: ",
", PrimaryEmail: ",CHAR(34),INDEX(People[Primary Email],$A13),CHAR(34),
", PrimaryAddress: ",CHAR(34),INDEX(People[Primary Address],$A13),CHAR(34),
", PersonLink: }"))</f>
        <v>#N/A</v>
      </c>
      <c r="J13" s="32"/>
      <c r="K13" s="32"/>
      <c r="L13" s="32" t="str">
        <f>IF(COUNTA(CitationInformation)=0,"",
IF($A13&gt;NumAuthors,"",
CONCATENATE("  - &amp;AuthorListID",TEXT($A13,"0000"),
"  {CitationObj: *CitationID0001",
", PersonObj: *PersonID",TEXT(MATCH(INDEX(AuthorList[Author Name],$A13),People[Full Name],0),"0000"),
", AuthorOrder: ",INDEX(AuthorList[Author Number],$A13),"}")))</f>
        <v/>
      </c>
      <c r="M13" s="32"/>
      <c r="N13" s="32"/>
      <c r="O13" s="32" t="str">
        <f>IF($A13&gt;NumSamplingFeatures,"",
CONCATENATE("  - &amp;SamplingFeatureID",TEXT($A13,"0000"),
" {","SamplingFeatureUUID:  ",CHAR(34),INDEX(SamplingFeatures[Sampling Feature UUID],$A13),CHAR(34),
", SamplingFeatureTypeCV:  ",CHAR(34),INDEX(SamplingFeatures[Sampling Feature Type],$A13),CHAR(34),
", SamplingFeatureCode:  ",CHAR(34),INDEX(SamplingFeatures[Feature Code],$A13),CHAR(34),
", SamplingFeatureName:  ",CHAR(34),INDEX(SamplingFeatures[Feature Name],$A13),CHAR(34),
", SamplingFeatureDescription:  ",CHAR(34),INDEX(SamplingFeatures[Feature Description],$A13),CHAR(34),
", SamplingFeatureGeotypeCV:  ",CHAR(34),INDEX(SamplingFeatures[Feature Geo Type],$A13),CHAR(34),
", FeatureGeometry:  ",CHAR(34),INDEX(SamplingFeatures[Feature Geometry],$A13),CHAR(34),
", Elevation_m:  ",CHAR(34),INDEX(SamplingFeatures[Elevation_m],$A13),CHAR(34),
", ElevationDatumCV:  ",CHAR(34),ElevationDatum,CHAR(34),"}"))</f>
        <v/>
      </c>
      <c r="P13" s="32" t="str">
        <f>IF(NumIGSNs=0,"",
IF(NumIGSNs&lt;$A13,"",
CONCATENATE("  - {",
"SamplingFeatureObj:  *SamplingFeatureID",TEXT(MATCH($A13,SamplingFeatures[IGSNID],0),"0000"),
", ExternalIdentifierSystemObj:  *ExternalIdentifierSystemID0003",
", SamplingFeatureExternalIdentifier:  ",CHAR(34),INDEX(SamplingFeatures[Feature IGSN],MATCH($A13,SamplingFeatures[IGSNID],0)),CHAR(34),
", SamplingFeatureExternalIdentifierURI:  ",CHAR(34),"http://app.geosamples.org/sample/igsn/",INDEX(SamplingFeatures[Feature IGSN],MATCH($A13,SamplingFeatures[IGSNID],0)),CHAR(34),
"}")))</f>
        <v/>
      </c>
      <c r="Q13" s="32" t="str">
        <f>IF(NumSites=0,"",
IF(NumSites&lt;$A13,"",
CONCATENATE("  - &amp;SiteID",TEXT($A13,"0000"),
" {","SamplingFeatureObj:  *SamplingFeatureID",TEXT(MATCH($A13,Sites[SiteID],0),"0000"),
", SiteTypeCV:  ",CHAR(34),INDEX(Sites[Site Type],MATCH($A13,Sites[SiteID],0)),CHAR(34),
", Latitude:  ",INDEX(Sites[Latitude],MATCH($A13,Sites[SiteID],0)),
", Longitude:  ",INDEX(Sites[Longitude],MATCH($A13,Sites[SiteID],0)),
", SpatialReferenceObj:  *SRSID0001}")))</f>
        <v/>
      </c>
      <c r="R13" s="32" t="str">
        <f>IF(NumSpecimens=0,"",
IF(NumSpecimens&lt;$A13,"",
CONCATENATE("  - &amp;SpecimenID",TEXT($A13,"0000"),
" {","SamplingFeatureObj:  *SamplingFeatureID",TEXT(MATCH($A13,Specimens[SpecimenID],0),"0000"),
", SpecimenTypeCV:  ",CHAR(34),INDEX(Specimens[Specimen Type],MATCH($A13,Specimens[SpecimenID],0)),CHAR(34),
", SpecimenMediumCV:  ",INDEX(Specimens[Specimen Medium],MATCH($A13,Specimens[SpecimenID],0)),
", IsFieldSpecimen:  ",CHAR(34),INDEX(Specimens[Is Field Specimen?],MATCH($A13,Specimens[SpecimenID],0)),CHAR(34),"}")))</f>
        <v/>
      </c>
      <c r="S13" s="32" t="str">
        <f>IF(NumSpatialOffsets=0,"",
IF(NumSpatialOffsets&lt;$A13,"",
CONCATENATE("  - &amp;SpatialOffsetID",TEXT($A13,"0000"),
" {","SpatialOffsetTypeCV:  ",CHAR(34),INDEX(RelatedFeatures[Spatial Offset Type],MATCH($A13,RelatedFeatures[OffsetID],0)),CHAR(34),
", Offset1Value:  ",INDEX(RelatedFeatures[Offset 1 Value],MATCH($A13,RelatedFeatures[OffsetID],0)),
", Offset1UnitObj:  ",CHAR(34),INDEX(RelatedFeatures[Offset 1 Unit],MATCH($A13,RelatedFeatures[OffsetID],0)),CHAR(34),
", Offset2Value:  ",IF(INDEX(RelatedFeatures[Offset 2 Value],MATCH($A13,RelatedFeatures[OffsetID],0))="","NULL",INDEX(RelatedFeatures[Offset 2 Value],MATCH($A13,RelatedFeatures[OffsetID],0))),
", Offset2UnitObj:  ",CHAR(34),INDEX(RelatedFeatures[Offset 2 Unit],MATCH($A13,RelatedFeatures[OffsetID],0)),,CHAR(34),
", Offset3Value:  ",IF(INDEX(RelatedFeatures[Offset 3 Value],MATCH($A13,RelatedFeatures[OffsetID],0))="","NULL",INDEX(RelatedFeatures[Offset 3 Value],MATCH($A13,RelatedFeatures[OffsetID],0))),
", Offset3UnitObj:  ",CHAR(34),INDEX(RelatedFeatures[Offset 3 Unit],MATCH($A13,RelatedFeatures[OffsetID],0)),CHAR(34),"}")))</f>
        <v/>
      </c>
      <c r="T13" s="32" t="str">
        <f>IF(NumRelatedFeatures=0,"",
IF($A13&gt;NumRelatedFeatures,"",
CONCATENATE("  - &amp;RelationID",TEXT($A13,"0000"),
" {","SamplingFeatureObj:  *SamplingFeatureID",TEXT(MATCH(INDEX(RelatedFeatures[First Sampling Feature Code],$A13),SamplingFeatures[Feature Code],0),"0000"),
", RelationshipTypeCV:  ",CHAR(34),INDEX(RelatedFeatures[Relationship Type],$A13),CHAR(34),
", RelatedFeatureObj: *SamplingFeatureID",TEXT(MATCH(INDEX(RelatedFeatures[Second Sampling Feature Code],$A13),SamplingFeatures[Feature Code],0),"0000"),
", SpatialOffsetObj:  ",IF(INDEX(RelatedFeatures[OffsetID],$A13)="",CONCATENATE(CHAR(34),CHAR(34)),CONCATENATE("*SpatialOffsetID",TEXT(INDEX(RelatedFeatures[OffsetID],$A13),"0000"))),"}")))</f>
        <v/>
      </c>
      <c r="U13" s="32" t="str">
        <f>IF($A13&gt;NumMethods,"",
CONCATENATE("  - &amp;MethodID",TEXT($A13,"0000"),
" {","MethodTypeCV:  ",CHAR(34),INDEX(Methods[Method Type],$A13),CHAR(34),
", MethodCode:  ",CHAR(34),INDEX(Methods[Method Code],$A13),CHAR(34),
", MethodName:  ",CHAR(34),INDEX(Methods[Method Name],$A13),CHAR(34),
", MethodDescription:  ",CHAR(34),INDEX(Methods[Method Description],$A13),CHAR(34),
", MethodLink:  ",CHAR(34),INDEX(Methods[Method Link],$A13),CHAR(34),
", OrganizationObj: *OrganizationID",TEXT(MATCH(INDEX(Methods[Organization Name],$A13),Organizations[Organization Name],0),"0000"),"}"))</f>
        <v/>
      </c>
      <c r="V13" s="32" t="str">
        <f>IF($A13&gt;NumVariables,"",
CONCATENATE("  - &amp;VariableID",TEXT($A13,"0000"),
" {","VariableTypeCV:  ",CHAR(34),INDEX(Variables[Variable Type],$A13),CHAR(34),
", VariableCode:  ",CHAR(34),INDEX(Variables[Variable Code],$A13),CHAR(34),
", VariableNameCV:  ",CHAR(34),INDEX(Variables[Variable Name],$A13),CHAR(34),
", VariableDefinition:  ",CHAR(34),INDEX(Variables[Variable Definition],$A13),CHAR(34),
", SpecciationCV:  ",CHAR(34),INDEX(Variables[Speciation],$A13),CHAR(34),
", NoDataValue:  ",CHAR(34),INDEX(Variables[No Data Value],$A13),CHAR(34),"}"))</f>
        <v/>
      </c>
      <c r="W13" s="32"/>
      <c r="X13" s="32" t="str">
        <f>IF($A13&gt;NumProcessingLevels,"",
CONCATENATE("  - &amp;ProcessingLevelID",TEXT($A13,"0000"),
" {","ProcessingLevelCode:  ",CHAR(34),INDEX(ProcessingLevels[Processing Level Code],$A13),CHAR(34),
", Definition:  ",CHAR(34),INDEX(ProcessingLevels[Definition],$A13),CHAR(34),
", Explanation:  ",CHAR(34),INDEX(ProcessingLevels[Explanation],$A13),CHAR(34),"}"))</f>
        <v/>
      </c>
      <c r="Y13" s="32" t="str">
        <f>IF($A13&gt;NumDataColumns,"",
IF(INDEX(DataColumns[Method Code],$A13)="","PLEASE FILL IN A METHOD FOR EACH DATA COLUMN",
CONCATENATE("  - &amp;ActionID",TEXT($A13,"0000"),
" {","ActionTypeCV:  ",CHAR(34),"Observation",CHAR(34),
", MethodObj: *MethodID",TEXT(MATCH(INDEX(DataColumns[Method Code],$A13),Methods[Method Code],0),"0000"),
", BeginDateTime:  NULL",
", BeginDateTimeUTCOffset:  NULL",
", EndDateTime:  NULL",
", EndDateTimeUTCOffset:  NULL",
", ActionDescription:  ",CHAR(34),"Generic observation action generated by YODA TimeSeries Template",CHAR(34),
", ActionFileLink:  ",CHAR(34),CHAR(34),"}")))</f>
        <v/>
      </c>
      <c r="Z13" s="32" t="str">
        <f>IF($A13&gt;NumDataColumns,"",
IF(INDEX(DataColumns[Method Code],$A13)="","PLEASE FILL IN A SAMPLING FEATURE FOR EACH DATA COLUMN",
CONCATENATE("  - &amp;FeatureActionID",TEXT($A13,"0000"),
" {","SamplingFeatureObj:  *SamplingFeatureID",TEXT(MATCH(INDEX(DataColumns[Sampling Feature Code],$A13),SamplingFeatures[Feature Code],0),"0000"),
", ActionObj:  *ActionID",TEXT($A13,"0000"),"}")))</f>
        <v/>
      </c>
      <c r="AA13" s="32" t="str">
        <f>IF($A13&gt;NumDataColumns,"",
CONCATENATE("  - &amp;ResultID",TEXT($A13,"0000"),
" {","ResultUUID:  ",CHAR(34),INDEX(DataColumns[ResultUUID],$A13),CHAR(34),
", FeatureActionObj: *FeatureActionID",TEXT($A13,"0000"),
", ResultTypeCV:  ",CHAR(34),INDEX(DataColumns[Result Type],$A13),CHAR(34),
", VariableObj:  *VariableID",TEXT(MATCH(INDEX(DataColumns[Variable Code],$A13),Variables[Variable Code],0),"0000"),
", UnitsObj:  ",CHAR(34),INDEX(DataColumns[Unit Name],$A13),CHAR(34),
", TaxonomicClassifierObj:  ",CHAR(34),CHAR(34),
", ProcessingLevelObj:  *ProcessingLevelID",TEXT(MATCH(INDEX(DataColumns[Processing Level],$A13),ProcessingLevels[Processing Level Code],0),"0000"),
", ResultDateTime:  ",CHAR(34),CHAR(34),
", ResultDateTimeUTCOffset:  ",CHAR(34),CHAR(34),
", ValidDateTime:  ",CHAR(34),CHAR(34),
", ValidDateTimeUTCOffset:  ",CHAR(34),CHAR(34),
", StatusCV:  ",CHAR(34),CHAR(34),
", SampledMediumCV:  ",CHAR(34),INDEX(DataColumns[Sampled Medium],$A13),CHAR(34),
", ValueCount:  ",NumDataValues,"}"))</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67"/>
  <sheetViews>
    <sheetView workbookViewId="0">
      <selection activeCell="D2" sqref="D2:D67"/>
    </sheetView>
  </sheetViews>
  <sheetFormatPr defaultRowHeight="15" x14ac:dyDescent="0.25"/>
  <cols>
    <col min="1" max="1" width="13.5703125" style="7" bestFit="1" customWidth="1"/>
    <col min="2" max="2" width="12.7109375" style="7" bestFit="1" customWidth="1"/>
    <col min="3" max="3" width="12.140625" style="7" bestFit="1" customWidth="1"/>
    <col min="4" max="16384" width="9.140625" style="7"/>
  </cols>
  <sheetData>
    <row r="1" spans="1:4" x14ac:dyDescent="0.25">
      <c r="A1" s="32" t="s">
        <v>1109</v>
      </c>
      <c r="B1" s="32" t="s">
        <v>1261</v>
      </c>
      <c r="C1" s="32" t="s">
        <v>1110</v>
      </c>
      <c r="D1" s="32" t="s">
        <v>1108</v>
      </c>
    </row>
    <row r="2" spans="1:4" x14ac:dyDescent="0.25">
      <c r="A2" s="32">
        <v>1</v>
      </c>
      <c r="B2" s="32" t="str">
        <f>OFFSET('YODA Header Blocks'!$A$1,0,A2)</f>
        <v>YAML Header</v>
      </c>
      <c r="C2" s="32">
        <v>1</v>
      </c>
      <c r="D2" s="32"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32">
        <f>IF(C2=INDIRECT(CONCATENATE("'YODA Header Blocks'!R2C",A2+1,":R2C",A2+1),FALSE),A2+1,A2)</f>
        <v>1</v>
      </c>
      <c r="B3" s="32" t="str">
        <f>OFFSET('YODA Header Blocks'!$A$1,0,A3)</f>
        <v>YAML Header</v>
      </c>
      <c r="C3" s="32">
        <f>IF(C2=SUM(INDIRECT(CONCATENATE("'YODA Header Blocks'!R2C",A2+1,":R2C",A2+1),FALSE)),1,C2+1)</f>
        <v>2</v>
      </c>
      <c r="D3" s="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7">
        <f t="shared" ref="A4:A65" si="0">IF(C3=INDIRECT(CONCATENATE("'YODA Header Blocks'!R2C",A3+1,":R2C",A3+1),FALSE),A3+1,A3)</f>
        <v>2</v>
      </c>
      <c r="B4" s="7" t="str">
        <f>OFFSET('YODA Header Blocks'!$A$1,0,A4)</f>
        <v>Dataset</v>
      </c>
      <c r="C4" s="7">
        <f t="shared" ref="C4:C65" si="1">IF(C3=SUM(INDIRECT(CONCATENATE("'YODA Header Blocks'!R2C",A3+1,":R2C",A3+1),FALSE)),1,C3+1)</f>
        <v>1</v>
      </c>
      <c r="D4" s="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7">
        <f t="shared" si="0"/>
        <v>2</v>
      </c>
      <c r="B5" s="7" t="str">
        <f>OFFSET('YODA Header Blocks'!$A$1,0,A5)</f>
        <v>Dataset</v>
      </c>
      <c r="C5" s="7">
        <f t="shared" si="1"/>
        <v>2</v>
      </c>
      <c r="D5" s="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""PLEASE FILL IN THE DATASET TYPE IN THE DATASET CITATION TABPLEASE FILL IN THE DATASET CODE IN THE DATASET CITATION TABPLEASE FILL IN THE DATASET TITLE IN THE DATASET CITATION TAB,  DataSetAbstract:  NULL}</v>
      </c>
    </row>
    <row r="6" spans="1:4" x14ac:dyDescent="0.25">
      <c r="A6" s="7">
        <f t="shared" si="0"/>
        <v>3</v>
      </c>
      <c r="B6" s="7" t="str">
        <f>OFFSET('YODA Header Blocks'!$A$1,0,A6)</f>
        <v>Organizations</v>
      </c>
      <c r="C6" s="7">
        <f t="shared" si="1"/>
        <v>1</v>
      </c>
      <c r="D6" s="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7">
        <f t="shared" si="0"/>
        <v>3</v>
      </c>
      <c r="B7" s="7" t="str">
        <f>OFFSET('YODA Header Blocks'!$A$1,0,A7)</f>
        <v>Organizations</v>
      </c>
      <c r="C7" s="7">
        <f t="shared" si="1"/>
        <v>2</v>
      </c>
      <c r="D7" s="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7">
        <f t="shared" si="0"/>
        <v>4</v>
      </c>
      <c r="B8" s="7" t="str">
        <f>OFFSET('YODA Header Blocks'!$A$1,0,A8)</f>
        <v>ExternalIDOrgs</v>
      </c>
      <c r="C8" s="7">
        <f t="shared" si="1"/>
        <v>1</v>
      </c>
      <c r="D8" s="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7">
        <f t="shared" si="0"/>
        <v>5</v>
      </c>
      <c r="B9" s="7" t="str">
        <f>OFFSET('YODA Header Blocks'!$A$1,0,A9)</f>
        <v>External Identifier Systems</v>
      </c>
      <c r="C9" s="7">
        <f t="shared" si="1"/>
        <v>1</v>
      </c>
      <c r="D9" s="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7">
        <f t="shared" si="0"/>
        <v>6</v>
      </c>
      <c r="B10" s="7" t="str">
        <f>OFFSET('YODA Header Blocks'!$A$1,0,A10)</f>
        <v>People</v>
      </c>
      <c r="C10" s="7">
        <f t="shared" si="1"/>
        <v>1</v>
      </c>
      <c r="D10" s="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7">
        <f t="shared" si="0"/>
        <v>6</v>
      </c>
      <c r="B11" s="7" t="str">
        <f>OFFSET('YODA Header Blocks'!$A$1,0,A11)</f>
        <v>People</v>
      </c>
      <c r="C11" s="7">
        <f t="shared" si="1"/>
        <v>2</v>
      </c>
      <c r="D11" s="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7">
        <f t="shared" si="0"/>
        <v>6</v>
      </c>
      <c r="B12" s="7" t="str">
        <f>OFFSET('YODA Header Blocks'!$A$1,0,A12)</f>
        <v>People</v>
      </c>
      <c r="C12" s="7">
        <f t="shared" si="1"/>
        <v>3</v>
      </c>
      <c r="D12" s="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&amp;PersonID0002 {PersonFirstName:  "", PersonMiddleName:  "", PersonLastName:  ""}</v>
      </c>
    </row>
    <row r="13" spans="1:4" x14ac:dyDescent="0.25">
      <c r="A13" s="7">
        <f t="shared" si="0"/>
        <v>6</v>
      </c>
      <c r="B13" s="7" t="str">
        <f>OFFSET('YODA Header Blocks'!$A$1,0,A13)</f>
        <v>People</v>
      </c>
      <c r="C13" s="7">
        <f t="shared" si="1"/>
        <v>4</v>
      </c>
      <c r="D13" s="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&amp;PersonID0003 {PersonFirstName:  "", PersonMiddleName:  "", PersonLastName:  ""}</v>
      </c>
    </row>
    <row r="14" spans="1:4" x14ac:dyDescent="0.25">
      <c r="A14" s="7">
        <f t="shared" si="0"/>
        <v>6</v>
      </c>
      <c r="B14" s="7" t="str">
        <f>OFFSET('YODA Header Blocks'!$A$1,0,A14)</f>
        <v>People</v>
      </c>
      <c r="C14" s="7">
        <f t="shared" si="1"/>
        <v>5</v>
      </c>
      <c r="D14" s="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&amp;PersonID0004 {PersonFirstName:  "", PersonMiddleName:  "", PersonLastName:  ""}</v>
      </c>
    </row>
    <row r="15" spans="1:4" x14ac:dyDescent="0.25">
      <c r="A15" s="7">
        <f t="shared" si="0"/>
        <v>6</v>
      </c>
      <c r="B15" s="7" t="str">
        <f>OFFSET('YODA Header Blocks'!$A$1,0,A15)</f>
        <v>People</v>
      </c>
      <c r="C15" s="7">
        <f t="shared" si="1"/>
        <v>6</v>
      </c>
      <c r="D15" s="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&amp;PersonID0005 {PersonFirstName:  "", PersonMiddleName:  "", PersonLastName:  ""}</v>
      </c>
    </row>
    <row r="16" spans="1:4" x14ac:dyDescent="0.25">
      <c r="A16" s="7">
        <f t="shared" si="0"/>
        <v>6</v>
      </c>
      <c r="B16" s="7" t="str">
        <f>OFFSET('YODA Header Blocks'!$A$1,0,A16)</f>
        <v>People</v>
      </c>
      <c r="C16" s="7">
        <f t="shared" si="1"/>
        <v>7</v>
      </c>
      <c r="D16" s="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&amp;PersonID0006 {PersonFirstName:  "", PersonMiddleName:  "", PersonLastName:  ""}</v>
      </c>
    </row>
    <row r="17" spans="1:4" x14ac:dyDescent="0.25">
      <c r="A17" s="7">
        <f t="shared" si="0"/>
        <v>6</v>
      </c>
      <c r="B17" s="7" t="str">
        <f>OFFSET('YODA Header Blocks'!$A$1,0,A17)</f>
        <v>People</v>
      </c>
      <c r="C17" s="7">
        <f t="shared" si="1"/>
        <v>8</v>
      </c>
      <c r="D17" s="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&amp;PersonID0007 {PersonFirstName:  "", PersonMiddleName:  "", PersonLastName:  ""}</v>
      </c>
    </row>
    <row r="18" spans="1:4" x14ac:dyDescent="0.25">
      <c r="A18" s="7">
        <f t="shared" si="0"/>
        <v>6</v>
      </c>
      <c r="B18" s="7" t="str">
        <f>OFFSET('YODA Header Blocks'!$A$1,0,A18)</f>
        <v>People</v>
      </c>
      <c r="C18" s="7">
        <f t="shared" si="1"/>
        <v>9</v>
      </c>
      <c r="D18" s="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&amp;PersonID0008 {PersonFirstName:  "", PersonMiddleName:  "", PersonLastName:  ""}</v>
      </c>
    </row>
    <row r="19" spans="1:4" x14ac:dyDescent="0.25">
      <c r="A19" s="7">
        <f t="shared" si="0"/>
        <v>6</v>
      </c>
      <c r="B19" s="7" t="str">
        <f>OFFSET('YODA Header Blocks'!$A$1,0,A19)</f>
        <v>People</v>
      </c>
      <c r="C19" s="7">
        <f t="shared" si="1"/>
        <v>10</v>
      </c>
      <c r="D19" s="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&amp;PersonID0009 {PersonFirstName:  "", PersonMiddleName:  "", PersonLastName:  ""}</v>
      </c>
    </row>
    <row r="20" spans="1:4" x14ac:dyDescent="0.25">
      <c r="A20" s="7">
        <f t="shared" si="0"/>
        <v>6</v>
      </c>
      <c r="B20" s="7" t="str">
        <f>OFFSET('YODA Header Blocks'!$A$1,0,A20)</f>
        <v>People</v>
      </c>
      <c r="C20" s="7">
        <f t="shared" si="1"/>
        <v>11</v>
      </c>
      <c r="D20" s="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&amp;PersonID0010 {PersonFirstName:  "", PersonMiddleName:  "", PersonLastName:  ""}</v>
      </c>
    </row>
    <row r="21" spans="1:4" x14ac:dyDescent="0.25">
      <c r="A21" s="7">
        <f t="shared" si="0"/>
        <v>7</v>
      </c>
      <c r="B21" s="7" t="str">
        <f>OFFSET('YODA Header Blocks'!$A$1,0,A21)</f>
        <v>Person External Identifiers</v>
      </c>
      <c r="C21" s="7">
        <f t="shared" si="1"/>
        <v>1</v>
      </c>
      <c r="D21" s="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s="7">
        <f t="shared" si="0"/>
        <v>8</v>
      </c>
      <c r="B22" s="7" t="str">
        <f>OFFSET('YODA Header Blocks'!$A$1,0,A22)</f>
        <v>Affiliations</v>
      </c>
      <c r="C22" s="7">
        <f t="shared" si="1"/>
        <v>1</v>
      </c>
      <c r="D22" s="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7">
        <f t="shared" si="0"/>
        <v>8</v>
      </c>
      <c r="B23" s="7" t="str">
        <f>OFFSET('YODA Header Blocks'!$A$1,0,A23)</f>
        <v>Affiliations</v>
      </c>
      <c r="C23" s="7">
        <f t="shared" si="1"/>
        <v>2</v>
      </c>
      <c r="D23" s="7" t="e">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#N/A</v>
      </c>
    </row>
    <row r="24" spans="1:4" x14ac:dyDescent="0.25">
      <c r="A24" s="7">
        <f t="shared" si="0"/>
        <v>9</v>
      </c>
      <c r="B24" s="7" t="str">
        <f>OFFSET('YODA Header Blocks'!$A$1,0,A24)</f>
        <v>Citation</v>
      </c>
      <c r="C24" s="7">
        <f t="shared" si="1"/>
        <v>1</v>
      </c>
      <c r="D24" s="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7">
        <f t="shared" si="0"/>
        <v>10</v>
      </c>
      <c r="B25" s="7" t="str">
        <f>OFFSET('YODA Header Blocks'!$A$1,0,A25)</f>
        <v>Citation External Identifiers</v>
      </c>
      <c r="C25" s="7">
        <f t="shared" si="1"/>
        <v>1</v>
      </c>
      <c r="D25" s="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7">
        <f t="shared" si="0"/>
        <v>11</v>
      </c>
      <c r="B26" s="7" t="str">
        <f>OFFSET('YODA Header Blocks'!$A$1,0,A26)</f>
        <v>AuthorList</v>
      </c>
      <c r="C26" s="7">
        <f t="shared" si="1"/>
        <v>1</v>
      </c>
      <c r="D26" s="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7">
        <f t="shared" si="0"/>
        <v>12</v>
      </c>
      <c r="B27" s="7" t="str">
        <f>OFFSET('YODA Header Blocks'!$A$1,0,A27)</f>
        <v>DatasetCitations</v>
      </c>
      <c r="C27" s="7">
        <f t="shared" si="1"/>
        <v>1</v>
      </c>
      <c r="D27" s="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7">
        <f t="shared" si="0"/>
        <v>13</v>
      </c>
      <c r="B28" s="7" t="str">
        <f>OFFSET('YODA Header Blocks'!$A$1,0,A28)</f>
        <v>Spatial References</v>
      </c>
      <c r="C28" s="7">
        <f t="shared" si="1"/>
        <v>1</v>
      </c>
      <c r="D28" s="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SpatialReferences:</v>
      </c>
    </row>
    <row r="29" spans="1:4" x14ac:dyDescent="0.25">
      <c r="A29" s="7">
        <f t="shared" si="0"/>
        <v>13</v>
      </c>
      <c r="B29" s="7" t="str">
        <f>OFFSET('YODA Header Blocks'!$A$1,0,A29)</f>
        <v>Spatial References</v>
      </c>
      <c r="C29" s="7">
        <f t="shared" si="1"/>
        <v>2</v>
      </c>
      <c r="D29" s="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 VALID LAT/LONG DATUM</v>
      </c>
    </row>
    <row r="30" spans="1:4" x14ac:dyDescent="0.25">
      <c r="A30" s="7">
        <f t="shared" si="0"/>
        <v>14</v>
      </c>
      <c r="B30" s="7" t="str">
        <f>OFFSET('YODA Header Blocks'!$A$1,0,A30)</f>
        <v>Sampling Features</v>
      </c>
      <c r="C30" s="7">
        <f t="shared" si="1"/>
        <v>1</v>
      </c>
      <c r="D30" s="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SamplingFeatures:</v>
      </c>
    </row>
    <row r="31" spans="1:4" x14ac:dyDescent="0.25">
      <c r="A31" s="7">
        <f t="shared" si="0"/>
        <v>14</v>
      </c>
      <c r="B31" s="7" t="str">
        <f>OFFSET('YODA Header Blocks'!$A$1,0,A31)</f>
        <v>Sampling Features</v>
      </c>
      <c r="C31" s="7">
        <f t="shared" si="1"/>
        <v>2</v>
      </c>
      <c r="D31" s="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SAMPLING FEATURE</v>
      </c>
    </row>
    <row r="32" spans="1:4" x14ac:dyDescent="0.25">
      <c r="A32" s="7">
        <f t="shared" si="0"/>
        <v>15</v>
      </c>
      <c r="B32" s="7" t="str">
        <f>OFFSET('YODA Header Blocks'!$A$1,0,A32)</f>
        <v>Sampling Feature External Identifiers</v>
      </c>
      <c r="C32" s="7">
        <f t="shared" si="1"/>
        <v>1</v>
      </c>
      <c r="D32" s="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7">
        <f t="shared" si="0"/>
        <v>16</v>
      </c>
      <c r="B33" s="7" t="str">
        <f>OFFSET('YODA Header Blocks'!$A$1,0,A33)</f>
        <v>Sites</v>
      </c>
      <c r="C33" s="7">
        <f t="shared" si="1"/>
        <v>1</v>
      </c>
      <c r="D33" s="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c>
    </row>
    <row r="34" spans="1:4" x14ac:dyDescent="0.25">
      <c r="A34" s="7">
        <f t="shared" si="0"/>
        <v>17</v>
      </c>
      <c r="B34" s="7" t="str">
        <f>OFFSET('YODA Header Blocks'!$A$1,0,A34)</f>
        <v>Specimens</v>
      </c>
      <c r="C34" s="7">
        <f t="shared" si="1"/>
        <v>1</v>
      </c>
      <c r="D34" s="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c>
    </row>
    <row r="35" spans="1:4" x14ac:dyDescent="0.25">
      <c r="A35" s="7">
        <f t="shared" si="0"/>
        <v>18</v>
      </c>
      <c r="B35" s="7" t="str">
        <f>OFFSET('YODA Header Blocks'!$A$1,0,A35)</f>
        <v>SpatialOffsets</v>
      </c>
      <c r="C35" s="7">
        <f t="shared" si="1"/>
        <v>1</v>
      </c>
      <c r="D35" s="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c>
    </row>
    <row r="36" spans="1:4" x14ac:dyDescent="0.25">
      <c r="A36" s="7">
        <f t="shared" si="0"/>
        <v>19</v>
      </c>
      <c r="B36" s="7" t="str">
        <f>OFFSET('YODA Header Blocks'!$A$1,0,A36)</f>
        <v>RelatedFeatures</v>
      </c>
      <c r="C36" s="7">
        <f t="shared" si="1"/>
        <v>1</v>
      </c>
      <c r="D36" s="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c>
    </row>
    <row r="37" spans="1:4" x14ac:dyDescent="0.25">
      <c r="A37" s="7">
        <f t="shared" si="0"/>
        <v>20</v>
      </c>
      <c r="B37" s="7" t="str">
        <f>OFFSET('YODA Header Blocks'!$A$1,0,A37)</f>
        <v>Methods</v>
      </c>
      <c r="C37" s="7">
        <f t="shared" si="1"/>
        <v>1</v>
      </c>
      <c r="D37" s="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Methods:</v>
      </c>
    </row>
    <row r="38" spans="1:4" x14ac:dyDescent="0.25">
      <c r="A38" s="7">
        <f t="shared" si="0"/>
        <v>20</v>
      </c>
      <c r="B38" s="7" t="str">
        <f>OFFSET('YODA Header Blocks'!$A$1,0,A38)</f>
        <v>Methods</v>
      </c>
      <c r="C38" s="7">
        <f t="shared" si="1"/>
        <v>2</v>
      </c>
      <c r="D38" s="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PLEASE FILL IN AT LEAST ONE METHOD</v>
      </c>
    </row>
    <row r="39" spans="1:4" x14ac:dyDescent="0.25">
      <c r="A39" s="7">
        <f t="shared" si="0"/>
        <v>21</v>
      </c>
      <c r="B39" s="7" t="str">
        <f>OFFSET('YODA Header Blocks'!$A$1,0,A39)</f>
        <v>Variables</v>
      </c>
      <c r="C39" s="7">
        <f t="shared" si="1"/>
        <v>1</v>
      </c>
      <c r="D39" s="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Variables:</v>
      </c>
    </row>
    <row r="40" spans="1:4" x14ac:dyDescent="0.25">
      <c r="A40" s="7">
        <f t="shared" si="0"/>
        <v>21</v>
      </c>
      <c r="B40" s="7" t="str">
        <f>OFFSET('YODA Header Blocks'!$A$1,0,A40)</f>
        <v>Variables</v>
      </c>
      <c r="C40" s="7">
        <f t="shared" si="1"/>
        <v>2</v>
      </c>
      <c r="D40" s="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AT LEAST ONE VARIABLE</v>
      </c>
    </row>
    <row r="41" spans="1:4" x14ac:dyDescent="0.25">
      <c r="A41" s="7">
        <f t="shared" si="0"/>
        <v>22</v>
      </c>
      <c r="B41" s="7" t="str">
        <f>OFFSET('YODA Header Blocks'!$A$1,0,A41)</f>
        <v>Units</v>
      </c>
      <c r="C41" s="7">
        <f t="shared" si="1"/>
        <v>1</v>
      </c>
      <c r="D41" s="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c>
    </row>
    <row r="42" spans="1:4" x14ac:dyDescent="0.25">
      <c r="A42" s="7">
        <f t="shared" si="0"/>
        <v>23</v>
      </c>
      <c r="B42" s="7" t="str">
        <f>OFFSET('YODA Header Blocks'!$A$1,0,A42)</f>
        <v>Processing Levels</v>
      </c>
      <c r="C42" s="7">
        <f t="shared" si="1"/>
        <v>1</v>
      </c>
      <c r="D42" s="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Processing Levels:</v>
      </c>
    </row>
    <row r="43" spans="1:4" x14ac:dyDescent="0.25">
      <c r="A43" s="7">
        <f t="shared" si="0"/>
        <v>23</v>
      </c>
      <c r="B43" s="7" t="str">
        <f>OFFSET('YODA Header Blocks'!$A$1,0,A43)</f>
        <v>Processing Levels</v>
      </c>
      <c r="C43" s="7">
        <f t="shared" si="1"/>
        <v>2</v>
      </c>
      <c r="D43" s="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44" spans="1:4" x14ac:dyDescent="0.25">
      <c r="A44" s="7">
        <f t="shared" si="0"/>
        <v>23</v>
      </c>
      <c r="B44" s="7" t="str">
        <f>OFFSET('YODA Header Blocks'!$A$1,0,A44)</f>
        <v>Processing Levels</v>
      </c>
      <c r="C44" s="7">
        <f t="shared" si="1"/>
        <v>3</v>
      </c>
      <c r="D44" s="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"Processed data and data products that have undergone quality control"}</v>
      </c>
    </row>
    <row r="45" spans="1:4" x14ac:dyDescent="0.25">
      <c r="A45" s="7">
        <f t="shared" si="0"/>
        <v>23</v>
      </c>
      <c r="B45" s="7" t="str">
        <f>OFFSET('YODA Header Blocks'!$A$1,0,A45)</f>
        <v>Processing Levels</v>
      </c>
      <c r="C45" s="7">
        <f t="shared" si="1"/>
        <v>4</v>
      </c>
      <c r="D45" s="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46" spans="1:4" x14ac:dyDescent="0.25">
      <c r="A46" s="7">
        <f t="shared" si="0"/>
        <v>23</v>
      </c>
      <c r="B46" s="7" t="str">
        <f>OFFSET('YODA Header Blocks'!$A$1,0,A46)</f>
        <v>Processing Levels</v>
      </c>
      <c r="C46" s="7">
        <f t="shared" si="1"/>
        <v>5</v>
      </c>
      <c r="D46" s="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47" spans="1:4" x14ac:dyDescent="0.25">
      <c r="A47" s="7">
        <f t="shared" si="0"/>
        <v>23</v>
      </c>
      <c r="B47" s="7" t="str">
        <f>OFFSET('YODA Header Blocks'!$A$1,0,A47)</f>
        <v>Processing Levels</v>
      </c>
      <c r="C47" s="7">
        <f t="shared" si="1"/>
        <v>6</v>
      </c>
      <c r="D47" s="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48" spans="1:4" x14ac:dyDescent="0.25">
      <c r="A48" s="7">
        <f t="shared" si="0"/>
        <v>24</v>
      </c>
      <c r="B48" s="7" t="str">
        <f>OFFSET('YODA Header Blocks'!$A$1,0,A48)</f>
        <v>Actions</v>
      </c>
      <c r="C48" s="7">
        <f t="shared" si="1"/>
        <v>1</v>
      </c>
      <c r="D48" s="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Actions:</v>
      </c>
    </row>
    <row r="49" spans="1:4" x14ac:dyDescent="0.25">
      <c r="A49" s="7">
        <f t="shared" si="0"/>
        <v>24</v>
      </c>
      <c r="B49" s="7" t="str">
        <f>OFFSET('YODA Header Blocks'!$A$1,0,A49)</f>
        <v>Actions</v>
      </c>
      <c r="C49" s="7">
        <f t="shared" si="1"/>
        <v>2</v>
      </c>
      <c r="D49" s="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PLEASE FILL IN METADATA FOR AT LEAST ONE DATA COLUMN</v>
      </c>
    </row>
    <row r="50" spans="1:4" x14ac:dyDescent="0.25">
      <c r="A50" s="7">
        <f t="shared" si="0"/>
        <v>25</v>
      </c>
      <c r="B50" s="7" t="str">
        <f>OFFSET('YODA Header Blocks'!$A$1,0,A50)</f>
        <v>Feature Actions</v>
      </c>
      <c r="C50" s="7">
        <f t="shared" si="1"/>
        <v>1</v>
      </c>
      <c r="D50" s="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FeatureActions:</v>
      </c>
    </row>
    <row r="51" spans="1:4" x14ac:dyDescent="0.25">
      <c r="A51" s="7">
        <f t="shared" si="0"/>
        <v>25</v>
      </c>
      <c r="B51" s="7" t="str">
        <f>OFFSET('YODA Header Blocks'!$A$1,0,A51)</f>
        <v>Feature Actions</v>
      </c>
      <c r="C51" s="7">
        <f t="shared" si="1"/>
        <v>2</v>
      </c>
      <c r="D51" s="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7">
        <f t="shared" si="0"/>
        <v>26</v>
      </c>
      <c r="B52" s="7" t="str">
        <f>OFFSET('YODA Header Blocks'!$A$1,0,A52)</f>
        <v>Results</v>
      </c>
      <c r="C52" s="7">
        <f t="shared" si="1"/>
        <v>1</v>
      </c>
      <c r="D52" s="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Results:</v>
      </c>
    </row>
    <row r="53" spans="1:4" x14ac:dyDescent="0.25">
      <c r="A53" s="7">
        <f t="shared" si="0"/>
        <v>26</v>
      </c>
      <c r="B53" s="7" t="str">
        <f>OFFSET('YODA Header Blocks'!$A$1,0,A53)</f>
        <v>Results</v>
      </c>
      <c r="C53" s="7">
        <f t="shared" si="1"/>
        <v>2</v>
      </c>
      <c r="D53" s="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PLEASE FILL IN METADATA FOR AT LEAST ONE DATA COLUMN</v>
      </c>
    </row>
    <row r="54" spans="1:4" x14ac:dyDescent="0.25">
      <c r="A54" s="7">
        <f t="shared" si="0"/>
        <v>27</v>
      </c>
      <c r="B54" s="7" t="str">
        <f>OFFSET('YODA Header Blocks'!$A$1,0,A54)</f>
        <v>Time Series Results</v>
      </c>
      <c r="C54" s="7">
        <f t="shared" si="1"/>
        <v>1</v>
      </c>
      <c r="D54" s="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TimeSeriesResults:</v>
      </c>
    </row>
    <row r="55" spans="1:4" x14ac:dyDescent="0.25">
      <c r="A55" s="7">
        <f t="shared" si="0"/>
        <v>27</v>
      </c>
      <c r="B55" s="7" t="str">
        <f>OFFSET('YODA Header Blocks'!$A$1,0,A55)</f>
        <v>Time Series Results</v>
      </c>
      <c r="C55" s="7">
        <f t="shared" si="1"/>
        <v>2</v>
      </c>
      <c r="D55" s="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PLEASE FILL IN METADATA FOR AT LEAST ONE DATA COLUMN</v>
      </c>
    </row>
    <row r="56" spans="1:4" x14ac:dyDescent="0.25">
      <c r="A56" s="7">
        <f t="shared" si="0"/>
        <v>28</v>
      </c>
      <c r="B56" s="7" t="str">
        <f>OFFSET('YODA Header Blocks'!$A$1,0,A56)</f>
        <v>Time Series Result Values</v>
      </c>
      <c r="C56" s="7">
        <f t="shared" si="1"/>
        <v>1</v>
      </c>
      <c r="D56" s="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TimeSeriesResultValues:</v>
      </c>
    </row>
    <row r="57" spans="1:4" x14ac:dyDescent="0.25">
      <c r="A57" s="7">
        <f t="shared" si="0"/>
        <v>28</v>
      </c>
      <c r="B57" s="7" t="str">
        <f>OFFSET('YODA Header Blocks'!$A$1,0,A57)</f>
        <v>Time Series Result Values</v>
      </c>
      <c r="C57" s="7">
        <f t="shared" si="1"/>
        <v>2</v>
      </c>
      <c r="D57" s="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ColumnDefinitions:</v>
      </c>
    </row>
    <row r="58" spans="1:4" x14ac:dyDescent="0.25">
      <c r="A58" s="7">
        <f t="shared" si="0"/>
        <v>28</v>
      </c>
      <c r="B58" s="7" t="str">
        <f>OFFSET('YODA Header Blocks'!$A$1,0,A58)</f>
        <v>Time Series Result Values</v>
      </c>
      <c r="C58" s="7">
        <f t="shared" si="1"/>
        <v>3</v>
      </c>
      <c r="D58" s="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9" spans="1:4" x14ac:dyDescent="0.25">
      <c r="A59" s="7">
        <f t="shared" si="0"/>
        <v>28</v>
      </c>
      <c r="B59" s="7" t="str">
        <f>OFFSET('YODA Header Blocks'!$A$1,0,A59)</f>
        <v>Time Series Result Values</v>
      </c>
      <c r="C59" s="7">
        <f t="shared" si="1"/>
        <v>4</v>
      </c>
      <c r="D59" s="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60" spans="1:4" x14ac:dyDescent="0.25">
      <c r="A60" s="7">
        <f t="shared" si="0"/>
        <v>28</v>
      </c>
      <c r="B60" s="7" t="str">
        <f>OFFSET('YODA Header Blocks'!$A$1,0,A60)</f>
        <v>Time Series Result Values</v>
      </c>
      <c r="C60" s="7">
        <f t="shared" si="1"/>
        <v>5</v>
      </c>
      <c r="D60" s="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PLEASE FILL IN METADATA FOR AT LEAST ONE DATA COLUMN</v>
      </c>
    </row>
    <row r="61" spans="1:4" x14ac:dyDescent="0.25">
      <c r="A61" s="7">
        <f t="shared" si="0"/>
        <v>29</v>
      </c>
      <c r="B61" s="7" t="str">
        <f>OFFSET('YODA Header Blocks'!$A$1,0,A61)</f>
        <v>Measurement Results</v>
      </c>
      <c r="C61" s="7">
        <f t="shared" si="1"/>
        <v>1</v>
      </c>
      <c r="D61" s="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c>
    </row>
    <row r="62" spans="1:4" x14ac:dyDescent="0.25">
      <c r="A62" s="7">
        <f t="shared" si="0"/>
        <v>30</v>
      </c>
      <c r="B62" s="7" t="str">
        <f>OFFSET('YODA Header Blocks'!$A$1,0,A62)</f>
        <v>Measurement Result Values</v>
      </c>
      <c r="C62" s="7">
        <f t="shared" si="1"/>
        <v>1</v>
      </c>
      <c r="D62" s="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c>
    </row>
    <row r="63" spans="1:4" x14ac:dyDescent="0.25">
      <c r="A63" s="7">
        <f t="shared" si="0"/>
        <v>31</v>
      </c>
      <c r="B63" s="7" t="str">
        <f>OFFSET('YODA Header Blocks'!$A$1,0,A63)</f>
        <v>Data Helper</v>
      </c>
      <c r="C63" s="7">
        <f t="shared" si="1"/>
        <v>1</v>
      </c>
      <c r="D63" s="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Data:</v>
      </c>
    </row>
    <row r="64" spans="1:4" x14ac:dyDescent="0.25">
      <c r="A64" s="7">
        <f t="shared" si="0"/>
        <v>32</v>
      </c>
      <c r="B64" s="7" t="str">
        <f>OFFSET('YODA Header Blocks'!$A$1,0,A64)</f>
        <v>Data Helper2</v>
      </c>
      <c r="C64" s="7">
        <f t="shared" si="1"/>
        <v>1</v>
      </c>
      <c r="D64" s="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v>
      </c>
    </row>
    <row r="65" spans="1:4" x14ac:dyDescent="0.25">
      <c r="A65" s="7">
        <f t="shared" si="0"/>
        <v>32</v>
      </c>
      <c r="B65" s="7" t="str">
        <f>OFFSET('YODA Header Blocks'!$A$1,0,A65)</f>
        <v>Data Helper2</v>
      </c>
      <c r="C65" s="7">
        <f t="shared" si="1"/>
        <v>2</v>
      </c>
      <c r="D65" s="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PLEASE FILL IN METADATA FOR AT LEAST ONE DATA COLUMN</v>
      </c>
    </row>
    <row r="66" spans="1:4" x14ac:dyDescent="0.25">
      <c r="D66" s="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v>
      </c>
    </row>
    <row r="67" spans="1:4" x14ac:dyDescent="0.25">
      <c r="D67" s="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50"/>
  <sheetViews>
    <sheetView tabSelected="1" workbookViewId="0">
      <selection sqref="A1:A66"/>
    </sheetView>
  </sheetViews>
  <sheetFormatPr defaultRowHeight="15" x14ac:dyDescent="0.25"/>
  <sheetData>
    <row r="1" spans="1:1" x14ac:dyDescent="0.25">
      <c r="A1" t="s">
        <v>136</v>
      </c>
    </row>
    <row r="2" spans="1:1" x14ac:dyDescent="0.25">
      <c r="A2" t="s">
        <v>1372</v>
      </c>
    </row>
    <row r="3" spans="1:1" x14ac:dyDescent="0.25">
      <c r="A3" t="s">
        <v>1282</v>
      </c>
    </row>
    <row r="4" spans="1:1" x14ac:dyDescent="0.25">
      <c r="A4" t="s">
        <v>1392</v>
      </c>
    </row>
    <row r="5" spans="1:1" x14ac:dyDescent="0.25">
      <c r="A5" t="s">
        <v>191</v>
      </c>
    </row>
    <row r="6" spans="1:1" x14ac:dyDescent="0.25">
      <c r="A6" t="s">
        <v>1382</v>
      </c>
    </row>
    <row r="7" spans="1:1" x14ac:dyDescent="0.25">
      <c r="A7" t="s">
        <v>189</v>
      </c>
    </row>
    <row r="8" spans="1:1" x14ac:dyDescent="0.25">
      <c r="A8" t="s">
        <v>1383</v>
      </c>
    </row>
    <row r="9" spans="1:1" x14ac:dyDescent="0.25">
      <c r="A9" t="s">
        <v>1393</v>
      </c>
    </row>
    <row r="10" spans="1:1" x14ac:dyDescent="0.25">
      <c r="A10" t="s">
        <v>1394</v>
      </c>
    </row>
    <row r="11" spans="1:1" x14ac:dyDescent="0.25">
      <c r="A11" t="s">
        <v>1395</v>
      </c>
    </row>
    <row r="12" spans="1:1" x14ac:dyDescent="0.25">
      <c r="A12" t="s">
        <v>1396</v>
      </c>
    </row>
    <row r="13" spans="1:1" x14ac:dyDescent="0.25">
      <c r="A13" t="s">
        <v>1397</v>
      </c>
    </row>
    <row r="14" spans="1:1" x14ac:dyDescent="0.25">
      <c r="A14" t="s">
        <v>1398</v>
      </c>
    </row>
    <row r="15" spans="1:1" x14ac:dyDescent="0.25">
      <c r="A15" t="s">
        <v>1399</v>
      </c>
    </row>
    <row r="16" spans="1:1" x14ac:dyDescent="0.25">
      <c r="A16" t="s">
        <v>1400</v>
      </c>
    </row>
    <row r="17" spans="1:1" x14ac:dyDescent="0.25">
      <c r="A17" t="s">
        <v>1401</v>
      </c>
    </row>
    <row r="18" spans="1:1" x14ac:dyDescent="0.25">
      <c r="A18" t="s">
        <v>192</v>
      </c>
    </row>
    <row r="19" spans="1:1" x14ac:dyDescent="0.25">
      <c r="A19" t="e">
        <v>#N/A</v>
      </c>
    </row>
    <row r="20" spans="1:1" x14ac:dyDescent="0.25">
      <c r="A20" t="s">
        <v>234</v>
      </c>
    </row>
    <row r="21" spans="1:1" x14ac:dyDescent="0.25">
      <c r="A21" t="s">
        <v>1384</v>
      </c>
    </row>
    <row r="22" spans="1:1" x14ac:dyDescent="0.25">
      <c r="A22" t="s">
        <v>235</v>
      </c>
    </row>
    <row r="23" spans="1:1" x14ac:dyDescent="0.25">
      <c r="A23" t="s">
        <v>1385</v>
      </c>
    </row>
    <row r="24" spans="1:1" x14ac:dyDescent="0.25">
      <c r="A24" t="s">
        <v>295</v>
      </c>
    </row>
    <row r="25" spans="1:1" x14ac:dyDescent="0.25">
      <c r="A25" t="s">
        <v>1386</v>
      </c>
    </row>
    <row r="26" spans="1:1" x14ac:dyDescent="0.25">
      <c r="A26" t="s">
        <v>1106</v>
      </c>
    </row>
    <row r="27" spans="1:1" x14ac:dyDescent="0.25">
      <c r="A27" t="s">
        <v>1387</v>
      </c>
    </row>
    <row r="28" spans="1:1" x14ac:dyDescent="0.25">
      <c r="A28" t="s">
        <v>1228</v>
      </c>
    </row>
    <row r="29" spans="1:1" x14ac:dyDescent="0.25">
      <c r="A29" t="s">
        <v>1321</v>
      </c>
    </row>
    <row r="30" spans="1:1" x14ac:dyDescent="0.25">
      <c r="A30" t="s">
        <v>1322</v>
      </c>
    </row>
    <row r="31" spans="1:1" x14ac:dyDescent="0.25">
      <c r="A31" t="s">
        <v>1388</v>
      </c>
    </row>
    <row r="32" spans="1:1" x14ac:dyDescent="0.25">
      <c r="A32" t="s">
        <v>1389</v>
      </c>
    </row>
    <row r="33" spans="1:1" x14ac:dyDescent="0.25">
      <c r="A33" t="s">
        <v>1390</v>
      </c>
    </row>
    <row r="34" spans="1:1" x14ac:dyDescent="0.25">
      <c r="A34" t="s">
        <v>1235</v>
      </c>
    </row>
    <row r="35" spans="1:1" x14ac:dyDescent="0.25">
      <c r="A35" t="s">
        <v>1391</v>
      </c>
    </row>
    <row r="36" spans="1:1" x14ac:dyDescent="0.25">
      <c r="A36" t="s">
        <v>1237</v>
      </c>
    </row>
    <row r="37" spans="1:1" x14ac:dyDescent="0.25">
      <c r="A37" t="s">
        <v>1391</v>
      </c>
    </row>
    <row r="38" spans="1:1" x14ac:dyDescent="0.25">
      <c r="A38" t="s">
        <v>1239</v>
      </c>
    </row>
    <row r="39" spans="1:1" x14ac:dyDescent="0.25">
      <c r="A39" t="s">
        <v>1391</v>
      </c>
    </row>
    <row r="40" spans="1:1" x14ac:dyDescent="0.25">
      <c r="A40" t="s">
        <v>1240</v>
      </c>
    </row>
    <row r="41" spans="1:1" x14ac:dyDescent="0.25">
      <c r="A41" t="s">
        <v>1391</v>
      </c>
    </row>
    <row r="42" spans="1:1" x14ac:dyDescent="0.25">
      <c r="A42" t="s">
        <v>1242</v>
      </c>
    </row>
    <row r="43" spans="1:1" x14ac:dyDescent="0.25">
      <c r="A43" t="s">
        <v>1247</v>
      </c>
    </row>
    <row r="44" spans="1:1" x14ac:dyDescent="0.25">
      <c r="A44" t="s">
        <v>1248</v>
      </c>
    </row>
    <row r="45" spans="1:1" x14ac:dyDescent="0.25">
      <c r="A45" t="s">
        <v>1249</v>
      </c>
    </row>
    <row r="46" spans="1:1" x14ac:dyDescent="0.25">
      <c r="A46" t="s">
        <v>1391</v>
      </c>
    </row>
    <row r="47" spans="1:1" x14ac:dyDescent="0.25">
      <c r="A47" t="s">
        <v>1254</v>
      </c>
    </row>
    <row r="48" spans="1:1" x14ac:dyDescent="0.25">
      <c r="A48" t="s">
        <v>1257</v>
      </c>
    </row>
    <row r="49" spans="1:1" x14ac:dyDescent="0.25">
      <c r="A49" t="s">
        <v>1391</v>
      </c>
    </row>
    <row r="50" spans="1:1" x14ac:dyDescent="0.25">
      <c r="A50" t="s">
        <v>1279</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1324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1324</v>
      </c>
    </row>
    <row r="2" spans="1:4" ht="15.75" thickBot="1" x14ac:dyDescent="0.3"/>
    <row r="3" spans="1:4" ht="15.75" thickTop="1" x14ac:dyDescent="0.25">
      <c r="A3" s="160" t="s">
        <v>1329</v>
      </c>
      <c r="B3" s="161"/>
      <c r="C3" s="161"/>
      <c r="D3" s="162"/>
    </row>
    <row r="4" spans="1:4" ht="15.75" thickBot="1" x14ac:dyDescent="0.3">
      <c r="A4" s="117" t="s">
        <v>1325</v>
      </c>
      <c r="B4" s="118" t="s">
        <v>1326</v>
      </c>
      <c r="C4" s="118" t="s">
        <v>1327</v>
      </c>
      <c r="D4" s="119" t="s">
        <v>1328</v>
      </c>
    </row>
    <row r="5" spans="1:4" ht="15.75" thickTop="1" x14ac:dyDescent="0.25">
      <c r="A5" s="126" t="s">
        <v>14</v>
      </c>
      <c r="B5" s="120" t="s">
        <v>14</v>
      </c>
      <c r="C5" s="121" t="s">
        <v>1339</v>
      </c>
      <c r="D5" s="127"/>
    </row>
    <row r="6" spans="1:4" ht="60" x14ac:dyDescent="0.25">
      <c r="A6" s="128" t="s">
        <v>1330</v>
      </c>
      <c r="B6" s="122" t="s">
        <v>130</v>
      </c>
      <c r="C6" s="123" t="s">
        <v>1331</v>
      </c>
      <c r="D6" s="129" t="s">
        <v>1332</v>
      </c>
    </row>
    <row r="7" spans="1:4" ht="60" x14ac:dyDescent="0.25">
      <c r="A7" s="128" t="s">
        <v>1333</v>
      </c>
      <c r="B7" s="122" t="s">
        <v>131</v>
      </c>
      <c r="C7" s="123" t="s">
        <v>1334</v>
      </c>
      <c r="D7" s="129" t="s">
        <v>1335</v>
      </c>
    </row>
    <row r="8" spans="1:4" ht="30.75" thickBot="1" x14ac:dyDescent="0.3">
      <c r="A8" s="130" t="s">
        <v>1336</v>
      </c>
      <c r="B8" s="131" t="s">
        <v>132</v>
      </c>
      <c r="C8" s="132" t="s">
        <v>1337</v>
      </c>
      <c r="D8" s="133" t="s">
        <v>1338</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6" customWidth="1"/>
    <col min="4" max="4" width="48.140625" customWidth="1"/>
    <col min="5" max="5" width="38.42578125" bestFit="1" customWidth="1"/>
  </cols>
  <sheetData>
    <row r="1" spans="1:6" x14ac:dyDescent="0.25">
      <c r="A1" t="s">
        <v>1324</v>
      </c>
    </row>
    <row r="2" spans="1:6" ht="15.75" thickBot="1" x14ac:dyDescent="0.3"/>
    <row r="3" spans="1:6" s="7" customFormat="1" x14ac:dyDescent="0.25">
      <c r="A3" s="163" t="s">
        <v>1362</v>
      </c>
      <c r="B3" s="164"/>
      <c r="C3" s="164"/>
      <c r="D3" s="164"/>
      <c r="E3" s="165"/>
      <c r="F3"/>
    </row>
    <row r="4" spans="1:6" s="7" customFormat="1" ht="15.75" thickBot="1" x14ac:dyDescent="0.3">
      <c r="A4" s="94" t="s">
        <v>156</v>
      </c>
      <c r="B4" s="73" t="s">
        <v>157</v>
      </c>
      <c r="C4" s="73" t="s">
        <v>19</v>
      </c>
      <c r="D4" s="84" t="s">
        <v>158</v>
      </c>
      <c r="E4" s="85" t="s">
        <v>159</v>
      </c>
    </row>
    <row r="5" spans="1:6" s="7" customFormat="1" ht="75.75" thickTop="1" x14ac:dyDescent="0.25">
      <c r="A5" s="141" t="s">
        <v>171</v>
      </c>
      <c r="B5" s="23" t="s">
        <v>1343</v>
      </c>
      <c r="C5" s="23" t="s">
        <v>1343</v>
      </c>
      <c r="D5" s="58" t="s">
        <v>1355</v>
      </c>
      <c r="E5" s="142" t="s">
        <v>1344</v>
      </c>
    </row>
    <row r="6" spans="1:6" s="7" customFormat="1" ht="150" x14ac:dyDescent="0.25">
      <c r="A6" s="135" t="s">
        <v>171</v>
      </c>
      <c r="B6" s="13" t="s">
        <v>1356</v>
      </c>
      <c r="C6" s="13" t="s">
        <v>1357</v>
      </c>
      <c r="D6" s="14" t="s">
        <v>1358</v>
      </c>
      <c r="E6" s="136" t="s">
        <v>1359</v>
      </c>
    </row>
    <row r="7" spans="1:6" s="7" customFormat="1" ht="75.75" thickBot="1" x14ac:dyDescent="0.3">
      <c r="A7" s="137" t="s">
        <v>171</v>
      </c>
      <c r="B7" s="138" t="s">
        <v>1349</v>
      </c>
      <c r="C7" s="138" t="s">
        <v>1360</v>
      </c>
      <c r="D7" s="139" t="s">
        <v>1361</v>
      </c>
      <c r="E7" s="140" t="s">
        <v>1347</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67" t="s">
        <v>1354</v>
      </c>
      <c r="B16" s="168"/>
      <c r="C16" s="168"/>
      <c r="D16" s="168"/>
      <c r="E16" s="169"/>
    </row>
    <row r="17" spans="1:5" ht="15.75" thickBot="1" x14ac:dyDescent="0.3">
      <c r="A17" s="117" t="s">
        <v>1340</v>
      </c>
      <c r="B17" s="118" t="s">
        <v>1364</v>
      </c>
      <c r="C17" s="134" t="s">
        <v>1341</v>
      </c>
      <c r="D17" s="119" t="s">
        <v>1342</v>
      </c>
      <c r="E17" s="118" t="s">
        <v>1368</v>
      </c>
    </row>
    <row r="18" spans="1:5" ht="90.75" thickTop="1" x14ac:dyDescent="0.25">
      <c r="A18" s="143" t="s">
        <v>1343</v>
      </c>
      <c r="B18" s="120" t="s">
        <v>1343</v>
      </c>
      <c r="C18" s="121" t="s">
        <v>1345</v>
      </c>
      <c r="D18" s="145" t="s">
        <v>1344</v>
      </c>
      <c r="E18" s="170" t="s">
        <v>1344</v>
      </c>
    </row>
    <row r="19" spans="1:5" s="5" customFormat="1" ht="30" x14ac:dyDescent="0.25">
      <c r="A19" s="144" t="s">
        <v>1353</v>
      </c>
      <c r="B19" s="122" t="s">
        <v>1357</v>
      </c>
      <c r="C19" s="123" t="s">
        <v>1350</v>
      </c>
      <c r="D19" s="146" t="s">
        <v>1351</v>
      </c>
      <c r="E19" s="129"/>
    </row>
    <row r="20" spans="1:5" ht="90.75" thickBot="1" x14ac:dyDescent="0.3">
      <c r="A20" s="147" t="s">
        <v>1352</v>
      </c>
      <c r="B20" s="124" t="s">
        <v>1360</v>
      </c>
      <c r="C20" s="125" t="s">
        <v>1346</v>
      </c>
      <c r="D20" s="148" t="s">
        <v>1347</v>
      </c>
      <c r="E20" s="166" t="s">
        <v>1369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2015-03-12T16:30:24Z</dcterms:modified>
</cp:coreProperties>
</file>