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0" windowWidth="19320" windowHeight="6105"/>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state="hidden" r:id="rId11"/>
    <sheet name="YODA Generator" sheetId="15" state="hidden" r:id="rId12"/>
    <sheet name="YODA File" sheetId="16" r:id="rId13"/>
    <sheet name="Controlled Vocabularies" sheetId="3" state="hidden" r:id="rId14"/>
    <sheet name="Units" sheetId="19" state="hidden" r:id="rId15"/>
    <sheet name="SpatialReferences" sheetId="18" state="hidden" r:id="rId16"/>
    <sheet name="ExternalIdentifierSystems" sheetId="17" state="hidden" r:id="rId17"/>
  </sheets>
  <functionGroups builtInGroupCount="17"/>
  <definedNames>
    <definedName name="_xlnm._FilterDatabase" localSheetId="12" hidden="1">'YODA File'!$A$1:$A$41</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Citation'!$B$13</definedName>
    <definedName name="CitationInformation">'Dataset Citation'!$B$9:$B$14</definedName>
    <definedName name="CitationLink">'Dataset Citation'!$B$14</definedName>
    <definedName name="CitationTitle">'Dataset Citation'!$B$10</definedName>
    <definedName name="DatasetAbstract">'Dataset Citation'!$B$8</definedName>
    <definedName name="DatasetCitationRelationship">'Dataset Citation'!$B$9</definedName>
    <definedName name="DatasetCode">'Dataset Citation'!$B$6</definedName>
    <definedName name="DatasetTitle">'Dataset Citation'!$B$7</definedName>
    <definedName name="DatasetType">'Dataset Citation'!$B$5</definedName>
    <definedName name="DataSetTypeCV">INDEX(ControlledVocabularies[DataSetTypeCV],1,1):INDEX(ControlledVocabularies[DataSetTypeCV],COUNTA(ControlledVocabularies[DataSetTypeCV]))</definedName>
    <definedName name="DatasetUUID">'Dataset Citation'!$B$4</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Citation'!$E$17</definedName>
    <definedName name="NumDataColumns">'Data Columns'!$N$9</definedName>
    <definedName name="NumDataValues">'YODA Header Blocks'!$AI$5</definedName>
    <definedName name="NumIGSNs">'Sampling Features'!$I$8</definedName>
    <definedName name="NumMethods">Methods!$F$3</definedName>
    <definedName name="NumORCIDs">'People and Organizations'!$H$9</definedName>
    <definedName name="NumOrganizations">'People and Organizations'!$H$7</definedName>
    <definedName name="NumPeople">'People and Organizations'!$H$8</definedName>
    <definedName name="NumPersonExternalIDs">'People and Organizations'!$H$9</definedName>
    <definedName name="NumProcessingLevels">'Processing Levels'!$E$3</definedName>
    <definedName name="NumRelatedFeatures">'Related Features (optional)'!$H$3</definedName>
    <definedName name="NumSamplingFeatures">'Sampling Features'!$I$7</definedName>
    <definedName name="NumSites">'Sampling Features'!$N$7</definedName>
    <definedName name="NumSpatialOffsets">'Related Features (optional)'!$J$3</definedName>
    <definedName name="NumSpecimens">'Sampling Features'!$S$7</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Citation'!$B$12</definedName>
    <definedName name="Publisher">'Dataset Citation'!$B$11</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s>
  <calcPr calcId="145621"/>
</workbook>
</file>

<file path=xl/calcChain.xml><?xml version="1.0" encoding="utf-8"?>
<calcChain xmlns="http://schemas.openxmlformats.org/spreadsheetml/2006/main">
  <c r="D59" i="15" l="1"/>
  <c r="D58" i="15"/>
  <c r="AF8" i="11" l="1"/>
  <c r="AC8" i="11"/>
  <c r="AB8" i="11"/>
  <c r="AA8" i="11"/>
  <c r="Z8" i="11"/>
  <c r="Y8" i="11"/>
  <c r="X8" i="11"/>
  <c r="V8" i="11"/>
  <c r="U8" i="11"/>
  <c r="T8" i="11"/>
  <c r="S8" i="11"/>
  <c r="R8" i="11"/>
  <c r="Q8" i="11"/>
  <c r="P8" i="11"/>
  <c r="O8" i="11"/>
  <c r="L8" i="11"/>
  <c r="I8" i="11"/>
  <c r="H8" i="11"/>
  <c r="G8" i="11"/>
  <c r="D8" i="11"/>
  <c r="A8" i="11"/>
  <c r="AF7" i="11"/>
  <c r="AC7" i="11"/>
  <c r="AB7" i="11"/>
  <c r="AA7" i="11"/>
  <c r="Z7" i="11"/>
  <c r="Y7" i="11"/>
  <c r="X7" i="11"/>
  <c r="V7" i="11"/>
  <c r="U7" i="11"/>
  <c r="T7" i="11"/>
  <c r="S7" i="11"/>
  <c r="R7" i="11"/>
  <c r="Q7" i="11"/>
  <c r="P7" i="11"/>
  <c r="O7" i="11"/>
  <c r="L7" i="11"/>
  <c r="I7" i="11"/>
  <c r="H7" i="11"/>
  <c r="G7" i="11"/>
  <c r="D7" i="11"/>
  <c r="A7" i="11"/>
  <c r="AB6" i="11"/>
  <c r="Z6" i="11"/>
  <c r="Y6" i="11"/>
  <c r="X6" i="11"/>
  <c r="V6" i="11"/>
  <c r="U6" i="11"/>
  <c r="T6" i="11"/>
  <c r="S6" i="11"/>
  <c r="R6" i="11"/>
  <c r="Q6" i="11"/>
  <c r="P6" i="11"/>
  <c r="O6" i="11"/>
  <c r="L6" i="11"/>
  <c r="I6" i="11"/>
  <c r="H6" i="11"/>
  <c r="G6" i="11"/>
  <c r="F6" i="11"/>
  <c r="D6" i="11"/>
  <c r="A6" i="11"/>
  <c r="AB5" i="11"/>
  <c r="Z5" i="11"/>
  <c r="Y5" i="11"/>
  <c r="X5" i="11"/>
  <c r="V5" i="11"/>
  <c r="U5" i="11"/>
  <c r="T5" i="11"/>
  <c r="S5" i="11"/>
  <c r="R5" i="11"/>
  <c r="Q5" i="11"/>
  <c r="P5" i="11"/>
  <c r="O5" i="11"/>
  <c r="L5" i="11"/>
  <c r="I5" i="11"/>
  <c r="H5" i="11"/>
  <c r="G5" i="11"/>
  <c r="F5" i="11"/>
  <c r="E5" i="11"/>
  <c r="D5" i="11"/>
  <c r="A5" i="11"/>
  <c r="AF4" i="11"/>
  <c r="AF5" i="11" s="1"/>
  <c r="AF6" i="11" s="1"/>
  <c r="AB4" i="11"/>
  <c r="Z4" i="11"/>
  <c r="Y4" i="11"/>
  <c r="X4" i="11"/>
  <c r="V4" i="11"/>
  <c r="U4" i="11"/>
  <c r="T4" i="11"/>
  <c r="S4" i="11"/>
  <c r="R4" i="11"/>
  <c r="Q4" i="11"/>
  <c r="P4" i="11"/>
  <c r="O4" i="11"/>
  <c r="N4" i="11"/>
  <c r="L4" i="11"/>
  <c r="I4" i="11"/>
  <c r="H4" i="11"/>
  <c r="G4" i="11"/>
  <c r="F4" i="11"/>
  <c r="E4" i="11"/>
  <c r="D4" i="11"/>
  <c r="A4" i="11"/>
  <c r="E3" i="11"/>
  <c r="A3" i="11"/>
  <c r="AG4" i="11"/>
  <c r="H8" i="7" l="1"/>
  <c r="H7" i="7"/>
  <c r="I2" i="11" l="1"/>
  <c r="K4" i="11"/>
  <c r="J11" i="2"/>
  <c r="J12" i="2"/>
  <c r="J13" i="2"/>
  <c r="J14" i="2"/>
  <c r="J15" i="2"/>
  <c r="J16" i="2"/>
  <c r="J17"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L11" i="2"/>
  <c r="L12" i="2" s="1"/>
  <c r="K3" i="11"/>
  <c r="I24" i="7"/>
  <c r="I25" i="7"/>
  <c r="I27" i="7"/>
  <c r="I28" i="7"/>
  <c r="I29" i="7"/>
  <c r="I30" i="7"/>
  <c r="I31" i="7"/>
  <c r="I32" i="7"/>
  <c r="I33" i="7"/>
  <c r="L13" i="2"/>
  <c r="L14" i="2"/>
  <c r="L15" i="2"/>
  <c r="L16"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K2" i="11"/>
  <c r="J18" i="2" l="1"/>
  <c r="I8" i="2" s="1"/>
  <c r="I26" i="7"/>
  <c r="H9" i="7" s="1"/>
  <c r="L17" i="2"/>
  <c r="P2" i="11" l="1"/>
  <c r="P3" i="11"/>
  <c r="E2" i="11"/>
  <c r="H3" i="11"/>
  <c r="H2" i="11"/>
  <c r="F3" i="11"/>
  <c r="F2" i="11"/>
  <c r="M4" i="11"/>
  <c r="C4" i="11"/>
  <c r="J4" i="11"/>
  <c r="M2" i="11"/>
  <c r="J2" i="11"/>
  <c r="J3" i="11"/>
  <c r="B4" i="11"/>
  <c r="B2" i="15" l="1"/>
  <c r="AI5" i="11" l="1"/>
  <c r="AE3" i="11"/>
  <c r="AD3" i="11"/>
  <c r="W3" i="11"/>
  <c r="M3" i="11"/>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2" i="4"/>
  <c r="E3" i="13"/>
  <c r="F3" i="12"/>
  <c r="F3" i="8"/>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H3" i="9"/>
  <c r="T60" i="2"/>
  <c r="S60" i="2"/>
  <c r="R60" i="2"/>
  <c r="Q60" i="2"/>
  <c r="O60" i="2"/>
  <c r="N60" i="2"/>
  <c r="M60" i="2"/>
  <c r="T59" i="2"/>
  <c r="S59" i="2"/>
  <c r="R59" i="2"/>
  <c r="Q59" i="2"/>
  <c r="O59" i="2"/>
  <c r="N59" i="2"/>
  <c r="M59" i="2"/>
  <c r="T58" i="2"/>
  <c r="S58" i="2"/>
  <c r="R58" i="2"/>
  <c r="Q58" i="2"/>
  <c r="O58" i="2"/>
  <c r="N58" i="2"/>
  <c r="M58" i="2"/>
  <c r="T57" i="2"/>
  <c r="S57" i="2"/>
  <c r="R57" i="2"/>
  <c r="Q57" i="2"/>
  <c r="O57" i="2"/>
  <c r="N57" i="2"/>
  <c r="M57" i="2"/>
  <c r="T56" i="2"/>
  <c r="S56" i="2"/>
  <c r="R56" i="2"/>
  <c r="Q56" i="2"/>
  <c r="O56" i="2"/>
  <c r="N56" i="2"/>
  <c r="M56" i="2"/>
  <c r="T55" i="2"/>
  <c r="S55" i="2"/>
  <c r="R55" i="2"/>
  <c r="Q55" i="2"/>
  <c r="O55" i="2"/>
  <c r="N55" i="2"/>
  <c r="M55" i="2"/>
  <c r="T54" i="2"/>
  <c r="S54" i="2"/>
  <c r="R54" i="2"/>
  <c r="Q54" i="2"/>
  <c r="O54" i="2"/>
  <c r="N54" i="2"/>
  <c r="M54" i="2"/>
  <c r="T53" i="2"/>
  <c r="S53" i="2"/>
  <c r="R53" i="2"/>
  <c r="Q53" i="2"/>
  <c r="O53" i="2"/>
  <c r="N53" i="2"/>
  <c r="M53" i="2"/>
  <c r="T52" i="2"/>
  <c r="S52" i="2"/>
  <c r="R52" i="2"/>
  <c r="Q52" i="2"/>
  <c r="O52" i="2"/>
  <c r="N52" i="2"/>
  <c r="M52" i="2"/>
  <c r="T51" i="2"/>
  <c r="S51" i="2"/>
  <c r="R51" i="2"/>
  <c r="Q51" i="2"/>
  <c r="O51" i="2"/>
  <c r="N51" i="2"/>
  <c r="M51" i="2"/>
  <c r="T50" i="2"/>
  <c r="S50" i="2"/>
  <c r="R50" i="2"/>
  <c r="Q50" i="2"/>
  <c r="O50" i="2"/>
  <c r="N50" i="2"/>
  <c r="M50" i="2"/>
  <c r="T49" i="2"/>
  <c r="S49" i="2"/>
  <c r="R49" i="2"/>
  <c r="Q49" i="2"/>
  <c r="O49" i="2"/>
  <c r="N49" i="2"/>
  <c r="M49" i="2"/>
  <c r="T48" i="2"/>
  <c r="S48" i="2"/>
  <c r="R48" i="2"/>
  <c r="Q48" i="2"/>
  <c r="O48" i="2"/>
  <c r="N48" i="2"/>
  <c r="M48" i="2"/>
  <c r="T47" i="2"/>
  <c r="S47" i="2"/>
  <c r="R47" i="2"/>
  <c r="Q47" i="2"/>
  <c r="O47" i="2"/>
  <c r="N47" i="2"/>
  <c r="M47" i="2"/>
  <c r="T46" i="2"/>
  <c r="S46" i="2"/>
  <c r="R46" i="2"/>
  <c r="Q46" i="2"/>
  <c r="O46" i="2"/>
  <c r="N46" i="2"/>
  <c r="M46" i="2"/>
  <c r="T45" i="2"/>
  <c r="S45" i="2"/>
  <c r="R45" i="2"/>
  <c r="Q45" i="2"/>
  <c r="O45" i="2"/>
  <c r="N45" i="2"/>
  <c r="M45" i="2"/>
  <c r="T44" i="2"/>
  <c r="S44" i="2"/>
  <c r="R44" i="2"/>
  <c r="Q44" i="2"/>
  <c r="O44" i="2"/>
  <c r="N44" i="2"/>
  <c r="M44" i="2"/>
  <c r="T43" i="2"/>
  <c r="S43" i="2"/>
  <c r="R43" i="2"/>
  <c r="Q43" i="2"/>
  <c r="O43" i="2"/>
  <c r="N43" i="2"/>
  <c r="M43" i="2"/>
  <c r="T42" i="2"/>
  <c r="S42" i="2"/>
  <c r="R42" i="2"/>
  <c r="Q42" i="2"/>
  <c r="O42" i="2"/>
  <c r="N42" i="2"/>
  <c r="M42" i="2"/>
  <c r="T41" i="2"/>
  <c r="S41" i="2"/>
  <c r="R41" i="2"/>
  <c r="Q41" i="2"/>
  <c r="O41" i="2"/>
  <c r="N41" i="2"/>
  <c r="M41" i="2"/>
  <c r="T40" i="2"/>
  <c r="S40" i="2"/>
  <c r="R40" i="2"/>
  <c r="Q40" i="2"/>
  <c r="O40" i="2"/>
  <c r="N40" i="2"/>
  <c r="M40" i="2"/>
  <c r="T39" i="2"/>
  <c r="S39" i="2"/>
  <c r="R39" i="2"/>
  <c r="Q39" i="2"/>
  <c r="O39" i="2"/>
  <c r="N39" i="2"/>
  <c r="M39" i="2"/>
  <c r="T38" i="2"/>
  <c r="S38" i="2"/>
  <c r="R38" i="2"/>
  <c r="Q38" i="2"/>
  <c r="O38" i="2"/>
  <c r="N38" i="2"/>
  <c r="M38" i="2"/>
  <c r="T37" i="2"/>
  <c r="S37" i="2"/>
  <c r="R37" i="2"/>
  <c r="Q37" i="2"/>
  <c r="O37" i="2"/>
  <c r="N37" i="2"/>
  <c r="M37" i="2"/>
  <c r="T36" i="2"/>
  <c r="S36" i="2"/>
  <c r="R36" i="2"/>
  <c r="Q36" i="2"/>
  <c r="O36" i="2"/>
  <c r="N36" i="2"/>
  <c r="M36" i="2"/>
  <c r="T35" i="2"/>
  <c r="S35" i="2"/>
  <c r="R35" i="2"/>
  <c r="Q35" i="2"/>
  <c r="O35" i="2"/>
  <c r="N35" i="2"/>
  <c r="M35" i="2"/>
  <c r="T34" i="2"/>
  <c r="S34" i="2"/>
  <c r="R34" i="2"/>
  <c r="Q34" i="2"/>
  <c r="O34" i="2"/>
  <c r="N34" i="2"/>
  <c r="M34" i="2"/>
  <c r="T33" i="2"/>
  <c r="S33" i="2"/>
  <c r="R33" i="2"/>
  <c r="Q33" i="2"/>
  <c r="O33" i="2"/>
  <c r="N33" i="2"/>
  <c r="M33" i="2"/>
  <c r="T32" i="2"/>
  <c r="S32" i="2"/>
  <c r="R32" i="2"/>
  <c r="Q32" i="2"/>
  <c r="O32" i="2"/>
  <c r="N32" i="2"/>
  <c r="M32" i="2"/>
  <c r="T31" i="2"/>
  <c r="S31" i="2"/>
  <c r="R31" i="2"/>
  <c r="Q31" i="2"/>
  <c r="O31" i="2"/>
  <c r="N31" i="2"/>
  <c r="M31" i="2"/>
  <c r="T30" i="2"/>
  <c r="S30" i="2"/>
  <c r="R30" i="2"/>
  <c r="Q30" i="2"/>
  <c r="O30" i="2"/>
  <c r="N30" i="2"/>
  <c r="M30" i="2"/>
  <c r="T29" i="2"/>
  <c r="S29" i="2"/>
  <c r="R29" i="2"/>
  <c r="Q29" i="2"/>
  <c r="O29" i="2"/>
  <c r="N29" i="2"/>
  <c r="M29" i="2"/>
  <c r="T28" i="2"/>
  <c r="S28" i="2"/>
  <c r="R28" i="2"/>
  <c r="Q28" i="2"/>
  <c r="O28" i="2"/>
  <c r="N28" i="2"/>
  <c r="M28" i="2"/>
  <c r="T27" i="2"/>
  <c r="S27" i="2"/>
  <c r="R27" i="2"/>
  <c r="Q27" i="2"/>
  <c r="O27" i="2"/>
  <c r="N27" i="2"/>
  <c r="M27" i="2"/>
  <c r="T26" i="2"/>
  <c r="S26" i="2"/>
  <c r="R26" i="2"/>
  <c r="Q26" i="2"/>
  <c r="O26" i="2"/>
  <c r="N26" i="2"/>
  <c r="M26" i="2"/>
  <c r="T25" i="2"/>
  <c r="S25" i="2"/>
  <c r="R25" i="2"/>
  <c r="Q25" i="2"/>
  <c r="O25" i="2"/>
  <c r="N25" i="2"/>
  <c r="M25" i="2"/>
  <c r="T24" i="2"/>
  <c r="S24" i="2"/>
  <c r="R24" i="2"/>
  <c r="Q24" i="2"/>
  <c r="O24" i="2"/>
  <c r="N24" i="2"/>
  <c r="M24" i="2"/>
  <c r="T23" i="2"/>
  <c r="S23" i="2"/>
  <c r="R23" i="2"/>
  <c r="Q23" i="2"/>
  <c r="O23" i="2"/>
  <c r="N23" i="2"/>
  <c r="M23" i="2"/>
  <c r="T22" i="2"/>
  <c r="S22" i="2"/>
  <c r="R22" i="2"/>
  <c r="Q22" i="2"/>
  <c r="O22" i="2"/>
  <c r="N22" i="2"/>
  <c r="M22" i="2"/>
  <c r="T21" i="2"/>
  <c r="S21" i="2"/>
  <c r="R21" i="2"/>
  <c r="Q21" i="2"/>
  <c r="Q20" i="2"/>
  <c r="Q19" i="2"/>
  <c r="Q17" i="2"/>
  <c r="Q12" i="2"/>
  <c r="Q11" i="2"/>
  <c r="I7" i="2"/>
  <c r="E17" i="1"/>
  <c r="H33" i="7"/>
  <c r="H32" i="7"/>
  <c r="H31" i="7"/>
  <c r="H30" i="7"/>
  <c r="H29" i="7"/>
  <c r="H28" i="7"/>
  <c r="H27" i="7"/>
  <c r="H26" i="7"/>
  <c r="H25" i="7"/>
  <c r="H24" i="7"/>
  <c r="C3" i="15"/>
  <c r="A3" i="15"/>
  <c r="D3" i="15" l="1"/>
  <c r="AA6" i="11"/>
  <c r="AA4" i="11"/>
  <c r="AA5" i="11"/>
  <c r="AG5" i="11"/>
  <c r="AG2" i="11"/>
  <c r="O2" i="11"/>
  <c r="D2" i="11"/>
  <c r="X2" i="11"/>
  <c r="U2" i="11"/>
  <c r="V2" i="11"/>
  <c r="L3" i="11"/>
  <c r="J3" i="9"/>
  <c r="B3" i="15"/>
  <c r="T2" i="11"/>
  <c r="T3" i="11"/>
  <c r="A13" i="4"/>
  <c r="A14" i="4" s="1"/>
  <c r="N9" i="4" s="1"/>
  <c r="Q13" i="2"/>
  <c r="Q14" i="2" s="1"/>
  <c r="Q3" i="11"/>
  <c r="L2" i="11"/>
  <c r="C4" i="15"/>
  <c r="A4" i="15"/>
  <c r="B4" i="15" l="1"/>
  <c r="D4" i="15"/>
  <c r="AC2" i="11"/>
  <c r="G2" i="11"/>
  <c r="AB2" i="11"/>
  <c r="AA2" i="11"/>
  <c r="Y2" i="11"/>
  <c r="Z2" i="11"/>
  <c r="S3" i="11"/>
  <c r="N7" i="2"/>
  <c r="S2" i="11"/>
  <c r="Q15" i="2"/>
  <c r="Q16" i="2" s="1"/>
  <c r="C5" i="15"/>
  <c r="A5" i="15"/>
  <c r="B5" i="15" l="1"/>
  <c r="D5" i="15"/>
  <c r="Q18" i="2"/>
  <c r="S7" i="2" s="1"/>
  <c r="Q2" i="11"/>
  <c r="A6" i="15"/>
  <c r="C6" i="15"/>
  <c r="D6" i="15" l="1"/>
  <c r="B6" i="15"/>
  <c r="R2" i="11"/>
  <c r="AI4" i="11" s="1"/>
  <c r="R3" i="11"/>
  <c r="A7" i="15"/>
  <c r="C7" i="15"/>
  <c r="D7" i="15" l="1"/>
  <c r="B7" i="15"/>
  <c r="AI3" i="11"/>
  <c r="D2" i="15"/>
  <c r="A8" i="15"/>
  <c r="C8" i="15"/>
  <c r="D8" i="15" l="1"/>
  <c r="B8" i="15"/>
  <c r="C9" i="15"/>
  <c r="A9" i="15"/>
  <c r="B9" i="15" l="1"/>
  <c r="D9" i="15"/>
  <c r="C10" i="15"/>
  <c r="A10" i="15"/>
  <c r="B10" i="15" l="1"/>
  <c r="D10" i="15"/>
  <c r="A11" i="15"/>
  <c r="C11" i="15"/>
  <c r="D11" i="15" l="1"/>
  <c r="B11" i="15"/>
  <c r="A12" i="15"/>
  <c r="C12" i="15"/>
  <c r="D12" i="15" l="1"/>
  <c r="B12" i="15"/>
  <c r="C13" i="15"/>
  <c r="A13" i="15"/>
  <c r="B13" i="15" l="1"/>
  <c r="D13" i="15"/>
  <c r="C14" i="15"/>
  <c r="A14" i="15"/>
  <c r="B14" i="15" l="1"/>
  <c r="D14" i="15"/>
  <c r="A15" i="15"/>
  <c r="C15" i="15"/>
  <c r="D15" i="15" l="1"/>
  <c r="B15" i="15"/>
  <c r="C16" i="15"/>
  <c r="A16" i="15"/>
  <c r="B16" i="15" l="1"/>
  <c r="D16" i="15"/>
  <c r="C17" i="15"/>
  <c r="A17" i="15"/>
  <c r="B17" i="15" l="1"/>
  <c r="D17" i="15"/>
  <c r="A18" i="15"/>
  <c r="C18" i="15"/>
  <c r="D18" i="15" l="1"/>
  <c r="B18" i="15"/>
  <c r="A19" i="15"/>
  <c r="C19" i="15"/>
  <c r="D19" i="15" l="1"/>
  <c r="B19" i="15"/>
  <c r="C20" i="15"/>
  <c r="A20" i="15"/>
  <c r="B20" i="15" l="1"/>
  <c r="D20" i="15"/>
  <c r="C21" i="15"/>
  <c r="A21" i="15"/>
  <c r="B21" i="15" l="1"/>
  <c r="D21" i="15"/>
  <c r="A22" i="15"/>
  <c r="C22" i="15"/>
  <c r="D22" i="15" l="1"/>
  <c r="B22" i="15"/>
  <c r="A23" i="15"/>
  <c r="C23" i="15"/>
  <c r="D23" i="15" l="1"/>
  <c r="B23" i="15"/>
  <c r="C24" i="15"/>
  <c r="A24" i="15"/>
  <c r="B24" i="15" l="1"/>
  <c r="D24" i="15"/>
  <c r="C25" i="15"/>
  <c r="A25" i="15"/>
  <c r="B25" i="15" l="1"/>
  <c r="D25" i="15"/>
  <c r="A26" i="15"/>
  <c r="C26" i="15"/>
  <c r="D26" i="15" l="1"/>
  <c r="B26" i="15"/>
  <c r="C27" i="15"/>
  <c r="A27" i="15"/>
  <c r="B27" i="15" l="1"/>
  <c r="D27" i="15"/>
  <c r="C28" i="15"/>
  <c r="A28" i="15"/>
  <c r="B28" i="15" l="1"/>
  <c r="D28" i="15"/>
  <c r="C29" i="15"/>
  <c r="A29" i="15"/>
  <c r="B29" i="15" l="1"/>
  <c r="D29" i="15"/>
  <c r="C30" i="15"/>
  <c r="A30" i="15"/>
  <c r="B30" i="15" l="1"/>
  <c r="D30" i="15"/>
  <c r="A31" i="15"/>
  <c r="C31" i="15"/>
  <c r="D31" i="15" l="1"/>
  <c r="B31" i="15"/>
  <c r="A32" i="15"/>
  <c r="C32" i="15"/>
  <c r="D32" i="15" l="1"/>
  <c r="B32" i="15"/>
  <c r="C33" i="15"/>
  <c r="A33" i="15"/>
  <c r="B33" i="15" l="1"/>
  <c r="D33" i="15"/>
  <c r="A34" i="15"/>
  <c r="C34" i="15"/>
  <c r="D34" i="15" l="1"/>
  <c r="B34" i="15"/>
  <c r="C35" i="15"/>
  <c r="A35" i="15"/>
  <c r="B35" i="15" l="1"/>
  <c r="D35" i="15"/>
  <c r="C36" i="15"/>
  <c r="A36" i="15"/>
  <c r="B36" i="15" l="1"/>
  <c r="D36" i="15"/>
  <c r="C37" i="15"/>
  <c r="A37" i="15"/>
  <c r="B37" i="15" l="1"/>
  <c r="D37" i="15"/>
  <c r="A38" i="15"/>
  <c r="C38" i="15"/>
  <c r="D38" i="15" l="1"/>
  <c r="B38" i="15"/>
  <c r="C39" i="15"/>
  <c r="A39" i="15"/>
  <c r="B39" i="15" l="1"/>
  <c r="D39" i="15"/>
  <c r="A40" i="15"/>
  <c r="C40" i="15"/>
  <c r="D40" i="15" l="1"/>
  <c r="B40" i="15"/>
  <c r="C41" i="15"/>
  <c r="A41" i="15"/>
  <c r="B41" i="15" l="1"/>
  <c r="D41" i="15"/>
  <c r="A42" i="15"/>
  <c r="C42" i="15"/>
  <c r="D42" i="15" l="1"/>
  <c r="B42" i="15"/>
  <c r="C43" i="15"/>
  <c r="A43" i="15"/>
  <c r="B43" i="15" l="1"/>
  <c r="D43" i="15"/>
  <c r="A44" i="15"/>
  <c r="C44" i="15"/>
  <c r="D44" i="15" l="1"/>
  <c r="B44" i="15"/>
  <c r="C45" i="15"/>
  <c r="A45" i="15"/>
  <c r="B45" i="15" l="1"/>
  <c r="D45" i="15"/>
  <c r="A46" i="15"/>
  <c r="C46" i="15"/>
  <c r="D46" i="15" l="1"/>
  <c r="B46" i="15"/>
  <c r="A47" i="15"/>
  <c r="C47" i="15"/>
  <c r="D47" i="15" l="1"/>
  <c r="B47" i="15"/>
  <c r="C48" i="15"/>
  <c r="A48" i="15"/>
  <c r="B48" i="15" l="1"/>
  <c r="D48" i="15"/>
  <c r="C49" i="15"/>
  <c r="A49" i="15"/>
  <c r="B49" i="15" l="1"/>
  <c r="D49" i="15"/>
  <c r="A50" i="15"/>
  <c r="C50" i="15"/>
  <c r="D50" i="15" l="1"/>
  <c r="B50" i="15"/>
  <c r="C51" i="15"/>
  <c r="A51" i="15"/>
  <c r="B51" i="15" l="1"/>
  <c r="D51" i="15"/>
  <c r="C52" i="15"/>
  <c r="A52" i="15"/>
  <c r="B52" i="15" l="1"/>
  <c r="D52" i="15"/>
  <c r="C53" i="15"/>
  <c r="A53" i="15"/>
  <c r="B53" i="15" l="1"/>
  <c r="D53" i="15"/>
  <c r="C54" i="15"/>
  <c r="A54" i="15"/>
  <c r="B54" i="15" l="1"/>
  <c r="D54" i="15"/>
  <c r="A55" i="15"/>
  <c r="C55" i="15"/>
  <c r="D55" i="15" l="1"/>
  <c r="B55" i="15"/>
  <c r="A56" i="15"/>
  <c r="C56" i="15"/>
  <c r="D56" i="15" l="1"/>
  <c r="B56" i="15"/>
  <c r="C57" i="15"/>
  <c r="A57" i="15"/>
  <c r="B57" i="15" l="1"/>
  <c r="D57" i="15"/>
</calcChain>
</file>

<file path=xl/comments1.xml><?xml version="1.0" encoding="utf-8"?>
<comments xmlns="http://schemas.openxmlformats.org/spreadsheetml/2006/main">
  <authors>
    <author>Sara Geleskie Damiano</author>
  </authors>
  <commentList>
    <comment ref="D23" authorId="0">
      <text>
        <r>
          <rPr>
            <b/>
            <sz val="9"/>
            <color indexed="81"/>
            <rFont val="Tahoma"/>
            <family val="2"/>
          </rPr>
          <t>Include dashes!!</t>
        </r>
        <r>
          <rPr>
            <sz val="9"/>
            <color indexed="81"/>
            <rFont val="Tahoma"/>
            <family val="2"/>
          </rPr>
          <t xml:space="preserve">
See http://orcid.org/ for more info on OrcID's</t>
        </r>
      </text>
    </comment>
    <comment ref="E23" authorId="0">
      <text>
        <r>
          <rPr>
            <sz val="9"/>
            <color indexed="81"/>
            <rFont val="Tahoma"/>
            <family val="2"/>
          </rPr>
          <t>If the organization doesn't appear on the drop-down list, make sure you've added it above!</t>
        </r>
      </text>
    </comment>
    <comment ref="H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9" authorId="0">
      <text>
        <r>
          <rPr>
            <sz val="9"/>
            <color indexed="81"/>
            <rFont val="Tahoma"/>
            <family val="2"/>
          </rPr>
          <t>If any citation information is included, this field becomes manditory!</t>
        </r>
      </text>
    </comment>
    <comment ref="B10" authorId="0">
      <text>
        <r>
          <rPr>
            <sz val="9"/>
            <color indexed="81"/>
            <rFont val="Tahoma"/>
            <family val="2"/>
          </rPr>
          <t>If any citation information is included, this field becomes manditory!</t>
        </r>
      </text>
    </comment>
    <comment ref="B11" authorId="0">
      <text>
        <r>
          <rPr>
            <sz val="9"/>
            <color indexed="81"/>
            <rFont val="Tahoma"/>
            <family val="2"/>
          </rPr>
          <t>If any citation information is included, this field becomes manditory!</t>
        </r>
      </text>
    </comment>
    <comment ref="B12" authorId="0">
      <text>
        <r>
          <rPr>
            <sz val="9"/>
            <color indexed="81"/>
            <rFont val="Tahoma"/>
            <family val="2"/>
          </rPr>
          <t>If any citation information is included, this field becomes manditory!</t>
        </r>
      </text>
    </comment>
    <comment ref="B17"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N10" authorId="0">
      <text>
        <r>
          <rPr>
            <sz val="9"/>
            <color indexed="81"/>
            <rFont val="Tahoma"/>
            <family val="2"/>
          </rPr>
          <t>Only applies to SITES</t>
        </r>
      </text>
    </comment>
    <comment ref="O10" authorId="0">
      <text>
        <r>
          <rPr>
            <sz val="9"/>
            <color indexed="81"/>
            <rFont val="Tahoma"/>
            <family val="2"/>
          </rPr>
          <t>Only applies to SITES</t>
        </r>
      </text>
    </comment>
    <comment ref="S10" authorId="0">
      <text>
        <r>
          <rPr>
            <sz val="9"/>
            <color indexed="81"/>
            <rFont val="Tahoma"/>
            <family val="2"/>
          </rPr>
          <t>Only applies to SPECIMENS</t>
        </r>
      </text>
    </comment>
    <comment ref="T10" authorId="0">
      <text>
        <r>
          <rPr>
            <sz val="9"/>
            <color indexed="81"/>
            <rFont val="Tahoma"/>
            <family val="2"/>
          </rPr>
          <t>Only applies to SPECIMENS</t>
        </r>
      </text>
    </comment>
  </commentList>
</comments>
</file>

<file path=xl/comments4.xml><?xml version="1.0" encoding="utf-8"?>
<comments xmlns="http://schemas.openxmlformats.org/spreadsheetml/2006/main">
  <authors>
    <author>Sara Geleskie Damiano</author>
  </authors>
  <commentList>
    <comment ref="A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1" authorId="0">
      <text>
        <r>
          <rPr>
            <sz val="9"/>
            <color indexed="81"/>
            <rFont val="Tahoma"/>
            <family val="2"/>
          </rPr>
          <t>These must first be entered in the methods worksheet.  If they still don't appear on this drop down list, make sure you don't have any blank rows between methods in the table.</t>
        </r>
      </text>
    </comment>
    <comment ref="G11"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I11"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<sst xmlns="http://schemas.openxmlformats.org/spreadsheetml/2006/main" count="1486" uniqueCount="1395">
  <si>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</si>
  <si>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</si>
  <si>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</si>
  <si>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</si>
  <si>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</si>
  <si>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</si>
  <si>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</si>
  <si>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</si>
  <si>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</si>
  <si>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</si>
  <si>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</si>
  <si>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</si>
  <si>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</si>
  <si>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</si>
  <si>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</si>
  <si>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</si>
  <si>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</si>
  <si>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</si>
  <si>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</si>
  <si>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</si>
  <si>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Dataset Citation Information</t>
  </si>
  <si>
    <t>Author Information</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</si>
  <si>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</si>
  <si>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</si>
  <si>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</si>
  <si>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</si>
  <si>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</si>
  <si>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</si>
  <si>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</si>
  <si>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</si>
  <si>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</si>
  <si>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</si>
  <si>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</si>
  <si>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</si>
  <si>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</si>
  <si>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</si>
  <si>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</si>
  <si>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</si>
  <si>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</si>
  <si>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</si>
  <si>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</si>
  <si>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</si>
  <si>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</si>
  <si>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</si>
  <si>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</si>
  <si>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</si>
  <si>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</si>
  <si>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</si>
  <si>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</si>
  <si>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</si>
  <si>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</si>
  <si>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</si>
  <si>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</si>
  <si>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</si>
  <si>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</si>
  <si>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</si>
  <si>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</si>
  <si>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</si>
  <si>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</si>
  <si>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</si>
  <si>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</si>
  <si>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</si>
  <si>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</si>
  <si>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</si>
  <si>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</si>
  <si>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</si>
  <si>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</si>
  <si>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</si>
  <si>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</si>
  <si>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</si>
  <si>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</si>
  <si>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</si>
  <si>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</si>
  <si>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</si>
  <si>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</si>
  <si>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</si>
  <si>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</si>
  <si>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</si>
  <si>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</si>
  <si>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</si>
  <si>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</si>
  <si>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</si>
  <si>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</si>
  <si>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</si>
  <si>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</si>
  <si>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</si>
  <si>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</si>
  <si>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</si>
  <si>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</si>
  <si>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</si>
  <si>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</si>
  <si>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</si>
  <si>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</si>
  <si>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</si>
  <si>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</si>
  <si>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</si>
  <si>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</si>
  <si>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</si>
  <si>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</si>
  <si>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</si>
  <si>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</si>
  <si>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</si>
  <si>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</si>
  <si>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</si>
  <si>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</si>
  <si>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</si>
  <si>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</si>
  <si>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</si>
  <si>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</si>
  <si>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</si>
  <si>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</si>
  <si>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</si>
  <si>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</si>
  <si>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</si>
  <si>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</si>
  <si>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</si>
  <si>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</si>
  <si>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</si>
  <si>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</si>
  <si>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</si>
  <si>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</si>
  <si>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</si>
  <si>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</si>
  <si>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</si>
  <si>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</si>
  <si>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</si>
  <si>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</si>
  <si>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</si>
  <si>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</si>
  <si>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</si>
  <si>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</si>
  <si>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</si>
  <si>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</si>
  <si>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</si>
  <si>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</si>
  <si>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</si>
  <si>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</si>
  <si>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</si>
  <si>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</si>
  <si>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</si>
  <si>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</si>
  <si>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</si>
  <si>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</si>
  <si>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</si>
  <si>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</si>
  <si>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</si>
  <si>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</si>
  <si>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</si>
  <si>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</si>
  <si>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</si>
  <si>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</si>
  <si>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</si>
  <si>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</si>
  <si>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</si>
  <si>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</si>
  <si>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</si>
  <si>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</si>
  <si>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</si>
  <si>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</si>
  <si>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</si>
  <si>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</si>
  <si>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</si>
  <si>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</si>
  <si>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</si>
  <si>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</si>
  <si>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</si>
  <si>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</si>
  <si>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</si>
  <si>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</si>
  <si>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</si>
  <si>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</si>
  <si>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</si>
  <si>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</si>
  <si>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</si>
  <si>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</si>
  <si>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</si>
  <si>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</si>
  <si>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</si>
  <si>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</si>
  <si>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</si>
  <si>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</si>
  <si>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</si>
  <si>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</si>
  <si>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</si>
  <si>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</si>
  <si>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</si>
  <si>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</si>
  <si>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</si>
  <si>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</si>
  <si>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</si>
  <si>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</si>
  <si>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</si>
  <si>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</si>
  <si>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NOTE:  At this time this template does not include detailed information on affiliations.  To include that, you must generate your YODA file with some other method.</t>
  </si>
  <si>
    <t>Citation DOI</t>
  </si>
  <si>
    <t>Dataset Citation Relationship</t>
  </si>
  <si>
    <t>isChildOf</t>
  </si>
  <si>
    <t>isRelatedTo</t>
  </si>
  <si>
    <t>isVariantFormOf</t>
  </si>
  <si>
    <t>isOriginalFormOf</t>
  </si>
  <si>
    <t>isDerivedFrom</t>
  </si>
  <si>
    <t>wasCollectedAt</t>
  </si>
  <si>
    <t>TODO:  Add warnings for missing values!</t>
  </si>
  <si>
    <t>Site Type</t>
  </si>
  <si>
    <t>Specimen Type</t>
  </si>
  <si>
    <t>Is Field Specimen?</t>
  </si>
  <si>
    <t>Use these fields for Specimens</t>
  </si>
  <si>
    <t>Use these fields for Sites</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</si>
  <si>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</si>
  <si>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</si>
  <si>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</si>
  <si>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</si>
  <si>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</si>
  <si>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</si>
  <si>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</si>
  <si>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</si>
  <si>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</si>
  <si>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</si>
  <si>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</si>
  <si>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</si>
  <si>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</si>
  <si>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</si>
  <si>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</si>
  <si>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</si>
  <si>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</si>
  <si>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</si>
  <si>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</si>
  <si>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</si>
  <si>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</si>
  <si>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</si>
  <si>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</si>
  <si>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</si>
  <si>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</si>
  <si>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</si>
  <si>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</si>
  <si>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</si>
  <si>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</si>
  <si>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Dataset</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</si>
  <si>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</si>
  <si>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</si>
  <si>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</si>
  <si>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</si>
  <si>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</si>
  <si>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</si>
  <si>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</si>
  <si>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</si>
  <si>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</si>
  <si>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</si>
  <si>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</si>
  <si>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</si>
  <si>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</si>
  <si>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</si>
  <si>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</si>
  <si>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</si>
  <si>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</si>
  <si>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</si>
  <si>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</si>
  <si>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</si>
  <si>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</si>
  <si>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</si>
  <si>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</si>
  <si>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</si>
  <si>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</si>
  <si>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</si>
  <si>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</si>
  <si>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</si>
  <si>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</si>
  <si>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</si>
  <si>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</si>
  <si>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</si>
  <si>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</si>
  <si>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</si>
  <si>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</si>
  <si>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</si>
  <si>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</si>
  <si>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</si>
  <si>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</si>
  <si>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</si>
  <si>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</si>
  <si>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</si>
  <si>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</si>
  <si>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</si>
  <si>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</si>
  <si>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</si>
  <si>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</si>
  <si>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</si>
  <si>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</si>
  <si>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</si>
  <si>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</si>
  <si>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</si>
  <si>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</si>
  <si>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</si>
  <si>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</si>
  <si>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</si>
  <si>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</si>
  <si>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</si>
  <si>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</si>
  <si>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</si>
  <si>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</si>
  <si>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</si>
  <si>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</si>
  <si>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enter the citiation information for this dataset.  Authors must have been entered in the "People and Organizations" tab.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</si>
  <si>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</si>
  <si>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</si>
  <si>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</si>
  <si>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</si>
  <si>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</si>
  <si>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</si>
  <si>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</si>
  <si>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</si>
  <si>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</si>
  <si>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</si>
  <si>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</si>
  <si>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</si>
  <si>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</si>
  <si>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</si>
  <si>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</si>
  <si>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</si>
  <si>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</si>
  <si>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</si>
  <si>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</si>
  <si>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</si>
  <si>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</si>
  <si>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</si>
  <si>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</si>
  <si>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</si>
  <si>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</si>
  <si>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</si>
  <si>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</si>
  <si>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</si>
  <si>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</si>
  <si>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</si>
  <si>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</si>
  <si>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</si>
  <si>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</si>
  <si>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</si>
  <si>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</si>
  <si>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</si>
  <si>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</si>
  <si>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</si>
  <si>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</si>
  <si>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</si>
  <si>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</si>
  <si>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</si>
  <si>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</si>
  <si>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</si>
  <si>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</si>
  <si>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</si>
  <si>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</si>
  <si>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</si>
  <si>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</si>
  <si>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</si>
  <si>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</si>
  <si>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</si>
  <si>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</si>
  <si>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</si>
  <si>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</si>
  <si>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</si>
  <si>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</si>
  <si>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</si>
  <si>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</si>
  <si>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</si>
  <si>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</si>
  <si>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</si>
  <si>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</si>
  <si>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</si>
  <si>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</si>
  <si>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</si>
  <si>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</si>
  <si>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</si>
  <si>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</si>
  <si>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</si>
  <si>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</si>
  <si>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</si>
  <si>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</si>
  <si>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</si>
  <si>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</si>
  <si>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</si>
  <si>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</si>
  <si>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</si>
  <si>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</si>
  <si>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</si>
  <si>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</si>
  <si>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</si>
  <si>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</si>
  <si>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</si>
  <si>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</si>
  <si>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</si>
  <si>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</si>
  <si>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</si>
  <si>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</si>
  <si>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</si>
  <si>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</si>
  <si>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</si>
  <si>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</si>
  <si>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</si>
  <si>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</si>
  <si>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</si>
  <si>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</si>
  <si>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</si>
  <si>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</si>
  <si>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</si>
  <si>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</si>
  <si>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</si>
  <si>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</si>
  <si>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</si>
  <si>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</si>
  <si>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</si>
  <si>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</si>
  <si>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</si>
  <si>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</si>
  <si>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</si>
  <si>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</si>
  <si>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</si>
  <si>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</si>
  <si>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</si>
  <si>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</si>
  <si>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</si>
  <si>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</si>
  <si>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</si>
  <si>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</si>
  <si>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</si>
  <si>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</si>
  <si>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</si>
  <si>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</si>
  <si>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</si>
  <si>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</si>
  <si>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</si>
  <si>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</si>
  <si>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</si>
  <si>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</si>
  <si>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</si>
  <si>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</si>
  <si>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</si>
  <si>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</si>
  <si>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</si>
  <si>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</si>
  <si>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</si>
  <si>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</si>
  <si>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</si>
  <si>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</si>
  <si>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</si>
  <si>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</si>
  <si>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</si>
  <si>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</si>
  <si>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</si>
  <si>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</si>
  <si>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</si>
  <si>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</si>
  <si>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</si>
  <si>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</si>
  <si>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</si>
  <si>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</si>
  <si>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</si>
  <si>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</si>
  <si>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</si>
  <si>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</si>
  <si>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</si>
  <si>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</si>
  <si>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</si>
  <si>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</si>
  <si>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</si>
  <si>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</si>
  <si>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</si>
  <si>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</si>
  <si>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</si>
  <si>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</si>
  <si>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</si>
  <si>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</si>
  <si>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</si>
  <si>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</si>
  <si>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</si>
  <si>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</si>
  <si>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</si>
  <si>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</si>
  <si>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</si>
  <si>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</si>
  <si>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</si>
  <si>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</si>
  <si>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</si>
  <si>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</si>
  <si>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</si>
  <si>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</si>
  <si>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</si>
  <si>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</si>
  <si>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</si>
  <si>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</si>
  <si>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</si>
  <si>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</si>
  <si>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</si>
  <si>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</si>
  <si>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</si>
  <si>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</si>
  <si>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</si>
  <si>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</si>
  <si>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</si>
  <si>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</si>
  <si>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</si>
  <si>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</si>
  <si>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</si>
  <si>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</si>
  <si>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</si>
  <si>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</si>
  <si>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</si>
  <si>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</si>
  <si>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</si>
  <si>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</si>
  <si>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</si>
  <si>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</si>
  <si>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</si>
  <si>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</si>
  <si>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</si>
  <si>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</si>
  <si>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</si>
  <si>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</si>
  <si>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</si>
  <si>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</si>
  <si>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</si>
  <si>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</si>
  <si>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</si>
  <si>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</si>
  <si>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</si>
  <si>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</si>
  <si>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</si>
  <si>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</si>
  <si>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</si>
  <si>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</si>
  <si>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</si>
  <si>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</si>
  <si>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</si>
  <si>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</si>
  <si>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</si>
  <si>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</si>
  <si>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</si>
  <si>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</si>
  <si>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</si>
  <si>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</si>
  <si>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</si>
  <si>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</si>
  <si>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</si>
  <si>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</si>
  <si>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</si>
  <si>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</si>
  <si>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</si>
  <si>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</si>
  <si>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</si>
  <si>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</si>
  <si>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</si>
  <si>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</si>
  <si>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</si>
  <si>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</si>
  <si>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</si>
  <si>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</si>
  <si>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</si>
  <si>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</si>
  <si>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</si>
  <si>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</si>
  <si>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</si>
  <si>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</si>
  <si>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</si>
  <si>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</si>
  <si>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</si>
  <si>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</si>
  <si>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</si>
  <si>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</si>
  <si>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</si>
  <si>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</si>
  <si>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</si>
  <si>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</si>
  <si>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</si>
  <si>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</si>
  <si>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</si>
  <si>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</si>
  <si>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</si>
  <si>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</si>
  <si>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</si>
  <si>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</si>
  <si>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</si>
  <si>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</si>
  <si>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</si>
  <si>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</si>
  <si>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</si>
  <si>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</si>
  <si>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</si>
  <si>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</si>
  <si>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</si>
  <si>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</si>
  <si>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</si>
  <si>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</si>
  <si>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</si>
  <si>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</si>
  <si>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</si>
  <si>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</si>
  <si>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</si>
  <si>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</si>
  <si>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</si>
  <si>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</si>
  <si>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</si>
  <si>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</si>
  <si>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</si>
  <si>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</si>
  <si>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</si>
  <si>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</si>
  <si>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</si>
  <si>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</si>
  <si>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</si>
  <si>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</si>
  <si>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</si>
  <si>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</si>
  <si>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</si>
  <si>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</si>
  <si>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</si>
  <si>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</si>
  <si>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</si>
  <si>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</si>
  <si>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</si>
  <si>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</si>
  <si>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</si>
  <si>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</si>
  <si>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</si>
  <si>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</si>
  <si>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</si>
  <si>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</si>
  <si>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</si>
  <si>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</si>
  <si>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</si>
  <si>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</si>
  <si>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</si>
  <si>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</si>
  <si>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</si>
  <si>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</si>
  <si>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</si>
  <si>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</si>
  <si>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</si>
  <si>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</si>
  <si>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</si>
  <si>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</si>
  <si>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</si>
  <si>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</si>
  <si>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</si>
  <si>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</si>
  <si>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</si>
  <si>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</si>
  <si>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</si>
  <si>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</si>
  <si>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</si>
  <si>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</si>
  <si>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</si>
  <si>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</si>
  <si>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</si>
  <si>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</si>
  <si>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</si>
  <si>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</si>
  <si>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</si>
  <si>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</si>
  <si>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</si>
  <si>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</si>
  <si>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</si>
  <si>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</si>
  <si>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</si>
  <si>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</si>
  <si>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</si>
  <si>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</si>
  <si>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</si>
  <si>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</si>
  <si>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</si>
  <si>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</si>
  <si>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</si>
  <si>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</si>
  <si>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</si>
  <si>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</si>
  <si>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</si>
  <si>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</si>
  <si>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</si>
  <si>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</si>
  <si>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</si>
  <si>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</si>
  <si>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</si>
  <si>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</si>
  <si>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</si>
  <si>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</si>
  <si>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</si>
  <si>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</si>
  <si>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</si>
  <si>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</si>
  <si>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</si>
  <si>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</si>
  <si>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</si>
  <si>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</si>
  <si>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</si>
  <si>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</si>
  <si>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</si>
  <si>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</si>
  <si>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</si>
  <si>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</si>
  <si>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</si>
  <si>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</si>
  <si>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</si>
  <si>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</si>
  <si>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</si>
  <si>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</si>
  <si>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</si>
  <si>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</si>
  <si>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</si>
  <si>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</si>
  <si>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</si>
  <si>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</si>
  <si>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</si>
  <si>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</si>
  <si>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</si>
  <si>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</si>
  <si>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</si>
  <si>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</si>
  <si>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</si>
  <si>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</si>
  <si>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</si>
  <si>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</si>
  <si>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</si>
  <si>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</si>
  <si>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</si>
  <si>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</si>
  <si>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</si>
  <si>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</si>
  <si>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</si>
  <si>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</si>
  <si>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</si>
  <si>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</si>
  <si>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</si>
  <si>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</si>
  <si>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</si>
  <si>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</si>
  <si>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</si>
  <si>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</si>
  <si>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</si>
  <si>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</si>
  <si>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</si>
  <si>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</si>
  <si>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</si>
  <si>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</si>
  <si>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</si>
  <si>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</si>
  <si>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</si>
  <si>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</si>
  <si>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</si>
  <si>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</si>
  <si>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</si>
  <si>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</si>
  <si>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</si>
  <si>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</si>
  <si>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</si>
  <si>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</si>
  <si>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</si>
  <si>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</si>
  <si>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</si>
  <si>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</si>
  <si>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</si>
  <si>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</si>
  <si>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</si>
  <si>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</si>
  <si>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</si>
  <si>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</si>
  <si>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</si>
  <si>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</si>
  <si>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</si>
  <si>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</si>
  <si>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</si>
  <si>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</si>
  <si>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</si>
  <si>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</si>
  <si>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</si>
  <si>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</si>
  <si>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</si>
  <si>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</si>
  <si>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</si>
  <si>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</si>
  <si>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</si>
  <si>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</si>
  <si>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</si>
  <si>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</si>
  <si>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</si>
  <si>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</si>
  <si>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</si>
  <si>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</si>
  <si>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</si>
  <si>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</si>
  <si>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</si>
  <si>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</si>
  <si>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</si>
  <si>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</si>
  <si>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</si>
  <si>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</si>
  <si>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</si>
  <si>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</si>
  <si>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</si>
  <si>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</si>
  <si>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</si>
  <si>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</si>
  <si>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</si>
  <si>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</si>
  <si>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</si>
  <si>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</si>
  <si>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</si>
  <si>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</si>
  <si>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</si>
  <si>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</si>
  <si>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</si>
  <si>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</si>
  <si>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</si>
  <si>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</si>
  <si>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</si>
  <si>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</si>
  <si>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</si>
  <si>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</si>
  <si>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</si>
  <si>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</si>
  <si>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</si>
  <si>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</si>
  <si>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</si>
  <si>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</si>
  <si>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</si>
  <si>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</si>
  <si>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</si>
  <si>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</si>
  <si>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</si>
  <si>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</si>
  <si>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</si>
  <si>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</si>
  <si>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</si>
  <si>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</si>
  <si>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</si>
  <si>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</si>
  <si>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</si>
  <si>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</si>
  <si>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</si>
  <si>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</si>
  <si>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</si>
  <si>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</si>
  <si>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</si>
  <si>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</si>
  <si>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</si>
  <si>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</si>
  <si>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</si>
  <si>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</si>
  <si>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</si>
  <si>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</si>
  <si>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</si>
  <si>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</si>
  <si>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</si>
  <si>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</si>
  <si>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</si>
  <si>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</si>
  <si>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</si>
  <si>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</si>
  <si>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</si>
  <si>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</si>
  <si>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</si>
  <si>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</si>
  <si>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</si>
  <si>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</si>
  <si>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</si>
  <si>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</si>
  <si>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</si>
  <si>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</si>
  <si>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</si>
  <si>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</si>
  <si>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</si>
  <si>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</si>
  <si>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</si>
  <si>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</si>
  <si>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</si>
  <si>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</si>
  <si>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</si>
  <si>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</si>
  <si>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</si>
  <si>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</si>
  <si>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</si>
  <si>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</si>
  <si>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</si>
  <si>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</si>
  <si>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</si>
  <si>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</si>
  <si>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</si>
  <si>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</si>
  <si>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</si>
  <si>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</si>
  <si>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</si>
  <si>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</si>
  <si>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</si>
  <si>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</si>
  <si>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</si>
  <si>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</si>
  <si>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</si>
  <si>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</si>
  <si>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</si>
  <si>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</si>
  <si>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</si>
  <si>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</si>
  <si>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</si>
  <si>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</si>
  <si>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</si>
  <si>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</si>
  <si>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</si>
  <si>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</si>
  <si>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</si>
  <si>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</si>
  <si>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</si>
  <si>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</si>
  <si>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</si>
  <si>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</si>
  <si>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</si>
  <si>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</si>
  <si>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</si>
  <si>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</si>
  <si>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</si>
  <si>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</si>
  <si>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</si>
  <si>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</si>
  <si>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</si>
  <si>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</si>
  <si>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</si>
  <si>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</si>
  <si>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</si>
  <si>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</si>
  <si>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</si>
  <si>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</si>
  <si>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</si>
  <si>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</si>
  <si>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</si>
  <si>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</si>
  <si>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</si>
  <si>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</si>
  <si>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</si>
  <si>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</si>
  <si>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</si>
  <si>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</si>
  <si>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</si>
  <si>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</si>
  <si>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</si>
  <si>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</si>
  <si>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</si>
  <si>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</si>
  <si>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</si>
  <si>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</si>
  <si>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</si>
  <si>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</si>
  <si>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</si>
  <si>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</si>
  <si>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</si>
  <si>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</si>
  <si>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</si>
  <si>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</si>
  <si>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</si>
  <si>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</si>
  <si>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</si>
  <si>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</si>
  <si>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</si>
  <si>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</si>
  <si>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</si>
  <si>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</si>
  <si>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</si>
  <si>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</si>
  <si>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</si>
  <si>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</si>
  <si>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</si>
  <si>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</si>
  <si>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</si>
  <si>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</si>
  <si>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</si>
  <si>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</si>
  <si>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</si>
  <si>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</si>
  <si>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</si>
  <si>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</si>
  <si>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</si>
  <si>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</si>
  <si>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</si>
  <si>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</si>
  <si>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</si>
  <si>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</si>
  <si>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</si>
  <si>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</si>
  <si>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</si>
  <si>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</si>
  <si>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</si>
  <si>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</si>
  <si>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</si>
  <si>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</si>
  <si>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</si>
  <si>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</si>
  <si>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</si>
  <si>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</si>
  <si>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</si>
  <si>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</si>
  <si>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</si>
  <si>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</si>
  <si>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</si>
  <si>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</si>
  <si>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</si>
  <si>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</si>
  <si>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</si>
  <si>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</si>
  <si>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</si>
  <si>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</si>
  <si>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</si>
  <si>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</si>
  <si>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</si>
  <si>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</si>
  <si>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</si>
  <si>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</si>
  <si>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</si>
  <si>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</si>
  <si>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</si>
  <si>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</si>
  <si>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</si>
  <si>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</si>
  <si>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</si>
  <si>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</si>
  <si>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</si>
  <si>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</si>
  <si>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</si>
  <si>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</si>
  <si>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</si>
  <si>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</si>
  <si>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</si>
  <si>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</si>
  <si>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</si>
  <si>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</si>
  <si>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</si>
  <si>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</si>
  <si>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</si>
  <si>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</si>
  <si>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</si>
  <si>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</si>
  <si>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</si>
  <si>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</si>
  <si>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</si>
  <si>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</si>
  <si>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</si>
  <si>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</si>
  <si>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</si>
  <si>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</si>
  <si>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</si>
  <si>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</si>
  <si>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</si>
  <si>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</si>
  <si>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</si>
  <si>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</si>
  <si>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</si>
  <si>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</si>
  <si>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</si>
  <si>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</si>
  <si>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</si>
  <si>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</si>
  <si>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</si>
  <si>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</si>
  <si>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</si>
  <si>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</si>
  <si>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</si>
  <si>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</si>
  <si>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</si>
  <si>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</si>
  <si>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</si>
  <si>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</si>
  <si>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</si>
  <si>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</si>
  <si>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</si>
  <si>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</si>
  <si>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</si>
  <si>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</si>
  <si>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</si>
  <si>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</si>
  <si>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</si>
  <si>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</si>
  <si>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</si>
  <si>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</si>
  <si>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</si>
  <si>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</si>
  <si>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</si>
  <si>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</si>
  <si>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</si>
  <si>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</si>
  <si>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</si>
  <si>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</si>
  <si>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</si>
  <si>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</si>
  <si>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</si>
  <si>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</si>
  <si>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</si>
  <si>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</si>
  <si>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</si>
  <si>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</si>
  <si>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</si>
  <si>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</si>
  <si>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</si>
  <si>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</si>
  <si>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</si>
  <si>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</si>
  <si>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</si>
  <si>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</si>
  <si>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</si>
  <si>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</si>
  <si>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</si>
  <si>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</si>
  <si>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</si>
  <si>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</si>
  <si>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</si>
  <si>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</si>
  <si>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</si>
  <si>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</si>
  <si>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</si>
  <si>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</si>
  <si>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NOTE:  This template is limited to a single spatial reference and elevation datum!  To include more, you must generate your YODA file in some other way.</t>
  </si>
  <si>
    <t>NOTE:  To include more people or organizations, simply insert rows into the middle of the yellow table.</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</si>
  <si>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</si>
  <si>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</si>
  <si>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</si>
  <si>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</si>
  <si>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</si>
  <si>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</si>
  <si>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</si>
  <si>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</si>
  <si>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</si>
  <si>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</si>
  <si>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</si>
  <si>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</si>
  <si>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</si>
  <si>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</si>
  <si>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</si>
  <si>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</si>
  <si>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</si>
  <si>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</si>
  <si>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</si>
  <si>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</si>
  <si>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</si>
  <si>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</si>
  <si>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</si>
  <si>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</si>
  <si>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</si>
  <si>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</si>
  <si>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</si>
  <si>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</si>
  <si>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</si>
  <si>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</si>
  <si>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</si>
  <si>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</si>
  <si>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</si>
  <si>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</si>
  <si>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</si>
  <si>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</si>
  <si>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</si>
  <si>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</si>
  <si>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</si>
  <si>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</si>
  <si>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</si>
  <si>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</si>
  <si>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</si>
  <si>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</si>
  <si>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</si>
  <si>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</si>
  <si>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</si>
  <si>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</si>
  <si>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</si>
  <si>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</si>
  <si>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</si>
  <si>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</si>
  <si>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</si>
  <si>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</si>
  <si>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</si>
  <si>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</si>
  <si>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</si>
  <si>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</si>
  <si>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Sampled Medium</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</si>
  <si>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</si>
  <si>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</si>
  <si>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</si>
  <si>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</si>
  <si>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</si>
  <si>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</si>
  <si>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</si>
  <si>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</si>
  <si>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</si>
  <si>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</si>
  <si>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</si>
  <si>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</si>
  <si>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</si>
  <si>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</si>
  <si>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</si>
  <si>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</si>
  <si>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</si>
  <si>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</si>
  <si>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</si>
  <si>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</si>
  <si>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</si>
  <si>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</si>
  <si>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</si>
  <si>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</si>
  <si>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</si>
  <si>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</si>
  <si>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</si>
  <si>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</si>
  <si>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</si>
  <si>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</si>
  <si>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</si>
  <si>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</si>
  <si>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</si>
  <si>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</si>
  <si>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</si>
  <si>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</si>
  <si>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</si>
  <si>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</si>
  <si>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</si>
  <si>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</si>
  <si>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</si>
  <si>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</si>
  <si>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</si>
  <si>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</si>
  <si>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</si>
  <si>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</si>
  <si>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</si>
  <si>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</si>
  <si>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</si>
  <si>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</si>
  <si>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</si>
  <si>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</si>
  <si>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</si>
  <si>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</si>
  <si>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</si>
  <si>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</si>
  <si>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</si>
  <si>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3.</t>
    </r>
  </si>
  <si>
    <t>NOTE:  This template does not allow for inputs of details about Actions and Feature actions.  All actions will be coded as a timeless "Observations" at the given sampling feature.  To include more details, you must generate your YODA file in some other way.</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</si>
  <si>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</si>
  <si>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</si>
  <si>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</si>
  <si>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</si>
  <si>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</si>
  <si>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</si>
  <si>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</si>
  <si>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</si>
  <si>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</si>
  <si>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</si>
  <si>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</si>
  <si>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</si>
  <si>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</si>
  <si>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</si>
  <si>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</si>
  <si>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NOTE:  This template also does not allow for inputting any information about Taxonomic Classifiers, Valid date/times, continuing statuses, result offsets, and intended time spacings.  To include these, you must generate your YODA file in some other way.</t>
  </si>
  <si>
    <t xml:space="preserve">  ColumnDefinitions:</t>
  </si>
  <si>
    <t xml:space="preserve">    - {ColumnNumber: 0001, Label: ValueDateTime, ODM2Field: ValueDateTime}</t>
  </si>
  <si>
    <t xml:space="preserve">    - {ColumnNumber: 0002, Label: ValueDateTimeUTCOffset, ODM2Field: ValueDateTimeUTCOffset}</t>
  </si>
  <si>
    <t>NOTE:  This template also does not allow for value-by-value annotations, result UUID's, censor codes, quality codes, or time aggregation information.  To include these, you must generate your YODA file in some other way.</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</si>
  <si>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</si>
  <si>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</si>
  <si>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</si>
  <si>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</si>
  <si>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</si>
  <si>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</si>
  <si>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</si>
  <si>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</si>
  <si>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OffsetID</t>
  </si>
  <si>
    <t>NOTE:  To include more relationships, simply begin typing in the next row down and the table will automatically expand.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</si>
  <si>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</si>
  <si>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</si>
  <si>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</si>
  <si>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</si>
  <si>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</si>
  <si>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</si>
  <si>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</si>
  <si>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</si>
  <si>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</si>
  <si>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</si>
  <si>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</si>
  <si>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</si>
  <si>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</si>
  <si>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</si>
  <si>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</si>
  <si>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</si>
  <si>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</si>
  <si>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</si>
  <si>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</si>
  <si>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</si>
  <si>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</si>
  <si>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</si>
  <si>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</si>
  <si>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Fill in information in the yellow boxes on each of the worksheets.  The darker yellow boxes are mandatory and paler yellow are optional.</t>
  </si>
  <si>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</si>
  <si>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</si>
  <si>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</si>
  <si>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</si>
  <si>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</si>
  <si>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</si>
  <si>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</si>
  <si>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</si>
  <si>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</si>
  <si>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</si>
  <si>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</si>
  <si>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</si>
  <si>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</si>
  <si>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</si>
  <si>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</si>
  <si>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</si>
  <si>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</si>
  <si>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</si>
  <si>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</si>
  <si>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</si>
  <si>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</si>
  <si>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</si>
  <si>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</si>
  <si>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</si>
  <si>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</si>
  <si>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</si>
  <si>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</si>
  <si>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</si>
  <si>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</si>
  <si>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</si>
  <si>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</si>
  <si>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</si>
  <si>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</si>
  <si>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</si>
  <si>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</si>
  <si>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</si>
  <si>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Processed data and data products that have undergone quality control</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</si>
  <si>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</si>
  <si>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&amp;ProcessingLevelID0002 {ProcessingLevelCode:  "1", Definition:  "Quality controlled data", Explanation:  "Processed data and data products that have undergone quality control"}</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</si>
  <si>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</si>
  <si>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</si>
  <si>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</si>
  <si>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</si>
  <si>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</si>
  <si>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</si>
  <si>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</si>
  <si>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</si>
  <si>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</si>
  <si>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</si>
  <si>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</si>
  <si>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</si>
  <si>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</si>
  <si>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</si>
  <si>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</si>
  <si>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</si>
  <si>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</si>
  <si>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</si>
  <si>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</si>
  <si>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</si>
  <si>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</si>
  <si>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</si>
  <si>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</si>
  <si>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</si>
  <si>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</si>
  <si>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</si>
  <si>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</si>
  <si>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</si>
  <si>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</si>
  <si>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</si>
  <si>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</si>
  <si>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</si>
  <si>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</si>
  <si>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</si>
  <si>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</si>
  <si>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</si>
  <si>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</si>
  <si>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</si>
  <si>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</si>
  <si>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</si>
  <si>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ExternalIDOrgs</t>
  </si>
  <si>
    <t>Identifier System Organization Name</t>
  </si>
  <si>
    <t>Citation External Identifiers</t>
  </si>
  <si>
    <t>Person External Identifiers</t>
  </si>
  <si>
    <t>Sampling Feature External Identifiers</t>
  </si>
  <si>
    <t>URI Structure</t>
  </si>
  <si>
    <t>http://app.geosamples.org/sample/igsn/</t>
  </si>
  <si>
    <t>ExternalIDNum</t>
  </si>
  <si>
    <t>IGSNID</t>
  </si>
  <si>
    <t>YODA: {Version: 1.0.0, Profile: TimeSeries, DateCreated: "2015-03-12", DateUpdated: "2015-03-12"}</t>
  </si>
  <si>
    <t># ORCIDs:</t>
  </si>
  <si>
    <t># IGSNS</t>
  </si>
  <si>
    <t>TODO:  Allow custom spatial references</t>
  </si>
  <si>
    <t>PLEASE FILL IN DATA IN THE DATA VALUES WORKSHEET</t>
  </si>
  <si>
    <t>Derived products</t>
  </si>
  <si>
    <t>Derived products that require scientific and technical interpretation and may include multiple-sensor data. An example is basin average precipitation derived from rain gages using an interpolation procedure.</t>
  </si>
  <si>
    <t>Interpreted products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</si>
  <si>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</si>
  <si>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</si>
  <si>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</si>
  <si>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PLEASE FILL IN AT LEAST ONE ORGANIZATION WITH TYPE, CODE, AND NAME</t>
  </si>
  <si>
    <t>PLEASE FILL IN AT LEAST ONE PERSON WITH FIRST, MIDDLE AND LAST NAME</t>
  </si>
  <si>
    <t>PLEASE FILL IN A VALID LAT/LONG DATUM</t>
  </si>
  <si>
    <t>PLEASE FILL IN AT LEAST ONE SAMPLING FEATURE</t>
  </si>
  <si>
    <t>PLEASE FILL IN AT LEAST ONE METHOD</t>
  </si>
  <si>
    <t>PLEASE FILL IN AT LEAST ONE VARIABLE</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</si>
  <si>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</si>
  <si>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</si>
  <si>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</si>
  <si>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PLEASE FILL IN METADATA FOR AT LEAST ONE DATA COLUMN</t>
  </si>
  <si>
    <t xml:space="preserve">  - &amp;DataSetID0001 {DataSetUUID:  NULLPLEASE FILL IN THE DATASET TYPE IN THE DATASET CITATION TABPLEASE FILL IN THE DATASET CODE IN THE DATASET CITATION TABPLEASE FILL IN THE DATASET TITLE IN THE DATASET CITATION TAB,  DataSetAbstract:  NULL}</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</si>
</sst>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4">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84">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29" xfId="0" applyFill="1" applyBorder="1"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3" borderId="30" xfId="0" applyFill="1" applyBorder="1"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3" fillId="3" borderId="21" xfId="3" applyFill="1" applyBorder="1" applyProtection="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0" borderId="11"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0" fillId="2" borderId="2" xfId="0" applyFill="1" applyBorder="1" applyAlignment="1" applyProtection="1">
      <alignment wrapText="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1" fillId="0" borderId="31" xfId="0" applyFont="1" applyBorder="1" applyProtection="1"/>
    <xf numFmtId="0" fontId="1" fillId="0" borderId="32" xfId="0" applyFont="1" applyBorder="1" applyProtection="1"/>
    <xf numFmtId="0" fontId="6" fillId="0" borderId="32" xfId="0" applyFont="1" applyBorder="1" applyProtection="1"/>
    <xf numFmtId="0" fontId="6" fillId="0" borderId="33"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0" fontId="3" fillId="2" borderId="4" xfId="3" applyFill="1" applyBorder="1" applyProtection="1">
      <protection locked="0"/>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1" xfId="0" applyFont="1" applyBorder="1" applyAlignment="1" applyProtection="1">
      <alignment horizontal="center"/>
      <protection locked="0"/>
    </xf>
    <xf numFmtId="0" fontId="1" fillId="0" borderId="0"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144">
    <dxf>
      <font>
        <b/>
        <i/>
        <color rgb="FFFF0000"/>
      </font>
      <fill>
        <patternFill>
          <bgColor rgb="FFFFC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76200</xdr:colOff>
          <xdr:row>2</xdr:row>
          <xdr:rowOff>47625</xdr:rowOff>
        </xdr:from>
        <xdr:to>
          <xdr:col>10</xdr:col>
          <xdr:colOff>1066800</xdr:colOff>
          <xdr:row>4</xdr:row>
          <xdr:rowOff>123825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43" dataDxfId="142" tableBorderDxfId="141">
  <autoFilter ref="A8:E18"/>
  <tableColumns count="5">
    <tableColumn id="1" name="Organization Type [CV]" dataDxfId="140"/>
    <tableColumn id="2" name="Organization Code" dataDxfId="139"/>
    <tableColumn id="3" name="Organization Name" dataDxfId="138"/>
    <tableColumn id="4" name="Organization Description" dataDxfId="137"/>
    <tableColumn id="5" name="Organization Link" dataDxfId="13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35" dataDxfId="133" headerRowBorderDxfId="134" tableBorderDxfId="132">
  <autoFilter ref="A23:I33"/>
  <tableColumns count="9">
    <tableColumn id="1" name="First Name" dataDxfId="131"/>
    <tableColumn id="2" name="Middle Name" dataDxfId="130"/>
    <tableColumn id="3" name="Last Name" dataDxfId="129"/>
    <tableColumn id="4" name="Person OrcID" dataDxfId="128"/>
    <tableColumn id="5" name="Organization Name" dataDxfId="127"/>
    <tableColumn id="6" name="Primary Email" dataDxfId="126"/>
    <tableColumn id="7" name="Primary Address" dataDxfId="125"/>
    <tableColumn id="8" name="Full Name" dataDxfId="124">
      <calculatedColumnFormula>CONCATENATE(People[[#This Row],[First Name]]," ",People[[#This Row],[Middle Name]]," ",People[[#This Row],[Last Name]])</calculatedColumnFormula>
    </tableColumn>
    <tableColumn id="9" name="ExternalIDNum" dataDxfId="123">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17:B27" totalsRowShown="0" headerRowDxfId="122" dataDxfId="120" headerRowBorderDxfId="121" tableBorderDxfId="119">
  <autoFilter ref="A17:B27"/>
  <tableColumns count="2">
    <tableColumn id="1" name="Author Number" dataDxfId="118"/>
    <tableColumn id="2" name="Author Name" dataDxfId="117"/>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J60" totalsRowShown="0" headerRowDxfId="116" dataDxfId="114" headerRowBorderDxfId="115" tableBorderDxfId="113">
  <autoFilter ref="A10:J60"/>
  <tableColumns count="10">
    <tableColumn id="1" name="Sampling Feature UUID" dataDxfId="112"/>
    <tableColumn id="2" name="Sampling Feature Type" dataDxfId="111"/>
    <tableColumn id="3" name="Feature Geo Type" dataDxfId="110"/>
    <tableColumn id="4" name="Feature Code" dataDxfId="109"/>
    <tableColumn id="5" name="Feature Name" dataDxfId="108"/>
    <tableColumn id="6" name="Feature Description" dataDxfId="107"/>
    <tableColumn id="7" name="Feature Geometry" dataDxfId="106"/>
    <tableColumn id="8" name="Elevation_m" dataDxfId="105"/>
    <tableColumn id="9" name="Feature IGSN" dataDxfId="104"/>
    <tableColumn id="10" name="IGSNID" dataDxfId="103">
      <calculatedColumnFormula>IF(SamplingFeatures[[#This Row],[Feature IGSN]]&lt;&gt;"",MAX(J$10:J10)+1,"")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0:O60" totalsRowShown="0" headerRowDxfId="102" dataDxfId="100" headerRowBorderDxfId="101" tableBorderDxfId="99">
  <autoFilter ref="L10:O60"/>
  <tableColumns count="4">
    <tableColumn id="4" name="SiteID" dataDxfId="98">
      <calculatedColumnFormula>IF(SamplingFeatures[[#This Row],[Sampling Feature Type]]="Site",MAX(L$10:L10)+1,"")</calculatedColumnFormula>
    </tableColumn>
    <tableColumn id="1" name="Site Type" dataDxfId="97">
      <calculatedColumnFormula>IF($B11="Site","SELECT VALUE","")</calculatedColumnFormula>
    </tableColumn>
    <tableColumn id="2" name="Latitude" dataDxfId="96">
      <calculatedColumnFormula>IF($B11="site","ENTER VALUE","")</calculatedColumnFormula>
    </tableColumn>
    <tableColumn id="3" name="Longitude" dataDxfId="95">
      <calculatedColumnFormula>IF($B11="site","ENTER VALUE","")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0:T60" totalsRowShown="0" headerRowDxfId="94" dataDxfId="92" headerRowBorderDxfId="93" tableBorderDxfId="91">
  <autoFilter ref="Q10:T60"/>
  <tableColumns count="4">
    <tableColumn id="4" name="SpecimenID" dataDxfId="90">
      <calculatedColumnFormula>IF(SamplingFeatures[[#This Row],[Sampling Feature Type]]="Specimen",MAX(Q$10:Q10)+1,"")</calculatedColumnFormula>
    </tableColumn>
    <tableColumn id="1" name="Specimen Type" dataDxfId="89">
      <calculatedColumnFormula>IF($B11="Specimen","SELECT VALUE","")</calculatedColumnFormula>
    </tableColumn>
    <tableColumn id="2" name="Specimen Medium" dataDxfId="88">
      <calculatedColumnFormula>IF($B11="Specimen","SELECT VALUE","")</calculatedColumnFormula>
    </tableColumn>
    <tableColumn id="3" name="Is Field Specimen?" dataDxfId="87">
      <calculatedColumnFormula>IF($B11="Specimen","SELECT VALUE","")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6:K38" totalsRowShown="0" headerRowDxfId="86" dataDxfId="84" headerRowBorderDxfId="85" tableBorderDxfId="83">
  <autoFilter ref="A6:K38"/>
  <tableColumns count="11">
    <tableColumn id="1" name="First Sampling Feature Code" dataDxfId="82"/>
    <tableColumn id="2" name="Relationship Type" dataDxfId="81"/>
    <tableColumn id="3" name="Second Sampling Feature Code" dataDxfId="80"/>
    <tableColumn id="5" name="Spatial Offset Type" dataDxfId="79"/>
    <tableColumn id="6" name="Offset 1 Value" dataDxfId="78"/>
    <tableColumn id="7" name="Offset 1 Unit" dataDxfId="77"/>
    <tableColumn id="8" name="Offset 2 Value" dataDxfId="76"/>
    <tableColumn id="9" name="Offset 2 Unit" dataDxfId="75"/>
    <tableColumn id="10" name="Offset 3 Value" dataDxfId="74"/>
    <tableColumn id="11" name="Offset 3 Unit" dataDxfId="73"/>
    <tableColumn id="12" name="OffsetID" dataDxfId="72">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6:F27" totalsRowShown="0" headerRowDxfId="71" dataDxfId="69" headerRowBorderDxfId="70" tableBorderDxfId="68">
  <autoFilter ref="A6:F27"/>
  <tableColumns count="6">
    <tableColumn id="1" name="Method Type" dataDxfId="67"/>
    <tableColumn id="2" name="Method Code" dataDxfId="66"/>
    <tableColumn id="3" name="Method Name" dataDxfId="65"/>
    <tableColumn id="4" name="Method Description" dataDxfId="64"/>
    <tableColumn id="5" name="Method Link" dataDxfId="63"/>
    <tableColumn id="6" name="Organization Name" dataDxfId="62"/>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6:F25" totalsRowShown="0" headerRowDxfId="61" dataDxfId="59" headerRowBorderDxfId="60" tableBorderDxfId="58">
  <autoFilter ref="A6:F25"/>
  <tableColumns count="6">
    <tableColumn id="1" name="Variable Type" dataDxfId="57"/>
    <tableColumn id="2" name="Variable Code" dataDxfId="56"/>
    <tableColumn id="3" name="Variable Name" dataDxfId="55"/>
    <tableColumn id="4" name="Variable Definition" dataDxfId="54"/>
    <tableColumn id="5" name="Speciation" dataDxfId="53"/>
    <tableColumn id="6" name="No Data Value" dataDxfId="52"/>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6:C24" totalsRowShown="0" headerRowDxfId="51" dataDxfId="49" headerRowBorderDxfId="50" tableBorderDxfId="48">
  <autoFilter ref="A6:C24"/>
  <tableColumns count="3">
    <tableColumn id="1" name="Processing Level Code" dataDxfId="47"/>
    <tableColumn id="2" name="Definition" dataDxfId="46"/>
    <tableColumn id="3" name="Explanation" dataDxfId="45"/>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1:O98" totalsRowShown="0" headerRowDxfId="44" dataDxfId="42" headerRowBorderDxfId="43" tableBorderDxfId="41">
  <autoFilter ref="A11:O98"/>
  <tableColumns count="15">
    <tableColumn id="1" name="Col #" dataDxfId="40">
      <calculatedColumnFormula>IF(COUNTA(DataColumns[[#This Row],[Column Label]:[Quality Code]])&gt;0,IF(MAX(A$11:A11)=0,3,MAX(A$11:A11)+1),"")</calculatedColumnFormula>
    </tableColumn>
    <tableColumn id="2" name="Column Label" dataDxfId="39"/>
    <tableColumn id="3" name="ResultUUID" dataDxfId="38"/>
    <tableColumn id="4" name="Sampling Feature Code" dataDxfId="37"/>
    <tableColumn id="5" name="Method Code" dataDxfId="36"/>
    <tableColumn id="6" name="Result Type" dataDxfId="35"/>
    <tableColumn id="7" name="Variable Code" dataDxfId="34"/>
    <tableColumn id="8" name="Unit Name" dataDxfId="33"/>
    <tableColumn id="9" name="Processing Level" dataDxfId="32"/>
    <tableColumn id="11" name="Sampled Medium" dataDxfId="31"/>
    <tableColumn id="12" name="Time Aggregation Interval" dataDxfId="30"/>
    <tableColumn id="13" name="Time Aggregation Unit" dataDxfId="29"/>
    <tableColumn id="14" name="Aggregation Statistic" dataDxfId="28"/>
    <tableColumn id="15" name="Censor Code" dataDxfId="27"/>
    <tableColumn id="16" name="Quality Code" dataDxfId="26"/>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25">
  <autoFilter ref="A1:U79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24" headerRowBorderDxfId="23" tableBorderDxfId="22">
  <autoFilter ref="A4:D8"/>
  <tableColumns count="4">
    <tableColumn id="1" name="SRSCode" dataDxfId="21"/>
    <tableColumn id="2" name="SRSName" dataDxfId="20"/>
    <tableColumn id="3" name="SRSDescription" dataDxfId="19"/>
    <tableColumn id="4" name="SRSLink" dataDxfId="18"/>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17" headerRowBorderDxfId="16" tableBorderDxfId="15">
  <autoFilter ref="A17:E20"/>
  <tableColumns count="5">
    <tableColumn id="1" name="External Identifier System Name" dataDxfId="14"/>
    <tableColumn id="2" name="Identifier System Organization Name" dataDxfId="13"/>
    <tableColumn id="3" name="External Identifier System Descrption" dataDxfId="12"/>
    <tableColumn id="4" name="External Identifier System URL" dataDxfId="11" dataCellStyle="Hyperlink"/>
    <tableColumn id="5" name="URI Structure" dataDxfId="10"/>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9" headerRowBorderDxfId="8" tableBorderDxfId="7">
  <autoFilter ref="A4:E7"/>
  <tableColumns count="5">
    <tableColumn id="1" name="Organization Type [CV]" dataDxfId="6"/>
    <tableColumn id="2" name="Organization Code" dataDxfId="5"/>
    <tableColumn id="3" name="Organization Name" dataDxfId="4"/>
    <tableColumn id="4" name="Organization Description" dataDxfId="3"/>
    <tableColumn id="5" name="Organization Link" dataDxfId="2"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0"/>
  <sheetViews>
    <sheetView tabSelected="1" topLeftCell="A7" workbookViewId="0">
      <selection activeCell="A33" sqref="A33"/>
    </sheetView>
  </sheetViews>
  <sheetFormatPr defaultRowHeight="15" x14ac:dyDescent="0.25"/>
  <sheetData>
    <row r="1" spans="1:1" ht="18.75" x14ac:dyDescent="0.3">
      <c r="A1" s="6" t="s">
        <v>1252</v>
      </c>
    </row>
    <row r="2" spans="1:1" s="5" customFormat="1" x14ac:dyDescent="0.25">
      <c r="A2" s="5" t="s">
        <v>1280</v>
      </c>
    </row>
    <row r="3" spans="1:1" s="5" customFormat="1" x14ac:dyDescent="0.25"/>
    <row r="4" spans="1:1" ht="18.75" x14ac:dyDescent="0.3">
      <c r="A4" s="6" t="s">
        <v>1251</v>
      </c>
    </row>
    <row r="5" spans="1:1" s="5" customFormat="1" x14ac:dyDescent="0.25">
      <c r="A5" s="5" t="s">
        <v>1305</v>
      </c>
    </row>
    <row r="6" spans="1:1" s="5" customFormat="1" x14ac:dyDescent="0.25">
      <c r="A6" s="5" t="s">
        <v>1284</v>
      </c>
    </row>
    <row r="7" spans="1:1" s="5" customFormat="1" x14ac:dyDescent="0.25">
      <c r="A7" s="5" t="s">
        <v>1313</v>
      </c>
    </row>
    <row r="8" spans="1:1" s="5" customFormat="1" x14ac:dyDescent="0.25">
      <c r="A8" s="5" t="s">
        <v>1294</v>
      </c>
    </row>
    <row r="9" spans="1:1" s="5" customFormat="1" x14ac:dyDescent="0.25">
      <c r="A9" s="5" t="s">
        <v>1285</v>
      </c>
    </row>
    <row r="10" spans="1:1" s="5" customFormat="1" x14ac:dyDescent="0.25">
      <c r="A10" s="5" t="s">
        <v>1283</v>
      </c>
    </row>
    <row r="11" spans="1:1" s="5" customFormat="1" x14ac:dyDescent="0.25">
      <c r="A11" s="5" t="s">
        <v>1286</v>
      </c>
    </row>
    <row r="12" spans="1:1" s="5" customFormat="1" x14ac:dyDescent="0.25">
      <c r="A12" s="5" t="s">
        <v>1304</v>
      </c>
    </row>
    <row r="13" spans="1:1" s="5" customFormat="1" x14ac:dyDescent="0.25">
      <c r="A13" s="5" t="s">
        <v>1302</v>
      </c>
    </row>
    <row r="14" spans="1:1" s="5" customFormat="1" x14ac:dyDescent="0.25">
      <c r="A14" s="5" t="s">
        <v>1287</v>
      </c>
    </row>
    <row r="15" spans="1:1" s="5" customFormat="1" x14ac:dyDescent="0.25">
      <c r="A15" s="5" t="s">
        <v>1288</v>
      </c>
    </row>
    <row r="16" spans="1:1" s="5" customFormat="1" x14ac:dyDescent="0.25">
      <c r="A16" s="5" t="s">
        <v>1301</v>
      </c>
    </row>
    <row r="17" spans="1:1" s="5" customFormat="1" x14ac:dyDescent="0.25">
      <c r="A17" s="5" t="s">
        <v>1303</v>
      </c>
    </row>
    <row r="18" spans="1:1" s="5" customFormat="1" x14ac:dyDescent="0.25">
      <c r="A18" s="5" t="s">
        <v>1309</v>
      </c>
    </row>
    <row r="19" spans="1:1" s="5" customFormat="1" x14ac:dyDescent="0.25">
      <c r="A19" s="5" t="s">
        <v>1306</v>
      </c>
    </row>
    <row r="20" spans="1:1" s="5" customFormat="1" x14ac:dyDescent="0.25">
      <c r="A20" s="5" t="s">
        <v>1308</v>
      </c>
    </row>
    <row r="21" spans="1:1" s="5" customFormat="1" x14ac:dyDescent="0.25">
      <c r="A21" s="5" t="s">
        <v>1311</v>
      </c>
    </row>
    <row r="22" spans="1:1" s="5" customFormat="1" x14ac:dyDescent="0.25">
      <c r="A22" s="5" t="s">
        <v>1312</v>
      </c>
    </row>
    <row r="23" spans="1:1" s="5" customFormat="1" x14ac:dyDescent="0.25">
      <c r="A23" s="5" t="s">
        <v>1314</v>
      </c>
    </row>
    <row r="24" spans="1:1" s="5" customFormat="1" x14ac:dyDescent="0.25">
      <c r="A24" s="5" t="s">
        <v>1315</v>
      </c>
    </row>
    <row r="25" spans="1:1" s="5" customFormat="1" x14ac:dyDescent="0.25">
      <c r="A25" s="5" t="s">
        <v>1316</v>
      </c>
    </row>
    <row r="26" spans="1:1" s="5" customFormat="1" x14ac:dyDescent="0.25"/>
    <row r="27" spans="1:1" ht="18.75" x14ac:dyDescent="0.3">
      <c r="A27" s="6" t="s">
        <v>1253</v>
      </c>
    </row>
    <row r="28" spans="1:1" s="5" customFormat="1" x14ac:dyDescent="0.25">
      <c r="A28" s="5" t="s">
        <v>1307</v>
      </c>
    </row>
    <row r="29" spans="1:1" x14ac:dyDescent="0.25">
      <c r="A29" s="5" t="s">
        <v>1290</v>
      </c>
    </row>
    <row r="30" spans="1:1" x14ac:dyDescent="0.25">
      <c r="A30" s="5" t="s">
        <v>1291</v>
      </c>
    </row>
    <row r="31" spans="1:1" s="5" customFormat="1" x14ac:dyDescent="0.25">
      <c r="A31" s="5" t="s">
        <v>1292</v>
      </c>
    </row>
    <row r="32" spans="1:1" s="5" customFormat="1" x14ac:dyDescent="0.25">
      <c r="A32" s="5" t="s">
        <v>1324</v>
      </c>
    </row>
    <row r="33" spans="1:1" x14ac:dyDescent="0.25">
      <c r="A33" s="5" t="s">
        <v>1289</v>
      </c>
    </row>
    <row r="34" spans="1:1" x14ac:dyDescent="0.25">
      <c r="A34" t="s">
        <v>1293</v>
      </c>
    </row>
    <row r="35" spans="1:1" x14ac:dyDescent="0.25">
      <c r="A35" s="5" t="s">
        <v>1295</v>
      </c>
    </row>
    <row r="36" spans="1:1" x14ac:dyDescent="0.25">
      <c r="A36" s="5" t="s">
        <v>1296</v>
      </c>
    </row>
    <row r="37" spans="1:1" x14ac:dyDescent="0.25">
      <c r="A37" s="5" t="s">
        <v>1297</v>
      </c>
    </row>
    <row r="38" spans="1:1" x14ac:dyDescent="0.25">
      <c r="A38" s="5" t="s">
        <v>1298</v>
      </c>
    </row>
    <row r="39" spans="1:1" x14ac:dyDescent="0.25">
      <c r="A39" s="5" t="s">
        <v>1299</v>
      </c>
    </row>
    <row r="40" spans="1:1" x14ac:dyDescent="0.25">
      <c r="A40" s="5" t="s">
        <v>1300</v>
      </c>
    </row>
  </sheetData>
  <sheetProtection password="CA31" sheet="1" objects="1" scenarios="1"/>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4" zoomScaleNormal="100" zoomScalePageLayoutView="150" workbookViewId="0">
      <selection activeCell="G12" sqref="G12"/>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25" style="7" customWidth="1"/>
    <col min="7" max="7" width="45.42578125" style="7" customWidth="1"/>
    <col min="8" max="9" width="3.7109375" style="53" customWidth="1"/>
    <col min="10" max="16384" width="8.85546875" style="7"/>
  </cols>
  <sheetData>
    <row r="1" spans="1:8" x14ac:dyDescent="0.25">
      <c r="A1" s="32" t="s">
        <v>302</v>
      </c>
    </row>
    <row r="2" spans="1:8" x14ac:dyDescent="0.25">
      <c r="A2" s="32" t="s">
        <v>1112</v>
      </c>
    </row>
    <row r="3" spans="1:8" x14ac:dyDescent="0.25">
      <c r="A3" s="32" t="s">
        <v>193</v>
      </c>
    </row>
    <row r="4" spans="1:8" x14ac:dyDescent="0.25">
      <c r="A4" s="32" t="s">
        <v>305</v>
      </c>
    </row>
    <row r="5" spans="1:8" x14ac:dyDescent="0.25">
      <c r="A5" s="32" t="s">
        <v>202</v>
      </c>
    </row>
    <row r="6" spans="1:8" ht="15.75" thickBot="1" x14ac:dyDescent="0.3"/>
    <row r="7" spans="1:8" ht="15.75" thickBot="1" x14ac:dyDescent="0.3">
      <c r="A7" s="159" t="s">
        <v>155</v>
      </c>
      <c r="B7" s="160"/>
      <c r="C7" s="160"/>
      <c r="D7" s="160"/>
      <c r="E7" s="161"/>
      <c r="G7" s="33" t="s">
        <v>1271</v>
      </c>
      <c r="H7" s="69">
        <f>COUNTA(OrganizationNames)</f>
        <v>0</v>
      </c>
    </row>
    <row r="8" spans="1:8" ht="15.75" thickBot="1" x14ac:dyDescent="0.3">
      <c r="A8" s="80" t="s">
        <v>156</v>
      </c>
      <c r="B8" s="81" t="s">
        <v>157</v>
      </c>
      <c r="C8" s="81" t="s">
        <v>19</v>
      </c>
      <c r="D8" s="82" t="s">
        <v>158</v>
      </c>
      <c r="E8" s="83" t="s">
        <v>159</v>
      </c>
      <c r="G8" s="33" t="s">
        <v>1272</v>
      </c>
      <c r="H8" s="69">
        <f>COUNTA(People[Last Name])</f>
        <v>0</v>
      </c>
    </row>
    <row r="9" spans="1:8" ht="16.5" thickTop="1" thickBot="1" x14ac:dyDescent="0.3">
      <c r="A9" s="8"/>
      <c r="B9" s="9"/>
      <c r="C9" s="9"/>
      <c r="D9" s="10"/>
      <c r="E9" s="11"/>
      <c r="G9" s="33" t="s">
        <v>1374</v>
      </c>
      <c r="H9" s="69">
        <f>MAX(People[ExternalIDNum])</f>
        <v>0</v>
      </c>
    </row>
    <row r="10" spans="1:8" x14ac:dyDescent="0.25">
      <c r="A10" s="12"/>
      <c r="B10" s="13"/>
      <c r="C10" s="13"/>
      <c r="D10" s="14"/>
      <c r="E10" s="15"/>
    </row>
    <row r="11" spans="1:8" x14ac:dyDescent="0.25">
      <c r="A11" s="12"/>
      <c r="B11" s="13"/>
      <c r="C11" s="13"/>
      <c r="D11" s="14"/>
      <c r="E11" s="16"/>
    </row>
    <row r="12" spans="1:8" x14ac:dyDescent="0.25">
      <c r="A12" s="12"/>
      <c r="B12" s="13"/>
      <c r="C12" s="13"/>
      <c r="D12" s="14"/>
      <c r="E12" s="16"/>
    </row>
    <row r="13" spans="1:8" x14ac:dyDescent="0.25">
      <c r="A13" s="12"/>
      <c r="B13" s="13"/>
      <c r="C13" s="13"/>
      <c r="D13" s="14"/>
      <c r="E13" s="16"/>
    </row>
    <row r="14" spans="1:8" x14ac:dyDescent="0.25">
      <c r="A14" s="12"/>
      <c r="B14" s="13"/>
      <c r="C14" s="13"/>
      <c r="D14" s="14"/>
      <c r="E14" s="16"/>
    </row>
    <row r="15" spans="1:8" x14ac:dyDescent="0.25">
      <c r="A15" s="12"/>
      <c r="B15" s="13"/>
      <c r="C15" s="13"/>
      <c r="D15" s="14"/>
      <c r="E15" s="16"/>
    </row>
    <row r="16" spans="1:8" x14ac:dyDescent="0.25">
      <c r="A16" s="12"/>
      <c r="B16" s="13"/>
      <c r="C16" s="13"/>
      <c r="D16" s="14"/>
      <c r="E16" s="16"/>
    </row>
    <row r="17" spans="1:9" x14ac:dyDescent="0.25">
      <c r="A17" s="12"/>
      <c r="B17" s="13"/>
      <c r="C17" s="13"/>
      <c r="D17" s="14"/>
      <c r="E17" s="16"/>
    </row>
    <row r="18" spans="1:9" x14ac:dyDescent="0.25">
      <c r="A18" s="17"/>
      <c r="B18" s="18"/>
      <c r="C18" s="18"/>
      <c r="D18" s="19"/>
      <c r="E18" s="20"/>
    </row>
    <row r="19" spans="1:9" x14ac:dyDescent="0.25">
      <c r="H19" s="7"/>
      <c r="I19" s="7"/>
    </row>
    <row r="20" spans="1:9" x14ac:dyDescent="0.25">
      <c r="H20" s="7"/>
      <c r="I20" s="7"/>
    </row>
    <row r="21" spans="1:9" ht="15.75" thickBot="1" x14ac:dyDescent="0.3">
      <c r="H21" s="7"/>
      <c r="I21" s="7"/>
    </row>
    <row r="22" spans="1:9" x14ac:dyDescent="0.25">
      <c r="A22" s="162" t="s">
        <v>154</v>
      </c>
      <c r="B22" s="163"/>
      <c r="C22" s="163"/>
      <c r="D22" s="163"/>
      <c r="E22" s="163"/>
      <c r="F22" s="163"/>
      <c r="G22" s="163"/>
      <c r="H22" s="21"/>
    </row>
    <row r="23" spans="1:9" ht="15.75" thickBot="1" x14ac:dyDescent="0.3">
      <c r="A23" s="78" t="s">
        <v>15</v>
      </c>
      <c r="B23" s="84" t="s">
        <v>16</v>
      </c>
      <c r="C23" s="73" t="s">
        <v>17</v>
      </c>
      <c r="D23" s="85" t="s">
        <v>1349</v>
      </c>
      <c r="E23" s="73" t="s">
        <v>19</v>
      </c>
      <c r="F23" s="73" t="s">
        <v>18</v>
      </c>
      <c r="G23" s="76" t="s">
        <v>190</v>
      </c>
      <c r="H23" s="35" t="s">
        <v>303</v>
      </c>
      <c r="I23" s="35" t="s">
        <v>1371</v>
      </c>
    </row>
    <row r="24" spans="1:9" ht="15.75" thickTop="1" x14ac:dyDescent="0.25">
      <c r="A24" s="22"/>
      <c r="B24" s="23"/>
      <c r="C24" s="23"/>
      <c r="D24" s="24"/>
      <c r="E24" s="23"/>
      <c r="F24" s="25"/>
      <c r="G24" s="26"/>
      <c r="H24" s="153" t="str">
        <f>CONCATENATE(People[[#This Row],[First Name]]," ",People[[#This Row],[Middle Name]]," ",People[[#This Row],[Last Name]])</f>
        <v xml:space="preserve">  </v>
      </c>
      <c r="I24" s="156" t="str">
        <f>IF(People[[#This Row],[Person OrcID]]&lt;&gt;"",MAX(I$23:I23)+1,"")</f>
        <v/>
      </c>
    </row>
    <row r="25" spans="1:9" x14ac:dyDescent="0.25">
      <c r="A25" s="12"/>
      <c r="B25" s="13"/>
      <c r="C25" s="13"/>
      <c r="D25" s="27"/>
      <c r="E25" s="13"/>
      <c r="F25" s="28"/>
      <c r="G25" s="26"/>
      <c r="H25" s="152" t="str">
        <f>CONCATENATE(People[[#This Row],[First Name]]," ",People[[#This Row],[Middle Name]]," ",People[[#This Row],[Last Name]])</f>
        <v xml:space="preserve">  </v>
      </c>
      <c r="I25" s="157" t="str">
        <f>IF(People[[#This Row],[Person OrcID]]&lt;&gt;"",MAX(I$23:I24)+1,"")</f>
        <v/>
      </c>
    </row>
    <row r="26" spans="1:9" x14ac:dyDescent="0.25">
      <c r="A26" s="12"/>
      <c r="B26" s="13"/>
      <c r="C26" s="13"/>
      <c r="D26" s="27"/>
      <c r="E26" s="13"/>
      <c r="F26" s="28"/>
      <c r="G26" s="151"/>
      <c r="H26" s="152" t="str">
        <f>CONCATENATE(People[[#This Row],[First Name]]," ",People[[#This Row],[Middle Name]]," ",People[[#This Row],[Last Name]])</f>
        <v xml:space="preserve">  </v>
      </c>
      <c r="I26" s="157" t="str">
        <f>IF(People[[#This Row],[Person OrcID]]&lt;&gt;"",MAX(I$23:I25)+1,"")</f>
        <v/>
      </c>
    </row>
    <row r="27" spans="1:9" x14ac:dyDescent="0.25">
      <c r="A27" s="12"/>
      <c r="B27" s="13"/>
      <c r="C27" s="13"/>
      <c r="D27" s="27"/>
      <c r="E27" s="13"/>
      <c r="F27" s="28"/>
      <c r="G27" s="29"/>
      <c r="H27" s="152" t="str">
        <f>CONCATENATE(People[[#This Row],[First Name]]," ",People[[#This Row],[Middle Name]]," ",People[[#This Row],[Last Name]])</f>
        <v xml:space="preserve">  </v>
      </c>
      <c r="I27" s="157" t="str">
        <f>IF(People[[#This Row],[Person OrcID]]&lt;&gt;"",MAX(I$23:I26)+1,"")</f>
        <v/>
      </c>
    </row>
    <row r="28" spans="1:9" x14ac:dyDescent="0.25">
      <c r="A28" s="12"/>
      <c r="B28" s="13"/>
      <c r="C28" s="13"/>
      <c r="D28" s="27"/>
      <c r="E28" s="13"/>
      <c r="F28" s="28"/>
      <c r="G28" s="29"/>
      <c r="H28" s="152" t="str">
        <f>CONCATENATE(People[[#This Row],[First Name]]," ",People[[#This Row],[Middle Name]]," ",People[[#This Row],[Last Name]])</f>
        <v xml:space="preserve">  </v>
      </c>
      <c r="I28" s="157" t="str">
        <f>IF(People[[#This Row],[Person OrcID]]&lt;&gt;"",MAX(I$23:I27)+1,"")</f>
        <v/>
      </c>
    </row>
    <row r="29" spans="1:9" x14ac:dyDescent="0.25">
      <c r="A29" s="12"/>
      <c r="B29" s="13"/>
      <c r="C29" s="13"/>
      <c r="D29" s="27"/>
      <c r="E29" s="13"/>
      <c r="F29" s="13"/>
      <c r="G29" s="29"/>
      <c r="H29" s="152" t="str">
        <f>CONCATENATE(People[[#This Row],[First Name]]," ",People[[#This Row],[Middle Name]]," ",People[[#This Row],[Last Name]])</f>
        <v xml:space="preserve">  </v>
      </c>
      <c r="I29" s="157" t="str">
        <f>IF(People[[#This Row],[Person OrcID]]&lt;&gt;"",MAX(I$23:I28)+1,"")</f>
        <v/>
      </c>
    </row>
    <row r="30" spans="1:9" x14ac:dyDescent="0.25">
      <c r="A30" s="12"/>
      <c r="B30" s="13"/>
      <c r="C30" s="13"/>
      <c r="D30" s="27"/>
      <c r="E30" s="13"/>
      <c r="F30" s="13"/>
      <c r="G30" s="29"/>
      <c r="H30" s="152" t="str">
        <f>CONCATENATE(People[[#This Row],[First Name]]," ",People[[#This Row],[Middle Name]]," ",People[[#This Row],[Last Name]])</f>
        <v xml:space="preserve">  </v>
      </c>
      <c r="I30" s="157" t="str">
        <f>IF(People[[#This Row],[Person OrcID]]&lt;&gt;"",MAX(I$23:I29)+1,"")</f>
        <v/>
      </c>
    </row>
    <row r="31" spans="1:9" x14ac:dyDescent="0.25">
      <c r="A31" s="12"/>
      <c r="B31" s="13"/>
      <c r="C31" s="13"/>
      <c r="D31" s="27"/>
      <c r="E31" s="13"/>
      <c r="F31" s="13"/>
      <c r="G31" s="29"/>
      <c r="H31" s="152" t="str">
        <f>CONCATENATE(People[[#This Row],[First Name]]," ",People[[#This Row],[Middle Name]]," ",People[[#This Row],[Last Name]])</f>
        <v xml:space="preserve">  </v>
      </c>
      <c r="I31" s="157" t="str">
        <f>IF(People[[#This Row],[Person OrcID]]&lt;&gt;"",MAX(I$23:I30)+1,"")</f>
        <v/>
      </c>
    </row>
    <row r="32" spans="1:9" x14ac:dyDescent="0.25">
      <c r="A32" s="12"/>
      <c r="B32" s="13"/>
      <c r="C32" s="13"/>
      <c r="D32" s="27"/>
      <c r="E32" s="13"/>
      <c r="F32" s="13"/>
      <c r="G32" s="29"/>
      <c r="H32" s="152" t="str">
        <f>CONCATENATE(People[[#This Row],[First Name]]," ",People[[#This Row],[Middle Name]]," ",People[[#This Row],[Last Name]])</f>
        <v xml:space="preserve">  </v>
      </c>
      <c r="I32" s="157" t="str">
        <f>IF(People[[#This Row],[Person OrcID]]&lt;&gt;"",MAX(I$23:I31)+1,"")</f>
        <v/>
      </c>
    </row>
    <row r="33" spans="1:9" ht="15.75" thickBot="1" x14ac:dyDescent="0.3">
      <c r="A33" s="17"/>
      <c r="B33" s="18"/>
      <c r="C33" s="18"/>
      <c r="D33" s="30"/>
      <c r="E33" s="18"/>
      <c r="F33" s="18"/>
      <c r="G33" s="31"/>
      <c r="H33" s="154" t="str">
        <f>CONCATENATE(People[[#This Row],[First Name]]," ",People[[#This Row],[Middle Name]]," ",People[[#This Row],[Last Name]])</f>
        <v xml:space="preserve">  </v>
      </c>
      <c r="I33" s="158" t="str">
        <f>IF(People[[#This Row],[Person OrcID]]&lt;&gt;"",MAX(I$23:I32)+1,"")</f>
        <v/>
      </c>
    </row>
  </sheetData>
  <sheetProtection password="CA31" sheet="1" objects="1" scenarios="1" formatColumns="0" formatRows="0" insertRows="0" insertHyperlinks="0" deleteRows="0" sort="0"/>
  <dataConsolidate/>
  <mergeCells count="2">
    <mergeCell ref="A7:E7"/>
    <mergeCell ref="A22:G22"/>
  </mergeCells>
  <dataValidations count="3">
    <dataValidation type="textLength" allowBlank="1" showInputMessage="1" showErrorMessage="1" sqref="B9:B20">
      <formula1>1</formula1>
      <formula2>50</formula2>
    </dataValidation>
    <dataValidation type="list" allowBlank="1" showInputMessage="1" showErrorMessage="1" sqref="E24:E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27"/>
  <sheetViews>
    <sheetView zoomScale="115" zoomScaleNormal="115" zoomScalePageLayoutView="150" workbookViewId="0">
      <selection activeCell="B18" sqref="B18:B19"/>
    </sheetView>
  </sheetViews>
  <sheetFormatPr defaultColWidth="8.85546875" defaultRowHeight="15" x14ac:dyDescent="0.25"/>
  <cols>
    <col min="1" max="1" width="25.4257812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5" x14ac:dyDescent="0.25">
      <c r="A1" s="32" t="s">
        <v>301</v>
      </c>
    </row>
    <row r="2" spans="1:5" ht="15.75" thickBot="1" x14ac:dyDescent="0.3"/>
    <row r="3" spans="1:5" ht="15.75" thickBot="1" x14ac:dyDescent="0.3">
      <c r="A3" s="164" t="s">
        <v>20</v>
      </c>
      <c r="B3" s="165"/>
    </row>
    <row r="4" spans="1:5" ht="15.75" thickTop="1" x14ac:dyDescent="0.25">
      <c r="A4" s="49" t="s">
        <v>0</v>
      </c>
      <c r="B4" s="36"/>
    </row>
    <row r="5" spans="1:5" x14ac:dyDescent="0.25">
      <c r="A5" s="50" t="s">
        <v>3</v>
      </c>
      <c r="B5" s="37"/>
    </row>
    <row r="6" spans="1:5" x14ac:dyDescent="0.25">
      <c r="A6" s="50" t="s">
        <v>2</v>
      </c>
      <c r="B6" s="37"/>
    </row>
    <row r="7" spans="1:5" x14ac:dyDescent="0.25">
      <c r="A7" s="50" t="s">
        <v>1</v>
      </c>
      <c r="B7" s="37"/>
    </row>
    <row r="8" spans="1:5" x14ac:dyDescent="0.25">
      <c r="A8" s="51" t="s">
        <v>4</v>
      </c>
      <c r="B8" s="38"/>
    </row>
    <row r="9" spans="1:5" x14ac:dyDescent="0.25">
      <c r="A9" s="51" t="s">
        <v>195</v>
      </c>
      <c r="B9" s="37"/>
    </row>
    <row r="10" spans="1:5" x14ac:dyDescent="0.25">
      <c r="A10" s="51" t="s">
        <v>186</v>
      </c>
      <c r="B10" s="37"/>
      <c r="D10" s="39"/>
    </row>
    <row r="11" spans="1:5" x14ac:dyDescent="0.25">
      <c r="A11" s="51" t="s">
        <v>181</v>
      </c>
      <c r="B11" s="37"/>
    </row>
    <row r="12" spans="1:5" x14ac:dyDescent="0.25">
      <c r="A12" s="51" t="s">
        <v>6</v>
      </c>
      <c r="B12" s="37"/>
    </row>
    <row r="13" spans="1:5" x14ac:dyDescent="0.25">
      <c r="A13" s="51" t="s">
        <v>194</v>
      </c>
      <c r="B13" s="37"/>
    </row>
    <row r="14" spans="1:5" ht="15.75" thickBot="1" x14ac:dyDescent="0.3">
      <c r="A14" s="52" t="s">
        <v>5</v>
      </c>
      <c r="B14" s="115"/>
      <c r="D14" s="39"/>
    </row>
    <row r="15" spans="1:5" ht="15.75" thickBot="1" x14ac:dyDescent="0.3"/>
    <row r="16" spans="1:5" ht="15.75" thickBot="1" x14ac:dyDescent="0.3">
      <c r="A16" s="166" t="s">
        <v>21</v>
      </c>
      <c r="B16" s="167"/>
      <c r="C16" s="41"/>
      <c r="D16" s="42"/>
      <c r="E16" s="42"/>
    </row>
    <row r="17" spans="1:5" ht="15.75" thickBot="1" x14ac:dyDescent="0.3">
      <c r="A17" s="78" t="s">
        <v>185</v>
      </c>
      <c r="B17" s="79" t="s">
        <v>304</v>
      </c>
      <c r="D17" s="33" t="s">
        <v>1270</v>
      </c>
      <c r="E17" s="34">
        <f>COUNTA(AuthorList[Author Name])</f>
        <v>0</v>
      </c>
    </row>
    <row r="18" spans="1:5" ht="15.75" thickTop="1" x14ac:dyDescent="0.25">
      <c r="A18" s="43">
        <v>1</v>
      </c>
      <c r="B18" s="44"/>
    </row>
    <row r="19" spans="1:5" x14ac:dyDescent="0.25">
      <c r="A19" s="45">
        <v>2</v>
      </c>
      <c r="B19" s="46"/>
    </row>
    <row r="20" spans="1:5" x14ac:dyDescent="0.25">
      <c r="A20" s="45">
        <v>3</v>
      </c>
      <c r="B20" s="46"/>
    </row>
    <row r="21" spans="1:5" x14ac:dyDescent="0.25">
      <c r="A21" s="45">
        <v>4</v>
      </c>
      <c r="B21" s="46"/>
    </row>
    <row r="22" spans="1:5" x14ac:dyDescent="0.25">
      <c r="A22" s="45">
        <v>5</v>
      </c>
      <c r="B22" s="46"/>
    </row>
    <row r="23" spans="1:5" x14ac:dyDescent="0.25">
      <c r="A23" s="45">
        <v>6</v>
      </c>
      <c r="B23" s="46"/>
    </row>
    <row r="24" spans="1:5" x14ac:dyDescent="0.25">
      <c r="A24" s="45">
        <v>7</v>
      </c>
      <c r="B24" s="46"/>
    </row>
    <row r="25" spans="1:5" x14ac:dyDescent="0.25">
      <c r="A25" s="45">
        <v>8</v>
      </c>
      <c r="B25" s="46"/>
    </row>
    <row r="26" spans="1:5" x14ac:dyDescent="0.25">
      <c r="A26" s="45">
        <v>9</v>
      </c>
      <c r="B26" s="46"/>
    </row>
    <row r="27" spans="1:5" x14ac:dyDescent="0.25">
      <c r="A27" s="47">
        <v>10</v>
      </c>
      <c r="B27" s="48"/>
    </row>
  </sheetData>
  <sheetProtection password="CA31" sheet="1" objects="1" scenarios="1" formatColumns="0" formatRows="0" insertRows="0" insertHyperlinks="0" deleteRows="0" sort="0" autoFilter="0"/>
  <mergeCells count="2">
    <mergeCell ref="A3:B3"/>
    <mergeCell ref="A16:B16"/>
  </mergeCells>
  <dataValidations count="3">
    <dataValidation type="list" allowBlank="1" showInputMessage="1" showErrorMessage="1" sqref="B5">
      <formula1>DataSetTypeCV</formula1>
    </dataValidation>
    <dataValidation type="list" allowBlank="1" showInputMessage="1" showErrorMessage="1" sqref="B9">
      <formula1>RelationshipTypeCV</formula1>
    </dataValidation>
    <dataValidation type="list" allowBlank="1" showInputMessage="1" showErrorMessage="1" sqref="B18:B27">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0"/>
  <sheetViews>
    <sheetView zoomScaleNormal="100" zoomScalePageLayoutView="150" workbookViewId="0">
      <selection activeCell="R12" sqref="R12:T19"/>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53" bestFit="1" customWidth="1"/>
    <col min="10" max="10" width="3.7109375" customWidth="1"/>
    <col min="11" max="11" width="2.85546875" style="54" customWidth="1"/>
    <col min="12" max="12" width="3.7109375" style="7" customWidth="1"/>
    <col min="13" max="13" width="12.7109375" style="7" bestFit="1" customWidth="1"/>
    <col min="14" max="14" width="12.140625" style="53" bestFit="1" customWidth="1"/>
    <col min="15" max="15" width="12.140625" style="55" bestFit="1" customWidth="1"/>
    <col min="16" max="16" width="2.85546875" style="54" customWidth="1"/>
    <col min="17" max="17" width="3.7109375" style="7" customWidth="1"/>
    <col min="18" max="18" width="20.28515625" style="7" bestFit="1" customWidth="1"/>
    <col min="19" max="19" width="20" style="7" bestFit="1" customWidth="1"/>
    <col min="20" max="20" width="13.7109375" style="7" customWidth="1"/>
    <col min="21" max="16384" width="8.85546875" style="7"/>
  </cols>
  <sheetData>
    <row r="1" spans="1:20" x14ac:dyDescent="0.25">
      <c r="A1" s="32" t="s">
        <v>300</v>
      </c>
    </row>
    <row r="2" spans="1:20" x14ac:dyDescent="0.25">
      <c r="A2" s="32" t="s">
        <v>1111</v>
      </c>
    </row>
    <row r="3" spans="1:20" x14ac:dyDescent="0.25">
      <c r="A3" s="32" t="s">
        <v>1167</v>
      </c>
    </row>
    <row r="4" spans="1:20" x14ac:dyDescent="0.25">
      <c r="A4" s="32" t="s">
        <v>297</v>
      </c>
    </row>
    <row r="5" spans="1:20" ht="15.75" thickBot="1" x14ac:dyDescent="0.3"/>
    <row r="6" spans="1:20" ht="15.75" thickBot="1" x14ac:dyDescent="0.3">
      <c r="A6" s="164" t="s">
        <v>129</v>
      </c>
      <c r="B6" s="165"/>
    </row>
    <row r="7" spans="1:20" ht="16.5" thickTop="1" thickBot="1" x14ac:dyDescent="0.3">
      <c r="A7" s="70" t="s">
        <v>27</v>
      </c>
      <c r="B7" s="36"/>
      <c r="D7" s="32" t="s">
        <v>296</v>
      </c>
      <c r="H7" s="33" t="s">
        <v>1269</v>
      </c>
      <c r="I7" s="69">
        <f>COUNTA(SamplingFeatures[Feature Code])</f>
        <v>0</v>
      </c>
      <c r="M7" s="33" t="s">
        <v>1265</v>
      </c>
      <c r="N7" s="69">
        <f>MAX(Sites[SiteID])</f>
        <v>0</v>
      </c>
      <c r="R7" s="33" t="s">
        <v>1266</v>
      </c>
      <c r="S7" s="34">
        <f>MAX(Specimens[SpecimenID])</f>
        <v>0</v>
      </c>
    </row>
    <row r="8" spans="1:20" ht="15.75" thickBot="1" x14ac:dyDescent="0.3">
      <c r="A8" s="71" t="s">
        <v>128</v>
      </c>
      <c r="B8" s="40"/>
      <c r="D8" s="32" t="s">
        <v>1376</v>
      </c>
      <c r="H8" s="33" t="s">
        <v>1375</v>
      </c>
      <c r="I8" s="69">
        <f>MAX(SamplingFeatures[IGSNID])</f>
        <v>0</v>
      </c>
    </row>
    <row r="9" spans="1:20" ht="15.75" thickBot="1" x14ac:dyDescent="0.3">
      <c r="K9" s="168" t="s">
        <v>207</v>
      </c>
      <c r="L9" s="168"/>
      <c r="M9" s="168"/>
      <c r="N9" s="168"/>
      <c r="P9" s="168" t="s">
        <v>206</v>
      </c>
      <c r="Q9" s="168"/>
      <c r="R9" s="168"/>
      <c r="S9" s="168"/>
    </row>
    <row r="10" spans="1:20" ht="15.75" thickBot="1" x14ac:dyDescent="0.3">
      <c r="A10" s="72" t="s">
        <v>22</v>
      </c>
      <c r="B10" s="73" t="s">
        <v>23</v>
      </c>
      <c r="C10" s="73" t="s">
        <v>127</v>
      </c>
      <c r="D10" s="73" t="s">
        <v>211</v>
      </c>
      <c r="E10" s="74" t="s">
        <v>209</v>
      </c>
      <c r="F10" s="75" t="s">
        <v>210</v>
      </c>
      <c r="G10" s="76" t="s">
        <v>212</v>
      </c>
      <c r="H10" s="76" t="s">
        <v>26</v>
      </c>
      <c r="I10" s="77" t="s">
        <v>1234</v>
      </c>
      <c r="J10" s="155" t="s">
        <v>1372</v>
      </c>
      <c r="K10" s="56"/>
      <c r="L10" s="67" t="s">
        <v>1165</v>
      </c>
      <c r="M10" s="78" t="s">
        <v>203</v>
      </c>
      <c r="N10" s="73" t="s">
        <v>24</v>
      </c>
      <c r="O10" s="79" t="s">
        <v>25</v>
      </c>
      <c r="P10" s="57"/>
      <c r="Q10" s="67" t="s">
        <v>1166</v>
      </c>
      <c r="R10" s="78" t="s">
        <v>204</v>
      </c>
      <c r="S10" s="73" t="s">
        <v>187</v>
      </c>
      <c r="T10" s="79" t="s">
        <v>205</v>
      </c>
    </row>
    <row r="11" spans="1:20" ht="15.75" thickTop="1" x14ac:dyDescent="0.25">
      <c r="A11" s="22"/>
      <c r="B11" s="23"/>
      <c r="C11" s="23"/>
      <c r="D11" s="23"/>
      <c r="E11" s="58"/>
      <c r="F11" s="59"/>
      <c r="G11" s="60"/>
      <c r="H11" s="60"/>
      <c r="I11" s="60"/>
      <c r="J11" s="157" t="str">
        <f>IF(SamplingFeatures[[#This Row],[Feature IGSN]]&lt;&gt;"",MAX(J$10:J10)+1,"")</f>
        <v/>
      </c>
      <c r="K11" s="55"/>
      <c r="L11" s="64" t="str">
        <f>IF(SamplingFeatures[[#This Row],[Sampling Feature Type]]="Site",MAX(L$10:L10)+1,"")</f>
        <v/>
      </c>
      <c r="M11" s="22"/>
      <c r="N11" s="23"/>
      <c r="O11" s="44"/>
      <c r="P11" s="61"/>
      <c r="Q11" s="64" t="str">
        <f>IF(SamplingFeatures[[#This Row],[Sampling Feature Type]]="Specimen",MAX(Q$10:Q10)+1,"")</f>
        <v/>
      </c>
      <c r="R11" s="12" t="s">
        <v>1317</v>
      </c>
      <c r="S11" s="23" t="s">
        <v>1317</v>
      </c>
      <c r="T11" s="44" t="s">
        <v>1317</v>
      </c>
    </row>
    <row r="12" spans="1:20" x14ac:dyDescent="0.25">
      <c r="A12" s="12"/>
      <c r="B12" s="23"/>
      <c r="C12" s="13"/>
      <c r="D12" s="13"/>
      <c r="E12" s="14"/>
      <c r="F12" s="62"/>
      <c r="G12" s="16"/>
      <c r="H12" s="16"/>
      <c r="I12" s="16"/>
      <c r="J12" s="157" t="str">
        <f>IF(SamplingFeatures[[#This Row],[Feature IGSN]]&lt;&gt;"",MAX(J$10:J11)+1,"")</f>
        <v/>
      </c>
      <c r="K12" s="55"/>
      <c r="L12" s="65" t="str">
        <f>IF(SamplingFeatures[[#This Row],[Sampling Feature Type]]="Site",MAX(L$10:L11)+1,"")</f>
        <v/>
      </c>
      <c r="M12" s="22"/>
      <c r="N12" s="13"/>
      <c r="O12" s="46"/>
      <c r="P12" s="61"/>
      <c r="Q12" s="66" t="str">
        <f>IF(SamplingFeatures[[#This Row],[Sampling Feature Type]]="Specimen",MAX(Q$10:Q11)+1,"")</f>
        <v/>
      </c>
      <c r="R12" s="12"/>
      <c r="S12" s="13"/>
      <c r="T12" s="46"/>
    </row>
    <row r="13" spans="1:20" x14ac:dyDescent="0.25">
      <c r="A13" s="12"/>
      <c r="B13" s="23"/>
      <c r="C13" s="13"/>
      <c r="D13" s="13"/>
      <c r="E13" s="14"/>
      <c r="F13" s="62"/>
      <c r="G13" s="16"/>
      <c r="H13" s="16"/>
      <c r="I13" s="16"/>
      <c r="J13" s="157" t="str">
        <f>IF(SamplingFeatures[[#This Row],[Feature IGSN]]&lt;&gt;"",MAX(J$10:J12)+1,"")</f>
        <v/>
      </c>
      <c r="K13" s="55"/>
      <c r="L13" s="66" t="str">
        <f>IF(SamplingFeatures[[#This Row],[Sampling Feature Type]]="Site",MAX(L$10:L12)+1,"")</f>
        <v/>
      </c>
      <c r="M13" s="22"/>
      <c r="N13" s="13"/>
      <c r="O13" s="46"/>
      <c r="P13" s="61"/>
      <c r="Q13" s="66" t="str">
        <f>IF(SamplingFeatures[[#This Row],[Sampling Feature Type]]="Specimen",MAX(Q$10:Q12)+1,"")</f>
        <v/>
      </c>
      <c r="R13" s="12"/>
      <c r="S13" s="13"/>
      <c r="T13" s="46"/>
    </row>
    <row r="14" spans="1:20" x14ac:dyDescent="0.25">
      <c r="A14" s="12"/>
      <c r="B14" s="23"/>
      <c r="C14" s="13"/>
      <c r="D14" s="13"/>
      <c r="E14" s="14"/>
      <c r="F14" s="62"/>
      <c r="G14" s="16"/>
      <c r="H14" s="16"/>
      <c r="I14" s="16"/>
      <c r="J14" s="157" t="str">
        <f>IF(SamplingFeatures[[#This Row],[Feature IGSN]]&lt;&gt;"",MAX(J$10:J13)+1,"")</f>
        <v/>
      </c>
      <c r="K14" s="55"/>
      <c r="L14" s="66" t="str">
        <f>IF(SamplingFeatures[[#This Row],[Sampling Feature Type]]="Site",MAX(L$10:L13)+1,"")</f>
        <v/>
      </c>
      <c r="M14" s="22"/>
      <c r="N14" s="13"/>
      <c r="O14" s="46"/>
      <c r="P14" s="61"/>
      <c r="Q14" s="66" t="str">
        <f>IF(SamplingFeatures[[#This Row],[Sampling Feature Type]]="Specimen",MAX(Q$10:Q13)+1,"")</f>
        <v/>
      </c>
      <c r="R14" s="12"/>
      <c r="S14" s="13"/>
      <c r="T14" s="46"/>
    </row>
    <row r="15" spans="1:20" x14ac:dyDescent="0.25">
      <c r="A15" s="12"/>
      <c r="B15" s="23"/>
      <c r="C15" s="13"/>
      <c r="D15" s="13"/>
      <c r="E15" s="14"/>
      <c r="F15" s="62"/>
      <c r="G15" s="16"/>
      <c r="H15" s="16"/>
      <c r="I15" s="16"/>
      <c r="J15" s="157" t="str">
        <f>IF(SamplingFeatures[[#This Row],[Feature IGSN]]&lt;&gt;"",MAX(J$10:J14)+1,"")</f>
        <v/>
      </c>
      <c r="K15" s="55"/>
      <c r="L15" s="66" t="str">
        <f>IF(SamplingFeatures[[#This Row],[Sampling Feature Type]]="Site",MAX(L$10:L14)+1,"")</f>
        <v/>
      </c>
      <c r="M15" s="22"/>
      <c r="N15" s="13"/>
      <c r="O15" s="46"/>
      <c r="P15" s="61"/>
      <c r="Q15" s="66" t="str">
        <f>IF(SamplingFeatures[[#This Row],[Sampling Feature Type]]="Specimen",MAX(Q$10:Q14)+1,"")</f>
        <v/>
      </c>
      <c r="R15" s="12"/>
      <c r="S15" s="13"/>
      <c r="T15" s="46"/>
    </row>
    <row r="16" spans="1:20" x14ac:dyDescent="0.25">
      <c r="A16" s="12"/>
      <c r="B16" s="23"/>
      <c r="C16" s="13"/>
      <c r="D16" s="13"/>
      <c r="E16" s="14"/>
      <c r="F16" s="62"/>
      <c r="G16" s="16"/>
      <c r="H16" s="16"/>
      <c r="I16" s="16"/>
      <c r="J16" s="157" t="str">
        <f>IF(SamplingFeatures[[#This Row],[Feature IGSN]]&lt;&gt;"",MAX(J$10:J15)+1,"")</f>
        <v/>
      </c>
      <c r="K16" s="55"/>
      <c r="L16" s="66" t="str">
        <f>IF(SamplingFeatures[[#This Row],[Sampling Feature Type]]="Site",MAX(L$10:L15)+1,"")</f>
        <v/>
      </c>
      <c r="M16" s="22"/>
      <c r="N16" s="13"/>
      <c r="O16" s="46"/>
      <c r="P16" s="61"/>
      <c r="Q16" s="66" t="str">
        <f>IF(SamplingFeatures[[#This Row],[Sampling Feature Type]]="Specimen",MAX(Q$10:Q15)+1,"")</f>
        <v/>
      </c>
      <c r="R16" s="12"/>
      <c r="S16" s="13"/>
      <c r="T16" s="46"/>
    </row>
    <row r="17" spans="1:20" ht="15" customHeight="1" x14ac:dyDescent="0.25">
      <c r="A17" s="12"/>
      <c r="B17" s="23"/>
      <c r="C17" s="13"/>
      <c r="D17" s="13"/>
      <c r="E17" s="14"/>
      <c r="F17" s="62"/>
      <c r="G17" s="16"/>
      <c r="H17" s="16"/>
      <c r="I17" s="16"/>
      <c r="J17" s="157" t="str">
        <f>IF(SamplingFeatures[[#This Row],[Feature IGSN]]&lt;&gt;"",MAX(J$10:J16)+1,"")</f>
        <v/>
      </c>
      <c r="K17" s="55"/>
      <c r="L17" s="66" t="str">
        <f>IF(SamplingFeatures[[#This Row],[Sampling Feature Type]]="Site",MAX(L$10:L16)+1,"")</f>
        <v/>
      </c>
      <c r="M17" s="22"/>
      <c r="N17" s="13"/>
      <c r="O17" s="46"/>
      <c r="P17" s="61"/>
      <c r="Q17" s="66" t="str">
        <f>IF(SamplingFeatures[[#This Row],[Sampling Feature Type]]="Specimen",MAX(Q$10:Q16)+1,"")</f>
        <v/>
      </c>
      <c r="R17" s="12"/>
      <c r="S17" s="13"/>
      <c r="T17" s="46"/>
    </row>
    <row r="18" spans="1:20" x14ac:dyDescent="0.25">
      <c r="A18" s="12"/>
      <c r="B18" s="23"/>
      <c r="C18" s="13"/>
      <c r="D18" s="13"/>
      <c r="E18" s="14"/>
      <c r="F18" s="62"/>
      <c r="G18" s="16"/>
      <c r="H18" s="16"/>
      <c r="I18" s="16"/>
      <c r="J18" s="157" t="str">
        <f>IF(SamplingFeatures[[#This Row],[Feature IGSN]]&lt;&gt;"",MAX(J$10:J17)+1,"")</f>
        <v/>
      </c>
      <c r="K18" s="55"/>
      <c r="L18" s="66" t="str">
        <f>IF(SamplingFeatures[[#This Row],[Sampling Feature Type]]="Site",MAX(L$10:L17)+1,"")</f>
        <v/>
      </c>
      <c r="M18" s="22"/>
      <c r="N18" s="13"/>
      <c r="O18" s="46"/>
      <c r="P18" s="61"/>
      <c r="Q18" s="66" t="str">
        <f>IF(SamplingFeatures[[#This Row],[Sampling Feature Type]]="Specimen",MAX(Q$10:Q17)+1,"")</f>
        <v/>
      </c>
      <c r="R18" s="12"/>
      <c r="S18" s="13"/>
      <c r="T18" s="46"/>
    </row>
    <row r="19" spans="1:20" x14ac:dyDescent="0.25">
      <c r="A19" s="12"/>
      <c r="B19" s="23"/>
      <c r="C19" s="13"/>
      <c r="D19" s="13"/>
      <c r="E19" s="14"/>
      <c r="F19" s="62"/>
      <c r="G19" s="16"/>
      <c r="H19" s="16"/>
      <c r="I19" s="16"/>
      <c r="J19" s="157" t="str">
        <f>IF(SamplingFeatures[[#This Row],[Feature IGSN]]&lt;&gt;"",MAX(J$10:J18)+1,"")</f>
        <v/>
      </c>
      <c r="K19" s="55"/>
      <c r="L19" s="66" t="str">
        <f>IF(SamplingFeatures[[#This Row],[Sampling Feature Type]]="Site",MAX(L$10:L18)+1,"")</f>
        <v/>
      </c>
      <c r="M19" s="22"/>
      <c r="N19" s="13"/>
      <c r="O19" s="46"/>
      <c r="P19" s="61"/>
      <c r="Q19" s="66" t="str">
        <f>IF(SamplingFeatures[[#This Row],[Sampling Feature Type]]="Specimen",MAX(Q$10:Q18)+1,"")</f>
        <v/>
      </c>
      <c r="R19" s="12"/>
      <c r="S19" s="13"/>
      <c r="T19" s="46"/>
    </row>
    <row r="20" spans="1:20" x14ac:dyDescent="0.25">
      <c r="A20" s="12"/>
      <c r="B20" s="23"/>
      <c r="C20" s="13"/>
      <c r="D20" s="13"/>
      <c r="E20" s="14"/>
      <c r="F20" s="62"/>
      <c r="G20" s="16"/>
      <c r="H20" s="16"/>
      <c r="I20" s="16"/>
      <c r="J20" s="157" t="str">
        <f>IF(SamplingFeatures[[#This Row],[Feature IGSN]]&lt;&gt;"",MAX(J$10:J19)+1,"")</f>
        <v/>
      </c>
      <c r="K20" s="55"/>
      <c r="L20" s="66" t="str">
        <f>IF(SamplingFeatures[[#This Row],[Sampling Feature Type]]="Site",MAX(L$10:L19)+1,"")</f>
        <v/>
      </c>
      <c r="M20" s="22"/>
      <c r="N20" s="13"/>
      <c r="O20" s="46"/>
      <c r="P20" s="61"/>
      <c r="Q20" s="66" t="str">
        <f>IF(SamplingFeatures[[#This Row],[Sampling Feature Type]]="Specimen",MAX(Q$10:Q19)+1,"")</f>
        <v/>
      </c>
      <c r="R20" s="12"/>
      <c r="S20" s="13"/>
      <c r="T20" s="46"/>
    </row>
    <row r="21" spans="1:20" x14ac:dyDescent="0.25">
      <c r="A21" s="12"/>
      <c r="B21" s="23"/>
      <c r="C21" s="13"/>
      <c r="D21" s="13"/>
      <c r="E21" s="14"/>
      <c r="F21" s="62"/>
      <c r="G21" s="16"/>
      <c r="H21" s="16"/>
      <c r="I21" s="16"/>
      <c r="J21" s="157" t="str">
        <f>IF(SamplingFeatures[[#This Row],[Feature IGSN]]&lt;&gt;"",MAX(J$10:J20)+1,"")</f>
        <v/>
      </c>
      <c r="K21" s="55"/>
      <c r="L21" s="66" t="str">
        <f>IF(SamplingFeatures[[#This Row],[Sampling Feature Type]]="Site",MAX(L$10:L20)+1,"")</f>
        <v/>
      </c>
      <c r="M21" s="22"/>
      <c r="N21" s="13"/>
      <c r="O21" s="46"/>
      <c r="P21" s="61"/>
      <c r="Q21" s="66" t="str">
        <f>IF(SamplingFeatures[[#This Row],[Sampling Feature Type]]="Specimen",MAX(Q$10:Q20)+1,"")</f>
        <v/>
      </c>
      <c r="R21" s="12" t="str">
        <f>IF(SamplingFeatures[[#This Row],[Sampling Feature Type]]="Specimen","SELECT VALUE","")</f>
        <v/>
      </c>
      <c r="S21" s="13" t="str">
        <f>IF(SamplingFeatures[[#This Row],[Sampling Feature Type]]="Specimen","SELECT VALUE","")</f>
        <v/>
      </c>
      <c r="T21" s="46" t="str">
        <f>IF(SamplingFeatures[[#This Row],[Sampling Feature Type]]="Specimen","SELECT VALUE","")</f>
        <v/>
      </c>
    </row>
    <row r="22" spans="1:20" x14ac:dyDescent="0.25">
      <c r="A22" s="12"/>
      <c r="B22" s="13"/>
      <c r="C22" s="13"/>
      <c r="D22" s="13"/>
      <c r="E22" s="14"/>
      <c r="F22" s="62"/>
      <c r="G22" s="16"/>
      <c r="H22" s="16"/>
      <c r="I22" s="16"/>
      <c r="J22" s="157" t="str">
        <f>IF(SamplingFeatures[[#This Row],[Feature IGSN]]&lt;&gt;"",MAX(J$10:J21)+1,"")</f>
        <v/>
      </c>
      <c r="K22" s="55"/>
      <c r="L22" s="66" t="str">
        <f>IF(SamplingFeatures[[#This Row],[Sampling Feature Type]]="Site",MAX(L$10:L21)+1,"")</f>
        <v/>
      </c>
      <c r="M22" s="22" t="str">
        <f>IF(SamplingFeatures[[#This Row],[Sampling Feature Type]]="Site","SELECT VALUE","")</f>
        <v/>
      </c>
      <c r="N22" s="13" t="str">
        <f>IF(SamplingFeatures[[#This Row],[Sampling Feature Type]]="Site","ENTER VALUE","")</f>
        <v/>
      </c>
      <c r="O22" s="46" t="str">
        <f>IF(SamplingFeatures[[#This Row],[Sampling Feature Type]]="Site","ENTER VALUE","")</f>
        <v/>
      </c>
      <c r="P22" s="61"/>
      <c r="Q22" s="66" t="str">
        <f>IF(SamplingFeatures[[#This Row],[Sampling Feature Type]]="Specimen",MAX(Q$10:Q21)+1,"")</f>
        <v/>
      </c>
      <c r="R22" s="12" t="str">
        <f>IF(SamplingFeatures[[#This Row],[Sampling Feature Type]]="Specimen","SELECT VALUE","")</f>
        <v/>
      </c>
      <c r="S22" s="13" t="str">
        <f>IF(SamplingFeatures[[#This Row],[Sampling Feature Type]]="Specimen","SELECT VALUE","")</f>
        <v/>
      </c>
      <c r="T22" s="46" t="str">
        <f>IF(SamplingFeatures[[#This Row],[Sampling Feature Type]]="Specimen","SELECT VALUE","")</f>
        <v/>
      </c>
    </row>
    <row r="23" spans="1:20" x14ac:dyDescent="0.25">
      <c r="A23" s="12"/>
      <c r="B23" s="13"/>
      <c r="C23" s="13"/>
      <c r="D23" s="13"/>
      <c r="E23" s="14"/>
      <c r="F23" s="62"/>
      <c r="G23" s="16"/>
      <c r="H23" s="16"/>
      <c r="I23" s="16"/>
      <c r="J23" s="157" t="str">
        <f>IF(SamplingFeatures[[#This Row],[Feature IGSN]]&lt;&gt;"",MAX(J$10:J22)+1,"")</f>
        <v/>
      </c>
      <c r="K23" s="55"/>
      <c r="L23" s="66" t="str">
        <f>IF(SamplingFeatures[[#This Row],[Sampling Feature Type]]="Site",MAX(L$10:L22)+1,"")</f>
        <v/>
      </c>
      <c r="M23" s="22" t="str">
        <f>IF(SamplingFeatures[[#This Row],[Sampling Feature Type]]="Site","SELECT VALUE","")</f>
        <v/>
      </c>
      <c r="N23" s="13" t="str">
        <f>IF(SamplingFeatures[[#This Row],[Sampling Feature Type]]="Site","ENTER VALUE","")</f>
        <v/>
      </c>
      <c r="O23" s="46" t="str">
        <f>IF(SamplingFeatures[[#This Row],[Sampling Feature Type]]="Site","ENTER VALUE","")</f>
        <v/>
      </c>
      <c r="P23" s="61"/>
      <c r="Q23" s="66" t="str">
        <f>IF(SamplingFeatures[[#This Row],[Sampling Feature Type]]="Specimen",MAX(Q$10:Q22)+1,"")</f>
        <v/>
      </c>
      <c r="R23" s="12" t="str">
        <f>IF(SamplingFeatures[[#This Row],[Sampling Feature Type]]="Specimen","SELECT VALUE","")</f>
        <v/>
      </c>
      <c r="S23" s="13" t="str">
        <f>IF(SamplingFeatures[[#This Row],[Sampling Feature Type]]="Specimen","SELECT VALUE","")</f>
        <v/>
      </c>
      <c r="T23" s="46" t="str">
        <f>IF(SamplingFeatures[[#This Row],[Sampling Feature Type]]="Specimen","SELECT VALUE","")</f>
        <v/>
      </c>
    </row>
    <row r="24" spans="1:20" x14ac:dyDescent="0.25">
      <c r="A24" s="12"/>
      <c r="B24" s="13"/>
      <c r="C24" s="13"/>
      <c r="D24" s="13"/>
      <c r="E24" s="14"/>
      <c r="F24" s="62"/>
      <c r="G24" s="16"/>
      <c r="H24" s="16"/>
      <c r="I24" s="16"/>
      <c r="J24" s="157" t="str">
        <f>IF(SamplingFeatures[[#This Row],[Feature IGSN]]&lt;&gt;"",MAX(J$10:J23)+1,"")</f>
        <v/>
      </c>
      <c r="K24" s="55"/>
      <c r="L24" s="66" t="str">
        <f>IF(SamplingFeatures[[#This Row],[Sampling Feature Type]]="Site",MAX(L$10:L23)+1,"")</f>
        <v/>
      </c>
      <c r="M24" s="22" t="str">
        <f>IF(SamplingFeatures[[#This Row],[Sampling Feature Type]]="Site","SELECT VALUE","")</f>
        <v/>
      </c>
      <c r="N24" s="13" t="str">
        <f>IF(SamplingFeatures[[#This Row],[Sampling Feature Type]]="Site","ENTER VALUE","")</f>
        <v/>
      </c>
      <c r="O24" s="46" t="str">
        <f>IF(SamplingFeatures[[#This Row],[Sampling Feature Type]]="Site","ENTER VALUE","")</f>
        <v/>
      </c>
      <c r="P24" s="61"/>
      <c r="Q24" s="66" t="str">
        <f>IF(SamplingFeatures[[#This Row],[Sampling Feature Type]]="Specimen",MAX(Q$10:Q23)+1,"")</f>
        <v/>
      </c>
      <c r="R24" s="12" t="str">
        <f>IF(SamplingFeatures[[#This Row],[Sampling Feature Type]]="Specimen","SELECT VALUE","")</f>
        <v/>
      </c>
      <c r="S24" s="13" t="str">
        <f>IF(SamplingFeatures[[#This Row],[Sampling Feature Type]]="Specimen","SELECT VALUE","")</f>
        <v/>
      </c>
      <c r="T24" s="46" t="str">
        <f>IF(SamplingFeatures[[#This Row],[Sampling Feature Type]]="Specimen","SELECT VALUE","")</f>
        <v/>
      </c>
    </row>
    <row r="25" spans="1:20" x14ac:dyDescent="0.25">
      <c r="A25" s="12"/>
      <c r="B25" s="13"/>
      <c r="C25" s="13"/>
      <c r="D25" s="13"/>
      <c r="E25" s="14"/>
      <c r="F25" s="62"/>
      <c r="G25" s="16"/>
      <c r="H25" s="16"/>
      <c r="I25" s="16"/>
      <c r="J25" s="157" t="str">
        <f>IF(SamplingFeatures[[#This Row],[Feature IGSN]]&lt;&gt;"",MAX(J$10:J24)+1,"")</f>
        <v/>
      </c>
      <c r="K25" s="55"/>
      <c r="L25" s="66" t="str">
        <f>IF(SamplingFeatures[[#This Row],[Sampling Feature Type]]="Site",MAX(L$10:L24)+1,"")</f>
        <v/>
      </c>
      <c r="M25" s="22" t="str">
        <f>IF(SamplingFeatures[[#This Row],[Sampling Feature Type]]="Site","SELECT VALUE","")</f>
        <v/>
      </c>
      <c r="N25" s="13" t="str">
        <f>IF(SamplingFeatures[[#This Row],[Sampling Feature Type]]="Site","ENTER VALUE","")</f>
        <v/>
      </c>
      <c r="O25" s="46" t="str">
        <f>IF(SamplingFeatures[[#This Row],[Sampling Feature Type]]="Site","ENTER VALUE","")</f>
        <v/>
      </c>
      <c r="P25" s="61"/>
      <c r="Q25" s="66" t="str">
        <f>IF(SamplingFeatures[[#This Row],[Sampling Feature Type]]="Specimen",MAX(Q$10:Q24)+1,"")</f>
        <v/>
      </c>
      <c r="R25" s="12" t="str">
        <f>IF(SamplingFeatures[[#This Row],[Sampling Feature Type]]="Specimen","SELECT VALUE","")</f>
        <v/>
      </c>
      <c r="S25" s="13" t="str">
        <f>IF(SamplingFeatures[[#This Row],[Sampling Feature Type]]="Specimen","SELECT VALUE","")</f>
        <v/>
      </c>
      <c r="T25" s="46" t="str">
        <f>IF(SamplingFeatures[[#This Row],[Sampling Feature Type]]="Specimen","SELECT VALUE","")</f>
        <v/>
      </c>
    </row>
    <row r="26" spans="1:20" x14ac:dyDescent="0.25">
      <c r="A26" s="12"/>
      <c r="B26" s="13"/>
      <c r="C26" s="13"/>
      <c r="D26" s="13"/>
      <c r="E26" s="14"/>
      <c r="F26" s="62"/>
      <c r="G26" s="16"/>
      <c r="H26" s="16"/>
      <c r="I26" s="16"/>
      <c r="J26" s="157" t="str">
        <f>IF(SamplingFeatures[[#This Row],[Feature IGSN]]&lt;&gt;"",MAX(J$10:J25)+1,"")</f>
        <v/>
      </c>
      <c r="K26" s="55"/>
      <c r="L26" s="66" t="str">
        <f>IF(SamplingFeatures[[#This Row],[Sampling Feature Type]]="Site",MAX(L$10:L25)+1,"")</f>
        <v/>
      </c>
      <c r="M26" s="22" t="str">
        <f>IF(SamplingFeatures[[#This Row],[Sampling Feature Type]]="Site","SELECT VALUE","")</f>
        <v/>
      </c>
      <c r="N26" s="13" t="str">
        <f>IF(SamplingFeatures[[#This Row],[Sampling Feature Type]]="Site","ENTER VALUE","")</f>
        <v/>
      </c>
      <c r="O26" s="46" t="str">
        <f>IF(SamplingFeatures[[#This Row],[Sampling Feature Type]]="Site","ENTER VALUE","")</f>
        <v/>
      </c>
      <c r="P26" s="61"/>
      <c r="Q26" s="66" t="str">
        <f>IF(SamplingFeatures[[#This Row],[Sampling Feature Type]]="Specimen",MAX(Q$10:Q25)+1,"")</f>
        <v/>
      </c>
      <c r="R26" s="12" t="str">
        <f>IF(SamplingFeatures[[#This Row],[Sampling Feature Type]]="Specimen","SELECT VALUE","")</f>
        <v/>
      </c>
      <c r="S26" s="13" t="str">
        <f>IF(SamplingFeatures[[#This Row],[Sampling Feature Type]]="Specimen","SELECT VALUE","")</f>
        <v/>
      </c>
      <c r="T26" s="46" t="str">
        <f>IF(SamplingFeatures[[#This Row],[Sampling Feature Type]]="Specimen","SELECT VALUE","")</f>
        <v/>
      </c>
    </row>
    <row r="27" spans="1:20" x14ac:dyDescent="0.25">
      <c r="A27" s="12"/>
      <c r="B27" s="13"/>
      <c r="C27" s="13"/>
      <c r="D27" s="13"/>
      <c r="E27" s="14"/>
      <c r="F27" s="62"/>
      <c r="G27" s="16"/>
      <c r="H27" s="16"/>
      <c r="I27" s="16"/>
      <c r="J27" s="157" t="str">
        <f>IF(SamplingFeatures[[#This Row],[Feature IGSN]]&lt;&gt;"",MAX(J$10:J26)+1,"")</f>
        <v/>
      </c>
      <c r="K27" s="55"/>
      <c r="L27" s="66" t="str">
        <f>IF(SamplingFeatures[[#This Row],[Sampling Feature Type]]="Site",MAX(L$10:L26)+1,"")</f>
        <v/>
      </c>
      <c r="M27" s="22" t="str">
        <f>IF(SamplingFeatures[[#This Row],[Sampling Feature Type]]="Site","SELECT VALUE","")</f>
        <v/>
      </c>
      <c r="N27" s="13" t="str">
        <f>IF(SamplingFeatures[[#This Row],[Sampling Feature Type]]="Site","ENTER VALUE","")</f>
        <v/>
      </c>
      <c r="O27" s="46" t="str">
        <f>IF(SamplingFeatures[[#This Row],[Sampling Feature Type]]="Site","ENTER VALUE","")</f>
        <v/>
      </c>
      <c r="P27" s="61"/>
      <c r="Q27" s="66" t="str">
        <f>IF(SamplingFeatures[[#This Row],[Sampling Feature Type]]="Specimen",MAX(Q$10:Q26)+1,"")</f>
        <v/>
      </c>
      <c r="R27" s="12" t="str">
        <f>IF(SamplingFeatures[[#This Row],[Sampling Feature Type]]="Specimen","SELECT VALUE","")</f>
        <v/>
      </c>
      <c r="S27" s="13" t="str">
        <f>IF(SamplingFeatures[[#This Row],[Sampling Feature Type]]="Specimen","SELECT VALUE","")</f>
        <v/>
      </c>
      <c r="T27" s="46" t="str">
        <f>IF(SamplingFeatures[[#This Row],[Sampling Feature Type]]="Specimen","SELECT VALUE","")</f>
        <v/>
      </c>
    </row>
    <row r="28" spans="1:20" x14ac:dyDescent="0.25">
      <c r="A28" s="12"/>
      <c r="B28" s="13"/>
      <c r="C28" s="13"/>
      <c r="D28" s="13"/>
      <c r="E28" s="14"/>
      <c r="F28" s="62"/>
      <c r="G28" s="16"/>
      <c r="H28" s="16"/>
      <c r="I28" s="16"/>
      <c r="J28" s="157" t="str">
        <f>IF(SamplingFeatures[[#This Row],[Feature IGSN]]&lt;&gt;"",MAX(J$10:J27)+1,"")</f>
        <v/>
      </c>
      <c r="K28" s="55"/>
      <c r="L28" s="66" t="str">
        <f>IF(SamplingFeatures[[#This Row],[Sampling Feature Type]]="Site",MAX(L$10:L27)+1,"")</f>
        <v/>
      </c>
      <c r="M28" s="22" t="str">
        <f>IF(SamplingFeatures[[#This Row],[Sampling Feature Type]]="Site","SELECT VALUE","")</f>
        <v/>
      </c>
      <c r="N28" s="13" t="str">
        <f>IF(SamplingFeatures[[#This Row],[Sampling Feature Type]]="Site","ENTER VALUE","")</f>
        <v/>
      </c>
      <c r="O28" s="46" t="str">
        <f>IF(SamplingFeatures[[#This Row],[Sampling Feature Type]]="Site","ENTER VALUE","")</f>
        <v/>
      </c>
      <c r="P28" s="61"/>
      <c r="Q28" s="66" t="str">
        <f>IF(SamplingFeatures[[#This Row],[Sampling Feature Type]]="Specimen",MAX(Q$10:Q27)+1,"")</f>
        <v/>
      </c>
      <c r="R28" s="12" t="str">
        <f>IF(SamplingFeatures[[#This Row],[Sampling Feature Type]]="Specimen","SELECT VALUE","")</f>
        <v/>
      </c>
      <c r="S28" s="13" t="str">
        <f>IF(SamplingFeatures[[#This Row],[Sampling Feature Type]]="Specimen","SELECT VALUE","")</f>
        <v/>
      </c>
      <c r="T28" s="46" t="str">
        <f>IF(SamplingFeatures[[#This Row],[Sampling Feature Type]]="Specimen","SELECT VALUE","")</f>
        <v/>
      </c>
    </row>
    <row r="29" spans="1:20" x14ac:dyDescent="0.25">
      <c r="A29" s="12"/>
      <c r="B29" s="13"/>
      <c r="C29" s="13"/>
      <c r="D29" s="13"/>
      <c r="E29" s="14"/>
      <c r="F29" s="62"/>
      <c r="G29" s="16"/>
      <c r="H29" s="16"/>
      <c r="I29" s="16"/>
      <c r="J29" s="157" t="str">
        <f>IF(SamplingFeatures[[#This Row],[Feature IGSN]]&lt;&gt;"",MAX(J$10:J28)+1,"")</f>
        <v/>
      </c>
      <c r="K29" s="55"/>
      <c r="L29" s="66" t="str">
        <f>IF(SamplingFeatures[[#This Row],[Sampling Feature Type]]="Site",MAX(L$10:L28)+1,"")</f>
        <v/>
      </c>
      <c r="M29" s="22" t="str">
        <f>IF(SamplingFeatures[[#This Row],[Sampling Feature Type]]="Site","SELECT VALUE","")</f>
        <v/>
      </c>
      <c r="N29" s="13" t="str">
        <f>IF(SamplingFeatures[[#This Row],[Sampling Feature Type]]="Site","ENTER VALUE","")</f>
        <v/>
      </c>
      <c r="O29" s="46" t="str">
        <f>IF(SamplingFeatures[[#This Row],[Sampling Feature Type]]="Site","ENTER VALUE","")</f>
        <v/>
      </c>
      <c r="P29" s="61"/>
      <c r="Q29" s="66" t="str">
        <f>IF(SamplingFeatures[[#This Row],[Sampling Feature Type]]="Specimen",MAX(Q$10:Q28)+1,"")</f>
        <v/>
      </c>
      <c r="R29" s="12" t="str">
        <f>IF(SamplingFeatures[[#This Row],[Sampling Feature Type]]="Specimen","SELECT VALUE","")</f>
        <v/>
      </c>
      <c r="S29" s="13" t="str">
        <f>IF(SamplingFeatures[[#This Row],[Sampling Feature Type]]="Specimen","SELECT VALUE","")</f>
        <v/>
      </c>
      <c r="T29" s="46" t="str">
        <f>IF(SamplingFeatures[[#This Row],[Sampling Feature Type]]="Specimen","SELECT VALUE","")</f>
        <v/>
      </c>
    </row>
    <row r="30" spans="1:20" x14ac:dyDescent="0.25">
      <c r="A30" s="12"/>
      <c r="B30" s="13"/>
      <c r="C30" s="13"/>
      <c r="D30" s="13"/>
      <c r="E30" s="14"/>
      <c r="F30" s="62"/>
      <c r="G30" s="16"/>
      <c r="H30" s="16"/>
      <c r="I30" s="16"/>
      <c r="J30" s="157" t="str">
        <f>IF(SamplingFeatures[[#This Row],[Feature IGSN]]&lt;&gt;"",MAX(J$10:J29)+1,"")</f>
        <v/>
      </c>
      <c r="K30" s="55"/>
      <c r="L30" s="66" t="str">
        <f>IF(SamplingFeatures[[#This Row],[Sampling Feature Type]]="Site",MAX(L$10:L29)+1,"")</f>
        <v/>
      </c>
      <c r="M30" s="22" t="str">
        <f>IF(SamplingFeatures[[#This Row],[Sampling Feature Type]]="Site","SELECT VALUE","")</f>
        <v/>
      </c>
      <c r="N30" s="13" t="str">
        <f>IF(SamplingFeatures[[#This Row],[Sampling Feature Type]]="Site","ENTER VALUE","")</f>
        <v/>
      </c>
      <c r="O30" s="46" t="str">
        <f>IF(SamplingFeatures[[#This Row],[Sampling Feature Type]]="Site","ENTER VALUE","")</f>
        <v/>
      </c>
      <c r="P30" s="61"/>
      <c r="Q30" s="66" t="str">
        <f>IF(SamplingFeatures[[#This Row],[Sampling Feature Type]]="Specimen",MAX(Q$10:Q29)+1,"")</f>
        <v/>
      </c>
      <c r="R30" s="12" t="str">
        <f>IF(SamplingFeatures[[#This Row],[Sampling Feature Type]]="Specimen","SELECT VALUE","")</f>
        <v/>
      </c>
      <c r="S30" s="13" t="str">
        <f>IF(SamplingFeatures[[#This Row],[Sampling Feature Type]]="Specimen","SELECT VALUE","")</f>
        <v/>
      </c>
      <c r="T30" s="46" t="str">
        <f>IF(SamplingFeatures[[#This Row],[Sampling Feature Type]]="Specimen","SELECT VALUE","")</f>
        <v/>
      </c>
    </row>
    <row r="31" spans="1:20" x14ac:dyDescent="0.25">
      <c r="A31" s="12"/>
      <c r="B31" s="13"/>
      <c r="C31" s="13"/>
      <c r="D31" s="13"/>
      <c r="E31" s="14"/>
      <c r="F31" s="62"/>
      <c r="G31" s="16"/>
      <c r="H31" s="16"/>
      <c r="I31" s="16"/>
      <c r="J31" s="157" t="str">
        <f>IF(SamplingFeatures[[#This Row],[Feature IGSN]]&lt;&gt;"",MAX(J$10:J30)+1,"")</f>
        <v/>
      </c>
      <c r="K31" s="55"/>
      <c r="L31" s="66" t="str">
        <f>IF(SamplingFeatures[[#This Row],[Sampling Feature Type]]="Site",MAX(L$10:L30)+1,"")</f>
        <v/>
      </c>
      <c r="M31" s="22" t="str">
        <f>IF(SamplingFeatures[[#This Row],[Sampling Feature Type]]="Site","SELECT VALUE","")</f>
        <v/>
      </c>
      <c r="N31" s="13" t="str">
        <f>IF(SamplingFeatures[[#This Row],[Sampling Feature Type]]="Site","ENTER VALUE","")</f>
        <v/>
      </c>
      <c r="O31" s="46" t="str">
        <f>IF(SamplingFeatures[[#This Row],[Sampling Feature Type]]="Site","ENTER VALUE","")</f>
        <v/>
      </c>
      <c r="P31" s="61"/>
      <c r="Q31" s="66" t="str">
        <f>IF(SamplingFeatures[[#This Row],[Sampling Feature Type]]="Specimen",MAX(Q$10:Q30)+1,"")</f>
        <v/>
      </c>
      <c r="R31" s="12" t="str">
        <f>IF(SamplingFeatures[[#This Row],[Sampling Feature Type]]="Specimen","SELECT VALUE","")</f>
        <v/>
      </c>
      <c r="S31" s="13" t="str">
        <f>IF(SamplingFeatures[[#This Row],[Sampling Feature Type]]="Specimen","SELECT VALUE","")</f>
        <v/>
      </c>
      <c r="T31" s="46" t="str">
        <f>IF(SamplingFeatures[[#This Row],[Sampling Feature Type]]="Specimen","SELECT VALUE","")</f>
        <v/>
      </c>
    </row>
    <row r="32" spans="1:20" x14ac:dyDescent="0.25">
      <c r="A32" s="12"/>
      <c r="B32" s="13"/>
      <c r="C32" s="13"/>
      <c r="D32" s="13"/>
      <c r="E32" s="14"/>
      <c r="F32" s="62"/>
      <c r="G32" s="16"/>
      <c r="H32" s="16"/>
      <c r="I32" s="16"/>
      <c r="J32" s="157" t="str">
        <f>IF(SamplingFeatures[[#This Row],[Feature IGSN]]&lt;&gt;"",MAX(J$10:J31)+1,"")</f>
        <v/>
      </c>
      <c r="K32" s="55"/>
      <c r="L32" s="66" t="str">
        <f>IF(SamplingFeatures[[#This Row],[Sampling Feature Type]]="Site",MAX(L$10:L31)+1,"")</f>
        <v/>
      </c>
      <c r="M32" s="22" t="str">
        <f>IF(SamplingFeatures[[#This Row],[Sampling Feature Type]]="Site","SELECT VALUE","")</f>
        <v/>
      </c>
      <c r="N32" s="13" t="str">
        <f>IF(SamplingFeatures[[#This Row],[Sampling Feature Type]]="Site","ENTER VALUE","")</f>
        <v/>
      </c>
      <c r="O32" s="46" t="str">
        <f>IF(SamplingFeatures[[#This Row],[Sampling Feature Type]]="Site","ENTER VALUE","")</f>
        <v/>
      </c>
      <c r="P32" s="61"/>
      <c r="Q32" s="66" t="str">
        <f>IF(SamplingFeatures[[#This Row],[Sampling Feature Type]]="Specimen",MAX(Q$10:Q31)+1,"")</f>
        <v/>
      </c>
      <c r="R32" s="12" t="str">
        <f>IF(SamplingFeatures[[#This Row],[Sampling Feature Type]]="Specimen","SELECT VALUE","")</f>
        <v/>
      </c>
      <c r="S32" s="13" t="str">
        <f>IF(SamplingFeatures[[#This Row],[Sampling Feature Type]]="Specimen","SELECT VALUE","")</f>
        <v/>
      </c>
      <c r="T32" s="46" t="str">
        <f>IF(SamplingFeatures[[#This Row],[Sampling Feature Type]]="Specimen","SELECT VALUE","")</f>
        <v/>
      </c>
    </row>
    <row r="33" spans="1:20" x14ac:dyDescent="0.25">
      <c r="A33" s="12"/>
      <c r="B33" s="13"/>
      <c r="C33" s="13"/>
      <c r="D33" s="13"/>
      <c r="E33" s="14"/>
      <c r="F33" s="62"/>
      <c r="G33" s="16"/>
      <c r="H33" s="16"/>
      <c r="I33" s="16"/>
      <c r="J33" s="157" t="str">
        <f>IF(SamplingFeatures[[#This Row],[Feature IGSN]]&lt;&gt;"",MAX(J$10:J32)+1,"")</f>
        <v/>
      </c>
      <c r="K33" s="55"/>
      <c r="L33" s="66" t="str">
        <f>IF(SamplingFeatures[[#This Row],[Sampling Feature Type]]="Site",MAX(L$10:L32)+1,"")</f>
        <v/>
      </c>
      <c r="M33" s="22" t="str">
        <f>IF(SamplingFeatures[[#This Row],[Sampling Feature Type]]="Site","SELECT VALUE","")</f>
        <v/>
      </c>
      <c r="N33" s="13" t="str">
        <f>IF(SamplingFeatures[[#This Row],[Sampling Feature Type]]="Site","ENTER VALUE","")</f>
        <v/>
      </c>
      <c r="O33" s="46" t="str">
        <f>IF(SamplingFeatures[[#This Row],[Sampling Feature Type]]="Site","ENTER VALUE","")</f>
        <v/>
      </c>
      <c r="P33" s="61"/>
      <c r="Q33" s="66" t="str">
        <f>IF(SamplingFeatures[[#This Row],[Sampling Feature Type]]="Specimen",MAX(Q$10:Q32)+1,"")</f>
        <v/>
      </c>
      <c r="R33" s="12" t="str">
        <f>IF(SamplingFeatures[[#This Row],[Sampling Feature Type]]="Specimen","SELECT VALUE","")</f>
        <v/>
      </c>
      <c r="S33" s="13" t="str">
        <f>IF(SamplingFeatures[[#This Row],[Sampling Feature Type]]="Specimen","SELECT VALUE","")</f>
        <v/>
      </c>
      <c r="T33" s="46" t="str">
        <f>IF(SamplingFeatures[[#This Row],[Sampling Feature Type]]="Specimen","SELECT VALUE","")</f>
        <v/>
      </c>
    </row>
    <row r="34" spans="1:20" x14ac:dyDescent="0.25">
      <c r="A34" s="12"/>
      <c r="B34" s="13"/>
      <c r="C34" s="13"/>
      <c r="D34" s="13"/>
      <c r="E34" s="14"/>
      <c r="F34" s="62"/>
      <c r="G34" s="16"/>
      <c r="H34" s="16"/>
      <c r="I34" s="16"/>
      <c r="J34" s="157" t="str">
        <f>IF(SamplingFeatures[[#This Row],[Feature IGSN]]&lt;&gt;"",MAX(J$10:J33)+1,"")</f>
        <v/>
      </c>
      <c r="K34" s="55"/>
      <c r="L34" s="66" t="str">
        <f>IF(SamplingFeatures[[#This Row],[Sampling Feature Type]]="Site",MAX(L$10:L33)+1,"")</f>
        <v/>
      </c>
      <c r="M34" s="22" t="str">
        <f>IF(SamplingFeatures[[#This Row],[Sampling Feature Type]]="Site","SELECT VALUE","")</f>
        <v/>
      </c>
      <c r="N34" s="13" t="str">
        <f>IF(SamplingFeatures[[#This Row],[Sampling Feature Type]]="Site","ENTER VALUE","")</f>
        <v/>
      </c>
      <c r="O34" s="46" t="str">
        <f>IF(SamplingFeatures[[#This Row],[Sampling Feature Type]]="Site","ENTER VALUE","")</f>
        <v/>
      </c>
      <c r="P34" s="61"/>
      <c r="Q34" s="66" t="str">
        <f>IF(SamplingFeatures[[#This Row],[Sampling Feature Type]]="Specimen",MAX(Q$10:Q33)+1,"")</f>
        <v/>
      </c>
      <c r="R34" s="12" t="str">
        <f>IF(SamplingFeatures[[#This Row],[Sampling Feature Type]]="Specimen","SELECT VALUE","")</f>
        <v/>
      </c>
      <c r="S34" s="13" t="str">
        <f>IF(SamplingFeatures[[#This Row],[Sampling Feature Type]]="Specimen","SELECT VALUE","")</f>
        <v/>
      </c>
      <c r="T34" s="46" t="str">
        <f>IF(SamplingFeatures[[#This Row],[Sampling Feature Type]]="Specimen","SELECT VALUE","")</f>
        <v/>
      </c>
    </row>
    <row r="35" spans="1:20" x14ac:dyDescent="0.25">
      <c r="A35" s="12"/>
      <c r="B35" s="13"/>
      <c r="C35" s="13"/>
      <c r="D35" s="13"/>
      <c r="E35" s="14"/>
      <c r="F35" s="62"/>
      <c r="G35" s="16"/>
      <c r="H35" s="16"/>
      <c r="I35" s="16"/>
      <c r="J35" s="157" t="str">
        <f>IF(SamplingFeatures[[#This Row],[Feature IGSN]]&lt;&gt;"",MAX(J$10:J34)+1,"")</f>
        <v/>
      </c>
      <c r="K35" s="55"/>
      <c r="L35" s="66" t="str">
        <f>IF(SamplingFeatures[[#This Row],[Sampling Feature Type]]="Site",MAX(L$10:L34)+1,"")</f>
        <v/>
      </c>
      <c r="M35" s="22" t="str">
        <f>IF(SamplingFeatures[[#This Row],[Sampling Feature Type]]="Site","SELECT VALUE","")</f>
        <v/>
      </c>
      <c r="N35" s="13" t="str">
        <f>IF(SamplingFeatures[[#This Row],[Sampling Feature Type]]="Site","ENTER VALUE","")</f>
        <v/>
      </c>
      <c r="O35" s="46" t="str">
        <f>IF(SamplingFeatures[[#This Row],[Sampling Feature Type]]="Site","ENTER VALUE","")</f>
        <v/>
      </c>
      <c r="P35" s="61"/>
      <c r="Q35" s="66" t="str">
        <f>IF(SamplingFeatures[[#This Row],[Sampling Feature Type]]="Specimen",MAX(Q$10:Q34)+1,"")</f>
        <v/>
      </c>
      <c r="R35" s="12" t="str">
        <f>IF(SamplingFeatures[[#This Row],[Sampling Feature Type]]="Specimen","SELECT VALUE","")</f>
        <v/>
      </c>
      <c r="S35" s="13" t="str">
        <f>IF(SamplingFeatures[[#This Row],[Sampling Feature Type]]="Specimen","SELECT VALUE","")</f>
        <v/>
      </c>
      <c r="T35" s="46" t="str">
        <f>IF(SamplingFeatures[[#This Row],[Sampling Feature Type]]="Specimen","SELECT VALUE","")</f>
        <v/>
      </c>
    </row>
    <row r="36" spans="1:20" x14ac:dyDescent="0.25">
      <c r="A36" s="12"/>
      <c r="B36" s="13"/>
      <c r="C36" s="13"/>
      <c r="D36" s="13"/>
      <c r="E36" s="14"/>
      <c r="F36" s="62"/>
      <c r="G36" s="16"/>
      <c r="H36" s="16"/>
      <c r="I36" s="16"/>
      <c r="J36" s="157" t="str">
        <f>IF(SamplingFeatures[[#This Row],[Feature IGSN]]&lt;&gt;"",MAX(J$10:J35)+1,"")</f>
        <v/>
      </c>
      <c r="K36" s="55"/>
      <c r="L36" s="66" t="str">
        <f>IF(SamplingFeatures[[#This Row],[Sampling Feature Type]]="Site",MAX(L$10:L35)+1,"")</f>
        <v/>
      </c>
      <c r="M36" s="22" t="str">
        <f>IF(SamplingFeatures[[#This Row],[Sampling Feature Type]]="Site","SELECT VALUE","")</f>
        <v/>
      </c>
      <c r="N36" s="13" t="str">
        <f>IF(SamplingFeatures[[#This Row],[Sampling Feature Type]]="Site","ENTER VALUE","")</f>
        <v/>
      </c>
      <c r="O36" s="46" t="str">
        <f>IF(SamplingFeatures[[#This Row],[Sampling Feature Type]]="Site","ENTER VALUE","")</f>
        <v/>
      </c>
      <c r="P36" s="61"/>
      <c r="Q36" s="66" t="str">
        <f>IF(SamplingFeatures[[#This Row],[Sampling Feature Type]]="Specimen",MAX(Q$10:Q35)+1,"")</f>
        <v/>
      </c>
      <c r="R36" s="12" t="str">
        <f>IF(SamplingFeatures[[#This Row],[Sampling Feature Type]]="Specimen","SELECT VALUE","")</f>
        <v/>
      </c>
      <c r="S36" s="13" t="str">
        <f>IF(SamplingFeatures[[#This Row],[Sampling Feature Type]]="Specimen","SELECT VALUE","")</f>
        <v/>
      </c>
      <c r="T36" s="46" t="str">
        <f>IF(SamplingFeatures[[#This Row],[Sampling Feature Type]]="Specimen","SELECT VALUE","")</f>
        <v/>
      </c>
    </row>
    <row r="37" spans="1:20" x14ac:dyDescent="0.25">
      <c r="A37" s="12"/>
      <c r="B37" s="13"/>
      <c r="C37" s="13"/>
      <c r="D37" s="13"/>
      <c r="E37" s="14"/>
      <c r="F37" s="62"/>
      <c r="G37" s="16"/>
      <c r="H37" s="16"/>
      <c r="I37" s="16"/>
      <c r="J37" s="157" t="str">
        <f>IF(SamplingFeatures[[#This Row],[Feature IGSN]]&lt;&gt;"",MAX(J$10:J36)+1,"")</f>
        <v/>
      </c>
      <c r="K37" s="55"/>
      <c r="L37" s="66" t="str">
        <f>IF(SamplingFeatures[[#This Row],[Sampling Feature Type]]="Site",MAX(L$10:L36)+1,"")</f>
        <v/>
      </c>
      <c r="M37" s="22" t="str">
        <f>IF(SamplingFeatures[[#This Row],[Sampling Feature Type]]="Site","SELECT VALUE","")</f>
        <v/>
      </c>
      <c r="N37" s="13" t="str">
        <f>IF(SamplingFeatures[[#This Row],[Sampling Feature Type]]="Site","ENTER VALUE","")</f>
        <v/>
      </c>
      <c r="O37" s="46" t="str">
        <f>IF(SamplingFeatures[[#This Row],[Sampling Feature Type]]="Site","ENTER VALUE","")</f>
        <v/>
      </c>
      <c r="P37" s="61"/>
      <c r="Q37" s="66" t="str">
        <f>IF(SamplingFeatures[[#This Row],[Sampling Feature Type]]="Specimen",MAX(Q$10:Q36)+1,"")</f>
        <v/>
      </c>
      <c r="R37" s="12" t="str">
        <f>IF(SamplingFeatures[[#This Row],[Sampling Feature Type]]="Specimen","SELECT VALUE","")</f>
        <v/>
      </c>
      <c r="S37" s="13" t="str">
        <f>IF(SamplingFeatures[[#This Row],[Sampling Feature Type]]="Specimen","SELECT VALUE","")</f>
        <v/>
      </c>
      <c r="T37" s="46" t="str">
        <f>IF(SamplingFeatures[[#This Row],[Sampling Feature Type]]="Specimen","SELECT VALUE","")</f>
        <v/>
      </c>
    </row>
    <row r="38" spans="1:20" x14ac:dyDescent="0.25">
      <c r="A38" s="12"/>
      <c r="B38" s="13"/>
      <c r="C38" s="13"/>
      <c r="D38" s="13"/>
      <c r="E38" s="14"/>
      <c r="F38" s="62"/>
      <c r="G38" s="16"/>
      <c r="H38" s="16"/>
      <c r="I38" s="16"/>
      <c r="J38" s="157" t="str">
        <f>IF(SamplingFeatures[[#This Row],[Feature IGSN]]&lt;&gt;"",MAX(J$10:J37)+1,"")</f>
        <v/>
      </c>
      <c r="K38" s="55"/>
      <c r="L38" s="66" t="str">
        <f>IF(SamplingFeatures[[#This Row],[Sampling Feature Type]]="Site",MAX(L$10:L37)+1,"")</f>
        <v/>
      </c>
      <c r="M38" s="22" t="str">
        <f>IF(SamplingFeatures[[#This Row],[Sampling Feature Type]]="Site","SELECT VALUE","")</f>
        <v/>
      </c>
      <c r="N38" s="13" t="str">
        <f>IF(SamplingFeatures[[#This Row],[Sampling Feature Type]]="Site","ENTER VALUE","")</f>
        <v/>
      </c>
      <c r="O38" s="46" t="str">
        <f>IF(SamplingFeatures[[#This Row],[Sampling Feature Type]]="Site","ENTER VALUE","")</f>
        <v/>
      </c>
      <c r="P38" s="61"/>
      <c r="Q38" s="66" t="str">
        <f>IF(SamplingFeatures[[#This Row],[Sampling Feature Type]]="Specimen",MAX(Q$10:Q37)+1,"")</f>
        <v/>
      </c>
      <c r="R38" s="12" t="str">
        <f>IF(SamplingFeatures[[#This Row],[Sampling Feature Type]]="Specimen","SELECT VALUE","")</f>
        <v/>
      </c>
      <c r="S38" s="13" t="str">
        <f>IF(SamplingFeatures[[#This Row],[Sampling Feature Type]]="Specimen","SELECT VALUE","")</f>
        <v/>
      </c>
      <c r="T38" s="46" t="str">
        <f>IF(SamplingFeatures[[#This Row],[Sampling Feature Type]]="Specimen","SELECT VALUE","")</f>
        <v/>
      </c>
    </row>
    <row r="39" spans="1:20" x14ac:dyDescent="0.25">
      <c r="A39" s="12"/>
      <c r="B39" s="13"/>
      <c r="C39" s="13"/>
      <c r="D39" s="13"/>
      <c r="E39" s="14"/>
      <c r="F39" s="62"/>
      <c r="G39" s="16"/>
      <c r="H39" s="16"/>
      <c r="I39" s="16"/>
      <c r="J39" s="157" t="str">
        <f>IF(SamplingFeatures[[#This Row],[Feature IGSN]]&lt;&gt;"",MAX(J$10:J38)+1,"")</f>
        <v/>
      </c>
      <c r="K39" s="55"/>
      <c r="L39" s="66" t="str">
        <f>IF(SamplingFeatures[[#This Row],[Sampling Feature Type]]="Site",MAX(L$10:L38)+1,"")</f>
        <v/>
      </c>
      <c r="M39" s="22" t="str">
        <f>IF(SamplingFeatures[[#This Row],[Sampling Feature Type]]="Site","SELECT VALUE","")</f>
        <v/>
      </c>
      <c r="N39" s="13" t="str">
        <f>IF(SamplingFeatures[[#This Row],[Sampling Feature Type]]="Site","ENTER VALUE","")</f>
        <v/>
      </c>
      <c r="O39" s="46" t="str">
        <f>IF(SamplingFeatures[[#This Row],[Sampling Feature Type]]="Site","ENTER VALUE","")</f>
        <v/>
      </c>
      <c r="P39" s="61"/>
      <c r="Q39" s="66" t="str">
        <f>IF(SamplingFeatures[[#This Row],[Sampling Feature Type]]="Specimen",MAX(Q$10:Q38)+1,"")</f>
        <v/>
      </c>
      <c r="R39" s="12" t="str">
        <f>IF(SamplingFeatures[[#This Row],[Sampling Feature Type]]="Specimen","SELECT VALUE","")</f>
        <v/>
      </c>
      <c r="S39" s="13" t="str">
        <f>IF(SamplingFeatures[[#This Row],[Sampling Feature Type]]="Specimen","SELECT VALUE","")</f>
        <v/>
      </c>
      <c r="T39" s="46" t="str">
        <f>IF(SamplingFeatures[[#This Row],[Sampling Feature Type]]="Specimen","SELECT VALUE","")</f>
        <v/>
      </c>
    </row>
    <row r="40" spans="1:20" x14ac:dyDescent="0.25">
      <c r="A40" s="12"/>
      <c r="B40" s="13"/>
      <c r="C40" s="13"/>
      <c r="D40" s="13"/>
      <c r="E40" s="14"/>
      <c r="F40" s="62"/>
      <c r="G40" s="16"/>
      <c r="H40" s="16"/>
      <c r="I40" s="16"/>
      <c r="J40" s="157" t="str">
        <f>IF(SamplingFeatures[[#This Row],[Feature IGSN]]&lt;&gt;"",MAX(J$10:J39)+1,"")</f>
        <v/>
      </c>
      <c r="K40" s="55"/>
      <c r="L40" s="66" t="str">
        <f>IF(SamplingFeatures[[#This Row],[Sampling Feature Type]]="Site",MAX(L$10:L39)+1,"")</f>
        <v/>
      </c>
      <c r="M40" s="22" t="str">
        <f>IF(SamplingFeatures[[#This Row],[Sampling Feature Type]]="Site","SELECT VALUE","")</f>
        <v/>
      </c>
      <c r="N40" s="13" t="str">
        <f>IF(SamplingFeatures[[#This Row],[Sampling Feature Type]]="Site","ENTER VALUE","")</f>
        <v/>
      </c>
      <c r="O40" s="46" t="str">
        <f>IF(SamplingFeatures[[#This Row],[Sampling Feature Type]]="Site","ENTER VALUE","")</f>
        <v/>
      </c>
      <c r="P40" s="61"/>
      <c r="Q40" s="66" t="str">
        <f>IF(SamplingFeatures[[#This Row],[Sampling Feature Type]]="Specimen",MAX(Q$10:Q39)+1,"")</f>
        <v/>
      </c>
      <c r="R40" s="12" t="str">
        <f>IF(SamplingFeatures[[#This Row],[Sampling Feature Type]]="Specimen","SELECT VALUE","")</f>
        <v/>
      </c>
      <c r="S40" s="13" t="str">
        <f>IF(SamplingFeatures[[#This Row],[Sampling Feature Type]]="Specimen","SELECT VALUE","")</f>
        <v/>
      </c>
      <c r="T40" s="46" t="str">
        <f>IF(SamplingFeatures[[#This Row],[Sampling Feature Type]]="Specimen","SELECT VALUE","")</f>
        <v/>
      </c>
    </row>
    <row r="41" spans="1:20" x14ac:dyDescent="0.25">
      <c r="A41" s="12"/>
      <c r="B41" s="13"/>
      <c r="C41" s="13"/>
      <c r="D41" s="13"/>
      <c r="E41" s="14"/>
      <c r="F41" s="62"/>
      <c r="G41" s="16"/>
      <c r="H41" s="16"/>
      <c r="I41" s="16"/>
      <c r="J41" s="157" t="str">
        <f>IF(SamplingFeatures[[#This Row],[Feature IGSN]]&lt;&gt;"",MAX(J$10:J40)+1,"")</f>
        <v/>
      </c>
      <c r="K41" s="55"/>
      <c r="L41" s="66" t="str">
        <f>IF(SamplingFeatures[[#This Row],[Sampling Feature Type]]="Site",MAX(L$10:L40)+1,"")</f>
        <v/>
      </c>
      <c r="M41" s="22" t="str">
        <f>IF(SamplingFeatures[[#This Row],[Sampling Feature Type]]="Site","SELECT VALUE","")</f>
        <v/>
      </c>
      <c r="N41" s="13" t="str">
        <f>IF(SamplingFeatures[[#This Row],[Sampling Feature Type]]="Site","ENTER VALUE","")</f>
        <v/>
      </c>
      <c r="O41" s="46" t="str">
        <f>IF(SamplingFeatures[[#This Row],[Sampling Feature Type]]="Site","ENTER VALUE","")</f>
        <v/>
      </c>
      <c r="P41" s="61"/>
      <c r="Q41" s="66" t="str">
        <f>IF(SamplingFeatures[[#This Row],[Sampling Feature Type]]="Specimen",MAX(Q$10:Q40)+1,"")</f>
        <v/>
      </c>
      <c r="R41" s="12" t="str">
        <f>IF(SamplingFeatures[[#This Row],[Sampling Feature Type]]="Specimen","SELECT VALUE","")</f>
        <v/>
      </c>
      <c r="S41" s="13" t="str">
        <f>IF(SamplingFeatures[[#This Row],[Sampling Feature Type]]="Specimen","SELECT VALUE","")</f>
        <v/>
      </c>
      <c r="T41" s="46" t="str">
        <f>IF(SamplingFeatures[[#This Row],[Sampling Feature Type]]="Specimen","SELECT VALUE","")</f>
        <v/>
      </c>
    </row>
    <row r="42" spans="1:20" x14ac:dyDescent="0.25">
      <c r="A42" s="12"/>
      <c r="B42" s="13"/>
      <c r="C42" s="13"/>
      <c r="D42" s="13"/>
      <c r="E42" s="14"/>
      <c r="F42" s="62"/>
      <c r="G42" s="16"/>
      <c r="H42" s="16"/>
      <c r="I42" s="16"/>
      <c r="J42" s="157" t="str">
        <f>IF(SamplingFeatures[[#This Row],[Feature IGSN]]&lt;&gt;"",MAX(J$10:J41)+1,"")</f>
        <v/>
      </c>
      <c r="K42" s="55"/>
      <c r="L42" s="66" t="str">
        <f>IF(SamplingFeatures[[#This Row],[Sampling Feature Type]]="Site",MAX(L$10:L41)+1,"")</f>
        <v/>
      </c>
      <c r="M42" s="22" t="str">
        <f>IF(SamplingFeatures[[#This Row],[Sampling Feature Type]]="Site","SELECT VALUE","")</f>
        <v/>
      </c>
      <c r="N42" s="13" t="str">
        <f>IF(SamplingFeatures[[#This Row],[Sampling Feature Type]]="Site","ENTER VALUE","")</f>
        <v/>
      </c>
      <c r="O42" s="46" t="str">
        <f>IF(SamplingFeatures[[#This Row],[Sampling Feature Type]]="Site","ENTER VALUE","")</f>
        <v/>
      </c>
      <c r="P42" s="61"/>
      <c r="Q42" s="66" t="str">
        <f>IF(SamplingFeatures[[#This Row],[Sampling Feature Type]]="Specimen",MAX(Q$10:Q41)+1,"")</f>
        <v/>
      </c>
      <c r="R42" s="12" t="str">
        <f>IF(SamplingFeatures[[#This Row],[Sampling Feature Type]]="Specimen","SELECT VALUE","")</f>
        <v/>
      </c>
      <c r="S42" s="13" t="str">
        <f>IF(SamplingFeatures[[#This Row],[Sampling Feature Type]]="Specimen","SELECT VALUE","")</f>
        <v/>
      </c>
      <c r="T42" s="46" t="str">
        <f>IF(SamplingFeatures[[#This Row],[Sampling Feature Type]]="Specimen","SELECT VALUE","")</f>
        <v/>
      </c>
    </row>
    <row r="43" spans="1:20" x14ac:dyDescent="0.25">
      <c r="A43" s="12"/>
      <c r="B43" s="13"/>
      <c r="C43" s="13"/>
      <c r="D43" s="13"/>
      <c r="E43" s="14"/>
      <c r="F43" s="62"/>
      <c r="G43" s="16"/>
      <c r="H43" s="16"/>
      <c r="I43" s="16"/>
      <c r="J43" s="157" t="str">
        <f>IF(SamplingFeatures[[#This Row],[Feature IGSN]]&lt;&gt;"",MAX(J$10:J42)+1,"")</f>
        <v/>
      </c>
      <c r="K43" s="55"/>
      <c r="L43" s="66" t="str">
        <f>IF(SamplingFeatures[[#This Row],[Sampling Feature Type]]="Site",MAX(L$10:L42)+1,"")</f>
        <v/>
      </c>
      <c r="M43" s="22" t="str">
        <f>IF(SamplingFeatures[[#This Row],[Sampling Feature Type]]="Site","SELECT VALUE","")</f>
        <v/>
      </c>
      <c r="N43" s="13" t="str">
        <f>IF(SamplingFeatures[[#This Row],[Sampling Feature Type]]="Site","ENTER VALUE","")</f>
        <v/>
      </c>
      <c r="O43" s="46" t="str">
        <f>IF(SamplingFeatures[[#This Row],[Sampling Feature Type]]="Site","ENTER VALUE","")</f>
        <v/>
      </c>
      <c r="P43" s="61"/>
      <c r="Q43" s="66" t="str">
        <f>IF(SamplingFeatures[[#This Row],[Sampling Feature Type]]="Specimen",MAX(Q$10:Q42)+1,"")</f>
        <v/>
      </c>
      <c r="R43" s="12" t="str">
        <f>IF(SamplingFeatures[[#This Row],[Sampling Feature Type]]="Specimen","SELECT VALUE","")</f>
        <v/>
      </c>
      <c r="S43" s="13" t="str">
        <f>IF(SamplingFeatures[[#This Row],[Sampling Feature Type]]="Specimen","SELECT VALUE","")</f>
        <v/>
      </c>
      <c r="T43" s="46" t="str">
        <f>IF(SamplingFeatures[[#This Row],[Sampling Feature Type]]="Specimen","SELECT VALUE","")</f>
        <v/>
      </c>
    </row>
    <row r="44" spans="1:20" x14ac:dyDescent="0.25">
      <c r="A44" s="12"/>
      <c r="B44" s="13"/>
      <c r="C44" s="13"/>
      <c r="D44" s="13"/>
      <c r="E44" s="14"/>
      <c r="F44" s="62"/>
      <c r="G44" s="16"/>
      <c r="H44" s="16"/>
      <c r="I44" s="16"/>
      <c r="J44" s="157" t="str">
        <f>IF(SamplingFeatures[[#This Row],[Feature IGSN]]&lt;&gt;"",MAX(J$10:J43)+1,"")</f>
        <v/>
      </c>
      <c r="K44" s="55"/>
      <c r="L44" s="66" t="str">
        <f>IF(SamplingFeatures[[#This Row],[Sampling Feature Type]]="Site",MAX(L$10:L43)+1,"")</f>
        <v/>
      </c>
      <c r="M44" s="22" t="str">
        <f>IF(SamplingFeatures[[#This Row],[Sampling Feature Type]]="Site","SELECT VALUE","")</f>
        <v/>
      </c>
      <c r="N44" s="13" t="str">
        <f>IF(SamplingFeatures[[#This Row],[Sampling Feature Type]]="Site","ENTER VALUE","")</f>
        <v/>
      </c>
      <c r="O44" s="46" t="str">
        <f>IF(SamplingFeatures[[#This Row],[Sampling Feature Type]]="Site","ENTER VALUE","")</f>
        <v/>
      </c>
      <c r="P44" s="61"/>
      <c r="Q44" s="66" t="str">
        <f>IF(SamplingFeatures[[#This Row],[Sampling Feature Type]]="Specimen",MAX(Q$10:Q43)+1,"")</f>
        <v/>
      </c>
      <c r="R44" s="12" t="str">
        <f>IF(SamplingFeatures[[#This Row],[Sampling Feature Type]]="Specimen","SELECT VALUE","")</f>
        <v/>
      </c>
      <c r="S44" s="13" t="str">
        <f>IF(SamplingFeatures[[#This Row],[Sampling Feature Type]]="Specimen","SELECT VALUE","")</f>
        <v/>
      </c>
      <c r="T44" s="46" t="str">
        <f>IF(SamplingFeatures[[#This Row],[Sampling Feature Type]]="Specimen","SELECT VALUE","")</f>
        <v/>
      </c>
    </row>
    <row r="45" spans="1:20" x14ac:dyDescent="0.25">
      <c r="A45" s="12"/>
      <c r="B45" s="13"/>
      <c r="C45" s="13"/>
      <c r="D45" s="13"/>
      <c r="E45" s="14"/>
      <c r="F45" s="62"/>
      <c r="G45" s="16"/>
      <c r="H45" s="16"/>
      <c r="I45" s="16"/>
      <c r="J45" s="157" t="str">
        <f>IF(SamplingFeatures[[#This Row],[Feature IGSN]]&lt;&gt;"",MAX(J$10:J44)+1,"")</f>
        <v/>
      </c>
      <c r="K45" s="55"/>
      <c r="L45" s="66" t="str">
        <f>IF(SamplingFeatures[[#This Row],[Sampling Feature Type]]="Site",MAX(L$10:L44)+1,"")</f>
        <v/>
      </c>
      <c r="M45" s="22" t="str">
        <f>IF(SamplingFeatures[[#This Row],[Sampling Feature Type]]="Site","SELECT VALUE","")</f>
        <v/>
      </c>
      <c r="N45" s="13" t="str">
        <f>IF(SamplingFeatures[[#This Row],[Sampling Feature Type]]="Site","ENTER VALUE","")</f>
        <v/>
      </c>
      <c r="O45" s="46" t="str">
        <f>IF(SamplingFeatures[[#This Row],[Sampling Feature Type]]="Site","ENTER VALUE","")</f>
        <v/>
      </c>
      <c r="P45" s="61"/>
      <c r="Q45" s="66" t="str">
        <f>IF(SamplingFeatures[[#This Row],[Sampling Feature Type]]="Specimen",MAX(Q$10:Q44)+1,"")</f>
        <v/>
      </c>
      <c r="R45" s="12" t="str">
        <f>IF(SamplingFeatures[[#This Row],[Sampling Feature Type]]="Specimen","SELECT VALUE","")</f>
        <v/>
      </c>
      <c r="S45" s="13" t="str">
        <f>IF(SamplingFeatures[[#This Row],[Sampling Feature Type]]="Specimen","SELECT VALUE","")</f>
        <v/>
      </c>
      <c r="T45" s="46" t="str">
        <f>IF(SamplingFeatures[[#This Row],[Sampling Feature Type]]="Specimen","SELECT VALUE","")</f>
        <v/>
      </c>
    </row>
    <row r="46" spans="1:20" x14ac:dyDescent="0.25">
      <c r="A46" s="12"/>
      <c r="B46" s="13"/>
      <c r="C46" s="13"/>
      <c r="D46" s="13"/>
      <c r="E46" s="14"/>
      <c r="F46" s="62"/>
      <c r="G46" s="16"/>
      <c r="H46" s="16"/>
      <c r="I46" s="16"/>
      <c r="J46" s="157" t="str">
        <f>IF(SamplingFeatures[[#This Row],[Feature IGSN]]&lt;&gt;"",MAX(J$10:J45)+1,"")</f>
        <v/>
      </c>
      <c r="K46" s="55"/>
      <c r="L46" s="66" t="str">
        <f>IF(SamplingFeatures[[#This Row],[Sampling Feature Type]]="Site",MAX(L$10:L45)+1,"")</f>
        <v/>
      </c>
      <c r="M46" s="22" t="str">
        <f>IF(SamplingFeatures[[#This Row],[Sampling Feature Type]]="Site","SELECT VALUE","")</f>
        <v/>
      </c>
      <c r="N46" s="13" t="str">
        <f>IF(SamplingFeatures[[#This Row],[Sampling Feature Type]]="Site","ENTER VALUE","")</f>
        <v/>
      </c>
      <c r="O46" s="46" t="str">
        <f>IF(SamplingFeatures[[#This Row],[Sampling Feature Type]]="Site","ENTER VALUE","")</f>
        <v/>
      </c>
      <c r="P46" s="61"/>
      <c r="Q46" s="66" t="str">
        <f>IF(SamplingFeatures[[#This Row],[Sampling Feature Type]]="Specimen",MAX(Q$10:Q45)+1,"")</f>
        <v/>
      </c>
      <c r="R46" s="12" t="str">
        <f>IF(SamplingFeatures[[#This Row],[Sampling Feature Type]]="Specimen","SELECT VALUE","")</f>
        <v/>
      </c>
      <c r="S46" s="13" t="str">
        <f>IF(SamplingFeatures[[#This Row],[Sampling Feature Type]]="Specimen","SELECT VALUE","")</f>
        <v/>
      </c>
      <c r="T46" s="46" t="str">
        <f>IF(SamplingFeatures[[#This Row],[Sampling Feature Type]]="Specimen","SELECT VALUE","")</f>
        <v/>
      </c>
    </row>
    <row r="47" spans="1:20" x14ac:dyDescent="0.25">
      <c r="A47" s="12"/>
      <c r="B47" s="13"/>
      <c r="C47" s="13"/>
      <c r="D47" s="13"/>
      <c r="E47" s="14"/>
      <c r="F47" s="62"/>
      <c r="G47" s="16"/>
      <c r="H47" s="16"/>
      <c r="I47" s="16"/>
      <c r="J47" s="157" t="str">
        <f>IF(SamplingFeatures[[#This Row],[Feature IGSN]]&lt;&gt;"",MAX(J$10:J46)+1,"")</f>
        <v/>
      </c>
      <c r="K47" s="55"/>
      <c r="L47" s="66" t="str">
        <f>IF(SamplingFeatures[[#This Row],[Sampling Feature Type]]="Site",MAX(L$10:L46)+1,"")</f>
        <v/>
      </c>
      <c r="M47" s="22" t="str">
        <f>IF(SamplingFeatures[[#This Row],[Sampling Feature Type]]="Site","SELECT VALUE","")</f>
        <v/>
      </c>
      <c r="N47" s="13" t="str">
        <f>IF(SamplingFeatures[[#This Row],[Sampling Feature Type]]="Site","ENTER VALUE","")</f>
        <v/>
      </c>
      <c r="O47" s="46" t="str">
        <f>IF(SamplingFeatures[[#This Row],[Sampling Feature Type]]="Site","ENTER VALUE","")</f>
        <v/>
      </c>
      <c r="P47" s="61"/>
      <c r="Q47" s="66" t="str">
        <f>IF(SamplingFeatures[[#This Row],[Sampling Feature Type]]="Specimen",MAX(Q$10:Q46)+1,"")</f>
        <v/>
      </c>
      <c r="R47" s="12" t="str">
        <f>IF(SamplingFeatures[[#This Row],[Sampling Feature Type]]="Specimen","SELECT VALUE","")</f>
        <v/>
      </c>
      <c r="S47" s="13" t="str">
        <f>IF(SamplingFeatures[[#This Row],[Sampling Feature Type]]="Specimen","SELECT VALUE","")</f>
        <v/>
      </c>
      <c r="T47" s="46" t="str">
        <f>IF(SamplingFeatures[[#This Row],[Sampling Feature Type]]="Specimen","SELECT VALUE","")</f>
        <v/>
      </c>
    </row>
    <row r="48" spans="1:20" x14ac:dyDescent="0.25">
      <c r="A48" s="12"/>
      <c r="B48" s="13"/>
      <c r="C48" s="13"/>
      <c r="D48" s="13"/>
      <c r="E48" s="14"/>
      <c r="F48" s="62"/>
      <c r="G48" s="16"/>
      <c r="H48" s="16"/>
      <c r="I48" s="16"/>
      <c r="J48" s="157" t="str">
        <f>IF(SamplingFeatures[[#This Row],[Feature IGSN]]&lt;&gt;"",MAX(J$10:J47)+1,"")</f>
        <v/>
      </c>
      <c r="K48" s="55"/>
      <c r="L48" s="66" t="str">
        <f>IF(SamplingFeatures[[#This Row],[Sampling Feature Type]]="Site",MAX(L$10:L47)+1,"")</f>
        <v/>
      </c>
      <c r="M48" s="22" t="str">
        <f>IF(SamplingFeatures[[#This Row],[Sampling Feature Type]]="Site","SELECT VALUE","")</f>
        <v/>
      </c>
      <c r="N48" s="13" t="str">
        <f>IF(SamplingFeatures[[#This Row],[Sampling Feature Type]]="Site","ENTER VALUE","")</f>
        <v/>
      </c>
      <c r="O48" s="46" t="str">
        <f>IF(SamplingFeatures[[#This Row],[Sampling Feature Type]]="Site","ENTER VALUE","")</f>
        <v/>
      </c>
      <c r="P48" s="61"/>
      <c r="Q48" s="66" t="str">
        <f>IF(SamplingFeatures[[#This Row],[Sampling Feature Type]]="Specimen",MAX(Q$10:Q47)+1,"")</f>
        <v/>
      </c>
      <c r="R48" s="12" t="str">
        <f>IF(SamplingFeatures[[#This Row],[Sampling Feature Type]]="Specimen","SELECT VALUE","")</f>
        <v/>
      </c>
      <c r="S48" s="13" t="str">
        <f>IF(SamplingFeatures[[#This Row],[Sampling Feature Type]]="Specimen","SELECT VALUE","")</f>
        <v/>
      </c>
      <c r="T48" s="46" t="str">
        <f>IF(SamplingFeatures[[#This Row],[Sampling Feature Type]]="Specimen","SELECT VALUE","")</f>
        <v/>
      </c>
    </row>
    <row r="49" spans="1:20" x14ac:dyDescent="0.25">
      <c r="A49" s="12"/>
      <c r="B49" s="13"/>
      <c r="C49" s="13"/>
      <c r="D49" s="13"/>
      <c r="E49" s="14"/>
      <c r="F49" s="62"/>
      <c r="G49" s="16"/>
      <c r="H49" s="16"/>
      <c r="I49" s="16"/>
      <c r="J49" s="157" t="str">
        <f>IF(SamplingFeatures[[#This Row],[Feature IGSN]]&lt;&gt;"",MAX(J$10:J48)+1,"")</f>
        <v/>
      </c>
      <c r="K49" s="55"/>
      <c r="L49" s="66" t="str">
        <f>IF(SamplingFeatures[[#This Row],[Sampling Feature Type]]="Site",MAX(L$10:L48)+1,"")</f>
        <v/>
      </c>
      <c r="M49" s="22" t="str">
        <f>IF(SamplingFeatures[[#This Row],[Sampling Feature Type]]="Site","SELECT VALUE","")</f>
        <v/>
      </c>
      <c r="N49" s="13" t="str">
        <f>IF(SamplingFeatures[[#This Row],[Sampling Feature Type]]="Site","ENTER VALUE","")</f>
        <v/>
      </c>
      <c r="O49" s="46" t="str">
        <f>IF(SamplingFeatures[[#This Row],[Sampling Feature Type]]="Site","ENTER VALUE","")</f>
        <v/>
      </c>
      <c r="P49" s="61"/>
      <c r="Q49" s="66" t="str">
        <f>IF(SamplingFeatures[[#This Row],[Sampling Feature Type]]="Specimen",MAX(Q$10:Q48)+1,"")</f>
        <v/>
      </c>
      <c r="R49" s="12" t="str">
        <f>IF(SamplingFeatures[[#This Row],[Sampling Feature Type]]="Specimen","SELECT VALUE","")</f>
        <v/>
      </c>
      <c r="S49" s="13" t="str">
        <f>IF(SamplingFeatures[[#This Row],[Sampling Feature Type]]="Specimen","SELECT VALUE","")</f>
        <v/>
      </c>
      <c r="T49" s="46" t="str">
        <f>IF(SamplingFeatures[[#This Row],[Sampling Feature Type]]="Specimen","SELECT VALUE","")</f>
        <v/>
      </c>
    </row>
    <row r="50" spans="1:20" x14ac:dyDescent="0.25">
      <c r="A50" s="12"/>
      <c r="B50" s="13"/>
      <c r="C50" s="13"/>
      <c r="D50" s="13"/>
      <c r="E50" s="14"/>
      <c r="F50" s="62"/>
      <c r="G50" s="16"/>
      <c r="H50" s="16"/>
      <c r="I50" s="16"/>
      <c r="J50" s="157" t="str">
        <f>IF(SamplingFeatures[[#This Row],[Feature IGSN]]&lt;&gt;"",MAX(J$10:J49)+1,"")</f>
        <v/>
      </c>
      <c r="K50" s="55"/>
      <c r="L50" s="66" t="str">
        <f>IF(SamplingFeatures[[#This Row],[Sampling Feature Type]]="Site",MAX(L$10:L49)+1,"")</f>
        <v/>
      </c>
      <c r="M50" s="22" t="str">
        <f>IF(SamplingFeatures[[#This Row],[Sampling Feature Type]]="Site","SELECT VALUE","")</f>
        <v/>
      </c>
      <c r="N50" s="13" t="str">
        <f>IF(SamplingFeatures[[#This Row],[Sampling Feature Type]]="Site","ENTER VALUE","")</f>
        <v/>
      </c>
      <c r="O50" s="46" t="str">
        <f>IF(SamplingFeatures[[#This Row],[Sampling Feature Type]]="Site","ENTER VALUE","")</f>
        <v/>
      </c>
      <c r="P50" s="61"/>
      <c r="Q50" s="66" t="str">
        <f>IF(SamplingFeatures[[#This Row],[Sampling Feature Type]]="Specimen",MAX(Q$10:Q49)+1,"")</f>
        <v/>
      </c>
      <c r="R50" s="12" t="str">
        <f>IF(SamplingFeatures[[#This Row],[Sampling Feature Type]]="Specimen","SELECT VALUE","")</f>
        <v/>
      </c>
      <c r="S50" s="13" t="str">
        <f>IF(SamplingFeatures[[#This Row],[Sampling Feature Type]]="Specimen","SELECT VALUE","")</f>
        <v/>
      </c>
      <c r="T50" s="46" t="str">
        <f>IF(SamplingFeatures[[#This Row],[Sampling Feature Type]]="Specimen","SELECT VALUE","")</f>
        <v/>
      </c>
    </row>
    <row r="51" spans="1:20" x14ac:dyDescent="0.25">
      <c r="A51" s="12"/>
      <c r="B51" s="13"/>
      <c r="C51" s="13"/>
      <c r="D51" s="13"/>
      <c r="E51" s="14"/>
      <c r="F51" s="62"/>
      <c r="G51" s="16"/>
      <c r="H51" s="16"/>
      <c r="I51" s="16"/>
      <c r="J51" s="157" t="str">
        <f>IF(SamplingFeatures[[#This Row],[Feature IGSN]]&lt;&gt;"",MAX(J$10:J50)+1,"")</f>
        <v/>
      </c>
      <c r="K51" s="55"/>
      <c r="L51" s="66" t="str">
        <f>IF(SamplingFeatures[[#This Row],[Sampling Feature Type]]="Site",MAX(L$10:L50)+1,"")</f>
        <v/>
      </c>
      <c r="M51" s="22" t="str">
        <f>IF(SamplingFeatures[[#This Row],[Sampling Feature Type]]="Site","SELECT VALUE","")</f>
        <v/>
      </c>
      <c r="N51" s="13" t="str">
        <f>IF(SamplingFeatures[[#This Row],[Sampling Feature Type]]="Site","ENTER VALUE","")</f>
        <v/>
      </c>
      <c r="O51" s="46" t="str">
        <f>IF(SamplingFeatures[[#This Row],[Sampling Feature Type]]="Site","ENTER VALUE","")</f>
        <v/>
      </c>
      <c r="P51" s="61"/>
      <c r="Q51" s="66" t="str">
        <f>IF(SamplingFeatures[[#This Row],[Sampling Feature Type]]="Specimen",MAX(Q$10:Q50)+1,"")</f>
        <v/>
      </c>
      <c r="R51" s="12" t="str">
        <f>IF(SamplingFeatures[[#This Row],[Sampling Feature Type]]="Specimen","SELECT VALUE","")</f>
        <v/>
      </c>
      <c r="S51" s="13" t="str">
        <f>IF(SamplingFeatures[[#This Row],[Sampling Feature Type]]="Specimen","SELECT VALUE","")</f>
        <v/>
      </c>
      <c r="T51" s="46" t="str">
        <f>IF(SamplingFeatures[[#This Row],[Sampling Feature Type]]="Specimen","SELECT VALUE","")</f>
        <v/>
      </c>
    </row>
    <row r="52" spans="1:20" x14ac:dyDescent="0.25">
      <c r="A52" s="12"/>
      <c r="B52" s="13"/>
      <c r="C52" s="13"/>
      <c r="D52" s="13"/>
      <c r="E52" s="14"/>
      <c r="F52" s="62"/>
      <c r="G52" s="16"/>
      <c r="H52" s="16"/>
      <c r="I52" s="16"/>
      <c r="J52" s="157" t="str">
        <f>IF(SamplingFeatures[[#This Row],[Feature IGSN]]&lt;&gt;"",MAX(J$10:J51)+1,"")</f>
        <v/>
      </c>
      <c r="K52" s="55"/>
      <c r="L52" s="66" t="str">
        <f>IF(SamplingFeatures[[#This Row],[Sampling Feature Type]]="Site",MAX(L$10:L51)+1,"")</f>
        <v/>
      </c>
      <c r="M52" s="22" t="str">
        <f>IF(SamplingFeatures[[#This Row],[Sampling Feature Type]]="Site","SELECT VALUE","")</f>
        <v/>
      </c>
      <c r="N52" s="13" t="str">
        <f>IF(SamplingFeatures[[#This Row],[Sampling Feature Type]]="Site","ENTER VALUE","")</f>
        <v/>
      </c>
      <c r="O52" s="46" t="str">
        <f>IF(SamplingFeatures[[#This Row],[Sampling Feature Type]]="Site","ENTER VALUE","")</f>
        <v/>
      </c>
      <c r="P52" s="61"/>
      <c r="Q52" s="66" t="str">
        <f>IF(SamplingFeatures[[#This Row],[Sampling Feature Type]]="Specimen",MAX(Q$10:Q51)+1,"")</f>
        <v/>
      </c>
      <c r="R52" s="12" t="str">
        <f>IF(SamplingFeatures[[#This Row],[Sampling Feature Type]]="Specimen","SELECT VALUE","")</f>
        <v/>
      </c>
      <c r="S52" s="13" t="str">
        <f>IF(SamplingFeatures[[#This Row],[Sampling Feature Type]]="Specimen","SELECT VALUE","")</f>
        <v/>
      </c>
      <c r="T52" s="46" t="str">
        <f>IF(SamplingFeatures[[#This Row],[Sampling Feature Type]]="Specimen","SELECT VALUE","")</f>
        <v/>
      </c>
    </row>
    <row r="53" spans="1:20" x14ac:dyDescent="0.25">
      <c r="A53" s="12"/>
      <c r="B53" s="13"/>
      <c r="C53" s="13"/>
      <c r="D53" s="13"/>
      <c r="E53" s="14"/>
      <c r="F53" s="62"/>
      <c r="G53" s="16"/>
      <c r="H53" s="16"/>
      <c r="I53" s="16"/>
      <c r="J53" s="157" t="str">
        <f>IF(SamplingFeatures[[#This Row],[Feature IGSN]]&lt;&gt;"",MAX(J$10:J52)+1,"")</f>
        <v/>
      </c>
      <c r="K53" s="55"/>
      <c r="L53" s="66" t="str">
        <f>IF(SamplingFeatures[[#This Row],[Sampling Feature Type]]="Site",MAX(L$10:L52)+1,"")</f>
        <v/>
      </c>
      <c r="M53" s="22" t="str">
        <f>IF(SamplingFeatures[[#This Row],[Sampling Feature Type]]="Site","SELECT VALUE","")</f>
        <v/>
      </c>
      <c r="N53" s="13" t="str">
        <f>IF(SamplingFeatures[[#This Row],[Sampling Feature Type]]="Site","ENTER VALUE","")</f>
        <v/>
      </c>
      <c r="O53" s="46" t="str">
        <f>IF(SamplingFeatures[[#This Row],[Sampling Feature Type]]="Site","ENTER VALUE","")</f>
        <v/>
      </c>
      <c r="P53" s="61"/>
      <c r="Q53" s="66" t="str">
        <f>IF(SamplingFeatures[[#This Row],[Sampling Feature Type]]="Specimen",MAX(Q$10:Q52)+1,"")</f>
        <v/>
      </c>
      <c r="R53" s="12" t="str">
        <f>IF(SamplingFeatures[[#This Row],[Sampling Feature Type]]="Specimen","SELECT VALUE","")</f>
        <v/>
      </c>
      <c r="S53" s="13" t="str">
        <f>IF(SamplingFeatures[[#This Row],[Sampling Feature Type]]="Specimen","SELECT VALUE","")</f>
        <v/>
      </c>
      <c r="T53" s="46" t="str">
        <f>IF(SamplingFeatures[[#This Row],[Sampling Feature Type]]="Specimen","SELECT VALUE","")</f>
        <v/>
      </c>
    </row>
    <row r="54" spans="1:20" x14ac:dyDescent="0.25">
      <c r="A54" s="12"/>
      <c r="B54" s="13"/>
      <c r="C54" s="13"/>
      <c r="D54" s="13"/>
      <c r="E54" s="14"/>
      <c r="F54" s="62"/>
      <c r="G54" s="16"/>
      <c r="H54" s="16"/>
      <c r="I54" s="16"/>
      <c r="J54" s="157" t="str">
        <f>IF(SamplingFeatures[[#This Row],[Feature IGSN]]&lt;&gt;"",MAX(J$10:J53)+1,"")</f>
        <v/>
      </c>
      <c r="K54" s="55"/>
      <c r="L54" s="66" t="str">
        <f>IF(SamplingFeatures[[#This Row],[Sampling Feature Type]]="Site",MAX(L$10:L53)+1,"")</f>
        <v/>
      </c>
      <c r="M54" s="22" t="str">
        <f>IF(SamplingFeatures[[#This Row],[Sampling Feature Type]]="Site","SELECT VALUE","")</f>
        <v/>
      </c>
      <c r="N54" s="13" t="str">
        <f>IF(SamplingFeatures[[#This Row],[Sampling Feature Type]]="Site","ENTER VALUE","")</f>
        <v/>
      </c>
      <c r="O54" s="46" t="str">
        <f>IF(SamplingFeatures[[#This Row],[Sampling Feature Type]]="Site","ENTER VALUE","")</f>
        <v/>
      </c>
      <c r="P54" s="61"/>
      <c r="Q54" s="66" t="str">
        <f>IF(SamplingFeatures[[#This Row],[Sampling Feature Type]]="Specimen",MAX(Q$10:Q53)+1,"")</f>
        <v/>
      </c>
      <c r="R54" s="12" t="str">
        <f>IF(SamplingFeatures[[#This Row],[Sampling Feature Type]]="Specimen","SELECT VALUE","")</f>
        <v/>
      </c>
      <c r="S54" s="13" t="str">
        <f>IF(SamplingFeatures[[#This Row],[Sampling Feature Type]]="Specimen","SELECT VALUE","")</f>
        <v/>
      </c>
      <c r="T54" s="46" t="str">
        <f>IF(SamplingFeatures[[#This Row],[Sampling Feature Type]]="Specimen","SELECT VALUE","")</f>
        <v/>
      </c>
    </row>
    <row r="55" spans="1:20" x14ac:dyDescent="0.25">
      <c r="A55" s="12"/>
      <c r="B55" s="13"/>
      <c r="C55" s="13"/>
      <c r="D55" s="13"/>
      <c r="E55" s="14"/>
      <c r="F55" s="62"/>
      <c r="G55" s="16"/>
      <c r="H55" s="16"/>
      <c r="I55" s="16"/>
      <c r="J55" s="157" t="str">
        <f>IF(SamplingFeatures[[#This Row],[Feature IGSN]]&lt;&gt;"",MAX(J$10:J54)+1,"")</f>
        <v/>
      </c>
      <c r="K55" s="55"/>
      <c r="L55" s="66" t="str">
        <f>IF(SamplingFeatures[[#This Row],[Sampling Feature Type]]="Site",MAX(L$10:L54)+1,"")</f>
        <v/>
      </c>
      <c r="M55" s="22" t="str">
        <f>IF(SamplingFeatures[[#This Row],[Sampling Feature Type]]="Site","SELECT VALUE","")</f>
        <v/>
      </c>
      <c r="N55" s="13" t="str">
        <f>IF(SamplingFeatures[[#This Row],[Sampling Feature Type]]="Site","ENTER VALUE","")</f>
        <v/>
      </c>
      <c r="O55" s="46" t="str">
        <f>IF(SamplingFeatures[[#This Row],[Sampling Feature Type]]="Site","ENTER VALUE","")</f>
        <v/>
      </c>
      <c r="P55" s="61"/>
      <c r="Q55" s="66" t="str">
        <f>IF(SamplingFeatures[[#This Row],[Sampling Feature Type]]="Specimen",MAX(Q$10:Q54)+1,"")</f>
        <v/>
      </c>
      <c r="R55" s="12" t="str">
        <f>IF(SamplingFeatures[[#This Row],[Sampling Feature Type]]="Specimen","SELECT VALUE","")</f>
        <v/>
      </c>
      <c r="S55" s="13" t="str">
        <f>IF(SamplingFeatures[[#This Row],[Sampling Feature Type]]="Specimen","SELECT VALUE","")</f>
        <v/>
      </c>
      <c r="T55" s="46" t="str">
        <f>IF(SamplingFeatures[[#This Row],[Sampling Feature Type]]="Specimen","SELECT VALUE","")</f>
        <v/>
      </c>
    </row>
    <row r="56" spans="1:20" x14ac:dyDescent="0.25">
      <c r="A56" s="12"/>
      <c r="B56" s="13"/>
      <c r="C56" s="13"/>
      <c r="D56" s="13"/>
      <c r="E56" s="14"/>
      <c r="F56" s="62"/>
      <c r="G56" s="16"/>
      <c r="H56" s="16"/>
      <c r="I56" s="16"/>
      <c r="J56" s="157" t="str">
        <f>IF(SamplingFeatures[[#This Row],[Feature IGSN]]&lt;&gt;"",MAX(J$10:J55)+1,"")</f>
        <v/>
      </c>
      <c r="K56" s="55"/>
      <c r="L56" s="66" t="str">
        <f>IF(SamplingFeatures[[#This Row],[Sampling Feature Type]]="Site",MAX(L$10:L55)+1,"")</f>
        <v/>
      </c>
      <c r="M56" s="22" t="str">
        <f>IF(SamplingFeatures[[#This Row],[Sampling Feature Type]]="Site","SELECT VALUE","")</f>
        <v/>
      </c>
      <c r="N56" s="13" t="str">
        <f>IF(SamplingFeatures[[#This Row],[Sampling Feature Type]]="Site","ENTER VALUE","")</f>
        <v/>
      </c>
      <c r="O56" s="46" t="str">
        <f>IF(SamplingFeatures[[#This Row],[Sampling Feature Type]]="Site","ENTER VALUE","")</f>
        <v/>
      </c>
      <c r="P56" s="61"/>
      <c r="Q56" s="66" t="str">
        <f>IF(SamplingFeatures[[#This Row],[Sampling Feature Type]]="Specimen",MAX(Q$10:Q55)+1,"")</f>
        <v/>
      </c>
      <c r="R56" s="12" t="str">
        <f>IF(SamplingFeatures[[#This Row],[Sampling Feature Type]]="Specimen","SELECT VALUE","")</f>
        <v/>
      </c>
      <c r="S56" s="13" t="str">
        <f>IF(SamplingFeatures[[#This Row],[Sampling Feature Type]]="Specimen","SELECT VALUE","")</f>
        <v/>
      </c>
      <c r="T56" s="46" t="str">
        <f>IF(SamplingFeatures[[#This Row],[Sampling Feature Type]]="Specimen","SELECT VALUE","")</f>
        <v/>
      </c>
    </row>
    <row r="57" spans="1:20" x14ac:dyDescent="0.25">
      <c r="A57" s="12"/>
      <c r="B57" s="13"/>
      <c r="C57" s="13"/>
      <c r="D57" s="13"/>
      <c r="E57" s="14"/>
      <c r="F57" s="62"/>
      <c r="G57" s="16"/>
      <c r="H57" s="16"/>
      <c r="I57" s="16"/>
      <c r="J57" s="157" t="str">
        <f>IF(SamplingFeatures[[#This Row],[Feature IGSN]]&lt;&gt;"",MAX(J$10:J56)+1,"")</f>
        <v/>
      </c>
      <c r="K57" s="55"/>
      <c r="L57" s="66" t="str">
        <f>IF(SamplingFeatures[[#This Row],[Sampling Feature Type]]="Site",MAX(L$10:L56)+1,"")</f>
        <v/>
      </c>
      <c r="M57" s="22" t="str">
        <f>IF(SamplingFeatures[[#This Row],[Sampling Feature Type]]="Site","SELECT VALUE","")</f>
        <v/>
      </c>
      <c r="N57" s="13" t="str">
        <f>IF(SamplingFeatures[[#This Row],[Sampling Feature Type]]="Site","ENTER VALUE","")</f>
        <v/>
      </c>
      <c r="O57" s="46" t="str">
        <f>IF(SamplingFeatures[[#This Row],[Sampling Feature Type]]="Site","ENTER VALUE","")</f>
        <v/>
      </c>
      <c r="P57" s="61"/>
      <c r="Q57" s="66" t="str">
        <f>IF(SamplingFeatures[[#This Row],[Sampling Feature Type]]="Specimen",MAX(Q$10:Q56)+1,"")</f>
        <v/>
      </c>
      <c r="R57" s="12" t="str">
        <f>IF(SamplingFeatures[[#This Row],[Sampling Feature Type]]="Specimen","SELECT VALUE","")</f>
        <v/>
      </c>
      <c r="S57" s="13" t="str">
        <f>IF(SamplingFeatures[[#This Row],[Sampling Feature Type]]="Specimen","SELECT VALUE","")</f>
        <v/>
      </c>
      <c r="T57" s="46" t="str">
        <f>IF(SamplingFeatures[[#This Row],[Sampling Feature Type]]="Specimen","SELECT VALUE","")</f>
        <v/>
      </c>
    </row>
    <row r="58" spans="1:20" x14ac:dyDescent="0.25">
      <c r="A58" s="12"/>
      <c r="B58" s="13"/>
      <c r="C58" s="13"/>
      <c r="D58" s="13"/>
      <c r="E58" s="14"/>
      <c r="F58" s="62"/>
      <c r="G58" s="16"/>
      <c r="H58" s="16"/>
      <c r="I58" s="16"/>
      <c r="J58" s="157" t="str">
        <f>IF(SamplingFeatures[[#This Row],[Feature IGSN]]&lt;&gt;"",MAX(J$10:J57)+1,"")</f>
        <v/>
      </c>
      <c r="K58" s="55"/>
      <c r="L58" s="66" t="str">
        <f>IF(SamplingFeatures[[#This Row],[Sampling Feature Type]]="Site",MAX(L$10:L57)+1,"")</f>
        <v/>
      </c>
      <c r="M58" s="22" t="str">
        <f>IF(SamplingFeatures[[#This Row],[Sampling Feature Type]]="Site","SELECT VALUE","")</f>
        <v/>
      </c>
      <c r="N58" s="13" t="str">
        <f>IF(SamplingFeatures[[#This Row],[Sampling Feature Type]]="Site","ENTER VALUE","")</f>
        <v/>
      </c>
      <c r="O58" s="46" t="str">
        <f>IF(SamplingFeatures[[#This Row],[Sampling Feature Type]]="Site","ENTER VALUE","")</f>
        <v/>
      </c>
      <c r="P58" s="61"/>
      <c r="Q58" s="66" t="str">
        <f>IF(SamplingFeatures[[#This Row],[Sampling Feature Type]]="Specimen",MAX(Q$10:Q57)+1,"")</f>
        <v/>
      </c>
      <c r="R58" s="12" t="str">
        <f>IF(SamplingFeatures[[#This Row],[Sampling Feature Type]]="Specimen","SELECT VALUE","")</f>
        <v/>
      </c>
      <c r="S58" s="13" t="str">
        <f>IF(SamplingFeatures[[#This Row],[Sampling Feature Type]]="Specimen","SELECT VALUE","")</f>
        <v/>
      </c>
      <c r="T58" s="46" t="str">
        <f>IF(SamplingFeatures[[#This Row],[Sampling Feature Type]]="Specimen","SELECT VALUE","")</f>
        <v/>
      </c>
    </row>
    <row r="59" spans="1:20" x14ac:dyDescent="0.25">
      <c r="A59" s="12"/>
      <c r="B59" s="13"/>
      <c r="C59" s="13"/>
      <c r="D59" s="13"/>
      <c r="E59" s="14"/>
      <c r="F59" s="62"/>
      <c r="G59" s="16"/>
      <c r="H59" s="16"/>
      <c r="I59" s="16"/>
      <c r="J59" s="157" t="str">
        <f>IF(SamplingFeatures[[#This Row],[Feature IGSN]]&lt;&gt;"",MAX(J$10:J58)+1,"")</f>
        <v/>
      </c>
      <c r="K59" s="55"/>
      <c r="L59" s="66" t="str">
        <f>IF(SamplingFeatures[[#This Row],[Sampling Feature Type]]="Site",MAX(L$10:L58)+1,"")</f>
        <v/>
      </c>
      <c r="M59" s="22" t="str">
        <f>IF(SamplingFeatures[[#This Row],[Sampling Feature Type]]="Site","SELECT VALUE","")</f>
        <v/>
      </c>
      <c r="N59" s="13" t="str">
        <f>IF(SamplingFeatures[[#This Row],[Sampling Feature Type]]="Site","ENTER VALUE","")</f>
        <v/>
      </c>
      <c r="O59" s="46" t="str">
        <f>IF(SamplingFeatures[[#This Row],[Sampling Feature Type]]="Site","ENTER VALUE","")</f>
        <v/>
      </c>
      <c r="P59" s="61"/>
      <c r="Q59" s="66" t="str">
        <f>IF(SamplingFeatures[[#This Row],[Sampling Feature Type]]="Specimen",MAX(Q$10:Q58)+1,"")</f>
        <v/>
      </c>
      <c r="R59" s="12" t="str">
        <f>IF(SamplingFeatures[[#This Row],[Sampling Feature Type]]="Specimen","SELECT VALUE","")</f>
        <v/>
      </c>
      <c r="S59" s="13" t="str">
        <f>IF(SamplingFeatures[[#This Row],[Sampling Feature Type]]="Specimen","SELECT VALUE","")</f>
        <v/>
      </c>
      <c r="T59" s="46" t="str">
        <f>IF(SamplingFeatures[[#This Row],[Sampling Feature Type]]="Specimen","SELECT VALUE","")</f>
        <v/>
      </c>
    </row>
    <row r="60" spans="1:20" ht="15.75" thickBot="1" x14ac:dyDescent="0.3">
      <c r="A60" s="17"/>
      <c r="B60" s="18"/>
      <c r="C60" s="18"/>
      <c r="D60" s="18"/>
      <c r="E60" s="19"/>
      <c r="F60" s="63"/>
      <c r="G60" s="20"/>
      <c r="H60" s="20"/>
      <c r="I60" s="20"/>
      <c r="J60" s="158" t="str">
        <f>IF(SamplingFeatures[[#This Row],[Feature IGSN]]&lt;&gt;"",MAX(J$10:J59)+1,"")</f>
        <v/>
      </c>
      <c r="K60" s="55"/>
      <c r="L60" s="66" t="str">
        <f>IF(SamplingFeatures[[#This Row],[Sampling Feature Type]]="Site",MAX(L$10:L59)+1,"")</f>
        <v/>
      </c>
      <c r="M60" s="17" t="str">
        <f>IF(SamplingFeatures[[#This Row],[Sampling Feature Type]]="Site","SELECT VALUE","")</f>
        <v/>
      </c>
      <c r="N60" s="18" t="str">
        <f>IF(SamplingFeatures[[#This Row],[Sampling Feature Type]]="Site","ENTER VALUE","")</f>
        <v/>
      </c>
      <c r="O60" s="48" t="str">
        <f>IF(SamplingFeatures[[#This Row],[Sampling Feature Type]]="Site","ENTER VALUE","")</f>
        <v/>
      </c>
      <c r="P60" s="61"/>
      <c r="Q60" s="68" t="str">
        <f>IF(SamplingFeatures[[#This Row],[Sampling Feature Type]]="Specimen",MAX(Q$10:Q59)+1,"")</f>
        <v/>
      </c>
      <c r="R60" s="17" t="str">
        <f>IF(SamplingFeatures[[#This Row],[Sampling Feature Type]]="Specimen","SELECT VALUE","")</f>
        <v/>
      </c>
      <c r="S60" s="18" t="str">
        <f>IF(SamplingFeatures[[#This Row],[Sampling Feature Type]]="Specimen","SELECT VALUE","")</f>
        <v/>
      </c>
      <c r="T60" s="48" t="str">
        <f>IF(SamplingFeatures[[#This Row],[Sampling Feature Type]]="Specimen","SELECT VALUE","")</f>
        <v/>
      </c>
    </row>
  </sheetData>
  <sheetProtection password="CA31" sheet="1" objects="1" scenarios="1" formatColumns="0" formatRows="0" insertRows="0" insertHyperlinks="0" deleteRows="0"/>
  <mergeCells count="3">
    <mergeCell ref="A6:B6"/>
    <mergeCell ref="K9:N9"/>
    <mergeCell ref="P9:S9"/>
  </mergeCells>
  <conditionalFormatting sqref="L11:T60">
    <cfRule type="containsText" dxfId="1" priority="1" operator="containsText" text="SELECT">
      <formula>NOT(ISERROR(SEARCH("SELECT",L11)))</formula>
    </cfRule>
  </conditionalFormatting>
  <dataValidations count="9">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M11:M60">
      <formula1>IF(B11="Site",SiteTypeCV,NotApplicable)</formula1>
    </dataValidation>
    <dataValidation type="list" allowBlank="1" showInputMessage="1" showErrorMessage="1" sqref="S11:S60">
      <formula1>IF(B11="Specimen",SampledMediumCV,NotApplicable)</formula1>
    </dataValidation>
    <dataValidation type="list" allowBlank="1" showInputMessage="1" showErrorMessage="1" sqref="T11:T60">
      <formula1>IF(B11="Specimen",Boolean,NotApplicable)</formula1>
    </dataValidation>
    <dataValidation type="list" allowBlank="1" showInputMessage="1" showErrorMessage="1" sqref="R11:R60">
      <formula1>IF(B11="Specimen",SpecimenTypeCV,NotApplicable)</formula1>
    </dataValidation>
    <dataValidation allowBlank="1" showInputMessage="1" showErrorMessage="1" errorTitle="Invalid Value" error="This column only applies to sampling features that are either sites or specimens." sqref="L11:L60 Q11"/>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workbookViewId="0">
      <selection activeCell="A7" sqref="A7:J20"/>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32" t="s">
        <v>1258</v>
      </c>
    </row>
    <row r="2" spans="1:11" ht="15.75" thickBot="1" x14ac:dyDescent="0.3">
      <c r="A2" s="32" t="s">
        <v>1260</v>
      </c>
    </row>
    <row r="3" spans="1:11" ht="15.75" thickBot="1" x14ac:dyDescent="0.3">
      <c r="G3" s="33" t="s">
        <v>1267</v>
      </c>
      <c r="H3" s="34">
        <f>COUNTA(RelatedFeatures[First Sampling Feature Code])</f>
        <v>0</v>
      </c>
      <c r="I3" s="33" t="s">
        <v>1268</v>
      </c>
      <c r="J3" s="34">
        <f>MAX(RelatedFeatures[OffsetID])</f>
        <v>0</v>
      </c>
    </row>
    <row r="4" spans="1:11" ht="15.75" thickBot="1" x14ac:dyDescent="0.3"/>
    <row r="5" spans="1:11" x14ac:dyDescent="0.25">
      <c r="A5" s="166" t="s">
        <v>264</v>
      </c>
      <c r="B5" s="169"/>
      <c r="C5" s="169"/>
      <c r="D5" s="169"/>
      <c r="E5" s="169"/>
      <c r="F5" s="169"/>
      <c r="G5" s="169"/>
      <c r="H5" s="169"/>
      <c r="I5" s="169"/>
      <c r="J5" s="169"/>
      <c r="K5" s="167"/>
    </row>
    <row r="6" spans="1:11" ht="15.75" thickBot="1" x14ac:dyDescent="0.3">
      <c r="A6" s="94" t="s">
        <v>261</v>
      </c>
      <c r="B6" s="73" t="s">
        <v>262</v>
      </c>
      <c r="C6" s="73" t="s">
        <v>263</v>
      </c>
      <c r="D6" s="95" t="s">
        <v>249</v>
      </c>
      <c r="E6" s="95" t="s">
        <v>250</v>
      </c>
      <c r="F6" s="95" t="s">
        <v>251</v>
      </c>
      <c r="G6" s="95" t="s">
        <v>252</v>
      </c>
      <c r="H6" s="95" t="s">
        <v>253</v>
      </c>
      <c r="I6" s="95" t="s">
        <v>254</v>
      </c>
      <c r="J6" s="96" t="s">
        <v>255</v>
      </c>
      <c r="K6" s="97" t="s">
        <v>1259</v>
      </c>
    </row>
    <row r="7" spans="1:11" ht="15.75" thickTop="1" x14ac:dyDescent="0.25">
      <c r="A7" s="86"/>
      <c r="B7" s="87"/>
      <c r="C7" s="87"/>
      <c r="D7" s="88"/>
      <c r="E7" s="88"/>
      <c r="F7" s="88"/>
      <c r="G7" s="88"/>
      <c r="H7" s="88"/>
      <c r="I7" s="88"/>
      <c r="J7" s="89"/>
      <c r="K7" s="98" t="str">
        <f>IF(COUNTA(RelatedFeatures[[#This Row],[Spatial Offset Type]:[Offset 3 Unit]])&gt;0,MAX(K$6:K6)+1,"")</f>
        <v/>
      </c>
    </row>
    <row r="8" spans="1:11" x14ac:dyDescent="0.25">
      <c r="A8" s="86"/>
      <c r="B8" s="87"/>
      <c r="C8" s="87"/>
      <c r="D8" s="88"/>
      <c r="E8" s="88"/>
      <c r="F8" s="88"/>
      <c r="G8" s="88"/>
      <c r="H8" s="88"/>
      <c r="I8" s="88"/>
      <c r="J8" s="89"/>
      <c r="K8" s="98" t="str">
        <f>IF(COUNTA(RelatedFeatures[[#This Row],[Spatial Offset Type]:[Offset 3 Unit]])&gt;0,MAX(K$6:K7)+1,"")</f>
        <v/>
      </c>
    </row>
    <row r="9" spans="1:11" x14ac:dyDescent="0.25">
      <c r="A9" s="86"/>
      <c r="B9" s="87"/>
      <c r="C9" s="87"/>
      <c r="D9" s="88"/>
      <c r="E9" s="88"/>
      <c r="F9" s="88"/>
      <c r="G9" s="88"/>
      <c r="H9" s="88"/>
      <c r="I9" s="88"/>
      <c r="J9" s="89"/>
      <c r="K9" s="98" t="str">
        <f>IF(COUNTA(RelatedFeatures[[#This Row],[Spatial Offset Type]:[Offset 3 Unit]])&gt;0,MAX(K$6:K8)+1,"")</f>
        <v/>
      </c>
    </row>
    <row r="10" spans="1:11" x14ac:dyDescent="0.25">
      <c r="A10" s="86"/>
      <c r="B10" s="87"/>
      <c r="C10" s="87"/>
      <c r="D10" s="88"/>
      <c r="E10" s="88"/>
      <c r="F10" s="88"/>
      <c r="G10" s="88"/>
      <c r="H10" s="88"/>
      <c r="I10" s="88"/>
      <c r="J10" s="89"/>
      <c r="K10" s="98" t="str">
        <f>IF(COUNTA(RelatedFeatures[[#This Row],[Spatial Offset Type]:[Offset 3 Unit]])&gt;0,MAX(K$6:K9)+1,"")</f>
        <v/>
      </c>
    </row>
    <row r="11" spans="1:11" x14ac:dyDescent="0.25">
      <c r="A11" s="86"/>
      <c r="B11" s="87"/>
      <c r="C11" s="87"/>
      <c r="D11" s="88"/>
      <c r="E11" s="88"/>
      <c r="F11" s="88"/>
      <c r="G11" s="88"/>
      <c r="H11" s="88"/>
      <c r="I11" s="88"/>
      <c r="J11" s="89"/>
      <c r="K11" s="98" t="str">
        <f>IF(COUNTA(RelatedFeatures[[#This Row],[Spatial Offset Type]:[Offset 3 Unit]])&gt;0,MAX(K$6:K10)+1,"")</f>
        <v/>
      </c>
    </row>
    <row r="12" spans="1:11" x14ac:dyDescent="0.25">
      <c r="A12" s="86"/>
      <c r="B12" s="87"/>
      <c r="C12" s="87"/>
      <c r="D12" s="88"/>
      <c r="E12" s="88"/>
      <c r="F12" s="88"/>
      <c r="G12" s="88"/>
      <c r="H12" s="88"/>
      <c r="I12" s="88"/>
      <c r="J12" s="89"/>
      <c r="K12" s="98" t="str">
        <f>IF(COUNTA(RelatedFeatures[[#This Row],[Spatial Offset Type]:[Offset 3 Unit]])&gt;0,MAX(K$6:K11)+1,"")</f>
        <v/>
      </c>
    </row>
    <row r="13" spans="1:11" x14ac:dyDescent="0.25">
      <c r="A13" s="86"/>
      <c r="B13" s="87"/>
      <c r="C13" s="87"/>
      <c r="D13" s="88"/>
      <c r="E13" s="88"/>
      <c r="F13" s="88"/>
      <c r="G13" s="88"/>
      <c r="H13" s="88"/>
      <c r="I13" s="88"/>
      <c r="J13" s="89"/>
      <c r="K13" s="98" t="str">
        <f>IF(COUNTA(RelatedFeatures[[#This Row],[Spatial Offset Type]:[Offset 3 Unit]])&gt;0,MAX(K$6:K12)+1,"")</f>
        <v/>
      </c>
    </row>
    <row r="14" spans="1:11" x14ac:dyDescent="0.25">
      <c r="A14" s="86"/>
      <c r="B14" s="87"/>
      <c r="C14" s="87"/>
      <c r="D14" s="88"/>
      <c r="E14" s="88"/>
      <c r="F14" s="88"/>
      <c r="G14" s="88"/>
      <c r="H14" s="88"/>
      <c r="I14" s="88"/>
      <c r="J14" s="89"/>
      <c r="K14" s="98" t="str">
        <f>IF(COUNTA(RelatedFeatures[[#This Row],[Spatial Offset Type]:[Offset 3 Unit]])&gt;0,MAX(K$6:K13)+1,"")</f>
        <v/>
      </c>
    </row>
    <row r="15" spans="1:11" x14ac:dyDescent="0.25">
      <c r="A15" s="86"/>
      <c r="B15" s="87"/>
      <c r="C15" s="87"/>
      <c r="D15" s="88"/>
      <c r="E15" s="88"/>
      <c r="F15" s="88"/>
      <c r="G15" s="88"/>
      <c r="H15" s="88"/>
      <c r="I15" s="88"/>
      <c r="J15" s="89"/>
      <c r="K15" s="98" t="str">
        <f>IF(COUNTA(RelatedFeatures[[#This Row],[Spatial Offset Type]:[Offset 3 Unit]])&gt;0,MAX(K$6:K14)+1,"")</f>
        <v/>
      </c>
    </row>
    <row r="16" spans="1:11" x14ac:dyDescent="0.25">
      <c r="A16" s="86"/>
      <c r="B16" s="87"/>
      <c r="C16" s="87"/>
      <c r="D16" s="88"/>
      <c r="E16" s="88"/>
      <c r="F16" s="88"/>
      <c r="G16" s="88"/>
      <c r="H16" s="88"/>
      <c r="I16" s="88"/>
      <c r="J16" s="89"/>
      <c r="K16" s="98" t="str">
        <f>IF(COUNTA(RelatedFeatures[[#This Row],[Spatial Offset Type]:[Offset 3 Unit]])&gt;0,MAX(K$6:K15)+1,"")</f>
        <v/>
      </c>
    </row>
    <row r="17" spans="1:11" x14ac:dyDescent="0.25">
      <c r="A17" s="86"/>
      <c r="B17" s="87"/>
      <c r="C17" s="87"/>
      <c r="D17" s="88"/>
      <c r="E17" s="88"/>
      <c r="F17" s="88"/>
      <c r="G17" s="88"/>
      <c r="H17" s="88"/>
      <c r="I17" s="88"/>
      <c r="J17" s="89"/>
      <c r="K17" s="98" t="str">
        <f>IF(COUNTA(RelatedFeatures[[#This Row],[Spatial Offset Type]:[Offset 3 Unit]])&gt;0,MAX(K$6:K16)+1,"")</f>
        <v/>
      </c>
    </row>
    <row r="18" spans="1:11" x14ac:dyDescent="0.25">
      <c r="A18" s="86"/>
      <c r="B18" s="87"/>
      <c r="C18" s="87"/>
      <c r="D18" s="88"/>
      <c r="E18" s="88"/>
      <c r="F18" s="88"/>
      <c r="G18" s="88"/>
      <c r="H18" s="88"/>
      <c r="I18" s="88"/>
      <c r="J18" s="89"/>
      <c r="K18" s="98" t="str">
        <f>IF(COUNTA(RelatedFeatures[[#This Row],[Spatial Offset Type]:[Offset 3 Unit]])&gt;0,MAX(K$6:K17)+1,"")</f>
        <v/>
      </c>
    </row>
    <row r="19" spans="1:11" x14ac:dyDescent="0.25">
      <c r="A19" s="86"/>
      <c r="B19" s="87"/>
      <c r="C19" s="87"/>
      <c r="D19" s="88"/>
      <c r="E19" s="88"/>
      <c r="F19" s="88"/>
      <c r="G19" s="88"/>
      <c r="H19" s="88"/>
      <c r="I19" s="88"/>
      <c r="J19" s="89"/>
      <c r="K19" s="98" t="str">
        <f>IF(COUNTA(RelatedFeatures[[#This Row],[Spatial Offset Type]:[Offset 3 Unit]])&gt;0,MAX(K$6:K18)+1,"")</f>
        <v/>
      </c>
    </row>
    <row r="20" spans="1:11" x14ac:dyDescent="0.25">
      <c r="A20" s="86"/>
      <c r="B20" s="87"/>
      <c r="C20" s="87"/>
      <c r="D20" s="88"/>
      <c r="E20" s="88"/>
      <c r="F20" s="88"/>
      <c r="G20" s="88"/>
      <c r="H20" s="88"/>
      <c r="I20" s="88"/>
      <c r="J20" s="89"/>
      <c r="K20" s="98" t="str">
        <f>IF(COUNTA(RelatedFeatures[[#This Row],[Spatial Offset Type]:[Offset 3 Unit]])&gt;0,MAX(K$6:K19)+1,"")</f>
        <v/>
      </c>
    </row>
    <row r="21" spans="1:11" x14ac:dyDescent="0.25">
      <c r="A21" s="86"/>
      <c r="B21" s="87"/>
      <c r="C21" s="87"/>
      <c r="D21" s="88"/>
      <c r="E21" s="88"/>
      <c r="F21" s="88"/>
      <c r="G21" s="88"/>
      <c r="H21" s="88"/>
      <c r="I21" s="88"/>
      <c r="J21" s="89"/>
      <c r="K21" s="98" t="str">
        <f>IF(COUNTA(RelatedFeatures[[#This Row],[Spatial Offset Type]:[Offset 3 Unit]])&gt;0,MAX(K$6:K20)+1,"")</f>
        <v/>
      </c>
    </row>
    <row r="22" spans="1:11" x14ac:dyDescent="0.25">
      <c r="A22" s="86"/>
      <c r="B22" s="87"/>
      <c r="C22" s="87"/>
      <c r="D22" s="88"/>
      <c r="E22" s="88"/>
      <c r="F22" s="88"/>
      <c r="G22" s="88"/>
      <c r="H22" s="88"/>
      <c r="I22" s="88"/>
      <c r="J22" s="89"/>
      <c r="K22" s="98" t="str">
        <f>IF(COUNTA(RelatedFeatures[[#This Row],[Spatial Offset Type]:[Offset 3 Unit]])&gt;0,MAX(K$6:K21)+1,"")</f>
        <v/>
      </c>
    </row>
    <row r="23" spans="1:11" x14ac:dyDescent="0.25">
      <c r="A23" s="86"/>
      <c r="B23" s="87"/>
      <c r="C23" s="87"/>
      <c r="D23" s="88"/>
      <c r="E23" s="88"/>
      <c r="F23" s="88"/>
      <c r="G23" s="88"/>
      <c r="H23" s="88"/>
      <c r="I23" s="88"/>
      <c r="J23" s="89"/>
      <c r="K23" s="98" t="str">
        <f>IF(COUNTA(RelatedFeatures[[#This Row],[Spatial Offset Type]:[Offset 3 Unit]])&gt;0,MAX(K$6:K22)+1,"")</f>
        <v/>
      </c>
    </row>
    <row r="24" spans="1:11" x14ac:dyDescent="0.25">
      <c r="A24" s="86"/>
      <c r="B24" s="87"/>
      <c r="C24" s="87"/>
      <c r="D24" s="88"/>
      <c r="E24" s="88"/>
      <c r="F24" s="88"/>
      <c r="G24" s="88"/>
      <c r="H24" s="88"/>
      <c r="I24" s="88"/>
      <c r="J24" s="89"/>
      <c r="K24" s="98" t="str">
        <f>IF(COUNTA(RelatedFeatures[[#This Row],[Spatial Offset Type]:[Offset 3 Unit]])&gt;0,MAX(K$6:K23)+1,"")</f>
        <v/>
      </c>
    </row>
    <row r="25" spans="1:11" x14ac:dyDescent="0.25">
      <c r="A25" s="86"/>
      <c r="B25" s="87"/>
      <c r="C25" s="87"/>
      <c r="D25" s="88"/>
      <c r="E25" s="88"/>
      <c r="F25" s="88"/>
      <c r="G25" s="88"/>
      <c r="H25" s="88"/>
      <c r="I25" s="88"/>
      <c r="J25" s="89"/>
      <c r="K25" s="98" t="str">
        <f>IF(COUNTA(RelatedFeatures[[#This Row],[Spatial Offset Type]:[Offset 3 Unit]])&gt;0,MAX(K$6:K24)+1,"")</f>
        <v/>
      </c>
    </row>
    <row r="26" spans="1:11" x14ac:dyDescent="0.25">
      <c r="A26" s="86"/>
      <c r="B26" s="87"/>
      <c r="C26" s="87"/>
      <c r="D26" s="88"/>
      <c r="E26" s="88"/>
      <c r="F26" s="88"/>
      <c r="G26" s="88"/>
      <c r="H26" s="88"/>
      <c r="I26" s="88"/>
      <c r="J26" s="89"/>
      <c r="K26" s="98" t="str">
        <f>IF(COUNTA(RelatedFeatures[[#This Row],[Spatial Offset Type]:[Offset 3 Unit]])&gt;0,MAX(K$6:K25)+1,"")</f>
        <v/>
      </c>
    </row>
    <row r="27" spans="1:11" x14ac:dyDescent="0.25">
      <c r="A27" s="86"/>
      <c r="B27" s="87"/>
      <c r="C27" s="87"/>
      <c r="D27" s="88"/>
      <c r="E27" s="88"/>
      <c r="F27" s="88"/>
      <c r="G27" s="88"/>
      <c r="H27" s="88"/>
      <c r="I27" s="88"/>
      <c r="J27" s="89"/>
      <c r="K27" s="98" t="str">
        <f>IF(COUNTA(RelatedFeatures[[#This Row],[Spatial Offset Type]:[Offset 3 Unit]])&gt;0,MAX(K$6:K26)+1,"")</f>
        <v/>
      </c>
    </row>
    <row r="28" spans="1:11" x14ac:dyDescent="0.25">
      <c r="A28" s="86"/>
      <c r="B28" s="87"/>
      <c r="C28" s="87"/>
      <c r="D28" s="88"/>
      <c r="E28" s="88"/>
      <c r="F28" s="88"/>
      <c r="G28" s="88"/>
      <c r="H28" s="88"/>
      <c r="I28" s="88"/>
      <c r="J28" s="89"/>
      <c r="K28" s="98" t="str">
        <f>IF(COUNTA(RelatedFeatures[[#This Row],[Spatial Offset Type]:[Offset 3 Unit]])&gt;0,MAX(K$6:K27)+1,"")</f>
        <v/>
      </c>
    </row>
    <row r="29" spans="1:11" x14ac:dyDescent="0.25">
      <c r="A29" s="86"/>
      <c r="B29" s="87"/>
      <c r="C29" s="87"/>
      <c r="D29" s="88"/>
      <c r="E29" s="88"/>
      <c r="F29" s="88"/>
      <c r="G29" s="88"/>
      <c r="H29" s="88"/>
      <c r="I29" s="88"/>
      <c r="J29" s="89"/>
      <c r="K29" s="98" t="str">
        <f>IF(COUNTA(RelatedFeatures[[#This Row],[Spatial Offset Type]:[Offset 3 Unit]])&gt;0,MAX(K$6:K28)+1,"")</f>
        <v/>
      </c>
    </row>
    <row r="30" spans="1:11" x14ac:dyDescent="0.25">
      <c r="A30" s="86"/>
      <c r="B30" s="87"/>
      <c r="C30" s="87"/>
      <c r="D30" s="88"/>
      <c r="E30" s="88"/>
      <c r="F30" s="88"/>
      <c r="G30" s="88"/>
      <c r="H30" s="88"/>
      <c r="I30" s="88"/>
      <c r="J30" s="89"/>
      <c r="K30" s="98" t="str">
        <f>IF(COUNTA(RelatedFeatures[[#This Row],[Spatial Offset Type]:[Offset 3 Unit]])&gt;0,MAX(K$6:K29)+1,"")</f>
        <v/>
      </c>
    </row>
    <row r="31" spans="1:11" x14ac:dyDescent="0.25">
      <c r="A31" s="86"/>
      <c r="B31" s="87"/>
      <c r="C31" s="87"/>
      <c r="D31" s="88"/>
      <c r="E31" s="88"/>
      <c r="F31" s="88"/>
      <c r="G31" s="88"/>
      <c r="H31" s="88"/>
      <c r="I31" s="88"/>
      <c r="J31" s="89"/>
      <c r="K31" s="98" t="str">
        <f>IF(COUNTA(RelatedFeatures[[#This Row],[Spatial Offset Type]:[Offset 3 Unit]])&gt;0,MAX(K$6:K30)+1,"")</f>
        <v/>
      </c>
    </row>
    <row r="32" spans="1:11" x14ac:dyDescent="0.25">
      <c r="A32" s="86"/>
      <c r="B32" s="87"/>
      <c r="C32" s="87"/>
      <c r="D32" s="88"/>
      <c r="E32" s="88"/>
      <c r="F32" s="88"/>
      <c r="G32" s="88"/>
      <c r="H32" s="88"/>
      <c r="I32" s="88"/>
      <c r="J32" s="89"/>
      <c r="K32" s="98" t="str">
        <f>IF(COUNTA(RelatedFeatures[[#This Row],[Spatial Offset Type]:[Offset 3 Unit]])&gt;0,MAX(K$6:K31)+1,"")</f>
        <v/>
      </c>
    </row>
    <row r="33" spans="1:11" x14ac:dyDescent="0.25">
      <c r="A33" s="86"/>
      <c r="B33" s="87"/>
      <c r="C33" s="87"/>
      <c r="D33" s="88"/>
      <c r="E33" s="88"/>
      <c r="F33" s="88"/>
      <c r="G33" s="88"/>
      <c r="H33" s="88"/>
      <c r="I33" s="88"/>
      <c r="J33" s="89"/>
      <c r="K33" s="98" t="str">
        <f>IF(COUNTA(RelatedFeatures[[#This Row],[Spatial Offset Type]:[Offset 3 Unit]])&gt;0,MAX(K$6:K32)+1,"")</f>
        <v/>
      </c>
    </row>
    <row r="34" spans="1:11" x14ac:dyDescent="0.25">
      <c r="A34" s="86"/>
      <c r="B34" s="87"/>
      <c r="C34" s="87"/>
      <c r="D34" s="88"/>
      <c r="E34" s="88"/>
      <c r="F34" s="88"/>
      <c r="G34" s="88"/>
      <c r="H34" s="88"/>
      <c r="I34" s="88"/>
      <c r="J34" s="89"/>
      <c r="K34" s="98" t="str">
        <f>IF(COUNTA(RelatedFeatures[[#This Row],[Spatial Offset Type]:[Offset 3 Unit]])&gt;0,MAX(K$6:K33)+1,"")</f>
        <v/>
      </c>
    </row>
    <row r="35" spans="1:11" x14ac:dyDescent="0.25">
      <c r="A35" s="86"/>
      <c r="B35" s="87"/>
      <c r="C35" s="87"/>
      <c r="D35" s="88"/>
      <c r="E35" s="88"/>
      <c r="F35" s="88"/>
      <c r="G35" s="88"/>
      <c r="H35" s="88"/>
      <c r="I35" s="88"/>
      <c r="J35" s="89"/>
      <c r="K35" s="98" t="str">
        <f>IF(COUNTA(RelatedFeatures[[#This Row],[Spatial Offset Type]:[Offset 3 Unit]])&gt;0,MAX(K$6:K34)+1,"")</f>
        <v/>
      </c>
    </row>
    <row r="36" spans="1:11" x14ac:dyDescent="0.25">
      <c r="A36" s="86"/>
      <c r="B36" s="87"/>
      <c r="C36" s="87"/>
      <c r="D36" s="88"/>
      <c r="E36" s="88"/>
      <c r="F36" s="88"/>
      <c r="G36" s="88"/>
      <c r="H36" s="88"/>
      <c r="I36" s="88"/>
      <c r="J36" s="89"/>
      <c r="K36" s="98" t="str">
        <f>IF(COUNTA(RelatedFeatures[[#This Row],[Spatial Offset Type]:[Offset 3 Unit]])&gt;0,MAX(K$6:K35)+1,"")</f>
        <v/>
      </c>
    </row>
    <row r="37" spans="1:11" x14ac:dyDescent="0.25">
      <c r="A37" s="86"/>
      <c r="B37" s="87"/>
      <c r="C37" s="87"/>
      <c r="D37" s="88"/>
      <c r="E37" s="88"/>
      <c r="F37" s="88"/>
      <c r="G37" s="88"/>
      <c r="H37" s="88"/>
      <c r="I37" s="88"/>
      <c r="J37" s="89"/>
      <c r="K37" s="98" t="str">
        <f>IF(COUNTA(RelatedFeatures[[#This Row],[Spatial Offset Type]:[Offset 3 Unit]])&gt;0,MAX(K$6:K36)+1,"")</f>
        <v/>
      </c>
    </row>
    <row r="38" spans="1:11" ht="15.75" thickBot="1" x14ac:dyDescent="0.3">
      <c r="A38" s="90"/>
      <c r="B38" s="91"/>
      <c r="C38" s="91"/>
      <c r="D38" s="92"/>
      <c r="E38" s="92"/>
      <c r="F38" s="92"/>
      <c r="G38" s="92"/>
      <c r="H38" s="92"/>
      <c r="I38" s="92"/>
      <c r="J38" s="93"/>
      <c r="K38" s="99" t="str">
        <f>IF(COUNTA(RelatedFeatures[[#This Row],[Spatial Offset Type]:[Offset 3 Unit]])&gt;0,MAX(K$6:K37)+1,"")</f>
        <v/>
      </c>
    </row>
  </sheetData>
  <sheetProtection password="CA31" sheet="1" objects="1" scenarios="1" formatColumns="0" formatRows="0" insertRows="0" insertHyperlinks="0" deleteRows="0"/>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7"/>
  <sheetViews>
    <sheetView workbookViewId="0">
      <selection activeCell="D22" sqref="D22"/>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6" x14ac:dyDescent="0.25">
      <c r="A1" s="7" t="s">
        <v>299</v>
      </c>
    </row>
    <row r="2" spans="1:6" ht="15.75" thickBot="1" x14ac:dyDescent="0.3">
      <c r="A2" s="32" t="s">
        <v>1168</v>
      </c>
    </row>
    <row r="3" spans="1:6" ht="15.75" thickBot="1" x14ac:dyDescent="0.3">
      <c r="A3" s="32" t="s">
        <v>298</v>
      </c>
      <c r="E3" s="33" t="s">
        <v>1273</v>
      </c>
      <c r="F3" s="34">
        <f>COUNTA(MethodCodes)</f>
        <v>0</v>
      </c>
    </row>
    <row r="4" spans="1:6" ht="15.75" thickBot="1" x14ac:dyDescent="0.3"/>
    <row r="5" spans="1:6" x14ac:dyDescent="0.25">
      <c r="A5" s="170" t="s">
        <v>271</v>
      </c>
      <c r="B5" s="171"/>
      <c r="C5" s="171"/>
      <c r="D5" s="171"/>
      <c r="E5" s="171"/>
      <c r="F5" s="172"/>
    </row>
    <row r="6" spans="1:6" ht="15.75" thickBot="1" x14ac:dyDescent="0.3">
      <c r="A6" s="78" t="s">
        <v>268</v>
      </c>
      <c r="B6" s="73" t="s">
        <v>148</v>
      </c>
      <c r="C6" s="73" t="s">
        <v>147</v>
      </c>
      <c r="D6" s="84" t="s">
        <v>149</v>
      </c>
      <c r="E6" s="84" t="s">
        <v>269</v>
      </c>
      <c r="F6" s="76" t="s">
        <v>19</v>
      </c>
    </row>
    <row r="7" spans="1:6" ht="15.75" thickTop="1" x14ac:dyDescent="0.25">
      <c r="A7" s="100"/>
      <c r="B7" s="87"/>
      <c r="C7" s="101"/>
      <c r="D7" s="102"/>
      <c r="E7" s="103"/>
      <c r="F7" s="104"/>
    </row>
    <row r="8" spans="1:6" x14ac:dyDescent="0.25">
      <c r="A8" s="100"/>
      <c r="B8" s="87"/>
      <c r="C8" s="101"/>
      <c r="D8" s="102"/>
      <c r="E8" s="103"/>
      <c r="F8" s="104"/>
    </row>
    <row r="9" spans="1:6" x14ac:dyDescent="0.25">
      <c r="A9" s="100"/>
      <c r="B9" s="87"/>
      <c r="C9" s="101"/>
      <c r="D9" s="102"/>
      <c r="E9" s="103"/>
      <c r="F9" s="104"/>
    </row>
    <row r="10" spans="1:6" x14ac:dyDescent="0.25">
      <c r="A10" s="100"/>
      <c r="B10" s="87"/>
      <c r="C10" s="101"/>
      <c r="D10" s="102"/>
      <c r="E10" s="103"/>
      <c r="F10" s="104"/>
    </row>
    <row r="11" spans="1:6" x14ac:dyDescent="0.25">
      <c r="A11" s="100"/>
      <c r="B11" s="87"/>
      <c r="C11" s="101"/>
      <c r="D11" s="102"/>
      <c r="E11" s="103"/>
      <c r="F11" s="104"/>
    </row>
    <row r="12" spans="1:6" x14ac:dyDescent="0.25">
      <c r="A12" s="100"/>
      <c r="B12" s="87"/>
      <c r="C12" s="101"/>
      <c r="D12" s="102"/>
      <c r="E12" s="88"/>
      <c r="F12" s="104"/>
    </row>
    <row r="13" spans="1:6" x14ac:dyDescent="0.25">
      <c r="A13" s="100"/>
      <c r="B13" s="87"/>
      <c r="C13" s="101"/>
      <c r="D13" s="102"/>
      <c r="E13" s="88"/>
      <c r="F13" s="104"/>
    </row>
    <row r="14" spans="1:6" x14ac:dyDescent="0.25">
      <c r="A14" s="100"/>
      <c r="B14" s="87"/>
      <c r="C14" s="101"/>
      <c r="D14" s="102"/>
      <c r="E14" s="88"/>
      <c r="F14" s="104"/>
    </row>
    <row r="15" spans="1:6" x14ac:dyDescent="0.25">
      <c r="A15" s="100"/>
      <c r="B15" s="87"/>
      <c r="C15" s="101"/>
      <c r="D15" s="102"/>
      <c r="E15" s="88"/>
      <c r="F15" s="104"/>
    </row>
    <row r="16" spans="1:6" x14ac:dyDescent="0.25">
      <c r="A16" s="100"/>
      <c r="B16" s="87"/>
      <c r="C16" s="101"/>
      <c r="D16" s="102"/>
      <c r="E16" s="88"/>
      <c r="F16" s="104"/>
    </row>
    <row r="17" spans="1:6" x14ac:dyDescent="0.25">
      <c r="A17" s="100"/>
      <c r="B17" s="87"/>
      <c r="C17" s="101"/>
      <c r="D17" s="102"/>
      <c r="E17" s="88"/>
      <c r="F17" s="104"/>
    </row>
    <row r="18" spans="1:6" x14ac:dyDescent="0.25">
      <c r="A18" s="100"/>
      <c r="B18" s="87"/>
      <c r="C18" s="101"/>
      <c r="D18" s="102"/>
      <c r="E18" s="88"/>
      <c r="F18" s="104"/>
    </row>
    <row r="19" spans="1:6" x14ac:dyDescent="0.25">
      <c r="A19" s="100"/>
      <c r="B19" s="87"/>
      <c r="C19" s="101"/>
      <c r="D19" s="102"/>
      <c r="E19" s="88"/>
      <c r="F19" s="104"/>
    </row>
    <row r="20" spans="1:6" x14ac:dyDescent="0.25">
      <c r="A20" s="100"/>
      <c r="B20" s="87"/>
      <c r="C20" s="101"/>
      <c r="D20" s="102"/>
      <c r="E20" s="88"/>
      <c r="F20" s="104"/>
    </row>
    <row r="21" spans="1:6" x14ac:dyDescent="0.25">
      <c r="A21" s="100"/>
      <c r="B21" s="87"/>
      <c r="C21" s="101"/>
      <c r="D21" s="102"/>
      <c r="E21" s="88"/>
      <c r="F21" s="104"/>
    </row>
    <row r="22" spans="1:6" x14ac:dyDescent="0.25">
      <c r="A22" s="100"/>
      <c r="B22" s="87"/>
      <c r="C22" s="101"/>
      <c r="D22" s="102"/>
      <c r="E22" s="88"/>
      <c r="F22" s="104"/>
    </row>
    <row r="23" spans="1:6" x14ac:dyDescent="0.25">
      <c r="A23" s="100"/>
      <c r="B23" s="87"/>
      <c r="C23" s="101"/>
      <c r="D23" s="102"/>
      <c r="E23" s="88"/>
      <c r="F23" s="104"/>
    </row>
    <row r="24" spans="1:6" x14ac:dyDescent="0.25">
      <c r="A24" s="100"/>
      <c r="B24" s="87"/>
      <c r="C24" s="101"/>
      <c r="D24" s="102"/>
      <c r="E24" s="88"/>
      <c r="F24" s="104"/>
    </row>
    <row r="25" spans="1:6" x14ac:dyDescent="0.25">
      <c r="A25" s="100"/>
      <c r="B25" s="87"/>
      <c r="C25" s="101"/>
      <c r="D25" s="102"/>
      <c r="E25" s="88"/>
      <c r="F25" s="104"/>
    </row>
    <row r="26" spans="1:6" x14ac:dyDescent="0.25">
      <c r="A26" s="100"/>
      <c r="B26" s="87"/>
      <c r="C26" s="101"/>
      <c r="D26" s="102"/>
      <c r="E26" s="88"/>
      <c r="F26" s="104"/>
    </row>
    <row r="27" spans="1:6" x14ac:dyDescent="0.25">
      <c r="A27" s="100"/>
      <c r="B27" s="87"/>
      <c r="C27" s="101"/>
      <c r="D27" s="102"/>
      <c r="E27" s="88"/>
      <c r="F27" s="104"/>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7">
      <formula1>MethodTypeCV</formula1>
    </dataValidation>
    <dataValidation type="list" allowBlank="1" showInputMessage="1" showErrorMessage="1" sqref="F7:F27">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election activeCell="A7" sqref="A7:F15"/>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32" t="s">
        <v>306</v>
      </c>
    </row>
    <row r="2" spans="1:6" ht="15.75" thickBot="1" x14ac:dyDescent="0.3">
      <c r="A2" s="32" t="s">
        <v>1169</v>
      </c>
    </row>
    <row r="3" spans="1:6" ht="15.75" thickBot="1" x14ac:dyDescent="0.3">
      <c r="A3" s="32" t="s">
        <v>307</v>
      </c>
      <c r="E3" s="33" t="s">
        <v>1274</v>
      </c>
      <c r="F3" s="34">
        <f>COUNTA(VariableCodes)</f>
        <v>0</v>
      </c>
    </row>
    <row r="4" spans="1:6" ht="15.75" thickBot="1" x14ac:dyDescent="0.3"/>
    <row r="5" spans="1:6" x14ac:dyDescent="0.25">
      <c r="A5" s="170" t="s">
        <v>312</v>
      </c>
      <c r="B5" s="171"/>
      <c r="C5" s="171"/>
      <c r="D5" s="171"/>
      <c r="E5" s="171"/>
      <c r="F5" s="172"/>
    </row>
    <row r="6" spans="1:6" ht="15.75" thickBot="1" x14ac:dyDescent="0.3">
      <c r="A6" s="78" t="s">
        <v>308</v>
      </c>
      <c r="B6" s="73" t="s">
        <v>145</v>
      </c>
      <c r="C6" s="73" t="s">
        <v>144</v>
      </c>
      <c r="D6" s="84" t="s">
        <v>309</v>
      </c>
      <c r="E6" s="84" t="s">
        <v>310</v>
      </c>
      <c r="F6" s="79" t="s">
        <v>311</v>
      </c>
    </row>
    <row r="7" spans="1:6" ht="15.75" thickTop="1" x14ac:dyDescent="0.25">
      <c r="A7" s="100"/>
      <c r="B7" s="87"/>
      <c r="C7" s="87"/>
      <c r="D7" s="88"/>
      <c r="E7" s="88"/>
      <c r="F7" s="105"/>
    </row>
    <row r="8" spans="1:6" x14ac:dyDescent="0.25">
      <c r="A8" s="100"/>
      <c r="B8" s="87"/>
      <c r="C8" s="87"/>
      <c r="D8" s="88"/>
      <c r="E8" s="88"/>
      <c r="F8" s="105"/>
    </row>
    <row r="9" spans="1:6" x14ac:dyDescent="0.25">
      <c r="A9" s="100"/>
      <c r="B9" s="87"/>
      <c r="C9" s="87"/>
      <c r="D9" s="88"/>
      <c r="E9" s="88"/>
      <c r="F9" s="105"/>
    </row>
    <row r="10" spans="1:6" x14ac:dyDescent="0.25">
      <c r="A10" s="100"/>
      <c r="B10" s="87"/>
      <c r="C10" s="87"/>
      <c r="D10" s="88"/>
      <c r="E10" s="88"/>
      <c r="F10" s="105"/>
    </row>
    <row r="11" spans="1:6" x14ac:dyDescent="0.25">
      <c r="A11" s="100"/>
      <c r="B11" s="87"/>
      <c r="C11" s="87"/>
      <c r="D11" s="88"/>
      <c r="E11" s="88"/>
      <c r="F11" s="105"/>
    </row>
    <row r="12" spans="1:6" x14ac:dyDescent="0.25">
      <c r="A12" s="100"/>
      <c r="B12" s="87"/>
      <c r="C12" s="87"/>
      <c r="D12" s="88"/>
      <c r="E12" s="88"/>
      <c r="F12" s="105"/>
    </row>
    <row r="13" spans="1:6" x14ac:dyDescent="0.25">
      <c r="A13" s="100"/>
      <c r="B13" s="87"/>
      <c r="C13" s="87"/>
      <c r="D13" s="88"/>
      <c r="E13" s="88"/>
      <c r="F13" s="105"/>
    </row>
    <row r="14" spans="1:6" x14ac:dyDescent="0.25">
      <c r="A14" s="100"/>
      <c r="B14" s="87"/>
      <c r="C14" s="87"/>
      <c r="D14" s="88"/>
      <c r="E14" s="88"/>
      <c r="F14" s="105"/>
    </row>
    <row r="15" spans="1:6" x14ac:dyDescent="0.25">
      <c r="A15" s="100"/>
      <c r="B15" s="87"/>
      <c r="C15" s="87"/>
      <c r="D15" s="88"/>
      <c r="E15" s="88"/>
      <c r="F15" s="105"/>
    </row>
    <row r="16" spans="1:6" x14ac:dyDescent="0.25">
      <c r="A16" s="100"/>
      <c r="B16" s="87"/>
      <c r="C16" s="87"/>
      <c r="D16" s="88"/>
      <c r="E16" s="88"/>
      <c r="F16" s="105"/>
    </row>
    <row r="17" spans="1:6" x14ac:dyDescent="0.25">
      <c r="A17" s="100"/>
      <c r="B17" s="87"/>
      <c r="C17" s="87"/>
      <c r="D17" s="88"/>
      <c r="E17" s="88"/>
      <c r="F17" s="105"/>
    </row>
    <row r="18" spans="1:6" x14ac:dyDescent="0.25">
      <c r="A18" s="100"/>
      <c r="B18" s="87"/>
      <c r="C18" s="87"/>
      <c r="D18" s="88"/>
      <c r="E18" s="88"/>
      <c r="F18" s="105"/>
    </row>
    <row r="19" spans="1:6" x14ac:dyDescent="0.25">
      <c r="A19" s="100"/>
      <c r="B19" s="87"/>
      <c r="C19" s="87"/>
      <c r="D19" s="88"/>
      <c r="E19" s="88"/>
      <c r="F19" s="105"/>
    </row>
    <row r="20" spans="1:6" x14ac:dyDescent="0.25">
      <c r="A20" s="100"/>
      <c r="B20" s="87"/>
      <c r="C20" s="87"/>
      <c r="D20" s="88"/>
      <c r="E20" s="88"/>
      <c r="F20" s="105"/>
    </row>
    <row r="21" spans="1:6" x14ac:dyDescent="0.25">
      <c r="A21" s="100"/>
      <c r="B21" s="87"/>
      <c r="C21" s="87"/>
      <c r="D21" s="88"/>
      <c r="E21" s="88"/>
      <c r="F21" s="105"/>
    </row>
    <row r="22" spans="1:6" x14ac:dyDescent="0.25">
      <c r="A22" s="100"/>
      <c r="B22" s="87"/>
      <c r="C22" s="87"/>
      <c r="D22" s="88"/>
      <c r="E22" s="88"/>
      <c r="F22" s="105"/>
    </row>
    <row r="23" spans="1:6" x14ac:dyDescent="0.25">
      <c r="A23" s="100"/>
      <c r="B23" s="87"/>
      <c r="C23" s="87"/>
      <c r="D23" s="88"/>
      <c r="E23" s="88"/>
      <c r="F23" s="105"/>
    </row>
    <row r="24" spans="1:6" x14ac:dyDescent="0.25">
      <c r="A24" s="100"/>
      <c r="B24" s="87"/>
      <c r="C24" s="87"/>
      <c r="D24" s="88"/>
      <c r="E24" s="88"/>
      <c r="F24" s="105"/>
    </row>
    <row r="25" spans="1:6" x14ac:dyDescent="0.25">
      <c r="A25" s="100"/>
      <c r="B25" s="87"/>
      <c r="C25" s="87"/>
      <c r="D25" s="88"/>
      <c r="E25" s="88"/>
      <c r="F25" s="105"/>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C9" sqref="C9"/>
    </sheetView>
  </sheetViews>
  <sheetFormatPr defaultRowHeight="15" x14ac:dyDescent="0.25"/>
  <cols>
    <col min="1" max="1" width="23.42578125" style="7" customWidth="1"/>
    <col min="2" max="2" width="29.7109375" style="7" customWidth="1"/>
    <col min="3" max="3" width="64" style="106" customWidth="1"/>
    <col min="4" max="4" width="8" style="7" bestFit="1" customWidth="1"/>
    <col min="5" max="16384" width="9.140625" style="7"/>
  </cols>
  <sheetData>
    <row r="1" spans="1:5" x14ac:dyDescent="0.25">
      <c r="A1" s="32" t="s">
        <v>1220</v>
      </c>
    </row>
    <row r="2" spans="1:5" ht="15.75" thickBot="1" x14ac:dyDescent="0.3">
      <c r="A2" s="32" t="s">
        <v>1221</v>
      </c>
    </row>
    <row r="3" spans="1:5" ht="15.75" thickBot="1" x14ac:dyDescent="0.3">
      <c r="A3" s="32" t="s">
        <v>1222</v>
      </c>
      <c r="D3" s="33" t="s">
        <v>1275</v>
      </c>
      <c r="E3" s="34">
        <f>COUNTA(ProcessingLevelCodes)</f>
        <v>5</v>
      </c>
    </row>
    <row r="4" spans="1:5" ht="15.75" thickBot="1" x14ac:dyDescent="0.3"/>
    <row r="5" spans="1:5" x14ac:dyDescent="0.25">
      <c r="A5" s="166" t="s">
        <v>1225</v>
      </c>
      <c r="B5" s="169"/>
      <c r="C5" s="167"/>
    </row>
    <row r="6" spans="1:5" ht="15.75" thickBot="1" x14ac:dyDescent="0.3">
      <c r="A6" s="78" t="s">
        <v>1223</v>
      </c>
      <c r="B6" s="73" t="s">
        <v>1224</v>
      </c>
      <c r="C6" s="111" t="s">
        <v>1226</v>
      </c>
    </row>
    <row r="7" spans="1:5" ht="90.75" thickTop="1" x14ac:dyDescent="0.25">
      <c r="A7" s="107">
        <v>0</v>
      </c>
      <c r="B7" s="108" t="s">
        <v>1318</v>
      </c>
      <c r="C7" s="109" t="s">
        <v>1319</v>
      </c>
    </row>
    <row r="8" spans="1:5" ht="30" x14ac:dyDescent="0.25">
      <c r="A8" s="100">
        <v>1</v>
      </c>
      <c r="B8" s="88" t="s">
        <v>1320</v>
      </c>
      <c r="C8" s="110" t="s">
        <v>1321</v>
      </c>
    </row>
    <row r="9" spans="1:5" ht="60" x14ac:dyDescent="0.25">
      <c r="A9" s="100">
        <v>2</v>
      </c>
      <c r="B9" s="88" t="s">
        <v>1378</v>
      </c>
      <c r="C9" s="110" t="s">
        <v>1379</v>
      </c>
    </row>
    <row r="10" spans="1:5" ht="60" x14ac:dyDescent="0.25">
      <c r="A10" s="100">
        <v>3</v>
      </c>
      <c r="B10" s="88" t="s">
        <v>1380</v>
      </c>
      <c r="C10" s="110" t="s">
        <v>1381</v>
      </c>
    </row>
    <row r="11" spans="1:5" ht="75" x14ac:dyDescent="0.25">
      <c r="A11" s="100">
        <v>4</v>
      </c>
      <c r="B11" s="88" t="s">
        <v>1382</v>
      </c>
      <c r="C11" s="110" t="s">
        <v>1383</v>
      </c>
    </row>
    <row r="12" spans="1:5" x14ac:dyDescent="0.25">
      <c r="A12" s="100"/>
      <c r="B12" s="88"/>
      <c r="C12" s="110"/>
    </row>
    <row r="13" spans="1:5" x14ac:dyDescent="0.25">
      <c r="A13" s="100"/>
      <c r="B13" s="88"/>
      <c r="C13" s="110"/>
    </row>
    <row r="14" spans="1:5" x14ac:dyDescent="0.25">
      <c r="A14" s="100"/>
      <c r="B14" s="88"/>
      <c r="C14" s="110"/>
    </row>
    <row r="15" spans="1:5" x14ac:dyDescent="0.25">
      <c r="A15" s="100"/>
      <c r="B15" s="88"/>
      <c r="C15" s="110"/>
    </row>
    <row r="16" spans="1:5" x14ac:dyDescent="0.25">
      <c r="A16" s="100"/>
      <c r="B16" s="88"/>
      <c r="C16" s="110"/>
    </row>
    <row r="17" spans="1:3" x14ac:dyDescent="0.25">
      <c r="A17" s="100"/>
      <c r="B17" s="88"/>
      <c r="C17" s="110"/>
    </row>
    <row r="18" spans="1:3" x14ac:dyDescent="0.25">
      <c r="A18" s="100"/>
      <c r="B18" s="88"/>
      <c r="C18" s="110"/>
    </row>
    <row r="19" spans="1:3" x14ac:dyDescent="0.25">
      <c r="A19" s="100"/>
      <c r="B19" s="88"/>
      <c r="C19" s="110"/>
    </row>
    <row r="20" spans="1:3" x14ac:dyDescent="0.25">
      <c r="A20" s="100"/>
      <c r="B20" s="88"/>
      <c r="C20" s="110"/>
    </row>
    <row r="21" spans="1:3" x14ac:dyDescent="0.25">
      <c r="A21" s="100"/>
      <c r="B21" s="88"/>
      <c r="C21" s="110"/>
    </row>
    <row r="22" spans="1:3" x14ac:dyDescent="0.25">
      <c r="A22" s="100"/>
      <c r="B22" s="88"/>
      <c r="C22" s="110"/>
    </row>
    <row r="23" spans="1:3" x14ac:dyDescent="0.25">
      <c r="A23" s="100"/>
      <c r="B23" s="88"/>
      <c r="C23" s="110"/>
    </row>
    <row r="24" spans="1:3" x14ac:dyDescent="0.25">
      <c r="A24" s="100"/>
      <c r="B24" s="88"/>
      <c r="C24" s="110"/>
    </row>
  </sheetData>
  <sheetProtection password="CA31" sheet="1" objects="1" scenarios="1" formatColumns="0" formatRows="0" insertRows="0" insertHyperlinks="0" deleteRows="0"/>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O98"/>
  <sheetViews>
    <sheetView zoomScale="115" zoomScaleNormal="115" zoomScalePageLayoutView="150" workbookViewId="0">
      <selection activeCell="B12" sqref="B12:O21"/>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6" width="19.85546875" style="7" bestFit="1" customWidth="1"/>
    <col min="7" max="7" width="15.85546875" style="7" bestFit="1" customWidth="1"/>
    <col min="8" max="8" width="12.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384" width="8.85546875" style="7"/>
  </cols>
  <sheetData>
    <row r="1" spans="1:15" x14ac:dyDescent="0.25">
      <c r="A1" s="32" t="s">
        <v>137</v>
      </c>
    </row>
    <row r="2" spans="1:15" x14ac:dyDescent="0.25">
      <c r="A2" s="32" t="s">
        <v>1229</v>
      </c>
    </row>
    <row r="3" spans="1:15" x14ac:dyDescent="0.25">
      <c r="A3" s="32" t="s">
        <v>1262</v>
      </c>
      <c r="D3" s="106"/>
    </row>
    <row r="4" spans="1:15" x14ac:dyDescent="0.25">
      <c r="A4" s="32" t="s">
        <v>1310</v>
      </c>
      <c r="D4" s="106"/>
    </row>
    <row r="5" spans="1:15" x14ac:dyDescent="0.25">
      <c r="A5" s="32" t="s">
        <v>1263</v>
      </c>
      <c r="D5" s="106"/>
    </row>
    <row r="6" spans="1:15" x14ac:dyDescent="0.25">
      <c r="A6" s="32" t="s">
        <v>1230</v>
      </c>
      <c r="D6" s="106"/>
    </row>
    <row r="7" spans="1:15" x14ac:dyDescent="0.25">
      <c r="A7" s="32" t="s">
        <v>1250</v>
      </c>
      <c r="D7" s="106"/>
    </row>
    <row r="8" spans="1:15" ht="15.75" thickBot="1" x14ac:dyDescent="0.3">
      <c r="A8" s="32" t="s">
        <v>1246</v>
      </c>
      <c r="D8" s="106"/>
    </row>
    <row r="9" spans="1:15" ht="15.75" thickBot="1" x14ac:dyDescent="0.3">
      <c r="M9" s="114" t="s">
        <v>1264</v>
      </c>
      <c r="N9" s="34">
        <f>MAX(DataColumns[Col '#])-2</f>
        <v>-2</v>
      </c>
      <c r="O9" s="112"/>
    </row>
    <row r="10" spans="1:15" x14ac:dyDescent="0.25">
      <c r="A10" s="173" t="s">
        <v>143</v>
      </c>
      <c r="B10" s="174"/>
      <c r="C10" s="174"/>
      <c r="D10" s="174"/>
      <c r="E10" s="174"/>
      <c r="F10" s="174"/>
      <c r="G10" s="174"/>
      <c r="H10" s="174"/>
      <c r="I10" s="174"/>
      <c r="J10" s="174"/>
      <c r="K10" s="174"/>
      <c r="L10" s="174"/>
      <c r="M10" s="174"/>
      <c r="N10" s="174"/>
      <c r="O10" s="174"/>
    </row>
    <row r="11" spans="1:15" ht="15.75" thickBot="1" x14ac:dyDescent="0.3">
      <c r="A11" s="113" t="s">
        <v>1219</v>
      </c>
      <c r="B11" s="78" t="s">
        <v>1231</v>
      </c>
      <c r="C11" s="84" t="s">
        <v>1170</v>
      </c>
      <c r="D11" s="73" t="s">
        <v>1212</v>
      </c>
      <c r="E11" s="73" t="s">
        <v>148</v>
      </c>
      <c r="F11" s="73" t="s">
        <v>138</v>
      </c>
      <c r="G11" s="73" t="s">
        <v>145</v>
      </c>
      <c r="H11" s="73" t="s">
        <v>146</v>
      </c>
      <c r="I11" s="73" t="s">
        <v>139</v>
      </c>
      <c r="J11" s="73" t="s">
        <v>1171</v>
      </c>
      <c r="K11" s="73" t="s">
        <v>142</v>
      </c>
      <c r="L11" s="73" t="s">
        <v>1214</v>
      </c>
      <c r="M11" s="73" t="s">
        <v>1196</v>
      </c>
      <c r="N11" s="73" t="s">
        <v>140</v>
      </c>
      <c r="O11" s="79" t="s">
        <v>141</v>
      </c>
    </row>
    <row r="12" spans="1:15" ht="15.75" thickTop="1" x14ac:dyDescent="0.25">
      <c r="A12" s="65" t="str">
        <f>IF(COUNTA(DataColumns[[#This Row],[Column Label]:[Quality Code]])&gt;0,IF(MAX(A$11:A11)=0,3,MAX(A$11:A11)+1),"")</f>
        <v/>
      </c>
      <c r="B12" s="22"/>
      <c r="C12" s="24"/>
      <c r="D12" s="23"/>
      <c r="E12" s="23"/>
      <c r="F12" s="23"/>
      <c r="G12" s="23"/>
      <c r="H12" s="23"/>
      <c r="I12" s="23"/>
      <c r="J12" s="23"/>
      <c r="K12" s="23"/>
      <c r="L12" s="23"/>
      <c r="M12" s="23"/>
      <c r="N12" s="23"/>
      <c r="O12" s="44"/>
    </row>
    <row r="13" spans="1:15" x14ac:dyDescent="0.25">
      <c r="A13" s="66" t="str">
        <f>IF(COUNTA(DataColumns[[#This Row],[Column Label]:[Quality Code]])&gt;0,IF(MAX(A$11:A12)=0,3,MAX(A$11:A12)+1),"")</f>
        <v/>
      </c>
      <c r="B13" s="12"/>
      <c r="C13" s="27"/>
      <c r="D13" s="13"/>
      <c r="E13" s="13"/>
      <c r="F13" s="13"/>
      <c r="G13" s="13"/>
      <c r="H13" s="13"/>
      <c r="I13" s="13"/>
      <c r="J13" s="13"/>
      <c r="K13" s="13"/>
      <c r="L13" s="13"/>
      <c r="M13" s="13"/>
      <c r="N13" s="13"/>
      <c r="O13" s="46"/>
    </row>
    <row r="14" spans="1:15" x14ac:dyDescent="0.25">
      <c r="A14" s="66" t="str">
        <f>IF(COUNTA(DataColumns[[#This Row],[Column Label]:[Quality Code]])&gt;0,IF(MAX(A$11:A13)=0,3,MAX(A$11:A13)+1),"")</f>
        <v/>
      </c>
      <c r="B14" s="12"/>
      <c r="C14" s="27"/>
      <c r="D14" s="13"/>
      <c r="E14" s="13"/>
      <c r="F14" s="13"/>
      <c r="G14" s="13"/>
      <c r="H14" s="13"/>
      <c r="I14" s="13"/>
      <c r="J14" s="13"/>
      <c r="K14" s="13"/>
      <c r="L14" s="13"/>
      <c r="M14" s="13"/>
      <c r="N14" s="13"/>
      <c r="O14" s="46"/>
    </row>
    <row r="15" spans="1:15" x14ac:dyDescent="0.25">
      <c r="A15" s="66" t="str">
        <f>IF(COUNTA(DataColumns[[#This Row],[Column Label]:[Quality Code]])&gt;0,IF(MAX(A$11:A14)=0,3,MAX(A$11:A14)+1),"")</f>
        <v/>
      </c>
      <c r="B15" s="12"/>
      <c r="C15" s="27"/>
      <c r="D15" s="13"/>
      <c r="E15" s="13"/>
      <c r="F15" s="13"/>
      <c r="G15" s="13"/>
      <c r="H15" s="13"/>
      <c r="I15" s="13"/>
      <c r="J15" s="13"/>
      <c r="K15" s="13"/>
      <c r="L15" s="13"/>
      <c r="M15" s="13"/>
      <c r="N15" s="13"/>
      <c r="O15" s="46"/>
    </row>
    <row r="16" spans="1:15" x14ac:dyDescent="0.25">
      <c r="A16" s="66" t="str">
        <f>IF(COUNTA(DataColumns[[#This Row],[Column Label]:[Quality Code]])&gt;0,IF(MAX(A$11:A15)=0,3,MAX(A$11:A15)+1),"")</f>
        <v/>
      </c>
      <c r="B16" s="12"/>
      <c r="C16" s="27"/>
      <c r="D16" s="13"/>
      <c r="E16" s="13"/>
      <c r="F16" s="13"/>
      <c r="G16" s="13"/>
      <c r="H16" s="13"/>
      <c r="I16" s="13"/>
      <c r="J16" s="13"/>
      <c r="K16" s="13"/>
      <c r="L16" s="13"/>
      <c r="M16" s="13"/>
      <c r="N16" s="13"/>
      <c r="O16" s="46"/>
    </row>
    <row r="17" spans="1:15" x14ac:dyDescent="0.25">
      <c r="A17" s="66" t="str">
        <f>IF(COUNTA(DataColumns[[#This Row],[Column Label]:[Quality Code]])&gt;0,IF(MAX(A$11:A16)=0,3,MAX(A$11:A16)+1),"")</f>
        <v/>
      </c>
      <c r="B17" s="12"/>
      <c r="C17" s="27"/>
      <c r="D17" s="13"/>
      <c r="E17" s="13"/>
      <c r="F17" s="13"/>
      <c r="G17" s="13"/>
      <c r="H17" s="13"/>
      <c r="I17" s="13"/>
      <c r="J17" s="13"/>
      <c r="K17" s="13"/>
      <c r="L17" s="13"/>
      <c r="M17" s="13"/>
      <c r="N17" s="13"/>
      <c r="O17" s="46"/>
    </row>
    <row r="18" spans="1:15" x14ac:dyDescent="0.25">
      <c r="A18" s="66" t="str">
        <f>IF(COUNTA(DataColumns[[#This Row],[Column Label]:[Quality Code]])&gt;0,IF(MAX(A$11:A17)=0,3,MAX(A$11:A17)+1),"")</f>
        <v/>
      </c>
      <c r="B18" s="12"/>
      <c r="C18" s="27"/>
      <c r="D18" s="13"/>
      <c r="E18" s="13"/>
      <c r="F18" s="13"/>
      <c r="G18" s="13"/>
      <c r="H18" s="13"/>
      <c r="I18" s="13"/>
      <c r="J18" s="13"/>
      <c r="K18" s="13"/>
      <c r="L18" s="13"/>
      <c r="M18" s="13"/>
      <c r="N18" s="13"/>
      <c r="O18" s="46"/>
    </row>
    <row r="19" spans="1:15" x14ac:dyDescent="0.25">
      <c r="A19" s="66" t="str">
        <f>IF(COUNTA(DataColumns[[#This Row],[Column Label]:[Quality Code]])&gt;0,IF(MAX(A$11:A18)=0,3,MAX(A$11:A18)+1),"")</f>
        <v/>
      </c>
      <c r="B19" s="12"/>
      <c r="C19" s="27"/>
      <c r="D19" s="13"/>
      <c r="E19" s="13"/>
      <c r="F19" s="13"/>
      <c r="G19" s="13"/>
      <c r="H19" s="13"/>
      <c r="I19" s="13"/>
      <c r="J19" s="13"/>
      <c r="K19" s="13"/>
      <c r="L19" s="13"/>
      <c r="M19" s="13"/>
      <c r="N19" s="13"/>
      <c r="O19" s="46"/>
    </row>
    <row r="20" spans="1:15" x14ac:dyDescent="0.25">
      <c r="A20" s="66" t="str">
        <f>IF(COUNTA(DataColumns[[#This Row],[Column Label]:[Quality Code]])&gt;0,IF(MAX(A$11:A19)=0,3,MAX(A$11:A19)+1),"")</f>
        <v/>
      </c>
      <c r="B20" s="12"/>
      <c r="C20" s="27"/>
      <c r="D20" s="13"/>
      <c r="E20" s="13"/>
      <c r="F20" s="13"/>
      <c r="G20" s="13"/>
      <c r="H20" s="13"/>
      <c r="I20" s="13"/>
      <c r="J20" s="13"/>
      <c r="K20" s="13"/>
      <c r="L20" s="13"/>
      <c r="M20" s="13"/>
      <c r="N20" s="13"/>
      <c r="O20" s="46"/>
    </row>
    <row r="21" spans="1:15" x14ac:dyDescent="0.25">
      <c r="A21" s="66" t="str">
        <f>IF(COUNTA(DataColumns[[#This Row],[Column Label]:[Quality Code]])&gt;0,IF(MAX(A$11:A20)=0,3,MAX(A$11:A20)+1),"")</f>
        <v/>
      </c>
      <c r="B21" s="12"/>
      <c r="C21" s="27"/>
      <c r="D21" s="13"/>
      <c r="E21" s="13"/>
      <c r="F21" s="13"/>
      <c r="G21" s="13"/>
      <c r="H21" s="13"/>
      <c r="I21" s="13"/>
      <c r="J21" s="13"/>
      <c r="K21" s="13"/>
      <c r="L21" s="13"/>
      <c r="M21" s="13"/>
      <c r="N21" s="13"/>
      <c r="O21" s="46"/>
    </row>
    <row r="22" spans="1:15" x14ac:dyDescent="0.25">
      <c r="A22" s="66" t="str">
        <f>IF(COUNTA(DataColumns[[#This Row],[Column Label]:[Quality Code]])&gt;0,IF(MAX(A$11:A21)=0,3,MAX(A$11:A21)+1),"")</f>
        <v/>
      </c>
      <c r="B22" s="12"/>
      <c r="C22" s="27"/>
      <c r="D22" s="13"/>
      <c r="E22" s="13"/>
      <c r="F22" s="13"/>
      <c r="G22" s="13"/>
      <c r="H22" s="13"/>
      <c r="I22" s="13"/>
      <c r="J22" s="13"/>
      <c r="K22" s="13"/>
      <c r="L22" s="13"/>
      <c r="M22" s="13"/>
      <c r="N22" s="13"/>
      <c r="O22" s="46"/>
    </row>
    <row r="23" spans="1:15" x14ac:dyDescent="0.25">
      <c r="A23" s="66" t="str">
        <f>IF(COUNTA(DataColumns[[#This Row],[Column Label]:[Quality Code]])&gt;0,IF(MAX(A$11:A22)=0,3,MAX(A$11:A22)+1),"")</f>
        <v/>
      </c>
      <c r="B23" s="12"/>
      <c r="C23" s="27"/>
      <c r="D23" s="13"/>
      <c r="E23" s="13"/>
      <c r="F23" s="13"/>
      <c r="G23" s="13"/>
      <c r="H23" s="13"/>
      <c r="I23" s="13"/>
      <c r="J23" s="13"/>
      <c r="K23" s="13"/>
      <c r="L23" s="13"/>
      <c r="M23" s="13"/>
      <c r="N23" s="13"/>
      <c r="O23" s="46"/>
    </row>
    <row r="24" spans="1:15" x14ac:dyDescent="0.25">
      <c r="A24" s="66" t="str">
        <f>IF(COUNTA(DataColumns[[#This Row],[Column Label]:[Quality Code]])&gt;0,IF(MAX(A$11:A23)=0,3,MAX(A$11:A23)+1),"")</f>
        <v/>
      </c>
      <c r="B24" s="12"/>
      <c r="C24" s="27"/>
      <c r="D24" s="13"/>
      <c r="E24" s="13"/>
      <c r="F24" s="13"/>
      <c r="G24" s="13"/>
      <c r="H24" s="13"/>
      <c r="I24" s="13"/>
      <c r="J24" s="13"/>
      <c r="K24" s="13"/>
      <c r="L24" s="13"/>
      <c r="M24" s="13"/>
      <c r="N24" s="13"/>
      <c r="O24" s="46"/>
    </row>
    <row r="25" spans="1:15" x14ac:dyDescent="0.25">
      <c r="A25" s="66" t="str">
        <f>IF(COUNTA(DataColumns[[#This Row],[Column Label]:[Quality Code]])&gt;0,IF(MAX(A$11:A24)=0,3,MAX(A$11:A24)+1),"")</f>
        <v/>
      </c>
      <c r="B25" s="12"/>
      <c r="C25" s="27"/>
      <c r="D25" s="13"/>
      <c r="E25" s="13"/>
      <c r="F25" s="13"/>
      <c r="G25" s="13"/>
      <c r="H25" s="13"/>
      <c r="I25" s="13"/>
      <c r="J25" s="13"/>
      <c r="K25" s="13"/>
      <c r="L25" s="13"/>
      <c r="M25" s="13"/>
      <c r="N25" s="13"/>
      <c r="O25" s="46"/>
    </row>
    <row r="26" spans="1:15" x14ac:dyDescent="0.25">
      <c r="A26" s="66" t="str">
        <f>IF(COUNTA(DataColumns[[#This Row],[Column Label]:[Quality Code]])&gt;0,IF(MAX(A$11:A25)=0,3,MAX(A$11:A25)+1),"")</f>
        <v/>
      </c>
      <c r="B26" s="12"/>
      <c r="C26" s="27"/>
      <c r="D26" s="13"/>
      <c r="E26" s="13"/>
      <c r="F26" s="13"/>
      <c r="G26" s="13"/>
      <c r="H26" s="13"/>
      <c r="I26" s="13"/>
      <c r="J26" s="13"/>
      <c r="K26" s="13"/>
      <c r="L26" s="13"/>
      <c r="M26" s="13"/>
      <c r="N26" s="13"/>
      <c r="O26" s="46"/>
    </row>
    <row r="27" spans="1:15" x14ac:dyDescent="0.25">
      <c r="A27" s="66" t="str">
        <f>IF(COUNTA(DataColumns[[#This Row],[Column Label]:[Quality Code]])&gt;0,IF(MAX(A$11:A26)=0,3,MAX(A$11:A26)+1),"")</f>
        <v/>
      </c>
      <c r="B27" s="12"/>
      <c r="C27" s="27"/>
      <c r="D27" s="13"/>
      <c r="E27" s="13"/>
      <c r="F27" s="13"/>
      <c r="G27" s="13"/>
      <c r="H27" s="13"/>
      <c r="I27" s="13"/>
      <c r="J27" s="13"/>
      <c r="K27" s="13"/>
      <c r="L27" s="13"/>
      <c r="M27" s="13"/>
      <c r="N27" s="13"/>
      <c r="O27" s="46"/>
    </row>
    <row r="28" spans="1:15" x14ac:dyDescent="0.25">
      <c r="A28" s="66" t="str">
        <f>IF(COUNTA(DataColumns[[#This Row],[Column Label]:[Quality Code]])&gt;0,IF(MAX(A$11:A27)=0,3,MAX(A$11:A27)+1),"")</f>
        <v/>
      </c>
      <c r="B28" s="12"/>
      <c r="C28" s="27"/>
      <c r="D28" s="13"/>
      <c r="E28" s="13"/>
      <c r="F28" s="13"/>
      <c r="G28" s="13"/>
      <c r="H28" s="13"/>
      <c r="I28" s="13"/>
      <c r="J28" s="13"/>
      <c r="K28" s="13"/>
      <c r="L28" s="13"/>
      <c r="M28" s="13"/>
      <c r="N28" s="13"/>
      <c r="O28" s="46"/>
    </row>
    <row r="29" spans="1:15" x14ac:dyDescent="0.25">
      <c r="A29" s="66" t="str">
        <f>IF(COUNTA(DataColumns[[#This Row],[Column Label]:[Quality Code]])&gt;0,IF(MAX(A$11:A28)=0,3,MAX(A$11:A28)+1),"")</f>
        <v/>
      </c>
      <c r="B29" s="12"/>
      <c r="C29" s="27"/>
      <c r="D29" s="13"/>
      <c r="E29" s="13"/>
      <c r="F29" s="13"/>
      <c r="G29" s="13"/>
      <c r="H29" s="13"/>
      <c r="I29" s="13"/>
      <c r="J29" s="13"/>
      <c r="K29" s="13"/>
      <c r="L29" s="13"/>
      <c r="M29" s="13"/>
      <c r="N29" s="13"/>
      <c r="O29" s="46"/>
    </row>
    <row r="30" spans="1:15" x14ac:dyDescent="0.25">
      <c r="A30" s="66" t="str">
        <f>IF(COUNTA(DataColumns[[#This Row],[Column Label]:[Quality Code]])&gt;0,IF(MAX(A$11:A29)=0,3,MAX(A$11:A29)+1),"")</f>
        <v/>
      </c>
      <c r="B30" s="12"/>
      <c r="C30" s="27"/>
      <c r="D30" s="13"/>
      <c r="E30" s="13"/>
      <c r="F30" s="13"/>
      <c r="G30" s="13"/>
      <c r="H30" s="13"/>
      <c r="I30" s="13"/>
      <c r="J30" s="13"/>
      <c r="K30" s="13"/>
      <c r="L30" s="13"/>
      <c r="M30" s="13"/>
      <c r="N30" s="13"/>
      <c r="O30" s="46"/>
    </row>
    <row r="31" spans="1:15" x14ac:dyDescent="0.25">
      <c r="A31" s="66" t="str">
        <f>IF(COUNTA(DataColumns[[#This Row],[Column Label]:[Quality Code]])&gt;0,IF(MAX(A$11:A30)=0,3,MAX(A$11:A30)+1),"")</f>
        <v/>
      </c>
      <c r="B31" s="12"/>
      <c r="C31" s="27"/>
      <c r="D31" s="13"/>
      <c r="E31" s="13"/>
      <c r="F31" s="13"/>
      <c r="G31" s="13"/>
      <c r="H31" s="13"/>
      <c r="I31" s="13"/>
      <c r="J31" s="13"/>
      <c r="K31" s="13"/>
      <c r="L31" s="13"/>
      <c r="M31" s="13"/>
      <c r="N31" s="13"/>
      <c r="O31" s="46"/>
    </row>
    <row r="32" spans="1:15" x14ac:dyDescent="0.25">
      <c r="A32" s="66" t="str">
        <f>IF(COUNTA(DataColumns[[#This Row],[Column Label]:[Quality Code]])&gt;0,IF(MAX(A$11:A31)=0,3,MAX(A$11:A31)+1),"")</f>
        <v/>
      </c>
      <c r="B32" s="12"/>
      <c r="C32" s="27"/>
      <c r="D32" s="13"/>
      <c r="E32" s="13"/>
      <c r="F32" s="13"/>
      <c r="G32" s="13"/>
      <c r="H32" s="13"/>
      <c r="I32" s="13"/>
      <c r="J32" s="13"/>
      <c r="K32" s="13"/>
      <c r="L32" s="13"/>
      <c r="M32" s="13"/>
      <c r="N32" s="13"/>
      <c r="O32" s="46"/>
    </row>
    <row r="33" spans="1:15" x14ac:dyDescent="0.25">
      <c r="A33" s="66" t="str">
        <f>IF(COUNTA(DataColumns[[#This Row],[Column Label]:[Quality Code]])&gt;0,IF(MAX(A$11:A32)=0,3,MAX(A$11:A32)+1),"")</f>
        <v/>
      </c>
      <c r="B33" s="12"/>
      <c r="C33" s="27"/>
      <c r="D33" s="13"/>
      <c r="E33" s="13"/>
      <c r="F33" s="13"/>
      <c r="G33" s="13"/>
      <c r="H33" s="13"/>
      <c r="I33" s="13"/>
      <c r="J33" s="13"/>
      <c r="K33" s="13"/>
      <c r="L33" s="13"/>
      <c r="M33" s="13"/>
      <c r="N33" s="13"/>
      <c r="O33" s="46"/>
    </row>
    <row r="34" spans="1:15" x14ac:dyDescent="0.25">
      <c r="A34" s="66" t="str">
        <f>IF(COUNTA(DataColumns[[#This Row],[Column Label]:[Quality Code]])&gt;0,IF(MAX(A$11:A33)=0,3,MAX(A$11:A33)+1),"")</f>
        <v/>
      </c>
      <c r="B34" s="12"/>
      <c r="C34" s="27"/>
      <c r="D34" s="13"/>
      <c r="E34" s="13"/>
      <c r="F34" s="13"/>
      <c r="G34" s="13"/>
      <c r="H34" s="13"/>
      <c r="I34" s="13"/>
      <c r="J34" s="13"/>
      <c r="K34" s="13"/>
      <c r="L34" s="13"/>
      <c r="M34" s="13"/>
      <c r="N34" s="13"/>
      <c r="O34" s="46"/>
    </row>
    <row r="35" spans="1:15" x14ac:dyDescent="0.25">
      <c r="A35" s="66" t="str">
        <f>IF(COUNTA(DataColumns[[#This Row],[Column Label]:[Quality Code]])&gt;0,IF(MAX(A$11:A34)=0,3,MAX(A$11:A34)+1),"")</f>
        <v/>
      </c>
      <c r="B35" s="12"/>
      <c r="C35" s="27"/>
      <c r="D35" s="13"/>
      <c r="E35" s="13"/>
      <c r="F35" s="13"/>
      <c r="G35" s="13"/>
      <c r="H35" s="13"/>
      <c r="I35" s="13"/>
      <c r="J35" s="13"/>
      <c r="K35" s="13"/>
      <c r="L35" s="13"/>
      <c r="M35" s="13"/>
      <c r="N35" s="13"/>
      <c r="O35" s="46"/>
    </row>
    <row r="36" spans="1:15" x14ac:dyDescent="0.25">
      <c r="A36" s="66" t="str">
        <f>IF(COUNTA(DataColumns[[#This Row],[Column Label]:[Quality Code]])&gt;0,IF(MAX(A$11:A35)=0,3,MAX(A$11:A35)+1),"")</f>
        <v/>
      </c>
      <c r="B36" s="12"/>
      <c r="C36" s="27"/>
      <c r="D36" s="13"/>
      <c r="E36" s="13"/>
      <c r="F36" s="13"/>
      <c r="G36" s="13"/>
      <c r="H36" s="13"/>
      <c r="I36" s="13"/>
      <c r="J36" s="13"/>
      <c r="K36" s="13"/>
      <c r="L36" s="13"/>
      <c r="M36" s="13"/>
      <c r="N36" s="13"/>
      <c r="O36" s="46"/>
    </row>
    <row r="37" spans="1:15" x14ac:dyDescent="0.25">
      <c r="A37" s="66" t="str">
        <f>IF(COUNTA(DataColumns[[#This Row],[Column Label]:[Quality Code]])&gt;0,IF(MAX(A$11:A36)=0,3,MAX(A$11:A36)+1),"")</f>
        <v/>
      </c>
      <c r="B37" s="12"/>
      <c r="C37" s="27"/>
      <c r="D37" s="13"/>
      <c r="E37" s="13"/>
      <c r="F37" s="13"/>
      <c r="G37" s="13"/>
      <c r="H37" s="13"/>
      <c r="I37" s="13"/>
      <c r="J37" s="13"/>
      <c r="K37" s="13"/>
      <c r="L37" s="13"/>
      <c r="M37" s="13"/>
      <c r="N37" s="13"/>
      <c r="O37" s="46"/>
    </row>
    <row r="38" spans="1:15" x14ac:dyDescent="0.25">
      <c r="A38" s="66" t="str">
        <f>IF(COUNTA(DataColumns[[#This Row],[Column Label]:[Quality Code]])&gt;0,IF(MAX(A$11:A37)=0,3,MAX(A$11:A37)+1),"")</f>
        <v/>
      </c>
      <c r="B38" s="12"/>
      <c r="C38" s="27"/>
      <c r="D38" s="13"/>
      <c r="E38" s="13"/>
      <c r="F38" s="13"/>
      <c r="G38" s="13"/>
      <c r="H38" s="13"/>
      <c r="I38" s="13"/>
      <c r="J38" s="13"/>
      <c r="K38" s="13"/>
      <c r="L38" s="13"/>
      <c r="M38" s="13"/>
      <c r="N38" s="13"/>
      <c r="O38" s="46"/>
    </row>
    <row r="39" spans="1:15" x14ac:dyDescent="0.25">
      <c r="A39" s="66" t="str">
        <f>IF(COUNTA(DataColumns[[#This Row],[Column Label]:[Quality Code]])&gt;0,IF(MAX(A$11:A38)=0,3,MAX(A$11:A38)+1),"")</f>
        <v/>
      </c>
      <c r="B39" s="12"/>
      <c r="C39" s="27"/>
      <c r="D39" s="13"/>
      <c r="E39" s="13"/>
      <c r="F39" s="13"/>
      <c r="G39" s="13"/>
      <c r="H39" s="13"/>
      <c r="I39" s="13"/>
      <c r="J39" s="13"/>
      <c r="K39" s="13"/>
      <c r="L39" s="13"/>
      <c r="M39" s="13"/>
      <c r="N39" s="13"/>
      <c r="O39" s="46"/>
    </row>
    <row r="40" spans="1:15" x14ac:dyDescent="0.25">
      <c r="A40" s="66" t="str">
        <f>IF(COUNTA(DataColumns[[#This Row],[Column Label]:[Quality Code]])&gt;0,IF(MAX(A$11:A39)=0,3,MAX(A$11:A39)+1),"")</f>
        <v/>
      </c>
      <c r="B40" s="12"/>
      <c r="C40" s="27"/>
      <c r="D40" s="13"/>
      <c r="E40" s="13"/>
      <c r="F40" s="13"/>
      <c r="G40" s="13"/>
      <c r="H40" s="13"/>
      <c r="I40" s="13"/>
      <c r="J40" s="13"/>
      <c r="K40" s="13"/>
      <c r="L40" s="13"/>
      <c r="M40" s="13"/>
      <c r="N40" s="13"/>
      <c r="O40" s="46"/>
    </row>
    <row r="41" spans="1:15" x14ac:dyDescent="0.25">
      <c r="A41" s="66" t="str">
        <f>IF(COUNTA(DataColumns[[#This Row],[Column Label]:[Quality Code]])&gt;0,IF(MAX(A$11:A40)=0,3,MAX(A$11:A40)+1),"")</f>
        <v/>
      </c>
      <c r="B41" s="12"/>
      <c r="C41" s="27"/>
      <c r="D41" s="13"/>
      <c r="E41" s="13"/>
      <c r="F41" s="13"/>
      <c r="G41" s="13"/>
      <c r="H41" s="13"/>
      <c r="I41" s="13"/>
      <c r="J41" s="13"/>
      <c r="K41" s="13"/>
      <c r="L41" s="13"/>
      <c r="M41" s="13"/>
      <c r="N41" s="13"/>
      <c r="O41" s="46"/>
    </row>
    <row r="42" spans="1:15" x14ac:dyDescent="0.25">
      <c r="A42" s="66" t="str">
        <f>IF(COUNTA(DataColumns[[#This Row],[Column Label]:[Quality Code]])&gt;0,IF(MAX(A$11:A41)=0,3,MAX(A$11:A41)+1),"")</f>
        <v/>
      </c>
      <c r="B42" s="12"/>
      <c r="C42" s="27"/>
      <c r="D42" s="13"/>
      <c r="E42" s="13"/>
      <c r="F42" s="13"/>
      <c r="G42" s="13"/>
      <c r="H42" s="13"/>
      <c r="I42" s="13"/>
      <c r="J42" s="13"/>
      <c r="K42" s="13"/>
      <c r="L42" s="13"/>
      <c r="M42" s="13"/>
      <c r="N42" s="13"/>
      <c r="O42" s="46"/>
    </row>
    <row r="43" spans="1:15" x14ac:dyDescent="0.25">
      <c r="A43" s="66" t="str">
        <f>IF(COUNTA(DataColumns[[#This Row],[Column Label]:[Quality Code]])&gt;0,IF(MAX(A$11:A42)=0,3,MAX(A$11:A42)+1),"")</f>
        <v/>
      </c>
      <c r="B43" s="12"/>
      <c r="C43" s="27"/>
      <c r="D43" s="13"/>
      <c r="E43" s="13"/>
      <c r="F43" s="13"/>
      <c r="G43" s="13"/>
      <c r="H43" s="13"/>
      <c r="I43" s="13"/>
      <c r="J43" s="13"/>
      <c r="K43" s="13"/>
      <c r="L43" s="13"/>
      <c r="M43" s="13"/>
      <c r="N43" s="13"/>
      <c r="O43" s="46"/>
    </row>
    <row r="44" spans="1:15" x14ac:dyDescent="0.25">
      <c r="A44" s="66" t="str">
        <f>IF(COUNTA(DataColumns[[#This Row],[Column Label]:[Quality Code]])&gt;0,IF(MAX(A$11:A43)=0,3,MAX(A$11:A43)+1),"")</f>
        <v/>
      </c>
      <c r="B44" s="12"/>
      <c r="C44" s="27"/>
      <c r="D44" s="13"/>
      <c r="E44" s="13"/>
      <c r="F44" s="13"/>
      <c r="G44" s="13"/>
      <c r="H44" s="13"/>
      <c r="I44" s="13"/>
      <c r="J44" s="13"/>
      <c r="K44" s="13"/>
      <c r="L44" s="13"/>
      <c r="M44" s="13"/>
      <c r="N44" s="13"/>
      <c r="O44" s="46"/>
    </row>
    <row r="45" spans="1:15" x14ac:dyDescent="0.25">
      <c r="A45" s="66" t="str">
        <f>IF(COUNTA(DataColumns[[#This Row],[Column Label]:[Quality Code]])&gt;0,IF(MAX(A$11:A44)=0,3,MAX(A$11:A44)+1),"")</f>
        <v/>
      </c>
      <c r="B45" s="12"/>
      <c r="C45" s="27"/>
      <c r="D45" s="13"/>
      <c r="E45" s="13"/>
      <c r="F45" s="13"/>
      <c r="G45" s="13"/>
      <c r="H45" s="13"/>
      <c r="I45" s="13"/>
      <c r="J45" s="13"/>
      <c r="K45" s="13"/>
      <c r="L45" s="13"/>
      <c r="M45" s="13"/>
      <c r="N45" s="13"/>
      <c r="O45" s="46"/>
    </row>
    <row r="46" spans="1:15" x14ac:dyDescent="0.25">
      <c r="A46" s="66" t="str">
        <f>IF(COUNTA(DataColumns[[#This Row],[Column Label]:[Quality Code]])&gt;0,IF(MAX(A$11:A45)=0,3,MAX(A$11:A45)+1),"")</f>
        <v/>
      </c>
      <c r="B46" s="12"/>
      <c r="C46" s="27"/>
      <c r="D46" s="13"/>
      <c r="E46" s="13"/>
      <c r="F46" s="13"/>
      <c r="G46" s="13"/>
      <c r="H46" s="13"/>
      <c r="I46" s="13"/>
      <c r="J46" s="13"/>
      <c r="K46" s="13"/>
      <c r="L46" s="13"/>
      <c r="M46" s="13"/>
      <c r="N46" s="13"/>
      <c r="O46" s="46"/>
    </row>
    <row r="47" spans="1:15" x14ac:dyDescent="0.25">
      <c r="A47" s="66" t="str">
        <f>IF(COUNTA(DataColumns[[#This Row],[Column Label]:[Quality Code]])&gt;0,IF(MAX(A$11:A46)=0,3,MAX(A$11:A46)+1),"")</f>
        <v/>
      </c>
      <c r="B47" s="12"/>
      <c r="C47" s="27"/>
      <c r="D47" s="13"/>
      <c r="E47" s="13"/>
      <c r="F47" s="13"/>
      <c r="G47" s="13"/>
      <c r="H47" s="13"/>
      <c r="I47" s="13"/>
      <c r="J47" s="13"/>
      <c r="K47" s="13"/>
      <c r="L47" s="13"/>
      <c r="M47" s="13"/>
      <c r="N47" s="13"/>
      <c r="O47" s="46"/>
    </row>
    <row r="48" spans="1:15" x14ac:dyDescent="0.25">
      <c r="A48" s="66" t="str">
        <f>IF(COUNTA(DataColumns[[#This Row],[Column Label]:[Quality Code]])&gt;0,IF(MAX(A$11:A47)=0,3,MAX(A$11:A47)+1),"")</f>
        <v/>
      </c>
      <c r="B48" s="12"/>
      <c r="C48" s="27"/>
      <c r="D48" s="13"/>
      <c r="E48" s="13"/>
      <c r="F48" s="13"/>
      <c r="G48" s="13"/>
      <c r="H48" s="13"/>
      <c r="I48" s="13"/>
      <c r="J48" s="13"/>
      <c r="K48" s="13"/>
      <c r="L48" s="13"/>
      <c r="M48" s="13"/>
      <c r="N48" s="13"/>
      <c r="O48" s="46"/>
    </row>
    <row r="49" spans="1:15" x14ac:dyDescent="0.25">
      <c r="A49" s="66" t="str">
        <f>IF(COUNTA(DataColumns[[#This Row],[Column Label]:[Quality Code]])&gt;0,IF(MAX(A$11:A48)=0,3,MAX(A$11:A48)+1),"")</f>
        <v/>
      </c>
      <c r="B49" s="12"/>
      <c r="C49" s="27"/>
      <c r="D49" s="13"/>
      <c r="E49" s="13"/>
      <c r="F49" s="13"/>
      <c r="G49" s="13"/>
      <c r="H49" s="13"/>
      <c r="I49" s="13"/>
      <c r="J49" s="13"/>
      <c r="K49" s="13"/>
      <c r="L49" s="13"/>
      <c r="M49" s="13"/>
      <c r="N49" s="13"/>
      <c r="O49" s="46"/>
    </row>
    <row r="50" spans="1:15" x14ac:dyDescent="0.25">
      <c r="A50" s="66" t="str">
        <f>IF(COUNTA(DataColumns[[#This Row],[Column Label]:[Quality Code]])&gt;0,IF(MAX(A$11:A49)=0,3,MAX(A$11:A49)+1),"")</f>
        <v/>
      </c>
      <c r="B50" s="12"/>
      <c r="C50" s="27"/>
      <c r="D50" s="13"/>
      <c r="E50" s="13"/>
      <c r="F50" s="13"/>
      <c r="G50" s="13"/>
      <c r="H50" s="13"/>
      <c r="I50" s="13"/>
      <c r="J50" s="13"/>
      <c r="K50" s="13"/>
      <c r="L50" s="13"/>
      <c r="M50" s="13"/>
      <c r="N50" s="13"/>
      <c r="O50" s="46"/>
    </row>
    <row r="51" spans="1:15" x14ac:dyDescent="0.25">
      <c r="A51" s="66" t="str">
        <f>IF(COUNTA(DataColumns[[#This Row],[Column Label]:[Quality Code]])&gt;0,IF(MAX(A$11:A50)=0,3,MAX(A$11:A50)+1),"")</f>
        <v/>
      </c>
      <c r="B51" s="12"/>
      <c r="C51" s="27"/>
      <c r="D51" s="13"/>
      <c r="E51" s="13"/>
      <c r="F51" s="13"/>
      <c r="G51" s="13"/>
      <c r="H51" s="13"/>
      <c r="I51" s="13"/>
      <c r="J51" s="13"/>
      <c r="K51" s="13"/>
      <c r="L51" s="13"/>
      <c r="M51" s="13"/>
      <c r="N51" s="13"/>
      <c r="O51" s="46"/>
    </row>
    <row r="52" spans="1:15" x14ac:dyDescent="0.25">
      <c r="A52" s="66" t="str">
        <f>IF(COUNTA(DataColumns[[#This Row],[Column Label]:[Quality Code]])&gt;0,IF(MAX(A$11:A51)=0,3,MAX(A$11:A51)+1),"")</f>
        <v/>
      </c>
      <c r="B52" s="12"/>
      <c r="C52" s="27"/>
      <c r="D52" s="13"/>
      <c r="E52" s="13"/>
      <c r="F52" s="13"/>
      <c r="G52" s="13"/>
      <c r="H52" s="13"/>
      <c r="I52" s="13"/>
      <c r="J52" s="13"/>
      <c r="K52" s="13"/>
      <c r="L52" s="13"/>
      <c r="M52" s="13"/>
      <c r="N52" s="13"/>
      <c r="O52" s="46"/>
    </row>
    <row r="53" spans="1:15" x14ac:dyDescent="0.25">
      <c r="A53" s="66" t="str">
        <f>IF(COUNTA(DataColumns[[#This Row],[Column Label]:[Quality Code]])&gt;0,IF(MAX(A$11:A52)=0,3,MAX(A$11:A52)+1),"")</f>
        <v/>
      </c>
      <c r="B53" s="12"/>
      <c r="C53" s="27"/>
      <c r="D53" s="13"/>
      <c r="E53" s="13"/>
      <c r="F53" s="13"/>
      <c r="G53" s="13"/>
      <c r="H53" s="13"/>
      <c r="I53" s="13"/>
      <c r="J53" s="13"/>
      <c r="K53" s="13"/>
      <c r="L53" s="13"/>
      <c r="M53" s="13"/>
      <c r="N53" s="13"/>
      <c r="O53" s="46"/>
    </row>
    <row r="54" spans="1:15" x14ac:dyDescent="0.25">
      <c r="A54" s="66" t="str">
        <f>IF(COUNTA(DataColumns[[#This Row],[Column Label]:[Quality Code]])&gt;0,IF(MAX(A$11:A53)=0,3,MAX(A$11:A53)+1),"")</f>
        <v/>
      </c>
      <c r="B54" s="12"/>
      <c r="C54" s="27"/>
      <c r="D54" s="13"/>
      <c r="E54" s="13"/>
      <c r="F54" s="13"/>
      <c r="G54" s="13"/>
      <c r="H54" s="13"/>
      <c r="I54" s="13"/>
      <c r="J54" s="13"/>
      <c r="K54" s="13"/>
      <c r="L54" s="13"/>
      <c r="M54" s="13"/>
      <c r="N54" s="13"/>
      <c r="O54" s="46"/>
    </row>
    <row r="55" spans="1:15" x14ac:dyDescent="0.25">
      <c r="A55" s="66" t="str">
        <f>IF(COUNTA(DataColumns[[#This Row],[Column Label]:[Quality Code]])&gt;0,IF(MAX(A$11:A54)=0,3,MAX(A$11:A54)+1),"")</f>
        <v/>
      </c>
      <c r="B55" s="12"/>
      <c r="C55" s="27"/>
      <c r="D55" s="13"/>
      <c r="E55" s="13"/>
      <c r="F55" s="13"/>
      <c r="G55" s="13"/>
      <c r="H55" s="13"/>
      <c r="I55" s="13"/>
      <c r="J55" s="13"/>
      <c r="K55" s="13"/>
      <c r="L55" s="13"/>
      <c r="M55" s="13"/>
      <c r="N55" s="13"/>
      <c r="O55" s="46"/>
    </row>
    <row r="56" spans="1:15" x14ac:dyDescent="0.25">
      <c r="A56" s="66" t="str">
        <f>IF(COUNTA(DataColumns[[#This Row],[Column Label]:[Quality Code]])&gt;0,IF(MAX(A$11:A55)=0,3,MAX(A$11:A55)+1),"")</f>
        <v/>
      </c>
      <c r="B56" s="12"/>
      <c r="C56" s="27"/>
      <c r="D56" s="13"/>
      <c r="E56" s="13"/>
      <c r="F56" s="13"/>
      <c r="G56" s="13"/>
      <c r="H56" s="13"/>
      <c r="I56" s="13"/>
      <c r="J56" s="13"/>
      <c r="K56" s="13"/>
      <c r="L56" s="13"/>
      <c r="M56" s="13"/>
      <c r="N56" s="13"/>
      <c r="O56" s="46"/>
    </row>
    <row r="57" spans="1:15" x14ac:dyDescent="0.25">
      <c r="A57" s="66" t="str">
        <f>IF(COUNTA(DataColumns[[#This Row],[Column Label]:[Quality Code]])&gt;0,IF(MAX(A$11:A56)=0,3,MAX(A$11:A56)+1),"")</f>
        <v/>
      </c>
      <c r="B57" s="12"/>
      <c r="C57" s="27"/>
      <c r="D57" s="13"/>
      <c r="E57" s="13"/>
      <c r="F57" s="13"/>
      <c r="G57" s="13"/>
      <c r="H57" s="13"/>
      <c r="I57" s="13"/>
      <c r="J57" s="13"/>
      <c r="K57" s="13"/>
      <c r="L57" s="13"/>
      <c r="M57" s="13"/>
      <c r="N57" s="13"/>
      <c r="O57" s="46"/>
    </row>
    <row r="58" spans="1:15" x14ac:dyDescent="0.25">
      <c r="A58" s="66" t="str">
        <f>IF(COUNTA(DataColumns[[#This Row],[Column Label]:[Quality Code]])&gt;0,IF(MAX(A$11:A57)=0,3,MAX(A$11:A57)+1),"")</f>
        <v/>
      </c>
      <c r="B58" s="12"/>
      <c r="C58" s="27"/>
      <c r="D58" s="13"/>
      <c r="E58" s="13"/>
      <c r="F58" s="13"/>
      <c r="G58" s="13"/>
      <c r="H58" s="13"/>
      <c r="I58" s="13"/>
      <c r="J58" s="13"/>
      <c r="K58" s="13"/>
      <c r="L58" s="13"/>
      <c r="M58" s="13"/>
      <c r="N58" s="13"/>
      <c r="O58" s="46"/>
    </row>
    <row r="59" spans="1:15" x14ac:dyDescent="0.25">
      <c r="A59" s="66" t="str">
        <f>IF(COUNTA(DataColumns[[#This Row],[Column Label]:[Quality Code]])&gt;0,IF(MAX(A$11:A58)=0,3,MAX(A$11:A58)+1),"")</f>
        <v/>
      </c>
      <c r="B59" s="12"/>
      <c r="C59" s="27"/>
      <c r="D59" s="13"/>
      <c r="E59" s="13"/>
      <c r="F59" s="13"/>
      <c r="G59" s="13"/>
      <c r="H59" s="13"/>
      <c r="I59" s="13"/>
      <c r="J59" s="13"/>
      <c r="K59" s="13"/>
      <c r="L59" s="13"/>
      <c r="M59" s="13"/>
      <c r="N59" s="13"/>
      <c r="O59" s="46"/>
    </row>
    <row r="60" spans="1:15" x14ac:dyDescent="0.25">
      <c r="A60" s="66" t="str">
        <f>IF(COUNTA(DataColumns[[#This Row],[Column Label]:[Quality Code]])&gt;0,IF(MAX(A$11:A59)=0,3,MAX(A$11:A59)+1),"")</f>
        <v/>
      </c>
      <c r="B60" s="12"/>
      <c r="C60" s="27"/>
      <c r="D60" s="13"/>
      <c r="E60" s="13"/>
      <c r="F60" s="13"/>
      <c r="G60" s="13"/>
      <c r="H60" s="13"/>
      <c r="I60" s="13"/>
      <c r="J60" s="13"/>
      <c r="K60" s="13"/>
      <c r="L60" s="13"/>
      <c r="M60" s="13"/>
      <c r="N60" s="13"/>
      <c r="O60" s="46"/>
    </row>
    <row r="61" spans="1:15" x14ac:dyDescent="0.25">
      <c r="A61" s="66" t="str">
        <f>IF(COUNTA(DataColumns[[#This Row],[Column Label]:[Quality Code]])&gt;0,IF(MAX(A$11:A60)=0,3,MAX(A$11:A60)+1),"")</f>
        <v/>
      </c>
      <c r="B61" s="12"/>
      <c r="C61" s="27"/>
      <c r="D61" s="13"/>
      <c r="E61" s="13"/>
      <c r="F61" s="13"/>
      <c r="G61" s="13"/>
      <c r="H61" s="13"/>
      <c r="I61" s="13"/>
      <c r="J61" s="13"/>
      <c r="K61" s="13"/>
      <c r="L61" s="13"/>
      <c r="M61" s="13"/>
      <c r="N61" s="13"/>
      <c r="O61" s="46"/>
    </row>
    <row r="62" spans="1:15" x14ac:dyDescent="0.25">
      <c r="A62" s="66" t="str">
        <f>IF(COUNTA(DataColumns[[#This Row],[Column Label]:[Quality Code]])&gt;0,IF(MAX(A$11:A61)=0,3,MAX(A$11:A61)+1),"")</f>
        <v/>
      </c>
      <c r="B62" s="12"/>
      <c r="C62" s="27"/>
      <c r="D62" s="13"/>
      <c r="E62" s="13"/>
      <c r="F62" s="13"/>
      <c r="G62" s="13"/>
      <c r="H62" s="13"/>
      <c r="I62" s="13"/>
      <c r="J62" s="13"/>
      <c r="K62" s="13"/>
      <c r="L62" s="13"/>
      <c r="M62" s="13"/>
      <c r="N62" s="13"/>
      <c r="O62" s="46"/>
    </row>
    <row r="63" spans="1:15" x14ac:dyDescent="0.25">
      <c r="A63" s="66" t="str">
        <f>IF(COUNTA(DataColumns[[#This Row],[Column Label]:[Quality Code]])&gt;0,IF(MAX(A$11:A62)=0,3,MAX(A$11:A62)+1),"")</f>
        <v/>
      </c>
      <c r="B63" s="12"/>
      <c r="C63" s="27"/>
      <c r="D63" s="13"/>
      <c r="E63" s="13"/>
      <c r="F63" s="13"/>
      <c r="G63" s="13"/>
      <c r="H63" s="13"/>
      <c r="I63" s="13"/>
      <c r="J63" s="13"/>
      <c r="K63" s="13"/>
      <c r="L63" s="13"/>
      <c r="M63" s="13"/>
      <c r="N63" s="13"/>
      <c r="O63" s="46"/>
    </row>
    <row r="64" spans="1:15" x14ac:dyDescent="0.25">
      <c r="A64" s="66" t="str">
        <f>IF(COUNTA(DataColumns[[#This Row],[Column Label]:[Quality Code]])&gt;0,IF(MAX(A$11:A63)=0,3,MAX(A$11:A63)+1),"")</f>
        <v/>
      </c>
      <c r="B64" s="12"/>
      <c r="C64" s="27"/>
      <c r="D64" s="13"/>
      <c r="E64" s="13"/>
      <c r="F64" s="13"/>
      <c r="G64" s="13"/>
      <c r="H64" s="13"/>
      <c r="I64" s="13"/>
      <c r="J64" s="13"/>
      <c r="K64" s="13"/>
      <c r="L64" s="13"/>
      <c r="M64" s="13"/>
      <c r="N64" s="13"/>
      <c r="O64" s="46"/>
    </row>
    <row r="65" spans="1:15" x14ac:dyDescent="0.25">
      <c r="A65" s="66" t="str">
        <f>IF(COUNTA(DataColumns[[#This Row],[Column Label]:[Quality Code]])&gt;0,IF(MAX(A$11:A64)=0,3,MAX(A$11:A64)+1),"")</f>
        <v/>
      </c>
      <c r="B65" s="12"/>
      <c r="C65" s="27"/>
      <c r="D65" s="13"/>
      <c r="E65" s="13"/>
      <c r="F65" s="13"/>
      <c r="G65" s="13"/>
      <c r="H65" s="13"/>
      <c r="I65" s="13"/>
      <c r="J65" s="13"/>
      <c r="K65" s="13"/>
      <c r="L65" s="13"/>
      <c r="M65" s="13"/>
      <c r="N65" s="13"/>
      <c r="O65" s="46"/>
    </row>
    <row r="66" spans="1:15" x14ac:dyDescent="0.25">
      <c r="A66" s="66" t="str">
        <f>IF(COUNTA(DataColumns[[#This Row],[Column Label]:[Quality Code]])&gt;0,IF(MAX(A$11:A65)=0,3,MAX(A$11:A65)+1),"")</f>
        <v/>
      </c>
      <c r="B66" s="12"/>
      <c r="C66" s="27"/>
      <c r="D66" s="13"/>
      <c r="E66" s="13"/>
      <c r="F66" s="13"/>
      <c r="G66" s="13"/>
      <c r="H66" s="13"/>
      <c r="I66" s="13"/>
      <c r="J66" s="13"/>
      <c r="K66" s="13"/>
      <c r="L66" s="13"/>
      <c r="M66" s="13"/>
      <c r="N66" s="13"/>
      <c r="O66" s="46"/>
    </row>
    <row r="67" spans="1:15" x14ac:dyDescent="0.25">
      <c r="A67" s="66" t="str">
        <f>IF(COUNTA(DataColumns[[#This Row],[Column Label]:[Quality Code]])&gt;0,IF(MAX(A$11:A66)=0,3,MAX(A$11:A66)+1),"")</f>
        <v/>
      </c>
      <c r="B67" s="12"/>
      <c r="C67" s="27"/>
      <c r="D67" s="13"/>
      <c r="E67" s="13"/>
      <c r="F67" s="13"/>
      <c r="G67" s="13"/>
      <c r="H67" s="13"/>
      <c r="I67" s="13"/>
      <c r="J67" s="13"/>
      <c r="K67" s="13"/>
      <c r="L67" s="13"/>
      <c r="M67" s="13"/>
      <c r="N67" s="13"/>
      <c r="O67" s="46"/>
    </row>
    <row r="68" spans="1:15" x14ac:dyDescent="0.25">
      <c r="A68" s="66" t="str">
        <f>IF(COUNTA(DataColumns[[#This Row],[Column Label]:[Quality Code]])&gt;0,IF(MAX(A$11:A67)=0,3,MAX(A$11:A67)+1),"")</f>
        <v/>
      </c>
      <c r="B68" s="12"/>
      <c r="C68" s="27"/>
      <c r="D68" s="13"/>
      <c r="E68" s="13"/>
      <c r="F68" s="13"/>
      <c r="G68" s="13"/>
      <c r="H68" s="13"/>
      <c r="I68" s="13"/>
      <c r="J68" s="13"/>
      <c r="K68" s="13"/>
      <c r="L68" s="13"/>
      <c r="M68" s="13"/>
      <c r="N68" s="13"/>
      <c r="O68" s="46"/>
    </row>
    <row r="69" spans="1:15" x14ac:dyDescent="0.25">
      <c r="A69" s="66" t="str">
        <f>IF(COUNTA(DataColumns[[#This Row],[Column Label]:[Quality Code]])&gt;0,IF(MAX(A$11:A68)=0,3,MAX(A$11:A68)+1),"")</f>
        <v/>
      </c>
      <c r="B69" s="12"/>
      <c r="C69" s="27"/>
      <c r="D69" s="13"/>
      <c r="E69" s="13"/>
      <c r="F69" s="13"/>
      <c r="G69" s="13"/>
      <c r="H69" s="13"/>
      <c r="I69" s="13"/>
      <c r="J69" s="13"/>
      <c r="K69" s="13"/>
      <c r="L69" s="13"/>
      <c r="M69" s="13"/>
      <c r="N69" s="13"/>
      <c r="O69" s="46"/>
    </row>
    <row r="70" spans="1:15" x14ac:dyDescent="0.25">
      <c r="A70" s="66" t="str">
        <f>IF(COUNTA(DataColumns[[#This Row],[Column Label]:[Quality Code]])&gt;0,IF(MAX(A$11:A69)=0,3,MAX(A$11:A69)+1),"")</f>
        <v/>
      </c>
      <c r="B70" s="12"/>
      <c r="C70" s="27"/>
      <c r="D70" s="13"/>
      <c r="E70" s="13"/>
      <c r="F70" s="13"/>
      <c r="G70" s="13"/>
      <c r="H70" s="13"/>
      <c r="I70" s="13"/>
      <c r="J70" s="13"/>
      <c r="K70" s="13"/>
      <c r="L70" s="13"/>
      <c r="M70" s="13"/>
      <c r="N70" s="13"/>
      <c r="O70" s="46"/>
    </row>
    <row r="71" spans="1:15" x14ac:dyDescent="0.25">
      <c r="A71" s="66" t="str">
        <f>IF(COUNTA(DataColumns[[#This Row],[Column Label]:[Quality Code]])&gt;0,IF(MAX(A$11:A70)=0,3,MAX(A$11:A70)+1),"")</f>
        <v/>
      </c>
      <c r="B71" s="12"/>
      <c r="C71" s="27"/>
      <c r="D71" s="13"/>
      <c r="E71" s="13"/>
      <c r="F71" s="13"/>
      <c r="G71" s="13"/>
      <c r="H71" s="13"/>
      <c r="I71" s="13"/>
      <c r="J71" s="13"/>
      <c r="K71" s="13"/>
      <c r="L71" s="13"/>
      <c r="M71" s="13"/>
      <c r="N71" s="13"/>
      <c r="O71" s="46"/>
    </row>
    <row r="72" spans="1:15" x14ac:dyDescent="0.25">
      <c r="A72" s="66" t="str">
        <f>IF(COUNTA(DataColumns[[#This Row],[Column Label]:[Quality Code]])&gt;0,IF(MAX(A$11:A71)=0,3,MAX(A$11:A71)+1),"")</f>
        <v/>
      </c>
      <c r="B72" s="12"/>
      <c r="C72" s="27"/>
      <c r="D72" s="13"/>
      <c r="E72" s="13"/>
      <c r="F72" s="13"/>
      <c r="G72" s="13"/>
      <c r="H72" s="13"/>
      <c r="I72" s="13"/>
      <c r="J72" s="13"/>
      <c r="K72" s="13"/>
      <c r="L72" s="13"/>
      <c r="M72" s="13"/>
      <c r="N72" s="13"/>
      <c r="O72" s="46"/>
    </row>
    <row r="73" spans="1:15" x14ac:dyDescent="0.25">
      <c r="A73" s="66" t="str">
        <f>IF(COUNTA(DataColumns[[#This Row],[Column Label]:[Quality Code]])&gt;0,IF(MAX(A$11:A72)=0,3,MAX(A$11:A72)+1),"")</f>
        <v/>
      </c>
      <c r="B73" s="12"/>
      <c r="C73" s="27"/>
      <c r="D73" s="13"/>
      <c r="E73" s="13"/>
      <c r="F73" s="13"/>
      <c r="G73" s="13"/>
      <c r="H73" s="13"/>
      <c r="I73" s="13"/>
      <c r="J73" s="13"/>
      <c r="K73" s="13"/>
      <c r="L73" s="13"/>
      <c r="M73" s="13"/>
      <c r="N73" s="13"/>
      <c r="O73" s="46"/>
    </row>
    <row r="74" spans="1:15" x14ac:dyDescent="0.25">
      <c r="A74" s="66" t="str">
        <f>IF(COUNTA(DataColumns[[#This Row],[Column Label]:[Quality Code]])&gt;0,IF(MAX(A$11:A73)=0,3,MAX(A$11:A73)+1),"")</f>
        <v/>
      </c>
      <c r="B74" s="12"/>
      <c r="C74" s="27"/>
      <c r="D74" s="13"/>
      <c r="E74" s="13"/>
      <c r="F74" s="13"/>
      <c r="G74" s="13"/>
      <c r="H74" s="13"/>
      <c r="I74" s="13"/>
      <c r="J74" s="13"/>
      <c r="K74" s="13"/>
      <c r="L74" s="13"/>
      <c r="M74" s="13"/>
      <c r="N74" s="13"/>
      <c r="O74" s="46"/>
    </row>
    <row r="75" spans="1:15" x14ac:dyDescent="0.25">
      <c r="A75" s="66" t="str">
        <f>IF(COUNTA(DataColumns[[#This Row],[Column Label]:[Quality Code]])&gt;0,IF(MAX(A$11:A74)=0,3,MAX(A$11:A74)+1),"")</f>
        <v/>
      </c>
      <c r="B75" s="12"/>
      <c r="C75" s="27"/>
      <c r="D75" s="13"/>
      <c r="E75" s="13"/>
      <c r="F75" s="13"/>
      <c r="G75" s="13"/>
      <c r="H75" s="13"/>
      <c r="I75" s="13"/>
      <c r="J75" s="13"/>
      <c r="K75" s="13"/>
      <c r="L75" s="13"/>
      <c r="M75" s="13"/>
      <c r="N75" s="13"/>
      <c r="O75" s="46"/>
    </row>
    <row r="76" spans="1:15" x14ac:dyDescent="0.25">
      <c r="A76" s="66" t="str">
        <f>IF(COUNTA(DataColumns[[#This Row],[Column Label]:[Quality Code]])&gt;0,IF(MAX(A$11:A75)=0,3,MAX(A$11:A75)+1),"")</f>
        <v/>
      </c>
      <c r="B76" s="12"/>
      <c r="C76" s="27"/>
      <c r="D76" s="13"/>
      <c r="E76" s="13"/>
      <c r="F76" s="13"/>
      <c r="G76" s="13"/>
      <c r="H76" s="13"/>
      <c r="I76" s="13"/>
      <c r="J76" s="13"/>
      <c r="K76" s="13"/>
      <c r="L76" s="13"/>
      <c r="M76" s="13"/>
      <c r="N76" s="13"/>
      <c r="O76" s="46"/>
    </row>
    <row r="77" spans="1:15" x14ac:dyDescent="0.25">
      <c r="A77" s="66" t="str">
        <f>IF(COUNTA(DataColumns[[#This Row],[Column Label]:[Quality Code]])&gt;0,IF(MAX(A$11:A76)=0,3,MAX(A$11:A76)+1),"")</f>
        <v/>
      </c>
      <c r="B77" s="12"/>
      <c r="C77" s="27"/>
      <c r="D77" s="13"/>
      <c r="E77" s="13"/>
      <c r="F77" s="13"/>
      <c r="G77" s="13"/>
      <c r="H77" s="13"/>
      <c r="I77" s="13"/>
      <c r="J77" s="13"/>
      <c r="K77" s="13"/>
      <c r="L77" s="13"/>
      <c r="M77" s="13"/>
      <c r="N77" s="13"/>
      <c r="O77" s="46"/>
    </row>
    <row r="78" spans="1:15" x14ac:dyDescent="0.25">
      <c r="A78" s="66" t="str">
        <f>IF(COUNTA(DataColumns[[#This Row],[Column Label]:[Quality Code]])&gt;0,IF(MAX(A$11:A77)=0,3,MAX(A$11:A77)+1),"")</f>
        <v/>
      </c>
      <c r="B78" s="12"/>
      <c r="C78" s="27"/>
      <c r="D78" s="13"/>
      <c r="E78" s="13"/>
      <c r="F78" s="13"/>
      <c r="G78" s="13"/>
      <c r="H78" s="13"/>
      <c r="I78" s="13"/>
      <c r="J78" s="13"/>
      <c r="K78" s="13"/>
      <c r="L78" s="13"/>
      <c r="M78" s="13"/>
      <c r="N78" s="13"/>
      <c r="O78" s="46"/>
    </row>
    <row r="79" spans="1:15" x14ac:dyDescent="0.25">
      <c r="A79" s="66" t="str">
        <f>IF(COUNTA(DataColumns[[#This Row],[Column Label]:[Quality Code]])&gt;0,IF(MAX(A$11:A78)=0,3,MAX(A$11:A78)+1),"")</f>
        <v/>
      </c>
      <c r="B79" s="12"/>
      <c r="C79" s="27"/>
      <c r="D79" s="13"/>
      <c r="E79" s="13"/>
      <c r="F79" s="13"/>
      <c r="G79" s="13"/>
      <c r="H79" s="13"/>
      <c r="I79" s="13"/>
      <c r="J79" s="13"/>
      <c r="K79" s="13"/>
      <c r="L79" s="13"/>
      <c r="M79" s="13"/>
      <c r="N79" s="13"/>
      <c r="O79" s="46"/>
    </row>
    <row r="80" spans="1:15" x14ac:dyDescent="0.25">
      <c r="A80" s="66" t="str">
        <f>IF(COUNTA(DataColumns[[#This Row],[Column Label]:[Quality Code]])&gt;0,IF(MAX(A$11:A79)=0,3,MAX(A$11:A79)+1),"")</f>
        <v/>
      </c>
      <c r="B80" s="12"/>
      <c r="C80" s="27"/>
      <c r="D80" s="13"/>
      <c r="E80" s="13"/>
      <c r="F80" s="13"/>
      <c r="G80" s="13"/>
      <c r="H80" s="13"/>
      <c r="I80" s="13"/>
      <c r="J80" s="13"/>
      <c r="K80" s="13"/>
      <c r="L80" s="13"/>
      <c r="M80" s="13"/>
      <c r="N80" s="13"/>
      <c r="O80" s="46"/>
    </row>
    <row r="81" spans="1:15" x14ac:dyDescent="0.25">
      <c r="A81" s="66" t="str">
        <f>IF(COUNTA(DataColumns[[#This Row],[Column Label]:[Quality Code]])&gt;0,IF(MAX(A$11:A80)=0,3,MAX(A$11:A80)+1),"")</f>
        <v/>
      </c>
      <c r="B81" s="12"/>
      <c r="C81" s="27"/>
      <c r="D81" s="13"/>
      <c r="E81" s="13"/>
      <c r="F81" s="13"/>
      <c r="G81" s="13"/>
      <c r="H81" s="13"/>
      <c r="I81" s="13"/>
      <c r="J81" s="13"/>
      <c r="K81" s="13"/>
      <c r="L81" s="13"/>
      <c r="M81" s="13"/>
      <c r="N81" s="13"/>
      <c r="O81" s="46"/>
    </row>
    <row r="82" spans="1:15" x14ac:dyDescent="0.25">
      <c r="A82" s="66" t="str">
        <f>IF(COUNTA(DataColumns[[#This Row],[Column Label]:[Quality Code]])&gt;0,IF(MAX(A$11:A81)=0,3,MAX(A$11:A81)+1),"")</f>
        <v/>
      </c>
      <c r="B82" s="12"/>
      <c r="C82" s="27"/>
      <c r="D82" s="13"/>
      <c r="E82" s="13"/>
      <c r="F82" s="13"/>
      <c r="G82" s="13"/>
      <c r="H82" s="13"/>
      <c r="I82" s="13"/>
      <c r="J82" s="13"/>
      <c r="K82" s="13"/>
      <c r="L82" s="13"/>
      <c r="M82" s="13"/>
      <c r="N82" s="13"/>
      <c r="O82" s="46"/>
    </row>
    <row r="83" spans="1:15" x14ac:dyDescent="0.25">
      <c r="A83" s="66" t="str">
        <f>IF(COUNTA(DataColumns[[#This Row],[Column Label]:[Quality Code]])&gt;0,IF(MAX(A$11:A82)=0,3,MAX(A$11:A82)+1),"")</f>
        <v/>
      </c>
      <c r="B83" s="12"/>
      <c r="C83" s="27"/>
      <c r="D83" s="13"/>
      <c r="E83" s="13"/>
      <c r="F83" s="13"/>
      <c r="G83" s="13"/>
      <c r="H83" s="13"/>
      <c r="I83" s="13"/>
      <c r="J83" s="13"/>
      <c r="K83" s="13"/>
      <c r="L83" s="13"/>
      <c r="M83" s="13"/>
      <c r="N83" s="13"/>
      <c r="O83" s="46"/>
    </row>
    <row r="84" spans="1:15" x14ac:dyDescent="0.25">
      <c r="A84" s="66" t="str">
        <f>IF(COUNTA(DataColumns[[#This Row],[Column Label]:[Quality Code]])&gt;0,IF(MAX(A$11:A83)=0,3,MAX(A$11:A83)+1),"")</f>
        <v/>
      </c>
      <c r="B84" s="12"/>
      <c r="C84" s="27"/>
      <c r="D84" s="13"/>
      <c r="E84" s="13"/>
      <c r="F84" s="13"/>
      <c r="G84" s="13"/>
      <c r="H84" s="13"/>
      <c r="I84" s="13"/>
      <c r="J84" s="13"/>
      <c r="K84" s="13"/>
      <c r="L84" s="13"/>
      <c r="M84" s="13"/>
      <c r="N84" s="13"/>
      <c r="O84" s="46"/>
    </row>
    <row r="85" spans="1:15" x14ac:dyDescent="0.25">
      <c r="A85" s="66" t="str">
        <f>IF(COUNTA(DataColumns[[#This Row],[Column Label]:[Quality Code]])&gt;0,IF(MAX(A$11:A84)=0,3,MAX(A$11:A84)+1),"")</f>
        <v/>
      </c>
      <c r="B85" s="12"/>
      <c r="C85" s="27"/>
      <c r="D85" s="13"/>
      <c r="E85" s="13"/>
      <c r="F85" s="13"/>
      <c r="G85" s="13"/>
      <c r="H85" s="13"/>
      <c r="I85" s="13"/>
      <c r="J85" s="13"/>
      <c r="K85" s="13"/>
      <c r="L85" s="13"/>
      <c r="M85" s="13"/>
      <c r="N85" s="13"/>
      <c r="O85" s="46"/>
    </row>
    <row r="86" spans="1:15" x14ac:dyDescent="0.25">
      <c r="A86" s="66" t="str">
        <f>IF(COUNTA(DataColumns[[#This Row],[Column Label]:[Quality Code]])&gt;0,IF(MAX(A$11:A85)=0,3,MAX(A$11:A85)+1),"")</f>
        <v/>
      </c>
      <c r="B86" s="12"/>
      <c r="C86" s="27"/>
      <c r="D86" s="13"/>
      <c r="E86" s="13"/>
      <c r="F86" s="13"/>
      <c r="G86" s="13"/>
      <c r="H86" s="13"/>
      <c r="I86" s="13"/>
      <c r="J86" s="13"/>
      <c r="K86" s="13"/>
      <c r="L86" s="13"/>
      <c r="M86" s="13"/>
      <c r="N86" s="13"/>
      <c r="O86" s="46"/>
    </row>
    <row r="87" spans="1:15" x14ac:dyDescent="0.25">
      <c r="A87" s="66" t="str">
        <f>IF(COUNTA(DataColumns[[#This Row],[Column Label]:[Quality Code]])&gt;0,IF(MAX(A$11:A86)=0,3,MAX(A$11:A86)+1),"")</f>
        <v/>
      </c>
      <c r="B87" s="12"/>
      <c r="C87" s="27"/>
      <c r="D87" s="13"/>
      <c r="E87" s="13"/>
      <c r="F87" s="13"/>
      <c r="G87" s="13"/>
      <c r="H87" s="13"/>
      <c r="I87" s="13"/>
      <c r="J87" s="13"/>
      <c r="K87" s="13"/>
      <c r="L87" s="13"/>
      <c r="M87" s="13"/>
      <c r="N87" s="13"/>
      <c r="O87" s="46"/>
    </row>
    <row r="88" spans="1:15" x14ac:dyDescent="0.25">
      <c r="A88" s="66" t="str">
        <f>IF(COUNTA(DataColumns[[#This Row],[Column Label]:[Quality Code]])&gt;0,IF(MAX(A$11:A87)=0,3,MAX(A$11:A87)+1),"")</f>
        <v/>
      </c>
      <c r="B88" s="12"/>
      <c r="C88" s="27"/>
      <c r="D88" s="13"/>
      <c r="E88" s="13"/>
      <c r="F88" s="13"/>
      <c r="G88" s="13"/>
      <c r="H88" s="13"/>
      <c r="I88" s="13"/>
      <c r="J88" s="13"/>
      <c r="K88" s="13"/>
      <c r="L88" s="13"/>
      <c r="M88" s="13"/>
      <c r="N88" s="13"/>
      <c r="O88" s="46"/>
    </row>
    <row r="89" spans="1:15" x14ac:dyDescent="0.25">
      <c r="A89" s="66" t="str">
        <f>IF(COUNTA(DataColumns[[#This Row],[Column Label]:[Quality Code]])&gt;0,IF(MAX(A$11:A88)=0,3,MAX(A$11:A88)+1),"")</f>
        <v/>
      </c>
      <c r="B89" s="12"/>
      <c r="C89" s="27"/>
      <c r="D89" s="13"/>
      <c r="E89" s="13"/>
      <c r="F89" s="13"/>
      <c r="G89" s="13"/>
      <c r="H89" s="13"/>
      <c r="I89" s="13"/>
      <c r="J89" s="13"/>
      <c r="K89" s="13"/>
      <c r="L89" s="13"/>
      <c r="M89" s="13"/>
      <c r="N89" s="13"/>
      <c r="O89" s="46"/>
    </row>
    <row r="90" spans="1:15" x14ac:dyDescent="0.25">
      <c r="A90" s="66" t="str">
        <f>IF(COUNTA(DataColumns[[#This Row],[Column Label]:[Quality Code]])&gt;0,IF(MAX(A$11:A89)=0,3,MAX(A$11:A89)+1),"")</f>
        <v/>
      </c>
      <c r="B90" s="12"/>
      <c r="C90" s="27"/>
      <c r="D90" s="13"/>
      <c r="E90" s="13"/>
      <c r="F90" s="13"/>
      <c r="G90" s="13"/>
      <c r="H90" s="13"/>
      <c r="I90" s="13"/>
      <c r="J90" s="13"/>
      <c r="K90" s="13"/>
      <c r="L90" s="13"/>
      <c r="M90" s="13"/>
      <c r="N90" s="13"/>
      <c r="O90" s="46"/>
    </row>
    <row r="91" spans="1:15" x14ac:dyDescent="0.25">
      <c r="A91" s="66" t="str">
        <f>IF(COUNTA(DataColumns[[#This Row],[Column Label]:[Quality Code]])&gt;0,IF(MAX(A$11:A90)=0,3,MAX(A$11:A90)+1),"")</f>
        <v/>
      </c>
      <c r="B91" s="12"/>
      <c r="C91" s="27"/>
      <c r="D91" s="13"/>
      <c r="E91" s="13"/>
      <c r="F91" s="13"/>
      <c r="G91" s="13"/>
      <c r="H91" s="13"/>
      <c r="I91" s="13"/>
      <c r="J91" s="13"/>
      <c r="K91" s="13"/>
      <c r="L91" s="13"/>
      <c r="M91" s="13"/>
      <c r="N91" s="13"/>
      <c r="O91" s="46"/>
    </row>
    <row r="92" spans="1:15" x14ac:dyDescent="0.25">
      <c r="A92" s="66" t="str">
        <f>IF(COUNTA(DataColumns[[#This Row],[Column Label]:[Quality Code]])&gt;0,IF(MAX(A$11:A91)=0,3,MAX(A$11:A91)+1),"")</f>
        <v/>
      </c>
      <c r="B92" s="12"/>
      <c r="C92" s="27"/>
      <c r="D92" s="13"/>
      <c r="E92" s="13"/>
      <c r="F92" s="13"/>
      <c r="G92" s="13"/>
      <c r="H92" s="13"/>
      <c r="I92" s="13"/>
      <c r="J92" s="13"/>
      <c r="K92" s="13"/>
      <c r="L92" s="13"/>
      <c r="M92" s="13"/>
      <c r="N92" s="13"/>
      <c r="O92" s="46"/>
    </row>
    <row r="93" spans="1:15" x14ac:dyDescent="0.25">
      <c r="A93" s="66" t="str">
        <f>IF(COUNTA(DataColumns[[#This Row],[Column Label]:[Quality Code]])&gt;0,IF(MAX(A$11:A92)=0,3,MAX(A$11:A92)+1),"")</f>
        <v/>
      </c>
      <c r="B93" s="12"/>
      <c r="C93" s="27"/>
      <c r="D93" s="13"/>
      <c r="E93" s="13"/>
      <c r="F93" s="13"/>
      <c r="G93" s="13"/>
      <c r="H93" s="13"/>
      <c r="I93" s="13"/>
      <c r="J93" s="13"/>
      <c r="K93" s="13"/>
      <c r="L93" s="13"/>
      <c r="M93" s="13"/>
      <c r="N93" s="13"/>
      <c r="O93" s="46"/>
    </row>
    <row r="94" spans="1:15" x14ac:dyDescent="0.25">
      <c r="A94" s="66" t="str">
        <f>IF(COUNTA(DataColumns[[#This Row],[Column Label]:[Quality Code]])&gt;0,IF(MAX(A$11:A93)=0,3,MAX(A$11:A93)+1),"")</f>
        <v/>
      </c>
      <c r="B94" s="12"/>
      <c r="C94" s="27"/>
      <c r="D94" s="13"/>
      <c r="E94" s="13"/>
      <c r="F94" s="13"/>
      <c r="G94" s="13"/>
      <c r="H94" s="13"/>
      <c r="I94" s="13"/>
      <c r="J94" s="13"/>
      <c r="K94" s="13"/>
      <c r="L94" s="13"/>
      <c r="M94" s="13"/>
      <c r="N94" s="13"/>
      <c r="O94" s="46"/>
    </row>
    <row r="95" spans="1:15" x14ac:dyDescent="0.25">
      <c r="A95" s="66" t="str">
        <f>IF(COUNTA(DataColumns[[#This Row],[Column Label]:[Quality Code]])&gt;0,IF(MAX(A$11:A94)=0,3,MAX(A$11:A94)+1),"")</f>
        <v/>
      </c>
      <c r="B95" s="12"/>
      <c r="C95" s="27"/>
      <c r="D95" s="13"/>
      <c r="E95" s="13"/>
      <c r="F95" s="13"/>
      <c r="G95" s="13"/>
      <c r="H95" s="13"/>
      <c r="I95" s="13"/>
      <c r="J95" s="13"/>
      <c r="K95" s="13"/>
      <c r="L95" s="13"/>
      <c r="M95" s="13"/>
      <c r="N95" s="13"/>
      <c r="O95" s="46"/>
    </row>
    <row r="96" spans="1:15" x14ac:dyDescent="0.25">
      <c r="A96" s="66" t="str">
        <f>IF(COUNTA(DataColumns[[#This Row],[Column Label]:[Quality Code]])&gt;0,IF(MAX(A$11:A95)=0,3,MAX(A$11:A95)+1),"")</f>
        <v/>
      </c>
      <c r="B96" s="12"/>
      <c r="C96" s="27"/>
      <c r="D96" s="13"/>
      <c r="E96" s="13"/>
      <c r="F96" s="13"/>
      <c r="G96" s="13"/>
      <c r="H96" s="13"/>
      <c r="I96" s="13"/>
      <c r="J96" s="13"/>
      <c r="K96" s="13"/>
      <c r="L96" s="13"/>
      <c r="M96" s="13"/>
      <c r="N96" s="13"/>
      <c r="O96" s="46"/>
    </row>
    <row r="97" spans="1:15" x14ac:dyDescent="0.25">
      <c r="A97" s="66" t="str">
        <f>IF(COUNTA(DataColumns[[#This Row],[Column Label]:[Quality Code]])&gt;0,IF(MAX(A$11:A96)=0,3,MAX(A$11:A96)+1),"")</f>
        <v/>
      </c>
      <c r="B97" s="12"/>
      <c r="C97" s="27"/>
      <c r="D97" s="13"/>
      <c r="E97" s="13"/>
      <c r="F97" s="13"/>
      <c r="G97" s="13"/>
      <c r="H97" s="13"/>
      <c r="I97" s="13"/>
      <c r="J97" s="13"/>
      <c r="K97" s="13"/>
      <c r="L97" s="13"/>
      <c r="M97" s="13"/>
      <c r="N97" s="13"/>
      <c r="O97" s="46"/>
    </row>
    <row r="98" spans="1:15" ht="15.75" thickBot="1" x14ac:dyDescent="0.3">
      <c r="A98" s="68" t="str">
        <f>IF(COUNTA(DataColumns[[#This Row],[Column Label]:[Quality Code]])&gt;0,IF(MAX(A$11:A97)=0,3,MAX(A$11:A97)+1),"")</f>
        <v/>
      </c>
      <c r="B98" s="17"/>
      <c r="C98" s="30"/>
      <c r="D98" s="18"/>
      <c r="E98" s="18"/>
      <c r="F98" s="18"/>
      <c r="G98" s="18"/>
      <c r="H98" s="18"/>
      <c r="I98" s="18"/>
      <c r="J98" s="18"/>
      <c r="K98" s="18"/>
      <c r="L98" s="18"/>
      <c r="M98" s="18"/>
      <c r="N98" s="18"/>
      <c r="O98" s="48"/>
    </row>
  </sheetData>
  <sheetProtection password="CA31" sheet="1" objects="1" scenarios="1" formatColumns="0" formatRows="0" insertRows="0" insertHyperlinks="0" deleteRows="0"/>
  <mergeCells count="1">
    <mergeCell ref="A10:O10"/>
  </mergeCells>
  <dataValidations count="9">
    <dataValidation type="list" allowBlank="1" showInputMessage="1" showErrorMessage="1" sqref="D12:D98">
      <formula1>FeatureCodes</formula1>
    </dataValidation>
    <dataValidation type="list" allowBlank="1" showInputMessage="1" showErrorMessage="1" sqref="E12:E98">
      <formula1>MethodCodes</formula1>
    </dataValidation>
    <dataValidation type="list" allowBlank="1" showInputMessage="1" showErrorMessage="1" sqref="F12:F98">
      <formula1>ResultTypeCV</formula1>
    </dataValidation>
    <dataValidation type="list" allowBlank="1" showInputMessage="1" showErrorMessage="1" sqref="G12:G98">
      <formula1>VariableCodes</formula1>
    </dataValidation>
    <dataValidation type="list" allowBlank="1" showInputMessage="1" showErrorMessage="1" sqref="I12:I98">
      <formula1>ProcessingLevelCodes</formula1>
    </dataValidation>
    <dataValidation type="list" allowBlank="1" showInputMessage="1" showErrorMessage="1" sqref="J12:J98">
      <formula1>SampledMediumCV</formula1>
    </dataValidation>
    <dataValidation type="list" allowBlank="1" showInputMessage="1" showErrorMessage="1" sqref="M12:M98">
      <formula1>AggregationStatisticCV</formula1>
    </dataValidation>
    <dataValidation type="list" allowBlank="1" showInputMessage="1" showErrorMessage="1" sqref="N12:N98">
      <formula1>CensorCodeCV</formula1>
    </dataValidation>
    <dataValidation type="list" allowBlank="1" showInputMessage="1" showErrorMessage="1" sqref="O12:O98">
      <formula1>QualityCodeCV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9</xdr:col>
                    <xdr:colOff>76200</xdr:colOff>
                    <xdr:row>2</xdr:row>
                    <xdr:rowOff>47625</xdr:rowOff>
                  </from>
                  <to>
                    <xdr:col>10</xdr:col>
                    <xdr:colOff>1066800</xdr:colOff>
                    <xdr:row>4</xdr:row>
                    <xdr:rowOff>123825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
  <sheetViews>
    <sheetView workbookViewId="0">
      <selection sqref="A1:XFD1048576"/>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150</v>
      </c>
      <c r="B1" s="4" t="s">
        <v>1213</v>
      </c>
      <c r="C1" s="4" t="s">
        <v>151</v>
      </c>
      <c r="D1" s="4" t="s">
        <v>152</v>
      </c>
      <c r="E1" s="4" t="s">
        <v>153</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topLeftCell="AC1" workbookViewId="0">
      <selection activeCell="A8" sqref="A8:XFD8"/>
    </sheetView>
  </sheetViews>
  <sheetFormatPr defaultColWidth="8.85546875" defaultRowHeight="15" x14ac:dyDescent="0.25"/>
  <cols>
    <col min="1" max="1" width="12" style="7" bestFit="1" customWidth="1"/>
    <col min="2" max="2" width="11.28515625" style="7" customWidth="1"/>
    <col min="3" max="3" width="18.42578125" style="7" customWidth="1"/>
    <col min="4" max="4" width="16.28515625" style="7" customWidth="1"/>
    <col min="5" max="5" width="29.140625" style="7" customWidth="1"/>
    <col min="6" max="6" width="67.7109375" style="7" customWidth="1"/>
    <col min="7" max="7" width="13" style="7" customWidth="1"/>
    <col min="8" max="8" width="32.28515625" style="7" customWidth="1"/>
    <col min="9" max="9" width="15.7109375" style="7" customWidth="1"/>
    <col min="10" max="11" width="23.28515625" style="7" customWidth="1"/>
    <col min="12" max="12" width="15.7109375" style="7" customWidth="1"/>
    <col min="13" max="13" width="17.7109375" style="7" customWidth="1"/>
    <col min="14" max="14" width="25.7109375" style="7" customWidth="1"/>
    <col min="15" max="15" width="20.7109375" style="7" customWidth="1"/>
    <col min="16" max="16" width="34.28515625" style="7" customWidth="1"/>
    <col min="17" max="17" width="21.42578125" style="7" customWidth="1"/>
    <col min="18" max="18" width="20.7109375" style="7" customWidth="1"/>
    <col min="19" max="19" width="17.28515625" style="7" customWidth="1"/>
    <col min="20" max="20" width="23.5703125" style="7" customWidth="1"/>
    <col min="21" max="21" width="20" style="7" customWidth="1"/>
    <col min="22" max="23" width="8.85546875" style="7"/>
    <col min="24" max="24" width="16.42578125" style="7" customWidth="1"/>
    <col min="25" max="25" width="37.42578125" style="7" customWidth="1"/>
    <col min="26" max="26" width="15.42578125" style="7" customWidth="1"/>
    <col min="27" max="27" width="38" style="7" customWidth="1"/>
    <col min="28" max="28" width="18.42578125" style="7" bestFit="1" customWidth="1"/>
    <col min="29" max="29" width="24.140625" style="7" bestFit="1" customWidth="1"/>
    <col min="30" max="30" width="20.7109375" style="7" bestFit="1" customWidth="1"/>
    <col min="31" max="31" width="26.5703125" style="7" bestFit="1" customWidth="1"/>
    <col min="32" max="32" width="40.140625" style="7" bestFit="1" customWidth="1"/>
    <col min="33" max="33" width="78.140625" style="7" bestFit="1" customWidth="1"/>
    <col min="34" max="34" width="20.7109375" style="7" bestFit="1" customWidth="1"/>
    <col min="35" max="16384" width="8.85546875" style="7"/>
  </cols>
  <sheetData>
    <row r="1" spans="1:35" s="32" customFormat="1" x14ac:dyDescent="0.25">
      <c r="A1" s="32" t="s">
        <v>247</v>
      </c>
      <c r="B1" s="32" t="s">
        <v>236</v>
      </c>
      <c r="C1" s="32" t="s">
        <v>237</v>
      </c>
      <c r="D1" s="32" t="s">
        <v>239</v>
      </c>
      <c r="E1" s="32" t="s">
        <v>1364</v>
      </c>
      <c r="F1" s="32" t="s">
        <v>1355</v>
      </c>
      <c r="G1" s="32" t="s">
        <v>238</v>
      </c>
      <c r="H1" s="32" t="s">
        <v>1367</v>
      </c>
      <c r="I1" s="32" t="s">
        <v>240</v>
      </c>
      <c r="J1" s="32" t="s">
        <v>241</v>
      </c>
      <c r="K1" s="32" t="s">
        <v>1366</v>
      </c>
      <c r="L1" s="32" t="s">
        <v>242</v>
      </c>
      <c r="M1" s="32" t="s">
        <v>243</v>
      </c>
      <c r="N1" s="32" t="s">
        <v>244</v>
      </c>
      <c r="O1" s="32" t="s">
        <v>245</v>
      </c>
      <c r="P1" s="32" t="s">
        <v>1368</v>
      </c>
      <c r="Q1" s="32" t="s">
        <v>246</v>
      </c>
      <c r="R1" s="32" t="s">
        <v>248</v>
      </c>
      <c r="S1" s="32" t="s">
        <v>265</v>
      </c>
      <c r="T1" s="32" t="s">
        <v>266</v>
      </c>
      <c r="U1" s="32" t="s">
        <v>270</v>
      </c>
      <c r="V1" s="32" t="s">
        <v>1105</v>
      </c>
      <c r="W1" s="32" t="s">
        <v>260</v>
      </c>
      <c r="X1" s="32" t="s">
        <v>1227</v>
      </c>
      <c r="Y1" s="32" t="s">
        <v>1232</v>
      </c>
      <c r="Z1" s="32" t="s">
        <v>1233</v>
      </c>
      <c r="AA1" s="32" t="s">
        <v>1238</v>
      </c>
      <c r="AB1" s="32" t="s">
        <v>1241</v>
      </c>
      <c r="AC1" s="32" t="s">
        <v>1243</v>
      </c>
      <c r="AD1" s="32" t="s">
        <v>1244</v>
      </c>
      <c r="AE1" s="32" t="s">
        <v>1245</v>
      </c>
      <c r="AF1" s="32" t="s">
        <v>1255</v>
      </c>
      <c r="AG1" s="32" t="s">
        <v>1256</v>
      </c>
      <c r="AH1" s="32" t="s">
        <v>1276</v>
      </c>
    </row>
    <row r="2" spans="1:35" s="32" customFormat="1" x14ac:dyDescent="0.25">
      <c r="A2" s="32" t="s">
        <v>1107</v>
      </c>
      <c r="B2" s="32">
        <v>2</v>
      </c>
      <c r="C2" s="32">
        <v>2</v>
      </c>
      <c r="D2" s="32">
        <f>MAX(NumOrganizations+1,2)</f>
        <v>2</v>
      </c>
      <c r="E2" s="32">
        <f>IF(AND(CitationDOI="",NumORCIDs=0,NumIGSNs=0),1,3)</f>
        <v>1</v>
      </c>
      <c r="F2" s="32">
        <f>IF(AND(CitationDOI="",NumORCIDs=0,NumIGSNs=0),1,4)</f>
        <v>1</v>
      </c>
      <c r="G2" s="32">
        <f>MAX(NumPeople+1,2)</f>
        <v>2</v>
      </c>
      <c r="H2" s="32">
        <f>IF(NumORCIDs=0,1,MAX(NumORCIDs+1,2))</f>
        <v>1</v>
      </c>
      <c r="I2" s="32">
        <f>MAX(NumOrganizations+1,NumPeople+1,2)</f>
        <v>2</v>
      </c>
      <c r="J2" s="32">
        <f>IF(COUNTA(CitationInformation)=0,1,2)</f>
        <v>1</v>
      </c>
      <c r="K2" s="32">
        <f>IF(CitationDOI="",1,2)</f>
        <v>1</v>
      </c>
      <c r="L2" s="32">
        <f>NumAuthors+1</f>
        <v>1</v>
      </c>
      <c r="M2" s="32">
        <f>IF(COUNTA(CitationInformation)=0,1,2)</f>
        <v>1</v>
      </c>
      <c r="N2" s="32">
        <v>2</v>
      </c>
      <c r="O2" s="32">
        <f>MAX(NumSamplingFeatures+1,2)</f>
        <v>2</v>
      </c>
      <c r="P2" s="32">
        <f>IF(NumIGSNs=0,1,MAX(NumIGSNs+1,2))</f>
        <v>1</v>
      </c>
      <c r="Q2" s="32">
        <f>IF(NumSites=0,1,NumSites+1)</f>
        <v>1</v>
      </c>
      <c r="R2" s="32">
        <f>IF(NumSpecimens=0,1,NumSpecimens+1)</f>
        <v>1</v>
      </c>
      <c r="S2" s="32">
        <f>IF(NumSpatialOffsets=0,1,NumSpatialOffsets+1)</f>
        <v>1</v>
      </c>
      <c r="T2" s="32">
        <f>IF(NumRelatedFeatures=0,1,NumRelatedFeatures+1)</f>
        <v>1</v>
      </c>
      <c r="U2" s="32">
        <f>MAX(NumMethods+1,2)</f>
        <v>2</v>
      </c>
      <c r="V2" s="32">
        <f>MAX(NumVariables+1,2)</f>
        <v>2</v>
      </c>
      <c r="W2" s="32">
        <v>1</v>
      </c>
      <c r="X2" s="32">
        <f>MAX(NumProcessingLevels+1,2)</f>
        <v>6</v>
      </c>
      <c r="Y2" s="32">
        <f>MAX(NumDataColumns+1,2)</f>
        <v>2</v>
      </c>
      <c r="Z2" s="32">
        <f>MAX(NumDataColumns+1,2)</f>
        <v>2</v>
      </c>
      <c r="AA2" s="32">
        <f>MAX(NumDataColumns+1,2)</f>
        <v>2</v>
      </c>
      <c r="AB2" s="32">
        <f>MAX(NumDataColumns+1,2)</f>
        <v>2</v>
      </c>
      <c r="AC2" s="32">
        <f>IF(NumDataColumns&lt;1,5,NumDataColumns+4)</f>
        <v>5</v>
      </c>
      <c r="AD2" s="32">
        <v>1</v>
      </c>
      <c r="AE2" s="32">
        <v>1</v>
      </c>
      <c r="AF2" s="32">
        <v>1</v>
      </c>
      <c r="AG2" s="32">
        <f>IF(NumDataValues=0,3,2)</f>
        <v>3</v>
      </c>
    </row>
    <row r="3" spans="1:35" s="32" customFormat="1" x14ac:dyDescent="0.25">
      <c r="A3" s="32">
        <f>ROW()-3</f>
        <v>0</v>
      </c>
      <c r="B3" s="32" t="s">
        <v>136</v>
      </c>
      <c r="C3" s="32" t="s">
        <v>1282</v>
      </c>
      <c r="D3" s="32" t="s">
        <v>191</v>
      </c>
      <c r="E3" s="32"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32" t="str">
        <f>IF(AND(CitationDOI="",NumORCIDs=0,NumIGSNs=0),"","ExternalIdentifierSystems:")</f>
        <v/>
      </c>
      <c r="G3" s="32" t="s">
        <v>189</v>
      </c>
      <c r="H3" s="32" t="str">
        <f>IF(NumORCIDs=0,"","PersonExternalIdentifiers:")</f>
        <v/>
      </c>
      <c r="I3" s="32" t="s">
        <v>192</v>
      </c>
      <c r="J3" s="32" t="str">
        <f>IF(COUNTA(CitationInformation)=0,"","Citation:")</f>
        <v/>
      </c>
      <c r="K3" s="32" t="str">
        <f>IF(CitationDOI="","","CitationExternalIdentifiers:")</f>
        <v/>
      </c>
      <c r="L3" s="32" t="str">
        <f>IF(NumAuthors=0,"","AuthorList:")</f>
        <v/>
      </c>
      <c r="M3" s="32" t="str">
        <f>IF(COUNTA(CitationInformation)=0,"","DataSetCitations:")</f>
        <v/>
      </c>
      <c r="N3" s="32" t="s">
        <v>234</v>
      </c>
      <c r="O3" s="32" t="s">
        <v>235</v>
      </c>
      <c r="P3" s="32" t="str">
        <f>IF(NumIGSNs=0,"","SamplingFeaturesExternalIdentifiers:")</f>
        <v/>
      </c>
      <c r="Q3" s="32" t="str">
        <f>IF(MAX(Sites[SiteID])=0,"","Sites:")</f>
        <v/>
      </c>
      <c r="R3" s="32" t="str">
        <f>IF(MAX(Specimens[SpecimenID])=0,"","Specimens:")</f>
        <v/>
      </c>
      <c r="S3" s="32" t="str">
        <f>IF(NumSpatialOffsets=0,"","Spatialoffsets:")</f>
        <v/>
      </c>
      <c r="T3" s="32" t="str">
        <f>IF(NumRelatedFeatures=0,"","RelatedFeatures:")</f>
        <v/>
      </c>
      <c r="U3" s="32" t="s">
        <v>295</v>
      </c>
      <c r="V3" s="32" t="s">
        <v>1106</v>
      </c>
      <c r="W3" s="32" t="str">
        <f>""</f>
        <v/>
      </c>
      <c r="X3" s="32" t="s">
        <v>1228</v>
      </c>
      <c r="Y3" s="32" t="s">
        <v>1235</v>
      </c>
      <c r="Z3" s="32" t="s">
        <v>1237</v>
      </c>
      <c r="AA3" s="32" t="s">
        <v>1239</v>
      </c>
      <c r="AB3" s="32" t="s">
        <v>1240</v>
      </c>
      <c r="AC3" s="32" t="s">
        <v>1242</v>
      </c>
      <c r="AD3" s="32" t="str">
        <f>""</f>
        <v/>
      </c>
      <c r="AE3" s="32" t="str">
        <f>""</f>
        <v/>
      </c>
      <c r="AF3" s="32" t="s">
        <v>1254</v>
      </c>
      <c r="AG3" s="32" t="s">
        <v>1257</v>
      </c>
      <c r="AH3" s="32" t="s">
        <v>1281</v>
      </c>
      <c r="AI3" s="32">
        <f>MAX(B2:AG2)</f>
        <v>6</v>
      </c>
    </row>
    <row r="4" spans="1:35" s="32" customFormat="1" x14ac:dyDescent="0.25">
      <c r="A4" s="32">
        <f>ROW()-3</f>
        <v>1</v>
      </c>
      <c r="B4" s="32" t="str">
        <f>CONCATENATE("YODA: {Version: 1.0.0, Profile: TimeSeries, DateCreated: ",CHAR(34),TEXT(TODAY(),"yyyy-mm-dd"),CHAR(34),", DateUpdated: ",CHAR(34),TEXT(TODAY(),"yyyy-mm-dd"),CHAR(34),"}")</f>
        <v>YODA: {Version: 1.0.0, Profile: TimeSeries, DateCreated: "2015-03-12", DateUpdated: "2015-03-12"}</v>
      </c>
      <c r="C4" s="32" t="str">
        <f>CONCATENATE("  - &amp;DataSetID0001 {",
"DataSetUUID:  ",CONCATENATE(CHAR(34),DatasetUUID,CHAR(34)),
IF(DatasetType="","PLEASE FILL IN THE DATASET TYPE IN THE DATASET CITATION TAB",CONCATENATE(",  DataSetTypeCV:  ",CHAR(34),DatasetType,CHAR(34))),
IF(DatasetCode="","PLEASE FILL IN THE DATASET CODE IN THE DATASET CITATION TAB",CONCATENATE(",  DataSetCode:  ",CHAR(34),DatasetCode,CHAR(34))),
IF(DatasetTitle="","PLEASE FILL IN THE DATASET TITLE IN THE DATASET CITATION TAB",CONCATENATE(",  DataSetTitle:  ",CHAR(34),DatasetTitle,CHAR(34))),
CONCATENATE(",  DataSetAbstract:  ",IF(DatasetAbstract="","NULL",CONCATENATE(CHAR(34),DatasetAbstract,CHAR(34)))),
"}")</f>
        <v xml:space="preserve">  - &amp;DataSetID0001 {DataSetUUID:  ""PLEASE FILL IN THE DATASET TYPE IN THE DATASET CITATION TABPLEASE FILL IN THE DATASET CODE IN THE DATASET CITATION TABPLEASE FILL IN THE DATASET TITLE IN THE DATASET CITATION TAB,  DataSetAbstract:  NULL}</v>
      </c>
      <c r="D4" s="32" t="str">
        <f>IF(INDEX(Organizations[Organization Type '[CV']],ROW()-3)="","PLEASE FILL IN AT LEAST ONE ORGANIZATION WITH TYPE, CODE, AND NAME",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PLEASE FILL IN AT LEAST ONE ORGANIZATION WITH TYPE, CODE, AND NAME</v>
      </c>
      <c r="E4" s="32"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32"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32" t="str">
        <f>IF(INDEX(People[First Name],ROW()-3)="","PLEASE FILL IN AT LEAST ONE PERSON WITH FIRST, MIDDLE AND LAST NAME",
CONCATENATE("  - &amp;PersonID",TEXT(ROW()-3,"0000"),
" {","PersonFirstName:  ",CHAR(34),INDEX(People[First Name],ROW()-3),CHAR(34),
", PersonMiddleName:  ",CHAR(34),INDEX(People[Middle Name],ROW()-3),CHAR(34),
", PersonLastName:  ",CHAR(34),INDEX(People[Last Name],ROW()-3),CHAR(34),"}"))</f>
        <v>PLEASE FILL IN AT LEAST ONE PERSON WITH FIRST, MIDDLE AND LAST NAME</v>
      </c>
      <c r="H4" s="32"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32"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 AffiliationStartDate: , AffiliationEndDate: , PrimaryPhone: ",
", PrimaryEmail: ",CHAR(34),INDEX(People[Primary Email],ROW()-3),CHAR(34),
", PrimaryAddress: ",CHAR(34),INDEX(People[Primary Address],ROW()-3),CHAR(34),
", PersonLink: }")))</f>
        <v/>
      </c>
      <c r="J4" s="32" t="str">
        <f>IF(COUNTA(CitationInformation)=0,"",
CONCATENATE("  - &amp;CitationID0001 {",
IF(CitationTitle="","PLEASE FILL IN A TITLE FOR THE CITATION",CONCATENATE("Title: ",CHAR(34),CitationTitle,CHAR(34))),
IF(Publisher="","PLEASE FILL IN THE CITATION PUBLISHER",CONCATENATE(", Publisher: ",CHAR(34),Publisher,CHAR(34))),
IF(PublicationYear="","PLEASE FILL IN THE CITATION YEAR",CONCATENATE(", PublicationYear: ",CHAR(34),PublicationYear,CHAR(34))),
", CitationLink: ",CHAR(34),CitationLink,CHAR(34),
"}"))</f>
        <v/>
      </c>
      <c r="K4" s="32" t="str">
        <f>IF(CitationDOI="","",
CONCATENATE("  - {",
"CitationObj:  *CitationID001",
", ExternalIdentifierSystemObj:  *ExternalIdentifierSystemID0002",
", CitationExternalIdentifier:  ",CHAR(34),CitationDOI,CHAR(34),
", CitationExternalIdentifierURI:  ",CHAR(34),CHAR(34),
"}"))</f>
        <v/>
      </c>
      <c r="L4" s="32" t="str">
        <f>IF(COUNTA(CitationInformation)=0,"",
IF(INDEX(AuthorList[Author Name],ROW()-3)="","PLEASE FILL IN AT LEAST ONE CITATION AUTHOR",
CONCATENATE("  - &amp;AuthorListID",TEXT(ROW()-3,"0000"),
"  {CitationObj: *CitationID0001",
", PersonObj: *PersonID",TEXT(MATCH(INDEX(AuthorList[Author Name],ROW()-3),People[Full Name],0),"0000"),
", AuthorOrder: ",INDEX(AuthorList[Author Number],ROW()-3),"}")))</f>
        <v/>
      </c>
      <c r="M4" s="32" t="str">
        <f>IF(COUNTA(CitationInformation)=0,"",
CONCATENATE("  - {",
"DataSetObj: *DataSetID0001",
", CitationObj: *CitationID0001",
IF(DatasetCitationRelationship="","PLEASE FILL IN THE RELATIONSHIP BETWEEN THE DATASET AND THE CITATION",CONCATENATE(", RelationshipTypeCV: ",DatasetCitationRelationship)),
"}"))</f>
        <v/>
      </c>
      <c r="N4" s="32"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32" t="str">
        <f>IF(INDEX(SamplingFeatures[Feature Code],ROW()-3)="","PLEASE FILL IN AT LEAST ONE SAMPLING FEATURE",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PLEASE FILL IN AT LEAST ONE SAMPLING FEATURE</v>
      </c>
      <c r="P4" s="32"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 s="32"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4" s="32"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4" s="32"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4" s="32" t="str">
        <f>IF(NumRelatedFeatures=0,"",
IF(INDEX(RelatedFeatures[First Sampling Feature Code],ROW()-3)="","PLEASE FILL IN THE FIRST FEATURE ON THE FIRST ROW",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4" s="32" t="str">
        <f>IF(INDEX(Methods[Method Type],ROW()-3)="","PLEASE FILL IN AT LEAST ONE METHOD",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PLEASE FILL IN AT LEAST ONE METHOD</v>
      </c>
      <c r="V4" s="32" t="str">
        <f>IF(INDEX(Variables[Variable Type],ROW()-3)="","PLEASE FILL IN AT LEAST ONE VARIABLE",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PLEASE FILL IN AT LEAST ONE VARIABLE</v>
      </c>
      <c r="X4" s="32" t="str">
        <f>IF(INDEX(ProcessingLevels[Processing Level Code],ROW()-3)="","PLEASE FILL IN AT LEAST ONE PROCESSING LEVEL",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32" t="str">
        <f>IF(INDEX(DataColumns[Col '#],ROW()-3)="","PLEASE FILL IN METADATA FOR AT LEAST ONE DATA COLUMN",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PLEASE FILL IN METADATA FOR AT LEAST ONE DATA COLUMN</v>
      </c>
      <c r="Z4" s="32" t="str">
        <f>IF(INDEX(DataColumns[Col '#],ROW()-3)="","PLEASE FILL IN METADATA FOR AT LEAST ONE DATA COLUMN",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PLEASE FILL IN METADATA FOR AT LEAST ONE DATA COLUMN</v>
      </c>
      <c r="AA4" s="32" t="str">
        <f>IF(INDEX(DataColumns[Col '#],ROW()-3)="","PLEASE FILL IN METADATA FOR AT LEAST ONE DATA COLUMN",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PLEASE FILL IN METADATA FOR AT LEAST ONE DATA COLUMN</v>
      </c>
      <c r="AB4" s="32" t="str">
        <f>IF(INDEX(DataColumns[Col '#],ROW()-3)="","PLEASE FILL IN METADATA FOR AT LEAST ONE DATA COLUMN",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PLEASE FILL IN METADATA FOR AT LEAST ONE DATA COLUMN</v>
      </c>
      <c r="AC4" s="32" t="s">
        <v>1247</v>
      </c>
      <c r="AF4" s="32" t="str">
        <f>IF(INDEX(DataColumns[Column Label],ROW()-3)="",
"PLEASE FILL IN METADATA FOR AT LEAST ONE DATA COLUMN",
INDEX(DataColumns[Column Label],ROW()-3))</f>
        <v>PLEASE FILL IN METADATA FOR AT LEAST ONE DATA COLUMN</v>
      </c>
      <c r="AG4" s="32" t="str">
        <f>IF(INDEX(DataColumns[Col '#],ROW()-3)="",
"PLEASE FILL IN METADATA FOR AT LEAST ONE DATA COLUMN",
CONCATENATE("ValueDateTime",", ","ValueDateTimeUTCOffset",", ",INDIRECT(CONCATENATE("R",NumDataColumns+1,"C[-1]"),FALSE)," ],["))</f>
        <v>PLEASE FILL IN METADATA FOR AT LEAST ONE DATA COLUMN</v>
      </c>
      <c r="AH4" s="32" t="s">
        <v>1277</v>
      </c>
      <c r="AI4" s="32">
        <f>SUM(B2:AG2)</f>
        <v>56</v>
      </c>
    </row>
    <row r="5" spans="1:35" s="32" customFormat="1" x14ac:dyDescent="0.25">
      <c r="A5" s="32">
        <f>ROW()-3</f>
        <v>2</v>
      </c>
      <c r="D5" s="32"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E5" s="32"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32"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*OrganizationID0002, ExternalIdentifierSystemDescription:  "A Digital Identifier of an Object that provides an actionable, interoperable, persistent link to that object", ExternalIdentifierSystemURL:  "http://www.doi.org/"}</v>
      </c>
      <c r="G5" s="32" t="str">
        <f>IF(ROW()-3&gt;NumPeople,"",
CONCATENATE("  - &amp;PersonID",TEXT(ROW()-3,"0000"),
" {","PersonFirstName:  ",CHAR(34),INDEX(People[First Name],ROW()-3),CHAR(34),
", PersonMiddleName:  ",CHAR(34),INDEX(People[Middle Name],ROW()-3),CHAR(34),
", PersonLastName:  ",CHAR(34),INDEX(People[Last Name],ROW()-3),CHAR(34),"}"))</f>
        <v/>
      </c>
      <c r="H5" s="32"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32"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 AffiliationStartDate: , AffiliationEndDate: , PrimaryPhone: ",
", PrimaryEmail: ",CHAR(34),INDEX(People[Primary Email],ROW()-3),CHAR(34),
", PrimaryAddress: ",CHAR(34),INDEX(People[Primary Address],ROW()-3),CHAR(34),
", PersonLink: }")))</f>
        <v/>
      </c>
      <c r="L5" s="32" t="str">
        <f>IF(COUNTA(CitationInformation)=0,"",
IF(ROW()-3&gt;NumAuthors,"",
CONCATENATE("  - &amp;AuthorListID",TEXT(ROW()-3,"0000"),
"  {CitationObj: *CitationID0001",
", PersonObj: *PersonID",TEXT(MATCH(INDEX(AuthorList[Author Name],ROW()-3),People[Full Name],0),"0000"),
", AuthorOrder: ",INDEX(AuthorList[Author Number],ROW()-3),"}")))</f>
        <v/>
      </c>
      <c r="O5" s="32"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5" s="32"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32"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5" s="32"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5" s="32"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 s="32"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5" s="32"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5" s="32"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5" s="32"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&amp;ProcessingLevelID0002 {ProcessingLevelCode:  "1", Definition:  "Quality controlled data", Explanation:  "Processed data and data products that have undergone quality control"}</v>
      </c>
      <c r="Y5" s="32"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5" s="32"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5" s="32"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5" s="32"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5" s="32" t="s">
        <v>1248</v>
      </c>
      <c r="AF5" s="32" t="str">
        <f>IF(ROW()-3&gt;NumDataColumns,
"",
CONCATENATE(AF4,", ",INDEX(DataColumns[Column Label],ROW()-3)))</f>
        <v/>
      </c>
      <c r="AG5" s="32" t="str">
        <f>IF(NumDataValues=0,"PLEASE FILL IN DATA IN THE DATA VALUES WORKSHEET","")</f>
        <v>PLEASE FILL IN DATA IN THE DATA VALUES WORKSHEET</v>
      </c>
      <c r="AH5" s="32" t="s">
        <v>1278</v>
      </c>
      <c r="AI5" s="32">
        <f>COUNT('Data Values'!C2:C91369)</f>
        <v>0</v>
      </c>
    </row>
    <row r="6" spans="1:35" s="32" customFormat="1" x14ac:dyDescent="0.25">
      <c r="A6" s="32">
        <f>ROW()-3</f>
        <v>3</v>
      </c>
      <c r="D6" s="32"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F6" s="32"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32" t="str">
        <f>IF(ROW()-3&gt;NumPeople,"",
CONCATENATE("  - &amp;PersonID",TEXT(ROW()-3,"0000"),
" {","PersonFirstName:  ",CHAR(34),INDEX(People[First Name],ROW()-3),CHAR(34),
", PersonMiddleName:  ",CHAR(34),INDEX(People[Middle Name],ROW()-3),CHAR(34),
", PersonLastName:  ",CHAR(34),INDEX(People[Last Name],ROW()-3),CHAR(34),"}"))</f>
        <v/>
      </c>
      <c r="H6" s="32"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32"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 AffiliationStartDate: , AffiliationEndDate: , PrimaryPhone: ",
", PrimaryEmail: ",CHAR(34),INDEX(People[Primary Email],ROW()-3),CHAR(34),
", PrimaryAddress: ",CHAR(34),INDEX(People[Primary Address],ROW()-3),CHAR(34),
", PersonLink: }")))</f>
        <v/>
      </c>
      <c r="L6" s="32" t="str">
        <f>IF(COUNTA(CitationInformation)=0,"",
IF(ROW()-3&gt;NumAuthors,"",
CONCATENATE("  - &amp;AuthorListID",TEXT(ROW()-3,"0000"),
"  {CitationObj: *CitationID0001",
", PersonObj: *PersonID",TEXT(MATCH(INDEX(AuthorList[Author Name],ROW()-3),People[Full Name],0),"0000"),
", AuthorOrder: ",INDEX(AuthorList[Author Number],ROW()-3),"}")))</f>
        <v/>
      </c>
      <c r="O6" s="32"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6" s="32"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32"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6" s="32"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6" s="32"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 s="32"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6" s="32"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6" s="32"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6" s="32"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32"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6" s="32"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6" s="32"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6" s="32"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6" s="32" t="s">
        <v>1249</v>
      </c>
      <c r="AF6" s="32" t="str">
        <f>IF(ROW()-3&gt;NumDataColumns,
"",
CONCATENATE(AF5,", ",INDEX(DataColumns[Column Label],ROW()-3)))</f>
        <v/>
      </c>
    </row>
    <row r="7" spans="1:35" s="32" customFormat="1" x14ac:dyDescent="0.25">
      <c r="A7" s="32">
        <f>ROW()-3</f>
        <v>4</v>
      </c>
      <c r="D7" s="32"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 s="32" t="str">
        <f>IF(ROW()-3&gt;NumPeople,"",
CONCATENATE("  - &amp;PersonID",TEXT(ROW()-3,"0000"),
" {","PersonFirstName:  ",CHAR(34),INDEX(People[First Name],ROW()-3),CHAR(34),
", PersonMiddleName:  ",CHAR(34),INDEX(People[Middle Name],ROW()-3),CHAR(34),
", PersonLastName:  ",CHAR(34),INDEX(People[Last Name],ROW()-3),CHAR(34),"}"))</f>
        <v/>
      </c>
      <c r="H7" s="32"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32"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 AffiliationStartDate: , AffiliationEndDate: , PrimaryPhone: ",
", PrimaryEmail: ",CHAR(34),INDEX(People[Primary Email],ROW()-3),CHAR(34),
", PrimaryAddress: ",CHAR(34),INDEX(People[Primary Address],ROW()-3),CHAR(34),
", PersonLink: }")))</f>
        <v/>
      </c>
      <c r="L7" s="32" t="str">
        <f>IF(COUNTA(CitationInformation)=0,"",
IF(ROW()-3&gt;NumAuthors,"",
CONCATENATE("  - &amp;AuthorListID",TEXT(ROW()-3,"0000"),
"  {CitationObj: *CitationID0001",
", PersonObj: *PersonID",TEXT(MATCH(INDEX(AuthorList[Author Name],ROW()-3),People[Full Name],0),"0000"),
", AuthorOrder: ",INDEX(AuthorList[Author Number],ROW()-3),"}")))</f>
        <v/>
      </c>
      <c r="O7" s="32"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7" s="32"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32"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7" s="32"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7" s="32"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 s="32"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7" s="32"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7" s="32"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7" s="32"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32"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7" s="32"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7" s="32"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7" s="32"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7" s="32" t="str">
        <f>IF(INDEX(DataColumns[Col '#],ROW()-3-3)="","PLEASE FILL IN METADATA FOR AT LEAST ONE DATA COLUMN",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PLEASE FILL IN METADATA FOR AT LEAST ONE DATA COLUMN</v>
      </c>
      <c r="AF7" s="32" t="str">
        <f>IF(ROW()-3&gt;NumDataColumns,
"",
CONCATENATE(AF6,", ",INDEX(DataColumns[Column Label],ROW()-3)))</f>
        <v/>
      </c>
    </row>
    <row r="8" spans="1:35" s="32" customFormat="1" x14ac:dyDescent="0.25">
      <c r="A8" s="32">
        <f>ROW()-3</f>
        <v>5</v>
      </c>
      <c r="D8" s="32"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 s="32" t="str">
        <f>IF(ROW()-3&gt;NumPeople,"",
CONCATENATE("  - &amp;PersonID",TEXT(ROW()-3,"0000"),
" {","PersonFirstName:  ",CHAR(34),INDEX(People[First Name],ROW()-3),CHAR(34),
", PersonMiddleName:  ",CHAR(34),INDEX(People[Middle Name],ROW()-3),CHAR(34),
", PersonLastName:  ",CHAR(34),INDEX(People[Last Name],ROW()-3),CHAR(34),"}"))</f>
        <v/>
      </c>
      <c r="H8" s="32"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32"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 AffiliationStartDate: , AffiliationEndDate: , PrimaryPhone: ",
", PrimaryEmail: ",CHAR(34),INDEX(People[Primary Email],ROW()-3),CHAR(34),
", PrimaryAddress: ",CHAR(34),INDEX(People[Primary Address],ROW()-3),CHAR(34),
", PersonLink: }")))</f>
        <v/>
      </c>
      <c r="L8" s="32" t="str">
        <f>IF(COUNTA(CitationInformation)=0,"",
IF(ROW()-3&gt;NumAuthors,"",
CONCATENATE("  - &amp;AuthorListID",TEXT(ROW()-3,"0000"),
"  {CitationObj: *CitationID0001",
", PersonObj: *PersonID",TEXT(MATCH(INDEX(AuthorList[Author Name],ROW()-3),People[Full Name],0),"0000"),
", AuthorOrder: ",INDEX(AuthorList[Author Number],ROW()-3),"}")))</f>
        <v/>
      </c>
      <c r="O8" s="32"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8" s="32"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32"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8" s="32"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8" s="32"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 s="32"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 s="32"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8" s="32"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8" s="32"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32"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8" s="32"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8" s="32"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8" s="32"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8" s="32"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F8" s="32" t="str">
        <f>IF(ROW()-3&gt;NumDataColumns,
"",
CONCATENATE(AF7,",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59"/>
  <sheetViews>
    <sheetView workbookViewId="0">
      <selection activeCell="D2" sqref="D2:D59"/>
    </sheetView>
  </sheetViews>
  <sheetFormatPr defaultRowHeight="15" x14ac:dyDescent="0.25"/>
  <cols>
    <col min="1" max="1" width="13.5703125" style="7" bestFit="1" customWidth="1"/>
    <col min="2" max="2" width="12.7109375" style="7" bestFit="1" customWidth="1"/>
    <col min="3" max="3" width="12.140625" style="7" bestFit="1" customWidth="1"/>
    <col min="4" max="16384" width="9.140625" style="7"/>
  </cols>
  <sheetData>
    <row r="1" spans="1:4" x14ac:dyDescent="0.25">
      <c r="A1" s="32" t="s">
        <v>1109</v>
      </c>
      <c r="B1" s="32" t="s">
        <v>1261</v>
      </c>
      <c r="C1" s="32" t="s">
        <v>1110</v>
      </c>
      <c r="D1" s="32" t="s">
        <v>1108</v>
      </c>
    </row>
    <row r="2" spans="1:4" x14ac:dyDescent="0.25">
      <c r="A2" s="32">
        <v>1</v>
      </c>
      <c r="B2" s="32" t="str">
        <f>OFFSET('YODA Header Blocks'!$A$1,0,A2)</f>
        <v>YAML Header</v>
      </c>
      <c r="C2" s="32">
        <v>1</v>
      </c>
      <c r="D2" s="32"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32">
        <f>IF(C2=INDIRECT(CONCATENATE("'YODA Header Blocks'!R2C",A2+1,":R2C",A2+1),FALSE),A2+1,A2)</f>
        <v>1</v>
      </c>
      <c r="B3" s="32" t="str">
        <f>OFFSET('YODA Header Blocks'!$A$1,0,A3)</f>
        <v>YAML Header</v>
      </c>
      <c r="C3" s="32">
        <f>IF(C2=SUM(INDIRECT(CONCATENATE("'YODA Header Blocks'!R2C",A2+1,":R2C",A2+1),FALSE)),1,C2+1)</f>
        <v>2</v>
      </c>
      <c r="D3" s="7"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 {Version: 1.0.0, Profile: TimeSeries, DateCreated: "2015-03-12", DateUpdated: "2015-03-12"}</v>
      </c>
    </row>
    <row r="4" spans="1:4" x14ac:dyDescent="0.25">
      <c r="A4" s="7">
        <f t="shared" ref="A4:A57" si="0">IF(C3=INDIRECT(CONCATENATE("'YODA Header Blocks'!R2C",A3+1,":R2C",A3+1),FALSE),A3+1,A3)</f>
        <v>2</v>
      </c>
      <c r="B4" s="7" t="str">
        <f>OFFSET('YODA Header Blocks'!$A$1,0,A4)</f>
        <v>Dataset</v>
      </c>
      <c r="C4" s="7">
        <f t="shared" ref="C4:C57" si="1">IF(C3=SUM(INDIRECT(CONCATENATE("'YODA Header Blocks'!R2C",A3+1,":R2C",A3+1),FALSE)),1,C3+1)</f>
        <v>1</v>
      </c>
      <c r="D4" s="7" t="str">
        <f>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Datasets:</v>
      </c>
    </row>
    <row r="5" spans="1:4" x14ac:dyDescent="0.25">
      <c r="A5" s="7">
        <f t="shared" si="0"/>
        <v>2</v>
      </c>
      <c r="B5" s="7" t="str">
        <f>OFFSET('YODA Header Blocks'!$A$1,0,A5)</f>
        <v>Dataset</v>
      </c>
      <c r="C5" s="7">
        <f t="shared" si="1"/>
        <v>2</v>
      </c>
      <c r="D5" s="7" t="str">
        <f>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 xml:space="preserve">  - &amp;DataSetID0001 {DataSetUUID:  ""PLEASE FILL IN THE DATASET TYPE IN THE DATASET CITATION TABPLEASE FILL IN THE DATASET CODE IN THE DATASET CITATION TABPLEASE FILL IN THE DATASET TITLE IN THE DATASET CITATION TAB,  DataSetAbstract:  NULL}</v>
      </c>
    </row>
    <row r="6" spans="1:4" x14ac:dyDescent="0.25">
      <c r="A6" s="7">
        <f t="shared" si="0"/>
        <v>3</v>
      </c>
      <c r="B6" s="7" t="str">
        <f>OFFSET('YODA Header Blocks'!$A$1,0,A6)</f>
        <v>Organizations</v>
      </c>
      <c r="C6" s="7">
        <f t="shared" si="1"/>
        <v>1</v>
      </c>
      <c r="D6" s="7" t="str">
        <f>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Organizations:</v>
      </c>
    </row>
    <row r="7" spans="1:4" x14ac:dyDescent="0.25">
      <c r="A7" s="7">
        <f t="shared" si="0"/>
        <v>3</v>
      </c>
      <c r="B7" s="7" t="str">
        <f>OFFSET('YODA Header Blocks'!$A$1,0,A7)</f>
        <v>Organizations</v>
      </c>
      <c r="C7" s="7">
        <f t="shared" si="1"/>
        <v>2</v>
      </c>
      <c r="D7" s="7" t="str">
        <f>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PLEASE FILL IN AT LEAST ONE ORGANIZATION WITH TYPE, CODE, AND NAME</v>
      </c>
    </row>
    <row r="8" spans="1:4" x14ac:dyDescent="0.25">
      <c r="A8" s="7">
        <f t="shared" si="0"/>
        <v>4</v>
      </c>
      <c r="B8" s="7" t="str">
        <f>OFFSET('YODA Header Blocks'!$A$1,0,A8)</f>
        <v>ExternalIDOrgs</v>
      </c>
      <c r="C8" s="7">
        <f t="shared" si="1"/>
        <v>1</v>
      </c>
      <c r="D8" s="7" t="str">
        <f>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c>
    </row>
    <row r="9" spans="1:4" x14ac:dyDescent="0.25">
      <c r="A9" s="7">
        <f t="shared" si="0"/>
        <v>5</v>
      </c>
      <c r="B9" s="7" t="str">
        <f>OFFSET('YODA Header Blocks'!$A$1,0,A9)</f>
        <v>External Identifier Systems</v>
      </c>
      <c r="C9" s="7">
        <f t="shared" si="1"/>
        <v>1</v>
      </c>
      <c r="D9" s="7" t="str">
        <f>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c>
    </row>
    <row r="10" spans="1:4" x14ac:dyDescent="0.25">
      <c r="A10" s="7">
        <f t="shared" si="0"/>
        <v>6</v>
      </c>
      <c r="B10" s="7" t="str">
        <f>OFFSET('YODA Header Blocks'!$A$1,0,A10)</f>
        <v>People</v>
      </c>
      <c r="C10" s="7">
        <f t="shared" si="1"/>
        <v>1</v>
      </c>
      <c r="D10" s="7" t="str">
        <f>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People:</v>
      </c>
    </row>
    <row r="11" spans="1:4" x14ac:dyDescent="0.25">
      <c r="A11" s="7">
        <f t="shared" si="0"/>
        <v>6</v>
      </c>
      <c r="B11" s="7" t="str">
        <f>OFFSET('YODA Header Blocks'!$A$1,0,A11)</f>
        <v>People</v>
      </c>
      <c r="C11" s="7">
        <f t="shared" si="1"/>
        <v>2</v>
      </c>
      <c r="D11" s="7" t="str">
        <f>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PLEASE FILL IN AT LEAST ONE PERSON WITH FIRST, MIDDLE AND LAST NAME</v>
      </c>
    </row>
    <row r="12" spans="1:4" x14ac:dyDescent="0.25">
      <c r="A12" s="7">
        <f t="shared" si="0"/>
        <v>7</v>
      </c>
      <c r="B12" s="7" t="str">
        <f>OFFSET('YODA Header Blocks'!$A$1,0,A12)</f>
        <v>Person External Identifiers</v>
      </c>
      <c r="C12" s="7">
        <f t="shared" si="1"/>
        <v>1</v>
      </c>
      <c r="D12" s="7" t="str">
        <f>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
      </c>
    </row>
    <row r="13" spans="1:4" x14ac:dyDescent="0.25">
      <c r="A13" s="7">
        <f t="shared" si="0"/>
        <v>8</v>
      </c>
      <c r="B13" s="7" t="str">
        <f>OFFSET('YODA Header Blocks'!$A$1,0,A13)</f>
        <v>Affiliations</v>
      </c>
      <c r="C13" s="7">
        <f t="shared" si="1"/>
        <v>1</v>
      </c>
      <c r="D13" s="7" t="str">
        <f>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Affiliations:</v>
      </c>
    </row>
    <row r="14" spans="1:4" x14ac:dyDescent="0.25">
      <c r="A14" s="7">
        <f t="shared" si="0"/>
        <v>8</v>
      </c>
      <c r="B14" s="7" t="str">
        <f>OFFSET('YODA Header Blocks'!$A$1,0,A14)</f>
        <v>Affiliations</v>
      </c>
      <c r="C14" s="7">
        <f t="shared" si="1"/>
        <v>2</v>
      </c>
      <c r="D14" s="7" t="str">
        <f>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c>
    </row>
    <row r="15" spans="1:4" x14ac:dyDescent="0.25">
      <c r="A15" s="7">
        <f t="shared" si="0"/>
        <v>9</v>
      </c>
      <c r="B15" s="7" t="str">
        <f>OFFSET('YODA Header Blocks'!$A$1,0,A15)</f>
        <v>Citation</v>
      </c>
      <c r="C15" s="7">
        <f t="shared" si="1"/>
        <v>1</v>
      </c>
      <c r="D15" s="7" t="str">
        <f>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c>
    </row>
    <row r="16" spans="1:4" x14ac:dyDescent="0.25">
      <c r="A16" s="7">
        <f t="shared" si="0"/>
        <v>10</v>
      </c>
      <c r="B16" s="7" t="str">
        <f>OFFSET('YODA Header Blocks'!$A$1,0,A16)</f>
        <v>Citation External Identifiers</v>
      </c>
      <c r="C16" s="7">
        <f t="shared" si="1"/>
        <v>1</v>
      </c>
      <c r="D16" s="7" t="str">
        <f>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
      </c>
    </row>
    <row r="17" spans="1:4" x14ac:dyDescent="0.25">
      <c r="A17" s="7">
        <f t="shared" si="0"/>
        <v>11</v>
      </c>
      <c r="B17" s="7" t="str">
        <f>OFFSET('YODA Header Blocks'!$A$1,0,A17)</f>
        <v>AuthorList</v>
      </c>
      <c r="C17" s="7">
        <f t="shared" si="1"/>
        <v>1</v>
      </c>
      <c r="D17" s="7" t="str">
        <f>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
      </c>
    </row>
    <row r="18" spans="1:4" x14ac:dyDescent="0.25">
      <c r="A18" s="7">
        <f t="shared" si="0"/>
        <v>12</v>
      </c>
      <c r="B18" s="7" t="str">
        <f>OFFSET('YODA Header Blocks'!$A$1,0,A18)</f>
        <v>DatasetCitations</v>
      </c>
      <c r="C18" s="7">
        <f t="shared" si="1"/>
        <v>1</v>
      </c>
      <c r="D18" s="7" t="str">
        <f>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c>
    </row>
    <row r="19" spans="1:4" x14ac:dyDescent="0.25">
      <c r="A19" s="7">
        <f t="shared" si="0"/>
        <v>13</v>
      </c>
      <c r="B19" s="7" t="str">
        <f>OFFSET('YODA Header Blocks'!$A$1,0,A19)</f>
        <v>Spatial References</v>
      </c>
      <c r="C19" s="7">
        <f t="shared" si="1"/>
        <v>1</v>
      </c>
      <c r="D19" s="7" t="str">
        <f>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SpatialReferences:</v>
      </c>
    </row>
    <row r="20" spans="1:4" x14ac:dyDescent="0.25">
      <c r="A20" s="7">
        <f t="shared" si="0"/>
        <v>13</v>
      </c>
      <c r="B20" s="7" t="str">
        <f>OFFSET('YODA Header Blocks'!$A$1,0,A20)</f>
        <v>Spatial References</v>
      </c>
      <c r="C20" s="7">
        <f t="shared" si="1"/>
        <v>2</v>
      </c>
      <c r="D20" s="7" t="str">
        <f>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PLEASE FILL IN A VALID LAT/LONG DATUM</v>
      </c>
    </row>
    <row r="21" spans="1:4" x14ac:dyDescent="0.25">
      <c r="A21" s="7">
        <f t="shared" si="0"/>
        <v>14</v>
      </c>
      <c r="B21" s="7" t="str">
        <f>OFFSET('YODA Header Blocks'!$A$1,0,A21)</f>
        <v>Sampling Features</v>
      </c>
      <c r="C21" s="7">
        <f t="shared" si="1"/>
        <v>1</v>
      </c>
      <c r="D21" s="7" t="str">
        <f>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SamplingFeatures:</v>
      </c>
    </row>
    <row r="22" spans="1:4" x14ac:dyDescent="0.25">
      <c r="A22" s="7">
        <f t="shared" si="0"/>
        <v>14</v>
      </c>
      <c r="B22" s="7" t="str">
        <f>OFFSET('YODA Header Blocks'!$A$1,0,A22)</f>
        <v>Sampling Features</v>
      </c>
      <c r="C22" s="7">
        <f t="shared" si="1"/>
        <v>2</v>
      </c>
      <c r="D22" s="7" t="str">
        <f>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PLEASE FILL IN AT LEAST ONE SAMPLING FEATURE</v>
      </c>
    </row>
    <row r="23" spans="1:4" x14ac:dyDescent="0.25">
      <c r="A23" s="7">
        <f t="shared" si="0"/>
        <v>15</v>
      </c>
      <c r="B23" s="7" t="str">
        <f>OFFSET('YODA Header Blocks'!$A$1,0,A23)</f>
        <v>Sampling Feature External Identifiers</v>
      </c>
      <c r="C23" s="7">
        <f t="shared" si="1"/>
        <v>1</v>
      </c>
      <c r="D23" s="7" t="str">
        <f>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
      </c>
    </row>
    <row r="24" spans="1:4" x14ac:dyDescent="0.25">
      <c r="A24" s="7">
        <f t="shared" si="0"/>
        <v>16</v>
      </c>
      <c r="B24" s="7" t="str">
        <f>OFFSET('YODA Header Blocks'!$A$1,0,A24)</f>
        <v>Sites</v>
      </c>
      <c r="C24" s="7">
        <f t="shared" si="1"/>
        <v>1</v>
      </c>
      <c r="D24" s="7" t="str">
        <f>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c>
    </row>
    <row r="25" spans="1:4" x14ac:dyDescent="0.25">
      <c r="A25" s="7">
        <f t="shared" si="0"/>
        <v>17</v>
      </c>
      <c r="B25" s="7" t="str">
        <f>OFFSET('YODA Header Blocks'!$A$1,0,A25)</f>
        <v>Specimens</v>
      </c>
      <c r="C25" s="7">
        <f t="shared" si="1"/>
        <v>1</v>
      </c>
      <c r="D25" s="7" t="str">
        <f>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c>
    </row>
    <row r="26" spans="1:4" x14ac:dyDescent="0.25">
      <c r="A26" s="7">
        <f t="shared" si="0"/>
        <v>18</v>
      </c>
      <c r="B26" s="7" t="str">
        <f>OFFSET('YODA Header Blocks'!$A$1,0,A26)</f>
        <v>SpatialOffsets</v>
      </c>
      <c r="C26" s="7">
        <f t="shared" si="1"/>
        <v>1</v>
      </c>
      <c r="D26" s="7" t="str">
        <f>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
      </c>
    </row>
    <row r="27" spans="1:4" x14ac:dyDescent="0.25">
      <c r="A27" s="7">
        <f t="shared" si="0"/>
        <v>19</v>
      </c>
      <c r="B27" s="7" t="str">
        <f>OFFSET('YODA Header Blocks'!$A$1,0,A27)</f>
        <v>RelatedFeatures</v>
      </c>
      <c r="C27" s="7">
        <f t="shared" si="1"/>
        <v>1</v>
      </c>
      <c r="D27" s="7" t="str">
        <f>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
      </c>
    </row>
    <row r="28" spans="1:4" x14ac:dyDescent="0.25">
      <c r="A28" s="7">
        <f t="shared" si="0"/>
        <v>20</v>
      </c>
      <c r="B28" s="7" t="str">
        <f>OFFSET('YODA Header Blocks'!$A$1,0,A28)</f>
        <v>Methods</v>
      </c>
      <c r="C28" s="7">
        <f t="shared" si="1"/>
        <v>1</v>
      </c>
      <c r="D28" s="7" t="str">
        <f>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Methods:</v>
      </c>
    </row>
    <row r="29" spans="1:4" x14ac:dyDescent="0.25">
      <c r="A29" s="7">
        <f t="shared" si="0"/>
        <v>20</v>
      </c>
      <c r="B29" s="7" t="str">
        <f>OFFSET('YODA Header Blocks'!$A$1,0,A29)</f>
        <v>Methods</v>
      </c>
      <c r="C29" s="7">
        <f t="shared" si="1"/>
        <v>2</v>
      </c>
      <c r="D29" s="7" t="str">
        <f>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PLEASE FILL IN AT LEAST ONE METHOD</v>
      </c>
    </row>
    <row r="30" spans="1:4" x14ac:dyDescent="0.25">
      <c r="A30" s="7">
        <f t="shared" si="0"/>
        <v>21</v>
      </c>
      <c r="B30" s="7" t="str">
        <f>OFFSET('YODA Header Blocks'!$A$1,0,A30)</f>
        <v>Variables</v>
      </c>
      <c r="C30" s="7">
        <f t="shared" si="1"/>
        <v>1</v>
      </c>
      <c r="D30" s="7" t="str">
        <f>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Variables:</v>
      </c>
    </row>
    <row r="31" spans="1:4" x14ac:dyDescent="0.25">
      <c r="A31" s="7">
        <f t="shared" si="0"/>
        <v>21</v>
      </c>
      <c r="B31" s="7" t="str">
        <f>OFFSET('YODA Header Blocks'!$A$1,0,A31)</f>
        <v>Variables</v>
      </c>
      <c r="C31" s="7">
        <f t="shared" si="1"/>
        <v>2</v>
      </c>
      <c r="D31" s="7" t="str">
        <f>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PLEASE FILL IN AT LEAST ONE VARIABLE</v>
      </c>
    </row>
    <row r="32" spans="1:4" x14ac:dyDescent="0.25">
      <c r="A32" s="7">
        <f t="shared" si="0"/>
        <v>22</v>
      </c>
      <c r="B32" s="7" t="str">
        <f>OFFSET('YODA Header Blocks'!$A$1,0,A32)</f>
        <v>Units</v>
      </c>
      <c r="C32" s="7">
        <f t="shared" si="1"/>
        <v>1</v>
      </c>
      <c r="D32" s="7" t="str">
        <f>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
      </c>
    </row>
    <row r="33" spans="1:4" x14ac:dyDescent="0.25">
      <c r="A33" s="7">
        <f t="shared" si="0"/>
        <v>23</v>
      </c>
      <c r="B33" s="7" t="str">
        <f>OFFSET('YODA Header Blocks'!$A$1,0,A33)</f>
        <v>Processing Levels</v>
      </c>
      <c r="C33" s="7">
        <f t="shared" si="1"/>
        <v>1</v>
      </c>
      <c r="D33" s="7" t="str">
        <f>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Processing Levels:</v>
      </c>
    </row>
    <row r="34" spans="1:4" x14ac:dyDescent="0.25">
      <c r="A34" s="7">
        <f t="shared" si="0"/>
        <v>23</v>
      </c>
      <c r="B34" s="7" t="str">
        <f>OFFSET('YODA Header Blocks'!$A$1,0,A34)</f>
        <v>Processing Levels</v>
      </c>
      <c r="C34" s="7">
        <f t="shared" si="1"/>
        <v>2</v>
      </c>
      <c r="D34" s="7" t="str">
        <f>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35" spans="1:4" x14ac:dyDescent="0.25">
      <c r="A35" s="7">
        <f t="shared" si="0"/>
        <v>23</v>
      </c>
      <c r="B35" s="7" t="str">
        <f>OFFSET('YODA Header Blocks'!$A$1,0,A35)</f>
        <v>Processing Levels</v>
      </c>
      <c r="C35" s="7">
        <f t="shared" si="1"/>
        <v>3</v>
      </c>
      <c r="D35" s="7" t="str">
        <f>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"Processed data and data products that have undergone quality control"}</v>
      </c>
    </row>
    <row r="36" spans="1:4" x14ac:dyDescent="0.25">
      <c r="A36" s="7">
        <f t="shared" si="0"/>
        <v>23</v>
      </c>
      <c r="B36" s="7" t="str">
        <f>OFFSET('YODA Header Blocks'!$A$1,0,A36)</f>
        <v>Processing Levels</v>
      </c>
      <c r="C36" s="7">
        <f t="shared" si="1"/>
        <v>4</v>
      </c>
      <c r="D36" s="7" t="str">
        <f>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37" spans="1:4" x14ac:dyDescent="0.25">
      <c r="A37" s="7">
        <f t="shared" si="0"/>
        <v>23</v>
      </c>
      <c r="B37" s="7" t="str">
        <f>OFFSET('YODA Header Blocks'!$A$1,0,A37)</f>
        <v>Processing Levels</v>
      </c>
      <c r="C37" s="7">
        <f t="shared" si="1"/>
        <v>5</v>
      </c>
      <c r="D37" s="7" t="str">
        <f>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38" spans="1:4" x14ac:dyDescent="0.25">
      <c r="A38" s="7">
        <f t="shared" si="0"/>
        <v>23</v>
      </c>
      <c r="B38" s="7" t="str">
        <f>OFFSET('YODA Header Blocks'!$A$1,0,A38)</f>
        <v>Processing Levels</v>
      </c>
      <c r="C38" s="7">
        <f t="shared" si="1"/>
        <v>6</v>
      </c>
      <c r="D38" s="7" t="str">
        <f>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39" spans="1:4" x14ac:dyDescent="0.25">
      <c r="A39" s="7">
        <f t="shared" si="0"/>
        <v>24</v>
      </c>
      <c r="B39" s="7" t="str">
        <f>OFFSET('YODA Header Blocks'!$A$1,0,A39)</f>
        <v>Actions</v>
      </c>
      <c r="C39" s="7">
        <f t="shared" si="1"/>
        <v>1</v>
      </c>
      <c r="D39" s="7" t="str">
        <f>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Actions:</v>
      </c>
    </row>
    <row r="40" spans="1:4" x14ac:dyDescent="0.25">
      <c r="A40" s="7">
        <f t="shared" si="0"/>
        <v>24</v>
      </c>
      <c r="B40" s="7" t="str">
        <f>OFFSET('YODA Header Blocks'!$A$1,0,A40)</f>
        <v>Actions</v>
      </c>
      <c r="C40" s="7">
        <f t="shared" si="1"/>
        <v>2</v>
      </c>
      <c r="D40" s="7" t="str">
        <f>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PLEASE FILL IN METADATA FOR AT LEAST ONE DATA COLUMN</v>
      </c>
    </row>
    <row r="41" spans="1:4" x14ac:dyDescent="0.25">
      <c r="A41" s="7">
        <f t="shared" si="0"/>
        <v>25</v>
      </c>
      <c r="B41" s="7" t="str">
        <f>OFFSET('YODA Header Blocks'!$A$1,0,A41)</f>
        <v>Feature Actions</v>
      </c>
      <c r="C41" s="7">
        <f t="shared" si="1"/>
        <v>1</v>
      </c>
      <c r="D41" s="7" t="str">
        <f>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FeatureActions:</v>
      </c>
    </row>
    <row r="42" spans="1:4" x14ac:dyDescent="0.25">
      <c r="A42" s="7">
        <f t="shared" si="0"/>
        <v>25</v>
      </c>
      <c r="B42" s="7" t="str">
        <f>OFFSET('YODA Header Blocks'!$A$1,0,A42)</f>
        <v>Feature Actions</v>
      </c>
      <c r="C42" s="7">
        <f t="shared" si="1"/>
        <v>2</v>
      </c>
      <c r="D42" s="7" t="str">
        <f>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PLEASE FILL IN METADATA FOR AT LEAST ONE DATA COLUMN</v>
      </c>
    </row>
    <row r="43" spans="1:4" x14ac:dyDescent="0.25">
      <c r="A43" s="7">
        <f t="shared" si="0"/>
        <v>26</v>
      </c>
      <c r="B43" s="7" t="str">
        <f>OFFSET('YODA Header Blocks'!$A$1,0,A43)</f>
        <v>Results</v>
      </c>
      <c r="C43" s="7">
        <f t="shared" si="1"/>
        <v>1</v>
      </c>
      <c r="D43" s="7" t="str">
        <f>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Results:</v>
      </c>
    </row>
    <row r="44" spans="1:4" x14ac:dyDescent="0.25">
      <c r="A44" s="7">
        <f t="shared" si="0"/>
        <v>26</v>
      </c>
      <c r="B44" s="7" t="str">
        <f>OFFSET('YODA Header Blocks'!$A$1,0,A44)</f>
        <v>Results</v>
      </c>
      <c r="C44" s="7">
        <f t="shared" si="1"/>
        <v>2</v>
      </c>
      <c r="D44" s="7" t="str">
        <f>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PLEASE FILL IN METADATA FOR AT LEAST ONE DATA COLUMN</v>
      </c>
    </row>
    <row r="45" spans="1:4" x14ac:dyDescent="0.25">
      <c r="A45" s="7">
        <f t="shared" si="0"/>
        <v>27</v>
      </c>
      <c r="B45" s="7" t="str">
        <f>OFFSET('YODA Header Blocks'!$A$1,0,A45)</f>
        <v>Time Series Results</v>
      </c>
      <c r="C45" s="7">
        <f t="shared" si="1"/>
        <v>1</v>
      </c>
      <c r="D45" s="7" t="str">
        <f>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TimeSeriesResults:</v>
      </c>
    </row>
    <row r="46" spans="1:4" x14ac:dyDescent="0.25">
      <c r="A46" s="7">
        <f t="shared" si="0"/>
        <v>27</v>
      </c>
      <c r="B46" s="7" t="str">
        <f>OFFSET('YODA Header Blocks'!$A$1,0,A46)</f>
        <v>Time Series Results</v>
      </c>
      <c r="C46" s="7">
        <f t="shared" si="1"/>
        <v>2</v>
      </c>
      <c r="D46" s="7" t="str">
        <f>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PLEASE FILL IN METADATA FOR AT LEAST ONE DATA COLUMN</v>
      </c>
    </row>
    <row r="47" spans="1:4" x14ac:dyDescent="0.25">
      <c r="A47" s="7">
        <f t="shared" si="0"/>
        <v>28</v>
      </c>
      <c r="B47" s="7" t="str">
        <f>OFFSET('YODA Header Blocks'!$A$1,0,A47)</f>
        <v>Time Series Result Values</v>
      </c>
      <c r="C47" s="7">
        <f t="shared" si="1"/>
        <v>1</v>
      </c>
      <c r="D47" s="7" t="str">
        <f>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TimeSeriesResultValues:</v>
      </c>
    </row>
    <row r="48" spans="1:4" x14ac:dyDescent="0.25">
      <c r="A48" s="7">
        <f t="shared" si="0"/>
        <v>28</v>
      </c>
      <c r="B48" s="7" t="str">
        <f>OFFSET('YODA Header Blocks'!$A$1,0,A48)</f>
        <v>Time Series Result Values</v>
      </c>
      <c r="C48" s="7">
        <f t="shared" si="1"/>
        <v>2</v>
      </c>
      <c r="D48" s="7" t="str">
        <f>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 xml:space="preserve">  ColumnDefinitions:</v>
      </c>
    </row>
    <row r="49" spans="1:4" x14ac:dyDescent="0.25">
      <c r="A49" s="7">
        <f t="shared" si="0"/>
        <v>28</v>
      </c>
      <c r="B49" s="7" t="str">
        <f>OFFSET('YODA Header Blocks'!$A$1,0,A49)</f>
        <v>Time Series Result Values</v>
      </c>
      <c r="C49" s="7">
        <f t="shared" si="1"/>
        <v>3</v>
      </c>
      <c r="D49" s="7" t="str">
        <f>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50" spans="1:4" x14ac:dyDescent="0.25">
      <c r="A50" s="7">
        <f t="shared" si="0"/>
        <v>28</v>
      </c>
      <c r="B50" s="7" t="str">
        <f>OFFSET('YODA Header Blocks'!$A$1,0,A50)</f>
        <v>Time Series Result Values</v>
      </c>
      <c r="C50" s="7">
        <f t="shared" si="1"/>
        <v>4</v>
      </c>
      <c r="D50" s="7" t="str">
        <f>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51" spans="1:4" x14ac:dyDescent="0.25">
      <c r="A51" s="7">
        <f t="shared" si="0"/>
        <v>28</v>
      </c>
      <c r="B51" s="7" t="str">
        <f>OFFSET('YODA Header Blocks'!$A$1,0,A51)</f>
        <v>Time Series Result Values</v>
      </c>
      <c r="C51" s="7">
        <f t="shared" si="1"/>
        <v>5</v>
      </c>
      <c r="D51" s="7" t="str">
        <f>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PLEASE FILL IN METADATA FOR AT LEAST ONE DATA COLUMN</v>
      </c>
    </row>
    <row r="52" spans="1:4" x14ac:dyDescent="0.25">
      <c r="A52" s="7">
        <f t="shared" si="0"/>
        <v>29</v>
      </c>
      <c r="B52" s="7" t="str">
        <f>OFFSET('YODA Header Blocks'!$A$1,0,A52)</f>
        <v>Measurement Results</v>
      </c>
      <c r="C52" s="7">
        <f t="shared" si="1"/>
        <v>1</v>
      </c>
      <c r="D52" s="7" t="str">
        <f>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
      </c>
    </row>
    <row r="53" spans="1:4" x14ac:dyDescent="0.25">
      <c r="A53" s="7">
        <f t="shared" si="0"/>
        <v>30</v>
      </c>
      <c r="B53" s="7" t="str">
        <f>OFFSET('YODA Header Blocks'!$A$1,0,A53)</f>
        <v>Measurement Result Values</v>
      </c>
      <c r="C53" s="7">
        <f t="shared" si="1"/>
        <v>1</v>
      </c>
      <c r="D53" s="7" t="str">
        <f>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
      </c>
    </row>
    <row r="54" spans="1:4" x14ac:dyDescent="0.25">
      <c r="A54" s="7">
        <f t="shared" si="0"/>
        <v>31</v>
      </c>
      <c r="B54" s="7" t="str">
        <f>OFFSET('YODA Header Blocks'!$A$1,0,A54)</f>
        <v>Data Helper</v>
      </c>
      <c r="C54" s="7">
        <f t="shared" si="1"/>
        <v>1</v>
      </c>
      <c r="D54" s="7" t="str">
        <f>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xml:space="preserve">  Data:</v>
      </c>
    </row>
    <row r="55" spans="1:4" x14ac:dyDescent="0.25">
      <c r="A55" s="7">
        <f t="shared" si="0"/>
        <v>32</v>
      </c>
      <c r="B55" s="7" t="str">
        <f>OFFSET('YODA Header Blocks'!$A$1,0,A55)</f>
        <v>Data Helper2</v>
      </c>
      <c r="C55" s="7">
        <f t="shared" si="1"/>
        <v>1</v>
      </c>
      <c r="D55" s="7" t="str">
        <f>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 xml:space="preserve">  - [[</v>
      </c>
    </row>
    <row r="56" spans="1:4" x14ac:dyDescent="0.25">
      <c r="A56" s="7">
        <f t="shared" si="0"/>
        <v>32</v>
      </c>
      <c r="B56" s="7" t="str">
        <f>OFFSET('YODA Header Blocks'!$A$1,0,A56)</f>
        <v>Data Helper2</v>
      </c>
      <c r="C56" s="7">
        <f t="shared" si="1"/>
        <v>2</v>
      </c>
      <c r="D56" s="7" t="str">
        <f>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PLEASE FILL IN METADATA FOR AT LEAST ONE DATA COLUMN</v>
      </c>
    </row>
    <row r="57" spans="1:4" x14ac:dyDescent="0.25">
      <c r="A57" s="7">
        <f t="shared" si="0"/>
        <v>32</v>
      </c>
      <c r="B57" s="7" t="str">
        <f>OFFSET('YODA Header Blocks'!$A$1,0,A57)</f>
        <v>Data Helper2</v>
      </c>
      <c r="C57" s="7">
        <f t="shared" si="1"/>
        <v>3</v>
      </c>
      <c r="D57" s="7" t="str">
        <f>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PLEASE FILL IN DATA IN THE DATA VALUES WORKSHEET</v>
      </c>
    </row>
    <row r="58" spans="1:4" x14ac:dyDescent="0.25">
      <c r="D58" s="7" t="str">
        <f>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v>
      </c>
    </row>
    <row r="59" spans="1:4" x14ac:dyDescent="0.25">
      <c r="D59" s="7" t="str">
        <f>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41"/>
  <sheetViews>
    <sheetView workbookViewId="0">
      <selection activeCell="I20" sqref="I20"/>
    </sheetView>
  </sheetViews>
  <sheetFormatPr defaultRowHeight="15" x14ac:dyDescent="0.25"/>
  <sheetData>
    <row r="1" spans="1:1" x14ac:dyDescent="0.25">
      <c r="A1" t="s">
        <v>136</v>
      </c>
    </row>
    <row r="2" spans="1:1" x14ac:dyDescent="0.25">
      <c r="A2" t="s">
        <v>1373</v>
      </c>
    </row>
    <row r="3" spans="1:1" x14ac:dyDescent="0.25">
      <c r="A3" t="s">
        <v>1282</v>
      </c>
    </row>
    <row r="4" spans="1:1" x14ac:dyDescent="0.25">
      <c r="A4" t="s">
        <v>1394</v>
      </c>
    </row>
    <row r="5" spans="1:1" x14ac:dyDescent="0.25">
      <c r="A5" t="s">
        <v>191</v>
      </c>
    </row>
    <row r="6" spans="1:1" x14ac:dyDescent="0.25">
      <c r="A6" t="s">
        <v>1384</v>
      </c>
    </row>
    <row r="7" spans="1:1" x14ac:dyDescent="0.25">
      <c r="A7" t="s">
        <v>189</v>
      </c>
    </row>
    <row r="8" spans="1:1" x14ac:dyDescent="0.25">
      <c r="A8" t="s">
        <v>1385</v>
      </c>
    </row>
    <row r="9" spans="1:1" x14ac:dyDescent="0.25">
      <c r="A9" t="s">
        <v>192</v>
      </c>
    </row>
    <row r="10" spans="1:1" x14ac:dyDescent="0.25">
      <c r="A10" t="s">
        <v>234</v>
      </c>
    </row>
    <row r="11" spans="1:1" x14ac:dyDescent="0.25">
      <c r="A11" t="s">
        <v>1386</v>
      </c>
    </row>
    <row r="12" spans="1:1" x14ac:dyDescent="0.25">
      <c r="A12" t="s">
        <v>235</v>
      </c>
    </row>
    <row r="13" spans="1:1" x14ac:dyDescent="0.25">
      <c r="A13" t="s">
        <v>1387</v>
      </c>
    </row>
    <row r="14" spans="1:1" x14ac:dyDescent="0.25">
      <c r="A14" t="s">
        <v>295</v>
      </c>
    </row>
    <row r="15" spans="1:1" x14ac:dyDescent="0.25">
      <c r="A15" t="s">
        <v>1388</v>
      </c>
    </row>
    <row r="16" spans="1:1" x14ac:dyDescent="0.25">
      <c r="A16" t="s">
        <v>1106</v>
      </c>
    </row>
    <row r="17" spans="1:1" x14ac:dyDescent="0.25">
      <c r="A17" t="s">
        <v>1389</v>
      </c>
    </row>
    <row r="18" spans="1:1" x14ac:dyDescent="0.25">
      <c r="A18" t="s">
        <v>1228</v>
      </c>
    </row>
    <row r="19" spans="1:1" x14ac:dyDescent="0.25">
      <c r="A19" t="s">
        <v>1322</v>
      </c>
    </row>
    <row r="20" spans="1:1" x14ac:dyDescent="0.25">
      <c r="A20" t="s">
        <v>1323</v>
      </c>
    </row>
    <row r="21" spans="1:1" x14ac:dyDescent="0.25">
      <c r="A21" t="s">
        <v>1390</v>
      </c>
    </row>
    <row r="22" spans="1:1" x14ac:dyDescent="0.25">
      <c r="A22" t="s">
        <v>1391</v>
      </c>
    </row>
    <row r="23" spans="1:1" x14ac:dyDescent="0.25">
      <c r="A23" t="s">
        <v>1392</v>
      </c>
    </row>
    <row r="24" spans="1:1" x14ac:dyDescent="0.25">
      <c r="A24" t="s">
        <v>1235</v>
      </c>
    </row>
    <row r="25" spans="1:1" x14ac:dyDescent="0.25">
      <c r="A25" t="s">
        <v>1393</v>
      </c>
    </row>
    <row r="26" spans="1:1" x14ac:dyDescent="0.25">
      <c r="A26" t="s">
        <v>1237</v>
      </c>
    </row>
    <row r="27" spans="1:1" x14ac:dyDescent="0.25">
      <c r="A27" t="s">
        <v>1393</v>
      </c>
    </row>
    <row r="28" spans="1:1" x14ac:dyDescent="0.25">
      <c r="A28" t="s">
        <v>1239</v>
      </c>
    </row>
    <row r="29" spans="1:1" x14ac:dyDescent="0.25">
      <c r="A29" t="s">
        <v>1393</v>
      </c>
    </row>
    <row r="30" spans="1:1" x14ac:dyDescent="0.25">
      <c r="A30" t="s">
        <v>1240</v>
      </c>
    </row>
    <row r="31" spans="1:1" x14ac:dyDescent="0.25">
      <c r="A31" t="s">
        <v>1393</v>
      </c>
    </row>
    <row r="32" spans="1:1" x14ac:dyDescent="0.25">
      <c r="A32" t="s">
        <v>1242</v>
      </c>
    </row>
    <row r="33" spans="1:1" x14ac:dyDescent="0.25">
      <c r="A33" t="s">
        <v>1247</v>
      </c>
    </row>
    <row r="34" spans="1:1" x14ac:dyDescent="0.25">
      <c r="A34" t="s">
        <v>1248</v>
      </c>
    </row>
    <row r="35" spans="1:1" x14ac:dyDescent="0.25">
      <c r="A35" t="s">
        <v>1249</v>
      </c>
    </row>
    <row r="36" spans="1:1" x14ac:dyDescent="0.25">
      <c r="A36" t="s">
        <v>1393</v>
      </c>
    </row>
    <row r="37" spans="1:1" x14ac:dyDescent="0.25">
      <c r="A37" t="s">
        <v>1254</v>
      </c>
    </row>
    <row r="38" spans="1:1" x14ac:dyDescent="0.25">
      <c r="A38" t="s">
        <v>1257</v>
      </c>
    </row>
    <row r="39" spans="1:1" x14ac:dyDescent="0.25">
      <c r="A39" t="s">
        <v>1393</v>
      </c>
    </row>
    <row r="40" spans="1:1" x14ac:dyDescent="0.25">
      <c r="A40" t="s">
        <v>1377</v>
      </c>
    </row>
    <row r="41" spans="1:1" x14ac:dyDescent="0.25">
      <c r="A41" t="s">
        <v>1279</v>
      </c>
    </row>
  </sheetData>
  <conditionalFormatting sqref="A1:A1048576">
    <cfRule type="containsText" dxfId="0"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G1" workbookViewId="0">
      <selection activeCell="J1" sqref="J1:J1048576"/>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208</v>
      </c>
      <c r="B1" s="1" t="s">
        <v>221</v>
      </c>
      <c r="C1" s="1" t="s">
        <v>213</v>
      </c>
      <c r="D1" s="1" t="s">
        <v>214</v>
      </c>
      <c r="E1" s="1" t="s">
        <v>220</v>
      </c>
      <c r="F1" s="1" t="s">
        <v>215</v>
      </c>
      <c r="G1" s="1" t="s">
        <v>216</v>
      </c>
      <c r="H1" s="1" t="s">
        <v>217</v>
      </c>
      <c r="I1" s="1" t="s">
        <v>218</v>
      </c>
      <c r="J1" s="1" t="s">
        <v>219</v>
      </c>
      <c r="K1" s="1" t="s">
        <v>222</v>
      </c>
      <c r="L1" s="1" t="s">
        <v>256</v>
      </c>
      <c r="M1" s="1" t="s">
        <v>267</v>
      </c>
      <c r="N1" s="1" t="s">
        <v>313</v>
      </c>
      <c r="O1" s="1" t="s">
        <v>315</v>
      </c>
      <c r="P1" s="3" t="s">
        <v>1172</v>
      </c>
      <c r="Q1" s="1" t="s">
        <v>1185</v>
      </c>
      <c r="R1" s="1" t="s">
        <v>1186</v>
      </c>
      <c r="S1" s="1" t="s">
        <v>1197</v>
      </c>
      <c r="T1" s="1" t="s">
        <v>1215</v>
      </c>
      <c r="U1" s="1" t="s">
        <v>1236</v>
      </c>
    </row>
    <row r="2" spans="1:21" x14ac:dyDescent="0.25">
      <c r="A2" t="b">
        <v>1</v>
      </c>
      <c r="B2" s="2" t="s">
        <v>188</v>
      </c>
      <c r="C2" t="s">
        <v>14</v>
      </c>
      <c r="D2" t="s">
        <v>1113</v>
      </c>
      <c r="E2" t="s">
        <v>1117</v>
      </c>
      <c r="F2" t="s">
        <v>49</v>
      </c>
      <c r="G2" t="s">
        <v>57</v>
      </c>
      <c r="H2" t="s">
        <v>106</v>
      </c>
      <c r="I2" t="s">
        <v>133</v>
      </c>
      <c r="J2" t="s">
        <v>196</v>
      </c>
      <c r="K2" t="s">
        <v>223</v>
      </c>
      <c r="L2" t="s">
        <v>1144</v>
      </c>
      <c r="M2" t="s">
        <v>272</v>
      </c>
      <c r="N2" t="s">
        <v>1151</v>
      </c>
      <c r="O2" t="s">
        <v>316</v>
      </c>
      <c r="P2" t="s">
        <v>1173</v>
      </c>
      <c r="Q2" t="s">
        <v>1187</v>
      </c>
      <c r="R2" t="s">
        <v>1192</v>
      </c>
      <c r="S2" t="s">
        <v>1198</v>
      </c>
      <c r="T2" t="s">
        <v>1216</v>
      </c>
      <c r="U2" t="s">
        <v>272</v>
      </c>
    </row>
    <row r="3" spans="1:21" x14ac:dyDescent="0.25">
      <c r="A3" t="b">
        <v>0</v>
      </c>
      <c r="C3" t="s">
        <v>160</v>
      </c>
      <c r="D3" t="s">
        <v>1114</v>
      </c>
      <c r="E3" t="s">
        <v>28</v>
      </c>
      <c r="F3" t="s">
        <v>50</v>
      </c>
      <c r="G3" t="s">
        <v>58</v>
      </c>
      <c r="H3" t="s">
        <v>1118</v>
      </c>
      <c r="I3" t="s">
        <v>134</v>
      </c>
      <c r="J3" t="s">
        <v>197</v>
      </c>
      <c r="K3" t="s">
        <v>224</v>
      </c>
      <c r="L3" t="s">
        <v>1145</v>
      </c>
      <c r="M3" t="s">
        <v>273</v>
      </c>
      <c r="N3" t="s">
        <v>1152</v>
      </c>
      <c r="O3" t="s">
        <v>317</v>
      </c>
      <c r="P3" t="s">
        <v>1174</v>
      </c>
      <c r="Q3" t="s">
        <v>1188</v>
      </c>
      <c r="R3" t="s">
        <v>1193</v>
      </c>
      <c r="S3" t="s">
        <v>1199</v>
      </c>
      <c r="T3" t="s">
        <v>1217</v>
      </c>
      <c r="U3" t="s">
        <v>273</v>
      </c>
    </row>
    <row r="4" spans="1:21" x14ac:dyDescent="0.25">
      <c r="C4" t="s">
        <v>161</v>
      </c>
      <c r="D4" t="s">
        <v>1115</v>
      </c>
      <c r="E4" t="s">
        <v>29</v>
      </c>
      <c r="F4" t="s">
        <v>51</v>
      </c>
      <c r="G4" t="s">
        <v>59</v>
      </c>
      <c r="H4" t="s">
        <v>1119</v>
      </c>
      <c r="I4" t="s">
        <v>135</v>
      </c>
      <c r="J4" t="s">
        <v>1123</v>
      </c>
      <c r="K4" t="s">
        <v>225</v>
      </c>
      <c r="L4" t="s">
        <v>36</v>
      </c>
      <c r="M4" t="s">
        <v>274</v>
      </c>
      <c r="N4" t="s">
        <v>1153</v>
      </c>
      <c r="O4" t="s">
        <v>318</v>
      </c>
      <c r="P4" t="s">
        <v>1175</v>
      </c>
      <c r="Q4" t="s">
        <v>1189</v>
      </c>
      <c r="R4" t="s">
        <v>1194</v>
      </c>
      <c r="S4" t="s">
        <v>1200</v>
      </c>
      <c r="T4" t="s">
        <v>1218</v>
      </c>
      <c r="U4" t="s">
        <v>274</v>
      </c>
    </row>
    <row r="5" spans="1:21" x14ac:dyDescent="0.25">
      <c r="C5" t="s">
        <v>162</v>
      </c>
      <c r="D5" t="s">
        <v>1116</v>
      </c>
      <c r="E5" t="s">
        <v>30</v>
      </c>
      <c r="F5" t="s">
        <v>52</v>
      </c>
      <c r="G5" t="s">
        <v>60</v>
      </c>
      <c r="H5" t="s">
        <v>1120</v>
      </c>
      <c r="I5" t="s">
        <v>14</v>
      </c>
      <c r="J5" t="s">
        <v>201</v>
      </c>
      <c r="K5" t="s">
        <v>226</v>
      </c>
      <c r="L5" t="s">
        <v>1146</v>
      </c>
      <c r="M5" t="s">
        <v>275</v>
      </c>
      <c r="N5" t="s">
        <v>1154</v>
      </c>
      <c r="O5" t="s">
        <v>319</v>
      </c>
      <c r="P5" t="s">
        <v>1176</v>
      </c>
      <c r="Q5" t="s">
        <v>1190</v>
      </c>
      <c r="R5" t="s">
        <v>1195</v>
      </c>
      <c r="S5" t="s">
        <v>1201</v>
      </c>
      <c r="U5" t="s">
        <v>275</v>
      </c>
    </row>
    <row r="6" spans="1:21" x14ac:dyDescent="0.25">
      <c r="C6" t="s">
        <v>163</v>
      </c>
      <c r="D6" t="s">
        <v>115</v>
      </c>
      <c r="E6" t="s">
        <v>31</v>
      </c>
      <c r="F6" t="s">
        <v>53</v>
      </c>
      <c r="G6" t="s">
        <v>61</v>
      </c>
      <c r="H6" t="s">
        <v>1121</v>
      </c>
      <c r="J6" t="s">
        <v>1124</v>
      </c>
      <c r="K6" t="s">
        <v>49</v>
      </c>
      <c r="L6" t="s">
        <v>1147</v>
      </c>
      <c r="M6" t="s">
        <v>276</v>
      </c>
      <c r="N6" t="s">
        <v>1155</v>
      </c>
      <c r="O6" t="s">
        <v>320</v>
      </c>
      <c r="P6" t="s">
        <v>1177</v>
      </c>
      <c r="Q6" t="s">
        <v>1191</v>
      </c>
      <c r="R6" t="s">
        <v>14</v>
      </c>
      <c r="S6" t="s">
        <v>1202</v>
      </c>
      <c r="U6" t="s">
        <v>276</v>
      </c>
    </row>
    <row r="7" spans="1:21" x14ac:dyDescent="0.25">
      <c r="C7" t="s">
        <v>164</v>
      </c>
      <c r="E7" t="s">
        <v>32</v>
      </c>
      <c r="F7" t="s">
        <v>54</v>
      </c>
      <c r="G7" t="s">
        <v>62</v>
      </c>
      <c r="H7" t="s">
        <v>107</v>
      </c>
      <c r="J7" t="s">
        <v>1125</v>
      </c>
      <c r="K7" t="s">
        <v>115</v>
      </c>
      <c r="L7" t="s">
        <v>257</v>
      </c>
      <c r="M7" t="s">
        <v>277</v>
      </c>
      <c r="N7" t="s">
        <v>1156</v>
      </c>
      <c r="O7" t="s">
        <v>321</v>
      </c>
      <c r="P7" t="s">
        <v>1178</v>
      </c>
      <c r="S7" t="s">
        <v>1203</v>
      </c>
      <c r="U7" t="s">
        <v>277</v>
      </c>
    </row>
    <row r="8" spans="1:21" x14ac:dyDescent="0.25">
      <c r="C8" t="s">
        <v>165</v>
      </c>
      <c r="E8" t="s">
        <v>33</v>
      </c>
      <c r="F8" t="s">
        <v>55</v>
      </c>
      <c r="G8" t="s">
        <v>63</v>
      </c>
      <c r="H8" t="s">
        <v>108</v>
      </c>
      <c r="J8" t="s">
        <v>1126</v>
      </c>
      <c r="K8" t="s">
        <v>227</v>
      </c>
      <c r="L8" t="s">
        <v>258</v>
      </c>
      <c r="M8" t="s">
        <v>278</v>
      </c>
      <c r="N8" t="s">
        <v>1157</v>
      </c>
      <c r="O8" t="s">
        <v>322</v>
      </c>
      <c r="P8" t="s">
        <v>1179</v>
      </c>
      <c r="S8" t="s">
        <v>1204</v>
      </c>
      <c r="U8" t="s">
        <v>278</v>
      </c>
    </row>
    <row r="9" spans="1:21" x14ac:dyDescent="0.25">
      <c r="C9" t="s">
        <v>166</v>
      </c>
      <c r="E9" t="s">
        <v>34</v>
      </c>
      <c r="F9" t="s">
        <v>56</v>
      </c>
      <c r="G9" t="s">
        <v>64</v>
      </c>
      <c r="H9" t="s">
        <v>109</v>
      </c>
      <c r="J9" t="s">
        <v>1127</v>
      </c>
      <c r="K9" t="s">
        <v>228</v>
      </c>
      <c r="L9" t="s">
        <v>1148</v>
      </c>
      <c r="M9" t="s">
        <v>279</v>
      </c>
      <c r="N9" t="s">
        <v>1158</v>
      </c>
      <c r="O9" t="s">
        <v>323</v>
      </c>
      <c r="P9" t="s">
        <v>1180</v>
      </c>
      <c r="S9" t="s">
        <v>1205</v>
      </c>
      <c r="U9" t="s">
        <v>279</v>
      </c>
    </row>
    <row r="10" spans="1:21" x14ac:dyDescent="0.25">
      <c r="C10" t="s">
        <v>167</v>
      </c>
      <c r="E10" t="s">
        <v>35</v>
      </c>
      <c r="G10" t="s">
        <v>65</v>
      </c>
      <c r="H10" t="s">
        <v>110</v>
      </c>
      <c r="J10" t="s">
        <v>1128</v>
      </c>
      <c r="K10" t="s">
        <v>229</v>
      </c>
      <c r="L10" t="s">
        <v>1149</v>
      </c>
      <c r="M10" t="s">
        <v>280</v>
      </c>
      <c r="N10" t="s">
        <v>1159</v>
      </c>
      <c r="O10" t="s">
        <v>324</v>
      </c>
      <c r="P10" t="s">
        <v>1181</v>
      </c>
      <c r="S10" t="s">
        <v>1206</v>
      </c>
      <c r="U10" t="s">
        <v>280</v>
      </c>
    </row>
    <row r="11" spans="1:21" x14ac:dyDescent="0.25">
      <c r="C11" t="s">
        <v>168</v>
      </c>
      <c r="E11" t="s">
        <v>36</v>
      </c>
      <c r="G11" t="s">
        <v>66</v>
      </c>
      <c r="H11" t="s">
        <v>111</v>
      </c>
      <c r="J11" t="s">
        <v>1129</v>
      </c>
      <c r="K11" t="s">
        <v>13</v>
      </c>
      <c r="L11" t="s">
        <v>259</v>
      </c>
      <c r="M11" t="s">
        <v>281</v>
      </c>
      <c r="N11" t="s">
        <v>1160</v>
      </c>
      <c r="O11" t="s">
        <v>325</v>
      </c>
      <c r="P11" t="s">
        <v>1182</v>
      </c>
      <c r="S11" t="s">
        <v>1207</v>
      </c>
      <c r="U11" t="s">
        <v>281</v>
      </c>
    </row>
    <row r="12" spans="1:21" x14ac:dyDescent="0.25">
      <c r="C12" t="s">
        <v>169</v>
      </c>
      <c r="E12" t="s">
        <v>37</v>
      </c>
      <c r="G12" t="s">
        <v>67</v>
      </c>
      <c r="H12" t="s">
        <v>112</v>
      </c>
      <c r="J12" t="s">
        <v>1130</v>
      </c>
      <c r="K12" t="s">
        <v>230</v>
      </c>
      <c r="L12" t="s">
        <v>1150</v>
      </c>
      <c r="M12" t="s">
        <v>282</v>
      </c>
      <c r="N12" t="s">
        <v>1161</v>
      </c>
      <c r="O12" t="s">
        <v>326</v>
      </c>
      <c r="P12" t="s">
        <v>1183</v>
      </c>
      <c r="S12" t="s">
        <v>1208</v>
      </c>
      <c r="U12" t="s">
        <v>282</v>
      </c>
    </row>
    <row r="13" spans="1:21" x14ac:dyDescent="0.25">
      <c r="C13" t="s">
        <v>170</v>
      </c>
      <c r="E13" t="s">
        <v>38</v>
      </c>
      <c r="G13" t="s">
        <v>68</v>
      </c>
      <c r="H13" t="s">
        <v>113</v>
      </c>
      <c r="J13" t="s">
        <v>1131</v>
      </c>
      <c r="K13" t="s">
        <v>231</v>
      </c>
      <c r="M13" t="s">
        <v>283</v>
      </c>
      <c r="N13" t="s">
        <v>1162</v>
      </c>
      <c r="O13" t="s">
        <v>327</v>
      </c>
      <c r="P13" t="s">
        <v>1184</v>
      </c>
      <c r="S13" t="s">
        <v>1209</v>
      </c>
      <c r="U13" t="s">
        <v>283</v>
      </c>
    </row>
    <row r="14" spans="1:21" x14ac:dyDescent="0.25">
      <c r="C14" t="s">
        <v>171</v>
      </c>
      <c r="E14" t="s">
        <v>39</v>
      </c>
      <c r="G14" t="s">
        <v>69</v>
      </c>
      <c r="H14" t="s">
        <v>114</v>
      </c>
      <c r="J14" t="s">
        <v>1132</v>
      </c>
      <c r="K14" t="s">
        <v>232</v>
      </c>
      <c r="M14" t="s">
        <v>284</v>
      </c>
      <c r="N14" t="s">
        <v>1163</v>
      </c>
      <c r="O14" t="s">
        <v>328</v>
      </c>
      <c r="S14" t="s">
        <v>1210</v>
      </c>
      <c r="U14" t="s">
        <v>284</v>
      </c>
    </row>
    <row r="15" spans="1:21" x14ac:dyDescent="0.25">
      <c r="C15" t="s">
        <v>172</v>
      </c>
      <c r="E15" t="s">
        <v>40</v>
      </c>
      <c r="G15" t="s">
        <v>70</v>
      </c>
      <c r="H15" t="s">
        <v>115</v>
      </c>
      <c r="J15" t="s">
        <v>1133</v>
      </c>
      <c r="K15" t="s">
        <v>233</v>
      </c>
      <c r="M15" t="s">
        <v>285</v>
      </c>
      <c r="N15" t="s">
        <v>1164</v>
      </c>
      <c r="O15" t="s">
        <v>329</v>
      </c>
      <c r="S15" t="s">
        <v>14</v>
      </c>
      <c r="U15" t="s">
        <v>285</v>
      </c>
    </row>
    <row r="16" spans="1:21" x14ac:dyDescent="0.25">
      <c r="C16" t="s">
        <v>173</v>
      </c>
      <c r="E16" t="s">
        <v>41</v>
      </c>
      <c r="G16" t="s">
        <v>71</v>
      </c>
      <c r="H16" t="s">
        <v>116</v>
      </c>
      <c r="J16" t="s">
        <v>1134</v>
      </c>
      <c r="K16" t="s">
        <v>14</v>
      </c>
      <c r="M16" t="s">
        <v>286</v>
      </c>
      <c r="N16" t="s">
        <v>7</v>
      </c>
      <c r="O16" t="s">
        <v>330</v>
      </c>
      <c r="S16" t="s">
        <v>1211</v>
      </c>
      <c r="U16" t="s">
        <v>286</v>
      </c>
    </row>
    <row r="17" spans="3:21" x14ac:dyDescent="0.25">
      <c r="C17" t="s">
        <v>174</v>
      </c>
      <c r="E17" t="s">
        <v>42</v>
      </c>
      <c r="G17" t="s">
        <v>72</v>
      </c>
      <c r="H17" t="s">
        <v>117</v>
      </c>
      <c r="J17" t="s">
        <v>1135</v>
      </c>
      <c r="M17" t="s">
        <v>287</v>
      </c>
      <c r="N17" t="s">
        <v>8</v>
      </c>
      <c r="O17" t="s">
        <v>331</v>
      </c>
      <c r="U17" t="s">
        <v>287</v>
      </c>
    </row>
    <row r="18" spans="3:21" x14ac:dyDescent="0.25">
      <c r="C18" t="s">
        <v>175</v>
      </c>
      <c r="E18" t="s">
        <v>43</v>
      </c>
      <c r="G18" t="s">
        <v>73</v>
      </c>
      <c r="H18" t="s">
        <v>118</v>
      </c>
      <c r="J18" t="s">
        <v>1136</v>
      </c>
      <c r="M18" t="s">
        <v>288</v>
      </c>
      <c r="N18" t="s">
        <v>9</v>
      </c>
      <c r="O18" t="s">
        <v>332</v>
      </c>
      <c r="U18" t="s">
        <v>288</v>
      </c>
    </row>
    <row r="19" spans="3:21" x14ac:dyDescent="0.25">
      <c r="C19" t="s">
        <v>176</v>
      </c>
      <c r="E19" t="s">
        <v>44</v>
      </c>
      <c r="G19" t="s">
        <v>74</v>
      </c>
      <c r="H19" t="s">
        <v>119</v>
      </c>
      <c r="J19" t="s">
        <v>1137</v>
      </c>
      <c r="M19" t="s">
        <v>289</v>
      </c>
      <c r="N19" t="s">
        <v>10</v>
      </c>
      <c r="O19" t="s">
        <v>333</v>
      </c>
      <c r="U19" t="s">
        <v>289</v>
      </c>
    </row>
    <row r="20" spans="3:21" x14ac:dyDescent="0.25">
      <c r="C20" t="s">
        <v>177</v>
      </c>
      <c r="E20" t="s">
        <v>45</v>
      </c>
      <c r="G20" t="s">
        <v>75</v>
      </c>
      <c r="H20" t="s">
        <v>120</v>
      </c>
      <c r="J20" t="s">
        <v>1138</v>
      </c>
      <c r="M20" t="s">
        <v>290</v>
      </c>
      <c r="N20" t="s">
        <v>11</v>
      </c>
      <c r="O20" t="s">
        <v>334</v>
      </c>
      <c r="U20" t="s">
        <v>290</v>
      </c>
    </row>
    <row r="21" spans="3:21" x14ac:dyDescent="0.25">
      <c r="C21" t="s">
        <v>178</v>
      </c>
      <c r="E21" t="s">
        <v>46</v>
      </c>
      <c r="G21" t="s">
        <v>76</v>
      </c>
      <c r="H21" t="s">
        <v>121</v>
      </c>
      <c r="J21" t="s">
        <v>1139</v>
      </c>
      <c r="M21" t="s">
        <v>291</v>
      </c>
      <c r="N21" t="s">
        <v>12</v>
      </c>
      <c r="O21" t="s">
        <v>335</v>
      </c>
      <c r="U21" t="s">
        <v>291</v>
      </c>
    </row>
    <row r="22" spans="3:21" x14ac:dyDescent="0.25">
      <c r="C22" t="s">
        <v>179</v>
      </c>
      <c r="E22" t="s">
        <v>47</v>
      </c>
      <c r="G22" t="s">
        <v>77</v>
      </c>
      <c r="H22" t="s">
        <v>122</v>
      </c>
      <c r="J22" t="s">
        <v>198</v>
      </c>
      <c r="M22" t="s">
        <v>292</v>
      </c>
      <c r="N22" t="s">
        <v>13</v>
      </c>
      <c r="O22" t="s">
        <v>336</v>
      </c>
      <c r="U22" t="s">
        <v>292</v>
      </c>
    </row>
    <row r="23" spans="3:21" x14ac:dyDescent="0.25">
      <c r="C23" t="s">
        <v>180</v>
      </c>
      <c r="E23" t="s">
        <v>48</v>
      </c>
      <c r="G23" t="s">
        <v>78</v>
      </c>
      <c r="H23" t="s">
        <v>123</v>
      </c>
      <c r="J23" t="s">
        <v>199</v>
      </c>
      <c r="M23" t="s">
        <v>293</v>
      </c>
      <c r="N23" t="s">
        <v>14</v>
      </c>
      <c r="O23" t="s">
        <v>337</v>
      </c>
      <c r="U23" t="s">
        <v>293</v>
      </c>
    </row>
    <row r="24" spans="3:21" x14ac:dyDescent="0.25">
      <c r="C24" t="s">
        <v>181</v>
      </c>
      <c r="G24" t="s">
        <v>79</v>
      </c>
      <c r="H24" t="s">
        <v>124</v>
      </c>
      <c r="J24" t="s">
        <v>1140</v>
      </c>
      <c r="M24" t="s">
        <v>294</v>
      </c>
      <c r="N24" t="s">
        <v>314</v>
      </c>
      <c r="O24" t="s">
        <v>338</v>
      </c>
      <c r="U24" t="s">
        <v>294</v>
      </c>
    </row>
    <row r="25" spans="3:21" x14ac:dyDescent="0.25">
      <c r="C25" t="s">
        <v>182</v>
      </c>
      <c r="G25" t="s">
        <v>80</v>
      </c>
      <c r="H25" t="s">
        <v>1122</v>
      </c>
      <c r="J25" t="s">
        <v>1141</v>
      </c>
      <c r="M25" t="s">
        <v>14</v>
      </c>
      <c r="O25" t="s">
        <v>339</v>
      </c>
    </row>
    <row r="26" spans="3:21" x14ac:dyDescent="0.25">
      <c r="C26" t="s">
        <v>183</v>
      </c>
      <c r="G26" t="s">
        <v>81</v>
      </c>
      <c r="H26" t="s">
        <v>125</v>
      </c>
      <c r="J26" t="s">
        <v>1142</v>
      </c>
      <c r="O26" t="s">
        <v>340</v>
      </c>
    </row>
    <row r="27" spans="3:21" x14ac:dyDescent="0.25">
      <c r="C27" t="s">
        <v>184</v>
      </c>
      <c r="G27" t="s">
        <v>82</v>
      </c>
      <c r="H27" t="s">
        <v>126</v>
      </c>
      <c r="J27" t="s">
        <v>200</v>
      </c>
      <c r="O27" t="s">
        <v>341</v>
      </c>
    </row>
    <row r="28" spans="3:21" x14ac:dyDescent="0.25">
      <c r="G28" t="s">
        <v>83</v>
      </c>
      <c r="J28" t="s">
        <v>1143</v>
      </c>
      <c r="O28" t="s">
        <v>342</v>
      </c>
    </row>
    <row r="29" spans="3:21" x14ac:dyDescent="0.25">
      <c r="G29" t="s">
        <v>84</v>
      </c>
      <c r="O29" t="s">
        <v>343</v>
      </c>
    </row>
    <row r="30" spans="3:21" x14ac:dyDescent="0.25">
      <c r="G30" t="s">
        <v>85</v>
      </c>
      <c r="O30" t="s">
        <v>344</v>
      </c>
    </row>
    <row r="31" spans="3:21" x14ac:dyDescent="0.25">
      <c r="G31" t="s">
        <v>86</v>
      </c>
      <c r="O31" t="s">
        <v>345</v>
      </c>
    </row>
    <row r="32" spans="3:21" x14ac:dyDescent="0.25">
      <c r="G32" t="s">
        <v>87</v>
      </c>
      <c r="O32" t="s">
        <v>346</v>
      </c>
    </row>
    <row r="33" spans="7:15" x14ac:dyDescent="0.25">
      <c r="G33" t="s">
        <v>88</v>
      </c>
      <c r="O33" t="s">
        <v>347</v>
      </c>
    </row>
    <row r="34" spans="7:15" x14ac:dyDescent="0.25">
      <c r="G34" t="s">
        <v>89</v>
      </c>
      <c r="O34" t="s">
        <v>348</v>
      </c>
    </row>
    <row r="35" spans="7:15" x14ac:dyDescent="0.25">
      <c r="G35" t="s">
        <v>90</v>
      </c>
      <c r="O35" t="s">
        <v>349</v>
      </c>
    </row>
    <row r="36" spans="7:15" x14ac:dyDescent="0.25">
      <c r="G36" t="s">
        <v>91</v>
      </c>
      <c r="O36" t="s">
        <v>350</v>
      </c>
    </row>
    <row r="37" spans="7:15" x14ac:dyDescent="0.25">
      <c r="G37" t="s">
        <v>92</v>
      </c>
      <c r="O37" t="s">
        <v>351</v>
      </c>
    </row>
    <row r="38" spans="7:15" x14ac:dyDescent="0.25">
      <c r="G38" t="s">
        <v>93</v>
      </c>
      <c r="O38" t="s">
        <v>352</v>
      </c>
    </row>
    <row r="39" spans="7:15" x14ac:dyDescent="0.25">
      <c r="G39" t="s">
        <v>94</v>
      </c>
      <c r="O39" t="s">
        <v>353</v>
      </c>
    </row>
    <row r="40" spans="7:15" x14ac:dyDescent="0.25">
      <c r="G40" t="s">
        <v>95</v>
      </c>
      <c r="O40" t="s">
        <v>354</v>
      </c>
    </row>
    <row r="41" spans="7:15" x14ac:dyDescent="0.25">
      <c r="G41" t="s">
        <v>96</v>
      </c>
      <c r="O41" t="s">
        <v>355</v>
      </c>
    </row>
    <row r="42" spans="7:15" x14ac:dyDescent="0.25">
      <c r="G42" t="s">
        <v>14</v>
      </c>
      <c r="O42" t="s">
        <v>356</v>
      </c>
    </row>
    <row r="43" spans="7:15" x14ac:dyDescent="0.25">
      <c r="G43" t="s">
        <v>97</v>
      </c>
      <c r="O43" t="s">
        <v>357</v>
      </c>
    </row>
    <row r="44" spans="7:15" x14ac:dyDescent="0.25">
      <c r="G44" t="s">
        <v>98</v>
      </c>
      <c r="O44" t="s">
        <v>358</v>
      </c>
    </row>
    <row r="45" spans="7:15" x14ac:dyDescent="0.25">
      <c r="G45" t="s">
        <v>99</v>
      </c>
      <c r="O45" t="s">
        <v>359</v>
      </c>
    </row>
    <row r="46" spans="7:15" x14ac:dyDescent="0.25">
      <c r="G46" t="s">
        <v>100</v>
      </c>
      <c r="O46" t="s">
        <v>360</v>
      </c>
    </row>
    <row r="47" spans="7:15" x14ac:dyDescent="0.25">
      <c r="G47" t="s">
        <v>101</v>
      </c>
      <c r="O47" t="s">
        <v>361</v>
      </c>
    </row>
    <row r="48" spans="7:15" x14ac:dyDescent="0.25">
      <c r="G48" t="s">
        <v>102</v>
      </c>
      <c r="O48" t="s">
        <v>362</v>
      </c>
    </row>
    <row r="49" spans="7:15" x14ac:dyDescent="0.25">
      <c r="G49" t="s">
        <v>103</v>
      </c>
      <c r="O49" t="s">
        <v>363</v>
      </c>
    </row>
    <row r="50" spans="7:15" x14ac:dyDescent="0.25">
      <c r="G50" t="s">
        <v>104</v>
      </c>
      <c r="O50" t="s">
        <v>364</v>
      </c>
    </row>
    <row r="51" spans="7:15" x14ac:dyDescent="0.25">
      <c r="G51" t="s">
        <v>105</v>
      </c>
      <c r="O51" t="s">
        <v>365</v>
      </c>
    </row>
    <row r="52" spans="7:15" x14ac:dyDescent="0.25">
      <c r="O52" t="s">
        <v>366</v>
      </c>
    </row>
    <row r="53" spans="7:15" x14ac:dyDescent="0.25">
      <c r="O53" t="s">
        <v>367</v>
      </c>
    </row>
    <row r="54" spans="7:15" x14ac:dyDescent="0.25">
      <c r="O54" t="s">
        <v>368</v>
      </c>
    </row>
    <row r="55" spans="7:15" x14ac:dyDescent="0.25">
      <c r="O55" t="s">
        <v>369</v>
      </c>
    </row>
    <row r="56" spans="7:15" x14ac:dyDescent="0.25">
      <c r="O56" t="s">
        <v>370</v>
      </c>
    </row>
    <row r="57" spans="7:15" x14ac:dyDescent="0.25">
      <c r="O57" t="s">
        <v>371</v>
      </c>
    </row>
    <row r="58" spans="7:15" x14ac:dyDescent="0.25">
      <c r="O58" t="s">
        <v>372</v>
      </c>
    </row>
    <row r="59" spans="7:15" x14ac:dyDescent="0.25">
      <c r="O59" t="s">
        <v>373</v>
      </c>
    </row>
    <row r="60" spans="7:15" x14ac:dyDescent="0.25">
      <c r="O60" t="s">
        <v>374</v>
      </c>
    </row>
    <row r="61" spans="7:15" x14ac:dyDescent="0.25">
      <c r="O61" t="s">
        <v>375</v>
      </c>
    </row>
    <row r="62" spans="7:15" x14ac:dyDescent="0.25">
      <c r="O62" t="s">
        <v>376</v>
      </c>
    </row>
    <row r="63" spans="7:15" x14ac:dyDescent="0.25">
      <c r="O63" t="s">
        <v>377</v>
      </c>
    </row>
    <row r="64" spans="7:15" x14ac:dyDescent="0.25">
      <c r="O64" t="s">
        <v>378</v>
      </c>
    </row>
    <row r="65" spans="15:15" x14ac:dyDescent="0.25">
      <c r="O65" t="s">
        <v>379</v>
      </c>
    </row>
    <row r="66" spans="15:15" x14ac:dyDescent="0.25">
      <c r="O66" t="s">
        <v>380</v>
      </c>
    </row>
    <row r="67" spans="15:15" x14ac:dyDescent="0.25">
      <c r="O67" t="s">
        <v>381</v>
      </c>
    </row>
    <row r="68" spans="15:15" x14ac:dyDescent="0.25">
      <c r="O68" t="s">
        <v>382</v>
      </c>
    </row>
    <row r="69" spans="15:15" x14ac:dyDescent="0.25">
      <c r="O69" t="s">
        <v>383</v>
      </c>
    </row>
    <row r="70" spans="15:15" x14ac:dyDescent="0.25">
      <c r="O70" t="s">
        <v>384</v>
      </c>
    </row>
    <row r="71" spans="15:15" x14ac:dyDescent="0.25">
      <c r="O71" t="s">
        <v>385</v>
      </c>
    </row>
    <row r="72" spans="15:15" x14ac:dyDescent="0.25">
      <c r="O72" t="s">
        <v>386</v>
      </c>
    </row>
    <row r="73" spans="15:15" x14ac:dyDescent="0.25">
      <c r="O73" t="s">
        <v>387</v>
      </c>
    </row>
    <row r="74" spans="15:15" x14ac:dyDescent="0.25">
      <c r="O74" t="s">
        <v>388</v>
      </c>
    </row>
    <row r="75" spans="15:15" x14ac:dyDescent="0.25">
      <c r="O75" t="s">
        <v>389</v>
      </c>
    </row>
    <row r="76" spans="15:15" x14ac:dyDescent="0.25">
      <c r="O76" t="s">
        <v>390</v>
      </c>
    </row>
    <row r="77" spans="15:15" x14ac:dyDescent="0.25">
      <c r="O77" t="s">
        <v>391</v>
      </c>
    </row>
    <row r="78" spans="15:15" x14ac:dyDescent="0.25">
      <c r="O78" t="s">
        <v>392</v>
      </c>
    </row>
    <row r="79" spans="15:15" x14ac:dyDescent="0.25">
      <c r="O79" t="s">
        <v>393</v>
      </c>
    </row>
    <row r="80" spans="15:15" x14ac:dyDescent="0.25">
      <c r="O80" t="s">
        <v>394</v>
      </c>
    </row>
    <row r="81" spans="15:15" x14ac:dyDescent="0.25">
      <c r="O81" t="s">
        <v>395</v>
      </c>
    </row>
    <row r="82" spans="15:15" x14ac:dyDescent="0.25">
      <c r="O82" t="s">
        <v>396</v>
      </c>
    </row>
    <row r="83" spans="15:15" x14ac:dyDescent="0.25">
      <c r="O83" t="s">
        <v>397</v>
      </c>
    </row>
    <row r="84" spans="15:15" x14ac:dyDescent="0.25">
      <c r="O84" t="s">
        <v>398</v>
      </c>
    </row>
    <row r="85" spans="15:15" x14ac:dyDescent="0.25">
      <c r="O85" t="s">
        <v>399</v>
      </c>
    </row>
    <row r="86" spans="15:15" x14ac:dyDescent="0.25">
      <c r="O86" t="s">
        <v>400</v>
      </c>
    </row>
    <row r="87" spans="15:15" x14ac:dyDescent="0.25">
      <c r="O87" t="s">
        <v>401</v>
      </c>
    </row>
    <row r="88" spans="15:15" x14ac:dyDescent="0.25">
      <c r="O88" t="s">
        <v>402</v>
      </c>
    </row>
    <row r="89" spans="15:15" x14ac:dyDescent="0.25">
      <c r="O89" t="s">
        <v>403</v>
      </c>
    </row>
    <row r="90" spans="15:15" x14ac:dyDescent="0.25">
      <c r="O90" t="s">
        <v>404</v>
      </c>
    </row>
    <row r="91" spans="15:15" x14ac:dyDescent="0.25">
      <c r="O91" t="s">
        <v>405</v>
      </c>
    </row>
    <row r="92" spans="15:15" x14ac:dyDescent="0.25">
      <c r="O92" t="s">
        <v>406</v>
      </c>
    </row>
    <row r="93" spans="15:15" x14ac:dyDescent="0.25">
      <c r="O93" t="s">
        <v>407</v>
      </c>
    </row>
    <row r="94" spans="15:15" x14ac:dyDescent="0.25">
      <c r="O94" t="s">
        <v>408</v>
      </c>
    </row>
    <row r="95" spans="15:15" x14ac:dyDescent="0.25">
      <c r="O95" t="s">
        <v>409</v>
      </c>
    </row>
    <row r="96" spans="15:15" x14ac:dyDescent="0.25">
      <c r="O96" t="s">
        <v>410</v>
      </c>
    </row>
    <row r="97" spans="15:15" x14ac:dyDescent="0.25">
      <c r="O97" t="s">
        <v>411</v>
      </c>
    </row>
    <row r="98" spans="15:15" x14ac:dyDescent="0.25">
      <c r="O98" t="s">
        <v>412</v>
      </c>
    </row>
    <row r="99" spans="15:15" x14ac:dyDescent="0.25">
      <c r="O99" t="s">
        <v>413</v>
      </c>
    </row>
    <row r="100" spans="15:15" x14ac:dyDescent="0.25">
      <c r="O100" t="s">
        <v>414</v>
      </c>
    </row>
    <row r="101" spans="15:15" x14ac:dyDescent="0.25">
      <c r="O101" t="s">
        <v>415</v>
      </c>
    </row>
    <row r="102" spans="15:15" x14ac:dyDescent="0.25">
      <c r="O102" t="s">
        <v>416</v>
      </c>
    </row>
    <row r="103" spans="15:15" x14ac:dyDescent="0.25">
      <c r="O103" t="s">
        <v>417</v>
      </c>
    </row>
    <row r="104" spans="15:15" x14ac:dyDescent="0.25">
      <c r="O104" t="s">
        <v>418</v>
      </c>
    </row>
    <row r="105" spans="15:15" x14ac:dyDescent="0.25">
      <c r="O105" t="s">
        <v>419</v>
      </c>
    </row>
    <row r="106" spans="15:15" x14ac:dyDescent="0.25">
      <c r="O106" t="s">
        <v>420</v>
      </c>
    </row>
    <row r="107" spans="15:15" x14ac:dyDescent="0.25">
      <c r="O107" t="s">
        <v>421</v>
      </c>
    </row>
    <row r="108" spans="15:15" x14ac:dyDescent="0.25">
      <c r="O108" t="s">
        <v>422</v>
      </c>
    </row>
    <row r="109" spans="15:15" x14ac:dyDescent="0.25">
      <c r="O109" t="s">
        <v>423</v>
      </c>
    </row>
    <row r="110" spans="15:15" x14ac:dyDescent="0.25">
      <c r="O110" t="s">
        <v>424</v>
      </c>
    </row>
    <row r="111" spans="15:15" x14ac:dyDescent="0.25">
      <c r="O111" t="s">
        <v>425</v>
      </c>
    </row>
    <row r="112" spans="15:15" x14ac:dyDescent="0.25">
      <c r="O112" t="s">
        <v>426</v>
      </c>
    </row>
    <row r="113" spans="15:15" x14ac:dyDescent="0.25">
      <c r="O113" t="s">
        <v>427</v>
      </c>
    </row>
    <row r="114" spans="15:15" x14ac:dyDescent="0.25">
      <c r="O114" t="s">
        <v>428</v>
      </c>
    </row>
    <row r="115" spans="15:15" x14ac:dyDescent="0.25">
      <c r="O115" t="s">
        <v>429</v>
      </c>
    </row>
    <row r="116" spans="15:15" x14ac:dyDescent="0.25">
      <c r="O116" t="s">
        <v>430</v>
      </c>
    </row>
    <row r="117" spans="15:15" x14ac:dyDescent="0.25">
      <c r="O117" t="s">
        <v>431</v>
      </c>
    </row>
    <row r="118" spans="15:15" x14ac:dyDescent="0.25">
      <c r="O118" t="s">
        <v>432</v>
      </c>
    </row>
    <row r="119" spans="15:15" x14ac:dyDescent="0.25">
      <c r="O119" t="s">
        <v>433</v>
      </c>
    </row>
    <row r="120" spans="15:15" x14ac:dyDescent="0.25">
      <c r="O120" t="s">
        <v>434</v>
      </c>
    </row>
    <row r="121" spans="15:15" x14ac:dyDescent="0.25">
      <c r="O121" t="s">
        <v>435</v>
      </c>
    </row>
    <row r="122" spans="15:15" x14ac:dyDescent="0.25">
      <c r="O122" t="s">
        <v>436</v>
      </c>
    </row>
    <row r="123" spans="15:15" x14ac:dyDescent="0.25">
      <c r="O123" t="s">
        <v>437</v>
      </c>
    </row>
    <row r="124" spans="15:15" x14ac:dyDescent="0.25">
      <c r="O124" t="s">
        <v>438</v>
      </c>
    </row>
    <row r="125" spans="15:15" x14ac:dyDescent="0.25">
      <c r="O125" t="s">
        <v>439</v>
      </c>
    </row>
    <row r="126" spans="15:15" x14ac:dyDescent="0.25">
      <c r="O126" t="s">
        <v>440</v>
      </c>
    </row>
    <row r="127" spans="15:15" x14ac:dyDescent="0.25">
      <c r="O127" t="s">
        <v>441</v>
      </c>
    </row>
    <row r="128" spans="15:15" x14ac:dyDescent="0.25">
      <c r="O128" t="s">
        <v>442</v>
      </c>
    </row>
    <row r="129" spans="15:15" x14ac:dyDescent="0.25">
      <c r="O129" t="s">
        <v>443</v>
      </c>
    </row>
    <row r="130" spans="15:15" x14ac:dyDescent="0.25">
      <c r="O130" t="s">
        <v>444</v>
      </c>
    </row>
    <row r="131" spans="15:15" x14ac:dyDescent="0.25">
      <c r="O131" t="s">
        <v>445</v>
      </c>
    </row>
    <row r="132" spans="15:15" x14ac:dyDescent="0.25">
      <c r="O132" t="s">
        <v>446</v>
      </c>
    </row>
    <row r="133" spans="15:15" x14ac:dyDescent="0.25">
      <c r="O133" t="s">
        <v>447</v>
      </c>
    </row>
    <row r="134" spans="15:15" x14ac:dyDescent="0.25">
      <c r="O134" t="s">
        <v>448</v>
      </c>
    </row>
    <row r="135" spans="15:15" x14ac:dyDescent="0.25">
      <c r="O135" t="s">
        <v>449</v>
      </c>
    </row>
    <row r="136" spans="15:15" x14ac:dyDescent="0.25">
      <c r="O136" t="s">
        <v>450</v>
      </c>
    </row>
    <row r="137" spans="15:15" x14ac:dyDescent="0.25">
      <c r="O137" t="s">
        <v>451</v>
      </c>
    </row>
    <row r="138" spans="15:15" x14ac:dyDescent="0.25">
      <c r="O138" t="s">
        <v>452</v>
      </c>
    </row>
    <row r="139" spans="15:15" x14ac:dyDescent="0.25">
      <c r="O139" t="s">
        <v>453</v>
      </c>
    </row>
    <row r="140" spans="15:15" x14ac:dyDescent="0.25">
      <c r="O140" t="s">
        <v>454</v>
      </c>
    </row>
    <row r="141" spans="15:15" x14ac:dyDescent="0.25">
      <c r="O141" t="s">
        <v>455</v>
      </c>
    </row>
    <row r="142" spans="15:15" x14ac:dyDescent="0.25">
      <c r="O142" t="s">
        <v>456</v>
      </c>
    </row>
    <row r="143" spans="15:15" x14ac:dyDescent="0.25">
      <c r="O143" t="s">
        <v>457</v>
      </c>
    </row>
    <row r="144" spans="15:15" x14ac:dyDescent="0.25">
      <c r="O144" t="s">
        <v>458</v>
      </c>
    </row>
    <row r="145" spans="15:15" x14ac:dyDescent="0.25">
      <c r="O145" t="s">
        <v>459</v>
      </c>
    </row>
    <row r="146" spans="15:15" x14ac:dyDescent="0.25">
      <c r="O146" t="s">
        <v>460</v>
      </c>
    </row>
    <row r="147" spans="15:15" x14ac:dyDescent="0.25">
      <c r="O147" t="s">
        <v>461</v>
      </c>
    </row>
    <row r="148" spans="15:15" x14ac:dyDescent="0.25">
      <c r="O148" t="s">
        <v>462</v>
      </c>
    </row>
    <row r="149" spans="15:15" x14ac:dyDescent="0.25">
      <c r="O149" t="s">
        <v>463</v>
      </c>
    </row>
    <row r="150" spans="15:15" x14ac:dyDescent="0.25">
      <c r="O150" t="s">
        <v>464</v>
      </c>
    </row>
    <row r="151" spans="15:15" x14ac:dyDescent="0.25">
      <c r="O151" t="s">
        <v>465</v>
      </c>
    </row>
    <row r="152" spans="15:15" x14ac:dyDescent="0.25">
      <c r="O152" t="s">
        <v>466</v>
      </c>
    </row>
    <row r="153" spans="15:15" x14ac:dyDescent="0.25">
      <c r="O153" t="s">
        <v>467</v>
      </c>
    </row>
    <row r="154" spans="15:15" x14ac:dyDescent="0.25">
      <c r="O154" t="s">
        <v>468</v>
      </c>
    </row>
    <row r="155" spans="15:15" x14ac:dyDescent="0.25">
      <c r="O155" t="s">
        <v>469</v>
      </c>
    </row>
    <row r="156" spans="15:15" x14ac:dyDescent="0.25">
      <c r="O156" t="s">
        <v>470</v>
      </c>
    </row>
    <row r="157" spans="15:15" x14ac:dyDescent="0.25">
      <c r="O157" t="s">
        <v>471</v>
      </c>
    </row>
    <row r="158" spans="15:15" x14ac:dyDescent="0.25">
      <c r="O158" t="s">
        <v>472</v>
      </c>
    </row>
    <row r="159" spans="15:15" x14ac:dyDescent="0.25">
      <c r="O159" t="s">
        <v>473</v>
      </c>
    </row>
    <row r="160" spans="15:15" x14ac:dyDescent="0.25">
      <c r="O160" t="s">
        <v>474</v>
      </c>
    </row>
    <row r="161" spans="15:15" x14ac:dyDescent="0.25">
      <c r="O161" t="s">
        <v>475</v>
      </c>
    </row>
    <row r="162" spans="15:15" x14ac:dyDescent="0.25">
      <c r="O162" t="s">
        <v>476</v>
      </c>
    </row>
    <row r="163" spans="15:15" x14ac:dyDescent="0.25">
      <c r="O163" t="s">
        <v>477</v>
      </c>
    </row>
    <row r="164" spans="15:15" x14ac:dyDescent="0.25">
      <c r="O164" t="s">
        <v>478</v>
      </c>
    </row>
    <row r="165" spans="15:15" x14ac:dyDescent="0.25">
      <c r="O165" t="s">
        <v>479</v>
      </c>
    </row>
    <row r="166" spans="15:15" x14ac:dyDescent="0.25">
      <c r="O166" t="s">
        <v>480</v>
      </c>
    </row>
    <row r="167" spans="15:15" x14ac:dyDescent="0.25">
      <c r="O167" t="s">
        <v>481</v>
      </c>
    </row>
    <row r="168" spans="15:15" x14ac:dyDescent="0.25">
      <c r="O168" t="s">
        <v>482</v>
      </c>
    </row>
    <row r="169" spans="15:15" x14ac:dyDescent="0.25">
      <c r="O169" t="s">
        <v>483</v>
      </c>
    </row>
    <row r="170" spans="15:15" x14ac:dyDescent="0.25">
      <c r="O170" t="s">
        <v>484</v>
      </c>
    </row>
    <row r="171" spans="15:15" x14ac:dyDescent="0.25">
      <c r="O171" t="s">
        <v>485</v>
      </c>
    </row>
    <row r="172" spans="15:15" x14ac:dyDescent="0.25">
      <c r="O172" t="s">
        <v>486</v>
      </c>
    </row>
    <row r="173" spans="15:15" x14ac:dyDescent="0.25">
      <c r="O173" t="s">
        <v>487</v>
      </c>
    </row>
    <row r="174" spans="15:15" x14ac:dyDescent="0.25">
      <c r="O174" t="s">
        <v>488</v>
      </c>
    </row>
    <row r="175" spans="15:15" x14ac:dyDescent="0.25">
      <c r="O175" t="s">
        <v>489</v>
      </c>
    </row>
    <row r="176" spans="15:15" x14ac:dyDescent="0.25">
      <c r="O176" t="s">
        <v>490</v>
      </c>
    </row>
    <row r="177" spans="15:15" x14ac:dyDescent="0.25">
      <c r="O177" t="s">
        <v>491</v>
      </c>
    </row>
    <row r="178" spans="15:15" x14ac:dyDescent="0.25">
      <c r="O178" t="s">
        <v>492</v>
      </c>
    </row>
    <row r="179" spans="15:15" x14ac:dyDescent="0.25">
      <c r="O179" t="s">
        <v>493</v>
      </c>
    </row>
    <row r="180" spans="15:15" x14ac:dyDescent="0.25">
      <c r="O180" t="s">
        <v>494</v>
      </c>
    </row>
    <row r="181" spans="15:15" x14ac:dyDescent="0.25">
      <c r="O181" t="s">
        <v>495</v>
      </c>
    </row>
    <row r="182" spans="15:15" x14ac:dyDescent="0.25">
      <c r="O182" t="s">
        <v>496</v>
      </c>
    </row>
    <row r="183" spans="15:15" x14ac:dyDescent="0.25">
      <c r="O183" t="s">
        <v>497</v>
      </c>
    </row>
    <row r="184" spans="15:15" x14ac:dyDescent="0.25">
      <c r="O184" t="s">
        <v>498</v>
      </c>
    </row>
    <row r="185" spans="15:15" x14ac:dyDescent="0.25">
      <c r="O185" t="s">
        <v>499</v>
      </c>
    </row>
    <row r="186" spans="15:15" x14ac:dyDescent="0.25">
      <c r="O186" t="s">
        <v>500</v>
      </c>
    </row>
    <row r="187" spans="15:15" x14ac:dyDescent="0.25">
      <c r="O187" t="s">
        <v>501</v>
      </c>
    </row>
    <row r="188" spans="15:15" x14ac:dyDescent="0.25">
      <c r="O188" t="s">
        <v>502</v>
      </c>
    </row>
    <row r="189" spans="15:15" x14ac:dyDescent="0.25">
      <c r="O189" t="s">
        <v>503</v>
      </c>
    </row>
    <row r="190" spans="15:15" x14ac:dyDescent="0.25">
      <c r="O190" t="s">
        <v>504</v>
      </c>
    </row>
    <row r="191" spans="15:15" x14ac:dyDescent="0.25">
      <c r="O191" t="s">
        <v>505</v>
      </c>
    </row>
    <row r="192" spans="15:15" x14ac:dyDescent="0.25">
      <c r="O192" t="s">
        <v>506</v>
      </c>
    </row>
    <row r="193" spans="15:15" x14ac:dyDescent="0.25">
      <c r="O193" t="s">
        <v>507</v>
      </c>
    </row>
    <row r="194" spans="15:15" x14ac:dyDescent="0.25">
      <c r="O194" t="s">
        <v>508</v>
      </c>
    </row>
    <row r="195" spans="15:15" x14ac:dyDescent="0.25">
      <c r="O195" t="s">
        <v>509</v>
      </c>
    </row>
    <row r="196" spans="15:15" x14ac:dyDescent="0.25">
      <c r="O196" t="s">
        <v>510</v>
      </c>
    </row>
    <row r="197" spans="15:15" x14ac:dyDescent="0.25">
      <c r="O197" t="s">
        <v>511</v>
      </c>
    </row>
    <row r="198" spans="15:15" x14ac:dyDescent="0.25">
      <c r="O198" t="s">
        <v>512</v>
      </c>
    </row>
    <row r="199" spans="15:15" x14ac:dyDescent="0.25">
      <c r="O199" t="s">
        <v>513</v>
      </c>
    </row>
    <row r="200" spans="15:15" x14ac:dyDescent="0.25">
      <c r="O200" t="s">
        <v>514</v>
      </c>
    </row>
    <row r="201" spans="15:15" x14ac:dyDescent="0.25">
      <c r="O201" t="s">
        <v>515</v>
      </c>
    </row>
    <row r="202" spans="15:15" x14ac:dyDescent="0.25">
      <c r="O202" t="s">
        <v>516</v>
      </c>
    </row>
    <row r="203" spans="15:15" x14ac:dyDescent="0.25">
      <c r="O203" t="s">
        <v>517</v>
      </c>
    </row>
    <row r="204" spans="15:15" x14ac:dyDescent="0.25">
      <c r="O204" t="s">
        <v>518</v>
      </c>
    </row>
    <row r="205" spans="15:15" x14ac:dyDescent="0.25">
      <c r="O205" t="s">
        <v>519</v>
      </c>
    </row>
    <row r="206" spans="15:15" x14ac:dyDescent="0.25">
      <c r="O206" t="s">
        <v>520</v>
      </c>
    </row>
    <row r="207" spans="15:15" x14ac:dyDescent="0.25">
      <c r="O207" t="s">
        <v>521</v>
      </c>
    </row>
    <row r="208" spans="15:15" x14ac:dyDescent="0.25">
      <c r="O208" t="s">
        <v>522</v>
      </c>
    </row>
    <row r="209" spans="15:15" x14ac:dyDescent="0.25">
      <c r="O209" t="s">
        <v>523</v>
      </c>
    </row>
    <row r="210" spans="15:15" x14ac:dyDescent="0.25">
      <c r="O210" t="s">
        <v>524</v>
      </c>
    </row>
    <row r="211" spans="15:15" x14ac:dyDescent="0.25">
      <c r="O211" t="s">
        <v>525</v>
      </c>
    </row>
    <row r="212" spans="15:15" x14ac:dyDescent="0.25">
      <c r="O212" t="s">
        <v>526</v>
      </c>
    </row>
    <row r="213" spans="15:15" x14ac:dyDescent="0.25">
      <c r="O213" t="s">
        <v>527</v>
      </c>
    </row>
    <row r="214" spans="15:15" x14ac:dyDescent="0.25">
      <c r="O214" t="s">
        <v>528</v>
      </c>
    </row>
    <row r="215" spans="15:15" x14ac:dyDescent="0.25">
      <c r="O215" t="s">
        <v>529</v>
      </c>
    </row>
    <row r="216" spans="15:15" x14ac:dyDescent="0.25">
      <c r="O216" t="s">
        <v>530</v>
      </c>
    </row>
    <row r="217" spans="15:15" x14ac:dyDescent="0.25">
      <c r="O217" t="s">
        <v>531</v>
      </c>
    </row>
    <row r="218" spans="15:15" x14ac:dyDescent="0.25">
      <c r="O218" t="s">
        <v>532</v>
      </c>
    </row>
    <row r="219" spans="15:15" x14ac:dyDescent="0.25">
      <c r="O219" t="s">
        <v>533</v>
      </c>
    </row>
    <row r="220" spans="15:15" x14ac:dyDescent="0.25">
      <c r="O220" t="s">
        <v>534</v>
      </c>
    </row>
    <row r="221" spans="15:15" x14ac:dyDescent="0.25">
      <c r="O221" t="s">
        <v>535</v>
      </c>
    </row>
    <row r="222" spans="15:15" x14ac:dyDescent="0.25">
      <c r="O222" t="s">
        <v>536</v>
      </c>
    </row>
    <row r="223" spans="15:15" x14ac:dyDescent="0.25">
      <c r="O223" t="s">
        <v>537</v>
      </c>
    </row>
    <row r="224" spans="15:15" x14ac:dyDescent="0.25">
      <c r="O224" t="s">
        <v>538</v>
      </c>
    </row>
    <row r="225" spans="15:15" x14ac:dyDescent="0.25">
      <c r="O225" t="s">
        <v>539</v>
      </c>
    </row>
    <row r="226" spans="15:15" x14ac:dyDescent="0.25">
      <c r="O226" t="s">
        <v>540</v>
      </c>
    </row>
    <row r="227" spans="15:15" x14ac:dyDescent="0.25">
      <c r="O227" t="s">
        <v>541</v>
      </c>
    </row>
    <row r="228" spans="15:15" x14ac:dyDescent="0.25">
      <c r="O228" t="s">
        <v>542</v>
      </c>
    </row>
    <row r="229" spans="15:15" x14ac:dyDescent="0.25">
      <c r="O229" t="s">
        <v>543</v>
      </c>
    </row>
    <row r="230" spans="15:15" x14ac:dyDescent="0.25">
      <c r="O230" t="s">
        <v>544</v>
      </c>
    </row>
    <row r="231" spans="15:15" x14ac:dyDescent="0.25">
      <c r="O231" t="s">
        <v>545</v>
      </c>
    </row>
    <row r="232" spans="15:15" x14ac:dyDescent="0.25">
      <c r="O232" t="s">
        <v>546</v>
      </c>
    </row>
    <row r="233" spans="15:15" x14ac:dyDescent="0.25">
      <c r="O233" t="s">
        <v>547</v>
      </c>
    </row>
    <row r="234" spans="15:15" x14ac:dyDescent="0.25">
      <c r="O234" t="s">
        <v>548</v>
      </c>
    </row>
    <row r="235" spans="15:15" x14ac:dyDescent="0.25">
      <c r="O235" t="s">
        <v>549</v>
      </c>
    </row>
    <row r="236" spans="15:15" x14ac:dyDescent="0.25">
      <c r="O236" t="s">
        <v>550</v>
      </c>
    </row>
    <row r="237" spans="15:15" x14ac:dyDescent="0.25">
      <c r="O237" t="s">
        <v>551</v>
      </c>
    </row>
    <row r="238" spans="15:15" x14ac:dyDescent="0.25">
      <c r="O238" t="s">
        <v>552</v>
      </c>
    </row>
    <row r="239" spans="15:15" x14ac:dyDescent="0.25">
      <c r="O239" t="s">
        <v>553</v>
      </c>
    </row>
    <row r="240" spans="15:15" x14ac:dyDescent="0.25">
      <c r="O240" t="s">
        <v>554</v>
      </c>
    </row>
    <row r="241" spans="15:15" x14ac:dyDescent="0.25">
      <c r="O241" t="s">
        <v>555</v>
      </c>
    </row>
    <row r="242" spans="15:15" x14ac:dyDescent="0.25">
      <c r="O242" t="s">
        <v>556</v>
      </c>
    </row>
    <row r="243" spans="15:15" x14ac:dyDescent="0.25">
      <c r="O243" t="s">
        <v>557</v>
      </c>
    </row>
    <row r="244" spans="15:15" x14ac:dyDescent="0.25">
      <c r="O244" t="s">
        <v>558</v>
      </c>
    </row>
    <row r="245" spans="15:15" x14ac:dyDescent="0.25">
      <c r="O245" t="s">
        <v>559</v>
      </c>
    </row>
    <row r="246" spans="15:15" x14ac:dyDescent="0.25">
      <c r="O246" t="s">
        <v>560</v>
      </c>
    </row>
    <row r="247" spans="15:15" x14ac:dyDescent="0.25">
      <c r="O247" t="s">
        <v>561</v>
      </c>
    </row>
    <row r="248" spans="15:15" x14ac:dyDescent="0.25">
      <c r="O248" t="s">
        <v>562</v>
      </c>
    </row>
    <row r="249" spans="15:15" x14ac:dyDescent="0.25">
      <c r="O249" t="s">
        <v>563</v>
      </c>
    </row>
    <row r="250" spans="15:15" x14ac:dyDescent="0.25">
      <c r="O250" t="s">
        <v>564</v>
      </c>
    </row>
    <row r="251" spans="15:15" x14ac:dyDescent="0.25">
      <c r="O251" t="s">
        <v>565</v>
      </c>
    </row>
    <row r="252" spans="15:15" x14ac:dyDescent="0.25">
      <c r="O252" t="s">
        <v>566</v>
      </c>
    </row>
    <row r="253" spans="15:15" x14ac:dyDescent="0.25">
      <c r="O253" t="s">
        <v>567</v>
      </c>
    </row>
    <row r="254" spans="15:15" x14ac:dyDescent="0.25">
      <c r="O254" t="s">
        <v>568</v>
      </c>
    </row>
    <row r="255" spans="15:15" x14ac:dyDescent="0.25">
      <c r="O255" t="s">
        <v>569</v>
      </c>
    </row>
    <row r="256" spans="15:15" x14ac:dyDescent="0.25">
      <c r="O256" t="s">
        <v>570</v>
      </c>
    </row>
    <row r="257" spans="15:15" x14ac:dyDescent="0.25">
      <c r="O257" t="s">
        <v>571</v>
      </c>
    </row>
    <row r="258" spans="15:15" x14ac:dyDescent="0.25">
      <c r="O258" t="s">
        <v>572</v>
      </c>
    </row>
    <row r="259" spans="15:15" x14ac:dyDescent="0.25">
      <c r="O259" t="s">
        <v>573</v>
      </c>
    </row>
    <row r="260" spans="15:15" x14ac:dyDescent="0.25">
      <c r="O260" t="s">
        <v>574</v>
      </c>
    </row>
    <row r="261" spans="15:15" x14ac:dyDescent="0.25">
      <c r="O261" t="s">
        <v>575</v>
      </c>
    </row>
    <row r="262" spans="15:15" x14ac:dyDescent="0.25">
      <c r="O262" t="s">
        <v>576</v>
      </c>
    </row>
    <row r="263" spans="15:15" x14ac:dyDescent="0.25">
      <c r="O263" t="s">
        <v>577</v>
      </c>
    </row>
    <row r="264" spans="15:15" x14ac:dyDescent="0.25">
      <c r="O264" t="s">
        <v>578</v>
      </c>
    </row>
    <row r="265" spans="15:15" x14ac:dyDescent="0.25">
      <c r="O265" t="s">
        <v>579</v>
      </c>
    </row>
    <row r="266" spans="15:15" x14ac:dyDescent="0.25">
      <c r="O266" t="s">
        <v>580</v>
      </c>
    </row>
    <row r="267" spans="15:15" x14ac:dyDescent="0.25">
      <c r="O267" t="s">
        <v>581</v>
      </c>
    </row>
    <row r="268" spans="15:15" x14ac:dyDescent="0.25">
      <c r="O268" t="s">
        <v>582</v>
      </c>
    </row>
    <row r="269" spans="15:15" x14ac:dyDescent="0.25">
      <c r="O269" t="s">
        <v>583</v>
      </c>
    </row>
    <row r="270" spans="15:15" x14ac:dyDescent="0.25">
      <c r="O270" t="s">
        <v>584</v>
      </c>
    </row>
    <row r="271" spans="15:15" x14ac:dyDescent="0.25">
      <c r="O271" t="s">
        <v>585</v>
      </c>
    </row>
    <row r="272" spans="15:15" x14ac:dyDescent="0.25">
      <c r="O272" t="s">
        <v>586</v>
      </c>
    </row>
    <row r="273" spans="15:15" x14ac:dyDescent="0.25">
      <c r="O273" t="s">
        <v>587</v>
      </c>
    </row>
    <row r="274" spans="15:15" x14ac:dyDescent="0.25">
      <c r="O274" t="s">
        <v>588</v>
      </c>
    </row>
    <row r="275" spans="15:15" x14ac:dyDescent="0.25">
      <c r="O275" t="s">
        <v>589</v>
      </c>
    </row>
    <row r="276" spans="15:15" x14ac:dyDescent="0.25">
      <c r="O276" t="s">
        <v>590</v>
      </c>
    </row>
    <row r="277" spans="15:15" x14ac:dyDescent="0.25">
      <c r="O277" t="s">
        <v>591</v>
      </c>
    </row>
    <row r="278" spans="15:15" x14ac:dyDescent="0.25">
      <c r="O278" t="s">
        <v>592</v>
      </c>
    </row>
    <row r="279" spans="15:15" x14ac:dyDescent="0.25">
      <c r="O279" t="s">
        <v>593</v>
      </c>
    </row>
    <row r="280" spans="15:15" x14ac:dyDescent="0.25">
      <c r="O280" t="s">
        <v>594</v>
      </c>
    </row>
    <row r="281" spans="15:15" x14ac:dyDescent="0.25">
      <c r="O281" t="s">
        <v>595</v>
      </c>
    </row>
    <row r="282" spans="15:15" x14ac:dyDescent="0.25">
      <c r="O282" t="s">
        <v>596</v>
      </c>
    </row>
    <row r="283" spans="15:15" x14ac:dyDescent="0.25">
      <c r="O283" t="s">
        <v>597</v>
      </c>
    </row>
    <row r="284" spans="15:15" x14ac:dyDescent="0.25">
      <c r="O284" t="s">
        <v>598</v>
      </c>
    </row>
    <row r="285" spans="15:15" x14ac:dyDescent="0.25">
      <c r="O285" t="s">
        <v>599</v>
      </c>
    </row>
    <row r="286" spans="15:15" x14ac:dyDescent="0.25">
      <c r="O286" t="s">
        <v>600</v>
      </c>
    </row>
    <row r="287" spans="15:15" x14ac:dyDescent="0.25">
      <c r="O287" t="s">
        <v>601</v>
      </c>
    </row>
    <row r="288" spans="15:15" x14ac:dyDescent="0.25">
      <c r="O288" t="s">
        <v>602</v>
      </c>
    </row>
    <row r="289" spans="15:15" x14ac:dyDescent="0.25">
      <c r="O289" t="s">
        <v>603</v>
      </c>
    </row>
    <row r="290" spans="15:15" x14ac:dyDescent="0.25">
      <c r="O290" t="s">
        <v>604</v>
      </c>
    </row>
    <row r="291" spans="15:15" x14ac:dyDescent="0.25">
      <c r="O291" t="s">
        <v>605</v>
      </c>
    </row>
    <row r="292" spans="15:15" x14ac:dyDescent="0.25">
      <c r="O292" t="s">
        <v>606</v>
      </c>
    </row>
    <row r="293" spans="15:15" x14ac:dyDescent="0.25">
      <c r="O293" t="s">
        <v>607</v>
      </c>
    </row>
    <row r="294" spans="15:15" x14ac:dyDescent="0.25">
      <c r="O294" t="s">
        <v>608</v>
      </c>
    </row>
    <row r="295" spans="15:15" x14ac:dyDescent="0.25">
      <c r="O295" t="s">
        <v>609</v>
      </c>
    </row>
    <row r="296" spans="15:15" x14ac:dyDescent="0.25">
      <c r="O296" t="s">
        <v>610</v>
      </c>
    </row>
    <row r="297" spans="15:15" x14ac:dyDescent="0.25">
      <c r="O297" t="s">
        <v>611</v>
      </c>
    </row>
    <row r="298" spans="15:15" x14ac:dyDescent="0.25">
      <c r="O298" t="s">
        <v>612</v>
      </c>
    </row>
    <row r="299" spans="15:15" x14ac:dyDescent="0.25">
      <c r="O299" t="s">
        <v>613</v>
      </c>
    </row>
    <row r="300" spans="15:15" x14ac:dyDescent="0.25">
      <c r="O300" t="s">
        <v>614</v>
      </c>
    </row>
    <row r="301" spans="15:15" x14ac:dyDescent="0.25">
      <c r="O301" t="s">
        <v>615</v>
      </c>
    </row>
    <row r="302" spans="15:15" x14ac:dyDescent="0.25">
      <c r="O302" t="s">
        <v>616</v>
      </c>
    </row>
    <row r="303" spans="15:15" x14ac:dyDescent="0.25">
      <c r="O303" t="s">
        <v>617</v>
      </c>
    </row>
    <row r="304" spans="15:15" x14ac:dyDescent="0.25">
      <c r="O304" t="s">
        <v>618</v>
      </c>
    </row>
    <row r="305" spans="15:15" x14ac:dyDescent="0.25">
      <c r="O305" t="s">
        <v>619</v>
      </c>
    </row>
    <row r="306" spans="15:15" x14ac:dyDescent="0.25">
      <c r="O306" t="s">
        <v>620</v>
      </c>
    </row>
    <row r="307" spans="15:15" x14ac:dyDescent="0.25">
      <c r="O307" t="s">
        <v>621</v>
      </c>
    </row>
    <row r="308" spans="15:15" x14ac:dyDescent="0.25">
      <c r="O308" t="s">
        <v>622</v>
      </c>
    </row>
    <row r="309" spans="15:15" x14ac:dyDescent="0.25">
      <c r="O309" t="s">
        <v>623</v>
      </c>
    </row>
    <row r="310" spans="15:15" x14ac:dyDescent="0.25">
      <c r="O310" t="s">
        <v>624</v>
      </c>
    </row>
    <row r="311" spans="15:15" x14ac:dyDescent="0.25">
      <c r="O311" t="s">
        <v>625</v>
      </c>
    </row>
    <row r="312" spans="15:15" x14ac:dyDescent="0.25">
      <c r="O312" t="s">
        <v>626</v>
      </c>
    </row>
    <row r="313" spans="15:15" x14ac:dyDescent="0.25">
      <c r="O313" t="s">
        <v>627</v>
      </c>
    </row>
    <row r="314" spans="15:15" x14ac:dyDescent="0.25">
      <c r="O314" t="s">
        <v>628</v>
      </c>
    </row>
    <row r="315" spans="15:15" x14ac:dyDescent="0.25">
      <c r="O315" t="s">
        <v>629</v>
      </c>
    </row>
    <row r="316" spans="15:15" x14ac:dyDescent="0.25">
      <c r="O316" t="s">
        <v>630</v>
      </c>
    </row>
    <row r="317" spans="15:15" x14ac:dyDescent="0.25">
      <c r="O317" t="s">
        <v>631</v>
      </c>
    </row>
    <row r="318" spans="15:15" x14ac:dyDescent="0.25">
      <c r="O318" t="s">
        <v>632</v>
      </c>
    </row>
    <row r="319" spans="15:15" x14ac:dyDescent="0.25">
      <c r="O319" t="s">
        <v>633</v>
      </c>
    </row>
    <row r="320" spans="15:15" x14ac:dyDescent="0.25">
      <c r="O320" t="s">
        <v>634</v>
      </c>
    </row>
    <row r="321" spans="15:15" x14ac:dyDescent="0.25">
      <c r="O321" t="s">
        <v>635</v>
      </c>
    </row>
    <row r="322" spans="15:15" x14ac:dyDescent="0.25">
      <c r="O322" t="s">
        <v>636</v>
      </c>
    </row>
    <row r="323" spans="15:15" x14ac:dyDescent="0.25">
      <c r="O323" t="s">
        <v>637</v>
      </c>
    </row>
    <row r="324" spans="15:15" x14ac:dyDescent="0.25">
      <c r="O324" t="s">
        <v>638</v>
      </c>
    </row>
    <row r="325" spans="15:15" x14ac:dyDescent="0.25">
      <c r="O325" t="s">
        <v>639</v>
      </c>
    </row>
    <row r="326" spans="15:15" x14ac:dyDescent="0.25">
      <c r="O326" t="s">
        <v>640</v>
      </c>
    </row>
    <row r="327" spans="15:15" x14ac:dyDescent="0.25">
      <c r="O327" t="s">
        <v>641</v>
      </c>
    </row>
    <row r="328" spans="15:15" x14ac:dyDescent="0.25">
      <c r="O328" t="s">
        <v>642</v>
      </c>
    </row>
    <row r="329" spans="15:15" x14ac:dyDescent="0.25">
      <c r="O329" t="s">
        <v>643</v>
      </c>
    </row>
    <row r="330" spans="15:15" x14ac:dyDescent="0.25">
      <c r="O330" t="s">
        <v>644</v>
      </c>
    </row>
    <row r="331" spans="15:15" x14ac:dyDescent="0.25">
      <c r="O331" t="s">
        <v>645</v>
      </c>
    </row>
    <row r="332" spans="15:15" x14ac:dyDescent="0.25">
      <c r="O332" t="s">
        <v>646</v>
      </c>
    </row>
    <row r="333" spans="15:15" x14ac:dyDescent="0.25">
      <c r="O333" t="s">
        <v>647</v>
      </c>
    </row>
    <row r="334" spans="15:15" x14ac:dyDescent="0.25">
      <c r="O334" t="s">
        <v>648</v>
      </c>
    </row>
    <row r="335" spans="15:15" x14ac:dyDescent="0.25">
      <c r="O335" t="s">
        <v>649</v>
      </c>
    </row>
    <row r="336" spans="15:15" x14ac:dyDescent="0.25">
      <c r="O336" t="s">
        <v>650</v>
      </c>
    </row>
    <row r="337" spans="15:15" x14ac:dyDescent="0.25">
      <c r="O337" t="s">
        <v>651</v>
      </c>
    </row>
    <row r="338" spans="15:15" x14ac:dyDescent="0.25">
      <c r="O338" t="s">
        <v>652</v>
      </c>
    </row>
    <row r="339" spans="15:15" x14ac:dyDescent="0.25">
      <c r="O339" t="s">
        <v>653</v>
      </c>
    </row>
    <row r="340" spans="15:15" x14ac:dyDescent="0.25">
      <c r="O340" t="s">
        <v>654</v>
      </c>
    </row>
    <row r="341" spans="15:15" x14ac:dyDescent="0.25">
      <c r="O341" t="s">
        <v>655</v>
      </c>
    </row>
    <row r="342" spans="15:15" x14ac:dyDescent="0.25">
      <c r="O342" t="s">
        <v>656</v>
      </c>
    </row>
    <row r="343" spans="15:15" x14ac:dyDescent="0.25">
      <c r="O343" t="s">
        <v>657</v>
      </c>
    </row>
    <row r="344" spans="15:15" x14ac:dyDescent="0.25">
      <c r="O344" t="s">
        <v>658</v>
      </c>
    </row>
    <row r="345" spans="15:15" x14ac:dyDescent="0.25">
      <c r="O345" t="s">
        <v>659</v>
      </c>
    </row>
    <row r="346" spans="15:15" x14ac:dyDescent="0.25">
      <c r="O346" t="s">
        <v>660</v>
      </c>
    </row>
    <row r="347" spans="15:15" x14ac:dyDescent="0.25">
      <c r="O347" t="s">
        <v>661</v>
      </c>
    </row>
    <row r="348" spans="15:15" x14ac:dyDescent="0.25">
      <c r="O348" t="s">
        <v>662</v>
      </c>
    </row>
    <row r="349" spans="15:15" x14ac:dyDescent="0.25">
      <c r="O349" t="s">
        <v>663</v>
      </c>
    </row>
    <row r="350" spans="15:15" x14ac:dyDescent="0.25">
      <c r="O350" t="s">
        <v>664</v>
      </c>
    </row>
    <row r="351" spans="15:15" x14ac:dyDescent="0.25">
      <c r="O351" t="s">
        <v>665</v>
      </c>
    </row>
    <row r="352" spans="15:15" x14ac:dyDescent="0.25">
      <c r="O352" t="s">
        <v>666</v>
      </c>
    </row>
    <row r="353" spans="15:15" x14ac:dyDescent="0.25">
      <c r="O353" t="s">
        <v>667</v>
      </c>
    </row>
    <row r="354" spans="15:15" x14ac:dyDescent="0.25">
      <c r="O354" t="s">
        <v>668</v>
      </c>
    </row>
    <row r="355" spans="15:15" x14ac:dyDescent="0.25">
      <c r="O355" t="s">
        <v>669</v>
      </c>
    </row>
    <row r="356" spans="15:15" x14ac:dyDescent="0.25">
      <c r="O356" t="s">
        <v>670</v>
      </c>
    </row>
    <row r="357" spans="15:15" x14ac:dyDescent="0.25">
      <c r="O357" t="s">
        <v>671</v>
      </c>
    </row>
    <row r="358" spans="15:15" x14ac:dyDescent="0.25">
      <c r="O358" t="s">
        <v>672</v>
      </c>
    </row>
    <row r="359" spans="15:15" x14ac:dyDescent="0.25">
      <c r="O359" t="s">
        <v>673</v>
      </c>
    </row>
    <row r="360" spans="15:15" x14ac:dyDescent="0.25">
      <c r="O360" t="s">
        <v>674</v>
      </c>
    </row>
    <row r="361" spans="15:15" x14ac:dyDescent="0.25">
      <c r="O361" t="s">
        <v>675</v>
      </c>
    </row>
    <row r="362" spans="15:15" x14ac:dyDescent="0.25">
      <c r="O362" t="s">
        <v>676</v>
      </c>
    </row>
    <row r="363" spans="15:15" x14ac:dyDescent="0.25">
      <c r="O363" t="s">
        <v>677</v>
      </c>
    </row>
    <row r="364" spans="15:15" x14ac:dyDescent="0.25">
      <c r="O364" t="s">
        <v>678</v>
      </c>
    </row>
    <row r="365" spans="15:15" x14ac:dyDescent="0.25">
      <c r="O365" t="s">
        <v>679</v>
      </c>
    </row>
    <row r="366" spans="15:15" x14ac:dyDescent="0.25">
      <c r="O366" t="s">
        <v>680</v>
      </c>
    </row>
    <row r="367" spans="15:15" x14ac:dyDescent="0.25">
      <c r="O367" t="s">
        <v>681</v>
      </c>
    </row>
    <row r="368" spans="15:15" x14ac:dyDescent="0.25">
      <c r="O368" t="s">
        <v>682</v>
      </c>
    </row>
    <row r="369" spans="15:15" x14ac:dyDescent="0.25">
      <c r="O369" t="s">
        <v>683</v>
      </c>
    </row>
    <row r="370" spans="15:15" x14ac:dyDescent="0.25">
      <c r="O370" t="s">
        <v>684</v>
      </c>
    </row>
    <row r="371" spans="15:15" x14ac:dyDescent="0.25">
      <c r="O371" t="s">
        <v>685</v>
      </c>
    </row>
    <row r="372" spans="15:15" x14ac:dyDescent="0.25">
      <c r="O372" t="s">
        <v>686</v>
      </c>
    </row>
    <row r="373" spans="15:15" x14ac:dyDescent="0.25">
      <c r="O373" t="s">
        <v>687</v>
      </c>
    </row>
    <row r="374" spans="15:15" x14ac:dyDescent="0.25">
      <c r="O374" t="s">
        <v>688</v>
      </c>
    </row>
    <row r="375" spans="15:15" x14ac:dyDescent="0.25">
      <c r="O375" t="s">
        <v>689</v>
      </c>
    </row>
    <row r="376" spans="15:15" x14ac:dyDescent="0.25">
      <c r="O376" t="s">
        <v>690</v>
      </c>
    </row>
    <row r="377" spans="15:15" x14ac:dyDescent="0.25">
      <c r="O377" t="s">
        <v>691</v>
      </c>
    </row>
    <row r="378" spans="15:15" x14ac:dyDescent="0.25">
      <c r="O378" t="s">
        <v>692</v>
      </c>
    </row>
    <row r="379" spans="15:15" x14ac:dyDescent="0.25">
      <c r="O379" t="s">
        <v>693</v>
      </c>
    </row>
    <row r="380" spans="15:15" x14ac:dyDescent="0.25">
      <c r="O380" t="s">
        <v>694</v>
      </c>
    </row>
    <row r="381" spans="15:15" x14ac:dyDescent="0.25">
      <c r="O381" t="s">
        <v>695</v>
      </c>
    </row>
    <row r="382" spans="15:15" x14ac:dyDescent="0.25">
      <c r="O382" t="s">
        <v>696</v>
      </c>
    </row>
    <row r="383" spans="15:15" x14ac:dyDescent="0.25">
      <c r="O383" t="s">
        <v>697</v>
      </c>
    </row>
    <row r="384" spans="15:15" x14ac:dyDescent="0.25">
      <c r="O384" t="s">
        <v>698</v>
      </c>
    </row>
    <row r="385" spans="15:15" x14ac:dyDescent="0.25">
      <c r="O385" t="s">
        <v>699</v>
      </c>
    </row>
    <row r="386" spans="15:15" x14ac:dyDescent="0.25">
      <c r="O386" t="s">
        <v>700</v>
      </c>
    </row>
    <row r="387" spans="15:15" x14ac:dyDescent="0.25">
      <c r="O387" t="s">
        <v>701</v>
      </c>
    </row>
    <row r="388" spans="15:15" x14ac:dyDescent="0.25">
      <c r="O388" t="s">
        <v>702</v>
      </c>
    </row>
    <row r="389" spans="15:15" x14ac:dyDescent="0.25">
      <c r="O389" t="s">
        <v>703</v>
      </c>
    </row>
    <row r="390" spans="15:15" x14ac:dyDescent="0.25">
      <c r="O390" t="s">
        <v>704</v>
      </c>
    </row>
    <row r="391" spans="15:15" x14ac:dyDescent="0.25">
      <c r="O391" t="s">
        <v>705</v>
      </c>
    </row>
    <row r="392" spans="15:15" x14ac:dyDescent="0.25">
      <c r="O392" t="s">
        <v>706</v>
      </c>
    </row>
    <row r="393" spans="15:15" x14ac:dyDescent="0.25">
      <c r="O393" t="s">
        <v>707</v>
      </c>
    </row>
    <row r="394" spans="15:15" x14ac:dyDescent="0.25">
      <c r="O394" t="s">
        <v>708</v>
      </c>
    </row>
    <row r="395" spans="15:15" x14ac:dyDescent="0.25">
      <c r="O395" t="s">
        <v>709</v>
      </c>
    </row>
    <row r="396" spans="15:15" x14ac:dyDescent="0.25">
      <c r="O396" t="s">
        <v>710</v>
      </c>
    </row>
    <row r="397" spans="15:15" x14ac:dyDescent="0.25">
      <c r="O397" t="s">
        <v>711</v>
      </c>
    </row>
    <row r="398" spans="15:15" x14ac:dyDescent="0.25">
      <c r="O398" t="s">
        <v>712</v>
      </c>
    </row>
    <row r="399" spans="15:15" x14ac:dyDescent="0.25">
      <c r="O399" t="s">
        <v>713</v>
      </c>
    </row>
    <row r="400" spans="15:15" x14ac:dyDescent="0.25">
      <c r="O400" t="s">
        <v>714</v>
      </c>
    </row>
    <row r="401" spans="15:15" x14ac:dyDescent="0.25">
      <c r="O401" t="s">
        <v>715</v>
      </c>
    </row>
    <row r="402" spans="15:15" x14ac:dyDescent="0.25">
      <c r="O402" t="s">
        <v>716</v>
      </c>
    </row>
    <row r="403" spans="15:15" x14ac:dyDescent="0.25">
      <c r="O403" t="s">
        <v>717</v>
      </c>
    </row>
    <row r="404" spans="15:15" x14ac:dyDescent="0.25">
      <c r="O404" t="s">
        <v>718</v>
      </c>
    </row>
    <row r="405" spans="15:15" x14ac:dyDescent="0.25">
      <c r="O405" t="s">
        <v>719</v>
      </c>
    </row>
    <row r="406" spans="15:15" x14ac:dyDescent="0.25">
      <c r="O406" t="s">
        <v>720</v>
      </c>
    </row>
    <row r="407" spans="15:15" x14ac:dyDescent="0.25">
      <c r="O407" t="s">
        <v>721</v>
      </c>
    </row>
    <row r="408" spans="15:15" x14ac:dyDescent="0.25">
      <c r="O408" t="s">
        <v>722</v>
      </c>
    </row>
    <row r="409" spans="15:15" x14ac:dyDescent="0.25">
      <c r="O409" t="s">
        <v>723</v>
      </c>
    </row>
    <row r="410" spans="15:15" x14ac:dyDescent="0.25">
      <c r="O410" t="s">
        <v>724</v>
      </c>
    </row>
    <row r="411" spans="15:15" x14ac:dyDescent="0.25">
      <c r="O411" t="s">
        <v>725</v>
      </c>
    </row>
    <row r="412" spans="15:15" x14ac:dyDescent="0.25">
      <c r="O412" t="s">
        <v>726</v>
      </c>
    </row>
    <row r="413" spans="15:15" x14ac:dyDescent="0.25">
      <c r="O413" t="s">
        <v>24</v>
      </c>
    </row>
    <row r="414" spans="15:15" x14ac:dyDescent="0.25">
      <c r="O414" t="s">
        <v>727</v>
      </c>
    </row>
    <row r="415" spans="15:15" x14ac:dyDescent="0.25">
      <c r="O415" t="s">
        <v>728</v>
      </c>
    </row>
    <row r="416" spans="15:15" x14ac:dyDescent="0.25">
      <c r="O416" t="s">
        <v>729</v>
      </c>
    </row>
    <row r="417" spans="15:15" x14ac:dyDescent="0.25">
      <c r="O417" t="s">
        <v>730</v>
      </c>
    </row>
    <row r="418" spans="15:15" x14ac:dyDescent="0.25">
      <c r="O418" t="s">
        <v>731</v>
      </c>
    </row>
    <row r="419" spans="15:15" x14ac:dyDescent="0.25">
      <c r="O419" t="s">
        <v>732</v>
      </c>
    </row>
    <row r="420" spans="15:15" x14ac:dyDescent="0.25">
      <c r="O420" t="s">
        <v>733</v>
      </c>
    </row>
    <row r="421" spans="15:15" x14ac:dyDescent="0.25">
      <c r="O421" t="s">
        <v>734</v>
      </c>
    </row>
    <row r="422" spans="15:15" x14ac:dyDescent="0.25">
      <c r="O422" t="s">
        <v>735</v>
      </c>
    </row>
    <row r="423" spans="15:15" x14ac:dyDescent="0.25">
      <c r="O423" t="s">
        <v>736</v>
      </c>
    </row>
    <row r="424" spans="15:15" x14ac:dyDescent="0.25">
      <c r="O424" t="s">
        <v>737</v>
      </c>
    </row>
    <row r="425" spans="15:15" x14ac:dyDescent="0.25">
      <c r="O425" t="s">
        <v>25</v>
      </c>
    </row>
    <row r="426" spans="15:15" x14ac:dyDescent="0.25">
      <c r="O426" t="s">
        <v>738</v>
      </c>
    </row>
    <row r="427" spans="15:15" x14ac:dyDescent="0.25">
      <c r="O427" t="s">
        <v>739</v>
      </c>
    </row>
    <row r="428" spans="15:15" x14ac:dyDescent="0.25">
      <c r="O428" t="s">
        <v>740</v>
      </c>
    </row>
    <row r="429" spans="15:15" x14ac:dyDescent="0.25">
      <c r="O429" t="s">
        <v>741</v>
      </c>
    </row>
    <row r="430" spans="15:15" x14ac:dyDescent="0.25">
      <c r="O430" t="s">
        <v>742</v>
      </c>
    </row>
    <row r="431" spans="15:15" x14ac:dyDescent="0.25">
      <c r="O431" t="s">
        <v>743</v>
      </c>
    </row>
    <row r="432" spans="15:15" x14ac:dyDescent="0.25">
      <c r="O432" t="s">
        <v>744</v>
      </c>
    </row>
    <row r="433" spans="15:15" x14ac:dyDescent="0.25">
      <c r="O433" t="s">
        <v>745</v>
      </c>
    </row>
    <row r="434" spans="15:15" x14ac:dyDescent="0.25">
      <c r="O434" t="s">
        <v>746</v>
      </c>
    </row>
    <row r="435" spans="15:15" x14ac:dyDescent="0.25">
      <c r="O435" t="s">
        <v>747</v>
      </c>
    </row>
    <row r="436" spans="15:15" x14ac:dyDescent="0.25">
      <c r="O436" t="s">
        <v>748</v>
      </c>
    </row>
    <row r="437" spans="15:15" x14ac:dyDescent="0.25">
      <c r="O437" t="s">
        <v>749</v>
      </c>
    </row>
    <row r="438" spans="15:15" x14ac:dyDescent="0.25">
      <c r="O438" t="s">
        <v>750</v>
      </c>
    </row>
    <row r="439" spans="15:15" x14ac:dyDescent="0.25">
      <c r="O439" t="s">
        <v>751</v>
      </c>
    </row>
    <row r="440" spans="15:15" x14ac:dyDescent="0.25">
      <c r="O440" t="s">
        <v>752</v>
      </c>
    </row>
    <row r="441" spans="15:15" x14ac:dyDescent="0.25">
      <c r="O441" t="s">
        <v>753</v>
      </c>
    </row>
    <row r="442" spans="15:15" x14ac:dyDescent="0.25">
      <c r="O442" t="s">
        <v>754</v>
      </c>
    </row>
    <row r="443" spans="15:15" x14ac:dyDescent="0.25">
      <c r="O443" t="s">
        <v>755</v>
      </c>
    </row>
    <row r="444" spans="15:15" x14ac:dyDescent="0.25">
      <c r="O444" t="s">
        <v>756</v>
      </c>
    </row>
    <row r="445" spans="15:15" x14ac:dyDescent="0.25">
      <c r="O445" t="s">
        <v>757</v>
      </c>
    </row>
    <row r="446" spans="15:15" x14ac:dyDescent="0.25">
      <c r="O446" t="s">
        <v>758</v>
      </c>
    </row>
    <row r="447" spans="15:15" x14ac:dyDescent="0.25">
      <c r="O447" t="s">
        <v>759</v>
      </c>
    </row>
    <row r="448" spans="15:15" x14ac:dyDescent="0.25">
      <c r="O448" t="s">
        <v>760</v>
      </c>
    </row>
    <row r="449" spans="15:15" x14ac:dyDescent="0.25">
      <c r="O449" t="s">
        <v>761</v>
      </c>
    </row>
    <row r="450" spans="15:15" x14ac:dyDescent="0.25">
      <c r="O450" t="s">
        <v>762</v>
      </c>
    </row>
    <row r="451" spans="15:15" x14ac:dyDescent="0.25">
      <c r="O451" t="s">
        <v>763</v>
      </c>
    </row>
    <row r="452" spans="15:15" x14ac:dyDescent="0.25">
      <c r="O452" t="s">
        <v>764</v>
      </c>
    </row>
    <row r="453" spans="15:15" x14ac:dyDescent="0.25">
      <c r="O453" t="s">
        <v>765</v>
      </c>
    </row>
    <row r="454" spans="15:15" x14ac:dyDescent="0.25">
      <c r="O454" t="s">
        <v>766</v>
      </c>
    </row>
    <row r="455" spans="15:15" x14ac:dyDescent="0.25">
      <c r="O455" t="s">
        <v>767</v>
      </c>
    </row>
    <row r="456" spans="15:15" x14ac:dyDescent="0.25">
      <c r="O456" t="s">
        <v>768</v>
      </c>
    </row>
    <row r="457" spans="15:15" x14ac:dyDescent="0.25">
      <c r="O457" t="s">
        <v>769</v>
      </c>
    </row>
    <row r="458" spans="15:15" x14ac:dyDescent="0.25">
      <c r="O458" t="s">
        <v>770</v>
      </c>
    </row>
    <row r="459" spans="15:15" x14ac:dyDescent="0.25">
      <c r="O459" t="s">
        <v>771</v>
      </c>
    </row>
    <row r="460" spans="15:15" x14ac:dyDescent="0.25">
      <c r="O460" t="s">
        <v>772</v>
      </c>
    </row>
    <row r="461" spans="15:15" x14ac:dyDescent="0.25">
      <c r="O461" t="s">
        <v>773</v>
      </c>
    </row>
    <row r="462" spans="15:15" x14ac:dyDescent="0.25">
      <c r="O462" t="s">
        <v>774</v>
      </c>
    </row>
    <row r="463" spans="15:15" x14ac:dyDescent="0.25">
      <c r="O463" t="s">
        <v>775</v>
      </c>
    </row>
    <row r="464" spans="15:15" x14ac:dyDescent="0.25">
      <c r="O464" t="s">
        <v>776</v>
      </c>
    </row>
    <row r="465" spans="15:15" x14ac:dyDescent="0.25">
      <c r="O465" t="s">
        <v>777</v>
      </c>
    </row>
    <row r="466" spans="15:15" x14ac:dyDescent="0.25">
      <c r="O466" t="s">
        <v>778</v>
      </c>
    </row>
    <row r="467" spans="15:15" x14ac:dyDescent="0.25">
      <c r="O467" t="s">
        <v>779</v>
      </c>
    </row>
    <row r="468" spans="15:15" x14ac:dyDescent="0.25">
      <c r="O468" t="s">
        <v>780</v>
      </c>
    </row>
    <row r="469" spans="15:15" x14ac:dyDescent="0.25">
      <c r="O469" t="s">
        <v>781</v>
      </c>
    </row>
    <row r="470" spans="15:15" x14ac:dyDescent="0.25">
      <c r="O470" t="s">
        <v>782</v>
      </c>
    </row>
    <row r="471" spans="15:15" x14ac:dyDescent="0.25">
      <c r="O471" t="s">
        <v>783</v>
      </c>
    </row>
    <row r="472" spans="15:15" x14ac:dyDescent="0.25">
      <c r="O472" t="s">
        <v>784</v>
      </c>
    </row>
    <row r="473" spans="15:15" x14ac:dyDescent="0.25">
      <c r="O473" t="s">
        <v>785</v>
      </c>
    </row>
    <row r="474" spans="15:15" x14ac:dyDescent="0.25">
      <c r="O474" t="s">
        <v>786</v>
      </c>
    </row>
    <row r="475" spans="15:15" x14ac:dyDescent="0.25">
      <c r="O475" t="s">
        <v>787</v>
      </c>
    </row>
    <row r="476" spans="15:15" x14ac:dyDescent="0.25">
      <c r="O476" t="s">
        <v>788</v>
      </c>
    </row>
    <row r="477" spans="15:15" x14ac:dyDescent="0.25">
      <c r="O477" t="s">
        <v>789</v>
      </c>
    </row>
    <row r="478" spans="15:15" x14ac:dyDescent="0.25">
      <c r="O478" t="s">
        <v>790</v>
      </c>
    </row>
    <row r="479" spans="15:15" x14ac:dyDescent="0.25">
      <c r="O479" t="s">
        <v>791</v>
      </c>
    </row>
    <row r="480" spans="15:15" x14ac:dyDescent="0.25">
      <c r="O480" t="s">
        <v>792</v>
      </c>
    </row>
    <row r="481" spans="15:15" x14ac:dyDescent="0.25">
      <c r="O481" t="s">
        <v>793</v>
      </c>
    </row>
    <row r="482" spans="15:15" x14ac:dyDescent="0.25">
      <c r="O482" t="s">
        <v>794</v>
      </c>
    </row>
    <row r="483" spans="15:15" x14ac:dyDescent="0.25">
      <c r="O483" t="s">
        <v>795</v>
      </c>
    </row>
    <row r="484" spans="15:15" x14ac:dyDescent="0.25">
      <c r="O484" t="s">
        <v>796</v>
      </c>
    </row>
    <row r="485" spans="15:15" x14ac:dyDescent="0.25">
      <c r="O485" t="s">
        <v>797</v>
      </c>
    </row>
    <row r="486" spans="15:15" x14ac:dyDescent="0.25">
      <c r="O486" t="s">
        <v>798</v>
      </c>
    </row>
    <row r="487" spans="15:15" x14ac:dyDescent="0.25">
      <c r="O487" t="s">
        <v>799</v>
      </c>
    </row>
    <row r="488" spans="15:15" x14ac:dyDescent="0.25">
      <c r="O488" t="s">
        <v>800</v>
      </c>
    </row>
    <row r="489" spans="15:15" x14ac:dyDescent="0.25">
      <c r="O489" t="s">
        <v>801</v>
      </c>
    </row>
    <row r="490" spans="15:15" x14ac:dyDescent="0.25">
      <c r="O490" t="s">
        <v>802</v>
      </c>
    </row>
    <row r="491" spans="15:15" x14ac:dyDescent="0.25">
      <c r="O491" t="s">
        <v>803</v>
      </c>
    </row>
    <row r="492" spans="15:15" x14ac:dyDescent="0.25">
      <c r="O492" t="s">
        <v>804</v>
      </c>
    </row>
    <row r="493" spans="15:15" x14ac:dyDescent="0.25">
      <c r="O493" t="s">
        <v>805</v>
      </c>
    </row>
    <row r="494" spans="15:15" x14ac:dyDescent="0.25">
      <c r="O494" t="s">
        <v>806</v>
      </c>
    </row>
    <row r="495" spans="15:15" x14ac:dyDescent="0.25">
      <c r="O495" t="s">
        <v>807</v>
      </c>
    </row>
    <row r="496" spans="15:15" x14ac:dyDescent="0.25">
      <c r="O496" t="s">
        <v>808</v>
      </c>
    </row>
    <row r="497" spans="15:15" x14ac:dyDescent="0.25">
      <c r="O497" t="s">
        <v>809</v>
      </c>
    </row>
    <row r="498" spans="15:15" x14ac:dyDescent="0.25">
      <c r="O498" t="s">
        <v>810</v>
      </c>
    </row>
    <row r="499" spans="15:15" x14ac:dyDescent="0.25">
      <c r="O499" t="s">
        <v>811</v>
      </c>
    </row>
    <row r="500" spans="15:15" x14ac:dyDescent="0.25">
      <c r="O500" t="s">
        <v>812</v>
      </c>
    </row>
    <row r="501" spans="15:15" x14ac:dyDescent="0.25">
      <c r="O501" t="s">
        <v>813</v>
      </c>
    </row>
    <row r="502" spans="15:15" x14ac:dyDescent="0.25">
      <c r="O502" t="s">
        <v>814</v>
      </c>
    </row>
    <row r="503" spans="15:15" x14ac:dyDescent="0.25">
      <c r="O503" t="s">
        <v>815</v>
      </c>
    </row>
    <row r="504" spans="15:15" x14ac:dyDescent="0.25">
      <c r="O504" t="s">
        <v>816</v>
      </c>
    </row>
    <row r="505" spans="15:15" x14ac:dyDescent="0.25">
      <c r="O505" t="s">
        <v>817</v>
      </c>
    </row>
    <row r="506" spans="15:15" x14ac:dyDescent="0.25">
      <c r="O506" t="s">
        <v>818</v>
      </c>
    </row>
    <row r="507" spans="15:15" x14ac:dyDescent="0.25">
      <c r="O507" t="s">
        <v>819</v>
      </c>
    </row>
    <row r="508" spans="15:15" x14ac:dyDescent="0.25">
      <c r="O508" t="s">
        <v>820</v>
      </c>
    </row>
    <row r="509" spans="15:15" x14ac:dyDescent="0.25">
      <c r="O509" t="s">
        <v>821</v>
      </c>
    </row>
    <row r="510" spans="15:15" x14ac:dyDescent="0.25">
      <c r="O510" t="s">
        <v>822</v>
      </c>
    </row>
    <row r="511" spans="15:15" x14ac:dyDescent="0.25">
      <c r="O511" t="s">
        <v>823</v>
      </c>
    </row>
    <row r="512" spans="15:15" x14ac:dyDescent="0.25">
      <c r="O512" t="s">
        <v>824</v>
      </c>
    </row>
    <row r="513" spans="15:15" x14ac:dyDescent="0.25">
      <c r="O513" t="s">
        <v>825</v>
      </c>
    </row>
    <row r="514" spans="15:15" x14ac:dyDescent="0.25">
      <c r="O514" t="s">
        <v>826</v>
      </c>
    </row>
    <row r="515" spans="15:15" x14ac:dyDescent="0.25">
      <c r="O515" t="s">
        <v>827</v>
      </c>
    </row>
    <row r="516" spans="15:15" x14ac:dyDescent="0.25">
      <c r="O516" t="s">
        <v>828</v>
      </c>
    </row>
    <row r="517" spans="15:15" x14ac:dyDescent="0.25">
      <c r="O517" t="s">
        <v>829</v>
      </c>
    </row>
    <row r="518" spans="15:15" x14ac:dyDescent="0.25">
      <c r="O518" t="s">
        <v>830</v>
      </c>
    </row>
    <row r="519" spans="15:15" x14ac:dyDescent="0.25">
      <c r="O519" t="s">
        <v>831</v>
      </c>
    </row>
    <row r="520" spans="15:15" x14ac:dyDescent="0.25">
      <c r="O520" t="s">
        <v>832</v>
      </c>
    </row>
    <row r="521" spans="15:15" x14ac:dyDescent="0.25">
      <c r="O521" t="s">
        <v>833</v>
      </c>
    </row>
    <row r="522" spans="15:15" x14ac:dyDescent="0.25">
      <c r="O522" t="s">
        <v>834</v>
      </c>
    </row>
    <row r="523" spans="15:15" x14ac:dyDescent="0.25">
      <c r="O523" t="s">
        <v>835</v>
      </c>
    </row>
    <row r="524" spans="15:15" x14ac:dyDescent="0.25">
      <c r="O524" t="s">
        <v>836</v>
      </c>
    </row>
    <row r="525" spans="15:15" x14ac:dyDescent="0.25">
      <c r="O525" t="s">
        <v>837</v>
      </c>
    </row>
    <row r="526" spans="15:15" x14ac:dyDescent="0.25">
      <c r="O526" t="s">
        <v>838</v>
      </c>
    </row>
    <row r="527" spans="15:15" x14ac:dyDescent="0.25">
      <c r="O527" t="s">
        <v>839</v>
      </c>
    </row>
    <row r="528" spans="15:15" x14ac:dyDescent="0.25">
      <c r="O528" t="s">
        <v>840</v>
      </c>
    </row>
    <row r="529" spans="15:15" x14ac:dyDescent="0.25">
      <c r="O529" t="s">
        <v>841</v>
      </c>
    </row>
    <row r="530" spans="15:15" x14ac:dyDescent="0.25">
      <c r="O530" t="s">
        <v>842</v>
      </c>
    </row>
    <row r="531" spans="15:15" x14ac:dyDescent="0.25">
      <c r="O531" t="s">
        <v>843</v>
      </c>
    </row>
    <row r="532" spans="15:15" x14ac:dyDescent="0.25">
      <c r="O532" t="s">
        <v>844</v>
      </c>
    </row>
    <row r="533" spans="15:15" x14ac:dyDescent="0.25">
      <c r="O533" t="s">
        <v>845</v>
      </c>
    </row>
    <row r="534" spans="15:15" x14ac:dyDescent="0.25">
      <c r="O534" t="s">
        <v>846</v>
      </c>
    </row>
    <row r="535" spans="15:15" x14ac:dyDescent="0.25">
      <c r="O535" t="s">
        <v>847</v>
      </c>
    </row>
    <row r="536" spans="15:15" x14ac:dyDescent="0.25">
      <c r="O536" t="s">
        <v>848</v>
      </c>
    </row>
    <row r="537" spans="15:15" x14ac:dyDescent="0.25">
      <c r="O537" t="s">
        <v>849</v>
      </c>
    </row>
    <row r="538" spans="15:15" x14ac:dyDescent="0.25">
      <c r="O538" t="s">
        <v>850</v>
      </c>
    </row>
    <row r="539" spans="15:15" x14ac:dyDescent="0.25">
      <c r="O539" t="s">
        <v>851</v>
      </c>
    </row>
    <row r="540" spans="15:15" x14ac:dyDescent="0.25">
      <c r="O540" t="s">
        <v>852</v>
      </c>
    </row>
    <row r="541" spans="15:15" x14ac:dyDescent="0.25">
      <c r="O541" t="s">
        <v>853</v>
      </c>
    </row>
    <row r="542" spans="15:15" x14ac:dyDescent="0.25">
      <c r="O542" t="s">
        <v>854</v>
      </c>
    </row>
    <row r="543" spans="15:15" x14ac:dyDescent="0.25">
      <c r="O543" t="s">
        <v>855</v>
      </c>
    </row>
    <row r="544" spans="15:15" x14ac:dyDescent="0.25">
      <c r="O544" t="s">
        <v>856</v>
      </c>
    </row>
    <row r="545" spans="15:15" x14ac:dyDescent="0.25">
      <c r="O545" t="s">
        <v>857</v>
      </c>
    </row>
    <row r="546" spans="15:15" x14ac:dyDescent="0.25">
      <c r="O546" t="s">
        <v>858</v>
      </c>
    </row>
    <row r="547" spans="15:15" x14ac:dyDescent="0.25">
      <c r="O547" t="s">
        <v>859</v>
      </c>
    </row>
    <row r="548" spans="15:15" x14ac:dyDescent="0.25">
      <c r="O548" t="s">
        <v>860</v>
      </c>
    </row>
    <row r="549" spans="15:15" x14ac:dyDescent="0.25">
      <c r="O549" t="s">
        <v>861</v>
      </c>
    </row>
    <row r="550" spans="15:15" x14ac:dyDescent="0.25">
      <c r="O550" t="s">
        <v>862</v>
      </c>
    </row>
    <row r="551" spans="15:15" x14ac:dyDescent="0.25">
      <c r="O551" t="s">
        <v>863</v>
      </c>
    </row>
    <row r="552" spans="15:15" x14ac:dyDescent="0.25">
      <c r="O552" t="s">
        <v>864</v>
      </c>
    </row>
    <row r="553" spans="15:15" x14ac:dyDescent="0.25">
      <c r="O553" t="s">
        <v>865</v>
      </c>
    </row>
    <row r="554" spans="15:15" x14ac:dyDescent="0.25">
      <c r="O554" t="s">
        <v>866</v>
      </c>
    </row>
    <row r="555" spans="15:15" x14ac:dyDescent="0.25">
      <c r="O555" t="s">
        <v>867</v>
      </c>
    </row>
    <row r="556" spans="15:15" x14ac:dyDescent="0.25">
      <c r="O556" t="s">
        <v>868</v>
      </c>
    </row>
    <row r="557" spans="15:15" x14ac:dyDescent="0.25">
      <c r="O557" t="s">
        <v>869</v>
      </c>
    </row>
    <row r="558" spans="15:15" x14ac:dyDescent="0.25">
      <c r="O558" t="s">
        <v>870</v>
      </c>
    </row>
    <row r="559" spans="15:15" x14ac:dyDescent="0.25">
      <c r="O559" t="s">
        <v>871</v>
      </c>
    </row>
    <row r="560" spans="15:15" x14ac:dyDescent="0.25">
      <c r="O560" t="s">
        <v>872</v>
      </c>
    </row>
    <row r="561" spans="15:15" x14ac:dyDescent="0.25">
      <c r="O561" t="s">
        <v>873</v>
      </c>
    </row>
    <row r="562" spans="15:15" x14ac:dyDescent="0.25">
      <c r="O562" t="s">
        <v>874</v>
      </c>
    </row>
    <row r="563" spans="15:15" x14ac:dyDescent="0.25">
      <c r="O563" t="s">
        <v>875</v>
      </c>
    </row>
    <row r="564" spans="15:15" x14ac:dyDescent="0.25">
      <c r="O564" t="s">
        <v>876</v>
      </c>
    </row>
    <row r="565" spans="15:15" x14ac:dyDescent="0.25">
      <c r="O565" t="s">
        <v>877</v>
      </c>
    </row>
    <row r="566" spans="15:15" x14ac:dyDescent="0.25">
      <c r="O566" t="s">
        <v>878</v>
      </c>
    </row>
    <row r="567" spans="15:15" x14ac:dyDescent="0.25">
      <c r="O567" t="s">
        <v>879</v>
      </c>
    </row>
    <row r="568" spans="15:15" x14ac:dyDescent="0.25">
      <c r="O568" t="s">
        <v>880</v>
      </c>
    </row>
    <row r="569" spans="15:15" x14ac:dyDescent="0.25">
      <c r="O569" t="s">
        <v>881</v>
      </c>
    </row>
    <row r="570" spans="15:15" x14ac:dyDescent="0.25">
      <c r="O570" t="s">
        <v>882</v>
      </c>
    </row>
    <row r="571" spans="15:15" x14ac:dyDescent="0.25">
      <c r="O571" t="s">
        <v>883</v>
      </c>
    </row>
    <row r="572" spans="15:15" x14ac:dyDescent="0.25">
      <c r="O572" t="s">
        <v>884</v>
      </c>
    </row>
    <row r="573" spans="15:15" x14ac:dyDescent="0.25">
      <c r="O573" t="s">
        <v>885</v>
      </c>
    </row>
    <row r="574" spans="15:15" x14ac:dyDescent="0.25">
      <c r="O574" t="s">
        <v>886</v>
      </c>
    </row>
    <row r="575" spans="15:15" x14ac:dyDescent="0.25">
      <c r="O575" t="s">
        <v>887</v>
      </c>
    </row>
    <row r="576" spans="15:15" x14ac:dyDescent="0.25">
      <c r="O576" t="s">
        <v>888</v>
      </c>
    </row>
    <row r="577" spans="15:15" x14ac:dyDescent="0.25">
      <c r="O577" t="s">
        <v>889</v>
      </c>
    </row>
    <row r="578" spans="15:15" x14ac:dyDescent="0.25">
      <c r="O578" t="s">
        <v>890</v>
      </c>
    </row>
    <row r="579" spans="15:15" x14ac:dyDescent="0.25">
      <c r="O579" t="s">
        <v>891</v>
      </c>
    </row>
    <row r="580" spans="15:15" x14ac:dyDescent="0.25">
      <c r="O580" t="s">
        <v>892</v>
      </c>
    </row>
    <row r="581" spans="15:15" x14ac:dyDescent="0.25">
      <c r="O581" t="s">
        <v>893</v>
      </c>
    </row>
    <row r="582" spans="15:15" x14ac:dyDescent="0.25">
      <c r="O582" t="s">
        <v>894</v>
      </c>
    </row>
    <row r="583" spans="15:15" x14ac:dyDescent="0.25">
      <c r="O583" t="s">
        <v>895</v>
      </c>
    </row>
    <row r="584" spans="15:15" x14ac:dyDescent="0.25">
      <c r="O584" t="s">
        <v>896</v>
      </c>
    </row>
    <row r="585" spans="15:15" x14ac:dyDescent="0.25">
      <c r="O585" t="s">
        <v>897</v>
      </c>
    </row>
    <row r="586" spans="15:15" x14ac:dyDescent="0.25">
      <c r="O586" t="s">
        <v>898</v>
      </c>
    </row>
    <row r="587" spans="15:15" x14ac:dyDescent="0.25">
      <c r="O587" t="s">
        <v>899</v>
      </c>
    </row>
    <row r="588" spans="15:15" x14ac:dyDescent="0.25">
      <c r="O588" t="s">
        <v>900</v>
      </c>
    </row>
    <row r="589" spans="15:15" x14ac:dyDescent="0.25">
      <c r="O589" t="s">
        <v>901</v>
      </c>
    </row>
    <row r="590" spans="15:15" x14ac:dyDescent="0.25">
      <c r="O590" t="s">
        <v>902</v>
      </c>
    </row>
    <row r="591" spans="15:15" x14ac:dyDescent="0.25">
      <c r="O591" t="s">
        <v>903</v>
      </c>
    </row>
    <row r="592" spans="15:15" x14ac:dyDescent="0.25">
      <c r="O592" t="s">
        <v>904</v>
      </c>
    </row>
    <row r="593" spans="15:15" x14ac:dyDescent="0.25">
      <c r="O593" t="s">
        <v>905</v>
      </c>
    </row>
    <row r="594" spans="15:15" x14ac:dyDescent="0.25">
      <c r="O594" t="s">
        <v>906</v>
      </c>
    </row>
    <row r="595" spans="15:15" x14ac:dyDescent="0.25">
      <c r="O595" t="s">
        <v>907</v>
      </c>
    </row>
    <row r="596" spans="15:15" x14ac:dyDescent="0.25">
      <c r="O596" t="s">
        <v>908</v>
      </c>
    </row>
    <row r="597" spans="15:15" x14ac:dyDescent="0.25">
      <c r="O597" t="s">
        <v>909</v>
      </c>
    </row>
    <row r="598" spans="15:15" x14ac:dyDescent="0.25">
      <c r="O598" t="s">
        <v>910</v>
      </c>
    </row>
    <row r="599" spans="15:15" x14ac:dyDescent="0.25">
      <c r="O599" t="s">
        <v>911</v>
      </c>
    </row>
    <row r="600" spans="15:15" x14ac:dyDescent="0.25">
      <c r="O600" t="s">
        <v>912</v>
      </c>
    </row>
    <row r="601" spans="15:15" x14ac:dyDescent="0.25">
      <c r="O601" t="s">
        <v>913</v>
      </c>
    </row>
    <row r="602" spans="15:15" x14ac:dyDescent="0.25">
      <c r="O602" t="s">
        <v>914</v>
      </c>
    </row>
    <row r="603" spans="15:15" x14ac:dyDescent="0.25">
      <c r="O603" t="s">
        <v>915</v>
      </c>
    </row>
    <row r="604" spans="15:15" x14ac:dyDescent="0.25">
      <c r="O604" t="s">
        <v>916</v>
      </c>
    </row>
    <row r="605" spans="15:15" x14ac:dyDescent="0.25">
      <c r="O605" t="s">
        <v>917</v>
      </c>
    </row>
    <row r="606" spans="15:15" x14ac:dyDescent="0.25">
      <c r="O606" t="s">
        <v>918</v>
      </c>
    </row>
    <row r="607" spans="15:15" x14ac:dyDescent="0.25">
      <c r="O607" t="s">
        <v>919</v>
      </c>
    </row>
    <row r="608" spans="15:15" x14ac:dyDescent="0.25">
      <c r="O608" t="s">
        <v>920</v>
      </c>
    </row>
    <row r="609" spans="15:15" x14ac:dyDescent="0.25">
      <c r="O609" t="s">
        <v>921</v>
      </c>
    </row>
    <row r="610" spans="15:15" x14ac:dyDescent="0.25">
      <c r="O610" t="s">
        <v>922</v>
      </c>
    </row>
    <row r="611" spans="15:15" x14ac:dyDescent="0.25">
      <c r="O611" t="s">
        <v>923</v>
      </c>
    </row>
    <row r="612" spans="15:15" x14ac:dyDescent="0.25">
      <c r="O612" t="s">
        <v>924</v>
      </c>
    </row>
    <row r="613" spans="15:15" x14ac:dyDescent="0.25">
      <c r="O613" t="s">
        <v>925</v>
      </c>
    </row>
    <row r="614" spans="15:15" x14ac:dyDescent="0.25">
      <c r="O614" t="s">
        <v>926</v>
      </c>
    </row>
    <row r="615" spans="15:15" x14ac:dyDescent="0.25">
      <c r="O615" t="s">
        <v>927</v>
      </c>
    </row>
    <row r="616" spans="15:15" x14ac:dyDescent="0.25">
      <c r="O616" t="s">
        <v>928</v>
      </c>
    </row>
    <row r="617" spans="15:15" x14ac:dyDescent="0.25">
      <c r="O617" t="s">
        <v>929</v>
      </c>
    </row>
    <row r="618" spans="15:15" x14ac:dyDescent="0.25">
      <c r="O618" t="s">
        <v>930</v>
      </c>
    </row>
    <row r="619" spans="15:15" x14ac:dyDescent="0.25">
      <c r="O619" t="s">
        <v>931</v>
      </c>
    </row>
    <row r="620" spans="15:15" x14ac:dyDescent="0.25">
      <c r="O620" t="s">
        <v>932</v>
      </c>
    </row>
    <row r="621" spans="15:15" x14ac:dyDescent="0.25">
      <c r="O621" t="s">
        <v>933</v>
      </c>
    </row>
    <row r="622" spans="15:15" x14ac:dyDescent="0.25">
      <c r="O622" t="s">
        <v>934</v>
      </c>
    </row>
    <row r="623" spans="15:15" x14ac:dyDescent="0.25">
      <c r="O623" t="s">
        <v>935</v>
      </c>
    </row>
    <row r="624" spans="15:15" x14ac:dyDescent="0.25">
      <c r="O624" t="s">
        <v>936</v>
      </c>
    </row>
    <row r="625" spans="15:15" x14ac:dyDescent="0.25">
      <c r="O625" t="s">
        <v>937</v>
      </c>
    </row>
    <row r="626" spans="15:15" x14ac:dyDescent="0.25">
      <c r="O626" t="s">
        <v>938</v>
      </c>
    </row>
    <row r="627" spans="15:15" x14ac:dyDescent="0.25">
      <c r="O627" t="s">
        <v>939</v>
      </c>
    </row>
    <row r="628" spans="15:15" x14ac:dyDescent="0.25">
      <c r="O628" t="s">
        <v>940</v>
      </c>
    </row>
    <row r="629" spans="15:15" x14ac:dyDescent="0.25">
      <c r="O629" t="s">
        <v>941</v>
      </c>
    </row>
    <row r="630" spans="15:15" x14ac:dyDescent="0.25">
      <c r="O630" t="s">
        <v>942</v>
      </c>
    </row>
    <row r="631" spans="15:15" x14ac:dyDescent="0.25">
      <c r="O631" t="s">
        <v>943</v>
      </c>
    </row>
    <row r="632" spans="15:15" x14ac:dyDescent="0.25">
      <c r="O632" t="s">
        <v>944</v>
      </c>
    </row>
    <row r="633" spans="15:15" x14ac:dyDescent="0.25">
      <c r="O633" t="s">
        <v>945</v>
      </c>
    </row>
    <row r="634" spans="15:15" x14ac:dyDescent="0.25">
      <c r="O634" t="s">
        <v>946</v>
      </c>
    </row>
    <row r="635" spans="15:15" x14ac:dyDescent="0.25">
      <c r="O635" t="s">
        <v>947</v>
      </c>
    </row>
    <row r="636" spans="15:15" x14ac:dyDescent="0.25">
      <c r="O636" t="s">
        <v>948</v>
      </c>
    </row>
    <row r="637" spans="15:15" x14ac:dyDescent="0.25">
      <c r="O637" t="s">
        <v>949</v>
      </c>
    </row>
    <row r="638" spans="15:15" x14ac:dyDescent="0.25">
      <c r="O638" t="s">
        <v>950</v>
      </c>
    </row>
    <row r="639" spans="15:15" x14ac:dyDescent="0.25">
      <c r="O639" t="s">
        <v>951</v>
      </c>
    </row>
    <row r="640" spans="15:15" x14ac:dyDescent="0.25">
      <c r="O640" t="s">
        <v>952</v>
      </c>
    </row>
    <row r="641" spans="15:15" x14ac:dyDescent="0.25">
      <c r="O641" t="s">
        <v>953</v>
      </c>
    </row>
    <row r="642" spans="15:15" x14ac:dyDescent="0.25">
      <c r="O642" t="s">
        <v>954</v>
      </c>
    </row>
    <row r="643" spans="15:15" x14ac:dyDescent="0.25">
      <c r="O643" t="s">
        <v>955</v>
      </c>
    </row>
    <row r="644" spans="15:15" x14ac:dyDescent="0.25">
      <c r="O644" t="s">
        <v>956</v>
      </c>
    </row>
    <row r="645" spans="15:15" x14ac:dyDescent="0.25">
      <c r="O645" t="s">
        <v>957</v>
      </c>
    </row>
    <row r="646" spans="15:15" x14ac:dyDescent="0.25">
      <c r="O646" t="s">
        <v>958</v>
      </c>
    </row>
    <row r="647" spans="15:15" x14ac:dyDescent="0.25">
      <c r="O647" t="s">
        <v>959</v>
      </c>
    </row>
    <row r="648" spans="15:15" x14ac:dyDescent="0.25">
      <c r="O648" t="s">
        <v>960</v>
      </c>
    </row>
    <row r="649" spans="15:15" x14ac:dyDescent="0.25">
      <c r="O649" t="s">
        <v>961</v>
      </c>
    </row>
    <row r="650" spans="15:15" x14ac:dyDescent="0.25">
      <c r="O650" t="s">
        <v>962</v>
      </c>
    </row>
    <row r="651" spans="15:15" x14ac:dyDescent="0.25">
      <c r="O651" t="s">
        <v>963</v>
      </c>
    </row>
    <row r="652" spans="15:15" x14ac:dyDescent="0.25">
      <c r="O652" t="s">
        <v>964</v>
      </c>
    </row>
    <row r="653" spans="15:15" x14ac:dyDescent="0.25">
      <c r="O653" t="s">
        <v>965</v>
      </c>
    </row>
    <row r="654" spans="15:15" x14ac:dyDescent="0.25">
      <c r="O654" t="s">
        <v>966</v>
      </c>
    </row>
    <row r="655" spans="15:15" x14ac:dyDescent="0.25">
      <c r="O655" t="s">
        <v>967</v>
      </c>
    </row>
    <row r="656" spans="15:15" x14ac:dyDescent="0.25">
      <c r="O656" t="s">
        <v>968</v>
      </c>
    </row>
    <row r="657" spans="15:15" x14ac:dyDescent="0.25">
      <c r="O657" t="s">
        <v>969</v>
      </c>
    </row>
    <row r="658" spans="15:15" x14ac:dyDescent="0.25">
      <c r="O658" t="s">
        <v>970</v>
      </c>
    </row>
    <row r="659" spans="15:15" x14ac:dyDescent="0.25">
      <c r="O659" t="s">
        <v>971</v>
      </c>
    </row>
    <row r="660" spans="15:15" x14ac:dyDescent="0.25">
      <c r="O660" t="s">
        <v>972</v>
      </c>
    </row>
    <row r="661" spans="15:15" x14ac:dyDescent="0.25">
      <c r="O661" t="s">
        <v>973</v>
      </c>
    </row>
    <row r="662" spans="15:15" x14ac:dyDescent="0.25">
      <c r="O662" t="s">
        <v>974</v>
      </c>
    </row>
    <row r="663" spans="15:15" x14ac:dyDescent="0.25">
      <c r="O663" t="s">
        <v>975</v>
      </c>
    </row>
    <row r="664" spans="15:15" x14ac:dyDescent="0.25">
      <c r="O664" t="s">
        <v>976</v>
      </c>
    </row>
    <row r="665" spans="15:15" x14ac:dyDescent="0.25">
      <c r="O665" t="s">
        <v>977</v>
      </c>
    </row>
    <row r="666" spans="15:15" x14ac:dyDescent="0.25">
      <c r="O666" t="s">
        <v>978</v>
      </c>
    </row>
    <row r="667" spans="15:15" x14ac:dyDescent="0.25">
      <c r="O667" t="s">
        <v>979</v>
      </c>
    </row>
    <row r="668" spans="15:15" x14ac:dyDescent="0.25">
      <c r="O668" t="s">
        <v>980</v>
      </c>
    </row>
    <row r="669" spans="15:15" x14ac:dyDescent="0.25">
      <c r="O669" t="s">
        <v>981</v>
      </c>
    </row>
    <row r="670" spans="15:15" x14ac:dyDescent="0.25">
      <c r="O670" t="s">
        <v>982</v>
      </c>
    </row>
    <row r="671" spans="15:15" x14ac:dyDescent="0.25">
      <c r="O671" t="s">
        <v>983</v>
      </c>
    </row>
    <row r="672" spans="15:15" x14ac:dyDescent="0.25">
      <c r="O672" t="s">
        <v>984</v>
      </c>
    </row>
    <row r="673" spans="15:15" x14ac:dyDescent="0.25">
      <c r="O673" t="s">
        <v>985</v>
      </c>
    </row>
    <row r="674" spans="15:15" x14ac:dyDescent="0.25">
      <c r="O674" t="s">
        <v>986</v>
      </c>
    </row>
    <row r="675" spans="15:15" x14ac:dyDescent="0.25">
      <c r="O675" t="s">
        <v>987</v>
      </c>
    </row>
    <row r="676" spans="15:15" x14ac:dyDescent="0.25">
      <c r="O676" t="s">
        <v>988</v>
      </c>
    </row>
    <row r="677" spans="15:15" x14ac:dyDescent="0.25">
      <c r="O677" t="s">
        <v>989</v>
      </c>
    </row>
    <row r="678" spans="15:15" x14ac:dyDescent="0.25">
      <c r="O678" t="s">
        <v>990</v>
      </c>
    </row>
    <row r="679" spans="15:15" x14ac:dyDescent="0.25">
      <c r="O679" t="s">
        <v>991</v>
      </c>
    </row>
    <row r="680" spans="15:15" x14ac:dyDescent="0.25">
      <c r="O680" t="s">
        <v>992</v>
      </c>
    </row>
    <row r="681" spans="15:15" x14ac:dyDescent="0.25">
      <c r="O681" t="s">
        <v>993</v>
      </c>
    </row>
    <row r="682" spans="15:15" x14ac:dyDescent="0.25">
      <c r="O682" t="s">
        <v>994</v>
      </c>
    </row>
    <row r="683" spans="15:15" x14ac:dyDescent="0.25">
      <c r="O683" t="s">
        <v>995</v>
      </c>
    </row>
    <row r="684" spans="15:15" x14ac:dyDescent="0.25">
      <c r="O684" t="s">
        <v>996</v>
      </c>
    </row>
    <row r="685" spans="15:15" x14ac:dyDescent="0.25">
      <c r="O685" t="s">
        <v>997</v>
      </c>
    </row>
    <row r="686" spans="15:15" x14ac:dyDescent="0.25">
      <c r="O686" t="s">
        <v>998</v>
      </c>
    </row>
    <row r="687" spans="15:15" x14ac:dyDescent="0.25">
      <c r="O687" t="s">
        <v>999</v>
      </c>
    </row>
    <row r="688" spans="15:15" x14ac:dyDescent="0.25">
      <c r="O688" t="s">
        <v>1000</v>
      </c>
    </row>
    <row r="689" spans="15:15" x14ac:dyDescent="0.25">
      <c r="O689" t="s">
        <v>1001</v>
      </c>
    </row>
    <row r="690" spans="15:15" x14ac:dyDescent="0.25">
      <c r="O690" t="s">
        <v>1002</v>
      </c>
    </row>
    <row r="691" spans="15:15" x14ac:dyDescent="0.25">
      <c r="O691" t="s">
        <v>1003</v>
      </c>
    </row>
    <row r="692" spans="15:15" x14ac:dyDescent="0.25">
      <c r="O692" t="s">
        <v>1004</v>
      </c>
    </row>
    <row r="693" spans="15:15" x14ac:dyDescent="0.25">
      <c r="O693" t="s">
        <v>1005</v>
      </c>
    </row>
    <row r="694" spans="15:15" x14ac:dyDescent="0.25">
      <c r="O694" t="s">
        <v>1006</v>
      </c>
    </row>
    <row r="695" spans="15:15" x14ac:dyDescent="0.25">
      <c r="O695" t="s">
        <v>1007</v>
      </c>
    </row>
    <row r="696" spans="15:15" x14ac:dyDescent="0.25">
      <c r="O696" t="s">
        <v>1008</v>
      </c>
    </row>
    <row r="697" spans="15:15" x14ac:dyDescent="0.25">
      <c r="O697" t="s">
        <v>1009</v>
      </c>
    </row>
    <row r="698" spans="15:15" x14ac:dyDescent="0.25">
      <c r="O698" t="s">
        <v>1010</v>
      </c>
    </row>
    <row r="699" spans="15:15" x14ac:dyDescent="0.25">
      <c r="O699" t="s">
        <v>1011</v>
      </c>
    </row>
    <row r="700" spans="15:15" x14ac:dyDescent="0.25">
      <c r="O700" t="s">
        <v>1012</v>
      </c>
    </row>
    <row r="701" spans="15:15" x14ac:dyDescent="0.25">
      <c r="O701" t="s">
        <v>1013</v>
      </c>
    </row>
    <row r="702" spans="15:15" x14ac:dyDescent="0.25">
      <c r="O702" t="s">
        <v>1014</v>
      </c>
    </row>
    <row r="703" spans="15:15" x14ac:dyDescent="0.25">
      <c r="O703" t="s">
        <v>1015</v>
      </c>
    </row>
    <row r="704" spans="15:15" x14ac:dyDescent="0.25">
      <c r="O704" t="s">
        <v>1016</v>
      </c>
    </row>
    <row r="705" spans="15:15" x14ac:dyDescent="0.25">
      <c r="O705" t="s">
        <v>1017</v>
      </c>
    </row>
    <row r="706" spans="15:15" x14ac:dyDescent="0.25">
      <c r="O706" t="s">
        <v>1018</v>
      </c>
    </row>
    <row r="707" spans="15:15" x14ac:dyDescent="0.25">
      <c r="O707" t="s">
        <v>1019</v>
      </c>
    </row>
    <row r="708" spans="15:15" x14ac:dyDescent="0.25">
      <c r="O708" t="s">
        <v>1020</v>
      </c>
    </row>
    <row r="709" spans="15:15" x14ac:dyDescent="0.25">
      <c r="O709" t="s">
        <v>1021</v>
      </c>
    </row>
    <row r="710" spans="15:15" x14ac:dyDescent="0.25">
      <c r="O710" t="s">
        <v>1022</v>
      </c>
    </row>
    <row r="711" spans="15:15" x14ac:dyDescent="0.25">
      <c r="O711" t="s">
        <v>1023</v>
      </c>
    </row>
    <row r="712" spans="15:15" x14ac:dyDescent="0.25">
      <c r="O712" t="s">
        <v>1024</v>
      </c>
    </row>
    <row r="713" spans="15:15" x14ac:dyDescent="0.25">
      <c r="O713" t="s">
        <v>1025</v>
      </c>
    </row>
    <row r="714" spans="15:15" x14ac:dyDescent="0.25">
      <c r="O714" t="s">
        <v>1026</v>
      </c>
    </row>
    <row r="715" spans="15:15" x14ac:dyDescent="0.25">
      <c r="O715" t="s">
        <v>1027</v>
      </c>
    </row>
    <row r="716" spans="15:15" x14ac:dyDescent="0.25">
      <c r="O716" t="s">
        <v>1028</v>
      </c>
    </row>
    <row r="717" spans="15:15" x14ac:dyDescent="0.25">
      <c r="O717" t="s">
        <v>1029</v>
      </c>
    </row>
    <row r="718" spans="15:15" x14ac:dyDescent="0.25">
      <c r="O718" t="s">
        <v>1030</v>
      </c>
    </row>
    <row r="719" spans="15:15" x14ac:dyDescent="0.25">
      <c r="O719" t="s">
        <v>1031</v>
      </c>
    </row>
    <row r="720" spans="15:15" x14ac:dyDescent="0.25">
      <c r="O720" t="s">
        <v>1032</v>
      </c>
    </row>
    <row r="721" spans="15:15" x14ac:dyDescent="0.25">
      <c r="O721" t="s">
        <v>1033</v>
      </c>
    </row>
    <row r="722" spans="15:15" x14ac:dyDescent="0.25">
      <c r="O722" t="s">
        <v>1034</v>
      </c>
    </row>
    <row r="723" spans="15:15" x14ac:dyDescent="0.25">
      <c r="O723" t="s">
        <v>1035</v>
      </c>
    </row>
    <row r="724" spans="15:15" x14ac:dyDescent="0.25">
      <c r="O724" t="s">
        <v>1036</v>
      </c>
    </row>
    <row r="725" spans="15:15" x14ac:dyDescent="0.25">
      <c r="O725" t="s">
        <v>1037</v>
      </c>
    </row>
    <row r="726" spans="15:15" x14ac:dyDescent="0.25">
      <c r="O726" t="s">
        <v>1038</v>
      </c>
    </row>
    <row r="727" spans="15:15" x14ac:dyDescent="0.25">
      <c r="O727" t="s">
        <v>1039</v>
      </c>
    </row>
    <row r="728" spans="15:15" x14ac:dyDescent="0.25">
      <c r="O728" t="s">
        <v>1040</v>
      </c>
    </row>
    <row r="729" spans="15:15" x14ac:dyDescent="0.25">
      <c r="O729" t="s">
        <v>1041</v>
      </c>
    </row>
    <row r="730" spans="15:15" x14ac:dyDescent="0.25">
      <c r="O730" t="s">
        <v>1042</v>
      </c>
    </row>
    <row r="731" spans="15:15" x14ac:dyDescent="0.25">
      <c r="O731" t="s">
        <v>1043</v>
      </c>
    </row>
    <row r="732" spans="15:15" x14ac:dyDescent="0.25">
      <c r="O732" t="s">
        <v>1044</v>
      </c>
    </row>
    <row r="733" spans="15:15" x14ac:dyDescent="0.25">
      <c r="O733" t="s">
        <v>1045</v>
      </c>
    </row>
    <row r="734" spans="15:15" x14ac:dyDescent="0.25">
      <c r="O734" t="s">
        <v>1046</v>
      </c>
    </row>
    <row r="735" spans="15:15" x14ac:dyDescent="0.25">
      <c r="O735" t="s">
        <v>1047</v>
      </c>
    </row>
    <row r="736" spans="15:15" x14ac:dyDescent="0.25">
      <c r="O736" t="s">
        <v>1048</v>
      </c>
    </row>
    <row r="737" spans="15:15" x14ac:dyDescent="0.25">
      <c r="O737" t="s">
        <v>1049</v>
      </c>
    </row>
    <row r="738" spans="15:15" x14ac:dyDescent="0.25">
      <c r="O738" t="s">
        <v>1050</v>
      </c>
    </row>
    <row r="739" spans="15:15" x14ac:dyDescent="0.25">
      <c r="O739" t="s">
        <v>1051</v>
      </c>
    </row>
    <row r="740" spans="15:15" x14ac:dyDescent="0.25">
      <c r="O740" t="s">
        <v>1052</v>
      </c>
    </row>
    <row r="741" spans="15:15" x14ac:dyDescent="0.25">
      <c r="O741" t="s">
        <v>1053</v>
      </c>
    </row>
    <row r="742" spans="15:15" x14ac:dyDescent="0.25">
      <c r="O742" t="s">
        <v>1054</v>
      </c>
    </row>
    <row r="743" spans="15:15" x14ac:dyDescent="0.25">
      <c r="O743" t="s">
        <v>1055</v>
      </c>
    </row>
    <row r="744" spans="15:15" x14ac:dyDescent="0.25">
      <c r="O744" t="s">
        <v>1056</v>
      </c>
    </row>
    <row r="745" spans="15:15" x14ac:dyDescent="0.25">
      <c r="O745" t="s">
        <v>1057</v>
      </c>
    </row>
    <row r="746" spans="15:15" x14ac:dyDescent="0.25">
      <c r="O746" t="s">
        <v>1058</v>
      </c>
    </row>
    <row r="747" spans="15:15" x14ac:dyDescent="0.25">
      <c r="O747" t="s">
        <v>1059</v>
      </c>
    </row>
    <row r="748" spans="15:15" x14ac:dyDescent="0.25">
      <c r="O748" t="s">
        <v>1060</v>
      </c>
    </row>
    <row r="749" spans="15:15" x14ac:dyDescent="0.25">
      <c r="O749" t="s">
        <v>1061</v>
      </c>
    </row>
    <row r="750" spans="15:15" x14ac:dyDescent="0.25">
      <c r="O750" t="s">
        <v>1062</v>
      </c>
    </row>
    <row r="751" spans="15:15" x14ac:dyDescent="0.25">
      <c r="O751" t="s">
        <v>1063</v>
      </c>
    </row>
    <row r="752" spans="15:15" x14ac:dyDescent="0.25">
      <c r="O752" t="s">
        <v>1064</v>
      </c>
    </row>
    <row r="753" spans="15:15" x14ac:dyDescent="0.25">
      <c r="O753" t="s">
        <v>1065</v>
      </c>
    </row>
    <row r="754" spans="15:15" x14ac:dyDescent="0.25">
      <c r="O754" t="s">
        <v>56</v>
      </c>
    </row>
    <row r="755" spans="15:15" x14ac:dyDescent="0.25">
      <c r="O755" t="s">
        <v>1066</v>
      </c>
    </row>
    <row r="756" spans="15:15" x14ac:dyDescent="0.25">
      <c r="O756" t="s">
        <v>1067</v>
      </c>
    </row>
    <row r="757" spans="15:15" x14ac:dyDescent="0.25">
      <c r="O757" t="s">
        <v>1068</v>
      </c>
    </row>
    <row r="758" spans="15:15" x14ac:dyDescent="0.25">
      <c r="O758" t="s">
        <v>1069</v>
      </c>
    </row>
    <row r="759" spans="15:15" x14ac:dyDescent="0.25">
      <c r="O759" t="s">
        <v>1070</v>
      </c>
    </row>
    <row r="760" spans="15:15" x14ac:dyDescent="0.25">
      <c r="O760" t="s">
        <v>1071</v>
      </c>
    </row>
    <row r="761" spans="15:15" x14ac:dyDescent="0.25">
      <c r="O761" t="s">
        <v>1072</v>
      </c>
    </row>
    <row r="762" spans="15:15" x14ac:dyDescent="0.25">
      <c r="O762" t="s">
        <v>1073</v>
      </c>
    </row>
    <row r="763" spans="15:15" x14ac:dyDescent="0.25">
      <c r="O763" t="s">
        <v>1074</v>
      </c>
    </row>
    <row r="764" spans="15:15" x14ac:dyDescent="0.25">
      <c r="O764" t="s">
        <v>1075</v>
      </c>
    </row>
    <row r="765" spans="15:15" x14ac:dyDescent="0.25">
      <c r="O765" t="s">
        <v>1076</v>
      </c>
    </row>
    <row r="766" spans="15:15" x14ac:dyDescent="0.25">
      <c r="O766" t="s">
        <v>1077</v>
      </c>
    </row>
    <row r="767" spans="15:15" x14ac:dyDescent="0.25">
      <c r="O767" t="s">
        <v>1078</v>
      </c>
    </row>
    <row r="768" spans="15:15" x14ac:dyDescent="0.25">
      <c r="O768" t="s">
        <v>1079</v>
      </c>
    </row>
    <row r="769" spans="15:15" x14ac:dyDescent="0.25">
      <c r="O769" t="s">
        <v>1080</v>
      </c>
    </row>
    <row r="770" spans="15:15" x14ac:dyDescent="0.25">
      <c r="O770" t="s">
        <v>1081</v>
      </c>
    </row>
    <row r="771" spans="15:15" x14ac:dyDescent="0.25">
      <c r="O771" t="s">
        <v>1082</v>
      </c>
    </row>
    <row r="772" spans="15:15" x14ac:dyDescent="0.25">
      <c r="O772" t="s">
        <v>1083</v>
      </c>
    </row>
    <row r="773" spans="15:15" x14ac:dyDescent="0.25">
      <c r="O773" t="s">
        <v>1084</v>
      </c>
    </row>
    <row r="774" spans="15:15" x14ac:dyDescent="0.25">
      <c r="O774" t="s">
        <v>1085</v>
      </c>
    </row>
    <row r="775" spans="15:15" x14ac:dyDescent="0.25">
      <c r="O775" t="s">
        <v>1086</v>
      </c>
    </row>
    <row r="776" spans="15:15" x14ac:dyDescent="0.25">
      <c r="O776" t="s">
        <v>1087</v>
      </c>
    </row>
    <row r="777" spans="15:15" x14ac:dyDescent="0.25">
      <c r="O777" t="s">
        <v>1088</v>
      </c>
    </row>
    <row r="778" spans="15:15" x14ac:dyDescent="0.25">
      <c r="O778" t="s">
        <v>1089</v>
      </c>
    </row>
    <row r="779" spans="15:15" x14ac:dyDescent="0.25">
      <c r="O779" t="s">
        <v>1090</v>
      </c>
    </row>
    <row r="780" spans="15:15" x14ac:dyDescent="0.25">
      <c r="O780" t="s">
        <v>1091</v>
      </c>
    </row>
    <row r="781" spans="15:15" x14ac:dyDescent="0.25">
      <c r="O781" t="s">
        <v>1092</v>
      </c>
    </row>
    <row r="782" spans="15:15" x14ac:dyDescent="0.25">
      <c r="O782" t="s">
        <v>1093</v>
      </c>
    </row>
    <row r="783" spans="15:15" x14ac:dyDescent="0.25">
      <c r="O783" t="s">
        <v>1094</v>
      </c>
    </row>
    <row r="784" spans="15:15" x14ac:dyDescent="0.25">
      <c r="O784" t="s">
        <v>1095</v>
      </c>
    </row>
    <row r="785" spans="15:15" x14ac:dyDescent="0.25">
      <c r="O785" t="s">
        <v>1096</v>
      </c>
    </row>
    <row r="786" spans="15:15" x14ac:dyDescent="0.25">
      <c r="O786" t="s">
        <v>1097</v>
      </c>
    </row>
    <row r="787" spans="15:15" x14ac:dyDescent="0.25">
      <c r="O787" t="s">
        <v>1098</v>
      </c>
    </row>
    <row r="788" spans="15:15" x14ac:dyDescent="0.25">
      <c r="O788" t="s">
        <v>1099</v>
      </c>
    </row>
    <row r="789" spans="15:15" x14ac:dyDescent="0.25">
      <c r="O789" t="s">
        <v>1100</v>
      </c>
    </row>
    <row r="790" spans="15:15" x14ac:dyDescent="0.25">
      <c r="O790" t="s">
        <v>1101</v>
      </c>
    </row>
    <row r="791" spans="15:15" x14ac:dyDescent="0.25">
      <c r="O791" t="s">
        <v>1102</v>
      </c>
    </row>
    <row r="792" spans="15:15" x14ac:dyDescent="0.25">
      <c r="O792" t="s">
        <v>1103</v>
      </c>
    </row>
    <row r="793" spans="15:15" x14ac:dyDescent="0.25">
      <c r="O793" t="s">
        <v>1104</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1325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1325</v>
      </c>
    </row>
    <row r="2" spans="1:4" ht="15.75" thickBot="1" x14ac:dyDescent="0.3"/>
    <row r="3" spans="1:4" ht="15.75" thickTop="1" x14ac:dyDescent="0.25">
      <c r="A3" s="175" t="s">
        <v>1330</v>
      </c>
      <c r="B3" s="176"/>
      <c r="C3" s="176"/>
      <c r="D3" s="177"/>
    </row>
    <row r="4" spans="1:4" ht="15.75" thickBot="1" x14ac:dyDescent="0.3">
      <c r="A4" s="117" t="s">
        <v>1326</v>
      </c>
      <c r="B4" s="118" t="s">
        <v>1327</v>
      </c>
      <c r="C4" s="118" t="s">
        <v>1328</v>
      </c>
      <c r="D4" s="119" t="s">
        <v>1329</v>
      </c>
    </row>
    <row r="5" spans="1:4" ht="15.75" thickTop="1" x14ac:dyDescent="0.25">
      <c r="A5" s="126" t="s">
        <v>14</v>
      </c>
      <c r="B5" s="120" t="s">
        <v>14</v>
      </c>
      <c r="C5" s="121" t="s">
        <v>1340</v>
      </c>
      <c r="D5" s="127"/>
    </row>
    <row r="6" spans="1:4" ht="60" x14ac:dyDescent="0.25">
      <c r="A6" s="128" t="s">
        <v>1331</v>
      </c>
      <c r="B6" s="122" t="s">
        <v>130</v>
      </c>
      <c r="C6" s="123" t="s">
        <v>1332</v>
      </c>
      <c r="D6" s="129" t="s">
        <v>1333</v>
      </c>
    </row>
    <row r="7" spans="1:4" ht="60" x14ac:dyDescent="0.25">
      <c r="A7" s="128" t="s">
        <v>1334</v>
      </c>
      <c r="B7" s="122" t="s">
        <v>131</v>
      </c>
      <c r="C7" s="123" t="s">
        <v>1335</v>
      </c>
      <c r="D7" s="129" t="s">
        <v>1336</v>
      </c>
    </row>
    <row r="8" spans="1:4" ht="30.75" thickBot="1" x14ac:dyDescent="0.3">
      <c r="A8" s="130" t="s">
        <v>1337</v>
      </c>
      <c r="B8" s="131" t="s">
        <v>132</v>
      </c>
      <c r="C8" s="132" t="s">
        <v>1338</v>
      </c>
      <c r="D8" s="133" t="s">
        <v>1339</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topLeftCell="A10" workbookViewId="0">
      <selection activeCell="E20" sqref="E20"/>
    </sheetView>
  </sheetViews>
  <sheetFormatPr defaultRowHeight="15" x14ac:dyDescent="0.25"/>
  <cols>
    <col min="1" max="1" width="39" customWidth="1"/>
    <col min="2" max="2" width="32.42578125" customWidth="1"/>
    <col min="3" max="3" width="53.42578125" style="116" customWidth="1"/>
    <col min="4" max="4" width="48.140625" customWidth="1"/>
    <col min="5" max="5" width="38.42578125" bestFit="1" customWidth="1"/>
  </cols>
  <sheetData>
    <row r="1" spans="1:6" x14ac:dyDescent="0.25">
      <c r="A1" t="s">
        <v>1325</v>
      </c>
    </row>
    <row r="2" spans="1:6" ht="15.75" thickBot="1" x14ac:dyDescent="0.3"/>
    <row r="3" spans="1:6" s="7" customFormat="1" x14ac:dyDescent="0.25">
      <c r="A3" s="178" t="s">
        <v>1363</v>
      </c>
      <c r="B3" s="179"/>
      <c r="C3" s="179"/>
      <c r="D3" s="179"/>
      <c r="E3" s="180"/>
      <c r="F3"/>
    </row>
    <row r="4" spans="1:6" s="7" customFormat="1" ht="15.75" thickBot="1" x14ac:dyDescent="0.3">
      <c r="A4" s="94" t="s">
        <v>156</v>
      </c>
      <c r="B4" s="73" t="s">
        <v>157</v>
      </c>
      <c r="C4" s="73" t="s">
        <v>19</v>
      </c>
      <c r="D4" s="84" t="s">
        <v>158</v>
      </c>
      <c r="E4" s="85" t="s">
        <v>159</v>
      </c>
    </row>
    <row r="5" spans="1:6" s="7" customFormat="1" ht="75.75" thickTop="1" x14ac:dyDescent="0.25">
      <c r="A5" s="141" t="s">
        <v>171</v>
      </c>
      <c r="B5" s="23" t="s">
        <v>1344</v>
      </c>
      <c r="C5" s="23" t="s">
        <v>1344</v>
      </c>
      <c r="D5" s="58" t="s">
        <v>1356</v>
      </c>
      <c r="E5" s="142" t="s">
        <v>1345</v>
      </c>
    </row>
    <row r="6" spans="1:6" s="7" customFormat="1" ht="150" x14ac:dyDescent="0.25">
      <c r="A6" s="135" t="s">
        <v>171</v>
      </c>
      <c r="B6" s="13" t="s">
        <v>1357</v>
      </c>
      <c r="C6" s="13" t="s">
        <v>1358</v>
      </c>
      <c r="D6" s="14" t="s">
        <v>1359</v>
      </c>
      <c r="E6" s="136" t="s">
        <v>1360</v>
      </c>
    </row>
    <row r="7" spans="1:6" s="7" customFormat="1" ht="75.75" thickBot="1" x14ac:dyDescent="0.3">
      <c r="A7" s="137" t="s">
        <v>171</v>
      </c>
      <c r="B7" s="138" t="s">
        <v>1350</v>
      </c>
      <c r="C7" s="138" t="s">
        <v>1361</v>
      </c>
      <c r="D7" s="139" t="s">
        <v>1362</v>
      </c>
      <c r="E7" s="140" t="s">
        <v>1348</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81" t="s">
        <v>1355</v>
      </c>
      <c r="B16" s="182"/>
      <c r="C16" s="182"/>
      <c r="D16" s="182"/>
      <c r="E16" s="183"/>
    </row>
    <row r="17" spans="1:5" ht="15.75" thickBot="1" x14ac:dyDescent="0.3">
      <c r="A17" s="117" t="s">
        <v>1341</v>
      </c>
      <c r="B17" s="118" t="s">
        <v>1365</v>
      </c>
      <c r="C17" s="134" t="s">
        <v>1342</v>
      </c>
      <c r="D17" s="119" t="s">
        <v>1343</v>
      </c>
      <c r="E17" s="118" t="s">
        <v>1369</v>
      </c>
    </row>
    <row r="18" spans="1:5" ht="90.75" thickTop="1" x14ac:dyDescent="0.25">
      <c r="A18" s="143" t="s">
        <v>1344</v>
      </c>
      <c r="B18" s="120" t="s">
        <v>1344</v>
      </c>
      <c r="C18" s="121" t="s">
        <v>1346</v>
      </c>
      <c r="D18" s="145" t="s">
        <v>1345</v>
      </c>
      <c r="E18" s="150" t="s">
        <v>1345</v>
      </c>
    </row>
    <row r="19" spans="1:5" s="5" customFormat="1" ht="30" x14ac:dyDescent="0.25">
      <c r="A19" s="144" t="s">
        <v>1354</v>
      </c>
      <c r="B19" s="122" t="s">
        <v>1358</v>
      </c>
      <c r="C19" s="123" t="s">
        <v>1351</v>
      </c>
      <c r="D19" s="146" t="s">
        <v>1352</v>
      </c>
      <c r="E19" s="129"/>
    </row>
    <row r="20" spans="1:5" ht="90.75" thickBot="1" x14ac:dyDescent="0.3">
      <c r="A20" s="147" t="s">
        <v>1353</v>
      </c>
      <c r="B20" s="124" t="s">
        <v>1361</v>
      </c>
      <c r="C20" s="125" t="s">
        <v>1347</v>
      </c>
      <c r="D20" s="148" t="s">
        <v>1348</v>
      </c>
      <c r="E20" s="149" t="s">
        <v>1370</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33</vt:i4>
      </vt:variant>
    </vt:vector>
  </HeadingPairs>
  <TitlesOfParts>
    <vt:vector size="50"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2015-03-12T17:27:57Z</dcterms:modified>
</cp:coreProperties>
</file>