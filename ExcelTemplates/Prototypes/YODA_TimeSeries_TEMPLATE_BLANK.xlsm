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0" windowWidth="19320" windowHeight="6105" firstSheet="2" activeTab="8"/>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state="hidden" r:id="rId11"/>
    <sheet name="YODA Generator" sheetId="15" state="hidden" r:id="rId12"/>
    <sheet name="YODA File" sheetId="16" r:id="rId13"/>
    <sheet name="Controlled Vocabularies" sheetId="3" state="hidden" r:id="rId14"/>
  </sheets>
  <functionGroups builtInGroupCount="17"/>
  <definedNames>
    <definedName name="_xlnm._FilterDatabase" localSheetId="12" hidden="1">'YODA File'!$A$1:$A$37</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Citation'!$B$9:$B$16</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INDEX(ControlledVocabularies[ValidSRSNames],1,1):INDEX(ControlledVocabularies[ValidSRSNames],COUNTA(ControlledVocabularies[ValidSRSNames]))</definedName>
    <definedName name="LengthHeader">'YODA Header Blocks'!$AD$4</definedName>
    <definedName name="ListOfVocabularies">'Controlled Vocabularies'!$1:$1</definedName>
    <definedName name="LongestBlock">'YODA Header Blocks'!$AD$3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Citation'!$E$19</definedName>
    <definedName name="NumDataColumns">'Data Columns'!$N$9</definedName>
    <definedName name="NumDataValues">'YODA Header Blocks'!$AD$5</definedName>
    <definedName name="NumMethods">Methods!$F$3</definedName>
    <definedName name="NumOrganizations">'People and Organizations'!$H$7</definedName>
    <definedName name="NumPeople">'People and Organizations'!$H$8</definedName>
    <definedName name="NumProcessingLevels">'Processing Levels'!$E$3</definedName>
    <definedName name="NumRelatedFeatures">'Related Features (optional)'!$H$3</definedName>
    <definedName name="NumSamplingFeatures">'Sampling Features'!$I$7</definedName>
    <definedName name="NumSites">'Sampling Features'!$M$7</definedName>
    <definedName name="NumSpatialOffsets">'Related Features (optional)'!$J$3</definedName>
    <definedName name="NumSpecimens">'Sampling Features'!$R$7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Citation'!$B$16</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Units">INDEX(ControlledVocabularies[Units],1,1):INDEX(ControlledVocabularies[Units],COUNTA(ControlledVocabularies[Units]))</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Citation'!$B$15</definedName>
  </definedNames>
  <calcPr calcId="145621"/>
</workbook>
</file>

<file path=xl/calcChain.xml><?xml version="1.0" encoding="utf-8"?>
<calcChain xmlns="http://schemas.openxmlformats.org/spreadsheetml/2006/main">
  <c r="D49" i="15" l="1"/>
  <c r="D48" i="15"/>
  <c r="H10" i="11"/>
  <c r="K10" i="11"/>
  <c r="L10" i="11"/>
  <c r="M10" i="11"/>
  <c r="N10" i="11"/>
  <c r="O10" i="11"/>
  <c r="T10" i="11"/>
  <c r="U10" i="11"/>
  <c r="V10" i="11"/>
  <c r="W10" i="11"/>
  <c r="X10" i="11"/>
  <c r="AA10" i="11"/>
  <c r="W2" i="11"/>
  <c r="V2" i="11"/>
  <c r="U2" i="11"/>
  <c r="T2" i="11"/>
  <c r="K2" i="11"/>
  <c r="X2" i="11" l="1"/>
  <c r="AA9" i="11"/>
  <c r="X9" i="11"/>
  <c r="W9" i="11"/>
  <c r="V9" i="11"/>
  <c r="U9" i="11"/>
  <c r="T9" i="11"/>
  <c r="O9" i="11"/>
  <c r="N9" i="11"/>
  <c r="M9" i="11"/>
  <c r="L9" i="11"/>
  <c r="K9" i="11"/>
  <c r="H9" i="11"/>
  <c r="K11" i="2"/>
  <c r="K12" i="2" s="1"/>
  <c r="I4" i="11"/>
  <c r="K4" i="11"/>
  <c r="C4" i="11"/>
  <c r="V8" i="11"/>
  <c r="V7" i="11"/>
  <c r="K8" i="11"/>
  <c r="K7" i="11"/>
  <c r="K6" i="11"/>
  <c r="K5" i="11"/>
  <c r="L5" i="11"/>
  <c r="L4" i="11"/>
  <c r="X8" i="11"/>
  <c r="X7" i="11"/>
  <c r="W8" i="11"/>
  <c r="W7" i="11"/>
  <c r="W6" i="11"/>
  <c r="W5" i="11"/>
  <c r="W4" i="11"/>
  <c r="U8" i="11"/>
  <c r="U7" i="11"/>
  <c r="U6" i="11"/>
  <c r="U5" i="11"/>
  <c r="U4" i="11"/>
  <c r="T8" i="11"/>
  <c r="T7" i="11"/>
  <c r="T6" i="11"/>
  <c r="T5" i="11"/>
  <c r="T4" i="11"/>
  <c r="P4" i="11"/>
  <c r="O8" i="11"/>
  <c r="O7" i="11"/>
  <c r="O6" i="11"/>
  <c r="O5" i="11"/>
  <c r="O4" i="11"/>
  <c r="N8" i="11"/>
  <c r="N7" i="11"/>
  <c r="N6" i="11"/>
  <c r="N5" i="11"/>
  <c r="N4" i="11"/>
  <c r="L8" i="11"/>
  <c r="L7" i="11"/>
  <c r="L6" i="11"/>
  <c r="M8" i="11"/>
  <c r="M7" i="11"/>
  <c r="M6" i="11"/>
  <c r="M4" i="11"/>
  <c r="M5" i="11"/>
  <c r="H6" i="11"/>
  <c r="H7" i="11"/>
  <c r="H8" i="11"/>
  <c r="H5" i="11"/>
  <c r="H4" i="11"/>
  <c r="F4" i="11"/>
  <c r="G4" i="11"/>
  <c r="D4" i="11"/>
  <c r="I2" i="11"/>
  <c r="G2" i="11"/>
  <c r="G3" i="11"/>
  <c r="B4" i="11"/>
  <c r="B2" i="15" l="1"/>
  <c r="AD5" i="11" l="1"/>
  <c r="AA4" i="11"/>
  <c r="S4" i="11"/>
  <c r="Q4" i="11"/>
  <c r="J4" i="11"/>
  <c r="E4" i="11"/>
  <c r="Z3" i="11"/>
  <c r="Y3" i="11"/>
  <c r="R3" i="11"/>
  <c r="I3"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E3" i="13"/>
  <c r="F3" i="12"/>
  <c r="F3"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S60" i="2"/>
  <c r="R60" i="2"/>
  <c r="Q60" i="2"/>
  <c r="P60" i="2"/>
  <c r="N60" i="2"/>
  <c r="M60" i="2"/>
  <c r="L60" i="2"/>
  <c r="K60" i="2"/>
  <c r="S59" i="2"/>
  <c r="R59" i="2"/>
  <c r="Q59" i="2"/>
  <c r="P59" i="2"/>
  <c r="N59" i="2"/>
  <c r="M59" i="2"/>
  <c r="L59" i="2"/>
  <c r="K59" i="2"/>
  <c r="S58" i="2"/>
  <c r="R58" i="2"/>
  <c r="Q58" i="2"/>
  <c r="P58" i="2"/>
  <c r="N58" i="2"/>
  <c r="M58" i="2"/>
  <c r="L58" i="2"/>
  <c r="K58" i="2"/>
  <c r="S57" i="2"/>
  <c r="R57" i="2"/>
  <c r="Q57" i="2"/>
  <c r="P57" i="2"/>
  <c r="N57" i="2"/>
  <c r="M57" i="2"/>
  <c r="L57" i="2"/>
  <c r="K57" i="2"/>
  <c r="S56" i="2"/>
  <c r="R56" i="2"/>
  <c r="Q56" i="2"/>
  <c r="P56" i="2"/>
  <c r="N56" i="2"/>
  <c r="M56" i="2"/>
  <c r="L56" i="2"/>
  <c r="K56" i="2"/>
  <c r="S55" i="2"/>
  <c r="R55" i="2"/>
  <c r="Q55" i="2"/>
  <c r="P55" i="2"/>
  <c r="N55" i="2"/>
  <c r="M55" i="2"/>
  <c r="L55" i="2"/>
  <c r="K55" i="2"/>
  <c r="S54" i="2"/>
  <c r="R54" i="2"/>
  <c r="Q54" i="2"/>
  <c r="P54" i="2"/>
  <c r="N54" i="2"/>
  <c r="M54" i="2"/>
  <c r="L54" i="2"/>
  <c r="K54" i="2"/>
  <c r="S53" i="2"/>
  <c r="R53" i="2"/>
  <c r="Q53" i="2"/>
  <c r="P53" i="2"/>
  <c r="N53" i="2"/>
  <c r="M53" i="2"/>
  <c r="L53" i="2"/>
  <c r="K53" i="2"/>
  <c r="S52" i="2"/>
  <c r="R52" i="2"/>
  <c r="Q52" i="2"/>
  <c r="P52" i="2"/>
  <c r="N52" i="2"/>
  <c r="M52" i="2"/>
  <c r="L52" i="2"/>
  <c r="K52" i="2"/>
  <c r="S51" i="2"/>
  <c r="R51" i="2"/>
  <c r="Q51" i="2"/>
  <c r="P51" i="2"/>
  <c r="N51" i="2"/>
  <c r="M51" i="2"/>
  <c r="L51" i="2"/>
  <c r="K51" i="2"/>
  <c r="S50" i="2"/>
  <c r="R50" i="2"/>
  <c r="Q50" i="2"/>
  <c r="P50" i="2"/>
  <c r="N50" i="2"/>
  <c r="M50" i="2"/>
  <c r="L50" i="2"/>
  <c r="K50" i="2"/>
  <c r="S49" i="2"/>
  <c r="R49" i="2"/>
  <c r="Q49" i="2"/>
  <c r="P49" i="2"/>
  <c r="N49" i="2"/>
  <c r="M49" i="2"/>
  <c r="L49" i="2"/>
  <c r="K49" i="2"/>
  <c r="S48" i="2"/>
  <c r="R48" i="2"/>
  <c r="Q48" i="2"/>
  <c r="P48" i="2"/>
  <c r="N48" i="2"/>
  <c r="M48" i="2"/>
  <c r="L48" i="2"/>
  <c r="K48" i="2"/>
  <c r="S47" i="2"/>
  <c r="R47" i="2"/>
  <c r="Q47" i="2"/>
  <c r="P47" i="2"/>
  <c r="N47" i="2"/>
  <c r="M47" i="2"/>
  <c r="L47" i="2"/>
  <c r="K47" i="2"/>
  <c r="S46" i="2"/>
  <c r="R46" i="2"/>
  <c r="Q46" i="2"/>
  <c r="P46" i="2"/>
  <c r="N46" i="2"/>
  <c r="M46" i="2"/>
  <c r="L46" i="2"/>
  <c r="K46" i="2"/>
  <c r="S45" i="2"/>
  <c r="R45" i="2"/>
  <c r="Q45" i="2"/>
  <c r="P45" i="2"/>
  <c r="N45" i="2"/>
  <c r="M45" i="2"/>
  <c r="L45" i="2"/>
  <c r="K45" i="2"/>
  <c r="S44" i="2"/>
  <c r="R44" i="2"/>
  <c r="Q44" i="2"/>
  <c r="P44" i="2"/>
  <c r="N44" i="2"/>
  <c r="M44" i="2"/>
  <c r="L44" i="2"/>
  <c r="K44" i="2"/>
  <c r="S43" i="2"/>
  <c r="R43" i="2"/>
  <c r="Q43" i="2"/>
  <c r="P43" i="2"/>
  <c r="N43" i="2"/>
  <c r="M43" i="2"/>
  <c r="L43" i="2"/>
  <c r="K43" i="2"/>
  <c r="S42" i="2"/>
  <c r="R42" i="2"/>
  <c r="Q42" i="2"/>
  <c r="P42" i="2"/>
  <c r="N42" i="2"/>
  <c r="M42" i="2"/>
  <c r="L42" i="2"/>
  <c r="K42" i="2"/>
  <c r="S41" i="2"/>
  <c r="R41" i="2"/>
  <c r="Q41" i="2"/>
  <c r="P41" i="2"/>
  <c r="N41" i="2"/>
  <c r="M41" i="2"/>
  <c r="L41" i="2"/>
  <c r="K41" i="2"/>
  <c r="S40" i="2"/>
  <c r="R40" i="2"/>
  <c r="Q40" i="2"/>
  <c r="P40" i="2"/>
  <c r="N40" i="2"/>
  <c r="M40" i="2"/>
  <c r="L40" i="2"/>
  <c r="K40" i="2"/>
  <c r="S39" i="2"/>
  <c r="R39" i="2"/>
  <c r="Q39" i="2"/>
  <c r="P39" i="2"/>
  <c r="N39" i="2"/>
  <c r="M39" i="2"/>
  <c r="L39" i="2"/>
  <c r="K39" i="2"/>
  <c r="S38" i="2"/>
  <c r="R38" i="2"/>
  <c r="Q38" i="2"/>
  <c r="P38" i="2"/>
  <c r="N38" i="2"/>
  <c r="M38" i="2"/>
  <c r="L38" i="2"/>
  <c r="K38" i="2"/>
  <c r="S37" i="2"/>
  <c r="R37" i="2"/>
  <c r="Q37" i="2"/>
  <c r="P37" i="2"/>
  <c r="N37" i="2"/>
  <c r="M37" i="2"/>
  <c r="L37" i="2"/>
  <c r="K37" i="2"/>
  <c r="S36" i="2"/>
  <c r="R36" i="2"/>
  <c r="Q36" i="2"/>
  <c r="P36" i="2"/>
  <c r="N36" i="2"/>
  <c r="M36" i="2"/>
  <c r="L36" i="2"/>
  <c r="K36" i="2"/>
  <c r="S35" i="2"/>
  <c r="R35" i="2"/>
  <c r="Q35" i="2"/>
  <c r="P35" i="2"/>
  <c r="N35" i="2"/>
  <c r="M35" i="2"/>
  <c r="L35" i="2"/>
  <c r="K35" i="2"/>
  <c r="S34" i="2"/>
  <c r="R34" i="2"/>
  <c r="Q34" i="2"/>
  <c r="P34" i="2"/>
  <c r="N34" i="2"/>
  <c r="M34" i="2"/>
  <c r="L34" i="2"/>
  <c r="K34" i="2"/>
  <c r="S33" i="2"/>
  <c r="R33" i="2"/>
  <c r="Q33" i="2"/>
  <c r="P33" i="2"/>
  <c r="N33" i="2"/>
  <c r="M33" i="2"/>
  <c r="L33" i="2"/>
  <c r="K33" i="2"/>
  <c r="S32" i="2"/>
  <c r="R32" i="2"/>
  <c r="Q32" i="2"/>
  <c r="P32" i="2"/>
  <c r="N32" i="2"/>
  <c r="M32" i="2"/>
  <c r="L32" i="2"/>
  <c r="K32" i="2"/>
  <c r="S31" i="2"/>
  <c r="R31" i="2"/>
  <c r="Q31" i="2"/>
  <c r="P31" i="2"/>
  <c r="N31" i="2"/>
  <c r="M31" i="2"/>
  <c r="L31" i="2"/>
  <c r="K31" i="2"/>
  <c r="S30" i="2"/>
  <c r="R30" i="2"/>
  <c r="Q30" i="2"/>
  <c r="P30" i="2"/>
  <c r="N30" i="2"/>
  <c r="M30" i="2"/>
  <c r="L30" i="2"/>
  <c r="K30" i="2"/>
  <c r="S29" i="2"/>
  <c r="R29" i="2"/>
  <c r="Q29" i="2"/>
  <c r="P29" i="2"/>
  <c r="N29" i="2"/>
  <c r="M29" i="2"/>
  <c r="L29" i="2"/>
  <c r="K29" i="2"/>
  <c r="S28" i="2"/>
  <c r="R28" i="2"/>
  <c r="Q28" i="2"/>
  <c r="P28" i="2"/>
  <c r="N28" i="2"/>
  <c r="M28" i="2"/>
  <c r="L28" i="2"/>
  <c r="K28" i="2"/>
  <c r="S27" i="2"/>
  <c r="R27" i="2"/>
  <c r="Q27" i="2"/>
  <c r="P27" i="2"/>
  <c r="N27" i="2"/>
  <c r="M27" i="2"/>
  <c r="L27" i="2"/>
  <c r="K27" i="2"/>
  <c r="S26" i="2"/>
  <c r="R26" i="2"/>
  <c r="Q26" i="2"/>
  <c r="P26" i="2"/>
  <c r="N26" i="2"/>
  <c r="M26" i="2"/>
  <c r="L26" i="2"/>
  <c r="K26" i="2"/>
  <c r="S25" i="2"/>
  <c r="R25" i="2"/>
  <c r="Q25" i="2"/>
  <c r="P25" i="2"/>
  <c r="N25" i="2"/>
  <c r="M25" i="2"/>
  <c r="L25" i="2"/>
  <c r="K25" i="2"/>
  <c r="S24" i="2"/>
  <c r="R24" i="2"/>
  <c r="Q24" i="2"/>
  <c r="P24" i="2"/>
  <c r="N24" i="2"/>
  <c r="M24" i="2"/>
  <c r="L24" i="2"/>
  <c r="K24" i="2"/>
  <c r="S23" i="2"/>
  <c r="R23" i="2"/>
  <c r="Q23" i="2"/>
  <c r="P23" i="2"/>
  <c r="N23" i="2"/>
  <c r="M23" i="2"/>
  <c r="L23" i="2"/>
  <c r="K23" i="2"/>
  <c r="S22" i="2"/>
  <c r="R22" i="2"/>
  <c r="Q22" i="2"/>
  <c r="P22" i="2"/>
  <c r="N22" i="2"/>
  <c r="M22" i="2"/>
  <c r="L22" i="2"/>
  <c r="K22" i="2"/>
  <c r="S21" i="2"/>
  <c r="R21" i="2"/>
  <c r="Q21" i="2"/>
  <c r="P21" i="2"/>
  <c r="N21" i="2"/>
  <c r="M21" i="2"/>
  <c r="L21" i="2"/>
  <c r="K21" i="2"/>
  <c r="P20" i="2"/>
  <c r="N20" i="2"/>
  <c r="M20" i="2"/>
  <c r="L20" i="2"/>
  <c r="K20" i="2"/>
  <c r="P19" i="2"/>
  <c r="K19" i="2"/>
  <c r="P18" i="2"/>
  <c r="K18" i="2"/>
  <c r="P17" i="2"/>
  <c r="K16" i="2"/>
  <c r="K15" i="2"/>
  <c r="K14" i="2"/>
  <c r="K13" i="2"/>
  <c r="P12" i="2"/>
  <c r="P11" i="2"/>
  <c r="I7" i="2"/>
  <c r="E19" i="1"/>
  <c r="H31" i="7"/>
  <c r="H30" i="7"/>
  <c r="H29" i="7"/>
  <c r="H28" i="7"/>
  <c r="H27" i="7"/>
  <c r="H26" i="7"/>
  <c r="H25" i="7"/>
  <c r="H24" i="7"/>
  <c r="H23" i="7"/>
  <c r="H22" i="7"/>
  <c r="H8" i="7" s="1"/>
  <c r="H7" i="7"/>
  <c r="A3" i="15"/>
  <c r="C3" i="15"/>
  <c r="F9" i="11" l="1"/>
  <c r="D5" i="11"/>
  <c r="F7" i="11"/>
  <c r="F5" i="11"/>
  <c r="D6" i="11"/>
  <c r="D2" i="11"/>
  <c r="F6" i="11"/>
  <c r="D8" i="11"/>
  <c r="F10" i="11"/>
  <c r="F8" i="11"/>
  <c r="D9" i="11"/>
  <c r="D10" i="11"/>
  <c r="D7" i="11"/>
  <c r="E9" i="11"/>
  <c r="E10" i="11"/>
  <c r="E2" i="11"/>
  <c r="S9" i="11"/>
  <c r="S2" i="11"/>
  <c r="S10" i="11"/>
  <c r="P2" i="11"/>
  <c r="P10" i="11"/>
  <c r="Q9" i="11"/>
  <c r="Q10" i="11"/>
  <c r="Q2" i="11"/>
  <c r="D3" i="15"/>
  <c r="S8" i="11"/>
  <c r="P6" i="11"/>
  <c r="P5" i="11"/>
  <c r="P9" i="11"/>
  <c r="P8" i="11"/>
  <c r="P7" i="11"/>
  <c r="E5" i="11"/>
  <c r="E7" i="11"/>
  <c r="V4" i="11"/>
  <c r="V6" i="11"/>
  <c r="V5" i="11"/>
  <c r="S7" i="11"/>
  <c r="E6" i="11"/>
  <c r="E8" i="11"/>
  <c r="S6" i="11"/>
  <c r="H3" i="11"/>
  <c r="J3" i="9"/>
  <c r="Q7" i="11"/>
  <c r="B3" i="15"/>
  <c r="O2" i="11"/>
  <c r="O3" i="11"/>
  <c r="A13" i="4"/>
  <c r="A14" i="4" s="1"/>
  <c r="N9" i="4" s="1"/>
  <c r="AA5" i="11" s="1"/>
  <c r="P13" i="2"/>
  <c r="P14" i="2" s="1"/>
  <c r="K17" i="2"/>
  <c r="L3" i="11" s="1"/>
  <c r="N3" i="11"/>
  <c r="S5" i="11"/>
  <c r="Q5" i="11"/>
  <c r="Q6" i="11"/>
  <c r="H2" i="11"/>
  <c r="Q8" i="11"/>
  <c r="A4" i="15"/>
  <c r="C4" i="15"/>
  <c r="D4" i="15" l="1"/>
  <c r="B4" i="15"/>
  <c r="M7" i="2"/>
  <c r="N2" i="11"/>
  <c r="AA7" i="11"/>
  <c r="AA6" i="11"/>
  <c r="AA8" i="11"/>
  <c r="F2" i="11"/>
  <c r="L2" i="11"/>
  <c r="P15" i="2"/>
  <c r="P16" i="2" s="1"/>
  <c r="R7" i="2" s="1"/>
  <c r="A5" i="15"/>
  <c r="C5" i="15"/>
  <c r="D5" i="15" l="1"/>
  <c r="B5" i="15"/>
  <c r="M2" i="11"/>
  <c r="AD3" i="11" s="1"/>
  <c r="M3" i="11"/>
  <c r="AB4" i="11"/>
  <c r="A6" i="15"/>
  <c r="C6" i="15"/>
  <c r="D6" i="15" l="1"/>
  <c r="B6" i="15"/>
  <c r="AD4" i="11"/>
  <c r="C7" i="15"/>
  <c r="A7" i="15"/>
  <c r="B7" i="15" l="1"/>
  <c r="D7" i="15"/>
  <c r="D2" i="15"/>
  <c r="C8" i="15"/>
  <c r="A8" i="15"/>
  <c r="B8" i="15" l="1"/>
  <c r="D8" i="15"/>
  <c r="C9" i="15"/>
  <c r="A9" i="15"/>
  <c r="B9" i="15" l="1"/>
  <c r="D9" i="15"/>
  <c r="A10" i="15"/>
  <c r="C10" i="15"/>
  <c r="D10" i="15" l="1"/>
  <c r="B10" i="15"/>
  <c r="A11" i="15"/>
  <c r="C11" i="15"/>
  <c r="D11" i="15" l="1"/>
  <c r="B11" i="15"/>
  <c r="C12" i="15"/>
  <c r="A12" i="15"/>
  <c r="B12" i="15" l="1"/>
  <c r="D12" i="15"/>
  <c r="C13" i="15"/>
  <c r="A13" i="15"/>
  <c r="B13" i="15" l="1"/>
  <c r="D13" i="15"/>
  <c r="A14" i="15"/>
  <c r="C14" i="15"/>
  <c r="D14" i="15" l="1"/>
  <c r="B14" i="15"/>
  <c r="A15" i="15"/>
  <c r="C15" i="15"/>
  <c r="D15" i="15" l="1"/>
  <c r="B15" i="15"/>
  <c r="C16" i="15"/>
  <c r="A16" i="15"/>
  <c r="B16" i="15" l="1"/>
  <c r="D16" i="15"/>
  <c r="C17" i="15"/>
  <c r="A17" i="15"/>
  <c r="B17" i="15" l="1"/>
  <c r="D17" i="15"/>
  <c r="A18" i="15"/>
  <c r="C18" i="15"/>
  <c r="D18" i="15" l="1"/>
  <c r="B18" i="15"/>
  <c r="A19" i="15"/>
  <c r="C19" i="15"/>
  <c r="D19" i="15" l="1"/>
  <c r="B19" i="15"/>
  <c r="C20" i="15"/>
  <c r="A20" i="15"/>
  <c r="B20" i="15" l="1"/>
  <c r="D20" i="15"/>
  <c r="C21" i="15"/>
  <c r="A21" i="15"/>
  <c r="B21" i="15" l="1"/>
  <c r="D21" i="15"/>
  <c r="A22" i="15"/>
  <c r="C22" i="15"/>
  <c r="D22" i="15" l="1"/>
  <c r="B22" i="15"/>
  <c r="A23" i="15"/>
  <c r="C23" i="15"/>
  <c r="D23" i="15" l="1"/>
  <c r="B23" i="15"/>
  <c r="C24" i="15"/>
  <c r="A24" i="15"/>
  <c r="B24" i="15" l="1"/>
  <c r="D24" i="15"/>
  <c r="C25" i="15"/>
  <c r="A25" i="15"/>
  <c r="B25" i="15" l="1"/>
  <c r="D25" i="15"/>
  <c r="A26" i="15"/>
  <c r="C26" i="15"/>
  <c r="D26" i="15" l="1"/>
  <c r="B26" i="15"/>
  <c r="A27" i="15"/>
  <c r="C27" i="15"/>
  <c r="D27" i="15" l="1"/>
  <c r="B27" i="15"/>
  <c r="C28" i="15"/>
  <c r="A28" i="15"/>
  <c r="B28" i="15" l="1"/>
  <c r="D28" i="15"/>
  <c r="C29" i="15"/>
  <c r="A29" i="15"/>
  <c r="B29" i="15" l="1"/>
  <c r="D29" i="15"/>
  <c r="A30" i="15"/>
  <c r="C30" i="15"/>
  <c r="D30" i="15" l="1"/>
  <c r="B30" i="15"/>
  <c r="C31" i="15"/>
  <c r="A31" i="15"/>
  <c r="B31" i="15" l="1"/>
  <c r="D31" i="15"/>
  <c r="A32" i="15"/>
  <c r="C32" i="15"/>
  <c r="D32" i="15" l="1"/>
  <c r="B32" i="15"/>
  <c r="C33" i="15"/>
  <c r="A33" i="15"/>
  <c r="B33" i="15" l="1"/>
  <c r="D33" i="15"/>
  <c r="A34" i="15"/>
  <c r="C34" i="15"/>
  <c r="D34" i="15" l="1"/>
  <c r="B34" i="15"/>
  <c r="A35" i="15"/>
  <c r="C35" i="15"/>
  <c r="D35" i="15" l="1"/>
  <c r="B35" i="15"/>
  <c r="C36" i="15"/>
  <c r="A36" i="15"/>
  <c r="B36" i="15" l="1"/>
  <c r="D36" i="15"/>
  <c r="C37" i="15"/>
  <c r="A37" i="15"/>
  <c r="B37" i="15" l="1"/>
  <c r="D37" i="15"/>
  <c r="A38" i="15"/>
  <c r="C38" i="15"/>
  <c r="D38" i="15" l="1"/>
  <c r="B38" i="15"/>
  <c r="A39" i="15"/>
  <c r="C39" i="15"/>
  <c r="D39" i="15" l="1"/>
  <c r="B39" i="15"/>
  <c r="C40" i="15"/>
  <c r="A40" i="15"/>
  <c r="B40" i="15" l="1"/>
  <c r="D40" i="15"/>
  <c r="C41" i="15"/>
  <c r="A41" i="15"/>
  <c r="B41" i="15" l="1"/>
  <c r="D41" i="15"/>
  <c r="A42" i="15"/>
  <c r="C42" i="15"/>
  <c r="D42" i="15" l="1"/>
  <c r="B42" i="15"/>
  <c r="A43" i="15"/>
  <c r="C43" i="15"/>
  <c r="D43" i="15" l="1"/>
  <c r="B43" i="15"/>
  <c r="C44" i="15"/>
  <c r="A44" i="15"/>
  <c r="B44" i="15" l="1"/>
  <c r="D44" i="15"/>
  <c r="C45" i="15"/>
  <c r="A45" i="15"/>
  <c r="B45" i="15" l="1"/>
  <c r="D45" i="15"/>
  <c r="A46" i="15"/>
  <c r="C46" i="15"/>
  <c r="D46" i="15" l="1"/>
  <c r="B46" i="15"/>
  <c r="A47" i="15"/>
  <c r="C47" i="15"/>
  <c r="D47" i="15" l="1"/>
  <c r="B47" i="15"/>
</calcChain>
</file>

<file path=xl/comments1.xml><?xml version="1.0" encoding="utf-8"?>
<comments xmlns="http://schemas.openxmlformats.org/spreadsheetml/2006/main">
  <authors>
    <author>Sara Geleskie Damiano</author>
  </authors>
  <commentList>
    <comment ref="D21" authorId="0">
      <text>
        <r>
          <rPr>
            <sz val="9"/>
            <color indexed="81"/>
            <rFont val="Tahoma"/>
            <family val="2"/>
          </rPr>
          <t>http://orcid.org/</t>
        </r>
      </text>
    </comment>
    <comment ref="E21" authorId="0">
      <text>
        <r>
          <rPr>
            <sz val="9"/>
            <color indexed="81"/>
            <rFont val="Tahoma"/>
            <family val="2"/>
          </rPr>
          <t>If the organization doesn't appear on the drop-down list, make sure you've added it above!</t>
        </r>
      </text>
    </comment>
    <comment ref="H21"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9"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M10" authorId="0">
      <text>
        <r>
          <rPr>
            <sz val="9"/>
            <color indexed="81"/>
            <rFont val="Tahoma"/>
            <family val="2"/>
          </rPr>
          <t>Only applies to SITES</t>
        </r>
      </text>
    </comment>
    <comment ref="N10" authorId="0">
      <text>
        <r>
          <rPr>
            <sz val="9"/>
            <color indexed="81"/>
            <rFont val="Tahoma"/>
            <family val="2"/>
          </rPr>
          <t>Only applies to SITES</t>
        </r>
      </text>
    </comment>
    <comment ref="R10" authorId="0">
      <text>
        <r>
          <rPr>
            <sz val="9"/>
            <color indexed="81"/>
            <rFont val="Tahoma"/>
            <family val="2"/>
          </rPr>
          <t>Only applies to SPECIMENS</t>
        </r>
      </text>
    </comment>
    <comment ref="S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G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I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A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<sst xmlns="http://schemas.openxmlformats.org/spreadsheetml/2006/main" count="1403" uniqueCount="1333">
  <si>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</si>
  <si>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</si>
  <si>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</si>
  <si>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</si>
  <si>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</si>
  <si>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</si>
  <si>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</si>
  <si>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</si>
  <si>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</si>
  <si>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</si>
  <si>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</si>
  <si>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</si>
  <si>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</si>
  <si>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</si>
  <si>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</si>
  <si>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Version Code</t>
  </si>
  <si>
    <t>Prior Version Datset UUID</t>
  </si>
  <si>
    <t>First Name</t>
  </si>
  <si>
    <t>Middle Name</t>
  </si>
  <si>
    <t>Last Name</t>
  </si>
  <si>
    <t>Primary Email</t>
  </si>
  <si>
    <t>Organization Name</t>
  </si>
  <si>
    <t>OrcID</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</si>
  <si>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</si>
  <si>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</si>
  <si>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</si>
  <si>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</si>
  <si>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</si>
  <si>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</si>
  <si>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</si>
  <si>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</si>
  <si>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</si>
  <si>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</si>
  <si>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</si>
  <si>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</si>
  <si>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</si>
  <si>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</si>
  <si>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</si>
  <si>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</si>
  <si>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</si>
  <si>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</si>
  <si>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</si>
  <si>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</si>
  <si>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</si>
  <si>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</si>
  <si>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</si>
  <si>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</si>
  <si>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</si>
  <si>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</si>
  <si>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</si>
  <si>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</si>
  <si>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</si>
  <si>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</si>
  <si>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</si>
  <si>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</si>
  <si>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</si>
  <si>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</si>
  <si>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</si>
  <si>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</si>
  <si>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</si>
  <si>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</si>
  <si>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</si>
  <si>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</si>
  <si>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</si>
  <si>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</si>
  <si>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</si>
  <si>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</si>
  <si>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</si>
  <si>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</si>
  <si>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</si>
  <si>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</si>
  <si>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</si>
  <si>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</si>
  <si>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</si>
  <si>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</si>
  <si>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</si>
  <si>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</si>
  <si>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</si>
  <si>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</si>
  <si>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</si>
  <si>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</si>
  <si>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</si>
  <si>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</si>
  <si>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</si>
  <si>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</si>
  <si>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</si>
  <si>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</si>
  <si>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</si>
  <si>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</si>
  <si>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</si>
  <si>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</si>
  <si>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</si>
  <si>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</si>
  <si>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</si>
  <si>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</si>
  <si>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</si>
  <si>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</si>
  <si>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</si>
  <si>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</si>
  <si>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</si>
  <si>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</si>
  <si>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</si>
  <si>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</si>
  <si>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</si>
  <si>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</si>
  <si>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</si>
  <si>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</si>
  <si>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</si>
  <si>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</si>
  <si>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</si>
  <si>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</si>
  <si>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</si>
  <si>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</si>
  <si>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</si>
  <si>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</si>
  <si>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</si>
  <si>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</si>
  <si>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</si>
  <si>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</si>
  <si>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</si>
  <si>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</si>
  <si>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</si>
  <si>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</si>
  <si>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</si>
  <si>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</si>
  <si>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</si>
  <si>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</si>
  <si>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</si>
  <si>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</si>
  <si>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</si>
  <si>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</si>
  <si>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</si>
  <si>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</si>
  <si>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</si>
  <si>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</si>
  <si>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</si>
  <si>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</si>
  <si>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</si>
  <si>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</si>
  <si>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</si>
  <si>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</si>
  <si>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</si>
  <si>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</si>
  <si>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</si>
  <si>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</si>
  <si>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</si>
  <si>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</si>
  <si>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</si>
  <si>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</si>
  <si>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</si>
  <si>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</si>
  <si>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</si>
  <si>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</si>
  <si>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</si>
  <si>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</si>
  <si>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</si>
  <si>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</si>
  <si>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</si>
  <si>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</si>
  <si>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</si>
  <si>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</si>
  <si>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</si>
  <si>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</si>
  <si>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</si>
  <si>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</si>
  <si>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</si>
  <si>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</si>
  <si>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</si>
  <si>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</si>
  <si>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</si>
  <si>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</si>
  <si>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</si>
  <si>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</si>
  <si>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</si>
  <si>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</si>
  <si>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</si>
  <si>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</si>
  <si>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</si>
  <si>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</si>
  <si>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</si>
  <si>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</si>
  <si>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</si>
  <si>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</si>
  <si>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</si>
  <si>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</si>
  <si>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</si>
  <si>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</si>
  <si>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</si>
  <si>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</si>
  <si>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</si>
  <si>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</si>
  <si>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</si>
  <si>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</si>
  <si>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</si>
  <si>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NOTE:  Only relationship allowed between versions is "IsNewVersionOf"</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</si>
  <si>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</si>
  <si>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</si>
  <si>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</si>
  <si>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</si>
  <si>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</si>
  <si>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</si>
  <si>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</si>
  <si>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</si>
  <si>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</si>
  <si>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</si>
  <si>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</si>
  <si>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</si>
  <si>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</si>
  <si>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</si>
  <si>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</si>
  <si>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</si>
  <si>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</si>
  <si>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</si>
  <si>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</si>
  <si>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</si>
  <si>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</si>
  <si>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</si>
  <si>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</si>
  <si>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</si>
  <si>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</si>
  <si>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</si>
  <si>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</si>
  <si>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</si>
  <si>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</si>
  <si>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</si>
  <si>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</si>
  <si>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</si>
  <si>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</si>
  <si>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</si>
  <si>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</si>
  <si>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</si>
  <si>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</si>
  <si>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</si>
  <si>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</si>
  <si>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</si>
  <si>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</si>
  <si>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</si>
  <si>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</si>
  <si>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</si>
  <si>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</si>
  <si>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</si>
  <si>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Dataset</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</si>
  <si>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</si>
  <si>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</si>
  <si>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</si>
  <si>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</si>
  <si>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</si>
  <si>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</si>
  <si>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</si>
  <si>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</si>
  <si>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</si>
  <si>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</si>
  <si>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</si>
  <si>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</si>
  <si>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</si>
  <si>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</si>
  <si>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</si>
  <si>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</si>
  <si>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</si>
  <si>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</si>
  <si>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</si>
  <si>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</si>
  <si>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</si>
  <si>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</si>
  <si>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</si>
  <si>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</si>
  <si>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</si>
  <si>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</si>
  <si>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</si>
  <si>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</si>
  <si>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</si>
  <si>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</si>
  <si>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</si>
  <si>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</si>
  <si>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</si>
  <si>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</si>
  <si>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</si>
  <si>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</si>
  <si>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</si>
  <si>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</si>
  <si>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</si>
  <si>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</si>
  <si>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</si>
  <si>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</si>
  <si>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</si>
  <si>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</si>
  <si>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</si>
  <si>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</si>
  <si>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</si>
  <si>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</si>
  <si>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</si>
  <si>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</si>
  <si>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</si>
  <si>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</si>
  <si>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</si>
  <si>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</si>
  <si>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</si>
  <si>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</si>
  <si>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</si>
  <si>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</si>
  <si>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</si>
  <si>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</si>
  <si>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</si>
  <si>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</si>
  <si>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</si>
  <si>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</si>
  <si>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</si>
  <si>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</si>
  <si>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</si>
  <si>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</si>
  <si>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</si>
  <si>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</si>
  <si>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</si>
  <si>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</si>
  <si>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</si>
  <si>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</si>
  <si>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</si>
  <si>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</si>
  <si>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</si>
  <si>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</si>
  <si>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</si>
  <si>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</si>
  <si>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</si>
  <si>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</si>
  <si>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</si>
  <si>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</si>
  <si>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</si>
  <si>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</si>
  <si>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</si>
  <si>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</si>
  <si>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</si>
  <si>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</si>
  <si>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</si>
  <si>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</si>
  <si>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</si>
  <si>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</si>
  <si>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</si>
  <si>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</si>
  <si>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</si>
  <si>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</si>
  <si>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</si>
  <si>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</si>
  <si>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</si>
  <si>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</si>
  <si>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</si>
  <si>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</si>
  <si>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</si>
  <si>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</si>
  <si>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</si>
  <si>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</si>
  <si>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</si>
  <si>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</si>
  <si>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</si>
  <si>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</si>
  <si>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</si>
  <si>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</si>
  <si>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</si>
  <si>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</si>
  <si>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</si>
  <si>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</si>
  <si>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</si>
  <si>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</si>
  <si>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</si>
  <si>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</si>
  <si>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</si>
  <si>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</si>
  <si>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</si>
  <si>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</si>
  <si>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</si>
  <si>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</si>
  <si>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</si>
  <si>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</si>
  <si>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</si>
  <si>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</si>
  <si>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</si>
  <si>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</si>
  <si>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</si>
  <si>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</si>
  <si>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</si>
  <si>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</si>
  <si>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</si>
  <si>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</si>
  <si>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</si>
  <si>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</si>
  <si>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</si>
  <si>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</si>
  <si>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</si>
  <si>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</si>
  <si>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</si>
  <si>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</si>
  <si>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</si>
  <si>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</si>
  <si>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</si>
  <si>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</si>
  <si>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</si>
  <si>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</si>
  <si>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</si>
  <si>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</si>
  <si>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</si>
  <si>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</si>
  <si>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</si>
  <si>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</si>
  <si>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</si>
  <si>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</si>
  <si>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</si>
  <si>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</si>
  <si>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</si>
  <si>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</si>
  <si>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</si>
  <si>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</si>
  <si>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</si>
  <si>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</si>
  <si>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</si>
  <si>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</si>
  <si>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</si>
  <si>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</si>
  <si>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</si>
  <si>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</si>
  <si>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</si>
  <si>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</si>
  <si>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</si>
  <si>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</si>
  <si>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</si>
  <si>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</si>
  <si>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</si>
  <si>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</si>
  <si>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</si>
  <si>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</si>
  <si>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</si>
  <si>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</si>
  <si>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</si>
  <si>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</si>
  <si>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</si>
  <si>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</si>
  <si>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</si>
  <si>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</si>
  <si>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</si>
  <si>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</si>
  <si>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</si>
  <si>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</si>
  <si>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</si>
  <si>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</si>
  <si>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</si>
  <si>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</si>
  <si>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</si>
  <si>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</si>
  <si>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</si>
  <si>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</si>
  <si>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</si>
  <si>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</si>
  <si>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</si>
  <si>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</si>
  <si>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</si>
  <si>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</si>
  <si>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</si>
  <si>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</si>
  <si>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</si>
  <si>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</si>
  <si>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</si>
  <si>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</si>
  <si>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</si>
  <si>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</si>
  <si>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</si>
  <si>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</si>
  <si>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</si>
  <si>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</si>
  <si>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</si>
  <si>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</si>
  <si>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</si>
  <si>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</si>
  <si>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</si>
  <si>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</si>
  <si>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</si>
  <si>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</si>
  <si>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</si>
  <si>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</si>
  <si>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</si>
  <si>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</si>
  <si>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</si>
  <si>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</si>
  <si>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</si>
  <si>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</si>
  <si>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</si>
  <si>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</si>
  <si>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</si>
  <si>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</si>
  <si>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</si>
  <si>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</si>
  <si>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</si>
  <si>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</si>
  <si>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</si>
  <si>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</si>
  <si>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</si>
  <si>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</si>
  <si>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</si>
  <si>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</si>
  <si>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</si>
  <si>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</si>
  <si>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</si>
  <si>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</si>
  <si>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</si>
  <si>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</si>
  <si>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</si>
  <si>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</si>
  <si>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</si>
  <si>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</si>
  <si>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</si>
  <si>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</si>
  <si>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</si>
  <si>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</si>
  <si>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</si>
  <si>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</si>
  <si>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</si>
  <si>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</si>
  <si>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</si>
  <si>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</si>
  <si>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</si>
  <si>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</si>
  <si>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</si>
  <si>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</si>
  <si>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</si>
  <si>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</si>
  <si>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</si>
  <si>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</si>
  <si>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</si>
  <si>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</si>
  <si>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</si>
  <si>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</si>
  <si>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</si>
  <si>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</si>
  <si>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</si>
  <si>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</si>
  <si>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</si>
  <si>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</si>
  <si>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</si>
  <si>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</si>
  <si>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</si>
  <si>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</si>
  <si>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</si>
  <si>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</si>
  <si>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</si>
  <si>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</si>
  <si>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</si>
  <si>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</si>
  <si>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</si>
  <si>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</si>
  <si>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</si>
  <si>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</si>
  <si>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</si>
  <si>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</si>
  <si>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</si>
  <si>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</si>
  <si>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</si>
  <si>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</si>
  <si>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</si>
  <si>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</si>
  <si>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</si>
  <si>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</si>
  <si>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</si>
  <si>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</si>
  <si>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</si>
  <si>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</si>
  <si>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</si>
  <si>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</si>
  <si>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</si>
  <si>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</si>
  <si>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</si>
  <si>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</si>
  <si>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</si>
  <si>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</si>
  <si>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</si>
  <si>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</si>
  <si>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</si>
  <si>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</si>
  <si>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</si>
  <si>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</si>
  <si>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</si>
  <si>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</si>
  <si>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</si>
  <si>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</si>
  <si>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</si>
  <si>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</si>
  <si>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</si>
  <si>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</si>
  <si>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</si>
  <si>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</si>
  <si>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</si>
  <si>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</si>
  <si>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</si>
  <si>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</si>
  <si>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</si>
  <si>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</si>
  <si>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</si>
  <si>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</si>
  <si>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</si>
  <si>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</si>
  <si>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</si>
  <si>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</si>
  <si>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</si>
  <si>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</si>
  <si>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</si>
  <si>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</si>
  <si>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</si>
  <si>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</si>
  <si>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</si>
  <si>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</si>
  <si>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</si>
  <si>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</si>
  <si>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</si>
  <si>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</si>
  <si>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</si>
  <si>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</si>
  <si>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</si>
  <si>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</si>
  <si>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</si>
  <si>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</si>
  <si>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</si>
  <si>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</si>
  <si>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</si>
  <si>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</si>
  <si>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</si>
  <si>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</si>
  <si>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</si>
  <si>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</si>
  <si>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</si>
  <si>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</si>
  <si>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</si>
  <si>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</si>
  <si>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</si>
  <si>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</si>
  <si>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</si>
  <si>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</si>
  <si>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</si>
  <si>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</si>
  <si>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</si>
  <si>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</si>
  <si>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</si>
  <si>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</si>
  <si>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</si>
  <si>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</si>
  <si>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</si>
  <si>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</si>
  <si>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</si>
  <si>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</si>
  <si>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</si>
  <si>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</si>
  <si>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</si>
  <si>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</si>
  <si>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</si>
  <si>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</si>
  <si>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</si>
  <si>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</si>
  <si>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</si>
  <si>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</si>
  <si>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</si>
  <si>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</si>
  <si>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</si>
  <si>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</si>
  <si>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</si>
  <si>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</si>
  <si>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</si>
  <si>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</si>
  <si>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</si>
  <si>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</si>
  <si>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</si>
  <si>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</si>
  <si>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</si>
  <si>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</si>
  <si>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</si>
  <si>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</si>
  <si>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</si>
  <si>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</si>
  <si>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</si>
  <si>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</si>
  <si>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</si>
  <si>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</si>
  <si>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</si>
  <si>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</si>
  <si>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</si>
  <si>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</si>
  <si>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</si>
  <si>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</si>
  <si>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</si>
  <si>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</si>
  <si>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</si>
  <si>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</si>
  <si>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</si>
  <si>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</si>
  <si>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</si>
  <si>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</si>
  <si>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</si>
  <si>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</si>
  <si>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</si>
  <si>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</si>
  <si>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</si>
  <si>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</si>
  <si>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</si>
  <si>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</si>
  <si>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</si>
  <si>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</si>
  <si>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</si>
  <si>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</si>
  <si>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</si>
  <si>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</si>
  <si>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</si>
  <si>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</si>
  <si>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</si>
  <si>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</si>
  <si>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</si>
  <si>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</si>
  <si>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</si>
  <si>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</si>
  <si>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</si>
  <si>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</si>
  <si>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</si>
  <si>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</si>
  <si>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</si>
  <si>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</si>
  <si>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</si>
  <si>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</si>
  <si>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</si>
  <si>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</si>
  <si>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</si>
  <si>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</si>
  <si>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</si>
  <si>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</si>
  <si>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</si>
  <si>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</si>
  <si>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</si>
  <si>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</si>
  <si>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</si>
  <si>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</si>
  <si>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</si>
  <si>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</si>
  <si>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</si>
  <si>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</si>
  <si>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</si>
  <si>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</si>
  <si>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</si>
  <si>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</si>
  <si>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</si>
  <si>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</si>
  <si>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</si>
  <si>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</si>
  <si>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</si>
  <si>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</si>
  <si>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</si>
  <si>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</si>
  <si>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</si>
  <si>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</si>
  <si>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</si>
  <si>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</si>
  <si>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</si>
  <si>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</si>
  <si>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</si>
  <si>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</si>
  <si>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</si>
  <si>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</si>
  <si>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</si>
  <si>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</si>
  <si>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</si>
  <si>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</si>
  <si>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</si>
  <si>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</si>
  <si>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</si>
  <si>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</si>
  <si>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</si>
  <si>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</si>
  <si>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</si>
  <si>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</si>
  <si>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</si>
  <si>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</si>
  <si>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</si>
  <si>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</si>
  <si>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</si>
  <si>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</si>
  <si>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</si>
  <si>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</si>
  <si>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</si>
  <si>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</si>
  <si>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</si>
  <si>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</si>
  <si>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</si>
  <si>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</si>
  <si>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</si>
  <si>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</si>
  <si>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</si>
  <si>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</si>
  <si>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</si>
  <si>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</si>
  <si>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</si>
  <si>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</si>
  <si>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</si>
  <si>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</si>
  <si>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</si>
  <si>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</si>
  <si>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</si>
  <si>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</si>
  <si>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</si>
  <si>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</si>
  <si>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</si>
  <si>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</si>
  <si>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</si>
  <si>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</si>
  <si>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</si>
  <si>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</si>
  <si>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</si>
  <si>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</si>
  <si>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</si>
  <si>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</si>
  <si>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</si>
  <si>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</si>
  <si>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</si>
  <si>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</si>
  <si>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</si>
  <si>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</si>
  <si>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</si>
  <si>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</si>
  <si>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</si>
  <si>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</si>
  <si>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</si>
  <si>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</si>
  <si>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</si>
  <si>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</si>
  <si>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</si>
  <si>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</si>
  <si>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</si>
  <si>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</si>
  <si>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</si>
  <si>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</si>
  <si>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</si>
  <si>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</si>
  <si>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</si>
  <si>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</si>
  <si>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</si>
  <si>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</si>
  <si>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</si>
  <si>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</si>
  <si>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</si>
  <si>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</si>
  <si>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</si>
  <si>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</si>
  <si>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</si>
  <si>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</si>
  <si>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</si>
  <si>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</si>
  <si>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</si>
  <si>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</si>
  <si>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</si>
  <si>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</si>
  <si>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</si>
  <si>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</si>
  <si>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</si>
  <si>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</si>
  <si>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</si>
  <si>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</si>
  <si>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</si>
  <si>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</si>
  <si>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</si>
  <si>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</si>
  <si>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</si>
  <si>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</si>
  <si>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</si>
  <si>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</si>
  <si>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</si>
  <si>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</si>
  <si>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</si>
  <si>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</si>
  <si>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</si>
  <si>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</si>
  <si>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</si>
  <si>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</si>
  <si>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</si>
  <si>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</si>
  <si>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</si>
  <si>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</si>
  <si>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</si>
  <si>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</si>
  <si>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</si>
  <si>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</si>
  <si>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</si>
  <si>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</si>
  <si>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</si>
  <si>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</si>
  <si>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</si>
  <si>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</si>
  <si>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</si>
  <si>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</si>
  <si>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</si>
  <si>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</si>
  <si>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</si>
  <si>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</si>
  <si>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</si>
  <si>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</si>
  <si>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</si>
  <si>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</si>
  <si>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</si>
  <si>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</si>
  <si>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</si>
  <si>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</si>
  <si>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</si>
  <si>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</si>
  <si>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</si>
  <si>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</si>
  <si>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</si>
  <si>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</si>
  <si>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</si>
  <si>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</si>
  <si>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</si>
  <si>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</si>
  <si>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</si>
  <si>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</si>
  <si>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</si>
  <si>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</si>
  <si>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</si>
  <si>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</si>
  <si>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</si>
  <si>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</si>
  <si>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</si>
  <si>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</si>
  <si>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</si>
  <si>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</si>
  <si>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</si>
  <si>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</si>
  <si>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</si>
  <si>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</si>
  <si>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</si>
  <si>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</si>
  <si>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</si>
  <si>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</si>
  <si>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</si>
  <si>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</si>
  <si>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</si>
  <si>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</si>
  <si>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</si>
  <si>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</si>
  <si>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</si>
  <si>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</si>
  <si>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</si>
  <si>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</si>
  <si>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</si>
  <si>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</si>
  <si>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</si>
  <si>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</si>
  <si>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</si>
  <si>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</si>
  <si>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</si>
  <si>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</si>
  <si>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</si>
  <si>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</si>
  <si>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</si>
  <si>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</si>
  <si>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</si>
  <si>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</si>
  <si>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</si>
  <si>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</si>
  <si>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</si>
  <si>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</si>
  <si>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</si>
  <si>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</si>
  <si>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</si>
  <si>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</si>
  <si>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</si>
  <si>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</si>
  <si>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</si>
  <si>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</si>
  <si>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</si>
  <si>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</si>
  <si>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</si>
  <si>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</si>
  <si>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</si>
  <si>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</si>
  <si>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</si>
  <si>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</si>
  <si>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</si>
  <si>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</si>
  <si>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</si>
  <si>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</si>
  <si>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</si>
  <si>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</si>
  <si>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</si>
  <si>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</si>
  <si>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</si>
  <si>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</si>
  <si>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</si>
  <si>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</si>
  <si>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</si>
  <si>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</si>
  <si>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</si>
  <si>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</si>
  <si>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</si>
  <si>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</si>
  <si>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</si>
  <si>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</si>
  <si>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</si>
  <si>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</si>
  <si>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</si>
  <si>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</si>
  <si>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</si>
  <si>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</si>
  <si>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</si>
  <si>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</si>
  <si>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</si>
  <si>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</si>
  <si>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</si>
  <si>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</si>
  <si>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</si>
  <si>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</si>
  <si>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</si>
  <si>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</si>
  <si>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</si>
  <si>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</si>
  <si>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</si>
  <si>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</si>
  <si>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</si>
  <si>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</si>
  <si>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</si>
  <si>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</si>
  <si>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</si>
  <si>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</si>
  <si>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</si>
  <si>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</si>
  <si>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</si>
  <si>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</si>
  <si>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</si>
  <si>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</si>
  <si>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</si>
  <si>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</si>
  <si>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</si>
  <si>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</si>
  <si>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</si>
  <si>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</si>
  <si>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</si>
  <si>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</si>
  <si>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</si>
  <si>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</si>
  <si>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</si>
  <si>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</si>
  <si>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</si>
  <si>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</si>
  <si>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</si>
  <si>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</si>
  <si>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</si>
  <si>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</si>
  <si>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</si>
  <si>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</si>
  <si>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</si>
  <si>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</si>
  <si>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</si>
  <si>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</si>
  <si>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</si>
  <si>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</si>
  <si>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</si>
  <si>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</si>
  <si>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</si>
  <si>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</si>
  <si>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</si>
  <si>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</si>
  <si>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</si>
  <si>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</si>
  <si>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</si>
  <si>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</si>
  <si>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</si>
  <si>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</si>
  <si>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</si>
  <si>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</si>
  <si>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</si>
  <si>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</si>
  <si>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</si>
  <si>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</si>
  <si>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</si>
  <si>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</si>
  <si>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</si>
  <si>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</si>
  <si>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</si>
  <si>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</si>
  <si>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</si>
  <si>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</si>
  <si>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</si>
  <si>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</si>
  <si>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</si>
  <si>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</si>
  <si>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</si>
  <si>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</si>
  <si>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</si>
  <si>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</si>
  <si>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</si>
  <si>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</si>
  <si>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</si>
  <si>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</si>
  <si>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</si>
  <si>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</si>
  <si>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</si>
  <si>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</si>
  <si>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</si>
  <si>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</si>
  <si>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</si>
  <si>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</si>
  <si>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</si>
  <si>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</si>
  <si>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</si>
  <si>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</si>
  <si>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</si>
  <si>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</si>
  <si>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</si>
  <si>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</si>
  <si>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</si>
  <si>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</si>
  <si>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</si>
  <si>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</si>
  <si>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</si>
  <si>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</si>
  <si>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</si>
  <si>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</si>
  <si>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</si>
  <si>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</si>
  <si>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</si>
  <si>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TODO:  Figure out the spatial references, possibly allow custom spatial references</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</si>
  <si>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</si>
  <si>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</si>
  <si>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</si>
  <si>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</si>
  <si>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</si>
  <si>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</si>
  <si>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</si>
  <si>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</si>
  <si>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</si>
  <si>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</si>
  <si>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</si>
  <si>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</si>
  <si>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</si>
  <si>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</si>
  <si>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</si>
  <si>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</si>
  <si>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</si>
  <si>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</si>
  <si>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</si>
  <si>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</si>
  <si>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</si>
  <si>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</si>
  <si>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</si>
  <si>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</si>
  <si>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</si>
  <si>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</si>
  <si>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</si>
  <si>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</si>
  <si>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</si>
  <si>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</si>
  <si>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</si>
  <si>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</si>
  <si>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</si>
  <si>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</si>
  <si>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</si>
  <si>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</si>
  <si>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</si>
  <si>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</si>
  <si>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</si>
  <si>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</si>
  <si>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</si>
  <si>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</si>
  <si>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</si>
  <si>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</si>
  <si>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</si>
  <si>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</si>
  <si>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</si>
  <si>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</si>
  <si>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</si>
  <si>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</si>
  <si>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</si>
  <si>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</si>
  <si>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</si>
  <si>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</si>
  <si>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</si>
  <si>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</si>
  <si>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</si>
  <si>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</si>
  <si>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</si>
  <si>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</si>
  <si>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</si>
  <si>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</si>
  <si>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</si>
  <si>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</si>
  <si>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</si>
  <si>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</si>
  <si>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</si>
  <si>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</si>
  <si>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</si>
  <si>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</si>
  <si>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</si>
  <si>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</si>
  <si>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</si>
  <si>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</si>
  <si>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</si>
  <si>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</si>
  <si>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</si>
  <si>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</si>
  <si>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</si>
  <si>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</si>
  <si>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</si>
  <si>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</si>
  <si>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</si>
  <si>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</si>
  <si>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</si>
  <si>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</si>
  <si>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</si>
  <si>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</si>
  <si>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</si>
  <si>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</si>
  <si>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</si>
  <si>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</si>
  <si>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</si>
  <si>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</si>
  <si>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</si>
  <si>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</si>
  <si>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</si>
  <si>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</si>
  <si>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</si>
  <si>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</si>
  <si>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</si>
  <si>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</si>
  <si>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</si>
  <si>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</si>
  <si>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</si>
  <si>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</si>
  <si>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</si>
  <si>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</si>
  <si>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</si>
  <si>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</si>
  <si>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</si>
  <si>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</si>
  <si>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</si>
  <si>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</si>
  <si>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</si>
  <si>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</si>
  <si>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</si>
  <si>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</si>
  <si>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</si>
  <si>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</si>
  <si>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</si>
  <si>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</si>
  <si>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</si>
  <si>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</si>
  <si>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</si>
  <si>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</si>
  <si>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</si>
  <si>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</si>
  <si>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</si>
  <si>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</si>
  <si>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</si>
  <si>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</si>
  <si>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</si>
  <si>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</si>
  <si>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</si>
  <si>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</si>
  <si>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</si>
  <si>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</si>
  <si>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</si>
  <si>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</si>
  <si>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</si>
  <si>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</si>
  <si>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</si>
  <si>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</si>
  <si>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</si>
  <si>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</si>
  <si>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</si>
  <si>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</si>
  <si>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</si>
  <si>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t>ValidSRSNames</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</si>
  <si>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</si>
  <si>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</si>
  <si>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</si>
  <si>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</si>
  <si>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</si>
  <si>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</si>
  <si>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</si>
  <si>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</si>
  <si>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</si>
  <si>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</si>
  <si>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</si>
  <si>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</si>
  <si>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</si>
  <si>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</si>
  <si>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</si>
  <si>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</si>
  <si>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</si>
  <si>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</si>
  <si>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</si>
  <si>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</si>
  <si>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</si>
  <si>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</si>
  <si>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Fill in information in the yellow boxes on each of the worksheets.  The darker yellow boxes are mandatory and paler yellow are optional.</t>
  </si>
  <si>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</si>
  <si>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</si>
  <si>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</si>
  <si>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</si>
  <si>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</si>
  <si>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</si>
  <si>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</si>
  <si>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</si>
  <si>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</si>
  <si>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</si>
  <si>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</si>
  <si>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</si>
  <si>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</si>
  <si>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</si>
  <si>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</si>
  <si>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</si>
  <si>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</si>
  <si>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</si>
  <si>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</si>
  <si>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</si>
  <si>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</si>
  <si>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</si>
  <si>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</si>
  <si>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</si>
  <si>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</si>
  <si>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</si>
  <si>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</si>
  <si>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</si>
  <si>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</si>
  <si>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</si>
  <si>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</si>
  <si>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</si>
  <si>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 xml:space="preserve">  - &amp;SRSID0001 {PLEASE FILL IN A VALID LAT/LONG DATUM}</t>
  </si>
  <si>
    <t>PLEASE FILL IN METADATA FOR AT LEAST ONE DATA COLUMN</t>
  </si>
  <si>
    <t xml:space="preserve">  - &amp;DataSetID0001 {DataSetUUID:  NULLPLEASE FILL IN THE DATASET TYPE IN THE DATASET CITATION TABPLEASE FILL IN THE DATASET CODE IN THE DATASET CITATION TABPLEASE FILL IN THE DATASET TITLE IN THE DATASET CITATION TAB,  DataSetAbstract:  NULL}</t>
  </si>
  <si>
    <t>YODA: {Version: 1.0.0, Profile: TimeSeries, DateCreated: "2015-03-11", DateUpdated: "2015-03-11"}</t>
  </si>
  <si>
    <t>PLEASE FILL IN AT LEAST ONE PERSON WITH FIRST, MIDDLE AND LAST NAME</t>
  </si>
  <si>
    <t>PLEASE FILL IN AT LEAST ONE ORGANIZATION WITH TYPE, CODE, AND NAME</t>
  </si>
  <si>
    <t>PLEASE FILL IN AT LEAST ONE SAMPLING FEATURE</t>
  </si>
  <si>
    <t>PLEASE FILL IN AT LEAST ONE METHOD</t>
  </si>
  <si>
    <t>PLEASE FILL IN AT LEAST ONE VARIABLE</t>
  </si>
  <si>
    <t>PLEASE FILL IN AT LEAST ONE PROCESSING LEVEL</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</si>
</sst>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0"/>
        <bgColor indexed="64"/>
      </patternFill>
    </fill>
  </fills>
  <borders count="54">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30">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29" xfId="0" applyFill="1" applyBorder="1"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3" borderId="30" xfId="0" applyFill="1" applyBorder="1"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3" fillId="3" borderId="21" xfId="3" applyFill="1" applyBorder="1" applyProtection="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0" borderId="11"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7" fillId="4" borderId="10" xfId="0" applyFont="1" applyFill="1" applyBorder="1" applyProtection="1"/>
    <xf numFmtId="0" fontId="7" fillId="4" borderId="9" xfId="0" applyFont="1" applyFill="1" applyBorder="1" applyProtection="1"/>
    <xf numFmtId="0" fontId="7" fillId="4" borderId="1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3" fillId="2" borderId="2" xfId="3" applyFill="1" applyBorder="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1" fillId="0" borderId="31" xfId="0" applyFont="1" applyBorder="1" applyProtection="1"/>
    <xf numFmtId="0" fontId="1" fillId="0" borderId="32" xfId="0" applyFont="1" applyBorder="1" applyProtection="1"/>
    <xf numFmtId="0" fontId="6" fillId="0" borderId="32" xfId="0" applyFont="1" applyBorder="1" applyProtection="1"/>
    <xf numFmtId="0" fontId="6" fillId="0" borderId="33"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1" xfId="0" applyFont="1" applyBorder="1" applyAlignment="1" applyProtection="1">
      <alignment horizontal="center"/>
      <protection locked="0"/>
    </xf>
    <xf numFmtId="0" fontId="1" fillId="0" borderId="0" xfId="0" applyFont="1" applyBorder="1" applyAlignment="1" applyProtection="1">
      <alignment horizontal="center"/>
      <protection locked="0"/>
    </xf>
  </cellXfs>
  <cellStyles count="4">
    <cellStyle name="Followed Hyperlink" xfId="2" builtinId="9" hidden="1"/>
    <cellStyle name="Hyperlink" xfId="1" builtinId="8" hidden="1"/>
    <cellStyle name="Hyperlink" xfId="3" builtinId="8"/>
    <cellStyle name="Normal" xfId="0" builtinId="0"/>
  </cellStyles>
  <dxfs count="119">
    <dxf>
      <font>
        <b/>
        <i val="0"/>
        <strike val="0"/>
        <condense val="0"/>
        <extend val="0"/>
        <outline val="0"/>
        <shadow val="0"/>
        <u val="none"/>
        <vertAlign val="baseline"/>
        <sz val="11"/>
        <color theme="1"/>
        <name val="Calibri"/>
        <scheme val="minor"/>
      </font>
    </dxf>
    <dxf>
      <font>
        <b/>
        <i/>
        <color rgb="FFFF0000"/>
      </font>
      <fill>
        <patternFill>
          <bgColor rgb="FFFFC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ont>
        <b/>
        <i/>
        <color rgb="FFFFC000"/>
      </font>
      <fill>
        <patternFill>
          <bgColor rgb="FFFF0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34998626667073579"/>
        <name val="Calibri"/>
        <scheme val="minor"/>
      </font>
      <numFmt numFmtId="0" formatCode="General"/>
      <fill>
        <patternFill patternType="solid">
          <fgColor indexed="64"/>
          <bgColor theme="0"/>
        </patternFill>
      </fill>
      <border diagonalUp="0" diagonalDown="0">
        <left style="thin">
          <color auto="1"/>
        </left>
        <right style="thin">
          <color auto="1"/>
        </right>
        <top style="thin">
          <color auto="1"/>
        </top>
        <bottom style="thin">
          <color auto="1"/>
        </bottom>
        <vertical/>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76200</xdr:colOff>
          <xdr:row>2</xdr:row>
          <xdr:rowOff>47625</xdr:rowOff>
        </xdr:from>
        <xdr:to>
          <xdr:col>10</xdr:col>
          <xdr:colOff>1066800</xdr:colOff>
          <xdr:row>4</xdr:row>
          <xdr:rowOff>123825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18" dataDxfId="117" tableBorderDxfId="116">
  <autoFilter ref="A8:E18"/>
  <tableColumns count="5">
    <tableColumn id="1" name="Organization Type [CV]" dataDxfId="115"/>
    <tableColumn id="2" name="Organization Code" dataDxfId="114"/>
    <tableColumn id="3" name="Organization Name" dataDxfId="113"/>
    <tableColumn id="4" name="Organization Description" dataDxfId="112"/>
    <tableColumn id="5" name="Organization Link" dataDxfId="111"/>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1:H31" totalsRowShown="0" headerRowDxfId="110" dataDxfId="108" headerRowBorderDxfId="109" tableBorderDxfId="107">
  <autoFilter ref="A21:H31"/>
  <tableColumns count="8">
    <tableColumn id="1" name="First Name" dataDxfId="106"/>
    <tableColumn id="2" name="Middle Name" dataDxfId="105"/>
    <tableColumn id="3" name="Last Name" dataDxfId="104"/>
    <tableColumn id="4" name="OrcID" dataDxfId="103"/>
    <tableColumn id="5" name="Organization Name" dataDxfId="102"/>
    <tableColumn id="6" name="Primary Email" dataDxfId="101"/>
    <tableColumn id="7" name="Primary Address" dataDxfId="100"/>
    <tableColumn id="8" name="Full Name" dataDxfId="99">
      <calculatedColumnFormula>CONCATENATE(People[[#This Row],[First Name]]," ",People[[#This Row],[Middle Name]]," ",People[[#This Row],[Last Name]])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9:B29" totalsRowShown="0" headerRowDxfId="98" dataDxfId="96" headerRowBorderDxfId="97" tableBorderDxfId="95">
  <autoFilter ref="A19:B29"/>
  <tableColumns count="2">
    <tableColumn id="1" name="Author Number" dataDxfId="94"/>
    <tableColumn id="2" name="Author Name" dataDxfId="93"/>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I60" totalsRowShown="0" headerRowDxfId="91" dataDxfId="89" headerRowBorderDxfId="90" tableBorderDxfId="88">
  <autoFilter ref="A10:I60"/>
  <tableColumns count="9">
    <tableColumn id="1" name="Sampling Feature UUID" dataDxfId="87"/>
    <tableColumn id="2" name="Sampling Feature Type" dataDxfId="86"/>
    <tableColumn id="3" name="Feature Geo Type" dataDxfId="85"/>
    <tableColumn id="4" name="Feature Code" dataDxfId="84"/>
    <tableColumn id="5" name="Feature Name" dataDxfId="83"/>
    <tableColumn id="6" name="Feature Description" dataDxfId="82"/>
    <tableColumn id="7" name="Feature Geometry" dataDxfId="81"/>
    <tableColumn id="8" name="Elevation_m" dataDxfId="80"/>
    <tableColumn id="9" name="Feature IGSN" dataDxfId="79"/>
  </tableColumns>
  <tableStyleInfo name="TableStyleMedium2" showFirstColumn="0" showLastColumn="0" showRowStripes="1" showColumnStripes="0"/>
</table>
</file>

<file path=xl/tables/table5.xml><?xml version="1.0" encoding="utf-8"?>
<table xmlns="http://schemas.openxmlformats.org/spreadsheetml/2006/main" id="6" name="Sites" displayName="Sites" ref="K10:N60" totalsRowShown="0" headerRowDxfId="78" dataDxfId="76" headerRowBorderDxfId="77" tableBorderDxfId="75">
  <autoFilter ref="K10:N60"/>
  <tableColumns count="4">
    <tableColumn id="4" name="SiteID" dataDxfId="74">
      <calculatedColumnFormula>IF(SamplingFeatures[[#This Row],[Sampling Feature Type]]="Site",MAX(K$10:K10)+1,"")</calculatedColumnFormula>
    </tableColumn>
    <tableColumn id="1" name="Site Type" dataDxfId="73">
      <calculatedColumnFormula>IF($B11="Site","SELECT VALUE","")</calculatedColumnFormula>
    </tableColumn>
    <tableColumn id="2" name="Latitude" dataDxfId="72">
      <calculatedColumnFormula>IF($B11="site","ENTER VALUE","")</calculatedColumnFormula>
    </tableColumn>
    <tableColumn id="3" name="Longitude" dataDxfId="71">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P10:S60" totalsRowShown="0" headerRowDxfId="70" dataDxfId="68" headerRowBorderDxfId="69" tableBorderDxfId="67">
  <autoFilter ref="P10:S60"/>
  <tableColumns count="4">
    <tableColumn id="4" name="SpecimenID" dataDxfId="66">
      <calculatedColumnFormula>IF(SamplingFeatures[[#This Row],[Sampling Feature Type]]="Specimen",MAX(P$10:P10)+1,"")</calculatedColumnFormula>
    </tableColumn>
    <tableColumn id="1" name="Specimen Type" dataDxfId="65">
      <calculatedColumnFormula>IF($B11="Specimen","SELECT VALUE","")</calculatedColumnFormula>
    </tableColumn>
    <tableColumn id="2" name="Specimen Medium" dataDxfId="64">
      <calculatedColumnFormula>IF($B11="Specimen","SELECT VALUE","")</calculatedColumnFormula>
    </tableColumn>
    <tableColumn id="3" name="Is Field Specimen?" dataDxfId="63">
      <calculatedColumnFormula>IF($B11="Specimen","SELECT VALUE","")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62" dataDxfId="60" headerRowBorderDxfId="61" tableBorderDxfId="59">
  <autoFilter ref="A6:K38"/>
  <tableColumns count="11">
    <tableColumn id="1" name="First Sampling Feature Code" dataDxfId="58"/>
    <tableColumn id="2" name="Relationship Type" dataDxfId="57"/>
    <tableColumn id="3" name="Second Sampling Feature Code" dataDxfId="56"/>
    <tableColumn id="5" name="Spatial Offset Type" dataDxfId="55"/>
    <tableColumn id="6" name="Offset 1 Value" dataDxfId="54"/>
    <tableColumn id="7" name="Offset 1 Unit" dataDxfId="53"/>
    <tableColumn id="8" name="Offset 2 Value" dataDxfId="52"/>
    <tableColumn id="9" name="Offset 2 Unit" dataDxfId="51"/>
    <tableColumn id="10" name="Offset 3 Value" dataDxfId="50"/>
    <tableColumn id="11" name="Offset 3 Unit" dataDxfId="49"/>
    <tableColumn id="12" name="OffsetID" dataDxfId="48">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6:F27" totalsRowShown="0" headerRowDxfId="47" dataDxfId="45" headerRowBorderDxfId="46" tableBorderDxfId="44">
  <autoFilter ref="A6:F27"/>
  <tableColumns count="6">
    <tableColumn id="1" name="Method Type" dataDxfId="43"/>
    <tableColumn id="2" name="Method Code" dataDxfId="42"/>
    <tableColumn id="3" name="Method Name" dataDxfId="41"/>
    <tableColumn id="4" name="Method Description" dataDxfId="40"/>
    <tableColumn id="5" name="Method Link" dataDxfId="39"/>
    <tableColumn id="6" name="Organization Name" dataDxfId="38"/>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37" dataDxfId="35" headerRowBorderDxfId="36" tableBorderDxfId="34">
  <autoFilter ref="A6:F25"/>
  <tableColumns count="6">
    <tableColumn id="1" name="Variable Type" dataDxfId="33"/>
    <tableColumn id="2" name="Variable Code" dataDxfId="32"/>
    <tableColumn id="3" name="Variable Name" dataDxfId="31"/>
    <tableColumn id="4" name="Variable Definition" dataDxfId="30"/>
    <tableColumn id="5" name="Speciation" dataDxfId="29"/>
    <tableColumn id="6" name="No Data Value" dataDxfId="28"/>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27" dataDxfId="25" headerRowBorderDxfId="26" tableBorderDxfId="24">
  <autoFilter ref="A6:C24"/>
  <tableColumns count="3">
    <tableColumn id="1" name="Processing Level Code" dataDxfId="23"/>
    <tableColumn id="2" name="Definition" dataDxfId="22"/>
    <tableColumn id="3" name="Explanation" dataDxfId="21"/>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O98" totalsRowShown="0" headerRowDxfId="20" dataDxfId="18" headerRowBorderDxfId="19" tableBorderDxfId="17">
  <autoFilter ref="A11:O98"/>
  <tableColumns count="15">
    <tableColumn id="1" name="Col #" dataDxfId="16">
      <calculatedColumnFormula>IF(COUNTA(DataColumns[[#This Row],[Column Label]:[Quality Code]])&gt;0,IF(MAX(A$11:A11)=0,3,MAX(A$11:A11)+1),"")</calculatedColumnFormula>
    </tableColumn>
    <tableColumn id="2" name="Column Label" dataDxfId="15"/>
    <tableColumn id="3" name="ResultUUID" dataDxfId="14"/>
    <tableColumn id="4" name="Sampling Feature Code" dataDxfId="13"/>
    <tableColumn id="5" name="Method Code" dataDxfId="12"/>
    <tableColumn id="6" name="Result Type" dataDxfId="11"/>
    <tableColumn id="7" name="Variable Code" dataDxfId="10"/>
    <tableColumn id="8" name="Unit Name" dataDxfId="9"/>
    <tableColumn id="9" name="Processing Level" dataDxfId="8"/>
    <tableColumn id="11" name="Sampled Medium" dataDxfId="7"/>
    <tableColumn id="12" name="Time Aggregation Interval" dataDxfId="6"/>
    <tableColumn id="13" name="Time Aggregation Unit" dataDxfId="5"/>
    <tableColumn id="14" name="Aggregation Statistic" dataDxfId="4"/>
    <tableColumn id="15" name="Censor Code" dataDxfId="3"/>
    <tableColumn id="16" name="Quality Code" dataDxfId="2"/>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W793" totalsRowShown="0" headerRowDxfId="0">
  <autoFilter ref="A1:W793"/>
  <tableColumns count="23">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8" name="ValidSRSNames"/>
    <tableColumn id="10" name="RelationshipTypeCV"/>
    <tableColumn id="12" name="SampledMediumCV"/>
    <tableColumn id="13" name="SpatialOffsetTypeCV"/>
    <tableColumn id="14" name="Units"/>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9"/>
  <sheetViews>
    <sheetView workbookViewId="0">
      <selection activeCell="A26" sqref="A26"/>
    </sheetView>
  </sheetViews>
  <sheetFormatPr defaultRowHeight="15" x14ac:dyDescent="0.25"/>
  <sheetData>
    <row r="1" spans="1:1" ht="18.75" x14ac:dyDescent="0.3">
      <c r="A1" s="6" t="s">
        <v>1257</v>
      </c>
    </row>
    <row r="2" spans="1:1" s="5" customFormat="1" x14ac:dyDescent="0.25">
      <c r="A2" s="5" t="s">
        <v>1286</v>
      </c>
    </row>
    <row r="3" spans="1:1" s="5" customFormat="1" x14ac:dyDescent="0.25"/>
    <row r="4" spans="1:1" ht="18.75" x14ac:dyDescent="0.3">
      <c r="A4" s="6" t="s">
        <v>1256</v>
      </c>
    </row>
    <row r="5" spans="1:1" s="5" customFormat="1" x14ac:dyDescent="0.25">
      <c r="A5" s="5" t="s">
        <v>1311</v>
      </c>
    </row>
    <row r="6" spans="1:1" s="5" customFormat="1" x14ac:dyDescent="0.25">
      <c r="A6" s="5" t="s">
        <v>1290</v>
      </c>
    </row>
    <row r="7" spans="1:1" s="5" customFormat="1" x14ac:dyDescent="0.25">
      <c r="A7" s="5" t="s">
        <v>1319</v>
      </c>
    </row>
    <row r="8" spans="1:1" s="5" customFormat="1" x14ac:dyDescent="0.25">
      <c r="A8" s="5" t="s">
        <v>1300</v>
      </c>
    </row>
    <row r="9" spans="1:1" s="5" customFormat="1" x14ac:dyDescent="0.25">
      <c r="A9" s="5" t="s">
        <v>1291</v>
      </c>
    </row>
    <row r="10" spans="1:1" s="5" customFormat="1" x14ac:dyDescent="0.25">
      <c r="A10" s="5" t="s">
        <v>1289</v>
      </c>
    </row>
    <row r="11" spans="1:1" s="5" customFormat="1" x14ac:dyDescent="0.25">
      <c r="A11" s="5" t="s">
        <v>1292</v>
      </c>
    </row>
    <row r="12" spans="1:1" s="5" customFormat="1" x14ac:dyDescent="0.25">
      <c r="A12" s="5" t="s">
        <v>1310</v>
      </c>
    </row>
    <row r="13" spans="1:1" s="5" customFormat="1" x14ac:dyDescent="0.25">
      <c r="A13" s="5" t="s">
        <v>1308</v>
      </c>
    </row>
    <row r="14" spans="1:1" s="5" customFormat="1" x14ac:dyDescent="0.25">
      <c r="A14" s="5" t="s">
        <v>1293</v>
      </c>
    </row>
    <row r="15" spans="1:1" s="5" customFormat="1" x14ac:dyDescent="0.25">
      <c r="A15" s="5" t="s">
        <v>1294</v>
      </c>
    </row>
    <row r="16" spans="1:1" s="5" customFormat="1" x14ac:dyDescent="0.25">
      <c r="A16" s="5" t="s">
        <v>1307</v>
      </c>
    </row>
    <row r="17" spans="1:1" s="5" customFormat="1" x14ac:dyDescent="0.25">
      <c r="A17" s="5" t="s">
        <v>1309</v>
      </c>
    </row>
    <row r="18" spans="1:1" s="5" customFormat="1" x14ac:dyDescent="0.25">
      <c r="A18" s="5" t="s">
        <v>1315</v>
      </c>
    </row>
    <row r="19" spans="1:1" s="5" customFormat="1" x14ac:dyDescent="0.25">
      <c r="A19" s="5" t="s">
        <v>1312</v>
      </c>
    </row>
    <row r="20" spans="1:1" s="5" customFormat="1" x14ac:dyDescent="0.25">
      <c r="A20" s="5" t="s">
        <v>1314</v>
      </c>
    </row>
    <row r="21" spans="1:1" s="5" customFormat="1" x14ac:dyDescent="0.25">
      <c r="A21" s="5" t="s">
        <v>1317</v>
      </c>
    </row>
    <row r="22" spans="1:1" s="5" customFormat="1" x14ac:dyDescent="0.25">
      <c r="A22" s="5" t="s">
        <v>1318</v>
      </c>
    </row>
    <row r="23" spans="1:1" s="5" customFormat="1" x14ac:dyDescent="0.25">
      <c r="A23" s="5" t="s">
        <v>1320</v>
      </c>
    </row>
    <row r="24" spans="1:1" s="5" customFormat="1" x14ac:dyDescent="0.25">
      <c r="A24" s="5" t="s">
        <v>1321</v>
      </c>
    </row>
    <row r="25" spans="1:1" s="5" customFormat="1" x14ac:dyDescent="0.25">
      <c r="A25" s="5" t="s">
        <v>1322</v>
      </c>
    </row>
    <row r="26" spans="1:1" s="5" customFormat="1" x14ac:dyDescent="0.25"/>
    <row r="27" spans="1:1" ht="18.75" x14ac:dyDescent="0.3">
      <c r="A27" s="6" t="s">
        <v>1258</v>
      </c>
    </row>
    <row r="28" spans="1:1" s="5" customFormat="1" x14ac:dyDescent="0.25">
      <c r="A28" s="5" t="s">
        <v>1313</v>
      </c>
    </row>
    <row r="29" spans="1:1" x14ac:dyDescent="0.25">
      <c r="A29" s="5" t="s">
        <v>1296</v>
      </c>
    </row>
    <row r="30" spans="1:1" x14ac:dyDescent="0.25">
      <c r="A30" s="5" t="s">
        <v>1297</v>
      </c>
    </row>
    <row r="31" spans="1:1" s="5" customFormat="1" x14ac:dyDescent="0.25">
      <c r="A31" s="5" t="s">
        <v>1298</v>
      </c>
    </row>
    <row r="32" spans="1:1" x14ac:dyDescent="0.25">
      <c r="A32" s="5" t="s">
        <v>1295</v>
      </c>
    </row>
    <row r="33" spans="1:1" x14ac:dyDescent="0.25">
      <c r="A33" t="s">
        <v>1299</v>
      </c>
    </row>
    <row r="34" spans="1:1" x14ac:dyDescent="0.25">
      <c r="A34" s="5" t="s">
        <v>1301</v>
      </c>
    </row>
    <row r="35" spans="1:1" x14ac:dyDescent="0.25">
      <c r="A35" s="5" t="s">
        <v>1302</v>
      </c>
    </row>
    <row r="36" spans="1:1" x14ac:dyDescent="0.25">
      <c r="A36" s="5" t="s">
        <v>1303</v>
      </c>
    </row>
    <row r="37" spans="1:1" x14ac:dyDescent="0.25">
      <c r="A37" s="5" t="s">
        <v>1304</v>
      </c>
    </row>
    <row r="38" spans="1:1" x14ac:dyDescent="0.25">
      <c r="A38" s="5" t="s">
        <v>1305</v>
      </c>
    </row>
    <row r="39" spans="1:1" x14ac:dyDescent="0.25">
      <c r="A39" s="5" t="s">
        <v>1306</v>
      </c>
    </row>
  </sheetData>
  <sheetProtection password="CA31" sheet="1" objects="1" scenarios="1"/>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31"/>
  <sheetViews>
    <sheetView zoomScaleNormal="100" zoomScalePageLayoutView="150" workbookViewId="0">
      <selection activeCell="F18" sqref="F18"/>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25" style="7" customWidth="1"/>
    <col min="7" max="7" width="45.42578125" style="7" customWidth="1"/>
    <col min="8" max="8" width="23.140625" style="7" bestFit="1" customWidth="1"/>
    <col min="9" max="16384" width="8.85546875" style="7"/>
  </cols>
  <sheetData>
    <row r="1" spans="1:8" x14ac:dyDescent="0.25">
      <c r="A1" s="32" t="s">
        <v>306</v>
      </c>
    </row>
    <row r="2" spans="1:8" x14ac:dyDescent="0.25">
      <c r="A2" s="32" t="s">
        <v>1116</v>
      </c>
    </row>
    <row r="3" spans="1:8" x14ac:dyDescent="0.25">
      <c r="A3" s="32" t="s">
        <v>197</v>
      </c>
    </row>
    <row r="4" spans="1:8" x14ac:dyDescent="0.25">
      <c r="A4" s="32" t="s">
        <v>309</v>
      </c>
    </row>
    <row r="5" spans="1:8" x14ac:dyDescent="0.25">
      <c r="A5" s="32" t="s">
        <v>206</v>
      </c>
    </row>
    <row r="6" spans="1:8" ht="15.75" thickBot="1" x14ac:dyDescent="0.3"/>
    <row r="7" spans="1:8" ht="15.75" thickBot="1" x14ac:dyDescent="0.3">
      <c r="A7" s="119" t="s">
        <v>158</v>
      </c>
      <c r="B7" s="120"/>
      <c r="C7" s="120"/>
      <c r="D7" s="120"/>
      <c r="E7" s="121"/>
      <c r="G7" s="33" t="s">
        <v>1277</v>
      </c>
      <c r="H7" s="34">
        <f>COUNTA(OrganizationNames)</f>
        <v>0</v>
      </c>
    </row>
    <row r="8" spans="1:8" ht="15.75" thickBot="1" x14ac:dyDescent="0.3">
      <c r="A8" s="84" t="s">
        <v>159</v>
      </c>
      <c r="B8" s="85" t="s">
        <v>160</v>
      </c>
      <c r="C8" s="85" t="s">
        <v>21</v>
      </c>
      <c r="D8" s="86" t="s">
        <v>161</v>
      </c>
      <c r="E8" s="87" t="s">
        <v>162</v>
      </c>
      <c r="G8" s="33" t="s">
        <v>1278</v>
      </c>
      <c r="H8" s="34">
        <f>COUNTA(PeopleNames)</f>
        <v>10</v>
      </c>
    </row>
    <row r="9" spans="1:8" ht="15.75" thickTop="1" x14ac:dyDescent="0.25">
      <c r="A9" s="8"/>
      <c r="B9" s="9"/>
      <c r="C9" s="9"/>
      <c r="D9" s="10"/>
      <c r="E9" s="11"/>
    </row>
    <row r="10" spans="1:8" x14ac:dyDescent="0.25">
      <c r="A10" s="12"/>
      <c r="B10" s="13"/>
      <c r="C10" s="13"/>
      <c r="D10" s="14"/>
      <c r="E10" s="15"/>
    </row>
    <row r="11" spans="1:8" x14ac:dyDescent="0.25">
      <c r="A11" s="12"/>
      <c r="B11" s="13"/>
      <c r="C11" s="13"/>
      <c r="D11" s="14"/>
      <c r="E11" s="16"/>
    </row>
    <row r="12" spans="1:8" x14ac:dyDescent="0.25">
      <c r="A12" s="12"/>
      <c r="B12" s="13"/>
      <c r="C12" s="13"/>
      <c r="D12" s="14"/>
      <c r="E12" s="16"/>
    </row>
    <row r="13" spans="1:8" x14ac:dyDescent="0.25">
      <c r="A13" s="12"/>
      <c r="B13" s="13"/>
      <c r="C13" s="13"/>
      <c r="D13" s="14"/>
      <c r="E13" s="16"/>
    </row>
    <row r="14" spans="1:8" x14ac:dyDescent="0.25">
      <c r="A14" s="12"/>
      <c r="B14" s="13"/>
      <c r="C14" s="13"/>
      <c r="D14" s="14"/>
      <c r="E14" s="16"/>
    </row>
    <row r="15" spans="1:8" x14ac:dyDescent="0.25">
      <c r="A15" s="12"/>
      <c r="B15" s="13"/>
      <c r="C15" s="13"/>
      <c r="D15" s="14"/>
      <c r="E15" s="16"/>
    </row>
    <row r="16" spans="1:8" x14ac:dyDescent="0.25">
      <c r="A16" s="12"/>
      <c r="B16" s="13"/>
      <c r="C16" s="13"/>
      <c r="D16" s="14"/>
      <c r="E16" s="16"/>
    </row>
    <row r="17" spans="1:8" x14ac:dyDescent="0.25">
      <c r="A17" s="12"/>
      <c r="B17" s="13"/>
      <c r="C17" s="13"/>
      <c r="D17" s="14"/>
      <c r="E17" s="16"/>
    </row>
    <row r="18" spans="1:8" x14ac:dyDescent="0.25">
      <c r="A18" s="17"/>
      <c r="B18" s="18"/>
      <c r="C18" s="18"/>
      <c r="D18" s="19"/>
      <c r="E18" s="20"/>
    </row>
    <row r="19" spans="1:8" ht="15.75" thickBot="1" x14ac:dyDescent="0.3"/>
    <row r="20" spans="1:8" x14ac:dyDescent="0.25">
      <c r="A20" s="122" t="s">
        <v>157</v>
      </c>
      <c r="B20" s="123"/>
      <c r="C20" s="123"/>
      <c r="D20" s="123"/>
      <c r="E20" s="123"/>
      <c r="F20" s="123"/>
      <c r="G20" s="123"/>
      <c r="H20" s="21"/>
    </row>
    <row r="21" spans="1:8" ht="15.75" thickBot="1" x14ac:dyDescent="0.3">
      <c r="A21" s="82" t="s">
        <v>17</v>
      </c>
      <c r="B21" s="88" t="s">
        <v>18</v>
      </c>
      <c r="C21" s="77" t="s">
        <v>19</v>
      </c>
      <c r="D21" s="89" t="s">
        <v>22</v>
      </c>
      <c r="E21" s="77" t="s">
        <v>21</v>
      </c>
      <c r="F21" s="77" t="s">
        <v>20</v>
      </c>
      <c r="G21" s="80" t="s">
        <v>193</v>
      </c>
      <c r="H21" s="35" t="s">
        <v>307</v>
      </c>
    </row>
    <row r="22" spans="1:8" ht="15.75" thickTop="1" x14ac:dyDescent="0.25">
      <c r="A22" s="22"/>
      <c r="B22" s="23"/>
      <c r="C22" s="23"/>
      <c r="D22" s="24"/>
      <c r="E22" s="23"/>
      <c r="F22" s="25"/>
      <c r="G22" s="26"/>
      <c r="H22" s="36" t="str">
        <f>CONCATENATE(People[[#This Row],[First Name]]," ",People[[#This Row],[Middle Name]]," ",People[[#This Row],[Last Name]])</f>
        <v xml:space="preserve">  </v>
      </c>
    </row>
    <row r="23" spans="1:8" x14ac:dyDescent="0.25">
      <c r="A23" s="12"/>
      <c r="B23" s="13"/>
      <c r="C23" s="13"/>
      <c r="D23" s="27"/>
      <c r="E23" s="13"/>
      <c r="F23" s="28"/>
      <c r="G23" s="26"/>
      <c r="H23" s="37" t="str">
        <f>CONCATENATE(People[[#This Row],[First Name]]," ",People[[#This Row],[Middle Name]]," ",People[[#This Row],[Last Name]])</f>
        <v xml:space="preserve">  </v>
      </c>
    </row>
    <row r="24" spans="1:8" x14ac:dyDescent="0.25">
      <c r="A24" s="12"/>
      <c r="B24" s="13"/>
      <c r="C24" s="13"/>
      <c r="D24" s="27"/>
      <c r="E24" s="13"/>
      <c r="F24" s="28"/>
      <c r="G24" s="29"/>
      <c r="H24" s="37" t="str">
        <f>CONCATENATE(People[[#This Row],[First Name]]," ",People[[#This Row],[Middle Name]]," ",People[[#This Row],[Last Name]])</f>
        <v xml:space="preserve">  </v>
      </c>
    </row>
    <row r="25" spans="1:8" x14ac:dyDescent="0.25">
      <c r="A25" s="12"/>
      <c r="B25" s="13"/>
      <c r="C25" s="13"/>
      <c r="D25" s="27"/>
      <c r="E25" s="13"/>
      <c r="F25" s="28"/>
      <c r="G25" s="29"/>
      <c r="H25" s="37" t="str">
        <f>CONCATENATE(People[[#This Row],[First Name]]," ",People[[#This Row],[Middle Name]]," ",People[[#This Row],[Last Name]])</f>
        <v xml:space="preserve">  </v>
      </c>
    </row>
    <row r="26" spans="1:8" x14ac:dyDescent="0.25">
      <c r="A26" s="12"/>
      <c r="B26" s="13"/>
      <c r="C26" s="13"/>
      <c r="D26" s="27"/>
      <c r="E26" s="13"/>
      <c r="F26" s="28"/>
      <c r="G26" s="29"/>
      <c r="H26" s="37" t="str">
        <f>CONCATENATE(People[[#This Row],[First Name]]," ",People[[#This Row],[Middle Name]]," ",People[[#This Row],[Last Name]])</f>
        <v xml:space="preserve">  </v>
      </c>
    </row>
    <row r="27" spans="1:8" x14ac:dyDescent="0.25">
      <c r="A27" s="12"/>
      <c r="B27" s="13"/>
      <c r="C27" s="13"/>
      <c r="D27" s="27"/>
      <c r="E27" s="13"/>
      <c r="F27" s="13"/>
      <c r="G27" s="29"/>
      <c r="H27" s="37" t="str">
        <f>CONCATENATE(People[[#This Row],[First Name]]," ",People[[#This Row],[Middle Name]]," ",People[[#This Row],[Last Name]])</f>
        <v xml:space="preserve">  </v>
      </c>
    </row>
    <row r="28" spans="1:8" x14ac:dyDescent="0.25">
      <c r="A28" s="12"/>
      <c r="B28" s="13"/>
      <c r="C28" s="13"/>
      <c r="D28" s="27"/>
      <c r="E28" s="13"/>
      <c r="F28" s="13"/>
      <c r="G28" s="29"/>
      <c r="H28" s="37" t="str">
        <f>CONCATENATE(People[[#This Row],[First Name]]," ",People[[#This Row],[Middle Name]]," ",People[[#This Row],[Last Name]])</f>
        <v xml:space="preserve">  </v>
      </c>
    </row>
    <row r="29" spans="1:8" x14ac:dyDescent="0.25">
      <c r="A29" s="12"/>
      <c r="B29" s="13"/>
      <c r="C29" s="13"/>
      <c r="D29" s="27"/>
      <c r="E29" s="13"/>
      <c r="F29" s="13"/>
      <c r="G29" s="29"/>
      <c r="H29" s="37" t="str">
        <f>CONCATENATE(People[[#This Row],[First Name]]," ",People[[#This Row],[Middle Name]]," ",People[[#This Row],[Last Name]])</f>
        <v xml:space="preserve">  </v>
      </c>
    </row>
    <row r="30" spans="1:8" x14ac:dyDescent="0.25">
      <c r="A30" s="12"/>
      <c r="B30" s="13"/>
      <c r="C30" s="13"/>
      <c r="D30" s="27"/>
      <c r="E30" s="13"/>
      <c r="F30" s="13"/>
      <c r="G30" s="29"/>
      <c r="H30" s="37" t="str">
        <f>CONCATENATE(People[[#This Row],[First Name]]," ",People[[#This Row],[Middle Name]]," ",People[[#This Row],[Last Name]])</f>
        <v xml:space="preserve">  </v>
      </c>
    </row>
    <row r="31" spans="1:8" x14ac:dyDescent="0.25">
      <c r="A31" s="17"/>
      <c r="B31" s="18"/>
      <c r="C31" s="18"/>
      <c r="D31" s="30"/>
      <c r="E31" s="18"/>
      <c r="F31" s="18"/>
      <c r="G31" s="31"/>
      <c r="H31" s="38" t="str">
        <f>CONCATENATE(People[[#This Row],[First Name]]," ",People[[#This Row],[Middle Name]]," ",People[[#This Row],[Last Name]])</f>
        <v xml:space="preserve">  </v>
      </c>
    </row>
  </sheetData>
  <sheetProtection password="CA31" sheet="1" objects="1" scenarios="1" formatColumns="0" formatRows="0" insertRows="0" insertHyperlinks="0" deleteRows="0" sort="0"/>
  <dataConsolidate/>
  <mergeCells count="2">
    <mergeCell ref="A7:E7"/>
    <mergeCell ref="A20:G20"/>
  </mergeCells>
  <dataValidations count="3">
    <dataValidation type="textLength" allowBlank="1" showInputMessage="1" showErrorMessage="1" sqref="B9:B18">
      <formula1>1</formula1>
      <formula2>50</formula2>
    </dataValidation>
    <dataValidation type="list" allowBlank="1" showInputMessage="1" showErrorMessage="1" sqref="E22:E31">
      <formula1>OrganizationNames</formula1>
    </dataValidation>
    <dataValidation type="list" allowBlank="1" showInputMessage="1" showErrorMessage="1" sqref="A9:A18">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9"/>
  <sheetViews>
    <sheetView zoomScale="115" zoomScaleNormal="115" zoomScalePageLayoutView="150" workbookViewId="0">
      <selection activeCell="A19" sqref="A19:B19"/>
    </sheetView>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4" x14ac:dyDescent="0.25">
      <c r="A1" s="32" t="s">
        <v>305</v>
      </c>
    </row>
    <row r="2" spans="1:4" ht="15.75" thickBot="1" x14ac:dyDescent="0.3"/>
    <row r="3" spans="1:4" ht="15.75" thickBot="1" x14ac:dyDescent="0.3">
      <c r="A3" s="124" t="s">
        <v>23</v>
      </c>
      <c r="B3" s="125"/>
    </row>
    <row r="4" spans="1:4" ht="15.75" thickTop="1" x14ac:dyDescent="0.25">
      <c r="A4" s="53" t="s">
        <v>0</v>
      </c>
      <c r="B4" s="39"/>
    </row>
    <row r="5" spans="1:4" x14ac:dyDescent="0.25">
      <c r="A5" s="54" t="s">
        <v>3</v>
      </c>
      <c r="B5" s="40"/>
    </row>
    <row r="6" spans="1:4" x14ac:dyDescent="0.25">
      <c r="A6" s="54" t="s">
        <v>2</v>
      </c>
      <c r="B6" s="40"/>
    </row>
    <row r="7" spans="1:4" x14ac:dyDescent="0.25">
      <c r="A7" s="54" t="s">
        <v>1</v>
      </c>
      <c r="B7" s="40"/>
    </row>
    <row r="8" spans="1:4" x14ac:dyDescent="0.25">
      <c r="A8" s="55" t="s">
        <v>4</v>
      </c>
      <c r="B8" s="41"/>
    </row>
    <row r="9" spans="1:4" x14ac:dyDescent="0.25">
      <c r="A9" s="55" t="s">
        <v>199</v>
      </c>
      <c r="B9" s="40"/>
    </row>
    <row r="10" spans="1:4" x14ac:dyDescent="0.25">
      <c r="A10" s="55" t="s">
        <v>189</v>
      </c>
      <c r="B10" s="40"/>
      <c r="D10" s="42"/>
    </row>
    <row r="11" spans="1:4" x14ac:dyDescent="0.25">
      <c r="A11" s="55" t="s">
        <v>184</v>
      </c>
      <c r="B11" s="40"/>
    </row>
    <row r="12" spans="1:4" x14ac:dyDescent="0.25">
      <c r="A12" s="55" t="s">
        <v>6</v>
      </c>
      <c r="B12" s="40"/>
    </row>
    <row r="13" spans="1:4" x14ac:dyDescent="0.25">
      <c r="A13" s="55" t="s">
        <v>198</v>
      </c>
      <c r="B13" s="40"/>
    </row>
    <row r="14" spans="1:4" x14ac:dyDescent="0.25">
      <c r="A14" s="55" t="s">
        <v>5</v>
      </c>
      <c r="B14" s="43"/>
      <c r="D14" s="42"/>
    </row>
    <row r="15" spans="1:4" x14ac:dyDescent="0.25">
      <c r="A15" s="55" t="s">
        <v>15</v>
      </c>
      <c r="B15" s="40"/>
      <c r="D15" s="32" t="s">
        <v>194</v>
      </c>
    </row>
    <row r="16" spans="1:4" ht="15.75" thickBot="1" x14ac:dyDescent="0.3">
      <c r="A16" s="56" t="s">
        <v>16</v>
      </c>
      <c r="B16" s="44"/>
    </row>
    <row r="17" spans="1:5" ht="15.75" thickBot="1" x14ac:dyDescent="0.3"/>
    <row r="18" spans="1:5" ht="15.75" thickBot="1" x14ac:dyDescent="0.3">
      <c r="A18" s="122" t="s">
        <v>24</v>
      </c>
      <c r="B18" s="126"/>
      <c r="C18" s="45"/>
      <c r="D18" s="46"/>
      <c r="E18" s="46"/>
    </row>
    <row r="19" spans="1:5" ht="15.75" thickBot="1" x14ac:dyDescent="0.3">
      <c r="A19" s="82" t="s">
        <v>188</v>
      </c>
      <c r="B19" s="83" t="s">
        <v>308</v>
      </c>
      <c r="D19" s="33" t="s">
        <v>1276</v>
      </c>
      <c r="E19" s="34">
        <f>COUNTA(AuthorList[Author Name])</f>
        <v>0</v>
      </c>
    </row>
    <row r="20" spans="1:5" ht="15.75" thickTop="1" x14ac:dyDescent="0.25">
      <c r="A20" s="47">
        <v>1</v>
      </c>
      <c r="B20" s="48"/>
    </row>
    <row r="21" spans="1:5" x14ac:dyDescent="0.25">
      <c r="A21" s="49">
        <v>2</v>
      </c>
      <c r="B21" s="50"/>
    </row>
    <row r="22" spans="1:5" x14ac:dyDescent="0.25">
      <c r="A22" s="49">
        <v>3</v>
      </c>
      <c r="B22" s="50"/>
    </row>
    <row r="23" spans="1:5" x14ac:dyDescent="0.25">
      <c r="A23" s="49">
        <v>4</v>
      </c>
      <c r="B23" s="50"/>
    </row>
    <row r="24" spans="1:5" x14ac:dyDescent="0.25">
      <c r="A24" s="49">
        <v>5</v>
      </c>
      <c r="B24" s="50"/>
    </row>
    <row r="25" spans="1:5" x14ac:dyDescent="0.25">
      <c r="A25" s="49">
        <v>6</v>
      </c>
      <c r="B25" s="50"/>
    </row>
    <row r="26" spans="1:5" x14ac:dyDescent="0.25">
      <c r="A26" s="49">
        <v>7</v>
      </c>
      <c r="B26" s="50"/>
    </row>
    <row r="27" spans="1:5" x14ac:dyDescent="0.25">
      <c r="A27" s="49">
        <v>8</v>
      </c>
      <c r="B27" s="50"/>
    </row>
    <row r="28" spans="1:5" x14ac:dyDescent="0.25">
      <c r="A28" s="49">
        <v>9</v>
      </c>
      <c r="B28" s="50"/>
    </row>
    <row r="29" spans="1:5" x14ac:dyDescent="0.25">
      <c r="A29" s="51">
        <v>10</v>
      </c>
      <c r="B29" s="52"/>
    </row>
  </sheetData>
  <sheetProtection password="CA31" sheet="1" objects="1" scenarios="1" formatColumns="0" formatRows="0" insertRows="0" insertHyperlinks="0" deleteRows="0" sort="0" autoFilter="0"/>
  <mergeCells count="2">
    <mergeCell ref="A3:B3"/>
    <mergeCell ref="A18:B18"/>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20:B29">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S60"/>
  <sheetViews>
    <sheetView zoomScaleNormal="100" zoomScalePageLayoutView="150" workbookViewId="0">
      <selection activeCell="B10" sqref="B10"/>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57" bestFit="1" customWidth="1"/>
    <col min="10" max="10" width="2.85546875" style="58" customWidth="1"/>
    <col min="11" max="11" width="3.7109375" style="7" customWidth="1"/>
    <col min="12" max="12" width="12.7109375" style="7" bestFit="1" customWidth="1"/>
    <col min="13" max="13" width="12.140625" style="57" bestFit="1" customWidth="1"/>
    <col min="14" max="14" width="12.140625" style="59" bestFit="1" customWidth="1"/>
    <col min="15" max="15" width="2.85546875" style="58" customWidth="1"/>
    <col min="16" max="16" width="3.7109375" style="7" customWidth="1"/>
    <col min="17" max="17" width="20.28515625" style="7" bestFit="1" customWidth="1"/>
    <col min="18" max="18" width="20" style="7" bestFit="1" customWidth="1"/>
    <col min="19" max="19" width="13.7109375" style="7" customWidth="1"/>
    <col min="20" max="16384" width="8.85546875" style="7"/>
  </cols>
  <sheetData>
    <row r="1" spans="1:19" x14ac:dyDescent="0.25">
      <c r="A1" s="32" t="s">
        <v>304</v>
      </c>
    </row>
    <row r="2" spans="1:19" x14ac:dyDescent="0.25">
      <c r="A2" s="32" t="s">
        <v>1115</v>
      </c>
    </row>
    <row r="3" spans="1:19" x14ac:dyDescent="0.25">
      <c r="A3" s="32" t="s">
        <v>1172</v>
      </c>
    </row>
    <row r="4" spans="1:19" x14ac:dyDescent="0.25">
      <c r="A4" s="32" t="s">
        <v>301</v>
      </c>
    </row>
    <row r="5" spans="1:19" ht="15.75" thickBot="1" x14ac:dyDescent="0.3"/>
    <row r="6" spans="1:19" ht="15.75" thickBot="1" x14ac:dyDescent="0.3">
      <c r="A6" s="124" t="s">
        <v>132</v>
      </c>
      <c r="B6" s="125"/>
    </row>
    <row r="7" spans="1:19" ht="16.5" thickTop="1" thickBot="1" x14ac:dyDescent="0.3">
      <c r="A7" s="74" t="s">
        <v>30</v>
      </c>
      <c r="B7" s="39"/>
      <c r="D7" s="32" t="s">
        <v>300</v>
      </c>
      <c r="H7" s="33" t="s">
        <v>1275</v>
      </c>
      <c r="I7" s="73">
        <f>COUNTA(SamplingFeatures[Feature Code])</f>
        <v>0</v>
      </c>
      <c r="L7" s="33" t="s">
        <v>1271</v>
      </c>
      <c r="M7" s="73">
        <f>MAX(Sites[SiteID])</f>
        <v>0</v>
      </c>
      <c r="Q7" s="33" t="s">
        <v>1272</v>
      </c>
      <c r="R7" s="34">
        <f>MAX(Specimens[SpecimenID])</f>
        <v>0</v>
      </c>
    </row>
    <row r="8" spans="1:19" ht="15.75" thickBot="1" x14ac:dyDescent="0.3">
      <c r="A8" s="75" t="s">
        <v>131</v>
      </c>
      <c r="B8" s="44"/>
      <c r="D8" s="32" t="s">
        <v>1117</v>
      </c>
    </row>
    <row r="9" spans="1:19" ht="15.75" thickBot="1" x14ac:dyDescent="0.3">
      <c r="J9" s="127" t="s">
        <v>211</v>
      </c>
      <c r="K9" s="127"/>
      <c r="L9" s="127"/>
      <c r="M9" s="127"/>
      <c r="O9" s="127" t="s">
        <v>210</v>
      </c>
      <c r="P9" s="127"/>
      <c r="Q9" s="127"/>
      <c r="R9" s="127"/>
    </row>
    <row r="10" spans="1:19" ht="15.75" thickBot="1" x14ac:dyDescent="0.3">
      <c r="A10" s="76" t="s">
        <v>25</v>
      </c>
      <c r="B10" s="77" t="s">
        <v>26</v>
      </c>
      <c r="C10" s="77" t="s">
        <v>130</v>
      </c>
      <c r="D10" s="77" t="s">
        <v>215</v>
      </c>
      <c r="E10" s="78" t="s">
        <v>213</v>
      </c>
      <c r="F10" s="79" t="s">
        <v>214</v>
      </c>
      <c r="G10" s="80" t="s">
        <v>216</v>
      </c>
      <c r="H10" s="80" t="s">
        <v>29</v>
      </c>
      <c r="I10" s="81" t="s">
        <v>1239</v>
      </c>
      <c r="J10" s="60"/>
      <c r="K10" s="71" t="s">
        <v>1170</v>
      </c>
      <c r="L10" s="82" t="s">
        <v>207</v>
      </c>
      <c r="M10" s="77" t="s">
        <v>27</v>
      </c>
      <c r="N10" s="83" t="s">
        <v>28</v>
      </c>
      <c r="O10" s="61"/>
      <c r="P10" s="71" t="s">
        <v>1171</v>
      </c>
      <c r="Q10" s="82" t="s">
        <v>208</v>
      </c>
      <c r="R10" s="77" t="s">
        <v>190</v>
      </c>
      <c r="S10" s="83" t="s">
        <v>209</v>
      </c>
    </row>
    <row r="11" spans="1:19" ht="15.75" thickTop="1" x14ac:dyDescent="0.25">
      <c r="A11" s="22"/>
      <c r="B11" s="23"/>
      <c r="C11" s="23"/>
      <c r="D11" s="23"/>
      <c r="E11" s="62"/>
      <c r="F11" s="63"/>
      <c r="G11" s="64"/>
      <c r="H11" s="64"/>
      <c r="I11" s="64"/>
      <c r="J11" s="59"/>
      <c r="K11" s="68" t="str">
        <f>IF(SamplingFeatures[[#This Row],[Sampling Feature Type]]="Site",MAX(K$10:K10)+1,"")</f>
        <v/>
      </c>
      <c r="L11" s="22"/>
      <c r="M11" s="23"/>
      <c r="N11" s="48"/>
      <c r="O11" s="65"/>
      <c r="P11" s="68" t="str">
        <f>IF(SamplingFeatures[[#This Row],[Sampling Feature Type]]="Specimen",MAX(P$10:P10)+1,"")</f>
        <v/>
      </c>
      <c r="Q11" s="12"/>
      <c r="R11" s="23"/>
      <c r="S11" s="48"/>
    </row>
    <row r="12" spans="1:19" x14ac:dyDescent="0.25">
      <c r="A12" s="12"/>
      <c r="B12" s="23"/>
      <c r="C12" s="13"/>
      <c r="D12" s="13"/>
      <c r="E12" s="14"/>
      <c r="F12" s="66"/>
      <c r="G12" s="16"/>
      <c r="H12" s="16"/>
      <c r="I12" s="16"/>
      <c r="J12" s="59"/>
      <c r="K12" s="69" t="str">
        <f>IF(SamplingFeatures[[#This Row],[Sampling Feature Type]]="Site",MAX(K$10:K11)+1,"")</f>
        <v/>
      </c>
      <c r="L12" s="22"/>
      <c r="M12" s="13"/>
      <c r="N12" s="50"/>
      <c r="O12" s="65"/>
      <c r="P12" s="70" t="str">
        <f>IF(SamplingFeatures[[#This Row],[Sampling Feature Type]]="Specimen",MAX(P$10:P11)+1,"")</f>
        <v/>
      </c>
      <c r="Q12" s="12"/>
      <c r="R12" s="13"/>
      <c r="S12" s="50"/>
    </row>
    <row r="13" spans="1:19" x14ac:dyDescent="0.25">
      <c r="A13" s="12"/>
      <c r="B13" s="23"/>
      <c r="C13" s="13"/>
      <c r="D13" s="13"/>
      <c r="E13" s="14"/>
      <c r="F13" s="66"/>
      <c r="G13" s="16"/>
      <c r="H13" s="16"/>
      <c r="I13" s="16"/>
      <c r="J13" s="59"/>
      <c r="K13" s="70" t="str">
        <f>IF(SamplingFeatures[[#This Row],[Sampling Feature Type]]="Site",MAX(K$10:K12)+1,"")</f>
        <v/>
      </c>
      <c r="L13" s="22"/>
      <c r="M13" s="13"/>
      <c r="N13" s="50"/>
      <c r="O13" s="65"/>
      <c r="P13" s="70" t="str">
        <f>IF(SamplingFeatures[[#This Row],[Sampling Feature Type]]="Specimen",MAX(P$10:P12)+1,"")</f>
        <v/>
      </c>
      <c r="Q13" s="12"/>
      <c r="R13" s="13"/>
      <c r="S13" s="50"/>
    </row>
    <row r="14" spans="1:19" x14ac:dyDescent="0.25">
      <c r="A14" s="12"/>
      <c r="B14" s="23"/>
      <c r="C14" s="13"/>
      <c r="D14" s="13"/>
      <c r="E14" s="14"/>
      <c r="F14" s="66"/>
      <c r="G14" s="16"/>
      <c r="H14" s="16"/>
      <c r="I14" s="16"/>
      <c r="J14" s="59"/>
      <c r="K14" s="70" t="str">
        <f>IF(SamplingFeatures[[#This Row],[Sampling Feature Type]]="Site",MAX(K$10:K13)+1,"")</f>
        <v/>
      </c>
      <c r="L14" s="22"/>
      <c r="M14" s="13"/>
      <c r="N14" s="50"/>
      <c r="O14" s="65"/>
      <c r="P14" s="70" t="str">
        <f>IF(SamplingFeatures[[#This Row],[Sampling Feature Type]]="Specimen",MAX(P$10:P13)+1,"")</f>
        <v/>
      </c>
      <c r="Q14" s="12"/>
      <c r="R14" s="13"/>
      <c r="S14" s="50"/>
    </row>
    <row r="15" spans="1:19" x14ac:dyDescent="0.25">
      <c r="A15" s="12"/>
      <c r="B15" s="23"/>
      <c r="C15" s="13"/>
      <c r="D15" s="13"/>
      <c r="E15" s="14"/>
      <c r="F15" s="66"/>
      <c r="G15" s="16"/>
      <c r="H15" s="16"/>
      <c r="I15" s="16"/>
      <c r="J15" s="59"/>
      <c r="K15" s="70" t="str">
        <f>IF(SamplingFeatures[[#This Row],[Sampling Feature Type]]="Site",MAX(K$10:K14)+1,"")</f>
        <v/>
      </c>
      <c r="L15" s="22"/>
      <c r="M15" s="13"/>
      <c r="N15" s="50"/>
      <c r="O15" s="65"/>
      <c r="P15" s="70" t="str">
        <f>IF(SamplingFeatures[[#This Row],[Sampling Feature Type]]="Specimen",MAX(P$10:P14)+1,"")</f>
        <v/>
      </c>
      <c r="Q15" s="12"/>
      <c r="R15" s="13"/>
      <c r="S15" s="50"/>
    </row>
    <row r="16" spans="1:19" x14ac:dyDescent="0.25">
      <c r="A16" s="12"/>
      <c r="B16" s="23"/>
      <c r="C16" s="13"/>
      <c r="D16" s="13"/>
      <c r="E16" s="14"/>
      <c r="F16" s="66"/>
      <c r="G16" s="16"/>
      <c r="H16" s="16"/>
      <c r="I16" s="16"/>
      <c r="J16" s="59"/>
      <c r="K16" s="70" t="str">
        <f>IF(SamplingFeatures[[#This Row],[Sampling Feature Type]]="Site",MAX(K$10:K15)+1,"")</f>
        <v/>
      </c>
      <c r="L16" s="22"/>
      <c r="M16" s="13"/>
      <c r="N16" s="50"/>
      <c r="O16" s="65"/>
      <c r="P16" s="70" t="str">
        <f>IF(SamplingFeatures[[#This Row],[Sampling Feature Type]]="Specimen",MAX(P$10:P15)+1,"")</f>
        <v/>
      </c>
      <c r="Q16" s="12"/>
      <c r="R16" s="13"/>
      <c r="S16" s="50"/>
    </row>
    <row r="17" spans="1:19" ht="15" customHeight="1" x14ac:dyDescent="0.25">
      <c r="A17" s="12"/>
      <c r="B17" s="23"/>
      <c r="C17" s="13"/>
      <c r="D17" s="13"/>
      <c r="E17" s="14"/>
      <c r="F17" s="66"/>
      <c r="G17" s="16"/>
      <c r="H17" s="16"/>
      <c r="I17" s="16"/>
      <c r="J17" s="59"/>
      <c r="K17" s="70" t="str">
        <f>IF(SamplingFeatures[[#This Row],[Sampling Feature Type]]="Site",MAX(K$10:K16)+1,"")</f>
        <v/>
      </c>
      <c r="L17" s="22"/>
      <c r="M17" s="13"/>
      <c r="N17" s="50"/>
      <c r="O17" s="65"/>
      <c r="P17" s="70" t="str">
        <f>IF(SamplingFeatures[[#This Row],[Sampling Feature Type]]="Specimen",MAX(P$10:P16)+1,"")</f>
        <v/>
      </c>
      <c r="Q17" s="12"/>
      <c r="R17" s="13"/>
      <c r="S17" s="50"/>
    </row>
    <row r="18" spans="1:19" x14ac:dyDescent="0.25">
      <c r="A18" s="12"/>
      <c r="B18" s="23"/>
      <c r="C18" s="13"/>
      <c r="D18" s="13"/>
      <c r="E18" s="14"/>
      <c r="F18" s="66"/>
      <c r="G18" s="16"/>
      <c r="H18" s="16"/>
      <c r="I18" s="16"/>
      <c r="J18" s="59"/>
      <c r="K18" s="70" t="str">
        <f>IF(SamplingFeatures[[#This Row],[Sampling Feature Type]]="Site",MAX(K$10:K17)+1,"")</f>
        <v/>
      </c>
      <c r="L18" s="22"/>
      <c r="M18" s="13"/>
      <c r="N18" s="50"/>
      <c r="O18" s="65"/>
      <c r="P18" s="70" t="str">
        <f>IF(SamplingFeatures[[#This Row],[Sampling Feature Type]]="Specimen",MAX(P$10:P17)+1,"")</f>
        <v/>
      </c>
      <c r="Q18" s="12"/>
      <c r="R18" s="13"/>
      <c r="S18" s="50"/>
    </row>
    <row r="19" spans="1:19" x14ac:dyDescent="0.25">
      <c r="A19" s="12"/>
      <c r="B19" s="23"/>
      <c r="C19" s="13"/>
      <c r="D19" s="13"/>
      <c r="E19" s="14"/>
      <c r="F19" s="66"/>
      <c r="G19" s="16"/>
      <c r="H19" s="16"/>
      <c r="I19" s="16"/>
      <c r="J19" s="59"/>
      <c r="K19" s="70" t="str">
        <f>IF(SamplingFeatures[[#This Row],[Sampling Feature Type]]="Site",MAX(K$10:K18)+1,"")</f>
        <v/>
      </c>
      <c r="L19" s="22"/>
      <c r="M19" s="13"/>
      <c r="N19" s="50"/>
      <c r="O19" s="65"/>
      <c r="P19" s="70" t="str">
        <f>IF(SamplingFeatures[[#This Row],[Sampling Feature Type]]="Specimen",MAX(P$10:P18)+1,"")</f>
        <v/>
      </c>
      <c r="Q19" s="12"/>
      <c r="R19" s="13"/>
      <c r="S19" s="50"/>
    </row>
    <row r="20" spans="1:19" x14ac:dyDescent="0.25">
      <c r="A20" s="12"/>
      <c r="B20" s="23"/>
      <c r="C20" s="13"/>
      <c r="D20" s="13"/>
      <c r="E20" s="14"/>
      <c r="F20" s="66"/>
      <c r="G20" s="16"/>
      <c r="H20" s="16"/>
      <c r="I20" s="16"/>
      <c r="J20" s="59"/>
      <c r="K20" s="70" t="str">
        <f>IF(SamplingFeatures[[#This Row],[Sampling Feature Type]]="Site",MAX(K$10:K19)+1,"")</f>
        <v/>
      </c>
      <c r="L20" s="22" t="str">
        <f>IF(SamplingFeatures[[#This Row],[Sampling Feature Type]]="Site","SELECT VALUE","")</f>
        <v/>
      </c>
      <c r="M20" s="13" t="str">
        <f>IF(SamplingFeatures[[#This Row],[Sampling Feature Type]]="Site","ENTER VALUE","")</f>
        <v/>
      </c>
      <c r="N20" s="50" t="str">
        <f>IF(SamplingFeatures[[#This Row],[Sampling Feature Type]]="Site","ENTER VALUE","")</f>
        <v/>
      </c>
      <c r="O20" s="65"/>
      <c r="P20" s="70" t="str">
        <f>IF(SamplingFeatures[[#This Row],[Sampling Feature Type]]="Specimen",MAX(P$10:P19)+1,"")</f>
        <v/>
      </c>
      <c r="Q20" s="12"/>
      <c r="R20" s="13"/>
      <c r="S20" s="50"/>
    </row>
    <row r="21" spans="1:19" x14ac:dyDescent="0.25">
      <c r="A21" s="12"/>
      <c r="B21" s="23"/>
      <c r="C21" s="13"/>
      <c r="D21" s="13"/>
      <c r="E21" s="14"/>
      <c r="F21" s="66"/>
      <c r="G21" s="16"/>
      <c r="H21" s="16"/>
      <c r="I21" s="16"/>
      <c r="J21" s="59"/>
      <c r="K21" s="70" t="str">
        <f>IF(SamplingFeatures[[#This Row],[Sampling Feature Type]]="Site",MAX(K$10:K20)+1,"")</f>
        <v/>
      </c>
      <c r="L21" s="22" t="str">
        <f>IF(SamplingFeatures[[#This Row],[Sampling Feature Type]]="Site","SELECT VALUE","")</f>
        <v/>
      </c>
      <c r="M21" s="13" t="str">
        <f>IF(SamplingFeatures[[#This Row],[Sampling Feature Type]]="Site","ENTER VALUE","")</f>
        <v/>
      </c>
      <c r="N21" s="50" t="str">
        <f>IF(SamplingFeatures[[#This Row],[Sampling Feature Type]]="Site","ENTER VALUE","")</f>
        <v/>
      </c>
      <c r="O21" s="65"/>
      <c r="P21" s="70" t="str">
        <f>IF(SamplingFeatures[[#This Row],[Sampling Feature Type]]="Specimen",MAX(P$10:P20)+1,"")</f>
        <v/>
      </c>
      <c r="Q21" s="12" t="str">
        <f>IF(SamplingFeatures[[#This Row],[Sampling Feature Type]]="Specimen","SELECT VALUE","")</f>
        <v/>
      </c>
      <c r="R21" s="13" t="str">
        <f>IF(SamplingFeatures[[#This Row],[Sampling Feature Type]]="Specimen","SELECT VALUE","")</f>
        <v/>
      </c>
      <c r="S21" s="50" t="str">
        <f>IF(SamplingFeatures[[#This Row],[Sampling Feature Type]]="Specimen","SELECT VALUE","")</f>
        <v/>
      </c>
    </row>
    <row r="22" spans="1:19" x14ac:dyDescent="0.25">
      <c r="A22" s="12"/>
      <c r="B22" s="13"/>
      <c r="C22" s="13"/>
      <c r="D22" s="13"/>
      <c r="E22" s="14"/>
      <c r="F22" s="66"/>
      <c r="G22" s="16"/>
      <c r="H22" s="16"/>
      <c r="I22" s="16"/>
      <c r="J22" s="59"/>
      <c r="K22" s="70" t="str">
        <f>IF(SamplingFeatures[[#This Row],[Sampling Feature Type]]="Site",MAX(K$10:K21)+1,"")</f>
        <v/>
      </c>
      <c r="L22" s="22" t="str">
        <f>IF(SamplingFeatures[[#This Row],[Sampling Feature Type]]="Site","SELECT VALUE","")</f>
        <v/>
      </c>
      <c r="M22" s="13" t="str">
        <f>IF(SamplingFeatures[[#This Row],[Sampling Feature Type]]="Site","ENTER VALUE","")</f>
        <v/>
      </c>
      <c r="N22" s="50" t="str">
        <f>IF(SamplingFeatures[[#This Row],[Sampling Feature Type]]="Site","ENTER VALUE","")</f>
        <v/>
      </c>
      <c r="O22" s="65"/>
      <c r="P22" s="70" t="str">
        <f>IF(SamplingFeatures[[#This Row],[Sampling Feature Type]]="Specimen",MAX(P$10:P21)+1,"")</f>
        <v/>
      </c>
      <c r="Q22" s="12" t="str">
        <f>IF(SamplingFeatures[[#This Row],[Sampling Feature Type]]="Specimen","SELECT VALUE","")</f>
        <v/>
      </c>
      <c r="R22" s="13" t="str">
        <f>IF(SamplingFeatures[[#This Row],[Sampling Feature Type]]="Specimen","SELECT VALUE","")</f>
        <v/>
      </c>
      <c r="S22" s="50" t="str">
        <f>IF(SamplingFeatures[[#This Row],[Sampling Feature Type]]="Specimen","SELECT VALUE","")</f>
        <v/>
      </c>
    </row>
    <row r="23" spans="1:19" x14ac:dyDescent="0.25">
      <c r="A23" s="12"/>
      <c r="B23" s="13"/>
      <c r="C23" s="13"/>
      <c r="D23" s="13"/>
      <c r="E23" s="14"/>
      <c r="F23" s="66"/>
      <c r="G23" s="16"/>
      <c r="H23" s="16"/>
      <c r="I23" s="16"/>
      <c r="J23" s="59"/>
      <c r="K23" s="70" t="str">
        <f>IF(SamplingFeatures[[#This Row],[Sampling Feature Type]]="Site",MAX(K$10:K22)+1,"")</f>
        <v/>
      </c>
      <c r="L23" s="22" t="str">
        <f>IF(SamplingFeatures[[#This Row],[Sampling Feature Type]]="Site","SELECT VALUE","")</f>
        <v/>
      </c>
      <c r="M23" s="13" t="str">
        <f>IF(SamplingFeatures[[#This Row],[Sampling Feature Type]]="Site","ENTER VALUE","")</f>
        <v/>
      </c>
      <c r="N23" s="50" t="str">
        <f>IF(SamplingFeatures[[#This Row],[Sampling Feature Type]]="Site","ENTER VALUE","")</f>
        <v/>
      </c>
      <c r="O23" s="65"/>
      <c r="P23" s="70" t="str">
        <f>IF(SamplingFeatures[[#This Row],[Sampling Feature Type]]="Specimen",MAX(P$10:P22)+1,"")</f>
        <v/>
      </c>
      <c r="Q23" s="12" t="str">
        <f>IF(SamplingFeatures[[#This Row],[Sampling Feature Type]]="Specimen","SELECT VALUE","")</f>
        <v/>
      </c>
      <c r="R23" s="13" t="str">
        <f>IF(SamplingFeatures[[#This Row],[Sampling Feature Type]]="Specimen","SELECT VALUE","")</f>
        <v/>
      </c>
      <c r="S23" s="50" t="str">
        <f>IF(SamplingFeatures[[#This Row],[Sampling Feature Type]]="Specimen","SELECT VALUE","")</f>
        <v/>
      </c>
    </row>
    <row r="24" spans="1:19" x14ac:dyDescent="0.25">
      <c r="A24" s="12"/>
      <c r="B24" s="13"/>
      <c r="C24" s="13"/>
      <c r="D24" s="13"/>
      <c r="E24" s="14"/>
      <c r="F24" s="66"/>
      <c r="G24" s="16"/>
      <c r="H24" s="16"/>
      <c r="I24" s="16"/>
      <c r="J24" s="59"/>
      <c r="K24" s="70" t="str">
        <f>IF(SamplingFeatures[[#This Row],[Sampling Feature Type]]="Site",MAX(K$10:K23)+1,"")</f>
        <v/>
      </c>
      <c r="L24" s="22" t="str">
        <f>IF(SamplingFeatures[[#This Row],[Sampling Feature Type]]="Site","SELECT VALUE","")</f>
        <v/>
      </c>
      <c r="M24" s="13" t="str">
        <f>IF(SamplingFeatures[[#This Row],[Sampling Feature Type]]="Site","ENTER VALUE","")</f>
        <v/>
      </c>
      <c r="N24" s="50" t="str">
        <f>IF(SamplingFeatures[[#This Row],[Sampling Feature Type]]="Site","ENTER VALUE","")</f>
        <v/>
      </c>
      <c r="O24" s="65"/>
      <c r="P24" s="70" t="str">
        <f>IF(SamplingFeatures[[#This Row],[Sampling Feature Type]]="Specimen",MAX(P$10:P23)+1,"")</f>
        <v/>
      </c>
      <c r="Q24" s="12" t="str">
        <f>IF(SamplingFeatures[[#This Row],[Sampling Feature Type]]="Specimen","SELECT VALUE","")</f>
        <v/>
      </c>
      <c r="R24" s="13" t="str">
        <f>IF(SamplingFeatures[[#This Row],[Sampling Feature Type]]="Specimen","SELECT VALUE","")</f>
        <v/>
      </c>
      <c r="S24" s="50" t="str">
        <f>IF(SamplingFeatures[[#This Row],[Sampling Feature Type]]="Specimen","SELECT VALUE","")</f>
        <v/>
      </c>
    </row>
    <row r="25" spans="1:19" x14ac:dyDescent="0.25">
      <c r="A25" s="12"/>
      <c r="B25" s="13"/>
      <c r="C25" s="13"/>
      <c r="D25" s="13"/>
      <c r="E25" s="14"/>
      <c r="F25" s="66"/>
      <c r="G25" s="16"/>
      <c r="H25" s="16"/>
      <c r="I25" s="16"/>
      <c r="J25" s="59"/>
      <c r="K25" s="70" t="str">
        <f>IF(SamplingFeatures[[#This Row],[Sampling Feature Type]]="Site",MAX(K$10:K24)+1,"")</f>
        <v/>
      </c>
      <c r="L25" s="22" t="str">
        <f>IF(SamplingFeatures[[#This Row],[Sampling Feature Type]]="Site","SELECT VALUE","")</f>
        <v/>
      </c>
      <c r="M25" s="13" t="str">
        <f>IF(SamplingFeatures[[#This Row],[Sampling Feature Type]]="Site","ENTER VALUE","")</f>
        <v/>
      </c>
      <c r="N25" s="50" t="str">
        <f>IF(SamplingFeatures[[#This Row],[Sampling Feature Type]]="Site","ENTER VALUE","")</f>
        <v/>
      </c>
      <c r="O25" s="65"/>
      <c r="P25" s="70" t="str">
        <f>IF(SamplingFeatures[[#This Row],[Sampling Feature Type]]="Specimen",MAX(P$10:P24)+1,"")</f>
        <v/>
      </c>
      <c r="Q25" s="12" t="str">
        <f>IF(SamplingFeatures[[#This Row],[Sampling Feature Type]]="Specimen","SELECT VALUE","")</f>
        <v/>
      </c>
      <c r="R25" s="13" t="str">
        <f>IF(SamplingFeatures[[#This Row],[Sampling Feature Type]]="Specimen","SELECT VALUE","")</f>
        <v/>
      </c>
      <c r="S25" s="50" t="str">
        <f>IF(SamplingFeatures[[#This Row],[Sampling Feature Type]]="Specimen","SELECT VALUE","")</f>
        <v/>
      </c>
    </row>
    <row r="26" spans="1:19" x14ac:dyDescent="0.25">
      <c r="A26" s="12"/>
      <c r="B26" s="13"/>
      <c r="C26" s="13"/>
      <c r="D26" s="13"/>
      <c r="E26" s="14"/>
      <c r="F26" s="66"/>
      <c r="G26" s="16"/>
      <c r="H26" s="16"/>
      <c r="I26" s="16"/>
      <c r="J26" s="59"/>
      <c r="K26" s="70" t="str">
        <f>IF(SamplingFeatures[[#This Row],[Sampling Feature Type]]="Site",MAX(K$10:K25)+1,"")</f>
        <v/>
      </c>
      <c r="L26" s="22" t="str">
        <f>IF(SamplingFeatures[[#This Row],[Sampling Feature Type]]="Site","SELECT VALUE","")</f>
        <v/>
      </c>
      <c r="M26" s="13" t="str">
        <f>IF(SamplingFeatures[[#This Row],[Sampling Feature Type]]="Site","ENTER VALUE","")</f>
        <v/>
      </c>
      <c r="N26" s="50" t="str">
        <f>IF(SamplingFeatures[[#This Row],[Sampling Feature Type]]="Site","ENTER VALUE","")</f>
        <v/>
      </c>
      <c r="O26" s="65"/>
      <c r="P26" s="70" t="str">
        <f>IF(SamplingFeatures[[#This Row],[Sampling Feature Type]]="Specimen",MAX(P$10:P25)+1,"")</f>
        <v/>
      </c>
      <c r="Q26" s="12" t="str">
        <f>IF(SamplingFeatures[[#This Row],[Sampling Feature Type]]="Specimen","SELECT VALUE","")</f>
        <v/>
      </c>
      <c r="R26" s="13" t="str">
        <f>IF(SamplingFeatures[[#This Row],[Sampling Feature Type]]="Specimen","SELECT VALUE","")</f>
        <v/>
      </c>
      <c r="S26" s="50" t="str">
        <f>IF(SamplingFeatures[[#This Row],[Sampling Feature Type]]="Specimen","SELECT VALUE","")</f>
        <v/>
      </c>
    </row>
    <row r="27" spans="1:19" x14ac:dyDescent="0.25">
      <c r="A27" s="12"/>
      <c r="B27" s="13"/>
      <c r="C27" s="13"/>
      <c r="D27" s="13"/>
      <c r="E27" s="14"/>
      <c r="F27" s="66"/>
      <c r="G27" s="16"/>
      <c r="H27" s="16"/>
      <c r="I27" s="16"/>
      <c r="J27" s="59"/>
      <c r="K27" s="70" t="str">
        <f>IF(SamplingFeatures[[#This Row],[Sampling Feature Type]]="Site",MAX(K$10:K26)+1,"")</f>
        <v/>
      </c>
      <c r="L27" s="22" t="str">
        <f>IF(SamplingFeatures[[#This Row],[Sampling Feature Type]]="Site","SELECT VALUE","")</f>
        <v/>
      </c>
      <c r="M27" s="13" t="str">
        <f>IF(SamplingFeatures[[#This Row],[Sampling Feature Type]]="Site","ENTER VALUE","")</f>
        <v/>
      </c>
      <c r="N27" s="50" t="str">
        <f>IF(SamplingFeatures[[#This Row],[Sampling Feature Type]]="Site","ENTER VALUE","")</f>
        <v/>
      </c>
      <c r="O27" s="65"/>
      <c r="P27" s="70" t="str">
        <f>IF(SamplingFeatures[[#This Row],[Sampling Feature Type]]="Specimen",MAX(P$10:P26)+1,"")</f>
        <v/>
      </c>
      <c r="Q27" s="12" t="str">
        <f>IF(SamplingFeatures[[#This Row],[Sampling Feature Type]]="Specimen","SELECT VALUE","")</f>
        <v/>
      </c>
      <c r="R27" s="13" t="str">
        <f>IF(SamplingFeatures[[#This Row],[Sampling Feature Type]]="Specimen","SELECT VALUE","")</f>
        <v/>
      </c>
      <c r="S27" s="50" t="str">
        <f>IF(SamplingFeatures[[#This Row],[Sampling Feature Type]]="Specimen","SELECT VALUE","")</f>
        <v/>
      </c>
    </row>
    <row r="28" spans="1:19" x14ac:dyDescent="0.25">
      <c r="A28" s="12"/>
      <c r="B28" s="13"/>
      <c r="C28" s="13"/>
      <c r="D28" s="13"/>
      <c r="E28" s="14"/>
      <c r="F28" s="66"/>
      <c r="G28" s="16"/>
      <c r="H28" s="16"/>
      <c r="I28" s="16"/>
      <c r="J28" s="59"/>
      <c r="K28" s="70" t="str">
        <f>IF(SamplingFeatures[[#This Row],[Sampling Feature Type]]="Site",MAX(K$10:K27)+1,"")</f>
        <v/>
      </c>
      <c r="L28" s="22" t="str">
        <f>IF(SamplingFeatures[[#This Row],[Sampling Feature Type]]="Site","SELECT VALUE","")</f>
        <v/>
      </c>
      <c r="M28" s="13" t="str">
        <f>IF(SamplingFeatures[[#This Row],[Sampling Feature Type]]="Site","ENTER VALUE","")</f>
        <v/>
      </c>
      <c r="N28" s="50" t="str">
        <f>IF(SamplingFeatures[[#This Row],[Sampling Feature Type]]="Site","ENTER VALUE","")</f>
        <v/>
      </c>
      <c r="O28" s="65"/>
      <c r="P28" s="70" t="str">
        <f>IF(SamplingFeatures[[#This Row],[Sampling Feature Type]]="Specimen",MAX(P$10:P27)+1,"")</f>
        <v/>
      </c>
      <c r="Q28" s="12" t="str">
        <f>IF(SamplingFeatures[[#This Row],[Sampling Feature Type]]="Specimen","SELECT VALUE","")</f>
        <v/>
      </c>
      <c r="R28" s="13" t="str">
        <f>IF(SamplingFeatures[[#This Row],[Sampling Feature Type]]="Specimen","SELECT VALUE","")</f>
        <v/>
      </c>
      <c r="S28" s="50" t="str">
        <f>IF(SamplingFeatures[[#This Row],[Sampling Feature Type]]="Specimen","SELECT VALUE","")</f>
        <v/>
      </c>
    </row>
    <row r="29" spans="1:19" x14ac:dyDescent="0.25">
      <c r="A29" s="12"/>
      <c r="B29" s="13"/>
      <c r="C29" s="13"/>
      <c r="D29" s="13"/>
      <c r="E29" s="14"/>
      <c r="F29" s="66"/>
      <c r="G29" s="16"/>
      <c r="H29" s="16"/>
      <c r="I29" s="16"/>
      <c r="J29" s="59"/>
      <c r="K29" s="70" t="str">
        <f>IF(SamplingFeatures[[#This Row],[Sampling Feature Type]]="Site",MAX(K$10:K28)+1,"")</f>
        <v/>
      </c>
      <c r="L29" s="22" t="str">
        <f>IF(SamplingFeatures[[#This Row],[Sampling Feature Type]]="Site","SELECT VALUE","")</f>
        <v/>
      </c>
      <c r="M29" s="13" t="str">
        <f>IF(SamplingFeatures[[#This Row],[Sampling Feature Type]]="Site","ENTER VALUE","")</f>
        <v/>
      </c>
      <c r="N29" s="50" t="str">
        <f>IF(SamplingFeatures[[#This Row],[Sampling Feature Type]]="Site","ENTER VALUE","")</f>
        <v/>
      </c>
      <c r="O29" s="65"/>
      <c r="P29" s="70" t="str">
        <f>IF(SamplingFeatures[[#This Row],[Sampling Feature Type]]="Specimen",MAX(P$10:P28)+1,"")</f>
        <v/>
      </c>
      <c r="Q29" s="12" t="str">
        <f>IF(SamplingFeatures[[#This Row],[Sampling Feature Type]]="Specimen","SELECT VALUE","")</f>
        <v/>
      </c>
      <c r="R29" s="13" t="str">
        <f>IF(SamplingFeatures[[#This Row],[Sampling Feature Type]]="Specimen","SELECT VALUE","")</f>
        <v/>
      </c>
      <c r="S29" s="50" t="str">
        <f>IF(SamplingFeatures[[#This Row],[Sampling Feature Type]]="Specimen","SELECT VALUE","")</f>
        <v/>
      </c>
    </row>
    <row r="30" spans="1:19" x14ac:dyDescent="0.25">
      <c r="A30" s="12"/>
      <c r="B30" s="13"/>
      <c r="C30" s="13"/>
      <c r="D30" s="13"/>
      <c r="E30" s="14"/>
      <c r="F30" s="66"/>
      <c r="G30" s="16"/>
      <c r="H30" s="16"/>
      <c r="I30" s="16"/>
      <c r="J30" s="59"/>
      <c r="K30" s="70" t="str">
        <f>IF(SamplingFeatures[[#This Row],[Sampling Feature Type]]="Site",MAX(K$10:K29)+1,"")</f>
        <v/>
      </c>
      <c r="L30" s="22" t="str">
        <f>IF(SamplingFeatures[[#This Row],[Sampling Feature Type]]="Site","SELECT VALUE","")</f>
        <v/>
      </c>
      <c r="M30" s="13" t="str">
        <f>IF(SamplingFeatures[[#This Row],[Sampling Feature Type]]="Site","ENTER VALUE","")</f>
        <v/>
      </c>
      <c r="N30" s="50" t="str">
        <f>IF(SamplingFeatures[[#This Row],[Sampling Feature Type]]="Site","ENTER VALUE","")</f>
        <v/>
      </c>
      <c r="O30" s="65"/>
      <c r="P30" s="70" t="str">
        <f>IF(SamplingFeatures[[#This Row],[Sampling Feature Type]]="Specimen",MAX(P$10:P29)+1,"")</f>
        <v/>
      </c>
      <c r="Q30" s="12" t="str">
        <f>IF(SamplingFeatures[[#This Row],[Sampling Feature Type]]="Specimen","SELECT VALUE","")</f>
        <v/>
      </c>
      <c r="R30" s="13" t="str">
        <f>IF(SamplingFeatures[[#This Row],[Sampling Feature Type]]="Specimen","SELECT VALUE","")</f>
        <v/>
      </c>
      <c r="S30" s="50" t="str">
        <f>IF(SamplingFeatures[[#This Row],[Sampling Feature Type]]="Specimen","SELECT VALUE","")</f>
        <v/>
      </c>
    </row>
    <row r="31" spans="1:19" x14ac:dyDescent="0.25">
      <c r="A31" s="12"/>
      <c r="B31" s="13"/>
      <c r="C31" s="13"/>
      <c r="D31" s="13"/>
      <c r="E31" s="14"/>
      <c r="F31" s="66"/>
      <c r="G31" s="16"/>
      <c r="H31" s="16"/>
      <c r="I31" s="16"/>
      <c r="J31" s="59"/>
      <c r="K31" s="70" t="str">
        <f>IF(SamplingFeatures[[#This Row],[Sampling Feature Type]]="Site",MAX(K$10:K30)+1,"")</f>
        <v/>
      </c>
      <c r="L31" s="22" t="str">
        <f>IF(SamplingFeatures[[#This Row],[Sampling Feature Type]]="Site","SELECT VALUE","")</f>
        <v/>
      </c>
      <c r="M31" s="13" t="str">
        <f>IF(SamplingFeatures[[#This Row],[Sampling Feature Type]]="Site","ENTER VALUE","")</f>
        <v/>
      </c>
      <c r="N31" s="50" t="str">
        <f>IF(SamplingFeatures[[#This Row],[Sampling Feature Type]]="Site","ENTER VALUE","")</f>
        <v/>
      </c>
      <c r="O31" s="65"/>
      <c r="P31" s="70" t="str">
        <f>IF(SamplingFeatures[[#This Row],[Sampling Feature Type]]="Specimen",MAX(P$10:P30)+1,"")</f>
        <v/>
      </c>
      <c r="Q31" s="12" t="str">
        <f>IF(SamplingFeatures[[#This Row],[Sampling Feature Type]]="Specimen","SELECT VALUE","")</f>
        <v/>
      </c>
      <c r="R31" s="13" t="str">
        <f>IF(SamplingFeatures[[#This Row],[Sampling Feature Type]]="Specimen","SELECT VALUE","")</f>
        <v/>
      </c>
      <c r="S31" s="50" t="str">
        <f>IF(SamplingFeatures[[#This Row],[Sampling Feature Type]]="Specimen","SELECT VALUE","")</f>
        <v/>
      </c>
    </row>
    <row r="32" spans="1:19" x14ac:dyDescent="0.25">
      <c r="A32" s="12"/>
      <c r="B32" s="13"/>
      <c r="C32" s="13"/>
      <c r="D32" s="13"/>
      <c r="E32" s="14"/>
      <c r="F32" s="66"/>
      <c r="G32" s="16"/>
      <c r="H32" s="16"/>
      <c r="I32" s="16"/>
      <c r="J32" s="59"/>
      <c r="K32" s="70" t="str">
        <f>IF(SamplingFeatures[[#This Row],[Sampling Feature Type]]="Site",MAX(K$10:K31)+1,"")</f>
        <v/>
      </c>
      <c r="L32" s="22" t="str">
        <f>IF(SamplingFeatures[[#This Row],[Sampling Feature Type]]="Site","SELECT VALUE","")</f>
        <v/>
      </c>
      <c r="M32" s="13" t="str">
        <f>IF(SamplingFeatures[[#This Row],[Sampling Feature Type]]="Site","ENTER VALUE","")</f>
        <v/>
      </c>
      <c r="N32" s="50" t="str">
        <f>IF(SamplingFeatures[[#This Row],[Sampling Feature Type]]="Site","ENTER VALUE","")</f>
        <v/>
      </c>
      <c r="O32" s="65"/>
      <c r="P32" s="70" t="str">
        <f>IF(SamplingFeatures[[#This Row],[Sampling Feature Type]]="Specimen",MAX(P$10:P31)+1,"")</f>
        <v/>
      </c>
      <c r="Q32" s="12" t="str">
        <f>IF(SamplingFeatures[[#This Row],[Sampling Feature Type]]="Specimen","SELECT VALUE","")</f>
        <v/>
      </c>
      <c r="R32" s="13" t="str">
        <f>IF(SamplingFeatures[[#This Row],[Sampling Feature Type]]="Specimen","SELECT VALUE","")</f>
        <v/>
      </c>
      <c r="S32" s="50" t="str">
        <f>IF(SamplingFeatures[[#This Row],[Sampling Feature Type]]="Specimen","SELECT VALUE","")</f>
        <v/>
      </c>
    </row>
    <row r="33" spans="1:19" x14ac:dyDescent="0.25">
      <c r="A33" s="12"/>
      <c r="B33" s="13"/>
      <c r="C33" s="13"/>
      <c r="D33" s="13"/>
      <c r="E33" s="14"/>
      <c r="F33" s="66"/>
      <c r="G33" s="16"/>
      <c r="H33" s="16"/>
      <c r="I33" s="16"/>
      <c r="J33" s="59"/>
      <c r="K33" s="70" t="str">
        <f>IF(SamplingFeatures[[#This Row],[Sampling Feature Type]]="Site",MAX(K$10:K32)+1,"")</f>
        <v/>
      </c>
      <c r="L33" s="22" t="str">
        <f>IF(SamplingFeatures[[#This Row],[Sampling Feature Type]]="Site","SELECT VALUE","")</f>
        <v/>
      </c>
      <c r="M33" s="13" t="str">
        <f>IF(SamplingFeatures[[#This Row],[Sampling Feature Type]]="Site","ENTER VALUE","")</f>
        <v/>
      </c>
      <c r="N33" s="50" t="str">
        <f>IF(SamplingFeatures[[#This Row],[Sampling Feature Type]]="Site","ENTER VALUE","")</f>
        <v/>
      </c>
      <c r="O33" s="65"/>
      <c r="P33" s="70" t="str">
        <f>IF(SamplingFeatures[[#This Row],[Sampling Feature Type]]="Specimen",MAX(P$10:P32)+1,"")</f>
        <v/>
      </c>
      <c r="Q33" s="12" t="str">
        <f>IF(SamplingFeatures[[#This Row],[Sampling Feature Type]]="Specimen","SELECT VALUE","")</f>
        <v/>
      </c>
      <c r="R33" s="13" t="str">
        <f>IF(SamplingFeatures[[#This Row],[Sampling Feature Type]]="Specimen","SELECT VALUE","")</f>
        <v/>
      </c>
      <c r="S33" s="50" t="str">
        <f>IF(SamplingFeatures[[#This Row],[Sampling Feature Type]]="Specimen","SELECT VALUE","")</f>
        <v/>
      </c>
    </row>
    <row r="34" spans="1:19" x14ac:dyDescent="0.25">
      <c r="A34" s="12"/>
      <c r="B34" s="13"/>
      <c r="C34" s="13"/>
      <c r="D34" s="13"/>
      <c r="E34" s="14"/>
      <c r="F34" s="66"/>
      <c r="G34" s="16"/>
      <c r="H34" s="16"/>
      <c r="I34" s="16"/>
      <c r="J34" s="59"/>
      <c r="K34" s="70" t="str">
        <f>IF(SamplingFeatures[[#This Row],[Sampling Feature Type]]="Site",MAX(K$10:K33)+1,"")</f>
        <v/>
      </c>
      <c r="L34" s="22" t="str">
        <f>IF(SamplingFeatures[[#This Row],[Sampling Feature Type]]="Site","SELECT VALUE","")</f>
        <v/>
      </c>
      <c r="M34" s="13" t="str">
        <f>IF(SamplingFeatures[[#This Row],[Sampling Feature Type]]="Site","ENTER VALUE","")</f>
        <v/>
      </c>
      <c r="N34" s="50" t="str">
        <f>IF(SamplingFeatures[[#This Row],[Sampling Feature Type]]="Site","ENTER VALUE","")</f>
        <v/>
      </c>
      <c r="O34" s="65"/>
      <c r="P34" s="70" t="str">
        <f>IF(SamplingFeatures[[#This Row],[Sampling Feature Type]]="Specimen",MAX(P$10:P33)+1,"")</f>
        <v/>
      </c>
      <c r="Q34" s="12" t="str">
        <f>IF(SamplingFeatures[[#This Row],[Sampling Feature Type]]="Specimen","SELECT VALUE","")</f>
        <v/>
      </c>
      <c r="R34" s="13" t="str">
        <f>IF(SamplingFeatures[[#This Row],[Sampling Feature Type]]="Specimen","SELECT VALUE","")</f>
        <v/>
      </c>
      <c r="S34" s="50" t="str">
        <f>IF(SamplingFeatures[[#This Row],[Sampling Feature Type]]="Specimen","SELECT VALUE","")</f>
        <v/>
      </c>
    </row>
    <row r="35" spans="1:19" x14ac:dyDescent="0.25">
      <c r="A35" s="12"/>
      <c r="B35" s="13"/>
      <c r="C35" s="13"/>
      <c r="D35" s="13"/>
      <c r="E35" s="14"/>
      <c r="F35" s="66"/>
      <c r="G35" s="16"/>
      <c r="H35" s="16"/>
      <c r="I35" s="16"/>
      <c r="J35" s="59"/>
      <c r="K35" s="70" t="str">
        <f>IF(SamplingFeatures[[#This Row],[Sampling Feature Type]]="Site",MAX(K$10:K34)+1,"")</f>
        <v/>
      </c>
      <c r="L35" s="22" t="str">
        <f>IF(SamplingFeatures[[#This Row],[Sampling Feature Type]]="Site","SELECT VALUE","")</f>
        <v/>
      </c>
      <c r="M35" s="13" t="str">
        <f>IF(SamplingFeatures[[#This Row],[Sampling Feature Type]]="Site","ENTER VALUE","")</f>
        <v/>
      </c>
      <c r="N35" s="50" t="str">
        <f>IF(SamplingFeatures[[#This Row],[Sampling Feature Type]]="Site","ENTER VALUE","")</f>
        <v/>
      </c>
      <c r="O35" s="65"/>
      <c r="P35" s="70" t="str">
        <f>IF(SamplingFeatures[[#This Row],[Sampling Feature Type]]="Specimen",MAX(P$10:P34)+1,"")</f>
        <v/>
      </c>
      <c r="Q35" s="12" t="str">
        <f>IF(SamplingFeatures[[#This Row],[Sampling Feature Type]]="Specimen","SELECT VALUE","")</f>
        <v/>
      </c>
      <c r="R35" s="13" t="str">
        <f>IF(SamplingFeatures[[#This Row],[Sampling Feature Type]]="Specimen","SELECT VALUE","")</f>
        <v/>
      </c>
      <c r="S35" s="50" t="str">
        <f>IF(SamplingFeatures[[#This Row],[Sampling Feature Type]]="Specimen","SELECT VALUE","")</f>
        <v/>
      </c>
    </row>
    <row r="36" spans="1:19" x14ac:dyDescent="0.25">
      <c r="A36" s="12"/>
      <c r="B36" s="13"/>
      <c r="C36" s="13"/>
      <c r="D36" s="13"/>
      <c r="E36" s="14"/>
      <c r="F36" s="66"/>
      <c r="G36" s="16"/>
      <c r="H36" s="16"/>
      <c r="I36" s="16"/>
      <c r="J36" s="59"/>
      <c r="K36" s="70" t="str">
        <f>IF(SamplingFeatures[[#This Row],[Sampling Feature Type]]="Site",MAX(K$10:K35)+1,"")</f>
        <v/>
      </c>
      <c r="L36" s="22" t="str">
        <f>IF(SamplingFeatures[[#This Row],[Sampling Feature Type]]="Site","SELECT VALUE","")</f>
        <v/>
      </c>
      <c r="M36" s="13" t="str">
        <f>IF(SamplingFeatures[[#This Row],[Sampling Feature Type]]="Site","ENTER VALUE","")</f>
        <v/>
      </c>
      <c r="N36" s="50" t="str">
        <f>IF(SamplingFeatures[[#This Row],[Sampling Feature Type]]="Site","ENTER VALUE","")</f>
        <v/>
      </c>
      <c r="O36" s="65"/>
      <c r="P36" s="70" t="str">
        <f>IF(SamplingFeatures[[#This Row],[Sampling Feature Type]]="Specimen",MAX(P$10:P35)+1,"")</f>
        <v/>
      </c>
      <c r="Q36" s="12" t="str">
        <f>IF(SamplingFeatures[[#This Row],[Sampling Feature Type]]="Specimen","SELECT VALUE","")</f>
        <v/>
      </c>
      <c r="R36" s="13" t="str">
        <f>IF(SamplingFeatures[[#This Row],[Sampling Feature Type]]="Specimen","SELECT VALUE","")</f>
        <v/>
      </c>
      <c r="S36" s="50" t="str">
        <f>IF(SamplingFeatures[[#This Row],[Sampling Feature Type]]="Specimen","SELECT VALUE","")</f>
        <v/>
      </c>
    </row>
    <row r="37" spans="1:19" x14ac:dyDescent="0.25">
      <c r="A37" s="12"/>
      <c r="B37" s="13"/>
      <c r="C37" s="13"/>
      <c r="D37" s="13"/>
      <c r="E37" s="14"/>
      <c r="F37" s="66"/>
      <c r="G37" s="16"/>
      <c r="H37" s="16"/>
      <c r="I37" s="16"/>
      <c r="J37" s="59"/>
      <c r="K37" s="70" t="str">
        <f>IF(SamplingFeatures[[#This Row],[Sampling Feature Type]]="Site",MAX(K$10:K36)+1,"")</f>
        <v/>
      </c>
      <c r="L37" s="22" t="str">
        <f>IF(SamplingFeatures[[#This Row],[Sampling Feature Type]]="Site","SELECT VALUE","")</f>
        <v/>
      </c>
      <c r="M37" s="13" t="str">
        <f>IF(SamplingFeatures[[#This Row],[Sampling Feature Type]]="Site","ENTER VALUE","")</f>
        <v/>
      </c>
      <c r="N37" s="50" t="str">
        <f>IF(SamplingFeatures[[#This Row],[Sampling Feature Type]]="Site","ENTER VALUE","")</f>
        <v/>
      </c>
      <c r="O37" s="65"/>
      <c r="P37" s="70" t="str">
        <f>IF(SamplingFeatures[[#This Row],[Sampling Feature Type]]="Specimen",MAX(P$10:P36)+1,"")</f>
        <v/>
      </c>
      <c r="Q37" s="12" t="str">
        <f>IF(SamplingFeatures[[#This Row],[Sampling Feature Type]]="Specimen","SELECT VALUE","")</f>
        <v/>
      </c>
      <c r="R37" s="13" t="str">
        <f>IF(SamplingFeatures[[#This Row],[Sampling Feature Type]]="Specimen","SELECT VALUE","")</f>
        <v/>
      </c>
      <c r="S37" s="50" t="str">
        <f>IF(SamplingFeatures[[#This Row],[Sampling Feature Type]]="Specimen","SELECT VALUE","")</f>
        <v/>
      </c>
    </row>
    <row r="38" spans="1:19" x14ac:dyDescent="0.25">
      <c r="A38" s="12"/>
      <c r="B38" s="13"/>
      <c r="C38" s="13"/>
      <c r="D38" s="13"/>
      <c r="E38" s="14"/>
      <c r="F38" s="66"/>
      <c r="G38" s="16"/>
      <c r="H38" s="16"/>
      <c r="I38" s="16"/>
      <c r="J38" s="59"/>
      <c r="K38" s="70" t="str">
        <f>IF(SamplingFeatures[[#This Row],[Sampling Feature Type]]="Site",MAX(K$10:K37)+1,"")</f>
        <v/>
      </c>
      <c r="L38" s="22" t="str">
        <f>IF(SamplingFeatures[[#This Row],[Sampling Feature Type]]="Site","SELECT VALUE","")</f>
        <v/>
      </c>
      <c r="M38" s="13" t="str">
        <f>IF(SamplingFeatures[[#This Row],[Sampling Feature Type]]="Site","ENTER VALUE","")</f>
        <v/>
      </c>
      <c r="N38" s="50" t="str">
        <f>IF(SamplingFeatures[[#This Row],[Sampling Feature Type]]="Site","ENTER VALUE","")</f>
        <v/>
      </c>
      <c r="O38" s="65"/>
      <c r="P38" s="70" t="str">
        <f>IF(SamplingFeatures[[#This Row],[Sampling Feature Type]]="Specimen",MAX(P$10:P37)+1,"")</f>
        <v/>
      </c>
      <c r="Q38" s="12" t="str">
        <f>IF(SamplingFeatures[[#This Row],[Sampling Feature Type]]="Specimen","SELECT VALUE","")</f>
        <v/>
      </c>
      <c r="R38" s="13" t="str">
        <f>IF(SamplingFeatures[[#This Row],[Sampling Feature Type]]="Specimen","SELECT VALUE","")</f>
        <v/>
      </c>
      <c r="S38" s="50" t="str">
        <f>IF(SamplingFeatures[[#This Row],[Sampling Feature Type]]="Specimen","SELECT VALUE","")</f>
        <v/>
      </c>
    </row>
    <row r="39" spans="1:19" x14ac:dyDescent="0.25">
      <c r="A39" s="12"/>
      <c r="B39" s="13"/>
      <c r="C39" s="13"/>
      <c r="D39" s="13"/>
      <c r="E39" s="14"/>
      <c r="F39" s="66"/>
      <c r="G39" s="16"/>
      <c r="H39" s="16"/>
      <c r="I39" s="16"/>
      <c r="J39" s="59"/>
      <c r="K39" s="70" t="str">
        <f>IF(SamplingFeatures[[#This Row],[Sampling Feature Type]]="Site",MAX(K$10:K38)+1,"")</f>
        <v/>
      </c>
      <c r="L39" s="22" t="str">
        <f>IF(SamplingFeatures[[#This Row],[Sampling Feature Type]]="Site","SELECT VALUE","")</f>
        <v/>
      </c>
      <c r="M39" s="13" t="str">
        <f>IF(SamplingFeatures[[#This Row],[Sampling Feature Type]]="Site","ENTER VALUE","")</f>
        <v/>
      </c>
      <c r="N39" s="50" t="str">
        <f>IF(SamplingFeatures[[#This Row],[Sampling Feature Type]]="Site","ENTER VALUE","")</f>
        <v/>
      </c>
      <c r="O39" s="65"/>
      <c r="P39" s="70" t="str">
        <f>IF(SamplingFeatures[[#This Row],[Sampling Feature Type]]="Specimen",MAX(P$10:P38)+1,"")</f>
        <v/>
      </c>
      <c r="Q39" s="12" t="str">
        <f>IF(SamplingFeatures[[#This Row],[Sampling Feature Type]]="Specimen","SELECT VALUE","")</f>
        <v/>
      </c>
      <c r="R39" s="13" t="str">
        <f>IF(SamplingFeatures[[#This Row],[Sampling Feature Type]]="Specimen","SELECT VALUE","")</f>
        <v/>
      </c>
      <c r="S39" s="50" t="str">
        <f>IF(SamplingFeatures[[#This Row],[Sampling Feature Type]]="Specimen","SELECT VALUE","")</f>
        <v/>
      </c>
    </row>
    <row r="40" spans="1:19" x14ac:dyDescent="0.25">
      <c r="A40" s="12"/>
      <c r="B40" s="13"/>
      <c r="C40" s="13"/>
      <c r="D40" s="13"/>
      <c r="E40" s="14"/>
      <c r="F40" s="66"/>
      <c r="G40" s="16"/>
      <c r="H40" s="16"/>
      <c r="I40" s="16"/>
      <c r="J40" s="59"/>
      <c r="K40" s="70" t="str">
        <f>IF(SamplingFeatures[[#This Row],[Sampling Feature Type]]="Site",MAX(K$10:K39)+1,"")</f>
        <v/>
      </c>
      <c r="L40" s="22" t="str">
        <f>IF(SamplingFeatures[[#This Row],[Sampling Feature Type]]="Site","SELECT VALUE","")</f>
        <v/>
      </c>
      <c r="M40" s="13" t="str">
        <f>IF(SamplingFeatures[[#This Row],[Sampling Feature Type]]="Site","ENTER VALUE","")</f>
        <v/>
      </c>
      <c r="N40" s="50" t="str">
        <f>IF(SamplingFeatures[[#This Row],[Sampling Feature Type]]="Site","ENTER VALUE","")</f>
        <v/>
      </c>
      <c r="O40" s="65"/>
      <c r="P40" s="70" t="str">
        <f>IF(SamplingFeatures[[#This Row],[Sampling Feature Type]]="Specimen",MAX(P$10:P39)+1,"")</f>
        <v/>
      </c>
      <c r="Q40" s="12" t="str">
        <f>IF(SamplingFeatures[[#This Row],[Sampling Feature Type]]="Specimen","SELECT VALUE","")</f>
        <v/>
      </c>
      <c r="R40" s="13" t="str">
        <f>IF(SamplingFeatures[[#This Row],[Sampling Feature Type]]="Specimen","SELECT VALUE","")</f>
        <v/>
      </c>
      <c r="S40" s="50" t="str">
        <f>IF(SamplingFeatures[[#This Row],[Sampling Feature Type]]="Specimen","SELECT VALUE","")</f>
        <v/>
      </c>
    </row>
    <row r="41" spans="1:19" x14ac:dyDescent="0.25">
      <c r="A41" s="12"/>
      <c r="B41" s="13"/>
      <c r="C41" s="13"/>
      <c r="D41" s="13"/>
      <c r="E41" s="14"/>
      <c r="F41" s="66"/>
      <c r="G41" s="16"/>
      <c r="H41" s="16"/>
      <c r="I41" s="16"/>
      <c r="J41" s="59"/>
      <c r="K41" s="70" t="str">
        <f>IF(SamplingFeatures[[#This Row],[Sampling Feature Type]]="Site",MAX(K$10:K40)+1,"")</f>
        <v/>
      </c>
      <c r="L41" s="22" t="str">
        <f>IF(SamplingFeatures[[#This Row],[Sampling Feature Type]]="Site","SELECT VALUE","")</f>
        <v/>
      </c>
      <c r="M41" s="13" t="str">
        <f>IF(SamplingFeatures[[#This Row],[Sampling Feature Type]]="Site","ENTER VALUE","")</f>
        <v/>
      </c>
      <c r="N41" s="50" t="str">
        <f>IF(SamplingFeatures[[#This Row],[Sampling Feature Type]]="Site","ENTER VALUE","")</f>
        <v/>
      </c>
      <c r="O41" s="65"/>
      <c r="P41" s="70" t="str">
        <f>IF(SamplingFeatures[[#This Row],[Sampling Feature Type]]="Specimen",MAX(P$10:P40)+1,"")</f>
        <v/>
      </c>
      <c r="Q41" s="12" t="str">
        <f>IF(SamplingFeatures[[#This Row],[Sampling Feature Type]]="Specimen","SELECT VALUE","")</f>
        <v/>
      </c>
      <c r="R41" s="13" t="str">
        <f>IF(SamplingFeatures[[#This Row],[Sampling Feature Type]]="Specimen","SELECT VALUE","")</f>
        <v/>
      </c>
      <c r="S41" s="50" t="str">
        <f>IF(SamplingFeatures[[#This Row],[Sampling Feature Type]]="Specimen","SELECT VALUE","")</f>
        <v/>
      </c>
    </row>
    <row r="42" spans="1:19" x14ac:dyDescent="0.25">
      <c r="A42" s="12"/>
      <c r="B42" s="13"/>
      <c r="C42" s="13"/>
      <c r="D42" s="13"/>
      <c r="E42" s="14"/>
      <c r="F42" s="66"/>
      <c r="G42" s="16"/>
      <c r="H42" s="16"/>
      <c r="I42" s="16"/>
      <c r="J42" s="59"/>
      <c r="K42" s="70" t="str">
        <f>IF(SamplingFeatures[[#This Row],[Sampling Feature Type]]="Site",MAX(K$10:K41)+1,"")</f>
        <v/>
      </c>
      <c r="L42" s="22" t="str">
        <f>IF(SamplingFeatures[[#This Row],[Sampling Feature Type]]="Site","SELECT VALUE","")</f>
        <v/>
      </c>
      <c r="M42" s="13" t="str">
        <f>IF(SamplingFeatures[[#This Row],[Sampling Feature Type]]="Site","ENTER VALUE","")</f>
        <v/>
      </c>
      <c r="N42" s="50" t="str">
        <f>IF(SamplingFeatures[[#This Row],[Sampling Feature Type]]="Site","ENTER VALUE","")</f>
        <v/>
      </c>
      <c r="O42" s="65"/>
      <c r="P42" s="70" t="str">
        <f>IF(SamplingFeatures[[#This Row],[Sampling Feature Type]]="Specimen",MAX(P$10:P41)+1,"")</f>
        <v/>
      </c>
      <c r="Q42" s="12" t="str">
        <f>IF(SamplingFeatures[[#This Row],[Sampling Feature Type]]="Specimen","SELECT VALUE","")</f>
        <v/>
      </c>
      <c r="R42" s="13" t="str">
        <f>IF(SamplingFeatures[[#This Row],[Sampling Feature Type]]="Specimen","SELECT VALUE","")</f>
        <v/>
      </c>
      <c r="S42" s="50" t="str">
        <f>IF(SamplingFeatures[[#This Row],[Sampling Feature Type]]="Specimen","SELECT VALUE","")</f>
        <v/>
      </c>
    </row>
    <row r="43" spans="1:19" x14ac:dyDescent="0.25">
      <c r="A43" s="12"/>
      <c r="B43" s="13"/>
      <c r="C43" s="13"/>
      <c r="D43" s="13"/>
      <c r="E43" s="14"/>
      <c r="F43" s="66"/>
      <c r="G43" s="16"/>
      <c r="H43" s="16"/>
      <c r="I43" s="16"/>
      <c r="J43" s="59"/>
      <c r="K43" s="70" t="str">
        <f>IF(SamplingFeatures[[#This Row],[Sampling Feature Type]]="Site",MAX(K$10:K42)+1,"")</f>
        <v/>
      </c>
      <c r="L43" s="22" t="str">
        <f>IF(SamplingFeatures[[#This Row],[Sampling Feature Type]]="Site","SELECT VALUE","")</f>
        <v/>
      </c>
      <c r="M43" s="13" t="str">
        <f>IF(SamplingFeatures[[#This Row],[Sampling Feature Type]]="Site","ENTER VALUE","")</f>
        <v/>
      </c>
      <c r="N43" s="50" t="str">
        <f>IF(SamplingFeatures[[#This Row],[Sampling Feature Type]]="Site","ENTER VALUE","")</f>
        <v/>
      </c>
      <c r="O43" s="65"/>
      <c r="P43" s="70" t="str">
        <f>IF(SamplingFeatures[[#This Row],[Sampling Feature Type]]="Specimen",MAX(P$10:P42)+1,"")</f>
        <v/>
      </c>
      <c r="Q43" s="12" t="str">
        <f>IF(SamplingFeatures[[#This Row],[Sampling Feature Type]]="Specimen","SELECT VALUE","")</f>
        <v/>
      </c>
      <c r="R43" s="13" t="str">
        <f>IF(SamplingFeatures[[#This Row],[Sampling Feature Type]]="Specimen","SELECT VALUE","")</f>
        <v/>
      </c>
      <c r="S43" s="50" t="str">
        <f>IF(SamplingFeatures[[#This Row],[Sampling Feature Type]]="Specimen","SELECT VALUE","")</f>
        <v/>
      </c>
    </row>
    <row r="44" spans="1:19" x14ac:dyDescent="0.25">
      <c r="A44" s="12"/>
      <c r="B44" s="13"/>
      <c r="C44" s="13"/>
      <c r="D44" s="13"/>
      <c r="E44" s="14"/>
      <c r="F44" s="66"/>
      <c r="G44" s="16"/>
      <c r="H44" s="16"/>
      <c r="I44" s="16"/>
      <c r="J44" s="59"/>
      <c r="K44" s="70" t="str">
        <f>IF(SamplingFeatures[[#This Row],[Sampling Feature Type]]="Site",MAX(K$10:K43)+1,"")</f>
        <v/>
      </c>
      <c r="L44" s="22" t="str">
        <f>IF(SamplingFeatures[[#This Row],[Sampling Feature Type]]="Site","SELECT VALUE","")</f>
        <v/>
      </c>
      <c r="M44" s="13" t="str">
        <f>IF(SamplingFeatures[[#This Row],[Sampling Feature Type]]="Site","ENTER VALUE","")</f>
        <v/>
      </c>
      <c r="N44" s="50" t="str">
        <f>IF(SamplingFeatures[[#This Row],[Sampling Feature Type]]="Site","ENTER VALUE","")</f>
        <v/>
      </c>
      <c r="O44" s="65"/>
      <c r="P44" s="70" t="str">
        <f>IF(SamplingFeatures[[#This Row],[Sampling Feature Type]]="Specimen",MAX(P$10:P43)+1,"")</f>
        <v/>
      </c>
      <c r="Q44" s="12" t="str">
        <f>IF(SamplingFeatures[[#This Row],[Sampling Feature Type]]="Specimen","SELECT VALUE","")</f>
        <v/>
      </c>
      <c r="R44" s="13" t="str">
        <f>IF(SamplingFeatures[[#This Row],[Sampling Feature Type]]="Specimen","SELECT VALUE","")</f>
        <v/>
      </c>
      <c r="S44" s="50" t="str">
        <f>IF(SamplingFeatures[[#This Row],[Sampling Feature Type]]="Specimen","SELECT VALUE","")</f>
        <v/>
      </c>
    </row>
    <row r="45" spans="1:19" x14ac:dyDescent="0.25">
      <c r="A45" s="12"/>
      <c r="B45" s="13"/>
      <c r="C45" s="13"/>
      <c r="D45" s="13"/>
      <c r="E45" s="14"/>
      <c r="F45" s="66"/>
      <c r="G45" s="16"/>
      <c r="H45" s="16"/>
      <c r="I45" s="16"/>
      <c r="J45" s="59"/>
      <c r="K45" s="70" t="str">
        <f>IF(SamplingFeatures[[#This Row],[Sampling Feature Type]]="Site",MAX(K$10:K44)+1,"")</f>
        <v/>
      </c>
      <c r="L45" s="22" t="str">
        <f>IF(SamplingFeatures[[#This Row],[Sampling Feature Type]]="Site","SELECT VALUE","")</f>
        <v/>
      </c>
      <c r="M45" s="13" t="str">
        <f>IF(SamplingFeatures[[#This Row],[Sampling Feature Type]]="Site","ENTER VALUE","")</f>
        <v/>
      </c>
      <c r="N45" s="50" t="str">
        <f>IF(SamplingFeatures[[#This Row],[Sampling Feature Type]]="Site","ENTER VALUE","")</f>
        <v/>
      </c>
      <c r="O45" s="65"/>
      <c r="P45" s="70" t="str">
        <f>IF(SamplingFeatures[[#This Row],[Sampling Feature Type]]="Specimen",MAX(P$10:P44)+1,"")</f>
        <v/>
      </c>
      <c r="Q45" s="12" t="str">
        <f>IF(SamplingFeatures[[#This Row],[Sampling Feature Type]]="Specimen","SELECT VALUE","")</f>
        <v/>
      </c>
      <c r="R45" s="13" t="str">
        <f>IF(SamplingFeatures[[#This Row],[Sampling Feature Type]]="Specimen","SELECT VALUE","")</f>
        <v/>
      </c>
      <c r="S45" s="50" t="str">
        <f>IF(SamplingFeatures[[#This Row],[Sampling Feature Type]]="Specimen","SELECT VALUE","")</f>
        <v/>
      </c>
    </row>
    <row r="46" spans="1:19" x14ac:dyDescent="0.25">
      <c r="A46" s="12"/>
      <c r="B46" s="13"/>
      <c r="C46" s="13"/>
      <c r="D46" s="13"/>
      <c r="E46" s="14"/>
      <c r="F46" s="66"/>
      <c r="G46" s="16"/>
      <c r="H46" s="16"/>
      <c r="I46" s="16"/>
      <c r="J46" s="59"/>
      <c r="K46" s="70" t="str">
        <f>IF(SamplingFeatures[[#This Row],[Sampling Feature Type]]="Site",MAX(K$10:K45)+1,"")</f>
        <v/>
      </c>
      <c r="L46" s="22" t="str">
        <f>IF(SamplingFeatures[[#This Row],[Sampling Feature Type]]="Site","SELECT VALUE","")</f>
        <v/>
      </c>
      <c r="M46" s="13" t="str">
        <f>IF(SamplingFeatures[[#This Row],[Sampling Feature Type]]="Site","ENTER VALUE","")</f>
        <v/>
      </c>
      <c r="N46" s="50" t="str">
        <f>IF(SamplingFeatures[[#This Row],[Sampling Feature Type]]="Site","ENTER VALUE","")</f>
        <v/>
      </c>
      <c r="O46" s="65"/>
      <c r="P46" s="70" t="str">
        <f>IF(SamplingFeatures[[#This Row],[Sampling Feature Type]]="Specimen",MAX(P$10:P45)+1,"")</f>
        <v/>
      </c>
      <c r="Q46" s="12" t="str">
        <f>IF(SamplingFeatures[[#This Row],[Sampling Feature Type]]="Specimen","SELECT VALUE","")</f>
        <v/>
      </c>
      <c r="R46" s="13" t="str">
        <f>IF(SamplingFeatures[[#This Row],[Sampling Feature Type]]="Specimen","SELECT VALUE","")</f>
        <v/>
      </c>
      <c r="S46" s="50" t="str">
        <f>IF(SamplingFeatures[[#This Row],[Sampling Feature Type]]="Specimen","SELECT VALUE","")</f>
        <v/>
      </c>
    </row>
    <row r="47" spans="1:19" x14ac:dyDescent="0.25">
      <c r="A47" s="12"/>
      <c r="B47" s="13"/>
      <c r="C47" s="13"/>
      <c r="D47" s="13"/>
      <c r="E47" s="14"/>
      <c r="F47" s="66"/>
      <c r="G47" s="16"/>
      <c r="H47" s="16"/>
      <c r="I47" s="16"/>
      <c r="J47" s="59"/>
      <c r="K47" s="70" t="str">
        <f>IF(SamplingFeatures[[#This Row],[Sampling Feature Type]]="Site",MAX(K$10:K46)+1,"")</f>
        <v/>
      </c>
      <c r="L47" s="22" t="str">
        <f>IF(SamplingFeatures[[#This Row],[Sampling Feature Type]]="Site","SELECT VALUE","")</f>
        <v/>
      </c>
      <c r="M47" s="13" t="str">
        <f>IF(SamplingFeatures[[#This Row],[Sampling Feature Type]]="Site","ENTER VALUE","")</f>
        <v/>
      </c>
      <c r="N47" s="50" t="str">
        <f>IF(SamplingFeatures[[#This Row],[Sampling Feature Type]]="Site","ENTER VALUE","")</f>
        <v/>
      </c>
      <c r="O47" s="65"/>
      <c r="P47" s="70" t="str">
        <f>IF(SamplingFeatures[[#This Row],[Sampling Feature Type]]="Specimen",MAX(P$10:P46)+1,"")</f>
        <v/>
      </c>
      <c r="Q47" s="12" t="str">
        <f>IF(SamplingFeatures[[#This Row],[Sampling Feature Type]]="Specimen","SELECT VALUE","")</f>
        <v/>
      </c>
      <c r="R47" s="13" t="str">
        <f>IF(SamplingFeatures[[#This Row],[Sampling Feature Type]]="Specimen","SELECT VALUE","")</f>
        <v/>
      </c>
      <c r="S47" s="50" t="str">
        <f>IF(SamplingFeatures[[#This Row],[Sampling Feature Type]]="Specimen","SELECT VALUE","")</f>
        <v/>
      </c>
    </row>
    <row r="48" spans="1:19" x14ac:dyDescent="0.25">
      <c r="A48" s="12"/>
      <c r="B48" s="13"/>
      <c r="C48" s="13"/>
      <c r="D48" s="13"/>
      <c r="E48" s="14"/>
      <c r="F48" s="66"/>
      <c r="G48" s="16"/>
      <c r="H48" s="16"/>
      <c r="I48" s="16"/>
      <c r="J48" s="59"/>
      <c r="K48" s="70" t="str">
        <f>IF(SamplingFeatures[[#This Row],[Sampling Feature Type]]="Site",MAX(K$10:K47)+1,"")</f>
        <v/>
      </c>
      <c r="L48" s="22" t="str">
        <f>IF(SamplingFeatures[[#This Row],[Sampling Feature Type]]="Site","SELECT VALUE","")</f>
        <v/>
      </c>
      <c r="M48" s="13" t="str">
        <f>IF(SamplingFeatures[[#This Row],[Sampling Feature Type]]="Site","ENTER VALUE","")</f>
        <v/>
      </c>
      <c r="N48" s="50" t="str">
        <f>IF(SamplingFeatures[[#This Row],[Sampling Feature Type]]="Site","ENTER VALUE","")</f>
        <v/>
      </c>
      <c r="O48" s="65"/>
      <c r="P48" s="70" t="str">
        <f>IF(SamplingFeatures[[#This Row],[Sampling Feature Type]]="Specimen",MAX(P$10:P47)+1,"")</f>
        <v/>
      </c>
      <c r="Q48" s="12" t="str">
        <f>IF(SamplingFeatures[[#This Row],[Sampling Feature Type]]="Specimen","SELECT VALUE","")</f>
        <v/>
      </c>
      <c r="R48" s="13" t="str">
        <f>IF(SamplingFeatures[[#This Row],[Sampling Feature Type]]="Specimen","SELECT VALUE","")</f>
        <v/>
      </c>
      <c r="S48" s="50" t="str">
        <f>IF(SamplingFeatures[[#This Row],[Sampling Feature Type]]="Specimen","SELECT VALUE","")</f>
        <v/>
      </c>
    </row>
    <row r="49" spans="1:19" x14ac:dyDescent="0.25">
      <c r="A49" s="12"/>
      <c r="B49" s="13"/>
      <c r="C49" s="13"/>
      <c r="D49" s="13"/>
      <c r="E49" s="14"/>
      <c r="F49" s="66"/>
      <c r="G49" s="16"/>
      <c r="H49" s="16"/>
      <c r="I49" s="16"/>
      <c r="J49" s="59"/>
      <c r="K49" s="70" t="str">
        <f>IF(SamplingFeatures[[#This Row],[Sampling Feature Type]]="Site",MAX(K$10:K48)+1,"")</f>
        <v/>
      </c>
      <c r="L49" s="22" t="str">
        <f>IF(SamplingFeatures[[#This Row],[Sampling Feature Type]]="Site","SELECT VALUE","")</f>
        <v/>
      </c>
      <c r="M49" s="13" t="str">
        <f>IF(SamplingFeatures[[#This Row],[Sampling Feature Type]]="Site","ENTER VALUE","")</f>
        <v/>
      </c>
      <c r="N49" s="50" t="str">
        <f>IF(SamplingFeatures[[#This Row],[Sampling Feature Type]]="Site","ENTER VALUE","")</f>
        <v/>
      </c>
      <c r="O49" s="65"/>
      <c r="P49" s="70" t="str">
        <f>IF(SamplingFeatures[[#This Row],[Sampling Feature Type]]="Specimen",MAX(P$10:P48)+1,"")</f>
        <v/>
      </c>
      <c r="Q49" s="12" t="str">
        <f>IF(SamplingFeatures[[#This Row],[Sampling Feature Type]]="Specimen","SELECT VALUE","")</f>
        <v/>
      </c>
      <c r="R49" s="13" t="str">
        <f>IF(SamplingFeatures[[#This Row],[Sampling Feature Type]]="Specimen","SELECT VALUE","")</f>
        <v/>
      </c>
      <c r="S49" s="50" t="str">
        <f>IF(SamplingFeatures[[#This Row],[Sampling Feature Type]]="Specimen","SELECT VALUE","")</f>
        <v/>
      </c>
    </row>
    <row r="50" spans="1:19" x14ac:dyDescent="0.25">
      <c r="A50" s="12"/>
      <c r="B50" s="13"/>
      <c r="C50" s="13"/>
      <c r="D50" s="13"/>
      <c r="E50" s="14"/>
      <c r="F50" s="66"/>
      <c r="G50" s="16"/>
      <c r="H50" s="16"/>
      <c r="I50" s="16"/>
      <c r="J50" s="59"/>
      <c r="K50" s="70" t="str">
        <f>IF(SamplingFeatures[[#This Row],[Sampling Feature Type]]="Site",MAX(K$10:K49)+1,"")</f>
        <v/>
      </c>
      <c r="L50" s="22" t="str">
        <f>IF(SamplingFeatures[[#This Row],[Sampling Feature Type]]="Site","SELECT VALUE","")</f>
        <v/>
      </c>
      <c r="M50" s="13" t="str">
        <f>IF(SamplingFeatures[[#This Row],[Sampling Feature Type]]="Site","ENTER VALUE","")</f>
        <v/>
      </c>
      <c r="N50" s="50" t="str">
        <f>IF(SamplingFeatures[[#This Row],[Sampling Feature Type]]="Site","ENTER VALUE","")</f>
        <v/>
      </c>
      <c r="O50" s="65"/>
      <c r="P50" s="70" t="str">
        <f>IF(SamplingFeatures[[#This Row],[Sampling Feature Type]]="Specimen",MAX(P$10:P49)+1,"")</f>
        <v/>
      </c>
      <c r="Q50" s="12" t="str">
        <f>IF(SamplingFeatures[[#This Row],[Sampling Feature Type]]="Specimen","SELECT VALUE","")</f>
        <v/>
      </c>
      <c r="R50" s="13" t="str">
        <f>IF(SamplingFeatures[[#This Row],[Sampling Feature Type]]="Specimen","SELECT VALUE","")</f>
        <v/>
      </c>
      <c r="S50" s="50" t="str">
        <f>IF(SamplingFeatures[[#This Row],[Sampling Feature Type]]="Specimen","SELECT VALUE","")</f>
        <v/>
      </c>
    </row>
    <row r="51" spans="1:19" x14ac:dyDescent="0.25">
      <c r="A51" s="12"/>
      <c r="B51" s="13"/>
      <c r="C51" s="13"/>
      <c r="D51" s="13"/>
      <c r="E51" s="14"/>
      <c r="F51" s="66"/>
      <c r="G51" s="16"/>
      <c r="H51" s="16"/>
      <c r="I51" s="16"/>
      <c r="J51" s="59"/>
      <c r="K51" s="70" t="str">
        <f>IF(SamplingFeatures[[#This Row],[Sampling Feature Type]]="Site",MAX(K$10:K50)+1,"")</f>
        <v/>
      </c>
      <c r="L51" s="22" t="str">
        <f>IF(SamplingFeatures[[#This Row],[Sampling Feature Type]]="Site","SELECT VALUE","")</f>
        <v/>
      </c>
      <c r="M51" s="13" t="str">
        <f>IF(SamplingFeatures[[#This Row],[Sampling Feature Type]]="Site","ENTER VALUE","")</f>
        <v/>
      </c>
      <c r="N51" s="50" t="str">
        <f>IF(SamplingFeatures[[#This Row],[Sampling Feature Type]]="Site","ENTER VALUE","")</f>
        <v/>
      </c>
      <c r="O51" s="65"/>
      <c r="P51" s="70" t="str">
        <f>IF(SamplingFeatures[[#This Row],[Sampling Feature Type]]="Specimen",MAX(P$10:P50)+1,"")</f>
        <v/>
      </c>
      <c r="Q51" s="12" t="str">
        <f>IF(SamplingFeatures[[#This Row],[Sampling Feature Type]]="Specimen","SELECT VALUE","")</f>
        <v/>
      </c>
      <c r="R51" s="13" t="str">
        <f>IF(SamplingFeatures[[#This Row],[Sampling Feature Type]]="Specimen","SELECT VALUE","")</f>
        <v/>
      </c>
      <c r="S51" s="50" t="str">
        <f>IF(SamplingFeatures[[#This Row],[Sampling Feature Type]]="Specimen","SELECT VALUE","")</f>
        <v/>
      </c>
    </row>
    <row r="52" spans="1:19" x14ac:dyDescent="0.25">
      <c r="A52" s="12"/>
      <c r="B52" s="13"/>
      <c r="C52" s="13"/>
      <c r="D52" s="13"/>
      <c r="E52" s="14"/>
      <c r="F52" s="66"/>
      <c r="G52" s="16"/>
      <c r="H52" s="16"/>
      <c r="I52" s="16"/>
      <c r="J52" s="59"/>
      <c r="K52" s="70" t="str">
        <f>IF(SamplingFeatures[[#This Row],[Sampling Feature Type]]="Site",MAX(K$10:K51)+1,"")</f>
        <v/>
      </c>
      <c r="L52" s="22" t="str">
        <f>IF(SamplingFeatures[[#This Row],[Sampling Feature Type]]="Site","SELECT VALUE","")</f>
        <v/>
      </c>
      <c r="M52" s="13" t="str">
        <f>IF(SamplingFeatures[[#This Row],[Sampling Feature Type]]="Site","ENTER VALUE","")</f>
        <v/>
      </c>
      <c r="N52" s="50" t="str">
        <f>IF(SamplingFeatures[[#This Row],[Sampling Feature Type]]="Site","ENTER VALUE","")</f>
        <v/>
      </c>
      <c r="O52" s="65"/>
      <c r="P52" s="70" t="str">
        <f>IF(SamplingFeatures[[#This Row],[Sampling Feature Type]]="Specimen",MAX(P$10:P51)+1,"")</f>
        <v/>
      </c>
      <c r="Q52" s="12" t="str">
        <f>IF(SamplingFeatures[[#This Row],[Sampling Feature Type]]="Specimen","SELECT VALUE","")</f>
        <v/>
      </c>
      <c r="R52" s="13" t="str">
        <f>IF(SamplingFeatures[[#This Row],[Sampling Feature Type]]="Specimen","SELECT VALUE","")</f>
        <v/>
      </c>
      <c r="S52" s="50" t="str">
        <f>IF(SamplingFeatures[[#This Row],[Sampling Feature Type]]="Specimen","SELECT VALUE","")</f>
        <v/>
      </c>
    </row>
    <row r="53" spans="1:19" x14ac:dyDescent="0.25">
      <c r="A53" s="12"/>
      <c r="B53" s="13"/>
      <c r="C53" s="13"/>
      <c r="D53" s="13"/>
      <c r="E53" s="14"/>
      <c r="F53" s="66"/>
      <c r="G53" s="16"/>
      <c r="H53" s="16"/>
      <c r="I53" s="16"/>
      <c r="J53" s="59"/>
      <c r="K53" s="70" t="str">
        <f>IF(SamplingFeatures[[#This Row],[Sampling Feature Type]]="Site",MAX(K$10:K52)+1,"")</f>
        <v/>
      </c>
      <c r="L53" s="22" t="str">
        <f>IF(SamplingFeatures[[#This Row],[Sampling Feature Type]]="Site","SELECT VALUE","")</f>
        <v/>
      </c>
      <c r="M53" s="13" t="str">
        <f>IF(SamplingFeatures[[#This Row],[Sampling Feature Type]]="Site","ENTER VALUE","")</f>
        <v/>
      </c>
      <c r="N53" s="50" t="str">
        <f>IF(SamplingFeatures[[#This Row],[Sampling Feature Type]]="Site","ENTER VALUE","")</f>
        <v/>
      </c>
      <c r="O53" s="65"/>
      <c r="P53" s="70" t="str">
        <f>IF(SamplingFeatures[[#This Row],[Sampling Feature Type]]="Specimen",MAX(P$10:P52)+1,"")</f>
        <v/>
      </c>
      <c r="Q53" s="12" t="str">
        <f>IF(SamplingFeatures[[#This Row],[Sampling Feature Type]]="Specimen","SELECT VALUE","")</f>
        <v/>
      </c>
      <c r="R53" s="13" t="str">
        <f>IF(SamplingFeatures[[#This Row],[Sampling Feature Type]]="Specimen","SELECT VALUE","")</f>
        <v/>
      </c>
      <c r="S53" s="50" t="str">
        <f>IF(SamplingFeatures[[#This Row],[Sampling Feature Type]]="Specimen","SELECT VALUE","")</f>
        <v/>
      </c>
    </row>
    <row r="54" spans="1:19" x14ac:dyDescent="0.25">
      <c r="A54" s="12"/>
      <c r="B54" s="13"/>
      <c r="C54" s="13"/>
      <c r="D54" s="13"/>
      <c r="E54" s="14"/>
      <c r="F54" s="66"/>
      <c r="G54" s="16"/>
      <c r="H54" s="16"/>
      <c r="I54" s="16"/>
      <c r="J54" s="59"/>
      <c r="K54" s="70" t="str">
        <f>IF(SamplingFeatures[[#This Row],[Sampling Feature Type]]="Site",MAX(K$10:K53)+1,"")</f>
        <v/>
      </c>
      <c r="L54" s="22" t="str">
        <f>IF(SamplingFeatures[[#This Row],[Sampling Feature Type]]="Site","SELECT VALUE","")</f>
        <v/>
      </c>
      <c r="M54" s="13" t="str">
        <f>IF(SamplingFeatures[[#This Row],[Sampling Feature Type]]="Site","ENTER VALUE","")</f>
        <v/>
      </c>
      <c r="N54" s="50" t="str">
        <f>IF(SamplingFeatures[[#This Row],[Sampling Feature Type]]="Site","ENTER VALUE","")</f>
        <v/>
      </c>
      <c r="O54" s="65"/>
      <c r="P54" s="70" t="str">
        <f>IF(SamplingFeatures[[#This Row],[Sampling Feature Type]]="Specimen",MAX(P$10:P53)+1,"")</f>
        <v/>
      </c>
      <c r="Q54" s="12" t="str">
        <f>IF(SamplingFeatures[[#This Row],[Sampling Feature Type]]="Specimen","SELECT VALUE","")</f>
        <v/>
      </c>
      <c r="R54" s="13" t="str">
        <f>IF(SamplingFeatures[[#This Row],[Sampling Feature Type]]="Specimen","SELECT VALUE","")</f>
        <v/>
      </c>
      <c r="S54" s="50" t="str">
        <f>IF(SamplingFeatures[[#This Row],[Sampling Feature Type]]="Specimen","SELECT VALUE","")</f>
        <v/>
      </c>
    </row>
    <row r="55" spans="1:19" x14ac:dyDescent="0.25">
      <c r="A55" s="12"/>
      <c r="B55" s="13"/>
      <c r="C55" s="13"/>
      <c r="D55" s="13"/>
      <c r="E55" s="14"/>
      <c r="F55" s="66"/>
      <c r="G55" s="16"/>
      <c r="H55" s="16"/>
      <c r="I55" s="16"/>
      <c r="J55" s="59"/>
      <c r="K55" s="70" t="str">
        <f>IF(SamplingFeatures[[#This Row],[Sampling Feature Type]]="Site",MAX(K$10:K54)+1,"")</f>
        <v/>
      </c>
      <c r="L55" s="22" t="str">
        <f>IF(SamplingFeatures[[#This Row],[Sampling Feature Type]]="Site","SELECT VALUE","")</f>
        <v/>
      </c>
      <c r="M55" s="13" t="str">
        <f>IF(SamplingFeatures[[#This Row],[Sampling Feature Type]]="Site","ENTER VALUE","")</f>
        <v/>
      </c>
      <c r="N55" s="50" t="str">
        <f>IF(SamplingFeatures[[#This Row],[Sampling Feature Type]]="Site","ENTER VALUE","")</f>
        <v/>
      </c>
      <c r="O55" s="65"/>
      <c r="P55" s="70" t="str">
        <f>IF(SamplingFeatures[[#This Row],[Sampling Feature Type]]="Specimen",MAX(P$10:P54)+1,"")</f>
        <v/>
      </c>
      <c r="Q55" s="12" t="str">
        <f>IF(SamplingFeatures[[#This Row],[Sampling Feature Type]]="Specimen","SELECT VALUE","")</f>
        <v/>
      </c>
      <c r="R55" s="13" t="str">
        <f>IF(SamplingFeatures[[#This Row],[Sampling Feature Type]]="Specimen","SELECT VALUE","")</f>
        <v/>
      </c>
      <c r="S55" s="50" t="str">
        <f>IF(SamplingFeatures[[#This Row],[Sampling Feature Type]]="Specimen","SELECT VALUE","")</f>
        <v/>
      </c>
    </row>
    <row r="56" spans="1:19" x14ac:dyDescent="0.25">
      <c r="A56" s="12"/>
      <c r="B56" s="13"/>
      <c r="C56" s="13"/>
      <c r="D56" s="13"/>
      <c r="E56" s="14"/>
      <c r="F56" s="66"/>
      <c r="G56" s="16"/>
      <c r="H56" s="16"/>
      <c r="I56" s="16"/>
      <c r="J56" s="59"/>
      <c r="K56" s="70" t="str">
        <f>IF(SamplingFeatures[[#This Row],[Sampling Feature Type]]="Site",MAX(K$10:K55)+1,"")</f>
        <v/>
      </c>
      <c r="L56" s="22" t="str">
        <f>IF(SamplingFeatures[[#This Row],[Sampling Feature Type]]="Site","SELECT VALUE","")</f>
        <v/>
      </c>
      <c r="M56" s="13" t="str">
        <f>IF(SamplingFeatures[[#This Row],[Sampling Feature Type]]="Site","ENTER VALUE","")</f>
        <v/>
      </c>
      <c r="N56" s="50" t="str">
        <f>IF(SamplingFeatures[[#This Row],[Sampling Feature Type]]="Site","ENTER VALUE","")</f>
        <v/>
      </c>
      <c r="O56" s="65"/>
      <c r="P56" s="70" t="str">
        <f>IF(SamplingFeatures[[#This Row],[Sampling Feature Type]]="Specimen",MAX(P$10:P55)+1,"")</f>
        <v/>
      </c>
      <c r="Q56" s="12" t="str">
        <f>IF(SamplingFeatures[[#This Row],[Sampling Feature Type]]="Specimen","SELECT VALUE","")</f>
        <v/>
      </c>
      <c r="R56" s="13" t="str">
        <f>IF(SamplingFeatures[[#This Row],[Sampling Feature Type]]="Specimen","SELECT VALUE","")</f>
        <v/>
      </c>
      <c r="S56" s="50" t="str">
        <f>IF(SamplingFeatures[[#This Row],[Sampling Feature Type]]="Specimen","SELECT VALUE","")</f>
        <v/>
      </c>
    </row>
    <row r="57" spans="1:19" x14ac:dyDescent="0.25">
      <c r="A57" s="12"/>
      <c r="B57" s="13"/>
      <c r="C57" s="13"/>
      <c r="D57" s="13"/>
      <c r="E57" s="14"/>
      <c r="F57" s="66"/>
      <c r="G57" s="16"/>
      <c r="H57" s="16"/>
      <c r="I57" s="16"/>
      <c r="J57" s="59"/>
      <c r="K57" s="70" t="str">
        <f>IF(SamplingFeatures[[#This Row],[Sampling Feature Type]]="Site",MAX(K$10:K56)+1,"")</f>
        <v/>
      </c>
      <c r="L57" s="22" t="str">
        <f>IF(SamplingFeatures[[#This Row],[Sampling Feature Type]]="Site","SELECT VALUE","")</f>
        <v/>
      </c>
      <c r="M57" s="13" t="str">
        <f>IF(SamplingFeatures[[#This Row],[Sampling Feature Type]]="Site","ENTER VALUE","")</f>
        <v/>
      </c>
      <c r="N57" s="50" t="str">
        <f>IF(SamplingFeatures[[#This Row],[Sampling Feature Type]]="Site","ENTER VALUE","")</f>
        <v/>
      </c>
      <c r="O57" s="65"/>
      <c r="P57" s="70" t="str">
        <f>IF(SamplingFeatures[[#This Row],[Sampling Feature Type]]="Specimen",MAX(P$10:P56)+1,"")</f>
        <v/>
      </c>
      <c r="Q57" s="12" t="str">
        <f>IF(SamplingFeatures[[#This Row],[Sampling Feature Type]]="Specimen","SELECT VALUE","")</f>
        <v/>
      </c>
      <c r="R57" s="13" t="str">
        <f>IF(SamplingFeatures[[#This Row],[Sampling Feature Type]]="Specimen","SELECT VALUE","")</f>
        <v/>
      </c>
      <c r="S57" s="50" t="str">
        <f>IF(SamplingFeatures[[#This Row],[Sampling Feature Type]]="Specimen","SELECT VALUE","")</f>
        <v/>
      </c>
    </row>
    <row r="58" spans="1:19" x14ac:dyDescent="0.25">
      <c r="A58" s="12"/>
      <c r="B58" s="13"/>
      <c r="C58" s="13"/>
      <c r="D58" s="13"/>
      <c r="E58" s="14"/>
      <c r="F58" s="66"/>
      <c r="G58" s="16"/>
      <c r="H58" s="16"/>
      <c r="I58" s="16"/>
      <c r="J58" s="59"/>
      <c r="K58" s="70" t="str">
        <f>IF(SamplingFeatures[[#This Row],[Sampling Feature Type]]="Site",MAX(K$10:K57)+1,"")</f>
        <v/>
      </c>
      <c r="L58" s="22" t="str">
        <f>IF(SamplingFeatures[[#This Row],[Sampling Feature Type]]="Site","SELECT VALUE","")</f>
        <v/>
      </c>
      <c r="M58" s="13" t="str">
        <f>IF(SamplingFeatures[[#This Row],[Sampling Feature Type]]="Site","ENTER VALUE","")</f>
        <v/>
      </c>
      <c r="N58" s="50" t="str">
        <f>IF(SamplingFeatures[[#This Row],[Sampling Feature Type]]="Site","ENTER VALUE","")</f>
        <v/>
      </c>
      <c r="O58" s="65"/>
      <c r="P58" s="70" t="str">
        <f>IF(SamplingFeatures[[#This Row],[Sampling Feature Type]]="Specimen",MAX(P$10:P57)+1,"")</f>
        <v/>
      </c>
      <c r="Q58" s="12" t="str">
        <f>IF(SamplingFeatures[[#This Row],[Sampling Feature Type]]="Specimen","SELECT VALUE","")</f>
        <v/>
      </c>
      <c r="R58" s="13" t="str">
        <f>IF(SamplingFeatures[[#This Row],[Sampling Feature Type]]="Specimen","SELECT VALUE","")</f>
        <v/>
      </c>
      <c r="S58" s="50" t="str">
        <f>IF(SamplingFeatures[[#This Row],[Sampling Feature Type]]="Specimen","SELECT VALUE","")</f>
        <v/>
      </c>
    </row>
    <row r="59" spans="1:19" x14ac:dyDescent="0.25">
      <c r="A59" s="12"/>
      <c r="B59" s="13"/>
      <c r="C59" s="13"/>
      <c r="D59" s="13"/>
      <c r="E59" s="14"/>
      <c r="F59" s="66"/>
      <c r="G59" s="16"/>
      <c r="H59" s="16"/>
      <c r="I59" s="16"/>
      <c r="J59" s="59"/>
      <c r="K59" s="70" t="str">
        <f>IF(SamplingFeatures[[#This Row],[Sampling Feature Type]]="Site",MAX(K$10:K58)+1,"")</f>
        <v/>
      </c>
      <c r="L59" s="22" t="str">
        <f>IF(SamplingFeatures[[#This Row],[Sampling Feature Type]]="Site","SELECT VALUE","")</f>
        <v/>
      </c>
      <c r="M59" s="13" t="str">
        <f>IF(SamplingFeatures[[#This Row],[Sampling Feature Type]]="Site","ENTER VALUE","")</f>
        <v/>
      </c>
      <c r="N59" s="50" t="str">
        <f>IF(SamplingFeatures[[#This Row],[Sampling Feature Type]]="Site","ENTER VALUE","")</f>
        <v/>
      </c>
      <c r="O59" s="65"/>
      <c r="P59" s="70" t="str">
        <f>IF(SamplingFeatures[[#This Row],[Sampling Feature Type]]="Specimen",MAX(P$10:P58)+1,"")</f>
        <v/>
      </c>
      <c r="Q59" s="12" t="str">
        <f>IF(SamplingFeatures[[#This Row],[Sampling Feature Type]]="Specimen","SELECT VALUE","")</f>
        <v/>
      </c>
      <c r="R59" s="13" t="str">
        <f>IF(SamplingFeatures[[#This Row],[Sampling Feature Type]]="Specimen","SELECT VALUE","")</f>
        <v/>
      </c>
      <c r="S59" s="50" t="str">
        <f>IF(SamplingFeatures[[#This Row],[Sampling Feature Type]]="Specimen","SELECT VALUE","")</f>
        <v/>
      </c>
    </row>
    <row r="60" spans="1:19" ht="15.75" thickBot="1" x14ac:dyDescent="0.3">
      <c r="A60" s="17"/>
      <c r="B60" s="18"/>
      <c r="C60" s="18"/>
      <c r="D60" s="18"/>
      <c r="E60" s="19"/>
      <c r="F60" s="67"/>
      <c r="G60" s="20"/>
      <c r="H60" s="20"/>
      <c r="I60" s="20"/>
      <c r="J60" s="59"/>
      <c r="K60" s="70" t="str">
        <f>IF(SamplingFeatures[[#This Row],[Sampling Feature Type]]="Site",MAX(K$10:K59)+1,"")</f>
        <v/>
      </c>
      <c r="L60" s="17" t="str">
        <f>IF(SamplingFeatures[[#This Row],[Sampling Feature Type]]="Site","SELECT VALUE","")</f>
        <v/>
      </c>
      <c r="M60" s="18" t="str">
        <f>IF(SamplingFeatures[[#This Row],[Sampling Feature Type]]="Site","ENTER VALUE","")</f>
        <v/>
      </c>
      <c r="N60" s="52" t="str">
        <f>IF(SamplingFeatures[[#This Row],[Sampling Feature Type]]="Site","ENTER VALUE","")</f>
        <v/>
      </c>
      <c r="O60" s="65"/>
      <c r="P60" s="72" t="str">
        <f>IF(SamplingFeatures[[#This Row],[Sampling Feature Type]]="Specimen",MAX(P$10:P59)+1,"")</f>
        <v/>
      </c>
      <c r="Q60" s="17" t="str">
        <f>IF(SamplingFeatures[[#This Row],[Sampling Feature Type]]="Specimen","SELECT VALUE","")</f>
        <v/>
      </c>
      <c r="R60" s="18" t="str">
        <f>IF(SamplingFeatures[[#This Row],[Sampling Feature Type]]="Specimen","SELECT VALUE","")</f>
        <v/>
      </c>
      <c r="S60" s="52" t="str">
        <f>IF(SamplingFeatures[[#This Row],[Sampling Feature Type]]="Specimen","SELECT VALUE","")</f>
        <v/>
      </c>
    </row>
  </sheetData>
  <sheetProtection password="CA31" sheet="1" objects="1" scenarios="1" formatColumns="0" formatRows="0" insertRows="0" insertHyperlinks="0" deleteRows="0"/>
  <mergeCells count="3">
    <mergeCell ref="A6:B6"/>
    <mergeCell ref="J9:M9"/>
    <mergeCell ref="O9:R9"/>
  </mergeCells>
  <conditionalFormatting sqref="K11:S60">
    <cfRule type="containsText" dxfId="92" priority="1" operator="containsText" text="SELECT">
      <formula>NOT(ISERROR(SEARCH("SELECT",K11)))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L11:L60">
      <formula1>IF(B11="Site",SiteTypeCV,NotApplicable)</formula1>
    </dataValidation>
    <dataValidation type="list" allowBlank="1" showInputMessage="1" showErrorMessage="1" sqref="R11:R60">
      <formula1>IF(B11="Specimen",SampledMediumCV,NotApplicable)</formula1>
    </dataValidation>
    <dataValidation type="list" allowBlank="1" showInputMessage="1" showErrorMessage="1" sqref="S11:S60">
      <formula1>IF(B11="Specimen",Boolean,NotApplicable)</formula1>
    </dataValidation>
    <dataValidation type="list" allowBlank="1" showInputMessage="1" showErrorMessage="1" sqref="Q11:Q60">
      <formula1>IF(B11="Specimen",SpecimenTypeCV,NotApplicable)</formula1>
    </dataValidation>
    <dataValidation allowBlank="1" showInputMessage="1" showErrorMessage="1" errorTitle="Invalid Value" error="This column only applies to sampling features that are either sites or specimens." sqref="K11:K60 P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election activeCell="A6" sqref="A6"/>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32" t="s">
        <v>1263</v>
      </c>
    </row>
    <row r="2" spans="1:11" ht="15.75" thickBot="1" x14ac:dyDescent="0.3">
      <c r="A2" s="32" t="s">
        <v>1265</v>
      </c>
    </row>
    <row r="3" spans="1:11" ht="15.75" thickBot="1" x14ac:dyDescent="0.3">
      <c r="G3" s="33" t="s">
        <v>1273</v>
      </c>
      <c r="H3" s="34">
        <f>COUNTA(RelatedFeatures[First Sampling Feature Code])</f>
        <v>0</v>
      </c>
      <c r="I3" s="33" t="s">
        <v>1274</v>
      </c>
      <c r="J3" s="34">
        <f>MAX(RelatedFeatures[OffsetID])</f>
        <v>0</v>
      </c>
    </row>
    <row r="4" spans="1:11" ht="15.75" thickBot="1" x14ac:dyDescent="0.3"/>
    <row r="5" spans="1:11" x14ac:dyDescent="0.25">
      <c r="A5" s="122" t="s">
        <v>268</v>
      </c>
      <c r="B5" s="123"/>
      <c r="C5" s="123"/>
      <c r="D5" s="123"/>
      <c r="E5" s="123"/>
      <c r="F5" s="123"/>
      <c r="G5" s="123"/>
      <c r="H5" s="123"/>
      <c r="I5" s="123"/>
      <c r="J5" s="123"/>
      <c r="K5" s="126"/>
    </row>
    <row r="6" spans="1:11" ht="15.75" thickBot="1" x14ac:dyDescent="0.3">
      <c r="A6" s="98" t="s">
        <v>265</v>
      </c>
      <c r="B6" s="77" t="s">
        <v>266</v>
      </c>
      <c r="C6" s="77" t="s">
        <v>267</v>
      </c>
      <c r="D6" s="99" t="s">
        <v>253</v>
      </c>
      <c r="E6" s="99" t="s">
        <v>254</v>
      </c>
      <c r="F6" s="99" t="s">
        <v>255</v>
      </c>
      <c r="G6" s="99" t="s">
        <v>256</v>
      </c>
      <c r="H6" s="99" t="s">
        <v>257</v>
      </c>
      <c r="I6" s="99" t="s">
        <v>258</v>
      </c>
      <c r="J6" s="100" t="s">
        <v>259</v>
      </c>
      <c r="K6" s="101" t="s">
        <v>1264</v>
      </c>
    </row>
    <row r="7" spans="1:11" ht="15.75" thickTop="1" x14ac:dyDescent="0.25">
      <c r="A7" s="90"/>
      <c r="B7" s="91"/>
      <c r="C7" s="91"/>
      <c r="D7" s="92"/>
      <c r="E7" s="92"/>
      <c r="F7" s="92"/>
      <c r="G7" s="92"/>
      <c r="H7" s="92"/>
      <c r="I7" s="92"/>
      <c r="J7" s="93"/>
      <c r="K7" s="102" t="str">
        <f>IF(COUNTA(RelatedFeatures[[#This Row],[Spatial Offset Type]:[Offset 3 Unit]])&gt;0,MAX(K$6:K6)+1,"")</f>
        <v/>
      </c>
    </row>
    <row r="8" spans="1:11" x14ac:dyDescent="0.25">
      <c r="A8" s="90"/>
      <c r="B8" s="91"/>
      <c r="C8" s="91"/>
      <c r="D8" s="92"/>
      <c r="E8" s="92"/>
      <c r="F8" s="92"/>
      <c r="G8" s="92"/>
      <c r="H8" s="92"/>
      <c r="I8" s="92"/>
      <c r="J8" s="93"/>
      <c r="K8" s="102" t="str">
        <f>IF(COUNTA(RelatedFeatures[[#This Row],[Spatial Offset Type]:[Offset 3 Unit]])&gt;0,MAX(K$6:K7)+1,"")</f>
        <v/>
      </c>
    </row>
    <row r="9" spans="1:11" x14ac:dyDescent="0.25">
      <c r="A9" s="90"/>
      <c r="B9" s="91"/>
      <c r="C9" s="91"/>
      <c r="D9" s="92"/>
      <c r="E9" s="92"/>
      <c r="F9" s="92"/>
      <c r="G9" s="92"/>
      <c r="H9" s="92"/>
      <c r="I9" s="92"/>
      <c r="J9" s="93"/>
      <c r="K9" s="102" t="str">
        <f>IF(COUNTA(RelatedFeatures[[#This Row],[Spatial Offset Type]:[Offset 3 Unit]])&gt;0,MAX(K$6:K8)+1,"")</f>
        <v/>
      </c>
    </row>
    <row r="10" spans="1:11" x14ac:dyDescent="0.25">
      <c r="A10" s="90"/>
      <c r="B10" s="91"/>
      <c r="C10" s="91"/>
      <c r="D10" s="92"/>
      <c r="E10" s="92"/>
      <c r="F10" s="92"/>
      <c r="G10" s="92"/>
      <c r="H10" s="92"/>
      <c r="I10" s="92"/>
      <c r="J10" s="93"/>
      <c r="K10" s="102" t="str">
        <f>IF(COUNTA(RelatedFeatures[[#This Row],[Spatial Offset Type]:[Offset 3 Unit]])&gt;0,MAX(K$6:K9)+1,"")</f>
        <v/>
      </c>
    </row>
    <row r="11" spans="1:11" x14ac:dyDescent="0.25">
      <c r="A11" s="90"/>
      <c r="B11" s="91"/>
      <c r="C11" s="91"/>
      <c r="D11" s="92"/>
      <c r="E11" s="92"/>
      <c r="F11" s="92"/>
      <c r="G11" s="92"/>
      <c r="H11" s="92"/>
      <c r="I11" s="92"/>
      <c r="J11" s="93"/>
      <c r="K11" s="102" t="str">
        <f>IF(COUNTA(RelatedFeatures[[#This Row],[Spatial Offset Type]:[Offset 3 Unit]])&gt;0,MAX(K$6:K10)+1,"")</f>
        <v/>
      </c>
    </row>
    <row r="12" spans="1:11" x14ac:dyDescent="0.25">
      <c r="A12" s="90"/>
      <c r="B12" s="91"/>
      <c r="C12" s="91"/>
      <c r="D12" s="92"/>
      <c r="E12" s="92"/>
      <c r="F12" s="92"/>
      <c r="G12" s="92"/>
      <c r="H12" s="92"/>
      <c r="I12" s="92"/>
      <c r="J12" s="93"/>
      <c r="K12" s="102" t="str">
        <f>IF(COUNTA(RelatedFeatures[[#This Row],[Spatial Offset Type]:[Offset 3 Unit]])&gt;0,MAX(K$6:K11)+1,"")</f>
        <v/>
      </c>
    </row>
    <row r="13" spans="1:11" x14ac:dyDescent="0.25">
      <c r="A13" s="90"/>
      <c r="B13" s="91"/>
      <c r="C13" s="91"/>
      <c r="D13" s="92"/>
      <c r="E13" s="92"/>
      <c r="F13" s="92"/>
      <c r="G13" s="92"/>
      <c r="H13" s="92"/>
      <c r="I13" s="92"/>
      <c r="J13" s="93"/>
      <c r="K13" s="102" t="str">
        <f>IF(COUNTA(RelatedFeatures[[#This Row],[Spatial Offset Type]:[Offset 3 Unit]])&gt;0,MAX(K$6:K12)+1,"")</f>
        <v/>
      </c>
    </row>
    <row r="14" spans="1:11" x14ac:dyDescent="0.25">
      <c r="A14" s="90"/>
      <c r="B14" s="91"/>
      <c r="C14" s="91"/>
      <c r="D14" s="92"/>
      <c r="E14" s="92"/>
      <c r="F14" s="92"/>
      <c r="G14" s="92"/>
      <c r="H14" s="92"/>
      <c r="I14" s="92"/>
      <c r="J14" s="93"/>
      <c r="K14" s="102" t="str">
        <f>IF(COUNTA(RelatedFeatures[[#This Row],[Spatial Offset Type]:[Offset 3 Unit]])&gt;0,MAX(K$6:K13)+1,"")</f>
        <v/>
      </c>
    </row>
    <row r="15" spans="1:11" x14ac:dyDescent="0.25">
      <c r="A15" s="90"/>
      <c r="B15" s="91"/>
      <c r="C15" s="91"/>
      <c r="D15" s="92"/>
      <c r="E15" s="92"/>
      <c r="F15" s="92"/>
      <c r="G15" s="92"/>
      <c r="H15" s="92"/>
      <c r="I15" s="92"/>
      <c r="J15" s="93"/>
      <c r="K15" s="102" t="str">
        <f>IF(COUNTA(RelatedFeatures[[#This Row],[Spatial Offset Type]:[Offset 3 Unit]])&gt;0,MAX(K$6:K14)+1,"")</f>
        <v/>
      </c>
    </row>
    <row r="16" spans="1:11" x14ac:dyDescent="0.25">
      <c r="A16" s="90"/>
      <c r="B16" s="91"/>
      <c r="C16" s="91"/>
      <c r="D16" s="92"/>
      <c r="E16" s="92"/>
      <c r="F16" s="92"/>
      <c r="G16" s="92"/>
      <c r="H16" s="92"/>
      <c r="I16" s="92"/>
      <c r="J16" s="93"/>
      <c r="K16" s="102" t="str">
        <f>IF(COUNTA(RelatedFeatures[[#This Row],[Spatial Offset Type]:[Offset 3 Unit]])&gt;0,MAX(K$6:K15)+1,"")</f>
        <v/>
      </c>
    </row>
    <row r="17" spans="1:11" x14ac:dyDescent="0.25">
      <c r="A17" s="90"/>
      <c r="B17" s="91"/>
      <c r="C17" s="91"/>
      <c r="D17" s="92"/>
      <c r="E17" s="92"/>
      <c r="F17" s="92"/>
      <c r="G17" s="92"/>
      <c r="H17" s="92"/>
      <c r="I17" s="92"/>
      <c r="J17" s="93"/>
      <c r="K17" s="102" t="str">
        <f>IF(COUNTA(RelatedFeatures[[#This Row],[Spatial Offset Type]:[Offset 3 Unit]])&gt;0,MAX(K$6:K16)+1,"")</f>
        <v/>
      </c>
    </row>
    <row r="18" spans="1:11" x14ac:dyDescent="0.25">
      <c r="A18" s="90"/>
      <c r="B18" s="91"/>
      <c r="C18" s="91"/>
      <c r="D18" s="92"/>
      <c r="E18" s="92"/>
      <c r="F18" s="92"/>
      <c r="G18" s="92"/>
      <c r="H18" s="92"/>
      <c r="I18" s="92"/>
      <c r="J18" s="93"/>
      <c r="K18" s="102" t="str">
        <f>IF(COUNTA(RelatedFeatures[[#This Row],[Spatial Offset Type]:[Offset 3 Unit]])&gt;0,MAX(K$6:K17)+1,"")</f>
        <v/>
      </c>
    </row>
    <row r="19" spans="1:11" x14ac:dyDescent="0.25">
      <c r="A19" s="90"/>
      <c r="B19" s="91"/>
      <c r="C19" s="91"/>
      <c r="D19" s="92"/>
      <c r="E19" s="92"/>
      <c r="F19" s="92"/>
      <c r="G19" s="92"/>
      <c r="H19" s="92"/>
      <c r="I19" s="92"/>
      <c r="J19" s="93"/>
      <c r="K19" s="102" t="str">
        <f>IF(COUNTA(RelatedFeatures[[#This Row],[Spatial Offset Type]:[Offset 3 Unit]])&gt;0,MAX(K$6:K18)+1,"")</f>
        <v/>
      </c>
    </row>
    <row r="20" spans="1:11" x14ac:dyDescent="0.25">
      <c r="A20" s="90"/>
      <c r="B20" s="91"/>
      <c r="C20" s="91"/>
      <c r="D20" s="92"/>
      <c r="E20" s="92"/>
      <c r="F20" s="92"/>
      <c r="G20" s="92"/>
      <c r="H20" s="92"/>
      <c r="I20" s="92"/>
      <c r="J20" s="93"/>
      <c r="K20" s="102" t="str">
        <f>IF(COUNTA(RelatedFeatures[[#This Row],[Spatial Offset Type]:[Offset 3 Unit]])&gt;0,MAX(K$6:K19)+1,"")</f>
        <v/>
      </c>
    </row>
    <row r="21" spans="1:11" x14ac:dyDescent="0.25">
      <c r="A21" s="90"/>
      <c r="B21" s="91"/>
      <c r="C21" s="91"/>
      <c r="D21" s="92"/>
      <c r="E21" s="92"/>
      <c r="F21" s="92"/>
      <c r="G21" s="92"/>
      <c r="H21" s="92"/>
      <c r="I21" s="92"/>
      <c r="J21" s="93"/>
      <c r="K21" s="102" t="str">
        <f>IF(COUNTA(RelatedFeatures[[#This Row],[Spatial Offset Type]:[Offset 3 Unit]])&gt;0,MAX(K$6:K20)+1,"")</f>
        <v/>
      </c>
    </row>
    <row r="22" spans="1:11" x14ac:dyDescent="0.25">
      <c r="A22" s="90"/>
      <c r="B22" s="91"/>
      <c r="C22" s="91"/>
      <c r="D22" s="92"/>
      <c r="E22" s="92"/>
      <c r="F22" s="92"/>
      <c r="G22" s="92"/>
      <c r="H22" s="92"/>
      <c r="I22" s="92"/>
      <c r="J22" s="93"/>
      <c r="K22" s="102" t="str">
        <f>IF(COUNTA(RelatedFeatures[[#This Row],[Spatial Offset Type]:[Offset 3 Unit]])&gt;0,MAX(K$6:K21)+1,"")</f>
        <v/>
      </c>
    </row>
    <row r="23" spans="1:11" x14ac:dyDescent="0.25">
      <c r="A23" s="90"/>
      <c r="B23" s="91"/>
      <c r="C23" s="91"/>
      <c r="D23" s="92"/>
      <c r="E23" s="92"/>
      <c r="F23" s="92"/>
      <c r="G23" s="92"/>
      <c r="H23" s="92"/>
      <c r="I23" s="92"/>
      <c r="J23" s="93"/>
      <c r="K23" s="102" t="str">
        <f>IF(COUNTA(RelatedFeatures[[#This Row],[Spatial Offset Type]:[Offset 3 Unit]])&gt;0,MAX(K$6:K22)+1,"")</f>
        <v/>
      </c>
    </row>
    <row r="24" spans="1:11" x14ac:dyDescent="0.25">
      <c r="A24" s="90"/>
      <c r="B24" s="91"/>
      <c r="C24" s="91"/>
      <c r="D24" s="92"/>
      <c r="E24" s="92"/>
      <c r="F24" s="92"/>
      <c r="G24" s="92"/>
      <c r="H24" s="92"/>
      <c r="I24" s="92"/>
      <c r="J24" s="93"/>
      <c r="K24" s="102" t="str">
        <f>IF(COUNTA(RelatedFeatures[[#This Row],[Spatial Offset Type]:[Offset 3 Unit]])&gt;0,MAX(K$6:K23)+1,"")</f>
        <v/>
      </c>
    </row>
    <row r="25" spans="1:11" x14ac:dyDescent="0.25">
      <c r="A25" s="90"/>
      <c r="B25" s="91"/>
      <c r="C25" s="91"/>
      <c r="D25" s="92"/>
      <c r="E25" s="92"/>
      <c r="F25" s="92"/>
      <c r="G25" s="92"/>
      <c r="H25" s="92"/>
      <c r="I25" s="92"/>
      <c r="J25" s="93"/>
      <c r="K25" s="102" t="str">
        <f>IF(COUNTA(RelatedFeatures[[#This Row],[Spatial Offset Type]:[Offset 3 Unit]])&gt;0,MAX(K$6:K24)+1,"")</f>
        <v/>
      </c>
    </row>
    <row r="26" spans="1:11" x14ac:dyDescent="0.25">
      <c r="A26" s="90"/>
      <c r="B26" s="91"/>
      <c r="C26" s="91"/>
      <c r="D26" s="92"/>
      <c r="E26" s="92"/>
      <c r="F26" s="92"/>
      <c r="G26" s="92"/>
      <c r="H26" s="92"/>
      <c r="I26" s="92"/>
      <c r="J26" s="93"/>
      <c r="K26" s="102" t="str">
        <f>IF(COUNTA(RelatedFeatures[[#This Row],[Spatial Offset Type]:[Offset 3 Unit]])&gt;0,MAX(K$6:K25)+1,"")</f>
        <v/>
      </c>
    </row>
    <row r="27" spans="1:11" x14ac:dyDescent="0.25">
      <c r="A27" s="90"/>
      <c r="B27" s="91"/>
      <c r="C27" s="91"/>
      <c r="D27" s="92"/>
      <c r="E27" s="92"/>
      <c r="F27" s="92"/>
      <c r="G27" s="92"/>
      <c r="H27" s="92"/>
      <c r="I27" s="92"/>
      <c r="J27" s="93"/>
      <c r="K27" s="102" t="str">
        <f>IF(COUNTA(RelatedFeatures[[#This Row],[Spatial Offset Type]:[Offset 3 Unit]])&gt;0,MAX(K$6:K26)+1,"")</f>
        <v/>
      </c>
    </row>
    <row r="28" spans="1:11" x14ac:dyDescent="0.25">
      <c r="A28" s="90"/>
      <c r="B28" s="91"/>
      <c r="C28" s="91"/>
      <c r="D28" s="92"/>
      <c r="E28" s="92"/>
      <c r="F28" s="92"/>
      <c r="G28" s="92"/>
      <c r="H28" s="92"/>
      <c r="I28" s="92"/>
      <c r="J28" s="93"/>
      <c r="K28" s="102" t="str">
        <f>IF(COUNTA(RelatedFeatures[[#This Row],[Spatial Offset Type]:[Offset 3 Unit]])&gt;0,MAX(K$6:K27)+1,"")</f>
        <v/>
      </c>
    </row>
    <row r="29" spans="1:11" x14ac:dyDescent="0.25">
      <c r="A29" s="90"/>
      <c r="B29" s="91"/>
      <c r="C29" s="91"/>
      <c r="D29" s="92"/>
      <c r="E29" s="92"/>
      <c r="F29" s="92"/>
      <c r="G29" s="92"/>
      <c r="H29" s="92"/>
      <c r="I29" s="92"/>
      <c r="J29" s="93"/>
      <c r="K29" s="102" t="str">
        <f>IF(COUNTA(RelatedFeatures[[#This Row],[Spatial Offset Type]:[Offset 3 Unit]])&gt;0,MAX(K$6:K28)+1,"")</f>
        <v/>
      </c>
    </row>
    <row r="30" spans="1:11" x14ac:dyDescent="0.25">
      <c r="A30" s="90"/>
      <c r="B30" s="91"/>
      <c r="C30" s="91"/>
      <c r="D30" s="92"/>
      <c r="E30" s="92"/>
      <c r="F30" s="92"/>
      <c r="G30" s="92"/>
      <c r="H30" s="92"/>
      <c r="I30" s="92"/>
      <c r="J30" s="93"/>
      <c r="K30" s="102" t="str">
        <f>IF(COUNTA(RelatedFeatures[[#This Row],[Spatial Offset Type]:[Offset 3 Unit]])&gt;0,MAX(K$6:K29)+1,"")</f>
        <v/>
      </c>
    </row>
    <row r="31" spans="1:11" x14ac:dyDescent="0.25">
      <c r="A31" s="90"/>
      <c r="B31" s="91"/>
      <c r="C31" s="91"/>
      <c r="D31" s="92"/>
      <c r="E31" s="92"/>
      <c r="F31" s="92"/>
      <c r="G31" s="92"/>
      <c r="H31" s="92"/>
      <c r="I31" s="92"/>
      <c r="J31" s="93"/>
      <c r="K31" s="102" t="str">
        <f>IF(COUNTA(RelatedFeatures[[#This Row],[Spatial Offset Type]:[Offset 3 Unit]])&gt;0,MAX(K$6:K30)+1,"")</f>
        <v/>
      </c>
    </row>
    <row r="32" spans="1:11" x14ac:dyDescent="0.25">
      <c r="A32" s="90"/>
      <c r="B32" s="91"/>
      <c r="C32" s="91"/>
      <c r="D32" s="92"/>
      <c r="E32" s="92"/>
      <c r="F32" s="92"/>
      <c r="G32" s="92"/>
      <c r="H32" s="92"/>
      <c r="I32" s="92"/>
      <c r="J32" s="93"/>
      <c r="K32" s="102" t="str">
        <f>IF(COUNTA(RelatedFeatures[[#This Row],[Spatial Offset Type]:[Offset 3 Unit]])&gt;0,MAX(K$6:K31)+1,"")</f>
        <v/>
      </c>
    </row>
    <row r="33" spans="1:11" x14ac:dyDescent="0.25">
      <c r="A33" s="90"/>
      <c r="B33" s="91"/>
      <c r="C33" s="91"/>
      <c r="D33" s="92"/>
      <c r="E33" s="92"/>
      <c r="F33" s="92"/>
      <c r="G33" s="92"/>
      <c r="H33" s="92"/>
      <c r="I33" s="92"/>
      <c r="J33" s="93"/>
      <c r="K33" s="102" t="str">
        <f>IF(COUNTA(RelatedFeatures[[#This Row],[Spatial Offset Type]:[Offset 3 Unit]])&gt;0,MAX(K$6:K32)+1,"")</f>
        <v/>
      </c>
    </row>
    <row r="34" spans="1:11" x14ac:dyDescent="0.25">
      <c r="A34" s="90"/>
      <c r="B34" s="91"/>
      <c r="C34" s="91"/>
      <c r="D34" s="92"/>
      <c r="E34" s="92"/>
      <c r="F34" s="92"/>
      <c r="G34" s="92"/>
      <c r="H34" s="92"/>
      <c r="I34" s="92"/>
      <c r="J34" s="93"/>
      <c r="K34" s="102" t="str">
        <f>IF(COUNTA(RelatedFeatures[[#This Row],[Spatial Offset Type]:[Offset 3 Unit]])&gt;0,MAX(K$6:K33)+1,"")</f>
        <v/>
      </c>
    </row>
    <row r="35" spans="1:11" x14ac:dyDescent="0.25">
      <c r="A35" s="90"/>
      <c r="B35" s="91"/>
      <c r="C35" s="91"/>
      <c r="D35" s="92"/>
      <c r="E35" s="92"/>
      <c r="F35" s="92"/>
      <c r="G35" s="92"/>
      <c r="H35" s="92"/>
      <c r="I35" s="92"/>
      <c r="J35" s="93"/>
      <c r="K35" s="102" t="str">
        <f>IF(COUNTA(RelatedFeatures[[#This Row],[Spatial Offset Type]:[Offset 3 Unit]])&gt;0,MAX(K$6:K34)+1,"")</f>
        <v/>
      </c>
    </row>
    <row r="36" spans="1:11" x14ac:dyDescent="0.25">
      <c r="A36" s="90"/>
      <c r="B36" s="91"/>
      <c r="C36" s="91"/>
      <c r="D36" s="92"/>
      <c r="E36" s="92"/>
      <c r="F36" s="92"/>
      <c r="G36" s="92"/>
      <c r="H36" s="92"/>
      <c r="I36" s="92"/>
      <c r="J36" s="93"/>
      <c r="K36" s="102" t="str">
        <f>IF(COUNTA(RelatedFeatures[[#This Row],[Spatial Offset Type]:[Offset 3 Unit]])&gt;0,MAX(K$6:K35)+1,"")</f>
        <v/>
      </c>
    </row>
    <row r="37" spans="1:11" x14ac:dyDescent="0.25">
      <c r="A37" s="90"/>
      <c r="B37" s="91"/>
      <c r="C37" s="91"/>
      <c r="D37" s="92"/>
      <c r="E37" s="92"/>
      <c r="F37" s="92"/>
      <c r="G37" s="92"/>
      <c r="H37" s="92"/>
      <c r="I37" s="92"/>
      <c r="J37" s="93"/>
      <c r="K37" s="102" t="str">
        <f>IF(COUNTA(RelatedFeatures[[#This Row],[Spatial Offset Type]:[Offset 3 Unit]])&gt;0,MAX(K$6:K36)+1,"")</f>
        <v/>
      </c>
    </row>
    <row r="38" spans="1:11" ht="15.75" thickBot="1" x14ac:dyDescent="0.3">
      <c r="A38" s="94"/>
      <c r="B38" s="95"/>
      <c r="C38" s="95"/>
      <c r="D38" s="96"/>
      <c r="E38" s="96"/>
      <c r="F38" s="96"/>
      <c r="G38" s="96"/>
      <c r="H38" s="96"/>
      <c r="I38" s="96"/>
      <c r="J38" s="97"/>
      <c r="K38" s="103" t="str">
        <f>IF(COUNTA(RelatedFeatures[[#This Row],[Spatial Offset Type]:[Offset 3 Unit]])&gt;0,MAX(K$6:K37)+1,"")</f>
        <v/>
      </c>
    </row>
  </sheetData>
  <sheetProtection password="CA31" sheet="1" objects="1" scenarios="1"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7"/>
  <sheetViews>
    <sheetView topLeftCell="A2" workbookViewId="0">
      <selection activeCell="D37" sqref="D37"/>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303</v>
      </c>
    </row>
    <row r="2" spans="1:6" ht="15.75" thickBot="1" x14ac:dyDescent="0.3">
      <c r="A2" s="32" t="s">
        <v>1173</v>
      </c>
    </row>
    <row r="3" spans="1:6" ht="15.75" thickBot="1" x14ac:dyDescent="0.3">
      <c r="A3" s="32" t="s">
        <v>302</v>
      </c>
      <c r="E3" s="33" t="s">
        <v>1279</v>
      </c>
      <c r="F3" s="34">
        <f>COUNTA(MethodCodes)</f>
        <v>0</v>
      </c>
    </row>
    <row r="4" spans="1:6" ht="15.75" thickBot="1" x14ac:dyDescent="0.3"/>
    <row r="5" spans="1:6" x14ac:dyDescent="0.25">
      <c r="A5" s="119" t="s">
        <v>275</v>
      </c>
      <c r="B5" s="120"/>
      <c r="C5" s="120"/>
      <c r="D5" s="120"/>
      <c r="E5" s="120"/>
      <c r="F5" s="121"/>
    </row>
    <row r="6" spans="1:6" ht="15.75" thickBot="1" x14ac:dyDescent="0.3">
      <c r="A6" s="82" t="s">
        <v>272</v>
      </c>
      <c r="B6" s="77" t="s">
        <v>151</v>
      </c>
      <c r="C6" s="77" t="s">
        <v>150</v>
      </c>
      <c r="D6" s="88" t="s">
        <v>152</v>
      </c>
      <c r="E6" s="88" t="s">
        <v>273</v>
      </c>
      <c r="F6" s="80" t="s">
        <v>21</v>
      </c>
    </row>
    <row r="7" spans="1:6" ht="15.75" thickTop="1" x14ac:dyDescent="0.25">
      <c r="A7" s="104"/>
      <c r="B7" s="91"/>
      <c r="C7" s="105"/>
      <c r="D7" s="106"/>
      <c r="E7" s="107"/>
      <c r="F7" s="108"/>
    </row>
    <row r="8" spans="1:6" x14ac:dyDescent="0.25">
      <c r="A8" s="104"/>
      <c r="B8" s="91"/>
      <c r="C8" s="105"/>
      <c r="D8" s="106"/>
      <c r="E8" s="107"/>
      <c r="F8" s="108"/>
    </row>
    <row r="9" spans="1:6" x14ac:dyDescent="0.25">
      <c r="A9" s="104"/>
      <c r="B9" s="91"/>
      <c r="C9" s="105"/>
      <c r="D9" s="106"/>
      <c r="E9" s="107"/>
      <c r="F9" s="108"/>
    </row>
    <row r="10" spans="1:6" x14ac:dyDescent="0.25">
      <c r="A10" s="104"/>
      <c r="B10" s="91"/>
      <c r="C10" s="105"/>
      <c r="D10" s="106"/>
      <c r="E10" s="107"/>
      <c r="F10" s="108"/>
    </row>
    <row r="11" spans="1:6" x14ac:dyDescent="0.25">
      <c r="A11" s="104"/>
      <c r="B11" s="91"/>
      <c r="C11" s="105"/>
      <c r="D11" s="106"/>
      <c r="E11" s="107"/>
      <c r="F11" s="108"/>
    </row>
    <row r="12" spans="1:6" x14ac:dyDescent="0.25">
      <c r="A12" s="104"/>
      <c r="B12" s="91"/>
      <c r="C12" s="105"/>
      <c r="D12" s="106"/>
      <c r="E12" s="92"/>
      <c r="F12" s="108"/>
    </row>
    <row r="13" spans="1:6" x14ac:dyDescent="0.25">
      <c r="A13" s="104"/>
      <c r="B13" s="91"/>
      <c r="C13" s="105"/>
      <c r="D13" s="106"/>
      <c r="E13" s="92"/>
      <c r="F13" s="108"/>
    </row>
    <row r="14" spans="1:6" x14ac:dyDescent="0.25">
      <c r="A14" s="104"/>
      <c r="B14" s="91"/>
      <c r="C14" s="105"/>
      <c r="D14" s="106"/>
      <c r="E14" s="92"/>
      <c r="F14" s="108"/>
    </row>
    <row r="15" spans="1:6" x14ac:dyDescent="0.25">
      <c r="A15" s="104"/>
      <c r="B15" s="91"/>
      <c r="C15" s="105"/>
      <c r="D15" s="106"/>
      <c r="E15" s="92"/>
      <c r="F15" s="108"/>
    </row>
    <row r="16" spans="1:6" x14ac:dyDescent="0.25">
      <c r="A16" s="104"/>
      <c r="B16" s="91"/>
      <c r="C16" s="105"/>
      <c r="D16" s="106"/>
      <c r="E16" s="92"/>
      <c r="F16" s="108"/>
    </row>
    <row r="17" spans="1:6" x14ac:dyDescent="0.25">
      <c r="A17" s="104"/>
      <c r="B17" s="91"/>
      <c r="C17" s="105"/>
      <c r="D17" s="106"/>
      <c r="E17" s="92"/>
      <c r="F17" s="108"/>
    </row>
    <row r="18" spans="1:6" x14ac:dyDescent="0.25">
      <c r="A18" s="104"/>
      <c r="B18" s="91"/>
      <c r="C18" s="105"/>
      <c r="D18" s="106"/>
      <c r="E18" s="92"/>
      <c r="F18" s="108"/>
    </row>
    <row r="19" spans="1:6" x14ac:dyDescent="0.25">
      <c r="A19" s="104"/>
      <c r="B19" s="91"/>
      <c r="C19" s="105"/>
      <c r="D19" s="106"/>
      <c r="E19" s="92"/>
      <c r="F19" s="108"/>
    </row>
    <row r="20" spans="1:6" x14ac:dyDescent="0.25">
      <c r="A20" s="104"/>
      <c r="B20" s="91"/>
      <c r="C20" s="105"/>
      <c r="D20" s="106"/>
      <c r="E20" s="92"/>
      <c r="F20" s="108"/>
    </row>
    <row r="21" spans="1:6" x14ac:dyDescent="0.25">
      <c r="A21" s="104"/>
      <c r="B21" s="91"/>
      <c r="C21" s="105"/>
      <c r="D21" s="106"/>
      <c r="E21" s="92"/>
      <c r="F21" s="108"/>
    </row>
    <row r="22" spans="1:6" x14ac:dyDescent="0.25">
      <c r="A22" s="104"/>
      <c r="B22" s="91"/>
      <c r="C22" s="105"/>
      <c r="D22" s="106"/>
      <c r="E22" s="92"/>
      <c r="F22" s="108"/>
    </row>
    <row r="23" spans="1:6" x14ac:dyDescent="0.25">
      <c r="A23" s="104"/>
      <c r="B23" s="91"/>
      <c r="C23" s="105"/>
      <c r="D23" s="106"/>
      <c r="E23" s="92"/>
      <c r="F23" s="108"/>
    </row>
    <row r="24" spans="1:6" x14ac:dyDescent="0.25">
      <c r="A24" s="104"/>
      <c r="B24" s="91"/>
      <c r="C24" s="105"/>
      <c r="D24" s="106"/>
      <c r="E24" s="92"/>
      <c r="F24" s="108"/>
    </row>
    <row r="25" spans="1:6" x14ac:dyDescent="0.25">
      <c r="A25" s="104"/>
      <c r="B25" s="91"/>
      <c r="C25" s="105"/>
      <c r="D25" s="106"/>
      <c r="E25" s="92"/>
      <c r="F25" s="108"/>
    </row>
    <row r="26" spans="1:6" x14ac:dyDescent="0.25">
      <c r="A26" s="104"/>
      <c r="B26" s="91"/>
      <c r="C26" s="105"/>
      <c r="D26" s="106"/>
      <c r="E26" s="92"/>
      <c r="F26" s="108"/>
    </row>
    <row r="27" spans="1:6" x14ac:dyDescent="0.25">
      <c r="A27" s="104"/>
      <c r="B27" s="91"/>
      <c r="C27" s="105"/>
      <c r="D27" s="106"/>
      <c r="E27" s="92"/>
      <c r="F27" s="108"/>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7">
      <formula1>MethodTypeCV</formula1>
    </dataValidation>
    <dataValidation type="list" allowBlank="1" showInputMessage="1" showErrorMessage="1" sqref="F7:F27">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election activeCell="F14" sqref="F14"/>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32" t="s">
        <v>310</v>
      </c>
    </row>
    <row r="2" spans="1:6" ht="15.75" thickBot="1" x14ac:dyDescent="0.3">
      <c r="A2" s="32" t="s">
        <v>1174</v>
      </c>
    </row>
    <row r="3" spans="1:6" ht="15.75" thickBot="1" x14ac:dyDescent="0.3">
      <c r="A3" s="32" t="s">
        <v>311</v>
      </c>
      <c r="E3" s="33" t="s">
        <v>1280</v>
      </c>
      <c r="F3" s="34">
        <f>COUNTA(VariableCodes)</f>
        <v>0</v>
      </c>
    </row>
    <row r="4" spans="1:6" ht="15.75" thickBot="1" x14ac:dyDescent="0.3"/>
    <row r="5" spans="1:6" x14ac:dyDescent="0.25">
      <c r="A5" s="119" t="s">
        <v>316</v>
      </c>
      <c r="B5" s="120"/>
      <c r="C5" s="120"/>
      <c r="D5" s="120"/>
      <c r="E5" s="120"/>
      <c r="F5" s="121"/>
    </row>
    <row r="6" spans="1:6" ht="15.75" thickBot="1" x14ac:dyDescent="0.3">
      <c r="A6" s="82" t="s">
        <v>312</v>
      </c>
      <c r="B6" s="77" t="s">
        <v>148</v>
      </c>
      <c r="C6" s="77" t="s">
        <v>147</v>
      </c>
      <c r="D6" s="88" t="s">
        <v>313</v>
      </c>
      <c r="E6" s="88" t="s">
        <v>314</v>
      </c>
      <c r="F6" s="83" t="s">
        <v>315</v>
      </c>
    </row>
    <row r="7" spans="1:6" ht="15.75" thickTop="1" x14ac:dyDescent="0.25">
      <c r="A7" s="104"/>
      <c r="B7" s="91"/>
      <c r="C7" s="91"/>
      <c r="D7" s="92"/>
      <c r="E7" s="92"/>
      <c r="F7" s="109"/>
    </row>
    <row r="8" spans="1:6" x14ac:dyDescent="0.25">
      <c r="A8" s="104"/>
      <c r="B8" s="91"/>
      <c r="C8" s="91"/>
      <c r="D8" s="92"/>
      <c r="E8" s="92"/>
      <c r="F8" s="109"/>
    </row>
    <row r="9" spans="1:6" x14ac:dyDescent="0.25">
      <c r="A9" s="104"/>
      <c r="B9" s="91"/>
      <c r="C9" s="91"/>
      <c r="D9" s="92"/>
      <c r="E9" s="92"/>
      <c r="F9" s="109"/>
    </row>
    <row r="10" spans="1:6" x14ac:dyDescent="0.25">
      <c r="A10" s="104"/>
      <c r="B10" s="91"/>
      <c r="C10" s="91"/>
      <c r="D10" s="92"/>
      <c r="E10" s="92"/>
      <c r="F10" s="109"/>
    </row>
    <row r="11" spans="1:6" x14ac:dyDescent="0.25">
      <c r="A11" s="104"/>
      <c r="B11" s="91"/>
      <c r="C11" s="91"/>
      <c r="D11" s="92"/>
      <c r="E11" s="92"/>
      <c r="F11" s="109"/>
    </row>
    <row r="12" spans="1:6" x14ac:dyDescent="0.25">
      <c r="A12" s="104"/>
      <c r="B12" s="91"/>
      <c r="C12" s="91"/>
      <c r="D12" s="92"/>
      <c r="E12" s="92"/>
      <c r="F12" s="109"/>
    </row>
    <row r="13" spans="1:6" x14ac:dyDescent="0.25">
      <c r="A13" s="104"/>
      <c r="B13" s="91"/>
      <c r="C13" s="91"/>
      <c r="D13" s="92"/>
      <c r="E13" s="92"/>
      <c r="F13" s="109"/>
    </row>
    <row r="14" spans="1:6" x14ac:dyDescent="0.25">
      <c r="A14" s="104"/>
      <c r="B14" s="91"/>
      <c r="C14" s="91"/>
      <c r="D14" s="92"/>
      <c r="E14" s="92"/>
      <c r="F14" s="109"/>
    </row>
    <row r="15" spans="1:6" x14ac:dyDescent="0.25">
      <c r="A15" s="104"/>
      <c r="B15" s="91"/>
      <c r="C15" s="91"/>
      <c r="D15" s="92"/>
      <c r="E15" s="92"/>
      <c r="F15" s="109"/>
    </row>
    <row r="16" spans="1:6" x14ac:dyDescent="0.25">
      <c r="A16" s="104"/>
      <c r="B16" s="91"/>
      <c r="C16" s="91"/>
      <c r="D16" s="92"/>
      <c r="E16" s="92"/>
      <c r="F16" s="109"/>
    </row>
    <row r="17" spans="1:6" x14ac:dyDescent="0.25">
      <c r="A17" s="104"/>
      <c r="B17" s="91"/>
      <c r="C17" s="91"/>
      <c r="D17" s="92"/>
      <c r="E17" s="92"/>
      <c r="F17" s="109"/>
    </row>
    <row r="18" spans="1:6" x14ac:dyDescent="0.25">
      <c r="A18" s="104"/>
      <c r="B18" s="91"/>
      <c r="C18" s="91"/>
      <c r="D18" s="92"/>
      <c r="E18" s="92"/>
      <c r="F18" s="109"/>
    </row>
    <row r="19" spans="1:6" x14ac:dyDescent="0.25">
      <c r="A19" s="104"/>
      <c r="B19" s="91"/>
      <c r="C19" s="91"/>
      <c r="D19" s="92"/>
      <c r="E19" s="92"/>
      <c r="F19" s="109"/>
    </row>
    <row r="20" spans="1:6" x14ac:dyDescent="0.25">
      <c r="A20" s="104"/>
      <c r="B20" s="91"/>
      <c r="C20" s="91"/>
      <c r="D20" s="92"/>
      <c r="E20" s="92"/>
      <c r="F20" s="109"/>
    </row>
    <row r="21" spans="1:6" x14ac:dyDescent="0.25">
      <c r="A21" s="104"/>
      <c r="B21" s="91"/>
      <c r="C21" s="91"/>
      <c r="D21" s="92"/>
      <c r="E21" s="92"/>
      <c r="F21" s="109"/>
    </row>
    <row r="22" spans="1:6" x14ac:dyDescent="0.25">
      <c r="A22" s="104"/>
      <c r="B22" s="91"/>
      <c r="C22" s="91"/>
      <c r="D22" s="92"/>
      <c r="E22" s="92"/>
      <c r="F22" s="109"/>
    </row>
    <row r="23" spans="1:6" x14ac:dyDescent="0.25">
      <c r="A23" s="104"/>
      <c r="B23" s="91"/>
      <c r="C23" s="91"/>
      <c r="D23" s="92"/>
      <c r="E23" s="92"/>
      <c r="F23" s="109"/>
    </row>
    <row r="24" spans="1:6" x14ac:dyDescent="0.25">
      <c r="A24" s="104"/>
      <c r="B24" s="91"/>
      <c r="C24" s="91"/>
      <c r="D24" s="92"/>
      <c r="E24" s="92"/>
      <c r="F24" s="109"/>
    </row>
    <row r="25" spans="1:6" x14ac:dyDescent="0.25">
      <c r="A25" s="104"/>
      <c r="B25" s="91"/>
      <c r="C25" s="91"/>
      <c r="D25" s="92"/>
      <c r="E25" s="92"/>
      <c r="F25" s="109"/>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A7" sqref="A7:C9"/>
    </sheetView>
  </sheetViews>
  <sheetFormatPr defaultRowHeight="15" x14ac:dyDescent="0.25"/>
  <cols>
    <col min="1" max="1" width="23.42578125" style="7" customWidth="1"/>
    <col min="2" max="2" width="29.7109375" style="7" customWidth="1"/>
    <col min="3" max="3" width="64" style="110" customWidth="1"/>
    <col min="4" max="4" width="8" style="7" bestFit="1" customWidth="1"/>
    <col min="5" max="16384" width="9.140625" style="7"/>
  </cols>
  <sheetData>
    <row r="1" spans="1:5" x14ac:dyDescent="0.25">
      <c r="A1" s="32" t="s">
        <v>1225</v>
      </c>
    </row>
    <row r="2" spans="1:5" ht="15.75" thickBot="1" x14ac:dyDescent="0.3">
      <c r="A2" s="32" t="s">
        <v>1226</v>
      </c>
    </row>
    <row r="3" spans="1:5" ht="15.75" thickBot="1" x14ac:dyDescent="0.3">
      <c r="A3" s="32" t="s">
        <v>1227</v>
      </c>
      <c r="D3" s="33" t="s">
        <v>1281</v>
      </c>
      <c r="E3" s="34">
        <f>COUNTA(ProcessingLevelCodes)</f>
        <v>0</v>
      </c>
    </row>
    <row r="4" spans="1:5" ht="15.75" thickBot="1" x14ac:dyDescent="0.3"/>
    <row r="5" spans="1:5" x14ac:dyDescent="0.25">
      <c r="A5" s="122" t="s">
        <v>1230</v>
      </c>
      <c r="B5" s="123"/>
      <c r="C5" s="126"/>
    </row>
    <row r="6" spans="1:5" ht="15.75" thickBot="1" x14ac:dyDescent="0.3">
      <c r="A6" s="82" t="s">
        <v>1228</v>
      </c>
      <c r="B6" s="77" t="s">
        <v>1229</v>
      </c>
      <c r="C6" s="115" t="s">
        <v>1231</v>
      </c>
    </row>
    <row r="7" spans="1:5" ht="15.75" thickTop="1" x14ac:dyDescent="0.25">
      <c r="A7" s="111"/>
      <c r="B7" s="112"/>
      <c r="C7" s="113"/>
    </row>
    <row r="8" spans="1:5" x14ac:dyDescent="0.25">
      <c r="A8" s="104"/>
      <c r="B8" s="92"/>
      <c r="C8" s="114"/>
    </row>
    <row r="9" spans="1:5" x14ac:dyDescent="0.25">
      <c r="A9" s="104"/>
      <c r="B9" s="92"/>
      <c r="C9" s="114"/>
    </row>
    <row r="10" spans="1:5" x14ac:dyDescent="0.25">
      <c r="A10" s="104"/>
      <c r="B10" s="92"/>
      <c r="C10" s="114"/>
    </row>
    <row r="11" spans="1:5" x14ac:dyDescent="0.25">
      <c r="A11" s="104"/>
      <c r="B11" s="92"/>
      <c r="C11" s="114"/>
    </row>
    <row r="12" spans="1:5" x14ac:dyDescent="0.25">
      <c r="A12" s="104"/>
      <c r="B12" s="92"/>
      <c r="C12" s="114"/>
    </row>
    <row r="13" spans="1:5" x14ac:dyDescent="0.25">
      <c r="A13" s="104"/>
      <c r="B13" s="92"/>
      <c r="C13" s="114"/>
    </row>
    <row r="14" spans="1:5" x14ac:dyDescent="0.25">
      <c r="A14" s="104"/>
      <c r="B14" s="92"/>
      <c r="C14" s="114"/>
    </row>
    <row r="15" spans="1:5" x14ac:dyDescent="0.25">
      <c r="A15" s="104"/>
      <c r="B15" s="92"/>
      <c r="C15" s="114"/>
    </row>
    <row r="16" spans="1:5" x14ac:dyDescent="0.25">
      <c r="A16" s="104"/>
      <c r="B16" s="92"/>
      <c r="C16" s="114"/>
    </row>
    <row r="17" spans="1:3" x14ac:dyDescent="0.25">
      <c r="A17" s="104"/>
      <c r="B17" s="92"/>
      <c r="C17" s="114"/>
    </row>
    <row r="18" spans="1:3" x14ac:dyDescent="0.25">
      <c r="A18" s="104"/>
      <c r="B18" s="92"/>
      <c r="C18" s="114"/>
    </row>
    <row r="19" spans="1:3" x14ac:dyDescent="0.25">
      <c r="A19" s="104"/>
      <c r="B19" s="92"/>
      <c r="C19" s="114"/>
    </row>
    <row r="20" spans="1:3" x14ac:dyDescent="0.25">
      <c r="A20" s="104"/>
      <c r="B20" s="92"/>
      <c r="C20" s="114"/>
    </row>
    <row r="21" spans="1:3" x14ac:dyDescent="0.25">
      <c r="A21" s="104"/>
      <c r="B21" s="92"/>
      <c r="C21" s="114"/>
    </row>
    <row r="22" spans="1:3" x14ac:dyDescent="0.25">
      <c r="A22" s="104"/>
      <c r="B22" s="92"/>
      <c r="C22" s="114"/>
    </row>
    <row r="23" spans="1:3" x14ac:dyDescent="0.25">
      <c r="A23" s="104"/>
      <c r="B23" s="92"/>
      <c r="C23" s="114"/>
    </row>
    <row r="24" spans="1:3" x14ac:dyDescent="0.25">
      <c r="A24" s="104"/>
      <c r="B24" s="92"/>
      <c r="C24" s="114"/>
    </row>
  </sheetData>
  <sheetProtection password="CA31" sheet="1" objects="1" scenarios="1"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O98"/>
  <sheetViews>
    <sheetView tabSelected="1" zoomScale="115" zoomScaleNormal="115" zoomScalePageLayoutView="150" workbookViewId="0"/>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6" width="19.85546875" style="7" bestFit="1" customWidth="1"/>
    <col min="7" max="7" width="15.85546875" style="7" bestFit="1" customWidth="1"/>
    <col min="8" max="8" width="12.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5" x14ac:dyDescent="0.25">
      <c r="A1" s="32" t="s">
        <v>140</v>
      </c>
    </row>
    <row r="2" spans="1:15" x14ac:dyDescent="0.25">
      <c r="A2" s="32" t="s">
        <v>1234</v>
      </c>
    </row>
    <row r="3" spans="1:15" x14ac:dyDescent="0.25">
      <c r="A3" s="32" t="s">
        <v>1268</v>
      </c>
      <c r="D3" s="110"/>
    </row>
    <row r="4" spans="1:15" x14ac:dyDescent="0.25">
      <c r="A4" s="32" t="s">
        <v>1316</v>
      </c>
      <c r="D4" s="110"/>
    </row>
    <row r="5" spans="1:15" x14ac:dyDescent="0.25">
      <c r="A5" s="32" t="s">
        <v>1269</v>
      </c>
      <c r="D5" s="110"/>
    </row>
    <row r="6" spans="1:15" x14ac:dyDescent="0.25">
      <c r="A6" s="32" t="s">
        <v>1235</v>
      </c>
      <c r="D6" s="110"/>
    </row>
    <row r="7" spans="1:15" x14ac:dyDescent="0.25">
      <c r="A7" s="32" t="s">
        <v>1255</v>
      </c>
      <c r="D7" s="110"/>
    </row>
    <row r="8" spans="1:15" ht="15.75" thickBot="1" x14ac:dyDescent="0.3">
      <c r="A8" s="32" t="s">
        <v>1251</v>
      </c>
      <c r="D8" s="110"/>
    </row>
    <row r="9" spans="1:15" ht="15.75" thickBot="1" x14ac:dyDescent="0.3">
      <c r="M9" s="118" t="s">
        <v>1270</v>
      </c>
      <c r="N9" s="34">
        <f>MAX(DataColumns[Col '#])-2</f>
        <v>-2</v>
      </c>
      <c r="O9" s="116"/>
    </row>
    <row r="10" spans="1:15" x14ac:dyDescent="0.25">
      <c r="A10" s="128" t="s">
        <v>146</v>
      </c>
      <c r="B10" s="129"/>
      <c r="C10" s="129"/>
      <c r="D10" s="129"/>
      <c r="E10" s="129"/>
      <c r="F10" s="129"/>
      <c r="G10" s="129"/>
      <c r="H10" s="129"/>
      <c r="I10" s="129"/>
      <c r="J10" s="129"/>
      <c r="K10" s="129"/>
      <c r="L10" s="129"/>
      <c r="M10" s="129"/>
      <c r="N10" s="129"/>
      <c r="O10" s="129"/>
    </row>
    <row r="11" spans="1:15" ht="15.75" thickBot="1" x14ac:dyDescent="0.3">
      <c r="A11" s="117" t="s">
        <v>1224</v>
      </c>
      <c r="B11" s="82" t="s">
        <v>1236</v>
      </c>
      <c r="C11" s="88" t="s">
        <v>1175</v>
      </c>
      <c r="D11" s="77" t="s">
        <v>1217</v>
      </c>
      <c r="E11" s="77" t="s">
        <v>151</v>
      </c>
      <c r="F11" s="77" t="s">
        <v>141</v>
      </c>
      <c r="G11" s="77" t="s">
        <v>148</v>
      </c>
      <c r="H11" s="77" t="s">
        <v>149</v>
      </c>
      <c r="I11" s="77" t="s">
        <v>142</v>
      </c>
      <c r="J11" s="77" t="s">
        <v>1176</v>
      </c>
      <c r="K11" s="77" t="s">
        <v>145</v>
      </c>
      <c r="L11" s="77" t="s">
        <v>1219</v>
      </c>
      <c r="M11" s="77" t="s">
        <v>1201</v>
      </c>
      <c r="N11" s="77" t="s">
        <v>143</v>
      </c>
      <c r="O11" s="83" t="s">
        <v>144</v>
      </c>
    </row>
    <row r="12" spans="1:15" ht="15.75" thickTop="1" x14ac:dyDescent="0.25">
      <c r="A12" s="69" t="str">
        <f>IF(COUNTA(DataColumns[[#This Row],[Column Label]:[Quality Code]])&gt;0,IF(MAX(A$11:A11)=0,3,MAX(A$11:A11)+1),"")</f>
        <v/>
      </c>
      <c r="B12" s="22"/>
      <c r="C12" s="24"/>
      <c r="D12" s="23"/>
      <c r="E12" s="23"/>
      <c r="F12" s="23"/>
      <c r="G12" s="23"/>
      <c r="H12" s="23"/>
      <c r="I12" s="23"/>
      <c r="J12" s="23"/>
      <c r="K12" s="23"/>
      <c r="L12" s="23"/>
      <c r="M12" s="23"/>
      <c r="N12" s="23"/>
      <c r="O12" s="48"/>
    </row>
    <row r="13" spans="1:15" x14ac:dyDescent="0.25">
      <c r="A13" s="70" t="str">
        <f>IF(COUNTA(DataColumns[[#This Row],[Column Label]:[Quality Code]])&gt;0,IF(MAX(A$11:A12)=0,3,MAX(A$11:A12)+1),"")</f>
        <v/>
      </c>
      <c r="B13" s="12"/>
      <c r="C13" s="27"/>
      <c r="D13" s="13"/>
      <c r="E13" s="13"/>
      <c r="F13" s="13"/>
      <c r="G13" s="13"/>
      <c r="H13" s="13"/>
      <c r="I13" s="13"/>
      <c r="J13" s="13"/>
      <c r="K13" s="13"/>
      <c r="L13" s="13"/>
      <c r="M13" s="13"/>
      <c r="N13" s="13"/>
      <c r="O13" s="50"/>
    </row>
    <row r="14" spans="1:15" x14ac:dyDescent="0.25">
      <c r="A14" s="70" t="str">
        <f>IF(COUNTA(DataColumns[[#This Row],[Column Label]:[Quality Code]])&gt;0,IF(MAX(A$11:A13)=0,3,MAX(A$11:A13)+1),"")</f>
        <v/>
      </c>
      <c r="B14" s="12"/>
      <c r="C14" s="27"/>
      <c r="D14" s="13"/>
      <c r="E14" s="13"/>
      <c r="F14" s="13"/>
      <c r="G14" s="13"/>
      <c r="H14" s="13"/>
      <c r="I14" s="13"/>
      <c r="J14" s="13"/>
      <c r="K14" s="13"/>
      <c r="L14" s="13"/>
      <c r="M14" s="13"/>
      <c r="N14" s="13"/>
      <c r="O14" s="50"/>
    </row>
    <row r="15" spans="1:15" x14ac:dyDescent="0.25">
      <c r="A15" s="70" t="str">
        <f>IF(COUNTA(DataColumns[[#This Row],[Column Label]:[Quality Code]])&gt;0,IF(MAX(A$11:A14)=0,3,MAX(A$11:A14)+1),"")</f>
        <v/>
      </c>
      <c r="B15" s="12"/>
      <c r="C15" s="27"/>
      <c r="D15" s="13"/>
      <c r="E15" s="13"/>
      <c r="F15" s="13"/>
      <c r="G15" s="13"/>
      <c r="H15" s="13"/>
      <c r="I15" s="13"/>
      <c r="J15" s="13"/>
      <c r="K15" s="13"/>
      <c r="L15" s="13"/>
      <c r="M15" s="13"/>
      <c r="N15" s="13"/>
      <c r="O15" s="50"/>
    </row>
    <row r="16" spans="1:15" x14ac:dyDescent="0.25">
      <c r="A16" s="70" t="str">
        <f>IF(COUNTA(DataColumns[[#This Row],[Column Label]:[Quality Code]])&gt;0,IF(MAX(A$11:A15)=0,3,MAX(A$11:A15)+1),"")</f>
        <v/>
      </c>
      <c r="B16" s="12"/>
      <c r="C16" s="27"/>
      <c r="D16" s="13"/>
      <c r="E16" s="13"/>
      <c r="F16" s="13"/>
      <c r="G16" s="13"/>
      <c r="H16" s="13"/>
      <c r="I16" s="13"/>
      <c r="J16" s="13"/>
      <c r="K16" s="13"/>
      <c r="L16" s="13"/>
      <c r="M16" s="13"/>
      <c r="N16" s="13"/>
      <c r="O16" s="50"/>
    </row>
    <row r="17" spans="1:15" x14ac:dyDescent="0.25">
      <c r="A17" s="70" t="str">
        <f>IF(COUNTA(DataColumns[[#This Row],[Column Label]:[Quality Code]])&gt;0,IF(MAX(A$11:A16)=0,3,MAX(A$11:A16)+1),"")</f>
        <v/>
      </c>
      <c r="B17" s="12"/>
      <c r="C17" s="27"/>
      <c r="D17" s="13"/>
      <c r="E17" s="13"/>
      <c r="F17" s="13"/>
      <c r="G17" s="13"/>
      <c r="H17" s="13"/>
      <c r="I17" s="13"/>
      <c r="J17" s="13"/>
      <c r="K17" s="13"/>
      <c r="L17" s="13"/>
      <c r="M17" s="13"/>
      <c r="N17" s="13"/>
      <c r="O17" s="50"/>
    </row>
    <row r="18" spans="1:15" x14ac:dyDescent="0.25">
      <c r="A18" s="70" t="str">
        <f>IF(COUNTA(DataColumns[[#This Row],[Column Label]:[Quality Code]])&gt;0,IF(MAX(A$11:A17)=0,3,MAX(A$11:A17)+1),"")</f>
        <v/>
      </c>
      <c r="B18" s="12"/>
      <c r="C18" s="27"/>
      <c r="D18" s="13"/>
      <c r="E18" s="13"/>
      <c r="F18" s="13"/>
      <c r="G18" s="13"/>
      <c r="H18" s="13"/>
      <c r="I18" s="13"/>
      <c r="J18" s="13"/>
      <c r="K18" s="13"/>
      <c r="L18" s="13"/>
      <c r="M18" s="13"/>
      <c r="N18" s="13"/>
      <c r="O18" s="50"/>
    </row>
    <row r="19" spans="1:15" x14ac:dyDescent="0.25">
      <c r="A19" s="70" t="str">
        <f>IF(COUNTA(DataColumns[[#This Row],[Column Label]:[Quality Code]])&gt;0,IF(MAX(A$11:A18)=0,3,MAX(A$11:A18)+1),"")</f>
        <v/>
      </c>
      <c r="B19" s="12"/>
      <c r="C19" s="27"/>
      <c r="D19" s="13"/>
      <c r="E19" s="13"/>
      <c r="F19" s="13"/>
      <c r="G19" s="13"/>
      <c r="H19" s="13"/>
      <c r="I19" s="13"/>
      <c r="J19" s="13"/>
      <c r="K19" s="13"/>
      <c r="L19" s="13"/>
      <c r="M19" s="13"/>
      <c r="N19" s="13"/>
      <c r="O19" s="50"/>
    </row>
    <row r="20" spans="1:15" x14ac:dyDescent="0.25">
      <c r="A20" s="70" t="str">
        <f>IF(COUNTA(DataColumns[[#This Row],[Column Label]:[Quality Code]])&gt;0,IF(MAX(A$11:A19)=0,3,MAX(A$11:A19)+1),"")</f>
        <v/>
      </c>
      <c r="B20" s="12"/>
      <c r="C20" s="27"/>
      <c r="D20" s="13"/>
      <c r="E20" s="13"/>
      <c r="F20" s="13"/>
      <c r="G20" s="13"/>
      <c r="H20" s="13"/>
      <c r="I20" s="13"/>
      <c r="J20" s="13"/>
      <c r="K20" s="13"/>
      <c r="L20" s="13"/>
      <c r="M20" s="13"/>
      <c r="N20" s="13"/>
      <c r="O20" s="50"/>
    </row>
    <row r="21" spans="1:15" x14ac:dyDescent="0.25">
      <c r="A21" s="70" t="str">
        <f>IF(COUNTA(DataColumns[[#This Row],[Column Label]:[Quality Code]])&gt;0,IF(MAX(A$11:A20)=0,3,MAX(A$11:A20)+1),"")</f>
        <v/>
      </c>
      <c r="B21" s="12"/>
      <c r="C21" s="27"/>
      <c r="D21" s="13"/>
      <c r="E21" s="13"/>
      <c r="F21" s="13"/>
      <c r="G21" s="13"/>
      <c r="H21" s="13"/>
      <c r="I21" s="13"/>
      <c r="J21" s="13"/>
      <c r="K21" s="13"/>
      <c r="L21" s="13"/>
      <c r="M21" s="13"/>
      <c r="N21" s="13"/>
      <c r="O21" s="50"/>
    </row>
    <row r="22" spans="1:15" x14ac:dyDescent="0.25">
      <c r="A22" s="70" t="str">
        <f>IF(COUNTA(DataColumns[[#This Row],[Column Label]:[Quality Code]])&gt;0,IF(MAX(A$11:A21)=0,3,MAX(A$11:A21)+1),"")</f>
        <v/>
      </c>
      <c r="B22" s="12"/>
      <c r="C22" s="27"/>
      <c r="D22" s="13"/>
      <c r="E22" s="13"/>
      <c r="F22" s="13"/>
      <c r="G22" s="13"/>
      <c r="H22" s="13"/>
      <c r="I22" s="13"/>
      <c r="J22" s="13"/>
      <c r="K22" s="13"/>
      <c r="L22" s="13"/>
      <c r="M22" s="13"/>
      <c r="N22" s="13"/>
      <c r="O22" s="50"/>
    </row>
    <row r="23" spans="1:15" x14ac:dyDescent="0.25">
      <c r="A23" s="70" t="str">
        <f>IF(COUNTA(DataColumns[[#This Row],[Column Label]:[Quality Code]])&gt;0,IF(MAX(A$11:A22)=0,3,MAX(A$11:A22)+1),"")</f>
        <v/>
      </c>
      <c r="B23" s="12"/>
      <c r="C23" s="27"/>
      <c r="D23" s="13"/>
      <c r="E23" s="13"/>
      <c r="F23" s="13"/>
      <c r="G23" s="13"/>
      <c r="H23" s="13"/>
      <c r="I23" s="13"/>
      <c r="J23" s="13"/>
      <c r="K23" s="13"/>
      <c r="L23" s="13"/>
      <c r="M23" s="13"/>
      <c r="N23" s="13"/>
      <c r="O23" s="50"/>
    </row>
    <row r="24" spans="1:15" x14ac:dyDescent="0.25">
      <c r="A24" s="70" t="str">
        <f>IF(COUNTA(DataColumns[[#This Row],[Column Label]:[Quality Code]])&gt;0,IF(MAX(A$11:A23)=0,3,MAX(A$11:A23)+1),"")</f>
        <v/>
      </c>
      <c r="B24" s="12"/>
      <c r="C24" s="27"/>
      <c r="D24" s="13"/>
      <c r="E24" s="13"/>
      <c r="F24" s="13"/>
      <c r="G24" s="13"/>
      <c r="H24" s="13"/>
      <c r="I24" s="13"/>
      <c r="J24" s="13"/>
      <c r="K24" s="13"/>
      <c r="L24" s="13"/>
      <c r="M24" s="13"/>
      <c r="N24" s="13"/>
      <c r="O24" s="50"/>
    </row>
    <row r="25" spans="1:15" x14ac:dyDescent="0.25">
      <c r="A25" s="70" t="str">
        <f>IF(COUNTA(DataColumns[[#This Row],[Column Label]:[Quality Code]])&gt;0,IF(MAX(A$11:A24)=0,3,MAX(A$11:A24)+1),"")</f>
        <v/>
      </c>
      <c r="B25" s="12"/>
      <c r="C25" s="27"/>
      <c r="D25" s="13"/>
      <c r="E25" s="13"/>
      <c r="F25" s="13"/>
      <c r="G25" s="13"/>
      <c r="H25" s="13"/>
      <c r="I25" s="13"/>
      <c r="J25" s="13"/>
      <c r="K25" s="13"/>
      <c r="L25" s="13"/>
      <c r="M25" s="13"/>
      <c r="N25" s="13"/>
      <c r="O25" s="50"/>
    </row>
    <row r="26" spans="1:15" x14ac:dyDescent="0.25">
      <c r="A26" s="70" t="str">
        <f>IF(COUNTA(DataColumns[[#This Row],[Column Label]:[Quality Code]])&gt;0,IF(MAX(A$11:A25)=0,3,MAX(A$11:A25)+1),"")</f>
        <v/>
      </c>
      <c r="B26" s="12"/>
      <c r="C26" s="27"/>
      <c r="D26" s="13"/>
      <c r="E26" s="13"/>
      <c r="F26" s="13"/>
      <c r="G26" s="13"/>
      <c r="H26" s="13"/>
      <c r="I26" s="13"/>
      <c r="J26" s="13"/>
      <c r="K26" s="13"/>
      <c r="L26" s="13"/>
      <c r="M26" s="13"/>
      <c r="N26" s="13"/>
      <c r="O26" s="50"/>
    </row>
    <row r="27" spans="1:15" x14ac:dyDescent="0.25">
      <c r="A27" s="70" t="str">
        <f>IF(COUNTA(DataColumns[[#This Row],[Column Label]:[Quality Code]])&gt;0,IF(MAX(A$11:A26)=0,3,MAX(A$11:A26)+1),"")</f>
        <v/>
      </c>
      <c r="B27" s="12"/>
      <c r="C27" s="27"/>
      <c r="D27" s="13"/>
      <c r="E27" s="13"/>
      <c r="F27" s="13"/>
      <c r="G27" s="13"/>
      <c r="H27" s="13"/>
      <c r="I27" s="13"/>
      <c r="J27" s="13"/>
      <c r="K27" s="13"/>
      <c r="L27" s="13"/>
      <c r="M27" s="13"/>
      <c r="N27" s="13"/>
      <c r="O27" s="50"/>
    </row>
    <row r="28" spans="1:15" x14ac:dyDescent="0.25">
      <c r="A28" s="70" t="str">
        <f>IF(COUNTA(DataColumns[[#This Row],[Column Label]:[Quality Code]])&gt;0,IF(MAX(A$11:A27)=0,3,MAX(A$11:A27)+1),"")</f>
        <v/>
      </c>
      <c r="B28" s="12"/>
      <c r="C28" s="27"/>
      <c r="D28" s="13"/>
      <c r="E28" s="13"/>
      <c r="F28" s="13"/>
      <c r="G28" s="13"/>
      <c r="H28" s="13"/>
      <c r="I28" s="13"/>
      <c r="J28" s="13"/>
      <c r="K28" s="13"/>
      <c r="L28" s="13"/>
      <c r="M28" s="13"/>
      <c r="N28" s="13"/>
      <c r="O28" s="50"/>
    </row>
    <row r="29" spans="1:15" x14ac:dyDescent="0.25">
      <c r="A29" s="70" t="str">
        <f>IF(COUNTA(DataColumns[[#This Row],[Column Label]:[Quality Code]])&gt;0,IF(MAX(A$11:A28)=0,3,MAX(A$11:A28)+1),"")</f>
        <v/>
      </c>
      <c r="B29" s="12"/>
      <c r="C29" s="27"/>
      <c r="D29" s="13"/>
      <c r="E29" s="13"/>
      <c r="F29" s="13"/>
      <c r="G29" s="13"/>
      <c r="H29" s="13"/>
      <c r="I29" s="13"/>
      <c r="J29" s="13"/>
      <c r="K29" s="13"/>
      <c r="L29" s="13"/>
      <c r="M29" s="13"/>
      <c r="N29" s="13"/>
      <c r="O29" s="50"/>
    </row>
    <row r="30" spans="1:15" x14ac:dyDescent="0.25">
      <c r="A30" s="70" t="str">
        <f>IF(COUNTA(DataColumns[[#This Row],[Column Label]:[Quality Code]])&gt;0,IF(MAX(A$11:A29)=0,3,MAX(A$11:A29)+1),"")</f>
        <v/>
      </c>
      <c r="B30" s="12"/>
      <c r="C30" s="27"/>
      <c r="D30" s="13"/>
      <c r="E30" s="13"/>
      <c r="F30" s="13"/>
      <c r="G30" s="13"/>
      <c r="H30" s="13"/>
      <c r="I30" s="13"/>
      <c r="J30" s="13"/>
      <c r="K30" s="13"/>
      <c r="L30" s="13"/>
      <c r="M30" s="13"/>
      <c r="N30" s="13"/>
      <c r="O30" s="50"/>
    </row>
    <row r="31" spans="1:15" x14ac:dyDescent="0.25">
      <c r="A31" s="70" t="str">
        <f>IF(COUNTA(DataColumns[[#This Row],[Column Label]:[Quality Code]])&gt;0,IF(MAX(A$11:A30)=0,3,MAX(A$11:A30)+1),"")</f>
        <v/>
      </c>
      <c r="B31" s="12"/>
      <c r="C31" s="27"/>
      <c r="D31" s="13"/>
      <c r="E31" s="13"/>
      <c r="F31" s="13"/>
      <c r="G31" s="13"/>
      <c r="H31" s="13"/>
      <c r="I31" s="13"/>
      <c r="J31" s="13"/>
      <c r="K31" s="13"/>
      <c r="L31" s="13"/>
      <c r="M31" s="13"/>
      <c r="N31" s="13"/>
      <c r="O31" s="50"/>
    </row>
    <row r="32" spans="1:15" x14ac:dyDescent="0.25">
      <c r="A32" s="70" t="str">
        <f>IF(COUNTA(DataColumns[[#This Row],[Column Label]:[Quality Code]])&gt;0,IF(MAX(A$11:A31)=0,3,MAX(A$11:A31)+1),"")</f>
        <v/>
      </c>
      <c r="B32" s="12"/>
      <c r="C32" s="27"/>
      <c r="D32" s="13"/>
      <c r="E32" s="13"/>
      <c r="F32" s="13"/>
      <c r="G32" s="13"/>
      <c r="H32" s="13"/>
      <c r="I32" s="13"/>
      <c r="J32" s="13"/>
      <c r="K32" s="13"/>
      <c r="L32" s="13"/>
      <c r="M32" s="13"/>
      <c r="N32" s="13"/>
      <c r="O32" s="50"/>
    </row>
    <row r="33" spans="1:15" x14ac:dyDescent="0.25">
      <c r="A33" s="70" t="str">
        <f>IF(COUNTA(DataColumns[[#This Row],[Column Label]:[Quality Code]])&gt;0,IF(MAX(A$11:A32)=0,3,MAX(A$11:A32)+1),"")</f>
        <v/>
      </c>
      <c r="B33" s="12"/>
      <c r="C33" s="27"/>
      <c r="D33" s="13"/>
      <c r="E33" s="13"/>
      <c r="F33" s="13"/>
      <c r="G33" s="13"/>
      <c r="H33" s="13"/>
      <c r="I33" s="13"/>
      <c r="J33" s="13"/>
      <c r="K33" s="13"/>
      <c r="L33" s="13"/>
      <c r="M33" s="13"/>
      <c r="N33" s="13"/>
      <c r="O33" s="50"/>
    </row>
    <row r="34" spans="1:15" x14ac:dyDescent="0.25">
      <c r="A34" s="70" t="str">
        <f>IF(COUNTA(DataColumns[[#This Row],[Column Label]:[Quality Code]])&gt;0,IF(MAX(A$11:A33)=0,3,MAX(A$11:A33)+1),"")</f>
        <v/>
      </c>
      <c r="B34" s="12"/>
      <c r="C34" s="27"/>
      <c r="D34" s="13"/>
      <c r="E34" s="13"/>
      <c r="F34" s="13"/>
      <c r="G34" s="13"/>
      <c r="H34" s="13"/>
      <c r="I34" s="13"/>
      <c r="J34" s="13"/>
      <c r="K34" s="13"/>
      <c r="L34" s="13"/>
      <c r="M34" s="13"/>
      <c r="N34" s="13"/>
      <c r="O34" s="50"/>
    </row>
    <row r="35" spans="1:15" x14ac:dyDescent="0.25">
      <c r="A35" s="70" t="str">
        <f>IF(COUNTA(DataColumns[[#This Row],[Column Label]:[Quality Code]])&gt;0,IF(MAX(A$11:A34)=0,3,MAX(A$11:A34)+1),"")</f>
        <v/>
      </c>
      <c r="B35" s="12"/>
      <c r="C35" s="27"/>
      <c r="D35" s="13"/>
      <c r="E35" s="13"/>
      <c r="F35" s="13"/>
      <c r="G35" s="13"/>
      <c r="H35" s="13"/>
      <c r="I35" s="13"/>
      <c r="J35" s="13"/>
      <c r="K35" s="13"/>
      <c r="L35" s="13"/>
      <c r="M35" s="13"/>
      <c r="N35" s="13"/>
      <c r="O35" s="50"/>
    </row>
    <row r="36" spans="1:15" x14ac:dyDescent="0.25">
      <c r="A36" s="70" t="str">
        <f>IF(COUNTA(DataColumns[[#This Row],[Column Label]:[Quality Code]])&gt;0,IF(MAX(A$11:A35)=0,3,MAX(A$11:A35)+1),"")</f>
        <v/>
      </c>
      <c r="B36" s="12"/>
      <c r="C36" s="27"/>
      <c r="D36" s="13"/>
      <c r="E36" s="13"/>
      <c r="F36" s="13"/>
      <c r="G36" s="13"/>
      <c r="H36" s="13"/>
      <c r="I36" s="13"/>
      <c r="J36" s="13"/>
      <c r="K36" s="13"/>
      <c r="L36" s="13"/>
      <c r="M36" s="13"/>
      <c r="N36" s="13"/>
      <c r="O36" s="50"/>
    </row>
    <row r="37" spans="1:15" x14ac:dyDescent="0.25">
      <c r="A37" s="70" t="str">
        <f>IF(COUNTA(DataColumns[[#This Row],[Column Label]:[Quality Code]])&gt;0,IF(MAX(A$11:A36)=0,3,MAX(A$11:A36)+1),"")</f>
        <v/>
      </c>
      <c r="B37" s="12"/>
      <c r="C37" s="27"/>
      <c r="D37" s="13"/>
      <c r="E37" s="13"/>
      <c r="F37" s="13"/>
      <c r="G37" s="13"/>
      <c r="H37" s="13"/>
      <c r="I37" s="13"/>
      <c r="J37" s="13"/>
      <c r="K37" s="13"/>
      <c r="L37" s="13"/>
      <c r="M37" s="13"/>
      <c r="N37" s="13"/>
      <c r="O37" s="50"/>
    </row>
    <row r="38" spans="1:15" x14ac:dyDescent="0.25">
      <c r="A38" s="70" t="str">
        <f>IF(COUNTA(DataColumns[[#This Row],[Column Label]:[Quality Code]])&gt;0,IF(MAX(A$11:A37)=0,3,MAX(A$11:A37)+1),"")</f>
        <v/>
      </c>
      <c r="B38" s="12"/>
      <c r="C38" s="27"/>
      <c r="D38" s="13"/>
      <c r="E38" s="13"/>
      <c r="F38" s="13"/>
      <c r="G38" s="13"/>
      <c r="H38" s="13"/>
      <c r="I38" s="13"/>
      <c r="J38" s="13"/>
      <c r="K38" s="13"/>
      <c r="L38" s="13"/>
      <c r="M38" s="13"/>
      <c r="N38" s="13"/>
      <c r="O38" s="50"/>
    </row>
    <row r="39" spans="1:15" x14ac:dyDescent="0.25">
      <c r="A39" s="70" t="str">
        <f>IF(COUNTA(DataColumns[[#This Row],[Column Label]:[Quality Code]])&gt;0,IF(MAX(A$11:A38)=0,3,MAX(A$11:A38)+1),"")</f>
        <v/>
      </c>
      <c r="B39" s="12"/>
      <c r="C39" s="27"/>
      <c r="D39" s="13"/>
      <c r="E39" s="13"/>
      <c r="F39" s="13"/>
      <c r="G39" s="13"/>
      <c r="H39" s="13"/>
      <c r="I39" s="13"/>
      <c r="J39" s="13"/>
      <c r="K39" s="13"/>
      <c r="L39" s="13"/>
      <c r="M39" s="13"/>
      <c r="N39" s="13"/>
      <c r="O39" s="50"/>
    </row>
    <row r="40" spans="1:15" x14ac:dyDescent="0.25">
      <c r="A40" s="70" t="str">
        <f>IF(COUNTA(DataColumns[[#This Row],[Column Label]:[Quality Code]])&gt;0,IF(MAX(A$11:A39)=0,3,MAX(A$11:A39)+1),"")</f>
        <v/>
      </c>
      <c r="B40" s="12"/>
      <c r="C40" s="27"/>
      <c r="D40" s="13"/>
      <c r="E40" s="13"/>
      <c r="F40" s="13"/>
      <c r="G40" s="13"/>
      <c r="H40" s="13"/>
      <c r="I40" s="13"/>
      <c r="J40" s="13"/>
      <c r="K40" s="13"/>
      <c r="L40" s="13"/>
      <c r="M40" s="13"/>
      <c r="N40" s="13"/>
      <c r="O40" s="50"/>
    </row>
    <row r="41" spans="1:15" x14ac:dyDescent="0.25">
      <c r="A41" s="70" t="str">
        <f>IF(COUNTA(DataColumns[[#This Row],[Column Label]:[Quality Code]])&gt;0,IF(MAX(A$11:A40)=0,3,MAX(A$11:A40)+1),"")</f>
        <v/>
      </c>
      <c r="B41" s="12"/>
      <c r="C41" s="27"/>
      <c r="D41" s="13"/>
      <c r="E41" s="13"/>
      <c r="F41" s="13"/>
      <c r="G41" s="13"/>
      <c r="H41" s="13"/>
      <c r="I41" s="13"/>
      <c r="J41" s="13"/>
      <c r="K41" s="13"/>
      <c r="L41" s="13"/>
      <c r="M41" s="13"/>
      <c r="N41" s="13"/>
      <c r="O41" s="50"/>
    </row>
    <row r="42" spans="1:15" x14ac:dyDescent="0.25">
      <c r="A42" s="70" t="str">
        <f>IF(COUNTA(DataColumns[[#This Row],[Column Label]:[Quality Code]])&gt;0,IF(MAX(A$11:A41)=0,3,MAX(A$11:A41)+1),"")</f>
        <v/>
      </c>
      <c r="B42" s="12"/>
      <c r="C42" s="27"/>
      <c r="D42" s="13"/>
      <c r="E42" s="13"/>
      <c r="F42" s="13"/>
      <c r="G42" s="13"/>
      <c r="H42" s="13"/>
      <c r="I42" s="13"/>
      <c r="J42" s="13"/>
      <c r="K42" s="13"/>
      <c r="L42" s="13"/>
      <c r="M42" s="13"/>
      <c r="N42" s="13"/>
      <c r="O42" s="50"/>
    </row>
    <row r="43" spans="1:15" x14ac:dyDescent="0.25">
      <c r="A43" s="70" t="str">
        <f>IF(COUNTA(DataColumns[[#This Row],[Column Label]:[Quality Code]])&gt;0,IF(MAX(A$11:A42)=0,3,MAX(A$11:A42)+1),"")</f>
        <v/>
      </c>
      <c r="B43" s="12"/>
      <c r="C43" s="27"/>
      <c r="D43" s="13"/>
      <c r="E43" s="13"/>
      <c r="F43" s="13"/>
      <c r="G43" s="13"/>
      <c r="H43" s="13"/>
      <c r="I43" s="13"/>
      <c r="J43" s="13"/>
      <c r="K43" s="13"/>
      <c r="L43" s="13"/>
      <c r="M43" s="13"/>
      <c r="N43" s="13"/>
      <c r="O43" s="50"/>
    </row>
    <row r="44" spans="1:15" x14ac:dyDescent="0.25">
      <c r="A44" s="70" t="str">
        <f>IF(COUNTA(DataColumns[[#This Row],[Column Label]:[Quality Code]])&gt;0,IF(MAX(A$11:A43)=0,3,MAX(A$11:A43)+1),"")</f>
        <v/>
      </c>
      <c r="B44" s="12"/>
      <c r="C44" s="27"/>
      <c r="D44" s="13"/>
      <c r="E44" s="13"/>
      <c r="F44" s="13"/>
      <c r="G44" s="13"/>
      <c r="H44" s="13"/>
      <c r="I44" s="13"/>
      <c r="J44" s="13"/>
      <c r="K44" s="13"/>
      <c r="L44" s="13"/>
      <c r="M44" s="13"/>
      <c r="N44" s="13"/>
      <c r="O44" s="50"/>
    </row>
    <row r="45" spans="1:15" x14ac:dyDescent="0.25">
      <c r="A45" s="70" t="str">
        <f>IF(COUNTA(DataColumns[[#This Row],[Column Label]:[Quality Code]])&gt;0,IF(MAX(A$11:A44)=0,3,MAX(A$11:A44)+1),"")</f>
        <v/>
      </c>
      <c r="B45" s="12"/>
      <c r="C45" s="27"/>
      <c r="D45" s="13"/>
      <c r="E45" s="13"/>
      <c r="F45" s="13"/>
      <c r="G45" s="13"/>
      <c r="H45" s="13"/>
      <c r="I45" s="13"/>
      <c r="J45" s="13"/>
      <c r="K45" s="13"/>
      <c r="L45" s="13"/>
      <c r="M45" s="13"/>
      <c r="N45" s="13"/>
      <c r="O45" s="50"/>
    </row>
    <row r="46" spans="1:15" x14ac:dyDescent="0.25">
      <c r="A46" s="70" t="str">
        <f>IF(COUNTA(DataColumns[[#This Row],[Column Label]:[Quality Code]])&gt;0,IF(MAX(A$11:A45)=0,3,MAX(A$11:A45)+1),"")</f>
        <v/>
      </c>
      <c r="B46" s="12"/>
      <c r="C46" s="27"/>
      <c r="D46" s="13"/>
      <c r="E46" s="13"/>
      <c r="F46" s="13"/>
      <c r="G46" s="13"/>
      <c r="H46" s="13"/>
      <c r="I46" s="13"/>
      <c r="J46" s="13"/>
      <c r="K46" s="13"/>
      <c r="L46" s="13"/>
      <c r="M46" s="13"/>
      <c r="N46" s="13"/>
      <c r="O46" s="50"/>
    </row>
    <row r="47" spans="1:15" x14ac:dyDescent="0.25">
      <c r="A47" s="70" t="str">
        <f>IF(COUNTA(DataColumns[[#This Row],[Column Label]:[Quality Code]])&gt;0,IF(MAX(A$11:A46)=0,3,MAX(A$11:A46)+1),"")</f>
        <v/>
      </c>
      <c r="B47" s="12"/>
      <c r="C47" s="27"/>
      <c r="D47" s="13"/>
      <c r="E47" s="13"/>
      <c r="F47" s="13"/>
      <c r="G47" s="13"/>
      <c r="H47" s="13"/>
      <c r="I47" s="13"/>
      <c r="J47" s="13"/>
      <c r="K47" s="13"/>
      <c r="L47" s="13"/>
      <c r="M47" s="13"/>
      <c r="N47" s="13"/>
      <c r="O47" s="50"/>
    </row>
    <row r="48" spans="1:15" x14ac:dyDescent="0.25">
      <c r="A48" s="70" t="str">
        <f>IF(COUNTA(DataColumns[[#This Row],[Column Label]:[Quality Code]])&gt;0,IF(MAX(A$11:A47)=0,3,MAX(A$11:A47)+1),"")</f>
        <v/>
      </c>
      <c r="B48" s="12"/>
      <c r="C48" s="27"/>
      <c r="D48" s="13"/>
      <c r="E48" s="13"/>
      <c r="F48" s="13"/>
      <c r="G48" s="13"/>
      <c r="H48" s="13"/>
      <c r="I48" s="13"/>
      <c r="J48" s="13"/>
      <c r="K48" s="13"/>
      <c r="L48" s="13"/>
      <c r="M48" s="13"/>
      <c r="N48" s="13"/>
      <c r="O48" s="50"/>
    </row>
    <row r="49" spans="1:15" x14ac:dyDescent="0.25">
      <c r="A49" s="70" t="str">
        <f>IF(COUNTA(DataColumns[[#This Row],[Column Label]:[Quality Code]])&gt;0,IF(MAX(A$11:A48)=0,3,MAX(A$11:A48)+1),"")</f>
        <v/>
      </c>
      <c r="B49" s="12"/>
      <c r="C49" s="27"/>
      <c r="D49" s="13"/>
      <c r="E49" s="13"/>
      <c r="F49" s="13"/>
      <c r="G49" s="13"/>
      <c r="H49" s="13"/>
      <c r="I49" s="13"/>
      <c r="J49" s="13"/>
      <c r="K49" s="13"/>
      <c r="L49" s="13"/>
      <c r="M49" s="13"/>
      <c r="N49" s="13"/>
      <c r="O49" s="50"/>
    </row>
    <row r="50" spans="1:15" x14ac:dyDescent="0.25">
      <c r="A50" s="70" t="str">
        <f>IF(COUNTA(DataColumns[[#This Row],[Column Label]:[Quality Code]])&gt;0,IF(MAX(A$11:A49)=0,3,MAX(A$11:A49)+1),"")</f>
        <v/>
      </c>
      <c r="B50" s="12"/>
      <c r="C50" s="27"/>
      <c r="D50" s="13"/>
      <c r="E50" s="13"/>
      <c r="F50" s="13"/>
      <c r="G50" s="13"/>
      <c r="H50" s="13"/>
      <c r="I50" s="13"/>
      <c r="J50" s="13"/>
      <c r="K50" s="13"/>
      <c r="L50" s="13"/>
      <c r="M50" s="13"/>
      <c r="N50" s="13"/>
      <c r="O50" s="50"/>
    </row>
    <row r="51" spans="1:15" x14ac:dyDescent="0.25">
      <c r="A51" s="70" t="str">
        <f>IF(COUNTA(DataColumns[[#This Row],[Column Label]:[Quality Code]])&gt;0,IF(MAX(A$11:A50)=0,3,MAX(A$11:A50)+1),"")</f>
        <v/>
      </c>
      <c r="B51" s="12"/>
      <c r="C51" s="27"/>
      <c r="D51" s="13"/>
      <c r="E51" s="13"/>
      <c r="F51" s="13"/>
      <c r="G51" s="13"/>
      <c r="H51" s="13"/>
      <c r="I51" s="13"/>
      <c r="J51" s="13"/>
      <c r="K51" s="13"/>
      <c r="L51" s="13"/>
      <c r="M51" s="13"/>
      <c r="N51" s="13"/>
      <c r="O51" s="50"/>
    </row>
    <row r="52" spans="1:15" x14ac:dyDescent="0.25">
      <c r="A52" s="70" t="str">
        <f>IF(COUNTA(DataColumns[[#This Row],[Column Label]:[Quality Code]])&gt;0,IF(MAX(A$11:A51)=0,3,MAX(A$11:A51)+1),"")</f>
        <v/>
      </c>
      <c r="B52" s="12"/>
      <c r="C52" s="27"/>
      <c r="D52" s="13"/>
      <c r="E52" s="13"/>
      <c r="F52" s="13"/>
      <c r="G52" s="13"/>
      <c r="H52" s="13"/>
      <c r="I52" s="13"/>
      <c r="J52" s="13"/>
      <c r="K52" s="13"/>
      <c r="L52" s="13"/>
      <c r="M52" s="13"/>
      <c r="N52" s="13"/>
      <c r="O52" s="50"/>
    </row>
    <row r="53" spans="1:15" x14ac:dyDescent="0.25">
      <c r="A53" s="70" t="str">
        <f>IF(COUNTA(DataColumns[[#This Row],[Column Label]:[Quality Code]])&gt;0,IF(MAX(A$11:A52)=0,3,MAX(A$11:A52)+1),"")</f>
        <v/>
      </c>
      <c r="B53" s="12"/>
      <c r="C53" s="27"/>
      <c r="D53" s="13"/>
      <c r="E53" s="13"/>
      <c r="F53" s="13"/>
      <c r="G53" s="13"/>
      <c r="H53" s="13"/>
      <c r="I53" s="13"/>
      <c r="J53" s="13"/>
      <c r="K53" s="13"/>
      <c r="L53" s="13"/>
      <c r="M53" s="13"/>
      <c r="N53" s="13"/>
      <c r="O53" s="50"/>
    </row>
    <row r="54" spans="1:15" x14ac:dyDescent="0.25">
      <c r="A54" s="70" t="str">
        <f>IF(COUNTA(DataColumns[[#This Row],[Column Label]:[Quality Code]])&gt;0,IF(MAX(A$11:A53)=0,3,MAX(A$11:A53)+1),"")</f>
        <v/>
      </c>
      <c r="B54" s="12"/>
      <c r="C54" s="27"/>
      <c r="D54" s="13"/>
      <c r="E54" s="13"/>
      <c r="F54" s="13"/>
      <c r="G54" s="13"/>
      <c r="H54" s="13"/>
      <c r="I54" s="13"/>
      <c r="J54" s="13"/>
      <c r="K54" s="13"/>
      <c r="L54" s="13"/>
      <c r="M54" s="13"/>
      <c r="N54" s="13"/>
      <c r="O54" s="50"/>
    </row>
    <row r="55" spans="1:15" x14ac:dyDescent="0.25">
      <c r="A55" s="70" t="str">
        <f>IF(COUNTA(DataColumns[[#This Row],[Column Label]:[Quality Code]])&gt;0,IF(MAX(A$11:A54)=0,3,MAX(A$11:A54)+1),"")</f>
        <v/>
      </c>
      <c r="B55" s="12"/>
      <c r="C55" s="27"/>
      <c r="D55" s="13"/>
      <c r="E55" s="13"/>
      <c r="F55" s="13"/>
      <c r="G55" s="13"/>
      <c r="H55" s="13"/>
      <c r="I55" s="13"/>
      <c r="J55" s="13"/>
      <c r="K55" s="13"/>
      <c r="L55" s="13"/>
      <c r="M55" s="13"/>
      <c r="N55" s="13"/>
      <c r="O55" s="50"/>
    </row>
    <row r="56" spans="1:15" x14ac:dyDescent="0.25">
      <c r="A56" s="70" t="str">
        <f>IF(COUNTA(DataColumns[[#This Row],[Column Label]:[Quality Code]])&gt;0,IF(MAX(A$11:A55)=0,3,MAX(A$11:A55)+1),"")</f>
        <v/>
      </c>
      <c r="B56" s="12"/>
      <c r="C56" s="27"/>
      <c r="D56" s="13"/>
      <c r="E56" s="13"/>
      <c r="F56" s="13"/>
      <c r="G56" s="13"/>
      <c r="H56" s="13"/>
      <c r="I56" s="13"/>
      <c r="J56" s="13"/>
      <c r="K56" s="13"/>
      <c r="L56" s="13"/>
      <c r="M56" s="13"/>
      <c r="N56" s="13"/>
      <c r="O56" s="50"/>
    </row>
    <row r="57" spans="1:15" x14ac:dyDescent="0.25">
      <c r="A57" s="70" t="str">
        <f>IF(COUNTA(DataColumns[[#This Row],[Column Label]:[Quality Code]])&gt;0,IF(MAX(A$11:A56)=0,3,MAX(A$11:A56)+1),"")</f>
        <v/>
      </c>
      <c r="B57" s="12"/>
      <c r="C57" s="27"/>
      <c r="D57" s="13"/>
      <c r="E57" s="13"/>
      <c r="F57" s="13"/>
      <c r="G57" s="13"/>
      <c r="H57" s="13"/>
      <c r="I57" s="13"/>
      <c r="J57" s="13"/>
      <c r="K57" s="13"/>
      <c r="L57" s="13"/>
      <c r="M57" s="13"/>
      <c r="N57" s="13"/>
      <c r="O57" s="50"/>
    </row>
    <row r="58" spans="1:15" x14ac:dyDescent="0.25">
      <c r="A58" s="70" t="str">
        <f>IF(COUNTA(DataColumns[[#This Row],[Column Label]:[Quality Code]])&gt;0,IF(MAX(A$11:A57)=0,3,MAX(A$11:A57)+1),"")</f>
        <v/>
      </c>
      <c r="B58" s="12"/>
      <c r="C58" s="27"/>
      <c r="D58" s="13"/>
      <c r="E58" s="13"/>
      <c r="F58" s="13"/>
      <c r="G58" s="13"/>
      <c r="H58" s="13"/>
      <c r="I58" s="13"/>
      <c r="J58" s="13"/>
      <c r="K58" s="13"/>
      <c r="L58" s="13"/>
      <c r="M58" s="13"/>
      <c r="N58" s="13"/>
      <c r="O58" s="50"/>
    </row>
    <row r="59" spans="1:15" x14ac:dyDescent="0.25">
      <c r="A59" s="70" t="str">
        <f>IF(COUNTA(DataColumns[[#This Row],[Column Label]:[Quality Code]])&gt;0,IF(MAX(A$11:A58)=0,3,MAX(A$11:A58)+1),"")</f>
        <v/>
      </c>
      <c r="B59" s="12"/>
      <c r="C59" s="27"/>
      <c r="D59" s="13"/>
      <c r="E59" s="13"/>
      <c r="F59" s="13"/>
      <c r="G59" s="13"/>
      <c r="H59" s="13"/>
      <c r="I59" s="13"/>
      <c r="J59" s="13"/>
      <c r="K59" s="13"/>
      <c r="L59" s="13"/>
      <c r="M59" s="13"/>
      <c r="N59" s="13"/>
      <c r="O59" s="50"/>
    </row>
    <row r="60" spans="1:15" x14ac:dyDescent="0.25">
      <c r="A60" s="70" t="str">
        <f>IF(COUNTA(DataColumns[[#This Row],[Column Label]:[Quality Code]])&gt;0,IF(MAX(A$11:A59)=0,3,MAX(A$11:A59)+1),"")</f>
        <v/>
      </c>
      <c r="B60" s="12"/>
      <c r="C60" s="27"/>
      <c r="D60" s="13"/>
      <c r="E60" s="13"/>
      <c r="F60" s="13"/>
      <c r="G60" s="13"/>
      <c r="H60" s="13"/>
      <c r="I60" s="13"/>
      <c r="J60" s="13"/>
      <c r="K60" s="13"/>
      <c r="L60" s="13"/>
      <c r="M60" s="13"/>
      <c r="N60" s="13"/>
      <c r="O60" s="50"/>
    </row>
    <row r="61" spans="1:15" x14ac:dyDescent="0.25">
      <c r="A61" s="70" t="str">
        <f>IF(COUNTA(DataColumns[[#This Row],[Column Label]:[Quality Code]])&gt;0,IF(MAX(A$11:A60)=0,3,MAX(A$11:A60)+1),"")</f>
        <v/>
      </c>
      <c r="B61" s="12"/>
      <c r="C61" s="27"/>
      <c r="D61" s="13"/>
      <c r="E61" s="13"/>
      <c r="F61" s="13"/>
      <c r="G61" s="13"/>
      <c r="H61" s="13"/>
      <c r="I61" s="13"/>
      <c r="J61" s="13"/>
      <c r="K61" s="13"/>
      <c r="L61" s="13"/>
      <c r="M61" s="13"/>
      <c r="N61" s="13"/>
      <c r="O61" s="50"/>
    </row>
    <row r="62" spans="1:15" x14ac:dyDescent="0.25">
      <c r="A62" s="70" t="str">
        <f>IF(COUNTA(DataColumns[[#This Row],[Column Label]:[Quality Code]])&gt;0,IF(MAX(A$11:A61)=0,3,MAX(A$11:A61)+1),"")</f>
        <v/>
      </c>
      <c r="B62" s="12"/>
      <c r="C62" s="27"/>
      <c r="D62" s="13"/>
      <c r="E62" s="13"/>
      <c r="F62" s="13"/>
      <c r="G62" s="13"/>
      <c r="H62" s="13"/>
      <c r="I62" s="13"/>
      <c r="J62" s="13"/>
      <c r="K62" s="13"/>
      <c r="L62" s="13"/>
      <c r="M62" s="13"/>
      <c r="N62" s="13"/>
      <c r="O62" s="50"/>
    </row>
    <row r="63" spans="1:15" x14ac:dyDescent="0.25">
      <c r="A63" s="70" t="str">
        <f>IF(COUNTA(DataColumns[[#This Row],[Column Label]:[Quality Code]])&gt;0,IF(MAX(A$11:A62)=0,3,MAX(A$11:A62)+1),"")</f>
        <v/>
      </c>
      <c r="B63" s="12"/>
      <c r="C63" s="27"/>
      <c r="D63" s="13"/>
      <c r="E63" s="13"/>
      <c r="F63" s="13"/>
      <c r="G63" s="13"/>
      <c r="H63" s="13"/>
      <c r="I63" s="13"/>
      <c r="J63" s="13"/>
      <c r="K63" s="13"/>
      <c r="L63" s="13"/>
      <c r="M63" s="13"/>
      <c r="N63" s="13"/>
      <c r="O63" s="50"/>
    </row>
    <row r="64" spans="1:15" x14ac:dyDescent="0.25">
      <c r="A64" s="70" t="str">
        <f>IF(COUNTA(DataColumns[[#This Row],[Column Label]:[Quality Code]])&gt;0,IF(MAX(A$11:A63)=0,3,MAX(A$11:A63)+1),"")</f>
        <v/>
      </c>
      <c r="B64" s="12"/>
      <c r="C64" s="27"/>
      <c r="D64" s="13"/>
      <c r="E64" s="13"/>
      <c r="F64" s="13"/>
      <c r="G64" s="13"/>
      <c r="H64" s="13"/>
      <c r="I64" s="13"/>
      <c r="J64" s="13"/>
      <c r="K64" s="13"/>
      <c r="L64" s="13"/>
      <c r="M64" s="13"/>
      <c r="N64" s="13"/>
      <c r="O64" s="50"/>
    </row>
    <row r="65" spans="1:15" x14ac:dyDescent="0.25">
      <c r="A65" s="70" t="str">
        <f>IF(COUNTA(DataColumns[[#This Row],[Column Label]:[Quality Code]])&gt;0,IF(MAX(A$11:A64)=0,3,MAX(A$11:A64)+1),"")</f>
        <v/>
      </c>
      <c r="B65" s="12"/>
      <c r="C65" s="27"/>
      <c r="D65" s="13"/>
      <c r="E65" s="13"/>
      <c r="F65" s="13"/>
      <c r="G65" s="13"/>
      <c r="H65" s="13"/>
      <c r="I65" s="13"/>
      <c r="J65" s="13"/>
      <c r="K65" s="13"/>
      <c r="L65" s="13"/>
      <c r="M65" s="13"/>
      <c r="N65" s="13"/>
      <c r="O65" s="50"/>
    </row>
    <row r="66" spans="1:15" x14ac:dyDescent="0.25">
      <c r="A66" s="70" t="str">
        <f>IF(COUNTA(DataColumns[[#This Row],[Column Label]:[Quality Code]])&gt;0,IF(MAX(A$11:A65)=0,3,MAX(A$11:A65)+1),"")</f>
        <v/>
      </c>
      <c r="B66" s="12"/>
      <c r="C66" s="27"/>
      <c r="D66" s="13"/>
      <c r="E66" s="13"/>
      <c r="F66" s="13"/>
      <c r="G66" s="13"/>
      <c r="H66" s="13"/>
      <c r="I66" s="13"/>
      <c r="J66" s="13"/>
      <c r="K66" s="13"/>
      <c r="L66" s="13"/>
      <c r="M66" s="13"/>
      <c r="N66" s="13"/>
      <c r="O66" s="50"/>
    </row>
    <row r="67" spans="1:15" x14ac:dyDescent="0.25">
      <c r="A67" s="70" t="str">
        <f>IF(COUNTA(DataColumns[[#This Row],[Column Label]:[Quality Code]])&gt;0,IF(MAX(A$11:A66)=0,3,MAX(A$11:A66)+1),"")</f>
        <v/>
      </c>
      <c r="B67" s="12"/>
      <c r="C67" s="27"/>
      <c r="D67" s="13"/>
      <c r="E67" s="13"/>
      <c r="F67" s="13"/>
      <c r="G67" s="13"/>
      <c r="H67" s="13"/>
      <c r="I67" s="13"/>
      <c r="J67" s="13"/>
      <c r="K67" s="13"/>
      <c r="L67" s="13"/>
      <c r="M67" s="13"/>
      <c r="N67" s="13"/>
      <c r="O67" s="50"/>
    </row>
    <row r="68" spans="1:15" x14ac:dyDescent="0.25">
      <c r="A68" s="70" t="str">
        <f>IF(COUNTA(DataColumns[[#This Row],[Column Label]:[Quality Code]])&gt;0,IF(MAX(A$11:A67)=0,3,MAX(A$11:A67)+1),"")</f>
        <v/>
      </c>
      <c r="B68" s="12"/>
      <c r="C68" s="27"/>
      <c r="D68" s="13"/>
      <c r="E68" s="13"/>
      <c r="F68" s="13"/>
      <c r="G68" s="13"/>
      <c r="H68" s="13"/>
      <c r="I68" s="13"/>
      <c r="J68" s="13"/>
      <c r="K68" s="13"/>
      <c r="L68" s="13"/>
      <c r="M68" s="13"/>
      <c r="N68" s="13"/>
      <c r="O68" s="50"/>
    </row>
    <row r="69" spans="1:15" x14ac:dyDescent="0.25">
      <c r="A69" s="70" t="str">
        <f>IF(COUNTA(DataColumns[[#This Row],[Column Label]:[Quality Code]])&gt;0,IF(MAX(A$11:A68)=0,3,MAX(A$11:A68)+1),"")</f>
        <v/>
      </c>
      <c r="B69" s="12"/>
      <c r="C69" s="27"/>
      <c r="D69" s="13"/>
      <c r="E69" s="13"/>
      <c r="F69" s="13"/>
      <c r="G69" s="13"/>
      <c r="H69" s="13"/>
      <c r="I69" s="13"/>
      <c r="J69" s="13"/>
      <c r="K69" s="13"/>
      <c r="L69" s="13"/>
      <c r="M69" s="13"/>
      <c r="N69" s="13"/>
      <c r="O69" s="50"/>
    </row>
    <row r="70" spans="1:15" x14ac:dyDescent="0.25">
      <c r="A70" s="70" t="str">
        <f>IF(COUNTA(DataColumns[[#This Row],[Column Label]:[Quality Code]])&gt;0,IF(MAX(A$11:A69)=0,3,MAX(A$11:A69)+1),"")</f>
        <v/>
      </c>
      <c r="B70" s="12"/>
      <c r="C70" s="27"/>
      <c r="D70" s="13"/>
      <c r="E70" s="13"/>
      <c r="F70" s="13"/>
      <c r="G70" s="13"/>
      <c r="H70" s="13"/>
      <c r="I70" s="13"/>
      <c r="J70" s="13"/>
      <c r="K70" s="13"/>
      <c r="L70" s="13"/>
      <c r="M70" s="13"/>
      <c r="N70" s="13"/>
      <c r="O70" s="50"/>
    </row>
    <row r="71" spans="1:15" x14ac:dyDescent="0.25">
      <c r="A71" s="70" t="str">
        <f>IF(COUNTA(DataColumns[[#This Row],[Column Label]:[Quality Code]])&gt;0,IF(MAX(A$11:A70)=0,3,MAX(A$11:A70)+1),"")</f>
        <v/>
      </c>
      <c r="B71" s="12"/>
      <c r="C71" s="27"/>
      <c r="D71" s="13"/>
      <c r="E71" s="13"/>
      <c r="F71" s="13"/>
      <c r="G71" s="13"/>
      <c r="H71" s="13"/>
      <c r="I71" s="13"/>
      <c r="J71" s="13"/>
      <c r="K71" s="13"/>
      <c r="L71" s="13"/>
      <c r="M71" s="13"/>
      <c r="N71" s="13"/>
      <c r="O71" s="50"/>
    </row>
    <row r="72" spans="1:15" x14ac:dyDescent="0.25">
      <c r="A72" s="70" t="str">
        <f>IF(COUNTA(DataColumns[[#This Row],[Column Label]:[Quality Code]])&gt;0,IF(MAX(A$11:A71)=0,3,MAX(A$11:A71)+1),"")</f>
        <v/>
      </c>
      <c r="B72" s="12"/>
      <c r="C72" s="27"/>
      <c r="D72" s="13"/>
      <c r="E72" s="13"/>
      <c r="F72" s="13"/>
      <c r="G72" s="13"/>
      <c r="H72" s="13"/>
      <c r="I72" s="13"/>
      <c r="J72" s="13"/>
      <c r="K72" s="13"/>
      <c r="L72" s="13"/>
      <c r="M72" s="13"/>
      <c r="N72" s="13"/>
      <c r="O72" s="50"/>
    </row>
    <row r="73" spans="1:15" x14ac:dyDescent="0.25">
      <c r="A73" s="70" t="str">
        <f>IF(COUNTA(DataColumns[[#This Row],[Column Label]:[Quality Code]])&gt;0,IF(MAX(A$11:A72)=0,3,MAX(A$11:A72)+1),"")</f>
        <v/>
      </c>
      <c r="B73" s="12"/>
      <c r="C73" s="27"/>
      <c r="D73" s="13"/>
      <c r="E73" s="13"/>
      <c r="F73" s="13"/>
      <c r="G73" s="13"/>
      <c r="H73" s="13"/>
      <c r="I73" s="13"/>
      <c r="J73" s="13"/>
      <c r="K73" s="13"/>
      <c r="L73" s="13"/>
      <c r="M73" s="13"/>
      <c r="N73" s="13"/>
      <c r="O73" s="50"/>
    </row>
    <row r="74" spans="1:15" x14ac:dyDescent="0.25">
      <c r="A74" s="70" t="str">
        <f>IF(COUNTA(DataColumns[[#This Row],[Column Label]:[Quality Code]])&gt;0,IF(MAX(A$11:A73)=0,3,MAX(A$11:A73)+1),"")</f>
        <v/>
      </c>
      <c r="B74" s="12"/>
      <c r="C74" s="27"/>
      <c r="D74" s="13"/>
      <c r="E74" s="13"/>
      <c r="F74" s="13"/>
      <c r="G74" s="13"/>
      <c r="H74" s="13"/>
      <c r="I74" s="13"/>
      <c r="J74" s="13"/>
      <c r="K74" s="13"/>
      <c r="L74" s="13"/>
      <c r="M74" s="13"/>
      <c r="N74" s="13"/>
      <c r="O74" s="50"/>
    </row>
    <row r="75" spans="1:15" x14ac:dyDescent="0.25">
      <c r="A75" s="70" t="str">
        <f>IF(COUNTA(DataColumns[[#This Row],[Column Label]:[Quality Code]])&gt;0,IF(MAX(A$11:A74)=0,3,MAX(A$11:A74)+1),"")</f>
        <v/>
      </c>
      <c r="B75" s="12"/>
      <c r="C75" s="27"/>
      <c r="D75" s="13"/>
      <c r="E75" s="13"/>
      <c r="F75" s="13"/>
      <c r="G75" s="13"/>
      <c r="H75" s="13"/>
      <c r="I75" s="13"/>
      <c r="J75" s="13"/>
      <c r="K75" s="13"/>
      <c r="L75" s="13"/>
      <c r="M75" s="13"/>
      <c r="N75" s="13"/>
      <c r="O75" s="50"/>
    </row>
    <row r="76" spans="1:15" x14ac:dyDescent="0.25">
      <c r="A76" s="70" t="str">
        <f>IF(COUNTA(DataColumns[[#This Row],[Column Label]:[Quality Code]])&gt;0,IF(MAX(A$11:A75)=0,3,MAX(A$11:A75)+1),"")</f>
        <v/>
      </c>
      <c r="B76" s="12"/>
      <c r="C76" s="27"/>
      <c r="D76" s="13"/>
      <c r="E76" s="13"/>
      <c r="F76" s="13"/>
      <c r="G76" s="13"/>
      <c r="H76" s="13"/>
      <c r="I76" s="13"/>
      <c r="J76" s="13"/>
      <c r="K76" s="13"/>
      <c r="L76" s="13"/>
      <c r="M76" s="13"/>
      <c r="N76" s="13"/>
      <c r="O76" s="50"/>
    </row>
    <row r="77" spans="1:15" x14ac:dyDescent="0.25">
      <c r="A77" s="70" t="str">
        <f>IF(COUNTA(DataColumns[[#This Row],[Column Label]:[Quality Code]])&gt;0,IF(MAX(A$11:A76)=0,3,MAX(A$11:A76)+1),"")</f>
        <v/>
      </c>
      <c r="B77" s="12"/>
      <c r="C77" s="27"/>
      <c r="D77" s="13"/>
      <c r="E77" s="13"/>
      <c r="F77" s="13"/>
      <c r="G77" s="13"/>
      <c r="H77" s="13"/>
      <c r="I77" s="13"/>
      <c r="J77" s="13"/>
      <c r="K77" s="13"/>
      <c r="L77" s="13"/>
      <c r="M77" s="13"/>
      <c r="N77" s="13"/>
      <c r="O77" s="50"/>
    </row>
    <row r="78" spans="1:15" x14ac:dyDescent="0.25">
      <c r="A78" s="70" t="str">
        <f>IF(COUNTA(DataColumns[[#This Row],[Column Label]:[Quality Code]])&gt;0,IF(MAX(A$11:A77)=0,3,MAX(A$11:A77)+1),"")</f>
        <v/>
      </c>
      <c r="B78" s="12"/>
      <c r="C78" s="27"/>
      <c r="D78" s="13"/>
      <c r="E78" s="13"/>
      <c r="F78" s="13"/>
      <c r="G78" s="13"/>
      <c r="H78" s="13"/>
      <c r="I78" s="13"/>
      <c r="J78" s="13"/>
      <c r="K78" s="13"/>
      <c r="L78" s="13"/>
      <c r="M78" s="13"/>
      <c r="N78" s="13"/>
      <c r="O78" s="50"/>
    </row>
    <row r="79" spans="1:15" x14ac:dyDescent="0.25">
      <c r="A79" s="70" t="str">
        <f>IF(COUNTA(DataColumns[[#This Row],[Column Label]:[Quality Code]])&gt;0,IF(MAX(A$11:A78)=0,3,MAX(A$11:A78)+1),"")</f>
        <v/>
      </c>
      <c r="B79" s="12"/>
      <c r="C79" s="27"/>
      <c r="D79" s="13"/>
      <c r="E79" s="13"/>
      <c r="F79" s="13"/>
      <c r="G79" s="13"/>
      <c r="H79" s="13"/>
      <c r="I79" s="13"/>
      <c r="J79" s="13"/>
      <c r="K79" s="13"/>
      <c r="L79" s="13"/>
      <c r="M79" s="13"/>
      <c r="N79" s="13"/>
      <c r="O79" s="50"/>
    </row>
    <row r="80" spans="1:15" x14ac:dyDescent="0.25">
      <c r="A80" s="70" t="str">
        <f>IF(COUNTA(DataColumns[[#This Row],[Column Label]:[Quality Code]])&gt;0,IF(MAX(A$11:A79)=0,3,MAX(A$11:A79)+1),"")</f>
        <v/>
      </c>
      <c r="B80" s="12"/>
      <c r="C80" s="27"/>
      <c r="D80" s="13"/>
      <c r="E80" s="13"/>
      <c r="F80" s="13"/>
      <c r="G80" s="13"/>
      <c r="H80" s="13"/>
      <c r="I80" s="13"/>
      <c r="J80" s="13"/>
      <c r="K80" s="13"/>
      <c r="L80" s="13"/>
      <c r="M80" s="13"/>
      <c r="N80" s="13"/>
      <c r="O80" s="50"/>
    </row>
    <row r="81" spans="1:15" x14ac:dyDescent="0.25">
      <c r="A81" s="70" t="str">
        <f>IF(COUNTA(DataColumns[[#This Row],[Column Label]:[Quality Code]])&gt;0,IF(MAX(A$11:A80)=0,3,MAX(A$11:A80)+1),"")</f>
        <v/>
      </c>
      <c r="B81" s="12"/>
      <c r="C81" s="27"/>
      <c r="D81" s="13"/>
      <c r="E81" s="13"/>
      <c r="F81" s="13"/>
      <c r="G81" s="13"/>
      <c r="H81" s="13"/>
      <c r="I81" s="13"/>
      <c r="J81" s="13"/>
      <c r="K81" s="13"/>
      <c r="L81" s="13"/>
      <c r="M81" s="13"/>
      <c r="N81" s="13"/>
      <c r="O81" s="50"/>
    </row>
    <row r="82" spans="1:15" x14ac:dyDescent="0.25">
      <c r="A82" s="70" t="str">
        <f>IF(COUNTA(DataColumns[[#This Row],[Column Label]:[Quality Code]])&gt;0,IF(MAX(A$11:A81)=0,3,MAX(A$11:A81)+1),"")</f>
        <v/>
      </c>
      <c r="B82" s="12"/>
      <c r="C82" s="27"/>
      <c r="D82" s="13"/>
      <c r="E82" s="13"/>
      <c r="F82" s="13"/>
      <c r="G82" s="13"/>
      <c r="H82" s="13"/>
      <c r="I82" s="13"/>
      <c r="J82" s="13"/>
      <c r="K82" s="13"/>
      <c r="L82" s="13"/>
      <c r="M82" s="13"/>
      <c r="N82" s="13"/>
      <c r="O82" s="50"/>
    </row>
    <row r="83" spans="1:15" x14ac:dyDescent="0.25">
      <c r="A83" s="70" t="str">
        <f>IF(COUNTA(DataColumns[[#This Row],[Column Label]:[Quality Code]])&gt;0,IF(MAX(A$11:A82)=0,3,MAX(A$11:A82)+1),"")</f>
        <v/>
      </c>
      <c r="B83" s="12"/>
      <c r="C83" s="27"/>
      <c r="D83" s="13"/>
      <c r="E83" s="13"/>
      <c r="F83" s="13"/>
      <c r="G83" s="13"/>
      <c r="H83" s="13"/>
      <c r="I83" s="13"/>
      <c r="J83" s="13"/>
      <c r="K83" s="13"/>
      <c r="L83" s="13"/>
      <c r="M83" s="13"/>
      <c r="N83" s="13"/>
      <c r="O83" s="50"/>
    </row>
    <row r="84" spans="1:15" x14ac:dyDescent="0.25">
      <c r="A84" s="70" t="str">
        <f>IF(COUNTA(DataColumns[[#This Row],[Column Label]:[Quality Code]])&gt;0,IF(MAX(A$11:A83)=0,3,MAX(A$11:A83)+1),"")</f>
        <v/>
      </c>
      <c r="B84" s="12"/>
      <c r="C84" s="27"/>
      <c r="D84" s="13"/>
      <c r="E84" s="13"/>
      <c r="F84" s="13"/>
      <c r="G84" s="13"/>
      <c r="H84" s="13"/>
      <c r="I84" s="13"/>
      <c r="J84" s="13"/>
      <c r="K84" s="13"/>
      <c r="L84" s="13"/>
      <c r="M84" s="13"/>
      <c r="N84" s="13"/>
      <c r="O84" s="50"/>
    </row>
    <row r="85" spans="1:15" x14ac:dyDescent="0.25">
      <c r="A85" s="70" t="str">
        <f>IF(COUNTA(DataColumns[[#This Row],[Column Label]:[Quality Code]])&gt;0,IF(MAX(A$11:A84)=0,3,MAX(A$11:A84)+1),"")</f>
        <v/>
      </c>
      <c r="B85" s="12"/>
      <c r="C85" s="27"/>
      <c r="D85" s="13"/>
      <c r="E85" s="13"/>
      <c r="F85" s="13"/>
      <c r="G85" s="13"/>
      <c r="H85" s="13"/>
      <c r="I85" s="13"/>
      <c r="J85" s="13"/>
      <c r="K85" s="13"/>
      <c r="L85" s="13"/>
      <c r="M85" s="13"/>
      <c r="N85" s="13"/>
      <c r="O85" s="50"/>
    </row>
    <row r="86" spans="1:15" x14ac:dyDescent="0.25">
      <c r="A86" s="70" t="str">
        <f>IF(COUNTA(DataColumns[[#This Row],[Column Label]:[Quality Code]])&gt;0,IF(MAX(A$11:A85)=0,3,MAX(A$11:A85)+1),"")</f>
        <v/>
      </c>
      <c r="B86" s="12"/>
      <c r="C86" s="27"/>
      <c r="D86" s="13"/>
      <c r="E86" s="13"/>
      <c r="F86" s="13"/>
      <c r="G86" s="13"/>
      <c r="H86" s="13"/>
      <c r="I86" s="13"/>
      <c r="J86" s="13"/>
      <c r="K86" s="13"/>
      <c r="L86" s="13"/>
      <c r="M86" s="13"/>
      <c r="N86" s="13"/>
      <c r="O86" s="50"/>
    </row>
    <row r="87" spans="1:15" x14ac:dyDescent="0.25">
      <c r="A87" s="70" t="str">
        <f>IF(COUNTA(DataColumns[[#This Row],[Column Label]:[Quality Code]])&gt;0,IF(MAX(A$11:A86)=0,3,MAX(A$11:A86)+1),"")</f>
        <v/>
      </c>
      <c r="B87" s="12"/>
      <c r="C87" s="27"/>
      <c r="D87" s="13"/>
      <c r="E87" s="13"/>
      <c r="F87" s="13"/>
      <c r="G87" s="13"/>
      <c r="H87" s="13"/>
      <c r="I87" s="13"/>
      <c r="J87" s="13"/>
      <c r="K87" s="13"/>
      <c r="L87" s="13"/>
      <c r="M87" s="13"/>
      <c r="N87" s="13"/>
      <c r="O87" s="50"/>
    </row>
    <row r="88" spans="1:15" x14ac:dyDescent="0.25">
      <c r="A88" s="70" t="str">
        <f>IF(COUNTA(DataColumns[[#This Row],[Column Label]:[Quality Code]])&gt;0,IF(MAX(A$11:A87)=0,3,MAX(A$11:A87)+1),"")</f>
        <v/>
      </c>
      <c r="B88" s="12"/>
      <c r="C88" s="27"/>
      <c r="D88" s="13"/>
      <c r="E88" s="13"/>
      <c r="F88" s="13"/>
      <c r="G88" s="13"/>
      <c r="H88" s="13"/>
      <c r="I88" s="13"/>
      <c r="J88" s="13"/>
      <c r="K88" s="13"/>
      <c r="L88" s="13"/>
      <c r="M88" s="13"/>
      <c r="N88" s="13"/>
      <c r="O88" s="50"/>
    </row>
    <row r="89" spans="1:15" x14ac:dyDescent="0.25">
      <c r="A89" s="70" t="str">
        <f>IF(COUNTA(DataColumns[[#This Row],[Column Label]:[Quality Code]])&gt;0,IF(MAX(A$11:A88)=0,3,MAX(A$11:A88)+1),"")</f>
        <v/>
      </c>
      <c r="B89" s="12"/>
      <c r="C89" s="27"/>
      <c r="D89" s="13"/>
      <c r="E89" s="13"/>
      <c r="F89" s="13"/>
      <c r="G89" s="13"/>
      <c r="H89" s="13"/>
      <c r="I89" s="13"/>
      <c r="J89" s="13"/>
      <c r="K89" s="13"/>
      <c r="L89" s="13"/>
      <c r="M89" s="13"/>
      <c r="N89" s="13"/>
      <c r="O89" s="50"/>
    </row>
    <row r="90" spans="1:15" x14ac:dyDescent="0.25">
      <c r="A90" s="70" t="str">
        <f>IF(COUNTA(DataColumns[[#This Row],[Column Label]:[Quality Code]])&gt;0,IF(MAX(A$11:A89)=0,3,MAX(A$11:A89)+1),"")</f>
        <v/>
      </c>
      <c r="B90" s="12"/>
      <c r="C90" s="27"/>
      <c r="D90" s="13"/>
      <c r="E90" s="13"/>
      <c r="F90" s="13"/>
      <c r="G90" s="13"/>
      <c r="H90" s="13"/>
      <c r="I90" s="13"/>
      <c r="J90" s="13"/>
      <c r="K90" s="13"/>
      <c r="L90" s="13"/>
      <c r="M90" s="13"/>
      <c r="N90" s="13"/>
      <c r="O90" s="50"/>
    </row>
    <row r="91" spans="1:15" x14ac:dyDescent="0.25">
      <c r="A91" s="70" t="str">
        <f>IF(COUNTA(DataColumns[[#This Row],[Column Label]:[Quality Code]])&gt;0,IF(MAX(A$11:A90)=0,3,MAX(A$11:A90)+1),"")</f>
        <v/>
      </c>
      <c r="B91" s="12"/>
      <c r="C91" s="27"/>
      <c r="D91" s="13"/>
      <c r="E91" s="13"/>
      <c r="F91" s="13"/>
      <c r="G91" s="13"/>
      <c r="H91" s="13"/>
      <c r="I91" s="13"/>
      <c r="J91" s="13"/>
      <c r="K91" s="13"/>
      <c r="L91" s="13"/>
      <c r="M91" s="13"/>
      <c r="N91" s="13"/>
      <c r="O91" s="50"/>
    </row>
    <row r="92" spans="1:15" x14ac:dyDescent="0.25">
      <c r="A92" s="70" t="str">
        <f>IF(COUNTA(DataColumns[[#This Row],[Column Label]:[Quality Code]])&gt;0,IF(MAX(A$11:A91)=0,3,MAX(A$11:A91)+1),"")</f>
        <v/>
      </c>
      <c r="B92" s="12"/>
      <c r="C92" s="27"/>
      <c r="D92" s="13"/>
      <c r="E92" s="13"/>
      <c r="F92" s="13"/>
      <c r="G92" s="13"/>
      <c r="H92" s="13"/>
      <c r="I92" s="13"/>
      <c r="J92" s="13"/>
      <c r="K92" s="13"/>
      <c r="L92" s="13"/>
      <c r="M92" s="13"/>
      <c r="N92" s="13"/>
      <c r="O92" s="50"/>
    </row>
    <row r="93" spans="1:15" x14ac:dyDescent="0.25">
      <c r="A93" s="70" t="str">
        <f>IF(COUNTA(DataColumns[[#This Row],[Column Label]:[Quality Code]])&gt;0,IF(MAX(A$11:A92)=0,3,MAX(A$11:A92)+1),"")</f>
        <v/>
      </c>
      <c r="B93" s="12"/>
      <c r="C93" s="27"/>
      <c r="D93" s="13"/>
      <c r="E93" s="13"/>
      <c r="F93" s="13"/>
      <c r="G93" s="13"/>
      <c r="H93" s="13"/>
      <c r="I93" s="13"/>
      <c r="J93" s="13"/>
      <c r="K93" s="13"/>
      <c r="L93" s="13"/>
      <c r="M93" s="13"/>
      <c r="N93" s="13"/>
      <c r="O93" s="50"/>
    </row>
    <row r="94" spans="1:15" x14ac:dyDescent="0.25">
      <c r="A94" s="70" t="str">
        <f>IF(COUNTA(DataColumns[[#This Row],[Column Label]:[Quality Code]])&gt;0,IF(MAX(A$11:A93)=0,3,MAX(A$11:A93)+1),"")</f>
        <v/>
      </c>
      <c r="B94" s="12"/>
      <c r="C94" s="27"/>
      <c r="D94" s="13"/>
      <c r="E94" s="13"/>
      <c r="F94" s="13"/>
      <c r="G94" s="13"/>
      <c r="H94" s="13"/>
      <c r="I94" s="13"/>
      <c r="J94" s="13"/>
      <c r="K94" s="13"/>
      <c r="L94" s="13"/>
      <c r="M94" s="13"/>
      <c r="N94" s="13"/>
      <c r="O94" s="50"/>
    </row>
    <row r="95" spans="1:15" x14ac:dyDescent="0.25">
      <c r="A95" s="70" t="str">
        <f>IF(COUNTA(DataColumns[[#This Row],[Column Label]:[Quality Code]])&gt;0,IF(MAX(A$11:A94)=0,3,MAX(A$11:A94)+1),"")</f>
        <v/>
      </c>
      <c r="B95" s="12"/>
      <c r="C95" s="27"/>
      <c r="D95" s="13"/>
      <c r="E95" s="13"/>
      <c r="F95" s="13"/>
      <c r="G95" s="13"/>
      <c r="H95" s="13"/>
      <c r="I95" s="13"/>
      <c r="J95" s="13"/>
      <c r="K95" s="13"/>
      <c r="L95" s="13"/>
      <c r="M95" s="13"/>
      <c r="N95" s="13"/>
      <c r="O95" s="50"/>
    </row>
    <row r="96" spans="1:15" x14ac:dyDescent="0.25">
      <c r="A96" s="70" t="str">
        <f>IF(COUNTA(DataColumns[[#This Row],[Column Label]:[Quality Code]])&gt;0,IF(MAX(A$11:A95)=0,3,MAX(A$11:A95)+1),"")</f>
        <v/>
      </c>
      <c r="B96" s="12"/>
      <c r="C96" s="27"/>
      <c r="D96" s="13"/>
      <c r="E96" s="13"/>
      <c r="F96" s="13"/>
      <c r="G96" s="13"/>
      <c r="H96" s="13"/>
      <c r="I96" s="13"/>
      <c r="J96" s="13"/>
      <c r="K96" s="13"/>
      <c r="L96" s="13"/>
      <c r="M96" s="13"/>
      <c r="N96" s="13"/>
      <c r="O96" s="50"/>
    </row>
    <row r="97" spans="1:15" x14ac:dyDescent="0.25">
      <c r="A97" s="70" t="str">
        <f>IF(COUNTA(DataColumns[[#This Row],[Column Label]:[Quality Code]])&gt;0,IF(MAX(A$11:A96)=0,3,MAX(A$11:A96)+1),"")</f>
        <v/>
      </c>
      <c r="B97" s="12"/>
      <c r="C97" s="27"/>
      <c r="D97" s="13"/>
      <c r="E97" s="13"/>
      <c r="F97" s="13"/>
      <c r="G97" s="13"/>
      <c r="H97" s="13"/>
      <c r="I97" s="13"/>
      <c r="J97" s="13"/>
      <c r="K97" s="13"/>
      <c r="L97" s="13"/>
      <c r="M97" s="13"/>
      <c r="N97" s="13"/>
      <c r="O97" s="50"/>
    </row>
    <row r="98" spans="1:15" ht="15.75" thickBot="1" x14ac:dyDescent="0.3">
      <c r="A98" s="72" t="str">
        <f>IF(COUNTA(DataColumns[[#This Row],[Column Label]:[Quality Code]])&gt;0,IF(MAX(A$11:A97)=0,3,MAX(A$11:A97)+1),"")</f>
        <v/>
      </c>
      <c r="B98" s="17"/>
      <c r="C98" s="30"/>
      <c r="D98" s="18"/>
      <c r="E98" s="18"/>
      <c r="F98" s="18"/>
      <c r="G98" s="18"/>
      <c r="H98" s="18"/>
      <c r="I98" s="18"/>
      <c r="J98" s="18"/>
      <c r="K98" s="18"/>
      <c r="L98" s="18"/>
      <c r="M98" s="18"/>
      <c r="N98" s="18"/>
      <c r="O98" s="52"/>
    </row>
  </sheetData>
  <sheetProtection password="CA31" sheet="1" objects="1" scenarios="1" formatColumns="0" formatRows="0" insertRows="0" insertHyperlinks="0" deleteRows="0"/>
  <mergeCells count="1">
    <mergeCell ref="A10:O10"/>
  </mergeCells>
  <dataValidations count="9">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F12:F98">
      <formula1>ResultTypeCV</formula1>
    </dataValidation>
    <dataValidation type="list" allowBlank="1" showInputMessage="1" showErrorMessage="1" sqref="G12:G98">
      <formula1>VariableCodes</formula1>
    </dataValidation>
    <dataValidation type="list" allowBlank="1" showInputMessage="1" showErrorMessage="1" sqref="I12:I98">
      <formula1>ProcessingLevelCodes</formula1>
    </dataValidation>
    <dataValidation type="list" allowBlank="1" showInputMessage="1" showErrorMessage="1" sqref="J12:J98">
      <formula1>SampledMediumCV</formula1>
    </dataValidation>
    <dataValidation type="list" allowBlank="1" showInputMessage="1" showErrorMessage="1" sqref="M12:M98">
      <formula1>AggregationStatisticCV</formula1>
    </dataValidation>
    <dataValidation type="list" allowBlank="1" showInputMessage="1" showErrorMessage="1" sqref="N12:N98">
      <formula1>CensorCodeCV</formula1>
    </dataValidation>
    <dataValidation type="list" allowBlank="1" showInputMessage="1" showErrorMessage="1" sqref="O12:O98">
      <formula1>QualityCodeCV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9</xdr:col>
                    <xdr:colOff>76200</xdr:colOff>
                    <xdr:row>2</xdr:row>
                    <xdr:rowOff>47625</xdr:rowOff>
                  </from>
                  <to>
                    <xdr:col>10</xdr:col>
                    <xdr:colOff>1066800</xdr:colOff>
                    <xdr:row>4</xdr:row>
                    <xdr:rowOff>123825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
  <sheetViews>
    <sheetView workbookViewId="0">
      <selection activeCell="N31" sqref="N31"/>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153</v>
      </c>
      <c r="B1" s="4" t="s">
        <v>1218</v>
      </c>
      <c r="C1" s="4" t="s">
        <v>154</v>
      </c>
      <c r="D1" s="4" t="s">
        <v>155</v>
      </c>
      <c r="E1" s="4" t="s">
        <v>156</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D10"/>
  <sheetViews>
    <sheetView workbookViewId="0">
      <selection activeCell="C37" sqref="C37"/>
    </sheetView>
  </sheetViews>
  <sheetFormatPr defaultColWidth="8.85546875" defaultRowHeight="15" x14ac:dyDescent="0.25"/>
  <cols>
    <col min="1" max="1" width="12" style="7" bestFit="1" customWidth="1"/>
    <col min="2" max="2" width="11.28515625" style="7" customWidth="1"/>
    <col min="3" max="3" width="53.7109375" style="7" customWidth="1"/>
    <col min="4" max="4" width="13" style="7" customWidth="1"/>
    <col min="5" max="5" width="16.28515625" style="7" customWidth="1"/>
    <col min="6" max="6" width="15.7109375" style="7" customWidth="1"/>
    <col min="7" max="7" width="23.28515625" style="7" customWidth="1"/>
    <col min="8" max="8" width="15.7109375" style="7" customWidth="1"/>
    <col min="9" max="9" width="17.7109375" style="7" customWidth="1"/>
    <col min="10" max="10" width="25.7109375" style="7" customWidth="1"/>
    <col min="11" max="11" width="20.7109375" style="7" customWidth="1"/>
    <col min="12" max="12" width="21.42578125" style="7" customWidth="1"/>
    <col min="13" max="13" width="20.7109375" style="7" customWidth="1"/>
    <col min="14" max="14" width="28.140625" style="7" customWidth="1"/>
    <col min="15" max="15" width="23.5703125" style="7" customWidth="1"/>
    <col min="16" max="16" width="20" style="7" customWidth="1"/>
    <col min="17" max="18" width="8.85546875" style="7"/>
    <col min="19" max="19" width="16.42578125" style="7" customWidth="1"/>
    <col min="20" max="20" width="37.42578125" style="7" customWidth="1"/>
    <col min="21" max="21" width="15.42578125" style="7" customWidth="1"/>
    <col min="22" max="22" width="38" style="7" customWidth="1"/>
    <col min="23" max="23" width="18.42578125" style="7" bestFit="1" customWidth="1"/>
    <col min="24" max="24" width="24.140625" style="7" bestFit="1" customWidth="1"/>
    <col min="25" max="25" width="20.7109375" style="7" bestFit="1" customWidth="1"/>
    <col min="26" max="26" width="26.5703125" style="7" bestFit="1" customWidth="1"/>
    <col min="27" max="27" width="40.140625" style="7" bestFit="1" customWidth="1"/>
    <col min="28" max="28" width="78.140625" style="7" bestFit="1" customWidth="1"/>
    <col min="29" max="29" width="20.7109375" style="7" bestFit="1" customWidth="1"/>
    <col min="30" max="16384" width="8.85546875" style="7"/>
  </cols>
  <sheetData>
    <row r="1" spans="1:30" s="32" customFormat="1" x14ac:dyDescent="0.25">
      <c r="A1" s="32" t="s">
        <v>251</v>
      </c>
      <c r="B1" s="32" t="s">
        <v>240</v>
      </c>
      <c r="C1" s="32" t="s">
        <v>241</v>
      </c>
      <c r="D1" s="32" t="s">
        <v>242</v>
      </c>
      <c r="E1" s="32" t="s">
        <v>243</v>
      </c>
      <c r="F1" s="32" t="s">
        <v>244</v>
      </c>
      <c r="G1" s="32" t="s">
        <v>245</v>
      </c>
      <c r="H1" s="32" t="s">
        <v>246</v>
      </c>
      <c r="I1" s="32" t="s">
        <v>247</v>
      </c>
      <c r="J1" s="32" t="s">
        <v>248</v>
      </c>
      <c r="K1" s="32" t="s">
        <v>249</v>
      </c>
      <c r="L1" s="32" t="s">
        <v>250</v>
      </c>
      <c r="M1" s="32" t="s">
        <v>252</v>
      </c>
      <c r="N1" s="32" t="s">
        <v>269</v>
      </c>
      <c r="O1" s="32" t="s">
        <v>270</v>
      </c>
      <c r="P1" s="32" t="s">
        <v>274</v>
      </c>
      <c r="Q1" s="32" t="s">
        <v>1109</v>
      </c>
      <c r="R1" s="32" t="s">
        <v>264</v>
      </c>
      <c r="S1" s="32" t="s">
        <v>1232</v>
      </c>
      <c r="T1" s="32" t="s">
        <v>1237</v>
      </c>
      <c r="U1" s="32" t="s">
        <v>1238</v>
      </c>
      <c r="V1" s="32" t="s">
        <v>1243</v>
      </c>
      <c r="W1" s="32" t="s">
        <v>1246</v>
      </c>
      <c r="X1" s="32" t="s">
        <v>1248</v>
      </c>
      <c r="Y1" s="32" t="s">
        <v>1249</v>
      </c>
      <c r="Z1" s="32" t="s">
        <v>1250</v>
      </c>
      <c r="AA1" s="32" t="s">
        <v>1260</v>
      </c>
      <c r="AB1" s="32" t="s">
        <v>1261</v>
      </c>
      <c r="AC1" s="32" t="s">
        <v>1282</v>
      </c>
    </row>
    <row r="2" spans="1:30" s="32" customFormat="1" x14ac:dyDescent="0.25">
      <c r="A2" s="32" t="s">
        <v>1111</v>
      </c>
      <c r="B2" s="32">
        <v>2</v>
      </c>
      <c r="C2" s="32">
        <v>2</v>
      </c>
      <c r="D2" s="32">
        <f>MAX(NumPeople+1,2)</f>
        <v>11</v>
      </c>
      <c r="E2" s="32">
        <f>MAX(NumOrganizations+1,2)</f>
        <v>2</v>
      </c>
      <c r="F2" s="32">
        <f>MAX(D2:E2)</f>
        <v>11</v>
      </c>
      <c r="G2" s="32">
        <f>IF(COUNTA(CitationInformation)=0,1,2)</f>
        <v>1</v>
      </c>
      <c r="H2" s="32">
        <f>NumAuthors+1</f>
        <v>1</v>
      </c>
      <c r="I2" s="32">
        <f>IF(COUNTA(CitationInformation)=0,1,2)</f>
        <v>1</v>
      </c>
      <c r="J2" s="32">
        <v>2</v>
      </c>
      <c r="K2" s="32">
        <f>MAX(NumSamplingFeatures+1,2)</f>
        <v>2</v>
      </c>
      <c r="L2" s="32">
        <f>IF(NumSites=0,1,NumSites+1)</f>
        <v>1</v>
      </c>
      <c r="M2" s="32">
        <f>IF(NumSpecimens=0,1,NumSpecimens+1)</f>
        <v>1</v>
      </c>
      <c r="N2" s="32">
        <f>IF(NumSpatialOffsets=0,1,NumSpatialOffsets+1)</f>
        <v>1</v>
      </c>
      <c r="O2" s="32">
        <f>IF(NumRelatedFeatures=0,1,NumRelatedFeatures+1)</f>
        <v>1</v>
      </c>
      <c r="P2" s="32">
        <f>MAX(NumMethods+1,2)</f>
        <v>2</v>
      </c>
      <c r="Q2" s="32">
        <f>MAX(NumVariables+1,2)</f>
        <v>2</v>
      </c>
      <c r="R2" s="32">
        <v>1</v>
      </c>
      <c r="S2" s="32">
        <f>MAX(NumProcessingLevels+1,2)</f>
        <v>2</v>
      </c>
      <c r="T2" s="32">
        <f>MAX(NumDataColumns+1,2)</f>
        <v>2</v>
      </c>
      <c r="U2" s="32">
        <f>MAX(NumDataColumns+1,2)</f>
        <v>2</v>
      </c>
      <c r="V2" s="32">
        <f>MAX(NumDataColumns+1,2)</f>
        <v>2</v>
      </c>
      <c r="W2" s="32">
        <f>MAX(NumDataColumns+1,2)</f>
        <v>2</v>
      </c>
      <c r="X2" s="32">
        <f>IF(NumDataColumns&lt;1,5,NumDataColumns+4)</f>
        <v>5</v>
      </c>
      <c r="Y2" s="32">
        <v>1</v>
      </c>
      <c r="Z2" s="32">
        <v>1</v>
      </c>
      <c r="AA2" s="32">
        <v>1</v>
      </c>
      <c r="AB2" s="32">
        <v>2</v>
      </c>
    </row>
    <row r="3" spans="1:30" s="32" customFormat="1" x14ac:dyDescent="0.25">
      <c r="A3" s="32">
        <v>0</v>
      </c>
      <c r="B3" s="32" t="s">
        <v>139</v>
      </c>
      <c r="C3" s="32" t="s">
        <v>1288</v>
      </c>
      <c r="D3" s="32" t="s">
        <v>192</v>
      </c>
      <c r="E3" s="32" t="s">
        <v>195</v>
      </c>
      <c r="F3" s="32" t="s">
        <v>196</v>
      </c>
      <c r="G3" s="32" t="str">
        <f>IF(COUNTA(CitationInformation)=0,"","Citation:")</f>
        <v/>
      </c>
      <c r="H3" s="32" t="str">
        <f>IF(NumAuthors=0,"","AuthorList:")</f>
        <v/>
      </c>
      <c r="I3" s="32" t="str">
        <f>IF(COUNTA(CitationInformation)=0,"","DataSetCitations:")</f>
        <v/>
      </c>
      <c r="J3" s="32" t="s">
        <v>238</v>
      </c>
      <c r="K3" s="32" t="s">
        <v>239</v>
      </c>
      <c r="L3" s="32" t="str">
        <f>IF(MAX(Sites[SiteID])=0,"","Sites:")</f>
        <v/>
      </c>
      <c r="M3" s="32" t="str">
        <f>IF(MAX(Specimens[SpecimenID])=0,"","Specimens:")</f>
        <v/>
      </c>
      <c r="N3" s="32" t="str">
        <f>IF(NumSpatialOffsets=0,"","Spatialoffsets:")</f>
        <v/>
      </c>
      <c r="O3" s="32" t="str">
        <f>IF(NumRelatedFeatures=0,"","RelatedFeatures:")</f>
        <v/>
      </c>
      <c r="P3" s="32" t="s">
        <v>299</v>
      </c>
      <c r="Q3" s="32" t="s">
        <v>1110</v>
      </c>
      <c r="R3" s="32" t="str">
        <f>""</f>
        <v/>
      </c>
      <c r="S3" s="32" t="s">
        <v>1233</v>
      </c>
      <c r="T3" s="32" t="s">
        <v>1240</v>
      </c>
      <c r="U3" s="32" t="s">
        <v>1242</v>
      </c>
      <c r="V3" s="32" t="s">
        <v>1244</v>
      </c>
      <c r="W3" s="32" t="s">
        <v>1245</v>
      </c>
      <c r="X3" s="32" t="s">
        <v>1247</v>
      </c>
      <c r="Y3" s="32" t="str">
        <f>""</f>
        <v/>
      </c>
      <c r="Z3" s="32" t="str">
        <f>""</f>
        <v/>
      </c>
      <c r="AA3" s="32" t="s">
        <v>1259</v>
      </c>
      <c r="AB3" s="32" t="s">
        <v>1262</v>
      </c>
      <c r="AC3" s="32" t="s">
        <v>1287</v>
      </c>
      <c r="AD3" s="32">
        <f>MAX(B2:AB2)</f>
        <v>11</v>
      </c>
    </row>
    <row r="4" spans="1:30" s="32" customFormat="1" x14ac:dyDescent="0.25">
      <c r="A4" s="32">
        <v>1</v>
      </c>
      <c r="B4" s="32" t="str">
        <f>CONCATENATE("YODA: {Version: 1.0.0, Profile: TimeSeries, DateCreated: ",CHAR(34),TEXT(TODAY(),"yyyy-mm-dd"),CHAR(34),", DateUpdated: ",CHAR(34),TEXT(TODAY(),"yyyy-mm-dd"),CHAR(34),"}")</f>
        <v>YODA: {Version: 1.0.0, Profile: TimeSeries, DateCreated: "2015-03-11", DateUpdated: "2015-03-11"}</v>
      </c>
      <c r="C4" s="32" t="str">
        <f>CONCATENATE("  - &amp;DataSetID0001 {",
"DataSetUUID:  ",CONCATENATE(CHAR(34),DatasetUUID,CHAR(34)),
IF(DatasetType="","PLEASE FILL IN THE DATASET TYPE IN THE DATASET CITATION TAB",CONCATENATE(",  DataSetTypeCV:  ",CHAR(34),DatasetType,CHAR(34))),
IF(DatasetCode="","PLEASE FILL IN THE DATASET CODE IN THE DATASET CITATION TAB",CONCATENATE(",  DataSetCode:  ",CHAR(34),DatasetCode,CHAR(34))),
IF(DatasetTitle="","PLEASE FILL IN THE DATASET TITLE IN THE DATASET CITATION TAB",CONCATENATE(",  DataSetTitle:  ",CHAR(34),DatasetTitle,CHAR(34))),
CONCATENATE(",  DataSetAbstract:  ",IF(DatasetAbstract="","NULL",CONCATENATE(CHAR(34),DatasetAbstract,CHAR(34)))),
"}")</f>
        <v xml:space="preserve">  - &amp;DataSetID0001 {DataSetUUID:  ""PLEASE FILL IN THE DATASET TYPE IN THE DATASET CITATION TABPLEASE FILL IN THE DATASET CODE IN THE DATASET CITATION TABPLEASE FILL IN THE DATASET TITLE IN THE DATASET CITATION TAB,  DataSetAbstract:  NULL}</v>
      </c>
      <c r="D4" s="32" t="str">
        <f>IF(INDEX(People[First Name],$A4)="","PLEASE FILL IN AT LEAST ONE PERSON WITH FIRST, MIDDLE AND LAST NAME",
CONCATENATE("  - &amp;PersonID",TEXT($A4,"0000"),
" {","PersonFirstName:  ",CHAR(34),INDEX(People[First Name],$A4),CHAR(34),
", PersonMiddleName:  ",CHAR(34),INDEX(People[Middle Name],$A4),CHAR(34),
", PersonLastName:  ",CHAR(34),INDEX(People[Last Name],$A4),CHAR(34),"}"))</f>
        <v>PLEASE FILL IN AT LEAST ONE PERSON WITH FIRST, MIDDLE AND LAST NAME</v>
      </c>
      <c r="E4" s="32" t="str">
        <f>IF(INDEX(Organizations[Organization Type '[CV']],$A4)="","PLEASE FILL IN AT LEAST ONE ORGANIZATION WITH TYPE, CODE, AND NAME",
CONCATENATE("  - &amp;OrganizationID",TEXT($A4,"0000"),
" {","OrganizationTypeCV:  ",CHAR(34),INDEX(Organizations[Organization Type '[CV']],$A4),CHAR(34),
", OrganizationCode:  ",CHAR(34),INDEX(Organizations[Organization Code],$A4),CHAR(34),
", OrganizationName:  ",CHAR(34),INDEX(Organizations[Organization Name],$A4),CHAR(34),
", OrganizationDescription:  ",CHAR(34),INDEX(Organizations[Organization Description],$A4),CHAR(34),
", OrganizationLink:  ",CHAR(34),INDEX(Organizations[Organization Link],$A4),CHAR(34),"}"))</f>
        <v>PLEASE FILL IN AT LEAST ONE ORGANIZATION WITH TYPE, CODE, AND NAME</v>
      </c>
      <c r="F4" s="32" t="e">
        <f>CONCATENATE("  - &amp;AffiliationID",TEXT($A4,"0000"),
" {PersonObj: *PersonID",TEXT($A4,"0000"),
", OrganizationObj: *OrganizationID",TEXT(MATCH(INDEX(People[Organization Name],$A4),Organizations[Organization Name],0),"0000"),
", IsPrimaryOrganizationContact: , AffiliationStartDate: , AffiliationEndDate: , PrimaryPhone: ",
", PrimaryEmail: ",CHAR(34),INDEX(People[Primary Email],$A4),CHAR(34),
", PrimaryAddress: ",CHAR(34),INDEX(People[Primary Address],$A4),CHAR(34),
", PersonLink: }")</f>
        <v>#N/A</v>
      </c>
      <c r="G4" s="32" t="str">
        <f>IF(COUNTA(CitationInformation)=0,"",
CONCATENATE("  - &amp;CitationID0001 {",
IF(CitationTitle="","PLEASE FILL IN A TITLE FOR THE CITATION",CONCATENATE("Title: ",CHAR(34),CitationTitle,CHAR(34))),
IF(Publisher="","PLEASE FILL IN THE CITATION PUBLISHER",CONCATENATE(", Publisher: ",CHAR(34),Publisher,CHAR(34))),
IF(PublicationYear="","PLEASE FILL IN THE CITATION YEAR",CONCATENATE(", PublicationYear: ",CHAR(34),PublicationYear,CHAR(34))),
", CitationLink: ",CHAR(34),CitationLink,CHAR(34),
"}"))</f>
        <v/>
      </c>
      <c r="H4" s="32" t="str">
        <f>IF(COUNTA(CitationInformation)=0,"",
IF(INDEX(AuthorList[Author Name],$A4)="","PLEASE FILL IN AT LEAST ONE CITATION AUTHOR",
CONCATENATE("  - &amp;AuthorListID",TEXT($A4,"0000"),
"  {CitationObj: *CitationID0001",
", PersonObj: *PersonID",TEXT(MATCH(INDEX(AuthorList[Author Name],$A4),People[Full Name],0),"0000"),
", AuthorOrder: ",INDEX(AuthorList[Author Number],$A4),"}")))</f>
        <v/>
      </c>
      <c r="I4" s="32" t="str">
        <f>IF(COUNTA(CitationInformation)=0,"",
CONCATENATE("  - {",
"DataSetObj: *DataSetID0001",
", CitationObj: *CitationID0001",
IF(DatasetCitationRelationship="","PLEASE FILL IN THE RELATIONSHIP BETWEEN THE DATASET AND THE CITATION",CONCATENATE(", RelationshipTypeCV: ",DatasetCitationRelationship)),
"}"))</f>
        <v/>
      </c>
      <c r="J4" s="32" t="str">
        <f>CONCATENATE("  - &amp;SRSID",TEXT($A4,"0000")," {",
IF(LatLonDatum="Unknown",CONCATENATE("SRSCode: Unknown, SRSName: Unknown, SRSDescription: NULL, SRSLink: NULL"),
IF(LatLonDatum="NAD27",CONCATENATE("SRSCode: ",CHAR(34),"EPSG:4267",CHAR(34),", SRSName: NAD27, SRSDescrption: ",CHAR(34),"Note: this CRS includes longitudes which are POSITIVE EAST. Replaced by NAD27(76) (code 4608) in Ontario, CGQ77 (code 4609) in Quebec, Mexican Datum of 1993 (code 4483) in Mexico, NAD83 (code 4279) in Canada (excl. Ontario &amp; Quebec) &amp; USA.",CHAR(34),", SRSLink: ",CHAR(34),"http://www.epsg-registry.org/export.htm?wkt=urn:ogc:def:crs:EPSG::4267",CHAR(34)),
IF(LatLonDatum="NAD83",CONCATENATE("SRSCode: ",CHAR(34),"EPSG:4269",CHAR(34),", SRSName: NAD83, SRSDescrption: ",CHAR(34),"This CRS includes longitudes which are POSITIVE EAST. The adjustment included connections to Greenland and Mexico but the system has not been adopted there. Except in Alaska, for applications with an accuracy of better than 1m replaced by NAD83(HARN).",CHAR(34),", SRSLink: ",CHAR(34),"http://www.epsg-registry.org/export.htm?wkt=urn:ogc:def:crs:EPSG::4269",CHAR(34)),
IF(LatLonDatum="WGS84",CONCATENATE("SRSCode: ",CHAR(34),"EPSG:4326",CHAR(34),", SRSName: WGS84, SRSDescrption: ",CHAR(34),"Horizontal component of 3D system. Used by the GPS satellite navigation system and for NATO military geodetic surveying.",CHAR(34),", SRSLink: ",CHAR(34),"http://www.epsg-registry.org/export.htm?wkt=urn:ogc:def:crs:EPSG::4326",CHAR(34)),
"PLEASE FILL IN A VALID LAT/LONG DATUM")))),
"}")</f>
        <v xml:space="preserve">  - &amp;SRSID0001 {PLEASE FILL IN A VALID LAT/LONG DATUM}</v>
      </c>
      <c r="K4" s="32" t="str">
        <f>IF(INDEX(SamplingFeatures[Feature Code],$A4)="","PLEASE FILL IN AT LEAST ONE SAMPLING FEATURE",
CONCATENATE("  - &amp;SamplingFeatureID",TEXT($A4,"0000"),
" {","SamplingFeatureUUID:  ",CHAR(34),INDEX(SamplingFeatures[Sampling Feature UUID],$A4),CHAR(34),
", SamplingFeatureTypeCV:  ",CHAR(34),INDEX(SamplingFeatures[Sampling Feature Type],$A4),CHAR(34),
", SamplingFeatureCode:  ",CHAR(34),INDEX(SamplingFeatures[Feature Code],$A4),CHAR(34),
", SamplingFeatureName:  ",CHAR(34),INDEX(SamplingFeatures[Feature Name],$A4),CHAR(34),
", SamplingFeatureDescription:  ",CHAR(34),INDEX(SamplingFeatures[Feature Description],$A4),CHAR(34),
", SamplingFeatureGeotypeCV:  ",CHAR(34),INDEX(SamplingFeatures[Feature Geo Type],$A4),CHAR(34),
", FeatureGeometry:  ",CHAR(34),INDEX(SamplingFeatures[Feature Geometry],$A4),CHAR(34),
", Elevation_m:  ",CHAR(34),INDEX(SamplingFeatures[Elevation_m],$A4),CHAR(34),
", ElevationDatumCV:  ",CHAR(34),ElevationDatum,CHAR(34),"}"))</f>
        <v>PLEASE FILL IN AT LEAST ONE SAMPLING FEATURE</v>
      </c>
      <c r="L4" s="32" t="str">
        <f>IF(NumSites=0,"",
IF(NumSites&lt;$A4,"",
CONCATENATE("  - &amp;SiteID",TEXT($A4,"0000"),
" {","SamplingFeatureObj:  *SamplingFeatureID",TEXT(MATCH($A4,Sites[SiteID],0),"0000"),
", SiteTypeCV:  ",CHAR(34),INDEX(Sites[Site Type],MATCH($A4,Sites[SiteID],0)),CHAR(34),
", Latitude:  ",INDEX(Sites[Latitude],MATCH($A4,Sites[SiteID],0)),
", Longitude:  ",INDEX(Sites[Longitude],MATCH($A4,Sites[SiteID],0)),
", SpatialReferenceObj:  *SRSID0001}")))</f>
        <v/>
      </c>
      <c r="M4" s="32" t="str">
        <f>IF(NumSpecimens=0,"",
IF(NumSpecimens&lt;$A4,"",
CONCATENATE("  - &amp;SpecimenID",TEXT($A4,"0000"),
" {","SamplingFeatureObj:  *SamplingFeatureID",TEXT(MATCH($A4,Specimens[SpecimenID],0),"0000"),
", SpecimenTypeCV:  ",CHAR(34),INDEX(Specimens[Specimen Type],MATCH($A4,Specimens[SpecimenID],0)),CHAR(34),
", SpecimenMediumCV:  ",INDEX(Specimens[Specimen Medium],MATCH($A4,Specimens[SpecimenID],0)),
", IsFieldSpecimen:  ",CHAR(34),INDEX(Specimens[Is Field Specimen?],MATCH($A4,Specimens[SpecimenID],0)),CHAR(34),"}")))</f>
        <v/>
      </c>
      <c r="N4" s="32" t="str">
        <f>IF(NumSpatialOffsets=0,"",
IF(NumSpatialOffsets&lt;$A4,"",
CONCATENATE("  - &amp;SpatialOffsetID",TEXT($A4,"0000"),
" {","SpatialOffsetTypeCV:  ",CHAR(34),INDEX(RelatedFeatures[Spatial Offset Type],MATCH($A4,RelatedFeatures[OffsetID],0)),CHAR(34),
", Offset1Value:  ",INDEX(RelatedFeatures[Offset 1 Value],MATCH($A4,RelatedFeatures[OffsetID],0)),
", Offset1UnitObj:  ",CHAR(34),INDEX(RelatedFeatures[Offset 1 Unit],MATCH($A4,RelatedFeatures[OffsetID],0)),CHAR(34),
", Offset2Value:  ",IF(INDEX(RelatedFeatures[Offset 2 Value],MATCH($A4,RelatedFeatures[OffsetID],0))="","NULL",INDEX(RelatedFeatures[Offset 2 Value],MATCH($A4,RelatedFeatures[OffsetID],0))),
", Offset2UnitObj:  ",CHAR(34),INDEX(RelatedFeatures[Offset 2 Unit],MATCH($A4,RelatedFeatures[OffsetID],0)),,CHAR(34),
", Offset3Value:  ",IF(INDEX(RelatedFeatures[Offset 3 Value],MATCH($A4,RelatedFeatures[OffsetID],0))="","NULL",INDEX(RelatedFeatures[Offset 3 Value],MATCH($A4,RelatedFeatures[OffsetID],0))),
", Offset3UnitObj:  ",CHAR(34),INDEX(RelatedFeatures[Offset 3 Unit],MATCH($A4,RelatedFeatures[OffsetID],0)),CHAR(34),"}")))</f>
        <v/>
      </c>
      <c r="O4" s="32" t="str">
        <f>IF(NumRelatedFeatures=0,"",
IF(INDEX(RelatedFeatures[First Sampling Feature Code],$A4)="","PLEASE FILL IN THE FIRST FEATURE ON THE FIRST ROW",
CONCATENATE("  - &amp;RelationID",TEXT($A4,"0000"),
" {","SamplingFeatureObj:  *SamplingFeatureID",TEXT(MATCH(INDEX(RelatedFeatures[First Sampling Feature Code],$A4),SamplingFeatures[Feature Code],0),"0000"),
", RelationshipTypeCV:  ",CHAR(34),INDEX(RelatedFeatures[Relationship Type],$A4),CHAR(34),
", RelatedFeatureObj: *SamplingFeatureID",TEXT(MATCH(INDEX(RelatedFeatures[Second Sampling Feature Code],$A4),SamplingFeatures[Feature Code],0),"0000"),
", SpatialOffsetObj:  ",IF(INDEX(RelatedFeatures[OffsetID],$A4)="",CONCATENATE(CHAR(34),CHAR(34)),CONCATENATE("*SpatialOffsetID",TEXT(INDEX(RelatedFeatures[OffsetID],$A4),"0000"))),"}")))</f>
        <v/>
      </c>
      <c r="P4" s="32" t="str">
        <f>IF(INDEX(Methods[Method Type],$A4)="","PLEASE FILL IN AT LEAST ONE METHOD",
CONCATENATE("  - &amp;MethodID",TEXT($A4,"0000"),
" {","MethodTypeCV:  ",CHAR(34),INDEX(Methods[Method Type],$A4),CHAR(34),
", MethodCode:  ",CHAR(34),INDEX(Methods[Method Code],$A4),CHAR(34),
", MethodName:  ",CHAR(34),INDEX(Methods[Method Name],$A4),CHAR(34),
", MethodDescription:  ",CHAR(34),INDEX(Methods[Method Description],$A4),CHAR(34),
", MethodLink:  ",CHAR(34),INDEX(Methods[Method Link],$A4),CHAR(34),
", OrganizationObj: *OrganizationID",TEXT(MATCH(INDEX(Methods[Organization Name],$A4),Organizations[Organization Name],0),"0000"),"}"))</f>
        <v>PLEASE FILL IN AT LEAST ONE METHOD</v>
      </c>
      <c r="Q4" s="32" t="str">
        <f>IF(INDEX(Variables[Variable Type],$A4)="","PLEASE FILL IN AT LEAST ONE VARIABLE",
CONCATENATE("  - &amp;VariableID",TEXT($A4,"0000"),
" {","VariableTypeCV:  ",CHAR(34),INDEX(Variables[Variable Type],$A4),CHAR(34),
", VariableCode:  ",CHAR(34),INDEX(Variables[Variable Code],$A4),CHAR(34),
", VariableNameCV:  ",CHAR(34),INDEX(Variables[Variable Name],$A4),CHAR(34),
", VariableDefinition:  ",CHAR(34),INDEX(Variables[Variable Definition],$A4),CHAR(34),
", SpecciationCV:  ",CHAR(34),INDEX(Variables[Speciation],$A4),CHAR(34),
", NoDataValue:  ",CHAR(34),INDEX(Variables[No Data Value],$A4),CHAR(34),"}"))</f>
        <v>PLEASE FILL IN AT LEAST ONE VARIABLE</v>
      </c>
      <c r="S4" s="32" t="str">
        <f>IF(INDEX(ProcessingLevels[Processing Level Code],$A4)="","PLEASE FILL IN AT LEAST ONE PROCESSING LEVEL",
CONCATENATE("  - &amp;ProcessingLevelID",TEXT($A4,"0000"),
" {","ProcessingLevelCode:  ",CHAR(34),INDEX(ProcessingLevels[Processing Level Code],$A4),CHAR(34),
", Definition:  ",CHAR(34),INDEX(ProcessingLevels[Definition],$A4),CHAR(34),
", Explanation:  ",CHAR(34),INDEX(ProcessingLevels[Explanation],$A4),CHAR(34),"}"))</f>
        <v>PLEASE FILL IN AT LEAST ONE PROCESSING LEVEL</v>
      </c>
      <c r="T4" s="32" t="str">
        <f>IF(INDEX(DataColumns[Col '#],$A4)="","PLEASE FILL IN METADATA FOR AT LEAST ONE DATA COLUMN",
IF(INDEX(DataColumns[Method Code],$A4)="","PLEASE FILL IN A METHOD FOR EACH DATA COLUMN",
CONCATENATE("  - &amp;ActionID",TEXT($A4,"0000"),
" {","ActionTypeCV:  ",CHAR(34),"Observation",CHAR(34),
", MethodObj: *MethodID",TEXT(MATCH(INDEX(DataColumns[Method Code],$A4),Methods[Method Code],0),"0000"),
", BeginDateTime:  NULL",
", BeginDateTimeUTCOffset:  NULL",
", EndDateTime:  NULL",
", EndDateTimeUTCOffset:  NULL",
", ActionDescription:  ",CHAR(34),"Generic observation action generated by YODA TimeSeries Template",CHAR(34),
", ActionFileLink:  ",CHAR(34),CHAR(34),"}")))</f>
        <v>PLEASE FILL IN METADATA FOR AT LEAST ONE DATA COLUMN</v>
      </c>
      <c r="U4" s="32" t="str">
        <f>IF(INDEX(DataColumns[Col '#],$A4)="","PLEASE FILL IN METADATA FOR AT LEAST ONE DATA COLUMN",
IF(INDEX(DataColumns[Method Code],$A4)="","PLEASE FILL IN A SAMPLING FEATURE FOR EACH DATA COLUMN",
CONCATENATE("  - &amp;FeatureActionID",TEXT($A4,"0000"),
" {","SamplingFeatureObj:  *SamplingFeatureID",TEXT(MATCH(INDEX(DataColumns[Sampling Feature Code],$A4),SamplingFeatures[Feature Code],0),"0000"),
", ActionObj:  *ActionID",TEXT($A4,"0000"),"}")))</f>
        <v>PLEASE FILL IN METADATA FOR AT LEAST ONE DATA COLUMN</v>
      </c>
      <c r="V4" s="32" t="str">
        <f>IF(INDEX(DataColumns[Col '#],$A4)="","PLEASE FILL IN METADATA FOR AT LEAST ONE DATA COLUMN",
CONCATENATE("  - &amp;ResultID",TEXT($A4,"0000"),
" {","ResultUUID:  ",CHAR(34),INDEX(DataColumns[ResultUUID],$A4),CHAR(34),
", FeatureActionObj: *FeatureActionID",TEXT($A4,"0000"),
", ResultTypeCV:  ",CHAR(34),INDEX(DataColumns[Result Type],$A4),CHAR(34),
", VariableObj:  *VariableID",TEXT(MATCH(INDEX(DataColumns[Variable Code],$A4),Variables[Variable Code],0),"0000"),
", UnitsObj:  ",CHAR(34),INDEX(DataColumns[Unit Name],$A4),CHAR(34),
", TaxonomicClassifierObj:  ",CHAR(34),CHAR(34),
", ProcessingLevelObj:  *ProcessingLevelID",TEXT(MATCH(INDEX(DataColumns[Processing Level],$A4),ProcessingLevels[Processing Level Code],0),"0000"),
", ResultDateTime:  ",CHAR(34),CHAR(34),
", ResultDateTimeUTCOffset:  ",CHAR(34),CHAR(34),
", ValidDateTime:  ",CHAR(34),CHAR(34),
", ValidDateTimeUTCOffset:  ",CHAR(34),CHAR(34),
", StatusCV:  ",CHAR(34),CHAR(34),
", SampledMediumCV:  ",CHAR(34),INDEX(DataColumns[Sampled Medium],$A4),CHAR(34),
", ValueCount:  ",NumDataValues,"}"))</f>
        <v>PLEASE FILL IN METADATA FOR AT LEAST ONE DATA COLUMN</v>
      </c>
      <c r="W4" s="32" t="str">
        <f>IF(INDEX(DataColumns[Col '#],$A4)="","PLEASE FILL IN METADATA FOR AT LEAST ONE DATA COLUMN",
CONCATENATE("  - &amp;TimeSeriesResultID001",TEXT($A4,"0000"),
" {","ResultObj: *ResultID",TEXT($A4,"0000"),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Statistic],$A4),CHAR(34),"}"))</f>
        <v>PLEASE FILL IN METADATA FOR AT LEAST ONE DATA COLUMN</v>
      </c>
      <c r="X4" s="32" t="s">
        <v>1252</v>
      </c>
      <c r="AA4" s="32" t="str">
        <f>IF(INDEX(DataColumns[Column Label],$A4)="",
"PLEASE FILL IN METADATA FOR AT LEAST ONE DATA COLUMN",
INDEX(DataColumns[Column Label],$A4))</f>
        <v>PLEASE FILL IN METADATA FOR AT LEAST ONE DATA COLUMN</v>
      </c>
      <c r="AB4" s="32" t="str">
        <f>IF(INDEX(DataColumns[Col '#],$A4)="",
"PLEASE FILL IN METADATA FOR AT LEAST ONE DATA COLUMN",
CONCATENATE("ValueDateTime",", ","ValueDateTimeUTCOffset",", ",INDIRECT(CONCATENATE("$aa$",COUNTIF(AA$3:AA$500,"?*")+2)),"],["))</f>
        <v>PLEASE FILL IN METADATA FOR AT LEAST ONE DATA COLUMN</v>
      </c>
      <c r="AC4" s="32" t="s">
        <v>1283</v>
      </c>
      <c r="AD4" s="32">
        <f>SUM(B2:AB2)</f>
        <v>64</v>
      </c>
    </row>
    <row r="5" spans="1:30" s="32" customFormat="1" x14ac:dyDescent="0.25">
      <c r="A5" s="32">
        <v>2</v>
      </c>
      <c r="D5" s="32" t="str">
        <f>IF($A5&gt;NumPeople,"",
CONCATENATE("  - &amp;PersonID",TEXT($A5,"0000"),
" {","PersonFirstName:  ",CHAR(34),INDEX(People[First Name],$A5),CHAR(34),
", PersonMiddleName:  ",CHAR(34),INDEX(People[Middle Name],$A5),CHAR(34),
", PersonLastName:  ",CHAR(34),INDEX(People[Last Name],$A5),CHAR(34),"}"))</f>
        <v xml:space="preserve">  - &amp;PersonID0002 {PersonFirstName:  "", PersonMiddleName:  "", PersonLastName:  ""}</v>
      </c>
      <c r="E5" s="32" t="str">
        <f>IF($A5&gt;NumOrganizations,"",
CONCATENATE("  - &amp;OrganizationID",TEXT($A5,"0000"),
" {","OrganizationTypeCV:  ",CHAR(34),INDEX(Organizations[Organization Type '[CV']],$A5),CHAR(34),
", OrganizationCode:  ",CHAR(34),INDEX(Organizations[Organization Code],$A5),CHAR(34),
", OrganizationName:  ",CHAR(34),INDEX(Organizations[Organization Name],$A5),CHAR(34),
", OrganizationDescription:  ",CHAR(34),INDEX(Organizations[Organization Description],$A5),CHAR(34),
", OrganizationLink:  ",CHAR(34),INDEX(Organizations[Organization Link],$A5),CHAR(34),"}"))</f>
        <v/>
      </c>
      <c r="F5" s="32" t="e">
        <f>IF($A5&gt;NumPeople,"",
CONCATENATE("  - &amp;AffiliationID",TEXT($A5,"0000"),
" {PersonObj: *PersonID",TEXT($A5,"0000"),
", OrganizationObj: *OrganizationID",TEXT(MATCH(INDEX(People[Organization Name],$A5),Organizations[Organization Name],0),"0000"),
", IsPrimaryOrganizationContact: , AffiliationStartDate: , AffiliationEndDate: , PrimaryPhone: ",
", PrimaryEmail: ",CHAR(34),INDEX(People[Primary Email],$A5),CHAR(34),
", PrimaryAddress: ",CHAR(34),INDEX(People[Primary Address],$A5),CHAR(34),
", PersonLink: }"))</f>
        <v>#N/A</v>
      </c>
      <c r="H5" s="32" t="str">
        <f>IF(COUNTA(CitationInformation)=0,"",
IF($A5&gt;NumAuthors,"",
CONCATENATE("  - &amp;AuthorListID",TEXT($A5,"0000"),
"  {CitationObj: *CitationID0001",
", PersonObj: *PersonID",TEXT(MATCH(INDEX(AuthorList[Author Name],$A5),People[Full Name],0),"0000"),
", AuthorOrder: ",INDEX(AuthorList[Author Number],$A5),"}")))</f>
        <v/>
      </c>
      <c r="K5" s="32" t="str">
        <f>IF($A5&gt;NumSamplingFeatures,"",
CONCATENATE("  - &amp;SamplingFeatureID",TEXT($A5,"0000"),
" {","SamplingFeatureUUID:  ",CHAR(34),INDEX(SamplingFeatures[Sampling Feature UUID],$A5),CHAR(34),
", SamplingFeatureTypeCV:  ",CHAR(34),INDEX(SamplingFeatures[Sampling Feature Type],$A5),CHAR(34),
", SamplingFeatureCode:  ",CHAR(34),INDEX(SamplingFeatures[Feature Code],$A5),CHAR(34),
", SamplingFeatureName:  ",CHAR(34),INDEX(SamplingFeatures[Feature Name],$A5),CHAR(34),
", SamplingFeatureDescription:  ",CHAR(34),INDEX(SamplingFeatures[Feature Description],$A5),CHAR(34),
", SamplingFeatureGeotypeCV:  ",CHAR(34),INDEX(SamplingFeatures[Feature Geo Type],$A5),CHAR(34),
", FeatureGeometry:  ",CHAR(34),INDEX(SamplingFeatures[Feature Geometry],$A5),CHAR(34),
", Elevation_m:  ",CHAR(34),INDEX(SamplingFeatures[Elevation_m],$A5),CHAR(34),
", ElevationDatumCV:  ",CHAR(34),ElevationDatum,CHAR(34),"}"))</f>
        <v/>
      </c>
      <c r="L5" s="32" t="str">
        <f>IF(NumSites=0,"",
IF(NumSites&lt;$A5,"",
CONCATENATE("  - &amp;SiteID",TEXT($A5,"0000"),
" {","SamplingFeatureObj:  *SamplingFeatureID",TEXT(MATCH($A5,Sites[SiteID],0),"0000"),
", SiteTypeCV:  ",CHAR(34),INDEX(Sites[Site Type],MATCH($A5,Sites[SiteID],0)),CHAR(34),
", Latitude:  ",INDEX(Sites[Latitude],MATCH($A5,Sites[SiteID],0)),
", Longitude:  ",INDEX(Sites[Longitude],MATCH($A5,Sites[SiteID],0)),
", SpatialReferenceObj:  *SRSID0001}")))</f>
        <v/>
      </c>
      <c r="M5" s="32" t="str">
        <f>IF(NumSpecimens=0,"",
IF(NumSpecimens&lt;$A5,"",
CONCATENATE("  - &amp;SpecimenID",TEXT($A5,"0000"),
" {","SamplingFeatureObj:  *SamplingFeatureID",TEXT(MATCH($A5,Specimens[SpecimenID],0),"0000"),
", SpecimenTypeCV:  ",CHAR(34),INDEX(Specimens[Specimen Type],MATCH($A5,Specimens[SpecimenID],0)),CHAR(34),
", SpecimenMediumCV:  ",INDEX(Specimens[Specimen Medium],MATCH($A5,Specimens[SpecimenID],0)),
", IsFieldSpecimen:  ",CHAR(34),INDEX(Specimens[Is Field Specimen?],MATCH($A5,Specimens[SpecimenID],0)),CHAR(34),"}")))</f>
        <v/>
      </c>
      <c r="N5" s="32" t="str">
        <f>IF(NumSpatialOffsets=0,"",
IF(NumSpatialOffsets&lt;$A5,"",
CONCATENATE("  - &amp;SpatialOffsetID",TEXT($A5,"0000"),
" {","SpatialOffsetTypeCV:  ",CHAR(34),INDEX(RelatedFeatures[Spatial Offset Type],MATCH($A5,RelatedFeatures[OffsetID],0)),CHAR(34),
", Offset1Value:  ",INDEX(RelatedFeatures[Offset 1 Value],MATCH($A5,RelatedFeatures[OffsetID],0)),
", Offset1UnitObj:  ",CHAR(34),INDEX(RelatedFeatures[Offset 1 Unit],MATCH($A5,RelatedFeatures[OffsetID],0)),CHAR(34),
", Offset2Value:  ",IF(INDEX(RelatedFeatures[Offset 2 Value],MATCH($A5,RelatedFeatures[OffsetID],0))="","NULL",INDEX(RelatedFeatures[Offset 2 Value],MATCH($A5,RelatedFeatures[OffsetID],0))),
", Offset2UnitObj:  ",CHAR(34),INDEX(RelatedFeatures[Offset 2 Unit],MATCH($A5,RelatedFeatures[OffsetID],0)),,CHAR(34),
", Offset3Value:  ",IF(INDEX(RelatedFeatures[Offset 3 Value],MATCH($A5,RelatedFeatures[OffsetID],0))="","NULL",INDEX(RelatedFeatures[Offset 3 Value],MATCH($A5,RelatedFeatures[OffsetID],0))),
", Offset3UnitObj:  ",CHAR(34),INDEX(RelatedFeatures[Offset 3 Unit],MATCH($A5,RelatedFeatures[OffsetID],0)),CHAR(34),"}")))</f>
        <v/>
      </c>
      <c r="O5" s="32" t="str">
        <f>IF(NumRelatedFeatures=0,"",
IF($A5&gt;NumRelatedFeatures,"",
CONCATENATE("  - &amp;RelationID",TEXT($A5,"0000"),
" {","SamplingFeatureObj:  *SamplingFeatureID",TEXT(MATCH(INDEX(RelatedFeatures[First Sampling Feature Code],$A5),SamplingFeatures[Feature Code],0),"0000"),
", RelationshipTypeCV:  ",CHAR(34),INDEX(RelatedFeatures[Relationship Type],$A5),CHAR(34),
", RelatedFeatureObj: *SamplingFeatureID",TEXT(MATCH(INDEX(RelatedFeatures[Second Sampling Feature Code],$A5),SamplingFeatures[Feature Code],0),"0000"),
", SpatialOffsetObj:  ",IF(INDEX(RelatedFeatures[OffsetID],$A5)="",CONCATENATE(CHAR(34),CHAR(34)),CONCATENATE("*SpatialOffsetID",TEXT(INDEX(RelatedFeatures[OffsetID],$A5),"0000"))),"}")))</f>
        <v/>
      </c>
      <c r="P5" s="32" t="str">
        <f>IF($A5&gt;NumMethods,"",
CONCATENATE("  - &amp;MethodID",TEXT($A5,"0000"),
" {","MethodTypeCV:  ",CHAR(34),INDEX(Methods[Method Type],$A5),CHAR(34),
", MethodCode:  ",CHAR(34),INDEX(Methods[Method Code],$A5),CHAR(34),
", MethodName:  ",CHAR(34),INDEX(Methods[Method Name],$A5),CHAR(34),
", MethodDescription:  ",CHAR(34),INDEX(Methods[Method Description],$A5),CHAR(34),
", MethodLink:  ",CHAR(34),INDEX(Methods[Method Link],$A5),CHAR(34),
", OrganizationObj: *OrganizationID",TEXT(MATCH(INDEX(Methods[Organization Name],$A5),Organizations[Organization Name],0),"0000"),"}"))</f>
        <v/>
      </c>
      <c r="Q5" s="32" t="str">
        <f>IF($A5&gt;NumVariables,"",
CONCATENATE("  - &amp;VariableID",TEXT($A5,"0000"),
" {","VariableTypeCV:  ",CHAR(34),INDEX(Variables[Variable Type],$A5),CHAR(34),
", VariableCode:  ",CHAR(34),INDEX(Variables[Variable Code],$A5),CHAR(34),
", VariableNameCV:  ",CHAR(34),INDEX(Variables[Variable Name],$A5),CHAR(34),
", VariableDefinition:  ",CHAR(34),INDEX(Variables[Variable Definition],$A5),CHAR(34),
", SpecciationCV:  ",CHAR(34),INDEX(Variables[Speciation],$A5),CHAR(34),
", NoDataValue:  ",CHAR(34),INDEX(Variables[No Data Value],$A5),CHAR(34),"}"))</f>
        <v/>
      </c>
      <c r="S5" s="32" t="str">
        <f>IF($A5&gt;NumProcessingLevels,"",
CONCATENATE("  - &amp;ProcessingLevelID",TEXT($A5,"0000"),
" {","ProcessingLevelCode:  ",CHAR(34),INDEX(ProcessingLevels[Processing Level Code],$A5),CHAR(34),
", Definition:  ",CHAR(34),INDEX(ProcessingLevels[Definition],$A5),CHAR(34),
", Explanation:  ",CHAR(34),INDEX(ProcessingLevels[Explanation],$A5),CHAR(34),"}"))</f>
        <v/>
      </c>
      <c r="T5" s="32" t="str">
        <f>IF($A5&gt;NumDataColumns,"",
IF(INDEX(DataColumns[Method Code],$A5)="","PLEASE FILL IN A METHOD FOR EACH DATA COLUMN",
CONCATENATE("  - &amp;ActionID",TEXT($A5,"0000"),
" {","ActionTypeCV:  ",CHAR(34),"Observation",CHAR(34),
", MethodObj: *MethodID",TEXT(MATCH(INDEX(DataColumns[Method Code],$A5),Methods[Method Code],0),"0000"),
", BeginDateTime:  NULL",
", BeginDateTimeUTCOffset:  NULL",
", EndDateTime:  NULL",
", EndDateTimeUTCOffset:  NULL",
", ActionDescription:  ",CHAR(34),"Generic observation action generated by YODA TimeSeries Template",CHAR(34),
", ActionFileLink:  ",CHAR(34),CHAR(34),"}")))</f>
        <v/>
      </c>
      <c r="U5" s="32" t="str">
        <f>IF($A5&gt;NumDataColumns,"",
IF(INDEX(DataColumns[Method Code],$A5)="","PLEASE FILL IN A SAMPLING FEATURE FOR EACH DATA COLUMN",
CONCATENATE("  - &amp;FeatureActionID",TEXT($A5,"0000"),
" {","SamplingFeatureObj:  *SamplingFeatureID",TEXT(MATCH(INDEX(DataColumns[Sampling Feature Code],$A5),SamplingFeatures[Feature Code],0),"0000"),
", ActionObj:  *ActionID",TEXT($A5,"0000"),"}")))</f>
        <v/>
      </c>
      <c r="V5" s="32" t="str">
        <f>IF($A5&gt;NumDataColumns,"",
CONCATENATE("  - &amp;ResultID",TEXT($A5,"0000"),
" {","ResultUUID:  ",CHAR(34),INDEX(DataColumns[ResultUUID],$A5),CHAR(34),
", FeatureActionObj: *FeatureActionID",TEXT($A5,"0000"),
", ResultTypeCV:  ",CHAR(34),INDEX(DataColumns[Result Type],$A5),CHAR(34),
", VariableObj:  *VariableID",TEXT(MATCH(INDEX(DataColumns[Variable Code],$A5),Variables[Variable Code],0),"0000"),
", UnitsObj:  ",CHAR(34),INDEX(DataColumns[Unit Name],$A5),CHAR(34),
", TaxonomicClassifierObj:  ",CHAR(34),CHAR(34),
", ProcessingLevelObj:  *ProcessingLevelID",TEXT(MATCH(INDEX(DataColumns[Processing Level],$A5),ProcessingLevels[Processing Level Code],0),"0000"),
", ResultDateTime:  ",CHAR(34),CHAR(34),
", ResultDateTimeUTCOffset:  ",CHAR(34),CHAR(34),
", ValidDateTime:  ",CHAR(34),CHAR(34),
", ValidDateTimeUTCOffset:  ",CHAR(34),CHAR(34),
", StatusCV:  ",CHAR(34),CHAR(34),
", SampledMediumCV:  ",CHAR(34),INDEX(DataColumns[Sampled Medium],$A5),CHAR(34),
", ValueCount:  ",NumDataValues,"}"))</f>
        <v/>
      </c>
      <c r="W5" s="32" t="str">
        <f>IF($A5&gt;NumDataColumns,"",
CONCATENATE("  - &amp;TimeSeriesResultID001",TEXT($A5,"0000"),
" {","ResultObj: *ResultID",TEXT($A5,"0000"),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Statistic],$A5),CHAR(34),"}"))</f>
        <v/>
      </c>
      <c r="X5" s="32" t="s">
        <v>1253</v>
      </c>
      <c r="AA5" s="32" t="str">
        <f>IF($A5&gt;NumDataColumns,
"",
CONCATENATE(AA4,", ",INDEX(DataColumns[Column Label],$A5)))</f>
        <v/>
      </c>
      <c r="AC5" s="32" t="s">
        <v>1284</v>
      </c>
      <c r="AD5" s="32">
        <f>COUNT('Data Values'!C2:C96148)</f>
        <v>0</v>
      </c>
    </row>
    <row r="6" spans="1:30" s="32" customFormat="1" x14ac:dyDescent="0.25">
      <c r="A6" s="32">
        <v>3</v>
      </c>
      <c r="D6" s="32" t="str">
        <f>IF($A6&gt;NumPeople,"",
CONCATENATE("  - &amp;PersonID",TEXT($A6,"0000"),
" {","PersonFirstName:  ",CHAR(34),INDEX(People[First Name],$A6),CHAR(34),
", PersonMiddleName:  ",CHAR(34),INDEX(People[Middle Name],$A6),CHAR(34),
", PersonLastName:  ",CHAR(34),INDEX(People[Last Name],$A6),CHAR(34),"}"))</f>
        <v xml:space="preserve">  - &amp;PersonID0003 {PersonFirstName:  "", PersonMiddleName:  "", PersonLastName:  ""}</v>
      </c>
      <c r="E6" s="32" t="str">
        <f>IF($A6&gt;NumOrganizations,"",
CONCATENATE("  - &amp;OrganizationID",TEXT($A6,"0000"),
" {","OrganizationTypeCV:  ",CHAR(34),INDEX(Organizations[Organization Type '[CV']],$A6),CHAR(34),
", OrganizationCode:  ",CHAR(34),INDEX(Organizations[Organization Code],$A6),CHAR(34),
", OrganizationName:  ",CHAR(34),INDEX(Organizations[Organization Name],$A6),CHAR(34),
", OrganizationDescription:  ",CHAR(34),INDEX(Organizations[Organization Description],$A6),CHAR(34),
", OrganizationLink:  ",CHAR(34),INDEX(Organizations[Organization Link],$A6),CHAR(34),"}"))</f>
        <v/>
      </c>
      <c r="F6" s="32" t="e">
        <f>IF($A6&gt;NumPeople,"",
CONCATENATE("  - &amp;AffiliationID",TEXT($A6,"0000"),
" {PersonObj: *PersonID",TEXT($A6,"0000"),
", OrganizationObj: *OrganizationID",TEXT(MATCH(INDEX(People[Organization Name],$A6),Organizations[Organization Name],0),"0000"),
", IsPrimaryOrganizationContact: , AffiliationStartDate: , AffiliationEndDate: , PrimaryPhone: ",
", PrimaryEmail: ",CHAR(34),INDEX(People[Primary Email],$A6),CHAR(34),
", PrimaryAddress: ",CHAR(34),INDEX(People[Primary Address],$A6),CHAR(34),
", PersonLink: }"))</f>
        <v>#N/A</v>
      </c>
      <c r="H6" s="32" t="str">
        <f>IF(COUNTA(CitationInformation)=0,"",
IF($A6&gt;NumAuthors,"",
CONCATENATE("  - &amp;AuthorListID",TEXT($A6,"0000"),
"  {CitationObj: *CitationID0001",
", PersonObj: *PersonID",TEXT(MATCH(INDEX(AuthorList[Author Name],$A6),People[Full Name],0),"0000"),
", AuthorOrder: ",INDEX(AuthorList[Author Number],$A6),"}")))</f>
        <v/>
      </c>
      <c r="K6" s="32" t="str">
        <f>IF($A6&gt;NumSamplingFeatures,"",
CONCATENATE("  - &amp;SamplingFeatureID",TEXT($A6,"0000"),
" {","SamplingFeatureUUID:  ",CHAR(34),INDEX(SamplingFeatures[Sampling Feature UUID],$A6),CHAR(34),
", SamplingFeatureTypeCV:  ",CHAR(34),INDEX(SamplingFeatures[Sampling Feature Type],$A6),CHAR(34),
", SamplingFeatureCode:  ",CHAR(34),INDEX(SamplingFeatures[Feature Code],$A6),CHAR(34),
", SamplingFeatureName:  ",CHAR(34),INDEX(SamplingFeatures[Feature Name],$A6),CHAR(34),
", SamplingFeatureDescription:  ",CHAR(34),INDEX(SamplingFeatures[Feature Description],$A6),CHAR(34),
", SamplingFeatureGeotypeCV:  ",CHAR(34),INDEX(SamplingFeatures[Feature Geo Type],$A6),CHAR(34),
", FeatureGeometry:  ",CHAR(34),INDEX(SamplingFeatures[Feature Geometry],$A6),CHAR(34),
", Elevation_m:  ",CHAR(34),INDEX(SamplingFeatures[Elevation_m],$A6),CHAR(34),
", ElevationDatumCV:  ",CHAR(34),ElevationDatum,CHAR(34),"}"))</f>
        <v/>
      </c>
      <c r="L6" s="32" t="str">
        <f>IF(NumSites=0,"",
IF(NumSites&lt;$A6,"",
CONCATENATE("  - &amp;SiteID",TEXT($A6,"0000"),
" {","SamplingFeatureObj:  *SamplingFeatureID",TEXT(MATCH($A6,Sites[SiteID],0),"0000"),
", SiteTypeCV:  ",CHAR(34),INDEX(Sites[Site Type],MATCH($A6,Sites[SiteID],0)),CHAR(34),
", Latitude:  ",INDEX(Sites[Latitude],MATCH($A6,Sites[SiteID],0)),
", Longitude:  ",INDEX(Sites[Longitude],MATCH($A6,Sites[SiteID],0)),
", SpatialReferenceObj:  *SRSID0001}")))</f>
        <v/>
      </c>
      <c r="M6" s="32" t="str">
        <f>IF(NumSpecimens=0,"",
IF(NumSpecimens&lt;$A6,"",
CONCATENATE("  - &amp;SpecimenID",TEXT($A6,"0000"),
" {","SamplingFeatureObj:  *SamplingFeatureID",TEXT(MATCH($A6,Specimens[SpecimenID],0),"0000"),
", SpecimenTypeCV:  ",CHAR(34),INDEX(Specimens[Specimen Type],MATCH($A6,Specimens[SpecimenID],0)),CHAR(34),
", SpecimenMediumCV:  ",INDEX(Specimens[Specimen Medium],MATCH($A6,Specimens[SpecimenID],0)),
", IsFieldSpecimen:  ",CHAR(34),INDEX(Specimens[Is Field Specimen?],MATCH($A6,Specimens[SpecimenID],0)),CHAR(34),"}")))</f>
        <v/>
      </c>
      <c r="N6" s="32" t="str">
        <f>IF(NumSpatialOffsets=0,"",
IF(NumSpatialOffsets&lt;$A6,"",
CONCATENATE("  - &amp;SpatialOffsetID",TEXT($A6,"0000"),
" {","SpatialOffsetTypeCV:  ",CHAR(34),INDEX(RelatedFeatures[Spatial Offset Type],MATCH($A6,RelatedFeatures[OffsetID],0)),CHAR(34),
", Offset1Value:  ",INDEX(RelatedFeatures[Offset 1 Value],MATCH($A6,RelatedFeatures[OffsetID],0)),
", Offset1UnitObj:  ",CHAR(34),INDEX(RelatedFeatures[Offset 1 Unit],MATCH($A6,RelatedFeatures[OffsetID],0)),CHAR(34),
", Offset2Value:  ",IF(INDEX(RelatedFeatures[Offset 2 Value],MATCH($A6,RelatedFeatures[OffsetID],0))="","NULL",INDEX(RelatedFeatures[Offset 2 Value],MATCH($A6,RelatedFeatures[OffsetID],0))),
", Offset2UnitObj:  ",CHAR(34),INDEX(RelatedFeatures[Offset 2 Unit],MATCH($A6,RelatedFeatures[OffsetID],0)),,CHAR(34),
", Offset3Value:  ",IF(INDEX(RelatedFeatures[Offset 3 Value],MATCH($A6,RelatedFeatures[OffsetID],0))="","NULL",INDEX(RelatedFeatures[Offset 3 Value],MATCH($A6,RelatedFeatures[OffsetID],0))),
", Offset3UnitObj:  ",CHAR(34),INDEX(RelatedFeatures[Offset 3 Unit],MATCH($A6,RelatedFeatures[OffsetID],0)),CHAR(34),"}")))</f>
        <v/>
      </c>
      <c r="O6" s="32" t="str">
        <f>IF(NumRelatedFeatures=0,"",
IF($A6&gt;NumRelatedFeatures,"",
CONCATENATE("  - &amp;RelationID",TEXT($A6,"0000"),
" {","SamplingFeatureObj:  *SamplingFeatureID",TEXT(MATCH(INDEX(RelatedFeatures[First Sampling Feature Code],$A6),SamplingFeatures[Feature Code],0),"0000"),
", RelationshipTypeCV:  ",CHAR(34),INDEX(RelatedFeatures[Relationship Type],$A6),CHAR(34),
", RelatedFeatureObj: *SamplingFeatureID",TEXT(MATCH(INDEX(RelatedFeatures[Second Sampling Feature Code],$A6),SamplingFeatures[Feature Code],0),"0000"),
", SpatialOffsetObj:  ",IF(INDEX(RelatedFeatures[OffsetID],$A6)="",CONCATENATE(CHAR(34),CHAR(34)),CONCATENATE("*SpatialOffsetID",TEXT(INDEX(RelatedFeatures[OffsetID],$A6),"0000"))),"}")))</f>
        <v/>
      </c>
      <c r="P6" s="32" t="str">
        <f>IF($A6&gt;NumMethods,"",
CONCATENATE("  - &amp;MethodID",TEXT($A6,"0000"),
" {","MethodTypeCV:  ",CHAR(34),INDEX(Methods[Method Type],$A6),CHAR(34),
", MethodCode:  ",CHAR(34),INDEX(Methods[Method Code],$A6),CHAR(34),
", MethodName:  ",CHAR(34),INDEX(Methods[Method Name],$A6),CHAR(34),
", MethodDescription:  ",CHAR(34),INDEX(Methods[Method Description],$A6),CHAR(34),
", MethodLink:  ",CHAR(34),INDEX(Methods[Method Link],$A6),CHAR(34),
", OrganizationObj: *OrganizationID",TEXT(MATCH(INDEX(Methods[Organization Name],$A6),Organizations[Organization Name],0),"0000"),"}"))</f>
        <v/>
      </c>
      <c r="Q6" s="32" t="str">
        <f>IF($A6&gt;NumVariables,"",
CONCATENATE("  - &amp;VariableID",TEXT($A6,"0000"),
" {","VariableTypeCV:  ",CHAR(34),INDEX(Variables[Variable Type],$A6),CHAR(34),
", VariableCode:  ",CHAR(34),INDEX(Variables[Variable Code],$A6),CHAR(34),
", VariableNameCV:  ",CHAR(34),INDEX(Variables[Variable Name],$A6),CHAR(34),
", VariableDefinition:  ",CHAR(34),INDEX(Variables[Variable Definition],$A6),CHAR(34),
", SpecciationCV:  ",CHAR(34),INDEX(Variables[Speciation],$A6),CHAR(34),
", NoDataValue:  ",CHAR(34),INDEX(Variables[No Data Value],$A6),CHAR(34),"}"))</f>
        <v/>
      </c>
      <c r="S6" s="32" t="str">
        <f>IF($A6&gt;NumProcessingLevels,"",
CONCATENATE("  - &amp;ProcessingLevelID",TEXT($A6,"0000"),
" {","ProcessingLevelCode:  ",CHAR(34),INDEX(ProcessingLevels[Processing Level Code],$A6),CHAR(34),
", Definition:  ",CHAR(34),INDEX(ProcessingLevels[Definition],$A6),CHAR(34),
", Explanation:  ",CHAR(34),INDEX(ProcessingLevels[Explanation],$A6),CHAR(34),"}"))</f>
        <v/>
      </c>
      <c r="T6" s="32" t="str">
        <f>IF($A6&gt;NumDataColumns,"",
IF(INDEX(DataColumns[Method Code],$A6)="","PLEASE FILL IN A METHOD FOR EACH DATA COLUMN",
CONCATENATE("  - &amp;ActionID",TEXT($A6,"0000"),
" {","ActionTypeCV:  ",CHAR(34),"Observation",CHAR(34),
", MethodObj: *MethodID",TEXT(MATCH(INDEX(DataColumns[Method Code],$A6),Methods[Method Code],0),"0000"),
", BeginDateTime:  NULL",
", BeginDateTimeUTCOffset:  NULL",
", EndDateTime:  NULL",
", EndDateTimeUTCOffset:  NULL",
", ActionDescription:  ",CHAR(34),"Generic observation action generated by YODA TimeSeries Template",CHAR(34),
", ActionFileLink:  ",CHAR(34),CHAR(34),"}")))</f>
        <v/>
      </c>
      <c r="U6" s="32" t="str">
        <f>IF($A6&gt;NumDataColumns,"",
IF(INDEX(DataColumns[Method Code],$A6)="","PLEASE FILL IN A SAMPLING FEATURE FOR EACH DATA COLUMN",
CONCATENATE("  - &amp;FeatureActionID",TEXT($A6,"0000"),
" {","SamplingFeatureObj:  *SamplingFeatureID",TEXT(MATCH(INDEX(DataColumns[Sampling Feature Code],$A6),SamplingFeatures[Feature Code],0),"0000"),
", ActionObj:  *ActionID",TEXT($A6,"0000"),"}")))</f>
        <v/>
      </c>
      <c r="V6" s="32" t="str">
        <f>IF($A6&gt;NumDataColumns,"",
CONCATENATE("  - &amp;ResultID",TEXT($A6,"0000"),
" {","ResultUUID:  ",CHAR(34),INDEX(DataColumns[ResultUUID],$A6),CHAR(34),
", FeatureActionObj: *FeatureActionID",TEXT($A6,"0000"),
", ResultTypeCV:  ",CHAR(34),INDEX(DataColumns[Result Type],$A6),CHAR(34),
", VariableObj:  *VariableID",TEXT(MATCH(INDEX(DataColumns[Variable Code],$A6),Variables[Variable Code],0),"0000"),
", UnitsObj:  ",CHAR(34),INDEX(DataColumns[Unit Name],$A6),CHAR(34),
", TaxonomicClassifierObj:  ",CHAR(34),CHAR(34),
", ProcessingLevelObj:  *ProcessingLevelID",TEXT(MATCH(INDEX(DataColumns[Processing Level],$A6),ProcessingLevels[Processing Level Code],0),"0000"),
", ResultDateTime:  ",CHAR(34),CHAR(34),
", ResultDateTimeUTCOffset:  ",CHAR(34),CHAR(34),
", ValidDateTime:  ",CHAR(34),CHAR(34),
", ValidDateTimeUTCOffset:  ",CHAR(34),CHAR(34),
", StatusCV:  ",CHAR(34),CHAR(34),
", SampledMediumCV:  ",CHAR(34),INDEX(DataColumns[Sampled Medium],$A6),CHAR(34),
", ValueCount:  ",NumDataValues,"}"))</f>
        <v/>
      </c>
      <c r="W6" s="32" t="str">
        <f>IF($A6&gt;NumDataColumns,"",
CONCATENATE("  - &amp;TimeSeriesResultID001",TEXT($A6,"0000"),
" {","ResultObj: *ResultID",TEXT($A6,"0000"),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Statistic],$A6),CHAR(34),"}"))</f>
        <v/>
      </c>
      <c r="X6" s="32" t="s">
        <v>1254</v>
      </c>
      <c r="AA6" s="32" t="str">
        <f>IF($A6&gt;NumDataColumns,
"",
CONCATENATE(AA5,", ",INDEX(DataColumns[Column Label],$A6)))</f>
        <v/>
      </c>
    </row>
    <row r="7" spans="1:30" s="32" customFormat="1" x14ac:dyDescent="0.25">
      <c r="A7" s="32">
        <v>4</v>
      </c>
      <c r="D7" s="32" t="str">
        <f>IF($A7&gt;NumPeople,"",
CONCATENATE("  - &amp;PersonID",TEXT($A7,"0000"),
" {","PersonFirstName:  ",CHAR(34),INDEX(People[First Name],$A7),CHAR(34),
", PersonMiddleName:  ",CHAR(34),INDEX(People[Middle Name],$A7),CHAR(34),
", PersonLastName:  ",CHAR(34),INDEX(People[Last Name],$A7),CHAR(34),"}"))</f>
        <v xml:space="preserve">  - &amp;PersonID0004 {PersonFirstName:  "", PersonMiddleName:  "", PersonLastName:  ""}</v>
      </c>
      <c r="E7" s="32" t="str">
        <f>IF($A7&gt;NumOrganizations,"",
CONCATENATE("  - &amp;OrganizationID",TEXT($A7,"0000"),
" {","OrganizationTypeCV:  ",CHAR(34),INDEX(Organizations[Organization Type '[CV']],$A7),CHAR(34),
", OrganizationCode:  ",CHAR(34),INDEX(Organizations[Organization Code],$A7),CHAR(34),
", OrganizationName:  ",CHAR(34),INDEX(Organizations[Organization Name],$A7),CHAR(34),
", OrganizationDescription:  ",CHAR(34),INDEX(Organizations[Organization Description],$A7),CHAR(34),
", OrganizationLink:  ",CHAR(34),INDEX(Organizations[Organization Link],$A7),CHAR(34),"}"))</f>
        <v/>
      </c>
      <c r="F7" s="32" t="e">
        <f>IF($A7&gt;NumPeople,"",
CONCATENATE("  - &amp;AffiliationID",TEXT($A7,"0000"),
" {PersonObj: *PersonID",TEXT($A7,"0000"),
", OrganizationObj: *OrganizationID",TEXT(MATCH(INDEX(People[Organization Name],$A7),Organizations[Organization Name],0),"0000"),
", IsPrimaryOrganizationContact: , AffiliationStartDate: , AffiliationEndDate: , PrimaryPhone: ",
", PrimaryEmail: ",CHAR(34),INDEX(People[Primary Email],$A7),CHAR(34),
", PrimaryAddress: ",CHAR(34),INDEX(People[Primary Address],$A7),CHAR(34),
", PersonLink: }"))</f>
        <v>#N/A</v>
      </c>
      <c r="H7" s="32" t="str">
        <f>IF(COUNTA(CitationInformation)=0,"",
IF($A7&gt;NumAuthors,"",
CONCATENATE("  - &amp;AuthorListID",TEXT($A7,"0000"),
"  {CitationObj: *CitationID0001",
", PersonObj: *PersonID",TEXT(MATCH(INDEX(AuthorList[Author Name],$A7),People[Full Name],0),"0000"),
", AuthorOrder: ",INDEX(AuthorList[Author Number],$A7),"}")))</f>
        <v/>
      </c>
      <c r="K7" s="32" t="str">
        <f>IF($A7&gt;NumSamplingFeatures,"",
CONCATENATE("  - &amp;SamplingFeatureID",TEXT($A7,"0000"),
" {","SamplingFeatureUUID:  ",CHAR(34),INDEX(SamplingFeatures[Sampling Feature UUID],$A7),CHAR(34),
", SamplingFeatureTypeCV:  ",CHAR(34),INDEX(SamplingFeatures[Sampling Feature Type],$A7),CHAR(34),
", SamplingFeatureCode:  ",CHAR(34),INDEX(SamplingFeatures[Feature Code],$A7),CHAR(34),
", SamplingFeatureName:  ",CHAR(34),INDEX(SamplingFeatures[Feature Name],$A7),CHAR(34),
", SamplingFeatureDescription:  ",CHAR(34),INDEX(SamplingFeatures[Feature Description],$A7),CHAR(34),
", SamplingFeatureGeotypeCV:  ",CHAR(34),INDEX(SamplingFeatures[Feature Geo Type],$A7),CHAR(34),
", FeatureGeometry:  ",CHAR(34),INDEX(SamplingFeatures[Feature Geometry],$A7),CHAR(34),
", Elevation_m:  ",CHAR(34),INDEX(SamplingFeatures[Elevation_m],$A7),CHAR(34),
", ElevationDatumCV:  ",CHAR(34),ElevationDatum,CHAR(34),"}"))</f>
        <v/>
      </c>
      <c r="L7" s="32" t="str">
        <f>IF(NumSites=0,"",
IF(NumSites&lt;$A7,"",
CONCATENATE("  - &amp;SiteID",TEXT($A7,"0000"),
" {","SamplingFeatureObj:  *SamplingFeatureID",TEXT(MATCH($A7,Sites[SiteID],0),"0000"),
", SiteTypeCV:  ",CHAR(34),INDEX(Sites[Site Type],MATCH($A7,Sites[SiteID],0)),CHAR(34),
", Latitude:  ",INDEX(Sites[Latitude],MATCH($A7,Sites[SiteID],0)),
", Longitude:  ",INDEX(Sites[Longitude],MATCH($A7,Sites[SiteID],0)),
", SpatialReferenceObj:  *SRSID0001}")))</f>
        <v/>
      </c>
      <c r="M7" s="32" t="str">
        <f>IF(NumSpecimens=0,"",
IF(NumSpecimens&lt;$A7,"",
CONCATENATE("  - &amp;SpecimenID",TEXT($A7,"0000"),
" {","SamplingFeatureObj:  *SamplingFeatureID",TEXT(MATCH($A7,Specimens[SpecimenID],0),"0000"),
", SpecimenTypeCV:  ",CHAR(34),INDEX(Specimens[Specimen Type],MATCH($A7,Specimens[SpecimenID],0)),CHAR(34),
", SpecimenMediumCV:  ",INDEX(Specimens[Specimen Medium],MATCH($A7,Specimens[SpecimenID],0)),
", IsFieldSpecimen:  ",CHAR(34),INDEX(Specimens[Is Field Specimen?],MATCH($A7,Specimens[SpecimenID],0)),CHAR(34),"}")))</f>
        <v/>
      </c>
      <c r="N7" s="32" t="str">
        <f>IF(NumSpatialOffsets=0,"",
IF(NumSpatialOffsets&lt;$A7,"",
CONCATENATE("  - &amp;SpatialOffsetID",TEXT($A7,"0000"),
" {","SpatialOffsetTypeCV:  ",CHAR(34),INDEX(RelatedFeatures[Spatial Offset Type],MATCH($A7,RelatedFeatures[OffsetID],0)),CHAR(34),
", Offset1Value:  ",INDEX(RelatedFeatures[Offset 1 Value],MATCH($A7,RelatedFeatures[OffsetID],0)),
", Offset1UnitObj:  ",CHAR(34),INDEX(RelatedFeatures[Offset 1 Unit],MATCH($A7,RelatedFeatures[OffsetID],0)),CHAR(34),
", Offset2Value:  ",IF(INDEX(RelatedFeatures[Offset 2 Value],MATCH($A7,RelatedFeatures[OffsetID],0))="","NULL",INDEX(RelatedFeatures[Offset 2 Value],MATCH($A7,RelatedFeatures[OffsetID],0))),
", Offset2UnitObj:  ",CHAR(34),INDEX(RelatedFeatures[Offset 2 Unit],MATCH($A7,RelatedFeatures[OffsetID],0)),,CHAR(34),
", Offset3Value:  ",IF(INDEX(RelatedFeatures[Offset 3 Value],MATCH($A7,RelatedFeatures[OffsetID],0))="","NULL",INDEX(RelatedFeatures[Offset 3 Value],MATCH($A7,RelatedFeatures[OffsetID],0))),
", Offset3UnitObj:  ",CHAR(34),INDEX(RelatedFeatures[Offset 3 Unit],MATCH($A7,RelatedFeatures[OffsetID],0)),CHAR(34),"}")))</f>
        <v/>
      </c>
      <c r="O7" s="32" t="str">
        <f>IF(NumRelatedFeatures=0,"",
IF($A7&gt;NumRelatedFeatures,"",
CONCATENATE("  - &amp;RelationID",TEXT($A7,"0000"),
" {","SamplingFeatureObj:  *SamplingFeatureID",TEXT(MATCH(INDEX(RelatedFeatures[First Sampling Feature Code],$A7),SamplingFeatures[Feature Code],0),"0000"),
", RelationshipTypeCV:  ",CHAR(34),INDEX(RelatedFeatures[Relationship Type],$A7),CHAR(34),
", RelatedFeatureObj: *SamplingFeatureID",TEXT(MATCH(INDEX(RelatedFeatures[Second Sampling Feature Code],$A7),SamplingFeatures[Feature Code],0),"0000"),
", SpatialOffsetObj:  ",IF(INDEX(RelatedFeatures[OffsetID],$A7)="",CONCATENATE(CHAR(34),CHAR(34)),CONCATENATE("*SpatialOffsetID",TEXT(INDEX(RelatedFeatures[OffsetID],$A7),"0000"))),"}")))</f>
        <v/>
      </c>
      <c r="P7" s="32" t="str">
        <f>IF($A7&gt;NumMethods,"",
CONCATENATE("  - &amp;MethodID",TEXT($A7,"0000"),
" {","MethodTypeCV:  ",CHAR(34),INDEX(Methods[Method Type],$A7),CHAR(34),
", MethodCode:  ",CHAR(34),INDEX(Methods[Method Code],$A7),CHAR(34),
", MethodName:  ",CHAR(34),INDEX(Methods[Method Name],$A7),CHAR(34),
", MethodDescription:  ",CHAR(34),INDEX(Methods[Method Description],$A7),CHAR(34),
", MethodLink:  ",CHAR(34),INDEX(Methods[Method Link],$A7),CHAR(34),
", OrganizationObj: *OrganizationID",TEXT(MATCH(INDEX(Methods[Organization Name],$A7),Organizations[Organization Name],0),"0000"),"}"))</f>
        <v/>
      </c>
      <c r="Q7" s="32" t="str">
        <f>IF($A7&gt;NumVariables,"",
CONCATENATE("  - &amp;VariableID",TEXT($A7,"0000"),
" {","VariableTypeCV:  ",CHAR(34),INDEX(Variables[Variable Type],$A7),CHAR(34),
", VariableCode:  ",CHAR(34),INDEX(Variables[Variable Code],$A7),CHAR(34),
", VariableNameCV:  ",CHAR(34),INDEX(Variables[Variable Name],$A7),CHAR(34),
", VariableDefinition:  ",CHAR(34),INDEX(Variables[Variable Definition],$A7),CHAR(34),
", SpecciationCV:  ",CHAR(34),INDEX(Variables[Speciation],$A7),CHAR(34),
", NoDataValue:  ",CHAR(34),INDEX(Variables[No Data Value],$A7),CHAR(34),"}"))</f>
        <v/>
      </c>
      <c r="S7" s="32" t="str">
        <f>IF($A7&gt;NumProcessingLevels,"",
CONCATENATE("  - &amp;ProcessingLevelID",TEXT($A7,"0000"),
" {","ProcessingLevelCode:  ",CHAR(34),INDEX(ProcessingLevels[Processing Level Code],$A7),CHAR(34),
", Definition:  ",CHAR(34),INDEX(ProcessingLevels[Definition],$A7),CHAR(34),
", Explanation:  ",CHAR(34),INDEX(ProcessingLevels[Explanation],$A7),CHAR(34),"}"))</f>
        <v/>
      </c>
      <c r="T7" s="32" t="str">
        <f>IF($A7&gt;NumDataColumns,"",
IF(INDEX(DataColumns[Method Code],$A7)="","PLEASE FILL IN A METHOD FOR EACH DATA COLUMN",
CONCATENATE("  - &amp;ActionID",TEXT($A7,"0000"),
" {","ActionTypeCV:  ",CHAR(34),"Observation",CHAR(34),
", MethodObj: *MethodID",TEXT(MATCH(INDEX(DataColumns[Method Code],$A7),Methods[Method Code],0),"0000"),
", BeginDateTime:  NULL",
", BeginDateTimeUTCOffset:  NULL",
", EndDateTime:  NULL",
", EndDateTimeUTCOffset:  NULL",
", ActionDescription:  ",CHAR(34),"Generic observation action generated by YODA TimeSeries Template",CHAR(34),
", ActionFileLink:  ",CHAR(34),CHAR(34),"}")))</f>
        <v/>
      </c>
      <c r="U7" s="32" t="str">
        <f>IF($A7&gt;NumDataColumns,"",
IF(INDEX(DataColumns[Method Code],$A7)="","PLEASE FILL IN A SAMPLING FEATURE FOR EACH DATA COLUMN",
CONCATENATE("  - &amp;FeatureActionID",TEXT($A7,"0000"),
" {","SamplingFeatureObj:  *SamplingFeatureID",TEXT(MATCH(INDEX(DataColumns[Sampling Feature Code],$A7),SamplingFeatures[Feature Code],0),"0000"),
", ActionObj:  *ActionID",TEXT($A7,"0000"),"}")))</f>
        <v/>
      </c>
      <c r="V7" s="32" t="str">
        <f>IF($A7&gt;NumDataColumns,"",
CONCATENATE("  - &amp;ResultID",TEXT($A7,"0000"),
" {","ResultUUID:  ",CHAR(34),INDEX(DataColumns[ResultUUID],$A7),CHAR(34),
", FeatureActionObj: *FeatureActionID",TEXT($A7,"0000"),
", ResultTypeCV:  ",CHAR(34),INDEX(DataColumns[Result Type],$A7),CHAR(34),
", VariableObj:  *VariableID",TEXT(MATCH(INDEX(DataColumns[Variable Code],$A7),Variables[Variable Code],0),"0000"),
", UnitsObj:  ",CHAR(34),INDEX(DataColumns[Unit Name],$A7),CHAR(34),
", TaxonomicClassifierObj:  ",CHAR(34),CHAR(34),
", ProcessingLevelObj:  *ProcessingLevelID",TEXT(MATCH(INDEX(DataColumns[Processing Level],$A7),ProcessingLevels[Processing Level Code],0),"0000"),
", ResultDateTime:  ",CHAR(34),CHAR(34),
", ResultDateTimeUTCOffset:  ",CHAR(34),CHAR(34),
", ValidDateTime:  ",CHAR(34),CHAR(34),
", ValidDateTimeUTCOffset:  ",CHAR(34),CHAR(34),
", StatusCV:  ",CHAR(34),CHAR(34),
", SampledMediumCV:  ",CHAR(34),INDEX(DataColumns[Sampled Medium],$A7),CHAR(34),
", ValueCount:  ",NumDataValues,"}"))</f>
        <v/>
      </c>
      <c r="W7" s="32" t="str">
        <f>IF($A7&gt;NumDataColumns,"",
CONCATENATE("  - &amp;TimeSeriesResultID001",TEXT($A7,"0000"),
" {","ResultObj: *ResultID",TEXT($A7,"0000"),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Statistic],$A7),CHAR(34),"}"))</f>
        <v/>
      </c>
      <c r="X7" s="32" t="str">
        <f>IF(INDEX(DataColumns[Col '#],$A7-3)="","PLEASE FILL IN METADATA FOR AT LEAST ONE DATA COLUMN",
CONCATENATE("    - {ColumnNumber: ",TEXT($A7-1,"0000"),
", Label:  ",CHAR(34),INDEX(DataColumns[Column Label],$A7-3),CHAR(34),
", ODM2Field:  ",CHAR(34),"DataValue",CHAR(34),
", CensorCodeCV:  ",CHAR(34),INDEX(DataColumns[Censor Code],$A7-3),CHAR(34),
", QualiatyCodeCV:  ",CHAR(34),INDEX(DataColumns[Quality Code],$A7-3),CHAR(34),
", TimeAggregationInterval:  ",INDEX(DataColumns[Time Aggregation Interval],$A7-3),
", TimeAggregationIntervalUnitsObj:  ",CHAR(34),INDEX(DataColumns[Time Aggregation Unit],$A7-3),CHAR(34),"}"))</f>
        <v>PLEASE FILL IN METADATA FOR AT LEAST ONE DATA COLUMN</v>
      </c>
      <c r="AA7" s="32" t="str">
        <f>IF($A7&gt;NumDataColumns,
"",
CONCATENATE(AA6,", ",INDEX(DataColumns[Column Label],$A7)))</f>
        <v/>
      </c>
    </row>
    <row r="8" spans="1:30" s="32" customFormat="1" x14ac:dyDescent="0.25">
      <c r="A8" s="32">
        <v>5</v>
      </c>
      <c r="D8" s="32" t="str">
        <f>IF($A8&gt;NumPeople,"",
CONCATENATE("  - &amp;PersonID",TEXT($A8,"0000"),
" {","PersonFirstName:  ",CHAR(34),INDEX(People[First Name],$A8),CHAR(34),
", PersonMiddleName:  ",CHAR(34),INDEX(People[Middle Name],$A8),CHAR(34),
", PersonLastName:  ",CHAR(34),INDEX(People[Last Name],$A8),CHAR(34),"}"))</f>
        <v xml:space="preserve">  - &amp;PersonID0005 {PersonFirstName:  "", PersonMiddleName:  "", PersonLastName:  ""}</v>
      </c>
      <c r="E8" s="32" t="str">
        <f>IF($A8&gt;NumOrganizations,"",
CONCATENATE("  - &amp;OrganizationID",TEXT($A8,"0000"),
" {","OrganizationTypeCV:  ",CHAR(34),INDEX(Organizations[Organization Type '[CV']],$A8),CHAR(34),
", OrganizationCode:  ",CHAR(34),INDEX(Organizations[Organization Code],$A8),CHAR(34),
", OrganizationName:  ",CHAR(34),INDEX(Organizations[Organization Name],$A8),CHAR(34),
", OrganizationDescription:  ",CHAR(34),INDEX(Organizations[Organization Description],$A8),CHAR(34),
", OrganizationLink:  ",CHAR(34),INDEX(Organizations[Organization Link],$A8),CHAR(34),"}"))</f>
        <v/>
      </c>
      <c r="F8" s="32" t="e">
        <f>IF($A8&gt;NumPeople,"",
CONCATENATE("  - &amp;AffiliationID",TEXT($A8,"0000"),
" {PersonObj: *PersonID",TEXT($A8,"0000"),
", OrganizationObj: *OrganizationID",TEXT(MATCH(INDEX(People[Organization Name],$A8),Organizations[Organization Name],0),"0000"),
", IsPrimaryOrganizationContact: , AffiliationStartDate: , AffiliationEndDate: , PrimaryPhone: ",
", PrimaryEmail: ",CHAR(34),INDEX(People[Primary Email],$A8),CHAR(34),
", PrimaryAddress: ",CHAR(34),INDEX(People[Primary Address],$A8),CHAR(34),
", PersonLink: }"))</f>
        <v>#N/A</v>
      </c>
      <c r="H8" s="32" t="str">
        <f>IF(COUNTA(CitationInformation)=0,"",
IF($A8&gt;NumAuthors,"",
CONCATENATE("  - &amp;AuthorListID",TEXT($A8,"0000"),
"  {CitationObj: *CitationID0001",
", PersonObj: *PersonID",TEXT(MATCH(INDEX(AuthorList[Author Name],$A8),People[Full Name],0),"0000"),
", AuthorOrder: ",INDEX(AuthorList[Author Number],$A8),"}")))</f>
        <v/>
      </c>
      <c r="K8" s="32" t="str">
        <f>IF($A8&gt;NumSamplingFeatures,"",
CONCATENATE("  - &amp;SamplingFeatureID",TEXT($A8,"0000"),
" {","SamplingFeatureUUID:  ",CHAR(34),INDEX(SamplingFeatures[Sampling Feature UUID],$A8),CHAR(34),
", SamplingFeatureTypeCV:  ",CHAR(34),INDEX(SamplingFeatures[Sampling Feature Type],$A8),CHAR(34),
", SamplingFeatureCode:  ",CHAR(34),INDEX(SamplingFeatures[Feature Code],$A8),CHAR(34),
", SamplingFeatureName:  ",CHAR(34),INDEX(SamplingFeatures[Feature Name],$A8),CHAR(34),
", SamplingFeatureDescription:  ",CHAR(34),INDEX(SamplingFeatures[Feature Description],$A8),CHAR(34),
", SamplingFeatureGeotypeCV:  ",CHAR(34),INDEX(SamplingFeatures[Feature Geo Type],$A8),CHAR(34),
", FeatureGeometry:  ",CHAR(34),INDEX(SamplingFeatures[Feature Geometry],$A8),CHAR(34),
", Elevation_m:  ",CHAR(34),INDEX(SamplingFeatures[Elevation_m],$A8),CHAR(34),
", ElevationDatumCV:  ",CHAR(34),ElevationDatum,CHAR(34),"}"))</f>
        <v/>
      </c>
      <c r="L8" s="32" t="str">
        <f>IF(NumSites=0,"",
IF(NumSites&lt;$A8,"",
CONCATENATE("  - &amp;SiteID",TEXT($A8,"0000"),
" {","SamplingFeatureObj:  *SamplingFeatureID",TEXT(MATCH($A8,Sites[SiteID],0),"0000"),
", SiteTypeCV:  ",CHAR(34),INDEX(Sites[Site Type],MATCH($A8,Sites[SiteID],0)),CHAR(34),
", Latitude:  ",INDEX(Sites[Latitude],MATCH($A8,Sites[SiteID],0)),
", Longitude:  ",INDEX(Sites[Longitude],MATCH($A8,Sites[SiteID],0)),
", SpatialReferenceObj:  *SRSID0001}")))</f>
        <v/>
      </c>
      <c r="M8" s="32" t="str">
        <f>IF(NumSpecimens=0,"",
IF(NumSpecimens&lt;$A8,"",
CONCATENATE("  - &amp;SpecimenID",TEXT($A8,"0000"),
" {","SamplingFeatureObj:  *SamplingFeatureID",TEXT(MATCH($A8,Specimens[SpecimenID],0),"0000"),
", SpecimenTypeCV:  ",CHAR(34),INDEX(Specimens[Specimen Type],MATCH($A8,Specimens[SpecimenID],0)),CHAR(34),
", SpecimenMediumCV:  ",INDEX(Specimens[Specimen Medium],MATCH($A8,Specimens[SpecimenID],0)),
", IsFieldSpecimen:  ",CHAR(34),INDEX(Specimens[Is Field Specimen?],MATCH($A8,Specimens[SpecimenID],0)),CHAR(34),"}")))</f>
        <v/>
      </c>
      <c r="N8" s="32" t="str">
        <f>IF(NumSpatialOffsets=0,"",
IF(NumSpatialOffsets&lt;$A8,"",
CONCATENATE("  - &amp;SpatialOffsetID",TEXT($A8,"0000"),
" {","SpatialOffsetTypeCV:  ",CHAR(34),INDEX(RelatedFeatures[Spatial Offset Type],MATCH($A8,RelatedFeatures[OffsetID],0)),CHAR(34),
", Offset1Value:  ",INDEX(RelatedFeatures[Offset 1 Value],MATCH($A8,RelatedFeatures[OffsetID],0)),
", Offset1UnitObj:  ",CHAR(34),INDEX(RelatedFeatures[Offset 1 Unit],MATCH($A8,RelatedFeatures[OffsetID],0)),CHAR(34),
", Offset2Value:  ",IF(INDEX(RelatedFeatures[Offset 2 Value],MATCH($A8,RelatedFeatures[OffsetID],0))="","NULL",INDEX(RelatedFeatures[Offset 2 Value],MATCH($A8,RelatedFeatures[OffsetID],0))),
", Offset2UnitObj:  ",CHAR(34),INDEX(RelatedFeatures[Offset 2 Unit],MATCH($A8,RelatedFeatures[OffsetID],0)),,CHAR(34),
", Offset3Value:  ",IF(INDEX(RelatedFeatures[Offset 3 Value],MATCH($A8,RelatedFeatures[OffsetID],0))="","NULL",INDEX(RelatedFeatures[Offset 3 Value],MATCH($A8,RelatedFeatures[OffsetID],0))),
", Offset3UnitObj:  ",CHAR(34),INDEX(RelatedFeatures[Offset 3 Unit],MATCH($A8,RelatedFeatures[OffsetID],0)),CHAR(34),"}")))</f>
        <v/>
      </c>
      <c r="O8" s="32" t="str">
        <f>IF(NumRelatedFeatures=0,"",
IF($A8&gt;NumRelatedFeatures,"",
CONCATENATE("  - &amp;RelationID",TEXT($A8,"0000"),
" {","SamplingFeatureObj:  *SamplingFeatureID",TEXT(MATCH(INDEX(RelatedFeatures[First Sampling Feature Code],$A8),SamplingFeatures[Feature Code],0),"0000"),
", RelationshipTypeCV:  ",CHAR(34),INDEX(RelatedFeatures[Relationship Type],$A8),CHAR(34),
", RelatedFeatureObj: *SamplingFeatureID",TEXT(MATCH(INDEX(RelatedFeatures[Second Sampling Feature Code],$A8),SamplingFeatures[Feature Code],0),"0000"),
", SpatialOffsetObj:  ",IF(INDEX(RelatedFeatures[OffsetID],$A8)="",CONCATENATE(CHAR(34),CHAR(34)),CONCATENATE("*SpatialOffsetID",TEXT(INDEX(RelatedFeatures[OffsetID],$A8),"0000"))),"}")))</f>
        <v/>
      </c>
      <c r="P8" s="32" t="str">
        <f>IF($A8&gt;NumMethods,"",
CONCATENATE("  - &amp;MethodID",TEXT($A8,"0000"),
" {","MethodTypeCV:  ",CHAR(34),INDEX(Methods[Method Type],$A8),CHAR(34),
", MethodCode:  ",CHAR(34),INDEX(Methods[Method Code],$A8),CHAR(34),
", MethodName:  ",CHAR(34),INDEX(Methods[Method Name],$A8),CHAR(34),
", MethodDescription:  ",CHAR(34),INDEX(Methods[Method Description],$A8),CHAR(34),
", MethodLink:  ",CHAR(34),INDEX(Methods[Method Link],$A8),CHAR(34),
", OrganizationObj: *OrganizationID",TEXT(MATCH(INDEX(Methods[Organization Name],$A8),Organizations[Organization Name],0),"0000"),"}"))</f>
        <v/>
      </c>
      <c r="Q8" s="32" t="str">
        <f>IF($A8&gt;NumVariables,"",
CONCATENATE("  - &amp;VariableID",TEXT($A8,"0000"),
" {","VariableTypeCV:  ",CHAR(34),INDEX(Variables[Variable Type],$A8),CHAR(34),
", VariableCode:  ",CHAR(34),INDEX(Variables[Variable Code],$A8),CHAR(34),
", VariableNameCV:  ",CHAR(34),INDEX(Variables[Variable Name],$A8),CHAR(34),
", VariableDefinition:  ",CHAR(34),INDEX(Variables[Variable Definition],$A8),CHAR(34),
", SpecciationCV:  ",CHAR(34),INDEX(Variables[Speciation],$A8),CHAR(34),
", NoDataValue:  ",CHAR(34),INDEX(Variables[No Data Value],$A8),CHAR(34),"}"))</f>
        <v/>
      </c>
      <c r="S8" s="32" t="str">
        <f>IF($A8&gt;NumProcessingLevels,"",
CONCATENATE("  - &amp;ProcessingLevelID",TEXT($A8,"0000"),
" {","ProcessingLevelCode:  ",CHAR(34),INDEX(ProcessingLevels[Processing Level Code],$A8),CHAR(34),
", Definition:  ",CHAR(34),INDEX(ProcessingLevels[Definition],$A8),CHAR(34),
", Explanation:  ",CHAR(34),INDEX(ProcessingLevels[Explanation],$A8),CHAR(34),"}"))</f>
        <v/>
      </c>
      <c r="T8" s="32" t="str">
        <f>IF($A8&gt;NumDataColumns,"",
IF(INDEX(DataColumns[Method Code],$A8)="","PLEASE FILL IN A METHOD FOR EACH DATA COLUMN",
CONCATENATE("  - &amp;ActionID",TEXT($A8,"0000"),
" {","ActionTypeCV:  ",CHAR(34),"Observation",CHAR(34),
", MethodObj: *MethodID",TEXT(MATCH(INDEX(DataColumns[Method Code],$A8),Methods[Method Code],0),"0000"),
", BeginDateTime:  NULL",
", BeginDateTimeUTCOffset:  NULL",
", EndDateTime:  NULL",
", EndDateTimeUTCOffset:  NULL",
", ActionDescription:  ",CHAR(34),"Generic observation action generated by YODA TimeSeries Template",CHAR(34),
", ActionFileLink:  ",CHAR(34),CHAR(34),"}")))</f>
        <v/>
      </c>
      <c r="U8" s="32" t="str">
        <f>IF($A8&gt;NumDataColumns,"",
IF(INDEX(DataColumns[Method Code],$A8)="","PLEASE FILL IN A SAMPLING FEATURE FOR EACH DATA COLUMN",
CONCATENATE("  - &amp;FeatureActionID",TEXT($A8,"0000"),
" {","SamplingFeatureObj:  *SamplingFeatureID",TEXT(MATCH(INDEX(DataColumns[Sampling Feature Code],$A8),SamplingFeatures[Feature Code],0),"0000"),
", ActionObj:  *ActionID",TEXT($A8,"0000"),"}")))</f>
        <v/>
      </c>
      <c r="V8" s="32" t="str">
        <f>IF($A8&gt;NumDataColumns,"",
CONCATENATE("  - &amp;ResultID",TEXT($A8,"0000"),
" {","ResultUUID:  ",CHAR(34),INDEX(DataColumns[ResultUUID],$A8),CHAR(34),
", FeatureActionObj: *FeatureActionID",TEXT($A8,"0000"),
", ResultTypeCV:  ",CHAR(34),INDEX(DataColumns[Result Type],$A8),CHAR(34),
", VariableObj:  *VariableID",TEXT(MATCH(INDEX(DataColumns[Variable Code],$A8),Variables[Variable Code],0),"0000"),
", UnitsObj:  ",CHAR(34),INDEX(DataColumns[Unit Name],$A8),CHAR(34),
", TaxonomicClassifierObj:  ",CHAR(34),CHAR(34),
", ProcessingLevelObj:  *ProcessingLevelID",TEXT(MATCH(INDEX(DataColumns[Processing Level],$A8),ProcessingLevels[Processing Level Code],0),"0000"),
", ResultDateTime:  ",CHAR(34),CHAR(34),
", ResultDateTimeUTCOffset:  ",CHAR(34),CHAR(34),
", ValidDateTime:  ",CHAR(34),CHAR(34),
", ValidDateTimeUTCOffset:  ",CHAR(34),CHAR(34),
", StatusCV:  ",CHAR(34),CHAR(34),
", SampledMediumCV:  ",CHAR(34),INDEX(DataColumns[Sampled Medium],$A8),CHAR(34),
", ValueCount:  ",NumDataValues,"}"))</f>
        <v/>
      </c>
      <c r="W8" s="32" t="str">
        <f>IF($A8&gt;NumDataColumns,"",
CONCATENATE("  - &amp;TimeSeriesResultID001",TEXT($A8,"0000"),
" {","ResultObj: *ResultID",TEXT($A8,"0000"),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Statistic],$A8),CHAR(34),"}"))</f>
        <v/>
      </c>
      <c r="X8" s="32" t="str">
        <f>IF($A8-3&gt;NumDataColumns,"",
CONCATENATE("    - {ColumnNumber: ",TEXT($A8-1,"0000"),
", Label:  ",CHAR(34),INDEX(DataColumns[Column Label],$A8-3),CHAR(34),
", ODM2Field:  ",CHAR(34),"DataValue",CHAR(34),
", CensorCodeCV:  ",CHAR(34),INDEX(DataColumns[Censor Code],$A8-3),CHAR(34),
", QualiatyCodeCV:  ",CHAR(34),INDEX(DataColumns[Quality Code],$A8-3),CHAR(34),
", TimeAggregationInterval:  ",INDEX(DataColumns[Time Aggregation Interval],$A8-3),
", TimeAggregationIntervalUnitsObj:  ",CHAR(34),INDEX(DataColumns[Time Aggregation Unit],$A8-3),CHAR(34),"}"))</f>
        <v/>
      </c>
      <c r="AA8" s="32" t="str">
        <f>IF($A8&gt;NumDataColumns,
"",
CONCATENATE(AA7,", ",INDEX(DataColumns[Column Label],$A8)))</f>
        <v/>
      </c>
    </row>
    <row r="9" spans="1:30" s="32" customFormat="1" x14ac:dyDescent="0.25">
      <c r="A9" s="32">
        <v>6</v>
      </c>
      <c r="D9" s="32" t="str">
        <f>IF($A9&gt;NumPeople,"",
CONCATENATE("  - &amp;PersonID",TEXT($A9,"0000"),
" {","PersonFirstName:  ",CHAR(34),INDEX(People[First Name],$A9),CHAR(34),
", PersonMiddleName:  ",CHAR(34),INDEX(People[Middle Name],$A9),CHAR(34),
", PersonLastName:  ",CHAR(34),INDEX(People[Last Name],$A9),CHAR(34),"}"))</f>
        <v xml:space="preserve">  - &amp;PersonID0006 {PersonFirstName:  "", PersonMiddleName:  "", PersonLastName:  ""}</v>
      </c>
      <c r="E9" s="32" t="str">
        <f>IF($A9&gt;NumOrganizations,"",
CONCATENATE("  - &amp;OrganizationID",TEXT($A9,"0000"),
" {","OrganizationTypeCV:  ",CHAR(34),INDEX(Organizations[Organization Type '[CV']],$A9),CHAR(34),
", OrganizationCode:  ",CHAR(34),INDEX(Organizations[Organization Code],$A9),CHAR(34),
", OrganizationName:  ",CHAR(34),INDEX(Organizations[Organization Name],$A9),CHAR(34),
", OrganizationDescription:  ",CHAR(34),INDEX(Organizations[Organization Description],$A9),CHAR(34),
", OrganizationLink:  ",CHAR(34),INDEX(Organizations[Organization Link],$A9),CHAR(34),"}"))</f>
        <v/>
      </c>
      <c r="F9" s="32" t="e">
        <f>IF($A9&gt;NumPeople,"",
CONCATENATE("  - &amp;AffiliationID",TEXT($A9,"0000"),
" {PersonObj: *PersonID",TEXT($A9,"0000"),
", OrganizationObj: *OrganizationID",TEXT(MATCH(INDEX(People[Organization Name],$A9),Organizations[Organization Name],0),"0000"),
", IsPrimaryOrganizationContact: , AffiliationStartDate: , AffiliationEndDate: , PrimaryPhone: ",
", PrimaryEmail: ",CHAR(34),INDEX(People[Primary Email],$A9),CHAR(34),
", PrimaryAddress: ",CHAR(34),INDEX(People[Primary Address],$A9),CHAR(34),
", PersonLink: }"))</f>
        <v>#N/A</v>
      </c>
      <c r="H9" s="32" t="str">
        <f>IF(COUNTA(CitationInformation)=0,"",
IF($A9&gt;NumAuthors,"",
CONCATENATE("  - &amp;AuthorListID",TEXT($A9,"0000"),
"  {CitationObj: *CitationID0001",
", PersonObj: *PersonID",TEXT(MATCH(INDEX(AuthorList[Author Name],$A9),People[Full Name],0),"0000"),
", AuthorOrder: ",INDEX(AuthorList[Author Number],$A9),"}")))</f>
        <v/>
      </c>
      <c r="K9" s="32" t="str">
        <f>IF($A9&gt;NumSamplingFeatures,"",
CONCATENATE("  - &amp;SamplingFeatureID",TEXT($A9,"0000"),
" {","SamplingFeatureUUID:  ",CHAR(34),INDEX(SamplingFeatures[Sampling Feature UUID],$A9),CHAR(34),
", SamplingFeatureTypeCV:  ",CHAR(34),INDEX(SamplingFeatures[Sampling Feature Type],$A9),CHAR(34),
", SamplingFeatureCode:  ",CHAR(34),INDEX(SamplingFeatures[Feature Code],$A9),CHAR(34),
", SamplingFeatureName:  ",CHAR(34),INDEX(SamplingFeatures[Feature Name],$A9),CHAR(34),
", SamplingFeatureDescription:  ",CHAR(34),INDEX(SamplingFeatures[Feature Description],$A9),CHAR(34),
", SamplingFeatureGeotypeCV:  ",CHAR(34),INDEX(SamplingFeatures[Feature Geo Type],$A9),CHAR(34),
", FeatureGeometry:  ",CHAR(34),INDEX(SamplingFeatures[Feature Geometry],$A9),CHAR(34),
", Elevation_m:  ",CHAR(34),INDEX(SamplingFeatures[Elevation_m],$A9),CHAR(34),
", ElevationDatumCV:  ",CHAR(34),ElevationDatum,CHAR(34),"}"))</f>
        <v/>
      </c>
      <c r="L9" s="32" t="str">
        <f>IF(NumSites=0,"",
IF(NumSites&lt;$A9,"",
CONCATENATE("  - &amp;SiteID",TEXT($A9,"0000"),
" {","SamplingFeatureObj:  *SamplingFeatureID",TEXT(MATCH($A9,Sites[SiteID],0),"0000"),
", SiteTypeCV:  ",CHAR(34),INDEX(Sites[Site Type],MATCH($A9,Sites[SiteID],0)),CHAR(34),
", Latitude:  ",INDEX(Sites[Latitude],MATCH($A9,Sites[SiteID],0)),
", Longitude:  ",INDEX(Sites[Longitude],MATCH($A9,Sites[SiteID],0)),
", SpatialReferenceObj:  *SRSID0001}")))</f>
        <v/>
      </c>
      <c r="M9" s="32" t="str">
        <f>IF(NumSpecimens=0,"",
IF(NumSpecimens&lt;$A9,"",
CONCATENATE("  - &amp;SpecimenID",TEXT($A9,"0000"),
" {","SamplingFeatureObj:  *SamplingFeatureID",TEXT(MATCH($A9,Specimens[SpecimenID],0),"0000"),
", SpecimenTypeCV:  ",CHAR(34),INDEX(Specimens[Specimen Type],MATCH($A9,Specimens[SpecimenID],0)),CHAR(34),
", SpecimenMediumCV:  ",INDEX(Specimens[Specimen Medium],MATCH($A9,Specimens[SpecimenID],0)),
", IsFieldSpecimen:  ",CHAR(34),INDEX(Specimens[Is Field Specimen?],MATCH($A9,Specimens[SpecimenID],0)),CHAR(34),"}")))</f>
        <v/>
      </c>
      <c r="N9" s="32" t="str">
        <f>IF(NumSpatialOffsets=0,"",
IF(NumSpatialOffsets&lt;$A9,"",
CONCATENATE("  - &amp;SpatialOffsetID",TEXT($A9,"0000"),
" {","SpatialOffsetTypeCV:  ",CHAR(34),INDEX(RelatedFeatures[Spatial Offset Type],MATCH($A9,RelatedFeatures[OffsetID],0)),CHAR(34),
", Offset1Value:  ",INDEX(RelatedFeatures[Offset 1 Value],MATCH($A9,RelatedFeatures[OffsetID],0)),
", Offset1UnitObj:  ",CHAR(34),INDEX(RelatedFeatures[Offset 1 Unit],MATCH($A9,RelatedFeatures[OffsetID],0)),CHAR(34),
", Offset2Value:  ",IF(INDEX(RelatedFeatures[Offset 2 Value],MATCH($A9,RelatedFeatures[OffsetID],0))="","NULL",INDEX(RelatedFeatures[Offset 2 Value],MATCH($A9,RelatedFeatures[OffsetID],0))),
", Offset2UnitObj:  ",CHAR(34),INDEX(RelatedFeatures[Offset 2 Unit],MATCH($A9,RelatedFeatures[OffsetID],0)),,CHAR(34),
", Offset3Value:  ",IF(INDEX(RelatedFeatures[Offset 3 Value],MATCH($A9,RelatedFeatures[OffsetID],0))="","NULL",INDEX(RelatedFeatures[Offset 3 Value],MATCH($A9,RelatedFeatures[OffsetID],0))),
", Offset3UnitObj:  ",CHAR(34),INDEX(RelatedFeatures[Offset 3 Unit],MATCH($A9,RelatedFeatures[OffsetID],0)),CHAR(34),"}")))</f>
        <v/>
      </c>
      <c r="O9" s="32" t="str">
        <f>IF(NumRelatedFeatures=0,"",
IF($A9&gt;NumRelatedFeatures,"",
CONCATENATE("  - &amp;RelationID",TEXT($A9,"0000"),
" {","SamplingFeatureObj:  *SamplingFeatureID",TEXT(MATCH(INDEX(RelatedFeatures[First Sampling Feature Code],$A9),SamplingFeatures[Feature Code],0),"0000"),
", RelationshipTypeCV:  ",CHAR(34),INDEX(RelatedFeatures[Relationship Type],$A9),CHAR(34),
", RelatedFeatureObj: *SamplingFeatureID",TEXT(MATCH(INDEX(RelatedFeatures[Second Sampling Feature Code],$A9),SamplingFeatures[Feature Code],0),"0000"),
", SpatialOffsetObj:  ",IF(INDEX(RelatedFeatures[OffsetID],$A9)="",CONCATENATE(CHAR(34),CHAR(34)),CONCATENATE("*SpatialOffsetID",TEXT(INDEX(RelatedFeatures[OffsetID],$A9),"0000"))),"}")))</f>
        <v/>
      </c>
      <c r="P9" s="32" t="str">
        <f>IF($A9&gt;NumMethods,"",
CONCATENATE("  - &amp;MethodID",TEXT($A9,"0000"),
" {","MethodTypeCV:  ",CHAR(34),INDEX(Methods[Method Type],$A9),CHAR(34),
", MethodCode:  ",CHAR(34),INDEX(Methods[Method Code],$A9),CHAR(34),
", MethodName:  ",CHAR(34),INDEX(Methods[Method Name],$A9),CHAR(34),
", MethodDescription:  ",CHAR(34),INDEX(Methods[Method Description],$A9),CHAR(34),
", MethodLink:  ",CHAR(34),INDEX(Methods[Method Link],$A9),CHAR(34),
", OrganizationObj: *OrganizationID",TEXT(MATCH(INDEX(Methods[Organization Name],$A9),Organizations[Organization Name],0),"0000"),"}"))</f>
        <v/>
      </c>
      <c r="Q9" s="32" t="str">
        <f>IF($A9&gt;NumVariables,"",
CONCATENATE("  - &amp;VariableID",TEXT($A9,"0000"),
" {","VariableTypeCV:  ",CHAR(34),INDEX(Variables[Variable Type],$A9),CHAR(34),
", VariableCode:  ",CHAR(34),INDEX(Variables[Variable Code],$A9),CHAR(34),
", VariableNameCV:  ",CHAR(34),INDEX(Variables[Variable Name],$A9),CHAR(34),
", VariableDefinition:  ",CHAR(34),INDEX(Variables[Variable Definition],$A9),CHAR(34),
", SpecciationCV:  ",CHAR(34),INDEX(Variables[Speciation],$A9),CHAR(34),
", NoDataValue:  ",CHAR(34),INDEX(Variables[No Data Value],$A9),CHAR(34),"}"))</f>
        <v/>
      </c>
      <c r="S9" s="32" t="str">
        <f>IF($A9&gt;NumProcessingLevels,"",
CONCATENATE("  - &amp;ProcessingLevelID",TEXT($A9,"0000"),
" {","ProcessingLevelCode:  ",CHAR(34),INDEX(ProcessingLevels[Processing Level Code],$A9),CHAR(34),
", Definition:  ",CHAR(34),INDEX(ProcessingLevels[Definition],$A9),CHAR(34),
", Explanation:  ",CHAR(34),INDEX(ProcessingLevels[Explanation],$A9),CHAR(34),"}"))</f>
        <v/>
      </c>
      <c r="T9" s="32" t="str">
        <f>IF($A9&gt;NumDataColumns,"",
IF(INDEX(DataColumns[Method Code],$A9)="","PLEASE FILL IN A METHOD FOR EACH DATA COLUMN",
CONCATENATE("  - &amp;ActionID",TEXT($A9,"0000"),
" {","ActionTypeCV:  ",CHAR(34),"Observation",CHAR(34),
", MethodObj: *MethodID",TEXT(MATCH(INDEX(DataColumns[Method Code],$A9),Methods[Method Code],0),"0000"),
", BeginDateTime:  NULL",
", BeginDateTimeUTCOffset:  NULL",
", EndDateTime:  NULL",
", EndDateTimeUTCOffset:  NULL",
", ActionDescription:  ",CHAR(34),"Generic observation action generated by YODA TimeSeries Template",CHAR(34),
", ActionFileLink:  ",CHAR(34),CHAR(34),"}")))</f>
        <v/>
      </c>
      <c r="U9" s="32" t="str">
        <f>IF($A9&gt;NumDataColumns,"",
IF(INDEX(DataColumns[Method Code],$A9)="","PLEASE FILL IN A SAMPLING FEATURE FOR EACH DATA COLUMN",
CONCATENATE("  - &amp;FeatureActionID",TEXT($A9,"0000"),
" {","SamplingFeatureObj:  *SamplingFeatureID",TEXT(MATCH(INDEX(DataColumns[Sampling Feature Code],$A9),SamplingFeatures[Feature Code],0),"0000"),
", ActionObj:  *ActionID",TEXT($A9,"0000"),"}")))</f>
        <v/>
      </c>
      <c r="V9" s="32" t="str">
        <f>IF($A9&gt;NumDataColumns,"",
CONCATENATE("  - &amp;ResultID",TEXT($A9,"0000"),
" {","ResultUUID:  ",CHAR(34),INDEX(DataColumns[ResultUUID],$A9),CHAR(34),
", FeatureActionObj: *FeatureActionID",TEXT($A9,"0000"),
", ResultTypeCV:  ",CHAR(34),INDEX(DataColumns[Result Type],$A9),CHAR(34),
", VariableObj:  *VariableID",TEXT(MATCH(INDEX(DataColumns[Variable Code],$A9),Variables[Variable Code],0),"0000"),
", UnitsObj:  ",CHAR(34),INDEX(DataColumns[Unit Name],$A9),CHAR(34),
", TaxonomicClassifierObj:  ",CHAR(34),CHAR(34),
", ProcessingLevelObj:  *ProcessingLevelID",TEXT(MATCH(INDEX(DataColumns[Processing Level],$A9),ProcessingLevels[Processing Level Code],0),"0000"),
", ResultDateTime:  ",CHAR(34),CHAR(34),
", ResultDateTimeUTCOffset:  ",CHAR(34),CHAR(34),
", ValidDateTime:  ",CHAR(34),CHAR(34),
", ValidDateTimeUTCOffset:  ",CHAR(34),CHAR(34),
", StatusCV:  ",CHAR(34),CHAR(34),
", SampledMediumCV:  ",CHAR(34),INDEX(DataColumns[Sampled Medium],$A9),CHAR(34),
", ValueCount:  ",NumDataValues,"}"))</f>
        <v/>
      </c>
      <c r="W9" s="32" t="str">
        <f>IF($A9&gt;NumDataColumns,"",
CONCATENATE("  - &amp;TimeSeriesResultID001",TEXT($A9,"0000"),
" {","ResultObj: *ResultID",TEXT($A9,"0000"),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Statistic],$A9),CHAR(34),"}"))</f>
        <v/>
      </c>
      <c r="X9" s="32" t="str">
        <f>IF($A9-3&gt;NumDataColumns,"",
CONCATENATE("    - {ColumnNumber: ",TEXT($A9-1,"0000"),
", Label:  ",CHAR(34),INDEX(DataColumns[Column Label],$A9-3),CHAR(34),
", ODM2Field:  ",CHAR(34),"DataValue",CHAR(34),
", CensorCodeCV:  ",CHAR(34),INDEX(DataColumns[Censor Code],$A9-3),CHAR(34),
", QualiatyCodeCV:  ",CHAR(34),INDEX(DataColumns[Quality Code],$A9-3),CHAR(34),
", TimeAggregationInterval:  ",INDEX(DataColumns[Time Aggregation Interval],$A9-3),
", TimeAggregationIntervalUnitsObj:  ",CHAR(34),INDEX(DataColumns[Time Aggregation Unit],$A9-3),CHAR(34),"}"))</f>
        <v/>
      </c>
      <c r="AA9" s="32" t="str">
        <f>IF($A9&gt;NumDataColumns,
"",
CONCATENATE(AA8,", ",INDEX(DataColumns[Column Label],$A9)))</f>
        <v/>
      </c>
    </row>
    <row r="10" spans="1:30" x14ac:dyDescent="0.25">
      <c r="A10" s="32">
        <v>7</v>
      </c>
      <c r="B10" s="32"/>
      <c r="C10" s="32"/>
      <c r="D10" s="32" t="str">
        <f>IF($A10&gt;NumPeople,"",
CONCATENATE("  - &amp;PersonID",TEXT($A10,"0000"),
" {","PersonFirstName:  ",CHAR(34),INDEX(People[First Name],$A10),CHAR(34),
", PersonMiddleName:  ",CHAR(34),INDEX(People[Middle Name],$A10),CHAR(34),
", PersonLastName:  ",CHAR(34),INDEX(People[Last Name],$A10),CHAR(34),"}"))</f>
        <v xml:space="preserve">  - &amp;PersonID0007 {PersonFirstName:  "", PersonMiddleName:  "", PersonLastName:  ""}</v>
      </c>
      <c r="E10" s="32" t="str">
        <f>IF($A10&gt;NumOrganizations,"",
CONCATENATE("  - &amp;OrganizationID",TEXT($A10,"0000"),
" {","OrganizationTypeCV:  ",CHAR(34),INDEX(Organizations[Organization Type '[CV']],$A10),CHAR(34),
", OrganizationCode:  ",CHAR(34),INDEX(Organizations[Organization Code],$A10),CHAR(34),
", OrganizationName:  ",CHAR(34),INDEX(Organizations[Organization Name],$A10),CHAR(34),
", OrganizationDescription:  ",CHAR(34),INDEX(Organizations[Organization Description],$A10),CHAR(34),
", OrganizationLink:  ",CHAR(34),INDEX(Organizations[Organization Link],$A10),CHAR(34),"}"))</f>
        <v/>
      </c>
      <c r="F10" s="32" t="e">
        <f>IF($A10&gt;NumPeople,"",
CONCATENATE("  - &amp;AffiliationID",TEXT($A10,"0000"),
" {PersonObj: *PersonID",TEXT($A10,"0000"),
", OrganizationObj: *OrganizationID",TEXT(MATCH(INDEX(People[Organization Name],$A10),Organizations[Organization Name],0),"0000"),
", IsPrimaryOrganizationContact: , AffiliationStartDate: , AffiliationEndDate: , PrimaryPhone: ",
", PrimaryEmail: ",CHAR(34),INDEX(People[Primary Email],$A10),CHAR(34),
", PrimaryAddress: ",CHAR(34),INDEX(People[Primary Address],$A10),CHAR(34),
", PersonLink: }"))</f>
        <v>#N/A</v>
      </c>
      <c r="G10" s="32"/>
      <c r="H10" s="32" t="str">
        <f>IF(COUNTA(CitationInformation)=0,"",
IF($A10&gt;NumAuthors,"",
CONCATENATE("  - &amp;AuthorListID",TEXT($A10,"0000"),
"  {CitationObj: *CitationID0001",
", PersonObj: *PersonID",TEXT(MATCH(INDEX(AuthorList[Author Name],$A10),People[Full Name],0),"0000"),
", AuthorOrder: ",INDEX(AuthorList[Author Number],$A10),"}")))</f>
        <v/>
      </c>
      <c r="I10" s="32"/>
      <c r="J10" s="32"/>
      <c r="K10" s="32" t="str">
        <f>IF($A10&gt;NumSamplingFeatures,"",
CONCATENATE("  - &amp;SamplingFeatureID",TEXT($A10,"0000"),
" {","SamplingFeatureUUID:  ",CHAR(34),INDEX(SamplingFeatures[Sampling Feature UUID],$A10),CHAR(34),
", SamplingFeatureTypeCV:  ",CHAR(34),INDEX(SamplingFeatures[Sampling Feature Type],$A10),CHAR(34),
", SamplingFeatureCode:  ",CHAR(34),INDEX(SamplingFeatures[Feature Code],$A10),CHAR(34),
", SamplingFeatureName:  ",CHAR(34),INDEX(SamplingFeatures[Feature Name],$A10),CHAR(34),
", SamplingFeatureDescription:  ",CHAR(34),INDEX(SamplingFeatures[Feature Description],$A10),CHAR(34),
", SamplingFeatureGeotypeCV:  ",CHAR(34),INDEX(SamplingFeatures[Feature Geo Type],$A10),CHAR(34),
", FeatureGeometry:  ",CHAR(34),INDEX(SamplingFeatures[Feature Geometry],$A10),CHAR(34),
", Elevation_m:  ",CHAR(34),INDEX(SamplingFeatures[Elevation_m],$A10),CHAR(34),
", ElevationDatumCV:  ",CHAR(34),ElevationDatum,CHAR(34),"}"))</f>
        <v/>
      </c>
      <c r="L10" s="32" t="str">
        <f>IF(NumSites=0,"",
IF(NumSites&lt;$A10,"",
CONCATENATE("  - &amp;SiteID",TEXT($A10,"0000"),
" {","SamplingFeatureObj:  *SamplingFeatureID",TEXT(MATCH($A10,Sites[SiteID],0),"0000"),
", SiteTypeCV:  ",CHAR(34),INDEX(Sites[Site Type],MATCH($A10,Sites[SiteID],0)),CHAR(34),
", Latitude:  ",INDEX(Sites[Latitude],MATCH($A10,Sites[SiteID],0)),
", Longitude:  ",INDEX(Sites[Longitude],MATCH($A10,Sites[SiteID],0)),
", SpatialReferenceObj:  *SRSID0001}")))</f>
        <v/>
      </c>
      <c r="M10" s="32" t="str">
        <f>IF(NumSpecimens=0,"",
IF(NumSpecimens&lt;$A10,"",
CONCATENATE("  - &amp;SpecimenID",TEXT($A10,"0000"),
" {","SamplingFeatureObj:  *SamplingFeatureID",TEXT(MATCH($A10,Specimens[SpecimenID],0),"0000"),
", SpecimenTypeCV:  ",CHAR(34),INDEX(Specimens[Specimen Type],MATCH($A10,Specimens[SpecimenID],0)),CHAR(34),
", SpecimenMediumCV:  ",INDEX(Specimens[Specimen Medium],MATCH($A10,Specimens[SpecimenID],0)),
", IsFieldSpecimen:  ",CHAR(34),INDEX(Specimens[Is Field Specimen?],MATCH($A10,Specimens[SpecimenID],0)),CHAR(34),"}")))</f>
        <v/>
      </c>
      <c r="N10" s="32" t="str">
        <f>IF(NumSpatialOffsets=0,"",
IF(NumSpatialOffsets&lt;$A10,"",
CONCATENATE("  - &amp;SpatialOffsetID",TEXT($A10,"0000"),
" {","SpatialOffsetTypeCV:  ",CHAR(34),INDEX(RelatedFeatures[Spatial Offset Type],MATCH($A10,RelatedFeatures[OffsetID],0)),CHAR(34),
", Offset1Value:  ",INDEX(RelatedFeatures[Offset 1 Value],MATCH($A10,RelatedFeatures[OffsetID],0)),
", Offset1UnitObj:  ",CHAR(34),INDEX(RelatedFeatures[Offset 1 Unit],MATCH($A10,RelatedFeatures[OffsetID],0)),CHAR(34),
", Offset2Value:  ",IF(INDEX(RelatedFeatures[Offset 2 Value],MATCH($A10,RelatedFeatures[OffsetID],0))="","NULL",INDEX(RelatedFeatures[Offset 2 Value],MATCH($A10,RelatedFeatures[OffsetID],0))),
", Offset2UnitObj:  ",CHAR(34),INDEX(RelatedFeatures[Offset 2 Unit],MATCH($A10,RelatedFeatures[OffsetID],0)),,CHAR(34),
", Offset3Value:  ",IF(INDEX(RelatedFeatures[Offset 3 Value],MATCH($A10,RelatedFeatures[OffsetID],0))="","NULL",INDEX(RelatedFeatures[Offset 3 Value],MATCH($A10,RelatedFeatures[OffsetID],0))),
", Offset3UnitObj:  ",CHAR(34),INDEX(RelatedFeatures[Offset 3 Unit],MATCH($A10,RelatedFeatures[OffsetID],0)),CHAR(34),"}")))</f>
        <v/>
      </c>
      <c r="O10" s="32" t="str">
        <f>IF(NumRelatedFeatures=0,"",
IF($A10&gt;NumRelatedFeatures,"",
CONCATENATE("  - &amp;RelationID",TEXT($A10,"0000"),
" {","SamplingFeatureObj:  *SamplingFeatureID",TEXT(MATCH(INDEX(RelatedFeatures[First Sampling Feature Code],$A10),SamplingFeatures[Feature Code],0),"0000"),
", RelationshipTypeCV:  ",CHAR(34),INDEX(RelatedFeatures[Relationship Type],$A10),CHAR(34),
", RelatedFeatureObj: *SamplingFeatureID",TEXT(MATCH(INDEX(RelatedFeatures[Second Sampling Feature Code],$A10),SamplingFeatures[Feature Code],0),"0000"),
", SpatialOffsetObj:  ",IF(INDEX(RelatedFeatures[OffsetID],$A10)="",CONCATENATE(CHAR(34),CHAR(34)),CONCATENATE("*SpatialOffsetID",TEXT(INDEX(RelatedFeatures[OffsetID],$A10),"0000"))),"}")))</f>
        <v/>
      </c>
      <c r="P10" s="32" t="str">
        <f>IF($A10&gt;NumMethods,"",
CONCATENATE("  - &amp;MethodID",TEXT($A10,"0000"),
" {","MethodTypeCV:  ",CHAR(34),INDEX(Methods[Method Type],$A10),CHAR(34),
", MethodCode:  ",CHAR(34),INDEX(Methods[Method Code],$A10),CHAR(34),
", MethodName:  ",CHAR(34),INDEX(Methods[Method Name],$A10),CHAR(34),
", MethodDescription:  ",CHAR(34),INDEX(Methods[Method Description],$A10),CHAR(34),
", MethodLink:  ",CHAR(34),INDEX(Methods[Method Link],$A10),CHAR(34),
", OrganizationObj: *OrganizationID",TEXT(MATCH(INDEX(Methods[Organization Name],$A10),Organizations[Organization Name],0),"0000"),"}"))</f>
        <v/>
      </c>
      <c r="Q10" s="32" t="str">
        <f>IF($A10&gt;NumVariables,"",
CONCATENATE("  - &amp;VariableID",TEXT($A10,"0000"),
" {","VariableTypeCV:  ",CHAR(34),INDEX(Variables[Variable Type],$A10),CHAR(34),
", VariableCode:  ",CHAR(34),INDEX(Variables[Variable Code],$A10),CHAR(34),
", VariableNameCV:  ",CHAR(34),INDEX(Variables[Variable Name],$A10),CHAR(34),
", VariableDefinition:  ",CHAR(34),INDEX(Variables[Variable Definition],$A10),CHAR(34),
", SpecciationCV:  ",CHAR(34),INDEX(Variables[Speciation],$A10),CHAR(34),
", NoDataValue:  ",CHAR(34),INDEX(Variables[No Data Value],$A10),CHAR(34),"}"))</f>
        <v/>
      </c>
      <c r="R10" s="32"/>
      <c r="S10" s="32" t="str">
        <f>IF($A10&gt;NumProcessingLevels,"",
CONCATENATE("  - &amp;ProcessingLevelID",TEXT($A10,"0000"),
" {","ProcessingLevelCode:  ",CHAR(34),INDEX(ProcessingLevels[Processing Level Code],$A10),CHAR(34),
", Definition:  ",CHAR(34),INDEX(ProcessingLevels[Definition],$A10),CHAR(34),
", Explanation:  ",CHAR(34),INDEX(ProcessingLevels[Explanation],$A10),CHAR(34),"}"))</f>
        <v/>
      </c>
      <c r="T10" s="32" t="str">
        <f>IF($A10&gt;NumDataColumns,"",
IF(INDEX(DataColumns[Method Code],$A10)="","PLEASE FILL IN A METHOD FOR EACH DATA COLUMN",
CONCATENATE("  - &amp;ActionID",TEXT($A10,"0000"),
" {","ActionTypeCV:  ",CHAR(34),"Observation",CHAR(34),
", MethodObj: *MethodID",TEXT(MATCH(INDEX(DataColumns[Method Code],$A10),Methods[Method Code],0),"0000"),
", BeginDateTime:  NULL",
", BeginDateTimeUTCOffset:  NULL",
", EndDateTime:  NULL",
", EndDateTimeUTCOffset:  NULL",
", ActionDescription:  ",CHAR(34),"Generic observation action generated by YODA TimeSeries Template",CHAR(34),
", ActionFileLink:  ",CHAR(34),CHAR(34),"}")))</f>
        <v/>
      </c>
      <c r="U10" s="32" t="str">
        <f>IF($A10&gt;NumDataColumns,"",
IF(INDEX(DataColumns[Method Code],$A10)="","PLEASE FILL IN A SAMPLING FEATURE FOR EACH DATA COLUMN",
CONCATENATE("  - &amp;FeatureActionID",TEXT($A10,"0000"),
" {","SamplingFeatureObj:  *SamplingFeatureID",TEXT(MATCH(INDEX(DataColumns[Sampling Feature Code],$A10),SamplingFeatures[Feature Code],0),"0000"),
", ActionObj:  *ActionID",TEXT($A10,"0000"),"}")))</f>
        <v/>
      </c>
      <c r="V10" s="32" t="str">
        <f>IF($A10&gt;NumDataColumns,"",
CONCATENATE("  - &amp;ResultID",TEXT($A10,"0000"),
" {","ResultUUID:  ",CHAR(34),INDEX(DataColumns[ResultUUID],$A10),CHAR(34),
", FeatureActionObj: *FeatureActionID",TEXT($A10,"0000"),
", ResultTypeCV:  ",CHAR(34),INDEX(DataColumns[Result Type],$A10),CHAR(34),
", VariableObj:  *VariableID",TEXT(MATCH(INDEX(DataColumns[Variable Code],$A10),Variables[Variable Code],0),"0000"),
", UnitsObj:  ",CHAR(34),INDEX(DataColumns[Unit Name],$A10),CHAR(34),
", TaxonomicClassifierObj:  ",CHAR(34),CHAR(34),
", ProcessingLevelObj:  *ProcessingLevelID",TEXT(MATCH(INDEX(DataColumns[Processing Level],$A10),ProcessingLevels[Processing Level Code],0),"0000"),
", ResultDateTime:  ",CHAR(34),CHAR(34),
", ResultDateTimeUTCOffset:  ",CHAR(34),CHAR(34),
", ValidDateTime:  ",CHAR(34),CHAR(34),
", ValidDateTimeUTCOffset:  ",CHAR(34),CHAR(34),
", StatusCV:  ",CHAR(34),CHAR(34),
", SampledMediumCV:  ",CHAR(34),INDEX(DataColumns[Sampled Medium],$A10),CHAR(34),
", ValueCount:  ",NumDataValues,"}"))</f>
        <v/>
      </c>
      <c r="W10" s="32" t="str">
        <f>IF($A10&gt;NumDataColumns,"",
CONCATENATE("  - &amp;TimeSeriesResultID001",TEXT($A10,"0000"),
" {","ResultObj: *ResultID",TEXT($A10,"0000"),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Statistic],$A10),CHAR(34),"}"))</f>
        <v/>
      </c>
      <c r="X10" s="32" t="str">
        <f>IF($A10-3&gt;NumDataColumns,"",
CONCATENATE("    - {ColumnNumber: ",TEXT($A10-1,"0000"),
", Label:  ",CHAR(34),INDEX(DataColumns[Column Label],$A10-3),CHAR(34),
", ODM2Field:  ",CHAR(34),"DataValue",CHAR(34),
", CensorCodeCV:  ",CHAR(34),INDEX(DataColumns[Censor Code],$A10-3),CHAR(34),
", QualiatyCodeCV:  ",CHAR(34),INDEX(DataColumns[Quality Code],$A10-3),CHAR(34),
", TimeAggregationInterval:  ",INDEX(DataColumns[Time Aggregation Interval],$A10-3),
", TimeAggregationIntervalUnitsObj:  ",CHAR(34),INDEX(DataColumns[Time Aggregation Unit],$A10-3),CHAR(34),"}"))</f>
        <v/>
      </c>
      <c r="Y10" s="32"/>
      <c r="Z10" s="32"/>
      <c r="AA10" s="32" t="str">
        <f>IF($A10&gt;NumDataColumns,
"",
CONCATENATE(AA9,", ",INDEX(DataColumns[Column Label],$A10)))</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49"/>
  <sheetViews>
    <sheetView workbookViewId="0">
      <selection activeCell="G20" sqref="G20"/>
    </sheetView>
  </sheetViews>
  <sheetFormatPr defaultRowHeight="15" x14ac:dyDescent="0.25"/>
  <cols>
    <col min="1" max="1" width="13.5703125" style="7" bestFit="1" customWidth="1"/>
    <col min="2" max="2" width="12.7109375" style="7" bestFit="1" customWidth="1"/>
    <col min="3" max="3" width="12.140625" style="7" bestFit="1" customWidth="1"/>
    <col min="4" max="16384" width="9.140625" style="7"/>
  </cols>
  <sheetData>
    <row r="1" spans="1:4" x14ac:dyDescent="0.25">
      <c r="A1" s="32" t="s">
        <v>1113</v>
      </c>
      <c r="B1" s="32" t="s">
        <v>1266</v>
      </c>
      <c r="C1" s="32" t="s">
        <v>1114</v>
      </c>
      <c r="D1" s="32" t="s">
        <v>1112</v>
      </c>
    </row>
    <row r="2" spans="1:4" x14ac:dyDescent="0.25">
      <c r="A2" s="32">
        <v>1</v>
      </c>
      <c r="B2" s="32" t="str">
        <f>OFFSET('YODA Header Blocks'!$A$1,0,A2)</f>
        <v>YAML Header</v>
      </c>
      <c r="C2" s="32">
        <v>1</v>
      </c>
      <c r="D2" s="32"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32">
        <f>IF(C2=INDIRECT(CONCATENATE("'YODA Header Blocks'!R2C",A2+1,":R2C",A2+1),FALSE),A2+1,A2)</f>
        <v>1</v>
      </c>
      <c r="B3" s="32" t="str">
        <f>OFFSET('YODA Header Blocks'!$A$1,0,A3)</f>
        <v>YAML Header</v>
      </c>
      <c r="C3" s="32">
        <f>IF(C2=SUM(INDIRECT(CONCATENATE("'YODA Header Blocks'!R2C",A2+1,":R2C",A2+1),FALSE)),1,C2+1)</f>
        <v>2</v>
      </c>
      <c r="D3" s="7"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 {Version: 1.0.0, Profile: TimeSeries, DateCreated: "2015-03-11", DateUpdated: "2015-03-11"}</v>
      </c>
    </row>
    <row r="4" spans="1:4" x14ac:dyDescent="0.25">
      <c r="A4" s="7">
        <f t="shared" ref="A4:A47" si="0">IF(C3=INDIRECT(CONCATENATE("'YODA Header Blocks'!R2C",A3+1,":R2C",A3+1),FALSE),A3+1,A3)</f>
        <v>2</v>
      </c>
      <c r="B4" s="7" t="str">
        <f>OFFSET('YODA Header Blocks'!$A$1,0,A4)</f>
        <v>Dataset</v>
      </c>
      <c r="C4" s="7">
        <f t="shared" ref="C4:C47" si="1">IF(C3=SUM(INDIRECT(CONCATENATE("'YODA Header Blocks'!R2C",A3+1,":R2C",A3+1),FALSE)),1,C3+1)</f>
        <v>1</v>
      </c>
      <c r="D4" s="7"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Datasets:</v>
      </c>
    </row>
    <row r="5" spans="1:4" x14ac:dyDescent="0.25">
      <c r="A5" s="7">
        <f t="shared" si="0"/>
        <v>2</v>
      </c>
      <c r="B5" s="7" t="str">
        <f>OFFSET('YODA Header Blocks'!$A$1,0,A5)</f>
        <v>Dataset</v>
      </c>
      <c r="C5" s="7">
        <f t="shared" si="1"/>
        <v>2</v>
      </c>
      <c r="D5" s="7"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 xml:space="preserve">  - &amp;DataSetID0001 {DataSetUUID:  ""PLEASE FILL IN THE DATASET TYPE IN THE DATASET CITATION TABPLEASE FILL IN THE DATASET CODE IN THE DATASET CITATION TABPLEASE FILL IN THE DATASET TITLE IN THE DATASET CITATION TAB,  DataSetAbstract:  NULL}</v>
      </c>
    </row>
    <row r="6" spans="1:4" x14ac:dyDescent="0.25">
      <c r="A6" s="7">
        <f t="shared" si="0"/>
        <v>3</v>
      </c>
      <c r="B6" s="7" t="str">
        <f>OFFSET('YODA Header Blocks'!$A$1,0,A6)</f>
        <v>People</v>
      </c>
      <c r="C6" s="7">
        <f t="shared" si="1"/>
        <v>1</v>
      </c>
      <c r="D6" s="7"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People:</v>
      </c>
    </row>
    <row r="7" spans="1:4" x14ac:dyDescent="0.25">
      <c r="A7" s="7">
        <f t="shared" si="0"/>
        <v>3</v>
      </c>
      <c r="B7" s="7" t="str">
        <f>OFFSET('YODA Header Blocks'!$A$1,0,A7)</f>
        <v>People</v>
      </c>
      <c r="C7" s="7">
        <f t="shared" si="1"/>
        <v>2</v>
      </c>
      <c r="D7" s="7"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PLEASE FILL IN AT LEAST ONE PERSON WITH FIRST, MIDDLE AND LAST NAME</v>
      </c>
    </row>
    <row r="8" spans="1:4" x14ac:dyDescent="0.25">
      <c r="A8" s="7">
        <f t="shared" si="0"/>
        <v>4</v>
      </c>
      <c r="B8" s="7" t="str">
        <f>OFFSET('YODA Header Blocks'!$A$1,0,A8)</f>
        <v>Organizations</v>
      </c>
      <c r="C8" s="7">
        <f t="shared" si="1"/>
        <v>1</v>
      </c>
      <c r="D8" s="7"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Organizations:</v>
      </c>
    </row>
    <row r="9" spans="1:4" x14ac:dyDescent="0.25">
      <c r="A9" s="7">
        <f t="shared" si="0"/>
        <v>4</v>
      </c>
      <c r="B9" s="7" t="str">
        <f>OFFSET('YODA Header Blocks'!$A$1,0,A9)</f>
        <v>Organizations</v>
      </c>
      <c r="C9" s="7">
        <f t="shared" si="1"/>
        <v>2</v>
      </c>
      <c r="D9" s="7"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PLEASE FILL IN AT LEAST ONE ORGANIZATION WITH TYPE, CODE, AND NAME</v>
      </c>
    </row>
    <row r="10" spans="1:4" x14ac:dyDescent="0.25">
      <c r="A10" s="7">
        <f t="shared" si="0"/>
        <v>5</v>
      </c>
      <c r="B10" s="7" t="str">
        <f>OFFSET('YODA Header Blocks'!$A$1,0,A10)</f>
        <v>Affiliations</v>
      </c>
      <c r="C10" s="7">
        <f t="shared" si="1"/>
        <v>1</v>
      </c>
      <c r="D10" s="7"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Affiliations:</v>
      </c>
    </row>
    <row r="11" spans="1:4" x14ac:dyDescent="0.25">
      <c r="A11" s="7">
        <f t="shared" si="0"/>
        <v>5</v>
      </c>
      <c r="B11" s="7" t="str">
        <f>OFFSET('YODA Header Blocks'!$A$1,0,A11)</f>
        <v>Affiliations</v>
      </c>
      <c r="C11" s="7">
        <f t="shared" si="1"/>
        <v>2</v>
      </c>
      <c r="D11" s="7" t="e">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#N/A</v>
      </c>
    </row>
    <row r="12" spans="1:4" x14ac:dyDescent="0.25">
      <c r="A12" s="7">
        <f t="shared" si="0"/>
        <v>6</v>
      </c>
      <c r="B12" s="7" t="str">
        <f>OFFSET('YODA Header Blocks'!$A$1,0,A12)</f>
        <v>Citation</v>
      </c>
      <c r="C12" s="7">
        <f t="shared" si="1"/>
        <v>1</v>
      </c>
      <c r="D12" s="7"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
      </c>
    </row>
    <row r="13" spans="1:4" x14ac:dyDescent="0.25">
      <c r="A13" s="7">
        <f t="shared" si="0"/>
        <v>7</v>
      </c>
      <c r="B13" s="7" t="str">
        <f>OFFSET('YODA Header Blocks'!$A$1,0,A13)</f>
        <v>AuthorList</v>
      </c>
      <c r="C13" s="7">
        <f t="shared" si="1"/>
        <v>1</v>
      </c>
      <c r="D13" s="7"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
      </c>
    </row>
    <row r="14" spans="1:4" x14ac:dyDescent="0.25">
      <c r="A14" s="7">
        <f t="shared" si="0"/>
        <v>8</v>
      </c>
      <c r="B14" s="7" t="str">
        <f>OFFSET('YODA Header Blocks'!$A$1,0,A14)</f>
        <v>DatasetCitations</v>
      </c>
      <c r="C14" s="7">
        <f t="shared" si="1"/>
        <v>1</v>
      </c>
      <c r="D14" s="7"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c>
    </row>
    <row r="15" spans="1:4" x14ac:dyDescent="0.25">
      <c r="A15" s="7">
        <f t="shared" si="0"/>
        <v>9</v>
      </c>
      <c r="B15" s="7" t="str">
        <f>OFFSET('YODA Header Blocks'!$A$1,0,A15)</f>
        <v>Spatial References</v>
      </c>
      <c r="C15" s="7">
        <f t="shared" si="1"/>
        <v>1</v>
      </c>
      <c r="D15" s="7"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SpatialReferences:</v>
      </c>
    </row>
    <row r="16" spans="1:4" x14ac:dyDescent="0.25">
      <c r="A16" s="7">
        <f t="shared" si="0"/>
        <v>9</v>
      </c>
      <c r="B16" s="7" t="str">
        <f>OFFSET('YODA Header Blocks'!$A$1,0,A16)</f>
        <v>Spatial References</v>
      </c>
      <c r="C16" s="7">
        <f t="shared" si="1"/>
        <v>2</v>
      </c>
      <c r="D16" s="7"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 xml:space="preserve">  - &amp;SRSID0001 {PLEASE FILL IN A VALID LAT/LONG DATUM}</v>
      </c>
    </row>
    <row r="17" spans="1:4" x14ac:dyDescent="0.25">
      <c r="A17" s="7">
        <f t="shared" si="0"/>
        <v>10</v>
      </c>
      <c r="B17" s="7" t="str">
        <f>OFFSET('YODA Header Blocks'!$A$1,0,A17)</f>
        <v>Sampling Features</v>
      </c>
      <c r="C17" s="7">
        <f t="shared" si="1"/>
        <v>1</v>
      </c>
      <c r="D17" s="7"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SamplingFeatures:</v>
      </c>
    </row>
    <row r="18" spans="1:4" x14ac:dyDescent="0.25">
      <c r="A18" s="7">
        <f t="shared" si="0"/>
        <v>10</v>
      </c>
      <c r="B18" s="7" t="str">
        <f>OFFSET('YODA Header Blocks'!$A$1,0,A18)</f>
        <v>Sampling Features</v>
      </c>
      <c r="C18" s="7">
        <f t="shared" si="1"/>
        <v>2</v>
      </c>
      <c r="D18" s="7"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PLEASE FILL IN AT LEAST ONE SAMPLING FEATURE</v>
      </c>
    </row>
    <row r="19" spans="1:4" x14ac:dyDescent="0.25">
      <c r="A19" s="7">
        <f t="shared" si="0"/>
        <v>11</v>
      </c>
      <c r="B19" s="7" t="str">
        <f>OFFSET('YODA Header Blocks'!$A$1,0,A19)</f>
        <v>Sites</v>
      </c>
      <c r="C19" s="7">
        <f t="shared" si="1"/>
        <v>1</v>
      </c>
      <c r="D19" s="7"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
      </c>
    </row>
    <row r="20" spans="1:4" x14ac:dyDescent="0.25">
      <c r="A20" s="7">
        <f t="shared" si="0"/>
        <v>12</v>
      </c>
      <c r="B20" s="7" t="str">
        <f>OFFSET('YODA Header Blocks'!$A$1,0,A20)</f>
        <v>Specimens</v>
      </c>
      <c r="C20" s="7">
        <f t="shared" si="1"/>
        <v>1</v>
      </c>
      <c r="D20" s="7"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
      </c>
    </row>
    <row r="21" spans="1:4" x14ac:dyDescent="0.25">
      <c r="A21" s="7">
        <f t="shared" si="0"/>
        <v>13</v>
      </c>
      <c r="B21" s="7" t="str">
        <f>OFFSET('YODA Header Blocks'!$A$1,0,A21)</f>
        <v>SpatialOffsets</v>
      </c>
      <c r="C21" s="7">
        <f t="shared" si="1"/>
        <v>1</v>
      </c>
      <c r="D21" s="7"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
      </c>
    </row>
    <row r="22" spans="1:4" x14ac:dyDescent="0.25">
      <c r="A22" s="7">
        <f t="shared" si="0"/>
        <v>14</v>
      </c>
      <c r="B22" s="7" t="str">
        <f>OFFSET('YODA Header Blocks'!$A$1,0,A22)</f>
        <v>RelatedFeatures</v>
      </c>
      <c r="C22" s="7">
        <f t="shared" si="1"/>
        <v>1</v>
      </c>
      <c r="D22" s="7"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
      </c>
    </row>
    <row r="23" spans="1:4" x14ac:dyDescent="0.25">
      <c r="A23" s="7">
        <f t="shared" si="0"/>
        <v>15</v>
      </c>
      <c r="B23" s="7" t="str">
        <f>OFFSET('YODA Header Blocks'!$A$1,0,A23)</f>
        <v>Methods</v>
      </c>
      <c r="C23" s="7">
        <f t="shared" si="1"/>
        <v>1</v>
      </c>
      <c r="D23" s="7"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Methods:</v>
      </c>
    </row>
    <row r="24" spans="1:4" x14ac:dyDescent="0.25">
      <c r="A24" s="7">
        <f t="shared" si="0"/>
        <v>15</v>
      </c>
      <c r="B24" s="7" t="str">
        <f>OFFSET('YODA Header Blocks'!$A$1,0,A24)</f>
        <v>Methods</v>
      </c>
      <c r="C24" s="7">
        <f t="shared" si="1"/>
        <v>2</v>
      </c>
      <c r="D24" s="7"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PLEASE FILL IN AT LEAST ONE METHOD</v>
      </c>
    </row>
    <row r="25" spans="1:4" x14ac:dyDescent="0.25">
      <c r="A25" s="7">
        <f t="shared" si="0"/>
        <v>16</v>
      </c>
      <c r="B25" s="7" t="str">
        <f>OFFSET('YODA Header Blocks'!$A$1,0,A25)</f>
        <v>Variables</v>
      </c>
      <c r="C25" s="7">
        <f t="shared" si="1"/>
        <v>1</v>
      </c>
      <c r="D25" s="7"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Variables:</v>
      </c>
    </row>
    <row r="26" spans="1:4" x14ac:dyDescent="0.25">
      <c r="A26" s="7">
        <f t="shared" si="0"/>
        <v>16</v>
      </c>
      <c r="B26" s="7" t="str">
        <f>OFFSET('YODA Header Blocks'!$A$1,0,A26)</f>
        <v>Variables</v>
      </c>
      <c r="C26" s="7">
        <f t="shared" si="1"/>
        <v>2</v>
      </c>
      <c r="D26" s="7"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PLEASE FILL IN AT LEAST ONE VARIABLE</v>
      </c>
    </row>
    <row r="27" spans="1:4" x14ac:dyDescent="0.25">
      <c r="A27" s="7">
        <f t="shared" si="0"/>
        <v>17</v>
      </c>
      <c r="B27" s="7" t="str">
        <f>OFFSET('YODA Header Blocks'!$A$1,0,A27)</f>
        <v>Units</v>
      </c>
      <c r="C27" s="7">
        <f t="shared" si="1"/>
        <v>1</v>
      </c>
      <c r="D27" s="7"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
      </c>
    </row>
    <row r="28" spans="1:4" x14ac:dyDescent="0.25">
      <c r="A28" s="7">
        <f t="shared" si="0"/>
        <v>18</v>
      </c>
      <c r="B28" s="7" t="str">
        <f>OFFSET('YODA Header Blocks'!$A$1,0,A28)</f>
        <v>Processing Levels</v>
      </c>
      <c r="C28" s="7">
        <f t="shared" si="1"/>
        <v>1</v>
      </c>
      <c r="D28" s="7"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Processing Levels:</v>
      </c>
    </row>
    <row r="29" spans="1:4" x14ac:dyDescent="0.25">
      <c r="A29" s="7">
        <f t="shared" si="0"/>
        <v>18</v>
      </c>
      <c r="B29" s="7" t="str">
        <f>OFFSET('YODA Header Blocks'!$A$1,0,A29)</f>
        <v>Processing Levels</v>
      </c>
      <c r="C29" s="7">
        <f t="shared" si="1"/>
        <v>2</v>
      </c>
      <c r="D29" s="7"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PLEASE FILL IN AT LEAST ONE PROCESSING LEVEL</v>
      </c>
    </row>
    <row r="30" spans="1:4" x14ac:dyDescent="0.25">
      <c r="A30" s="7">
        <f t="shared" si="0"/>
        <v>19</v>
      </c>
      <c r="B30" s="7" t="str">
        <f>OFFSET('YODA Header Blocks'!$A$1,0,A30)</f>
        <v>Actions</v>
      </c>
      <c r="C30" s="7">
        <f t="shared" si="1"/>
        <v>1</v>
      </c>
      <c r="D30" s="7"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Actions:</v>
      </c>
    </row>
    <row r="31" spans="1:4" x14ac:dyDescent="0.25">
      <c r="A31" s="7">
        <f t="shared" si="0"/>
        <v>19</v>
      </c>
      <c r="B31" s="7" t="str">
        <f>OFFSET('YODA Header Blocks'!$A$1,0,A31)</f>
        <v>Actions</v>
      </c>
      <c r="C31" s="7">
        <f t="shared" si="1"/>
        <v>2</v>
      </c>
      <c r="D31" s="7"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PLEASE FILL IN METADATA FOR AT LEAST ONE DATA COLUMN</v>
      </c>
    </row>
    <row r="32" spans="1:4" x14ac:dyDescent="0.25">
      <c r="A32" s="7">
        <f t="shared" si="0"/>
        <v>20</v>
      </c>
      <c r="B32" s="7" t="str">
        <f>OFFSET('YODA Header Blocks'!$A$1,0,A32)</f>
        <v>Feature Actions</v>
      </c>
      <c r="C32" s="7">
        <f t="shared" si="1"/>
        <v>1</v>
      </c>
      <c r="D32" s="7"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FeatureActions:</v>
      </c>
    </row>
    <row r="33" spans="1:4" x14ac:dyDescent="0.25">
      <c r="A33" s="7">
        <f t="shared" si="0"/>
        <v>20</v>
      </c>
      <c r="B33" s="7" t="str">
        <f>OFFSET('YODA Header Blocks'!$A$1,0,A33)</f>
        <v>Feature Actions</v>
      </c>
      <c r="C33" s="7">
        <f t="shared" si="1"/>
        <v>2</v>
      </c>
      <c r="D33" s="7"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PLEASE FILL IN METADATA FOR AT LEAST ONE DATA COLUMN</v>
      </c>
    </row>
    <row r="34" spans="1:4" x14ac:dyDescent="0.25">
      <c r="A34" s="7">
        <f t="shared" si="0"/>
        <v>21</v>
      </c>
      <c r="B34" s="7" t="str">
        <f>OFFSET('YODA Header Blocks'!$A$1,0,A34)</f>
        <v>Results</v>
      </c>
      <c r="C34" s="7">
        <f t="shared" si="1"/>
        <v>1</v>
      </c>
      <c r="D34" s="7"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Results:</v>
      </c>
    </row>
    <row r="35" spans="1:4" x14ac:dyDescent="0.25">
      <c r="A35" s="7">
        <f t="shared" si="0"/>
        <v>21</v>
      </c>
      <c r="B35" s="7" t="str">
        <f>OFFSET('YODA Header Blocks'!$A$1,0,A35)</f>
        <v>Results</v>
      </c>
      <c r="C35" s="7">
        <f t="shared" si="1"/>
        <v>2</v>
      </c>
      <c r="D35" s="7"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PLEASE FILL IN METADATA FOR AT LEAST ONE DATA COLUMN</v>
      </c>
    </row>
    <row r="36" spans="1:4" x14ac:dyDescent="0.25">
      <c r="A36" s="7">
        <f t="shared" si="0"/>
        <v>22</v>
      </c>
      <c r="B36" s="7" t="str">
        <f>OFFSET('YODA Header Blocks'!$A$1,0,A36)</f>
        <v>Time Series Results</v>
      </c>
      <c r="C36" s="7">
        <f t="shared" si="1"/>
        <v>1</v>
      </c>
      <c r="D36" s="7"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TimeSeriesResults:</v>
      </c>
    </row>
    <row r="37" spans="1:4" x14ac:dyDescent="0.25">
      <c r="A37" s="7">
        <f t="shared" si="0"/>
        <v>22</v>
      </c>
      <c r="B37" s="7" t="str">
        <f>OFFSET('YODA Header Blocks'!$A$1,0,A37)</f>
        <v>Time Series Results</v>
      </c>
      <c r="C37" s="7">
        <f t="shared" si="1"/>
        <v>2</v>
      </c>
      <c r="D37" s="7"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PLEASE FILL IN METADATA FOR AT LEAST ONE DATA COLUMN</v>
      </c>
    </row>
    <row r="38" spans="1:4" x14ac:dyDescent="0.25">
      <c r="A38" s="7">
        <f t="shared" si="0"/>
        <v>23</v>
      </c>
      <c r="B38" s="7" t="str">
        <f>OFFSET('YODA Header Blocks'!$A$1,0,A38)</f>
        <v>Time Series Result Values</v>
      </c>
      <c r="C38" s="7">
        <f t="shared" si="1"/>
        <v>1</v>
      </c>
      <c r="D38" s="7"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TimeSeriesResultValues:</v>
      </c>
    </row>
    <row r="39" spans="1:4" x14ac:dyDescent="0.25">
      <c r="A39" s="7">
        <f t="shared" si="0"/>
        <v>23</v>
      </c>
      <c r="B39" s="7" t="str">
        <f>OFFSET('YODA Header Blocks'!$A$1,0,A39)</f>
        <v>Time Series Result Values</v>
      </c>
      <c r="C39" s="7">
        <f t="shared" si="1"/>
        <v>2</v>
      </c>
      <c r="D39" s="7"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 xml:space="preserve">  ColumnDefinitions:</v>
      </c>
    </row>
    <row r="40" spans="1:4" x14ac:dyDescent="0.25">
      <c r="A40" s="7">
        <f t="shared" si="0"/>
        <v>23</v>
      </c>
      <c r="B40" s="7" t="str">
        <f>OFFSET('YODA Header Blocks'!$A$1,0,A40)</f>
        <v>Time Series Result Values</v>
      </c>
      <c r="C40" s="7">
        <f t="shared" si="1"/>
        <v>3</v>
      </c>
      <c r="D40" s="7"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41" spans="1:4" x14ac:dyDescent="0.25">
      <c r="A41" s="7">
        <f t="shared" si="0"/>
        <v>23</v>
      </c>
      <c r="B41" s="7" t="str">
        <f>OFFSET('YODA Header Blocks'!$A$1,0,A41)</f>
        <v>Time Series Result Values</v>
      </c>
      <c r="C41" s="7">
        <f t="shared" si="1"/>
        <v>4</v>
      </c>
      <c r="D41" s="7"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42" spans="1:4" x14ac:dyDescent="0.25">
      <c r="A42" s="7">
        <f t="shared" si="0"/>
        <v>23</v>
      </c>
      <c r="B42" s="7" t="str">
        <f>OFFSET('YODA Header Blocks'!$A$1,0,A42)</f>
        <v>Time Series Result Values</v>
      </c>
      <c r="C42" s="7">
        <f t="shared" si="1"/>
        <v>5</v>
      </c>
      <c r="D42" s="7"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PLEASE FILL IN METADATA FOR AT LEAST ONE DATA COLUMN</v>
      </c>
    </row>
    <row r="43" spans="1:4" x14ac:dyDescent="0.25">
      <c r="A43" s="7">
        <f t="shared" si="0"/>
        <v>24</v>
      </c>
      <c r="B43" s="7" t="str">
        <f>OFFSET('YODA Header Blocks'!$A$1,0,A43)</f>
        <v>Measurement Results</v>
      </c>
      <c r="C43" s="7">
        <f t="shared" si="1"/>
        <v>1</v>
      </c>
      <c r="D43" s="7"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
      </c>
    </row>
    <row r="44" spans="1:4" x14ac:dyDescent="0.25">
      <c r="A44" s="7">
        <f t="shared" si="0"/>
        <v>25</v>
      </c>
      <c r="B44" s="7" t="str">
        <f>OFFSET('YODA Header Blocks'!$A$1,0,A44)</f>
        <v>Measurement Result Values</v>
      </c>
      <c r="C44" s="7">
        <f t="shared" si="1"/>
        <v>1</v>
      </c>
      <c r="D44" s="7"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
      </c>
    </row>
    <row r="45" spans="1:4" x14ac:dyDescent="0.25">
      <c r="A45" s="7">
        <f t="shared" si="0"/>
        <v>26</v>
      </c>
      <c r="B45" s="7" t="str">
        <f>OFFSET('YODA Header Blocks'!$A$1,0,A45)</f>
        <v>Data Helper</v>
      </c>
      <c r="C45" s="7">
        <f t="shared" si="1"/>
        <v>1</v>
      </c>
      <c r="D45" s="7"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 xml:space="preserve">  Data:</v>
      </c>
    </row>
    <row r="46" spans="1:4" x14ac:dyDescent="0.25">
      <c r="A46" s="7">
        <f t="shared" si="0"/>
        <v>27</v>
      </c>
      <c r="B46" s="7" t="str">
        <f>OFFSET('YODA Header Blocks'!$A$1,0,A46)</f>
        <v>Data Helper2</v>
      </c>
      <c r="C46" s="7">
        <f t="shared" si="1"/>
        <v>1</v>
      </c>
      <c r="D46" s="7"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 xml:space="preserve">  - [[</v>
      </c>
    </row>
    <row r="47" spans="1:4" x14ac:dyDescent="0.25">
      <c r="A47" s="7">
        <f t="shared" si="0"/>
        <v>27</v>
      </c>
      <c r="B47" s="7" t="str">
        <f>OFFSET('YODA Header Blocks'!$A$1,0,A47)</f>
        <v>Data Helper2</v>
      </c>
      <c r="C47" s="7">
        <f t="shared" si="1"/>
        <v>2</v>
      </c>
      <c r="D47" s="7"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PLEASE FILL IN METADATA FOR AT LEAST ONE DATA COLUMN</v>
      </c>
    </row>
    <row r="48" spans="1:4" x14ac:dyDescent="0.25">
      <c r="D48" s="7"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v>
      </c>
    </row>
    <row r="49" spans="4:4" x14ac:dyDescent="0.25">
      <c r="D49" s="7"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7"/>
  <sheetViews>
    <sheetView workbookViewId="0">
      <selection activeCell="R7" sqref="R7"/>
    </sheetView>
  </sheetViews>
  <sheetFormatPr defaultRowHeight="15" x14ac:dyDescent="0.25"/>
  <sheetData>
    <row r="1" spans="1:1" x14ac:dyDescent="0.25">
      <c r="A1" t="s">
        <v>139</v>
      </c>
    </row>
    <row r="2" spans="1:1" x14ac:dyDescent="0.25">
      <c r="A2" t="s">
        <v>1326</v>
      </c>
    </row>
    <row r="3" spans="1:1" x14ac:dyDescent="0.25">
      <c r="A3" t="s">
        <v>1288</v>
      </c>
    </row>
    <row r="4" spans="1:1" x14ac:dyDescent="0.25">
      <c r="A4" t="s">
        <v>1325</v>
      </c>
    </row>
    <row r="5" spans="1:1" x14ac:dyDescent="0.25">
      <c r="A5" t="s">
        <v>192</v>
      </c>
    </row>
    <row r="6" spans="1:1" x14ac:dyDescent="0.25">
      <c r="A6" t="s">
        <v>1327</v>
      </c>
    </row>
    <row r="7" spans="1:1" x14ac:dyDescent="0.25">
      <c r="A7" t="s">
        <v>195</v>
      </c>
    </row>
    <row r="8" spans="1:1" x14ac:dyDescent="0.25">
      <c r="A8" t="s">
        <v>1328</v>
      </c>
    </row>
    <row r="9" spans="1:1" x14ac:dyDescent="0.25">
      <c r="A9" t="s">
        <v>196</v>
      </c>
    </row>
    <row r="10" spans="1:1" x14ac:dyDescent="0.25">
      <c r="A10" t="e">
        <v>#N/A</v>
      </c>
    </row>
    <row r="11" spans="1:1" x14ac:dyDescent="0.25">
      <c r="A11" t="s">
        <v>238</v>
      </c>
    </row>
    <row r="12" spans="1:1" x14ac:dyDescent="0.25">
      <c r="A12" t="s">
        <v>1323</v>
      </c>
    </row>
    <row r="13" spans="1:1" x14ac:dyDescent="0.25">
      <c r="A13" t="s">
        <v>239</v>
      </c>
    </row>
    <row r="14" spans="1:1" x14ac:dyDescent="0.25">
      <c r="A14" t="s">
        <v>1329</v>
      </c>
    </row>
    <row r="15" spans="1:1" x14ac:dyDescent="0.25">
      <c r="A15" t="s">
        <v>299</v>
      </c>
    </row>
    <row r="16" spans="1:1" x14ac:dyDescent="0.25">
      <c r="A16" t="s">
        <v>1330</v>
      </c>
    </row>
    <row r="17" spans="1:1" x14ac:dyDescent="0.25">
      <c r="A17" t="s">
        <v>1110</v>
      </c>
    </row>
    <row r="18" spans="1:1" x14ac:dyDescent="0.25">
      <c r="A18" t="s">
        <v>1331</v>
      </c>
    </row>
    <row r="19" spans="1:1" x14ac:dyDescent="0.25">
      <c r="A19" t="s">
        <v>1233</v>
      </c>
    </row>
    <row r="20" spans="1:1" x14ac:dyDescent="0.25">
      <c r="A20" t="s">
        <v>1332</v>
      </c>
    </row>
    <row r="21" spans="1:1" x14ac:dyDescent="0.25">
      <c r="A21" t="s">
        <v>1240</v>
      </c>
    </row>
    <row r="22" spans="1:1" x14ac:dyDescent="0.25">
      <c r="A22" t="s">
        <v>1324</v>
      </c>
    </row>
    <row r="23" spans="1:1" x14ac:dyDescent="0.25">
      <c r="A23" t="s">
        <v>1242</v>
      </c>
    </row>
    <row r="24" spans="1:1" x14ac:dyDescent="0.25">
      <c r="A24" t="s">
        <v>1324</v>
      </c>
    </row>
    <row r="25" spans="1:1" x14ac:dyDescent="0.25">
      <c r="A25" t="s">
        <v>1244</v>
      </c>
    </row>
    <row r="26" spans="1:1" x14ac:dyDescent="0.25">
      <c r="A26" t="s">
        <v>1324</v>
      </c>
    </row>
    <row r="27" spans="1:1" x14ac:dyDescent="0.25">
      <c r="A27" t="s">
        <v>1245</v>
      </c>
    </row>
    <row r="28" spans="1:1" x14ac:dyDescent="0.25">
      <c r="A28" t="s">
        <v>1324</v>
      </c>
    </row>
    <row r="29" spans="1:1" x14ac:dyDescent="0.25">
      <c r="A29" t="s">
        <v>1247</v>
      </c>
    </row>
    <row r="30" spans="1:1" x14ac:dyDescent="0.25">
      <c r="A30" t="s">
        <v>1252</v>
      </c>
    </row>
    <row r="31" spans="1:1" x14ac:dyDescent="0.25">
      <c r="A31" t="s">
        <v>1253</v>
      </c>
    </row>
    <row r="32" spans="1:1" x14ac:dyDescent="0.25">
      <c r="A32" t="s">
        <v>1254</v>
      </c>
    </row>
    <row r="33" spans="1:1" x14ac:dyDescent="0.25">
      <c r="A33" t="s">
        <v>1324</v>
      </c>
    </row>
    <row r="34" spans="1:1" x14ac:dyDescent="0.25">
      <c r="A34" t="s">
        <v>1259</v>
      </c>
    </row>
    <row r="35" spans="1:1" x14ac:dyDescent="0.25">
      <c r="A35" t="s">
        <v>1262</v>
      </c>
    </row>
    <row r="36" spans="1:1" x14ac:dyDescent="0.25">
      <c r="A36" t="s">
        <v>1324</v>
      </c>
    </row>
    <row r="37" spans="1:1" x14ac:dyDescent="0.25">
      <c r="A37" t="s">
        <v>1285</v>
      </c>
    </row>
  </sheetData>
  <conditionalFormatting sqref="A1:A1048576">
    <cfRule type="containsText" dxfId="1"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793"/>
  <sheetViews>
    <sheetView topLeftCell="H1" workbookViewId="0">
      <selection activeCell="M14" sqref="M14"/>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28515625" bestFit="1" customWidth="1"/>
    <col min="11" max="11" width="21.42578125" bestFit="1" customWidth="1"/>
    <col min="12" max="12" width="21.28515625" bestFit="1" customWidth="1"/>
    <col min="13" max="13" width="32.42578125" bestFit="1" customWidth="1"/>
    <col min="14" max="14" width="8" bestFit="1" customWidth="1"/>
    <col min="15" max="15" width="23.42578125" bestFit="1" customWidth="1"/>
    <col min="16" max="16" width="17.5703125" bestFit="1" customWidth="1"/>
    <col min="17" max="17" width="40.5703125" customWidth="1"/>
    <col min="18" max="18" width="20.7109375" bestFit="1" customWidth="1"/>
    <col min="19" max="19" width="24.85546875" bestFit="1" customWidth="1"/>
    <col min="20" max="20" width="16.85546875" bestFit="1" customWidth="1"/>
    <col min="21" max="21" width="28.7109375" bestFit="1" customWidth="1"/>
    <col min="22" max="22" width="11.140625" bestFit="1" customWidth="1"/>
    <col min="23" max="23" width="23.42578125" bestFit="1" customWidth="1"/>
  </cols>
  <sheetData>
    <row r="1" spans="1:23" x14ac:dyDescent="0.25">
      <c r="A1" s="1" t="s">
        <v>212</v>
      </c>
      <c r="B1" s="1" t="s">
        <v>225</v>
      </c>
      <c r="C1" s="1" t="s">
        <v>217</v>
      </c>
      <c r="D1" s="1" t="s">
        <v>218</v>
      </c>
      <c r="E1" s="1" t="s">
        <v>224</v>
      </c>
      <c r="F1" s="1" t="s">
        <v>219</v>
      </c>
      <c r="G1" s="1" t="s">
        <v>220</v>
      </c>
      <c r="H1" s="1" t="s">
        <v>221</v>
      </c>
      <c r="I1" s="1" t="s">
        <v>222</v>
      </c>
      <c r="J1" s="1" t="s">
        <v>1267</v>
      </c>
      <c r="K1" s="1" t="s">
        <v>223</v>
      </c>
      <c r="L1" s="1" t="s">
        <v>226</v>
      </c>
      <c r="M1" s="1" t="s">
        <v>260</v>
      </c>
      <c r="N1" s="1" t="s">
        <v>264</v>
      </c>
      <c r="O1" s="1" t="s">
        <v>271</v>
      </c>
      <c r="P1" s="1" t="s">
        <v>317</v>
      </c>
      <c r="Q1" s="1" t="s">
        <v>319</v>
      </c>
      <c r="R1" s="3" t="s">
        <v>1177</v>
      </c>
      <c r="S1" s="1" t="s">
        <v>1190</v>
      </c>
      <c r="T1" s="1" t="s">
        <v>1191</v>
      </c>
      <c r="U1" s="1" t="s">
        <v>1202</v>
      </c>
      <c r="V1" s="1" t="s">
        <v>1220</v>
      </c>
      <c r="W1" s="1" t="s">
        <v>1241</v>
      </c>
    </row>
    <row r="2" spans="1:23" x14ac:dyDescent="0.25">
      <c r="A2" t="b">
        <v>1</v>
      </c>
      <c r="B2" s="2" t="s">
        <v>191</v>
      </c>
      <c r="C2" t="s">
        <v>14</v>
      </c>
      <c r="D2" t="s">
        <v>1118</v>
      </c>
      <c r="E2" t="s">
        <v>1122</v>
      </c>
      <c r="F2" t="s">
        <v>52</v>
      </c>
      <c r="G2" t="s">
        <v>60</v>
      </c>
      <c r="H2" t="s">
        <v>109</v>
      </c>
      <c r="I2" t="s">
        <v>136</v>
      </c>
      <c r="J2" t="s">
        <v>14</v>
      </c>
      <c r="K2" t="s">
        <v>200</v>
      </c>
      <c r="L2" t="s">
        <v>227</v>
      </c>
      <c r="M2" t="s">
        <v>1149</v>
      </c>
      <c r="O2" t="s">
        <v>276</v>
      </c>
      <c r="P2" t="s">
        <v>1156</v>
      </c>
      <c r="Q2" t="s">
        <v>320</v>
      </c>
      <c r="R2" t="s">
        <v>1178</v>
      </c>
      <c r="S2" t="s">
        <v>1192</v>
      </c>
      <c r="T2" t="s">
        <v>1197</v>
      </c>
      <c r="U2" t="s">
        <v>1203</v>
      </c>
      <c r="V2" t="s">
        <v>1221</v>
      </c>
      <c r="W2" t="s">
        <v>276</v>
      </c>
    </row>
    <row r="3" spans="1:23" x14ac:dyDescent="0.25">
      <c r="A3" t="b">
        <v>0</v>
      </c>
      <c r="C3" t="s">
        <v>163</v>
      </c>
      <c r="D3" t="s">
        <v>1119</v>
      </c>
      <c r="E3" t="s">
        <v>31</v>
      </c>
      <c r="F3" t="s">
        <v>53</v>
      </c>
      <c r="G3" t="s">
        <v>61</v>
      </c>
      <c r="H3" t="s">
        <v>1123</v>
      </c>
      <c r="I3" t="s">
        <v>137</v>
      </c>
      <c r="J3" t="s">
        <v>133</v>
      </c>
      <c r="K3" t="s">
        <v>201</v>
      </c>
      <c r="L3" t="s">
        <v>228</v>
      </c>
      <c r="M3" t="s">
        <v>1150</v>
      </c>
      <c r="O3" t="s">
        <v>277</v>
      </c>
      <c r="P3" t="s">
        <v>1157</v>
      </c>
      <c r="Q3" t="s">
        <v>321</v>
      </c>
      <c r="R3" t="s">
        <v>1179</v>
      </c>
      <c r="S3" t="s">
        <v>1193</v>
      </c>
      <c r="T3" t="s">
        <v>1198</v>
      </c>
      <c r="U3" t="s">
        <v>1204</v>
      </c>
      <c r="V3" t="s">
        <v>1222</v>
      </c>
      <c r="W3" t="s">
        <v>277</v>
      </c>
    </row>
    <row r="4" spans="1:23" x14ac:dyDescent="0.25">
      <c r="C4" t="s">
        <v>164</v>
      </c>
      <c r="D4" t="s">
        <v>1120</v>
      </c>
      <c r="E4" t="s">
        <v>32</v>
      </c>
      <c r="F4" t="s">
        <v>54</v>
      </c>
      <c r="G4" t="s">
        <v>62</v>
      </c>
      <c r="H4" t="s">
        <v>1124</v>
      </c>
      <c r="I4" t="s">
        <v>138</v>
      </c>
      <c r="J4" t="s">
        <v>134</v>
      </c>
      <c r="K4" t="s">
        <v>1128</v>
      </c>
      <c r="L4" t="s">
        <v>229</v>
      </c>
      <c r="M4" t="s">
        <v>39</v>
      </c>
      <c r="O4" t="s">
        <v>278</v>
      </c>
      <c r="P4" t="s">
        <v>1158</v>
      </c>
      <c r="Q4" t="s">
        <v>322</v>
      </c>
      <c r="R4" t="s">
        <v>1180</v>
      </c>
      <c r="S4" t="s">
        <v>1194</v>
      </c>
      <c r="T4" t="s">
        <v>1199</v>
      </c>
      <c r="U4" t="s">
        <v>1205</v>
      </c>
      <c r="V4" t="s">
        <v>1223</v>
      </c>
      <c r="W4" t="s">
        <v>278</v>
      </c>
    </row>
    <row r="5" spans="1:23" x14ac:dyDescent="0.25">
      <c r="C5" t="s">
        <v>165</v>
      </c>
      <c r="D5" t="s">
        <v>1121</v>
      </c>
      <c r="E5" t="s">
        <v>33</v>
      </c>
      <c r="F5" t="s">
        <v>55</v>
      </c>
      <c r="G5" t="s">
        <v>63</v>
      </c>
      <c r="H5" t="s">
        <v>1125</v>
      </c>
      <c r="I5" t="s">
        <v>14</v>
      </c>
      <c r="J5" t="s">
        <v>135</v>
      </c>
      <c r="K5" t="s">
        <v>205</v>
      </c>
      <c r="L5" t="s">
        <v>230</v>
      </c>
      <c r="M5" t="s">
        <v>1151</v>
      </c>
      <c r="O5" t="s">
        <v>279</v>
      </c>
      <c r="P5" t="s">
        <v>1159</v>
      </c>
      <c r="Q5" t="s">
        <v>323</v>
      </c>
      <c r="R5" t="s">
        <v>1181</v>
      </c>
      <c r="S5" t="s">
        <v>1195</v>
      </c>
      <c r="T5" t="s">
        <v>1200</v>
      </c>
      <c r="U5" t="s">
        <v>1206</v>
      </c>
      <c r="W5" t="s">
        <v>279</v>
      </c>
    </row>
    <row r="6" spans="1:23" x14ac:dyDescent="0.25">
      <c r="C6" t="s">
        <v>166</v>
      </c>
      <c r="D6" t="s">
        <v>118</v>
      </c>
      <c r="E6" t="s">
        <v>34</v>
      </c>
      <c r="F6" t="s">
        <v>56</v>
      </c>
      <c r="G6" t="s">
        <v>64</v>
      </c>
      <c r="H6" t="s">
        <v>1126</v>
      </c>
      <c r="K6" t="s">
        <v>1129</v>
      </c>
      <c r="L6" t="s">
        <v>52</v>
      </c>
      <c r="M6" t="s">
        <v>1152</v>
      </c>
      <c r="O6" t="s">
        <v>280</v>
      </c>
      <c r="P6" t="s">
        <v>1160</v>
      </c>
      <c r="Q6" t="s">
        <v>324</v>
      </c>
      <c r="R6" t="s">
        <v>1182</v>
      </c>
      <c r="S6" t="s">
        <v>1196</v>
      </c>
      <c r="T6" t="s">
        <v>14</v>
      </c>
      <c r="U6" t="s">
        <v>1207</v>
      </c>
      <c r="W6" t="s">
        <v>280</v>
      </c>
    </row>
    <row r="7" spans="1:23" x14ac:dyDescent="0.25">
      <c r="C7" t="s">
        <v>167</v>
      </c>
      <c r="E7" t="s">
        <v>35</v>
      </c>
      <c r="F7" t="s">
        <v>57</v>
      </c>
      <c r="G7" t="s">
        <v>65</v>
      </c>
      <c r="H7" t="s">
        <v>110</v>
      </c>
      <c r="K7" t="s">
        <v>1130</v>
      </c>
      <c r="L7" t="s">
        <v>118</v>
      </c>
      <c r="M7" t="s">
        <v>261</v>
      </c>
      <c r="O7" t="s">
        <v>281</v>
      </c>
      <c r="P7" t="s">
        <v>1161</v>
      </c>
      <c r="Q7" t="s">
        <v>325</v>
      </c>
      <c r="R7" t="s">
        <v>1183</v>
      </c>
      <c r="U7" t="s">
        <v>1208</v>
      </c>
      <c r="W7" t="s">
        <v>281</v>
      </c>
    </row>
    <row r="8" spans="1:23" x14ac:dyDescent="0.25">
      <c r="C8" t="s">
        <v>168</v>
      </c>
      <c r="E8" t="s">
        <v>36</v>
      </c>
      <c r="F8" t="s">
        <v>58</v>
      </c>
      <c r="G8" t="s">
        <v>66</v>
      </c>
      <c r="H8" t="s">
        <v>111</v>
      </c>
      <c r="K8" t="s">
        <v>1131</v>
      </c>
      <c r="L8" t="s">
        <v>231</v>
      </c>
      <c r="M8" t="s">
        <v>262</v>
      </c>
      <c r="O8" t="s">
        <v>282</v>
      </c>
      <c r="P8" t="s">
        <v>1162</v>
      </c>
      <c r="Q8" t="s">
        <v>326</v>
      </c>
      <c r="R8" t="s">
        <v>1184</v>
      </c>
      <c r="U8" t="s">
        <v>1209</v>
      </c>
      <c r="W8" t="s">
        <v>282</v>
      </c>
    </row>
    <row r="9" spans="1:23" x14ac:dyDescent="0.25">
      <c r="C9" t="s">
        <v>169</v>
      </c>
      <c r="E9" t="s">
        <v>37</v>
      </c>
      <c r="F9" t="s">
        <v>59</v>
      </c>
      <c r="G9" t="s">
        <v>67</v>
      </c>
      <c r="H9" t="s">
        <v>112</v>
      </c>
      <c r="K9" t="s">
        <v>1132</v>
      </c>
      <c r="L9" t="s">
        <v>232</v>
      </c>
      <c r="M9" t="s">
        <v>1153</v>
      </c>
      <c r="O9" t="s">
        <v>283</v>
      </c>
      <c r="P9" t="s">
        <v>1163</v>
      </c>
      <c r="Q9" t="s">
        <v>327</v>
      </c>
      <c r="R9" t="s">
        <v>1185</v>
      </c>
      <c r="U9" t="s">
        <v>1210</v>
      </c>
      <c r="W9" t="s">
        <v>283</v>
      </c>
    </row>
    <row r="10" spans="1:23" x14ac:dyDescent="0.25">
      <c r="C10" t="s">
        <v>170</v>
      </c>
      <c r="E10" t="s">
        <v>38</v>
      </c>
      <c r="G10" t="s">
        <v>68</v>
      </c>
      <c r="H10" t="s">
        <v>113</v>
      </c>
      <c r="K10" t="s">
        <v>1133</v>
      </c>
      <c r="L10" t="s">
        <v>233</v>
      </c>
      <c r="M10" t="s">
        <v>1154</v>
      </c>
      <c r="O10" t="s">
        <v>284</v>
      </c>
      <c r="P10" t="s">
        <v>1164</v>
      </c>
      <c r="Q10" t="s">
        <v>328</v>
      </c>
      <c r="R10" t="s">
        <v>1186</v>
      </c>
      <c r="U10" t="s">
        <v>1211</v>
      </c>
      <c r="W10" t="s">
        <v>284</v>
      </c>
    </row>
    <row r="11" spans="1:23" x14ac:dyDescent="0.25">
      <c r="C11" t="s">
        <v>171</v>
      </c>
      <c r="E11" t="s">
        <v>39</v>
      </c>
      <c r="G11" t="s">
        <v>69</v>
      </c>
      <c r="H11" t="s">
        <v>114</v>
      </c>
      <c r="K11" t="s">
        <v>1134</v>
      </c>
      <c r="L11" t="s">
        <v>13</v>
      </c>
      <c r="M11" t="s">
        <v>263</v>
      </c>
      <c r="O11" t="s">
        <v>285</v>
      </c>
      <c r="P11" t="s">
        <v>1165</v>
      </c>
      <c r="Q11" t="s">
        <v>329</v>
      </c>
      <c r="R11" t="s">
        <v>1187</v>
      </c>
      <c r="U11" t="s">
        <v>1212</v>
      </c>
      <c r="W11" t="s">
        <v>285</v>
      </c>
    </row>
    <row r="12" spans="1:23" x14ac:dyDescent="0.25">
      <c r="C12" t="s">
        <v>172</v>
      </c>
      <c r="E12" t="s">
        <v>40</v>
      </c>
      <c r="G12" t="s">
        <v>70</v>
      </c>
      <c r="H12" t="s">
        <v>115</v>
      </c>
      <c r="K12" t="s">
        <v>1135</v>
      </c>
      <c r="L12" t="s">
        <v>234</v>
      </c>
      <c r="M12" t="s">
        <v>1155</v>
      </c>
      <c r="O12" t="s">
        <v>286</v>
      </c>
      <c r="P12" t="s">
        <v>1166</v>
      </c>
      <c r="Q12" t="s">
        <v>330</v>
      </c>
      <c r="R12" t="s">
        <v>1188</v>
      </c>
      <c r="U12" t="s">
        <v>1213</v>
      </c>
      <c r="W12" t="s">
        <v>286</v>
      </c>
    </row>
    <row r="13" spans="1:23" x14ac:dyDescent="0.25">
      <c r="C13" t="s">
        <v>173</v>
      </c>
      <c r="E13" t="s">
        <v>41</v>
      </c>
      <c r="G13" t="s">
        <v>71</v>
      </c>
      <c r="H13" t="s">
        <v>116</v>
      </c>
      <c r="K13" t="s">
        <v>1136</v>
      </c>
      <c r="L13" t="s">
        <v>235</v>
      </c>
      <c r="O13" t="s">
        <v>287</v>
      </c>
      <c r="P13" t="s">
        <v>1167</v>
      </c>
      <c r="Q13" t="s">
        <v>331</v>
      </c>
      <c r="R13" t="s">
        <v>1189</v>
      </c>
      <c r="U13" t="s">
        <v>1214</v>
      </c>
      <c r="W13" t="s">
        <v>287</v>
      </c>
    </row>
    <row r="14" spans="1:23" x14ac:dyDescent="0.25">
      <c r="C14" t="s">
        <v>174</v>
      </c>
      <c r="E14" t="s">
        <v>42</v>
      </c>
      <c r="G14" t="s">
        <v>72</v>
      </c>
      <c r="H14" t="s">
        <v>117</v>
      </c>
      <c r="K14" t="s">
        <v>1137</v>
      </c>
      <c r="L14" t="s">
        <v>236</v>
      </c>
      <c r="O14" t="s">
        <v>288</v>
      </c>
      <c r="P14" t="s">
        <v>1168</v>
      </c>
      <c r="Q14" t="s">
        <v>332</v>
      </c>
      <c r="U14" t="s">
        <v>1215</v>
      </c>
      <c r="W14" t="s">
        <v>288</v>
      </c>
    </row>
    <row r="15" spans="1:23" x14ac:dyDescent="0.25">
      <c r="C15" t="s">
        <v>175</v>
      </c>
      <c r="E15" t="s">
        <v>43</v>
      </c>
      <c r="G15" t="s">
        <v>73</v>
      </c>
      <c r="H15" t="s">
        <v>118</v>
      </c>
      <c r="K15" t="s">
        <v>1138</v>
      </c>
      <c r="L15" t="s">
        <v>237</v>
      </c>
      <c r="O15" t="s">
        <v>289</v>
      </c>
      <c r="P15" t="s">
        <v>1169</v>
      </c>
      <c r="Q15" t="s">
        <v>333</v>
      </c>
      <c r="U15" t="s">
        <v>14</v>
      </c>
      <c r="W15" t="s">
        <v>289</v>
      </c>
    </row>
    <row r="16" spans="1:23" x14ac:dyDescent="0.25">
      <c r="C16" t="s">
        <v>176</v>
      </c>
      <c r="E16" t="s">
        <v>44</v>
      </c>
      <c r="G16" t="s">
        <v>74</v>
      </c>
      <c r="H16" t="s">
        <v>119</v>
      </c>
      <c r="K16" t="s">
        <v>1139</v>
      </c>
      <c r="L16" t="s">
        <v>14</v>
      </c>
      <c r="O16" t="s">
        <v>290</v>
      </c>
      <c r="P16" t="s">
        <v>7</v>
      </c>
      <c r="Q16" t="s">
        <v>334</v>
      </c>
      <c r="U16" t="s">
        <v>1216</v>
      </c>
      <c r="W16" t="s">
        <v>290</v>
      </c>
    </row>
    <row r="17" spans="3:23" x14ac:dyDescent="0.25">
      <c r="C17" t="s">
        <v>177</v>
      </c>
      <c r="E17" t="s">
        <v>45</v>
      </c>
      <c r="G17" t="s">
        <v>75</v>
      </c>
      <c r="H17" t="s">
        <v>120</v>
      </c>
      <c r="K17" t="s">
        <v>1140</v>
      </c>
      <c r="O17" t="s">
        <v>291</v>
      </c>
      <c r="P17" t="s">
        <v>8</v>
      </c>
      <c r="Q17" t="s">
        <v>335</v>
      </c>
      <c r="W17" t="s">
        <v>291</v>
      </c>
    </row>
    <row r="18" spans="3:23" x14ac:dyDescent="0.25">
      <c r="C18" t="s">
        <v>178</v>
      </c>
      <c r="E18" t="s">
        <v>46</v>
      </c>
      <c r="G18" t="s">
        <v>76</v>
      </c>
      <c r="H18" t="s">
        <v>121</v>
      </c>
      <c r="K18" t="s">
        <v>1141</v>
      </c>
      <c r="O18" t="s">
        <v>292</v>
      </c>
      <c r="P18" t="s">
        <v>9</v>
      </c>
      <c r="Q18" t="s">
        <v>336</v>
      </c>
      <c r="W18" t="s">
        <v>292</v>
      </c>
    </row>
    <row r="19" spans="3:23" x14ac:dyDescent="0.25">
      <c r="C19" t="s">
        <v>179</v>
      </c>
      <c r="E19" t="s">
        <v>47</v>
      </c>
      <c r="G19" t="s">
        <v>77</v>
      </c>
      <c r="H19" t="s">
        <v>122</v>
      </c>
      <c r="K19" t="s">
        <v>1142</v>
      </c>
      <c r="O19" t="s">
        <v>293</v>
      </c>
      <c r="P19" t="s">
        <v>10</v>
      </c>
      <c r="Q19" t="s">
        <v>337</v>
      </c>
      <c r="W19" t="s">
        <v>293</v>
      </c>
    </row>
    <row r="20" spans="3:23" x14ac:dyDescent="0.25">
      <c r="C20" t="s">
        <v>180</v>
      </c>
      <c r="E20" t="s">
        <v>48</v>
      </c>
      <c r="G20" t="s">
        <v>78</v>
      </c>
      <c r="H20" t="s">
        <v>123</v>
      </c>
      <c r="K20" t="s">
        <v>1143</v>
      </c>
      <c r="O20" t="s">
        <v>294</v>
      </c>
      <c r="P20" t="s">
        <v>11</v>
      </c>
      <c r="Q20" t="s">
        <v>338</v>
      </c>
      <c r="W20" t="s">
        <v>294</v>
      </c>
    </row>
    <row r="21" spans="3:23" x14ac:dyDescent="0.25">
      <c r="C21" t="s">
        <v>181</v>
      </c>
      <c r="E21" t="s">
        <v>49</v>
      </c>
      <c r="G21" t="s">
        <v>79</v>
      </c>
      <c r="H21" t="s">
        <v>124</v>
      </c>
      <c r="K21" t="s">
        <v>1144</v>
      </c>
      <c r="O21" t="s">
        <v>295</v>
      </c>
      <c r="P21" t="s">
        <v>12</v>
      </c>
      <c r="Q21" t="s">
        <v>339</v>
      </c>
      <c r="W21" t="s">
        <v>295</v>
      </c>
    </row>
    <row r="22" spans="3:23" x14ac:dyDescent="0.25">
      <c r="C22" t="s">
        <v>182</v>
      </c>
      <c r="E22" t="s">
        <v>50</v>
      </c>
      <c r="G22" t="s">
        <v>80</v>
      </c>
      <c r="H22" t="s">
        <v>125</v>
      </c>
      <c r="K22" t="s">
        <v>202</v>
      </c>
      <c r="O22" t="s">
        <v>296</v>
      </c>
      <c r="P22" t="s">
        <v>13</v>
      </c>
      <c r="Q22" t="s">
        <v>340</v>
      </c>
      <c r="W22" t="s">
        <v>296</v>
      </c>
    </row>
    <row r="23" spans="3:23" x14ac:dyDescent="0.25">
      <c r="C23" t="s">
        <v>183</v>
      </c>
      <c r="E23" t="s">
        <v>51</v>
      </c>
      <c r="G23" t="s">
        <v>81</v>
      </c>
      <c r="H23" t="s">
        <v>126</v>
      </c>
      <c r="K23" t="s">
        <v>203</v>
      </c>
      <c r="O23" t="s">
        <v>297</v>
      </c>
      <c r="P23" t="s">
        <v>14</v>
      </c>
      <c r="Q23" t="s">
        <v>341</v>
      </c>
      <c r="W23" t="s">
        <v>297</v>
      </c>
    </row>
    <row r="24" spans="3:23" x14ac:dyDescent="0.25">
      <c r="C24" t="s">
        <v>184</v>
      </c>
      <c r="G24" t="s">
        <v>82</v>
      </c>
      <c r="H24" t="s">
        <v>127</v>
      </c>
      <c r="K24" t="s">
        <v>1145</v>
      </c>
      <c r="O24" t="s">
        <v>298</v>
      </c>
      <c r="P24" t="s">
        <v>318</v>
      </c>
      <c r="Q24" t="s">
        <v>342</v>
      </c>
      <c r="W24" t="s">
        <v>298</v>
      </c>
    </row>
    <row r="25" spans="3:23" x14ac:dyDescent="0.25">
      <c r="C25" t="s">
        <v>185</v>
      </c>
      <c r="G25" t="s">
        <v>83</v>
      </c>
      <c r="H25" t="s">
        <v>1127</v>
      </c>
      <c r="K25" t="s">
        <v>1146</v>
      </c>
      <c r="O25" t="s">
        <v>14</v>
      </c>
      <c r="Q25" t="s">
        <v>343</v>
      </c>
    </row>
    <row r="26" spans="3:23" x14ac:dyDescent="0.25">
      <c r="C26" t="s">
        <v>186</v>
      </c>
      <c r="G26" t="s">
        <v>84</v>
      </c>
      <c r="H26" t="s">
        <v>128</v>
      </c>
      <c r="K26" t="s">
        <v>1147</v>
      </c>
      <c r="Q26" t="s">
        <v>344</v>
      </c>
    </row>
    <row r="27" spans="3:23" x14ac:dyDescent="0.25">
      <c r="C27" t="s">
        <v>187</v>
      </c>
      <c r="G27" t="s">
        <v>85</v>
      </c>
      <c r="H27" t="s">
        <v>129</v>
      </c>
      <c r="K27" t="s">
        <v>204</v>
      </c>
      <c r="Q27" t="s">
        <v>345</v>
      </c>
    </row>
    <row r="28" spans="3:23" x14ac:dyDescent="0.25">
      <c r="G28" t="s">
        <v>86</v>
      </c>
      <c r="K28" t="s">
        <v>1148</v>
      </c>
      <c r="Q28" t="s">
        <v>346</v>
      </c>
    </row>
    <row r="29" spans="3:23" x14ac:dyDescent="0.25">
      <c r="G29" t="s">
        <v>87</v>
      </c>
      <c r="Q29" t="s">
        <v>347</v>
      </c>
    </row>
    <row r="30" spans="3:23" x14ac:dyDescent="0.25">
      <c r="G30" t="s">
        <v>88</v>
      </c>
      <c r="Q30" t="s">
        <v>348</v>
      </c>
    </row>
    <row r="31" spans="3:23" x14ac:dyDescent="0.25">
      <c r="G31" t="s">
        <v>89</v>
      </c>
      <c r="Q31" t="s">
        <v>349</v>
      </c>
    </row>
    <row r="32" spans="3:23" x14ac:dyDescent="0.25">
      <c r="G32" t="s">
        <v>90</v>
      </c>
      <c r="Q32" t="s">
        <v>350</v>
      </c>
    </row>
    <row r="33" spans="7:17" x14ac:dyDescent="0.25">
      <c r="G33" t="s">
        <v>91</v>
      </c>
      <c r="Q33" t="s">
        <v>351</v>
      </c>
    </row>
    <row r="34" spans="7:17" x14ac:dyDescent="0.25">
      <c r="G34" t="s">
        <v>92</v>
      </c>
      <c r="Q34" t="s">
        <v>352</v>
      </c>
    </row>
    <row r="35" spans="7:17" x14ac:dyDescent="0.25">
      <c r="G35" t="s">
        <v>93</v>
      </c>
      <c r="Q35" t="s">
        <v>353</v>
      </c>
    </row>
    <row r="36" spans="7:17" x14ac:dyDescent="0.25">
      <c r="G36" t="s">
        <v>94</v>
      </c>
      <c r="Q36" t="s">
        <v>354</v>
      </c>
    </row>
    <row r="37" spans="7:17" x14ac:dyDescent="0.25">
      <c r="G37" t="s">
        <v>95</v>
      </c>
      <c r="Q37" t="s">
        <v>355</v>
      </c>
    </row>
    <row r="38" spans="7:17" x14ac:dyDescent="0.25">
      <c r="G38" t="s">
        <v>96</v>
      </c>
      <c r="Q38" t="s">
        <v>356</v>
      </c>
    </row>
    <row r="39" spans="7:17" x14ac:dyDescent="0.25">
      <c r="G39" t="s">
        <v>97</v>
      </c>
      <c r="Q39" t="s">
        <v>357</v>
      </c>
    </row>
    <row r="40" spans="7:17" x14ac:dyDescent="0.25">
      <c r="G40" t="s">
        <v>98</v>
      </c>
      <c r="Q40" t="s">
        <v>358</v>
      </c>
    </row>
    <row r="41" spans="7:17" x14ac:dyDescent="0.25">
      <c r="G41" t="s">
        <v>99</v>
      </c>
      <c r="Q41" t="s">
        <v>359</v>
      </c>
    </row>
    <row r="42" spans="7:17" x14ac:dyDescent="0.25">
      <c r="G42" t="s">
        <v>14</v>
      </c>
      <c r="Q42" t="s">
        <v>360</v>
      </c>
    </row>
    <row r="43" spans="7:17" x14ac:dyDescent="0.25">
      <c r="G43" t="s">
        <v>100</v>
      </c>
      <c r="Q43" t="s">
        <v>361</v>
      </c>
    </row>
    <row r="44" spans="7:17" x14ac:dyDescent="0.25">
      <c r="G44" t="s">
        <v>101</v>
      </c>
      <c r="Q44" t="s">
        <v>362</v>
      </c>
    </row>
    <row r="45" spans="7:17" x14ac:dyDescent="0.25">
      <c r="G45" t="s">
        <v>102</v>
      </c>
      <c r="Q45" t="s">
        <v>363</v>
      </c>
    </row>
    <row r="46" spans="7:17" x14ac:dyDescent="0.25">
      <c r="G46" t="s">
        <v>103</v>
      </c>
      <c r="Q46" t="s">
        <v>364</v>
      </c>
    </row>
    <row r="47" spans="7:17" x14ac:dyDescent="0.25">
      <c r="G47" t="s">
        <v>104</v>
      </c>
      <c r="Q47" t="s">
        <v>365</v>
      </c>
    </row>
    <row r="48" spans="7:17" x14ac:dyDescent="0.25">
      <c r="G48" t="s">
        <v>105</v>
      </c>
      <c r="Q48" t="s">
        <v>366</v>
      </c>
    </row>
    <row r="49" spans="7:17" x14ac:dyDescent="0.25">
      <c r="G49" t="s">
        <v>106</v>
      </c>
      <c r="Q49" t="s">
        <v>367</v>
      </c>
    </row>
    <row r="50" spans="7:17" x14ac:dyDescent="0.25">
      <c r="G50" t="s">
        <v>107</v>
      </c>
      <c r="Q50" t="s">
        <v>368</v>
      </c>
    </row>
    <row r="51" spans="7:17" x14ac:dyDescent="0.25">
      <c r="G51" t="s">
        <v>108</v>
      </c>
      <c r="Q51" t="s">
        <v>369</v>
      </c>
    </row>
    <row r="52" spans="7:17" x14ac:dyDescent="0.25">
      <c r="Q52" t="s">
        <v>370</v>
      </c>
    </row>
    <row r="53" spans="7:17" x14ac:dyDescent="0.25">
      <c r="Q53" t="s">
        <v>371</v>
      </c>
    </row>
    <row r="54" spans="7:17" x14ac:dyDescent="0.25">
      <c r="Q54" t="s">
        <v>372</v>
      </c>
    </row>
    <row r="55" spans="7:17" x14ac:dyDescent="0.25">
      <c r="Q55" t="s">
        <v>373</v>
      </c>
    </row>
    <row r="56" spans="7:17" x14ac:dyDescent="0.25">
      <c r="Q56" t="s">
        <v>374</v>
      </c>
    </row>
    <row r="57" spans="7:17" x14ac:dyDescent="0.25">
      <c r="Q57" t="s">
        <v>375</v>
      </c>
    </row>
    <row r="58" spans="7:17" x14ac:dyDescent="0.25">
      <c r="Q58" t="s">
        <v>376</v>
      </c>
    </row>
    <row r="59" spans="7:17" x14ac:dyDescent="0.25">
      <c r="Q59" t="s">
        <v>377</v>
      </c>
    </row>
    <row r="60" spans="7:17" x14ac:dyDescent="0.25">
      <c r="Q60" t="s">
        <v>378</v>
      </c>
    </row>
    <row r="61" spans="7:17" x14ac:dyDescent="0.25">
      <c r="Q61" t="s">
        <v>379</v>
      </c>
    </row>
    <row r="62" spans="7:17" x14ac:dyDescent="0.25">
      <c r="Q62" t="s">
        <v>380</v>
      </c>
    </row>
    <row r="63" spans="7:17" x14ac:dyDescent="0.25">
      <c r="Q63" t="s">
        <v>381</v>
      </c>
    </row>
    <row r="64" spans="7:17" x14ac:dyDescent="0.25">
      <c r="Q64" t="s">
        <v>382</v>
      </c>
    </row>
    <row r="65" spans="17:17" x14ac:dyDescent="0.25">
      <c r="Q65" t="s">
        <v>383</v>
      </c>
    </row>
    <row r="66" spans="17:17" x14ac:dyDescent="0.25">
      <c r="Q66" t="s">
        <v>384</v>
      </c>
    </row>
    <row r="67" spans="17:17" x14ac:dyDescent="0.25">
      <c r="Q67" t="s">
        <v>385</v>
      </c>
    </row>
    <row r="68" spans="17:17" x14ac:dyDescent="0.25">
      <c r="Q68" t="s">
        <v>386</v>
      </c>
    </row>
    <row r="69" spans="17:17" x14ac:dyDescent="0.25">
      <c r="Q69" t="s">
        <v>387</v>
      </c>
    </row>
    <row r="70" spans="17:17" x14ac:dyDescent="0.25">
      <c r="Q70" t="s">
        <v>388</v>
      </c>
    </row>
    <row r="71" spans="17:17" x14ac:dyDescent="0.25">
      <c r="Q71" t="s">
        <v>389</v>
      </c>
    </row>
    <row r="72" spans="17:17" x14ac:dyDescent="0.25">
      <c r="Q72" t="s">
        <v>390</v>
      </c>
    </row>
    <row r="73" spans="17:17" x14ac:dyDescent="0.25">
      <c r="Q73" t="s">
        <v>391</v>
      </c>
    </row>
    <row r="74" spans="17:17" x14ac:dyDescent="0.25">
      <c r="Q74" t="s">
        <v>392</v>
      </c>
    </row>
    <row r="75" spans="17:17" x14ac:dyDescent="0.25">
      <c r="Q75" t="s">
        <v>393</v>
      </c>
    </row>
    <row r="76" spans="17:17" x14ac:dyDescent="0.25">
      <c r="Q76" t="s">
        <v>394</v>
      </c>
    </row>
    <row r="77" spans="17:17" x14ac:dyDescent="0.25">
      <c r="Q77" t="s">
        <v>395</v>
      </c>
    </row>
    <row r="78" spans="17:17" x14ac:dyDescent="0.25">
      <c r="Q78" t="s">
        <v>396</v>
      </c>
    </row>
    <row r="79" spans="17:17" x14ac:dyDescent="0.25">
      <c r="Q79" t="s">
        <v>397</v>
      </c>
    </row>
    <row r="80" spans="17:17" x14ac:dyDescent="0.25">
      <c r="Q80" t="s">
        <v>398</v>
      </c>
    </row>
    <row r="81" spans="17:17" x14ac:dyDescent="0.25">
      <c r="Q81" t="s">
        <v>399</v>
      </c>
    </row>
    <row r="82" spans="17:17" x14ac:dyDescent="0.25">
      <c r="Q82" t="s">
        <v>400</v>
      </c>
    </row>
    <row r="83" spans="17:17" x14ac:dyDescent="0.25">
      <c r="Q83" t="s">
        <v>401</v>
      </c>
    </row>
    <row r="84" spans="17:17" x14ac:dyDescent="0.25">
      <c r="Q84" t="s">
        <v>402</v>
      </c>
    </row>
    <row r="85" spans="17:17" x14ac:dyDescent="0.25">
      <c r="Q85" t="s">
        <v>403</v>
      </c>
    </row>
    <row r="86" spans="17:17" x14ac:dyDescent="0.25">
      <c r="Q86" t="s">
        <v>404</v>
      </c>
    </row>
    <row r="87" spans="17:17" x14ac:dyDescent="0.25">
      <c r="Q87" t="s">
        <v>405</v>
      </c>
    </row>
    <row r="88" spans="17:17" x14ac:dyDescent="0.25">
      <c r="Q88" t="s">
        <v>406</v>
      </c>
    </row>
    <row r="89" spans="17:17" x14ac:dyDescent="0.25">
      <c r="Q89" t="s">
        <v>407</v>
      </c>
    </row>
    <row r="90" spans="17:17" x14ac:dyDescent="0.25">
      <c r="Q90" t="s">
        <v>408</v>
      </c>
    </row>
    <row r="91" spans="17:17" x14ac:dyDescent="0.25">
      <c r="Q91" t="s">
        <v>409</v>
      </c>
    </row>
    <row r="92" spans="17:17" x14ac:dyDescent="0.25">
      <c r="Q92" t="s">
        <v>410</v>
      </c>
    </row>
    <row r="93" spans="17:17" x14ac:dyDescent="0.25">
      <c r="Q93" t="s">
        <v>411</v>
      </c>
    </row>
    <row r="94" spans="17:17" x14ac:dyDescent="0.25">
      <c r="Q94" t="s">
        <v>412</v>
      </c>
    </row>
    <row r="95" spans="17:17" x14ac:dyDescent="0.25">
      <c r="Q95" t="s">
        <v>413</v>
      </c>
    </row>
    <row r="96" spans="17:17" x14ac:dyDescent="0.25">
      <c r="Q96" t="s">
        <v>414</v>
      </c>
    </row>
    <row r="97" spans="17:17" x14ac:dyDescent="0.25">
      <c r="Q97" t="s">
        <v>415</v>
      </c>
    </row>
    <row r="98" spans="17:17" x14ac:dyDescent="0.25">
      <c r="Q98" t="s">
        <v>416</v>
      </c>
    </row>
    <row r="99" spans="17:17" x14ac:dyDescent="0.25">
      <c r="Q99" t="s">
        <v>417</v>
      </c>
    </row>
    <row r="100" spans="17:17" x14ac:dyDescent="0.25">
      <c r="Q100" t="s">
        <v>418</v>
      </c>
    </row>
    <row r="101" spans="17:17" x14ac:dyDescent="0.25">
      <c r="Q101" t="s">
        <v>419</v>
      </c>
    </row>
    <row r="102" spans="17:17" x14ac:dyDescent="0.25">
      <c r="Q102" t="s">
        <v>420</v>
      </c>
    </row>
    <row r="103" spans="17:17" x14ac:dyDescent="0.25">
      <c r="Q103" t="s">
        <v>421</v>
      </c>
    </row>
    <row r="104" spans="17:17" x14ac:dyDescent="0.25">
      <c r="Q104" t="s">
        <v>422</v>
      </c>
    </row>
    <row r="105" spans="17:17" x14ac:dyDescent="0.25">
      <c r="Q105" t="s">
        <v>423</v>
      </c>
    </row>
    <row r="106" spans="17:17" x14ac:dyDescent="0.25">
      <c r="Q106" t="s">
        <v>424</v>
      </c>
    </row>
    <row r="107" spans="17:17" x14ac:dyDescent="0.25">
      <c r="Q107" t="s">
        <v>425</v>
      </c>
    </row>
    <row r="108" spans="17:17" x14ac:dyDescent="0.25">
      <c r="Q108" t="s">
        <v>426</v>
      </c>
    </row>
    <row r="109" spans="17:17" x14ac:dyDescent="0.25">
      <c r="Q109" t="s">
        <v>427</v>
      </c>
    </row>
    <row r="110" spans="17:17" x14ac:dyDescent="0.25">
      <c r="Q110" t="s">
        <v>428</v>
      </c>
    </row>
    <row r="111" spans="17:17" x14ac:dyDescent="0.25">
      <c r="Q111" t="s">
        <v>429</v>
      </c>
    </row>
    <row r="112" spans="17:17" x14ac:dyDescent="0.25">
      <c r="Q112" t="s">
        <v>430</v>
      </c>
    </row>
    <row r="113" spans="17:17" x14ac:dyDescent="0.25">
      <c r="Q113" t="s">
        <v>431</v>
      </c>
    </row>
    <row r="114" spans="17:17" x14ac:dyDescent="0.25">
      <c r="Q114" t="s">
        <v>432</v>
      </c>
    </row>
    <row r="115" spans="17:17" x14ac:dyDescent="0.25">
      <c r="Q115" t="s">
        <v>433</v>
      </c>
    </row>
    <row r="116" spans="17:17" x14ac:dyDescent="0.25">
      <c r="Q116" t="s">
        <v>434</v>
      </c>
    </row>
    <row r="117" spans="17:17" x14ac:dyDescent="0.25">
      <c r="Q117" t="s">
        <v>435</v>
      </c>
    </row>
    <row r="118" spans="17:17" x14ac:dyDescent="0.25">
      <c r="Q118" t="s">
        <v>436</v>
      </c>
    </row>
    <row r="119" spans="17:17" x14ac:dyDescent="0.25">
      <c r="Q119" t="s">
        <v>437</v>
      </c>
    </row>
    <row r="120" spans="17:17" x14ac:dyDescent="0.25">
      <c r="Q120" t="s">
        <v>438</v>
      </c>
    </row>
    <row r="121" spans="17:17" x14ac:dyDescent="0.25">
      <c r="Q121" t="s">
        <v>439</v>
      </c>
    </row>
    <row r="122" spans="17:17" x14ac:dyDescent="0.25">
      <c r="Q122" t="s">
        <v>440</v>
      </c>
    </row>
    <row r="123" spans="17:17" x14ac:dyDescent="0.25">
      <c r="Q123" t="s">
        <v>441</v>
      </c>
    </row>
    <row r="124" spans="17:17" x14ac:dyDescent="0.25">
      <c r="Q124" t="s">
        <v>442</v>
      </c>
    </row>
    <row r="125" spans="17:17" x14ac:dyDescent="0.25">
      <c r="Q125" t="s">
        <v>443</v>
      </c>
    </row>
    <row r="126" spans="17:17" x14ac:dyDescent="0.25">
      <c r="Q126" t="s">
        <v>444</v>
      </c>
    </row>
    <row r="127" spans="17:17" x14ac:dyDescent="0.25">
      <c r="Q127" t="s">
        <v>445</v>
      </c>
    </row>
    <row r="128" spans="17:17" x14ac:dyDescent="0.25">
      <c r="Q128" t="s">
        <v>446</v>
      </c>
    </row>
    <row r="129" spans="17:17" x14ac:dyDescent="0.25">
      <c r="Q129" t="s">
        <v>447</v>
      </c>
    </row>
    <row r="130" spans="17:17" x14ac:dyDescent="0.25">
      <c r="Q130" t="s">
        <v>448</v>
      </c>
    </row>
    <row r="131" spans="17:17" x14ac:dyDescent="0.25">
      <c r="Q131" t="s">
        <v>449</v>
      </c>
    </row>
    <row r="132" spans="17:17" x14ac:dyDescent="0.25">
      <c r="Q132" t="s">
        <v>450</v>
      </c>
    </row>
    <row r="133" spans="17:17" x14ac:dyDescent="0.25">
      <c r="Q133" t="s">
        <v>451</v>
      </c>
    </row>
    <row r="134" spans="17:17" x14ac:dyDescent="0.25">
      <c r="Q134" t="s">
        <v>452</v>
      </c>
    </row>
    <row r="135" spans="17:17" x14ac:dyDescent="0.25">
      <c r="Q135" t="s">
        <v>453</v>
      </c>
    </row>
    <row r="136" spans="17:17" x14ac:dyDescent="0.25">
      <c r="Q136" t="s">
        <v>454</v>
      </c>
    </row>
    <row r="137" spans="17:17" x14ac:dyDescent="0.25">
      <c r="Q137" t="s">
        <v>455</v>
      </c>
    </row>
    <row r="138" spans="17:17" x14ac:dyDescent="0.25">
      <c r="Q138" t="s">
        <v>456</v>
      </c>
    </row>
    <row r="139" spans="17:17" x14ac:dyDescent="0.25">
      <c r="Q139" t="s">
        <v>457</v>
      </c>
    </row>
    <row r="140" spans="17:17" x14ac:dyDescent="0.25">
      <c r="Q140" t="s">
        <v>458</v>
      </c>
    </row>
    <row r="141" spans="17:17" x14ac:dyDescent="0.25">
      <c r="Q141" t="s">
        <v>459</v>
      </c>
    </row>
    <row r="142" spans="17:17" x14ac:dyDescent="0.25">
      <c r="Q142" t="s">
        <v>460</v>
      </c>
    </row>
    <row r="143" spans="17:17" x14ac:dyDescent="0.25">
      <c r="Q143" t="s">
        <v>461</v>
      </c>
    </row>
    <row r="144" spans="17:17" x14ac:dyDescent="0.25">
      <c r="Q144" t="s">
        <v>462</v>
      </c>
    </row>
    <row r="145" spans="17:17" x14ac:dyDescent="0.25">
      <c r="Q145" t="s">
        <v>463</v>
      </c>
    </row>
    <row r="146" spans="17:17" x14ac:dyDescent="0.25">
      <c r="Q146" t="s">
        <v>464</v>
      </c>
    </row>
    <row r="147" spans="17:17" x14ac:dyDescent="0.25">
      <c r="Q147" t="s">
        <v>465</v>
      </c>
    </row>
    <row r="148" spans="17:17" x14ac:dyDescent="0.25">
      <c r="Q148" t="s">
        <v>466</v>
      </c>
    </row>
    <row r="149" spans="17:17" x14ac:dyDescent="0.25">
      <c r="Q149" t="s">
        <v>467</v>
      </c>
    </row>
    <row r="150" spans="17:17" x14ac:dyDescent="0.25">
      <c r="Q150" t="s">
        <v>468</v>
      </c>
    </row>
    <row r="151" spans="17:17" x14ac:dyDescent="0.25">
      <c r="Q151" t="s">
        <v>469</v>
      </c>
    </row>
    <row r="152" spans="17:17" x14ac:dyDescent="0.25">
      <c r="Q152" t="s">
        <v>470</v>
      </c>
    </row>
    <row r="153" spans="17:17" x14ac:dyDescent="0.25">
      <c r="Q153" t="s">
        <v>471</v>
      </c>
    </row>
    <row r="154" spans="17:17" x14ac:dyDescent="0.25">
      <c r="Q154" t="s">
        <v>472</v>
      </c>
    </row>
    <row r="155" spans="17:17" x14ac:dyDescent="0.25">
      <c r="Q155" t="s">
        <v>473</v>
      </c>
    </row>
    <row r="156" spans="17:17" x14ac:dyDescent="0.25">
      <c r="Q156" t="s">
        <v>474</v>
      </c>
    </row>
    <row r="157" spans="17:17" x14ac:dyDescent="0.25">
      <c r="Q157" t="s">
        <v>475</v>
      </c>
    </row>
    <row r="158" spans="17:17" x14ac:dyDescent="0.25">
      <c r="Q158" t="s">
        <v>476</v>
      </c>
    </row>
    <row r="159" spans="17:17" x14ac:dyDescent="0.25">
      <c r="Q159" t="s">
        <v>477</v>
      </c>
    </row>
    <row r="160" spans="17:17" x14ac:dyDescent="0.25">
      <c r="Q160" t="s">
        <v>478</v>
      </c>
    </row>
    <row r="161" spans="17:17" x14ac:dyDescent="0.25">
      <c r="Q161" t="s">
        <v>479</v>
      </c>
    </row>
    <row r="162" spans="17:17" x14ac:dyDescent="0.25">
      <c r="Q162" t="s">
        <v>480</v>
      </c>
    </row>
    <row r="163" spans="17:17" x14ac:dyDescent="0.25">
      <c r="Q163" t="s">
        <v>481</v>
      </c>
    </row>
    <row r="164" spans="17:17" x14ac:dyDescent="0.25">
      <c r="Q164" t="s">
        <v>482</v>
      </c>
    </row>
    <row r="165" spans="17:17" x14ac:dyDescent="0.25">
      <c r="Q165" t="s">
        <v>483</v>
      </c>
    </row>
    <row r="166" spans="17:17" x14ac:dyDescent="0.25">
      <c r="Q166" t="s">
        <v>484</v>
      </c>
    </row>
    <row r="167" spans="17:17" x14ac:dyDescent="0.25">
      <c r="Q167" t="s">
        <v>485</v>
      </c>
    </row>
    <row r="168" spans="17:17" x14ac:dyDescent="0.25">
      <c r="Q168" t="s">
        <v>486</v>
      </c>
    </row>
    <row r="169" spans="17:17" x14ac:dyDescent="0.25">
      <c r="Q169" t="s">
        <v>487</v>
      </c>
    </row>
    <row r="170" spans="17:17" x14ac:dyDescent="0.25">
      <c r="Q170" t="s">
        <v>488</v>
      </c>
    </row>
    <row r="171" spans="17:17" x14ac:dyDescent="0.25">
      <c r="Q171" t="s">
        <v>489</v>
      </c>
    </row>
    <row r="172" spans="17:17" x14ac:dyDescent="0.25">
      <c r="Q172" t="s">
        <v>490</v>
      </c>
    </row>
    <row r="173" spans="17:17" x14ac:dyDescent="0.25">
      <c r="Q173" t="s">
        <v>491</v>
      </c>
    </row>
    <row r="174" spans="17:17" x14ac:dyDescent="0.25">
      <c r="Q174" t="s">
        <v>492</v>
      </c>
    </row>
    <row r="175" spans="17:17" x14ac:dyDescent="0.25">
      <c r="Q175" t="s">
        <v>493</v>
      </c>
    </row>
    <row r="176" spans="17:17" x14ac:dyDescent="0.25">
      <c r="Q176" t="s">
        <v>494</v>
      </c>
    </row>
    <row r="177" spans="17:17" x14ac:dyDescent="0.25">
      <c r="Q177" t="s">
        <v>495</v>
      </c>
    </row>
    <row r="178" spans="17:17" x14ac:dyDescent="0.25">
      <c r="Q178" t="s">
        <v>496</v>
      </c>
    </row>
    <row r="179" spans="17:17" x14ac:dyDescent="0.25">
      <c r="Q179" t="s">
        <v>497</v>
      </c>
    </row>
    <row r="180" spans="17:17" x14ac:dyDescent="0.25">
      <c r="Q180" t="s">
        <v>498</v>
      </c>
    </row>
    <row r="181" spans="17:17" x14ac:dyDescent="0.25">
      <c r="Q181" t="s">
        <v>499</v>
      </c>
    </row>
    <row r="182" spans="17:17" x14ac:dyDescent="0.25">
      <c r="Q182" t="s">
        <v>500</v>
      </c>
    </row>
    <row r="183" spans="17:17" x14ac:dyDescent="0.25">
      <c r="Q183" t="s">
        <v>501</v>
      </c>
    </row>
    <row r="184" spans="17:17" x14ac:dyDescent="0.25">
      <c r="Q184" t="s">
        <v>502</v>
      </c>
    </row>
    <row r="185" spans="17:17" x14ac:dyDescent="0.25">
      <c r="Q185" t="s">
        <v>503</v>
      </c>
    </row>
    <row r="186" spans="17:17" x14ac:dyDescent="0.25">
      <c r="Q186" t="s">
        <v>504</v>
      </c>
    </row>
    <row r="187" spans="17:17" x14ac:dyDescent="0.25">
      <c r="Q187" t="s">
        <v>505</v>
      </c>
    </row>
    <row r="188" spans="17:17" x14ac:dyDescent="0.25">
      <c r="Q188" t="s">
        <v>506</v>
      </c>
    </row>
    <row r="189" spans="17:17" x14ac:dyDescent="0.25">
      <c r="Q189" t="s">
        <v>507</v>
      </c>
    </row>
    <row r="190" spans="17:17" x14ac:dyDescent="0.25">
      <c r="Q190" t="s">
        <v>508</v>
      </c>
    </row>
    <row r="191" spans="17:17" x14ac:dyDescent="0.25">
      <c r="Q191" t="s">
        <v>509</v>
      </c>
    </row>
    <row r="192" spans="17:17" x14ac:dyDescent="0.25">
      <c r="Q192" t="s">
        <v>510</v>
      </c>
    </row>
    <row r="193" spans="17:17" x14ac:dyDescent="0.25">
      <c r="Q193" t="s">
        <v>511</v>
      </c>
    </row>
    <row r="194" spans="17:17" x14ac:dyDescent="0.25">
      <c r="Q194" t="s">
        <v>512</v>
      </c>
    </row>
    <row r="195" spans="17:17" x14ac:dyDescent="0.25">
      <c r="Q195" t="s">
        <v>513</v>
      </c>
    </row>
    <row r="196" spans="17:17" x14ac:dyDescent="0.25">
      <c r="Q196" t="s">
        <v>514</v>
      </c>
    </row>
    <row r="197" spans="17:17" x14ac:dyDescent="0.25">
      <c r="Q197" t="s">
        <v>515</v>
      </c>
    </row>
    <row r="198" spans="17:17" x14ac:dyDescent="0.25">
      <c r="Q198" t="s">
        <v>516</v>
      </c>
    </row>
    <row r="199" spans="17:17" x14ac:dyDescent="0.25">
      <c r="Q199" t="s">
        <v>517</v>
      </c>
    </row>
    <row r="200" spans="17:17" x14ac:dyDescent="0.25">
      <c r="Q200" t="s">
        <v>518</v>
      </c>
    </row>
    <row r="201" spans="17:17" x14ac:dyDescent="0.25">
      <c r="Q201" t="s">
        <v>519</v>
      </c>
    </row>
    <row r="202" spans="17:17" x14ac:dyDescent="0.25">
      <c r="Q202" t="s">
        <v>520</v>
      </c>
    </row>
    <row r="203" spans="17:17" x14ac:dyDescent="0.25">
      <c r="Q203" t="s">
        <v>521</v>
      </c>
    </row>
    <row r="204" spans="17:17" x14ac:dyDescent="0.25">
      <c r="Q204" t="s">
        <v>522</v>
      </c>
    </row>
    <row r="205" spans="17:17" x14ac:dyDescent="0.25">
      <c r="Q205" t="s">
        <v>523</v>
      </c>
    </row>
    <row r="206" spans="17:17" x14ac:dyDescent="0.25">
      <c r="Q206" t="s">
        <v>524</v>
      </c>
    </row>
    <row r="207" spans="17:17" x14ac:dyDescent="0.25">
      <c r="Q207" t="s">
        <v>525</v>
      </c>
    </row>
    <row r="208" spans="17:17" x14ac:dyDescent="0.25">
      <c r="Q208" t="s">
        <v>526</v>
      </c>
    </row>
    <row r="209" spans="17:17" x14ac:dyDescent="0.25">
      <c r="Q209" t="s">
        <v>527</v>
      </c>
    </row>
    <row r="210" spans="17:17" x14ac:dyDescent="0.25">
      <c r="Q210" t="s">
        <v>528</v>
      </c>
    </row>
    <row r="211" spans="17:17" x14ac:dyDescent="0.25">
      <c r="Q211" t="s">
        <v>529</v>
      </c>
    </row>
    <row r="212" spans="17:17" x14ac:dyDescent="0.25">
      <c r="Q212" t="s">
        <v>530</v>
      </c>
    </row>
    <row r="213" spans="17:17" x14ac:dyDescent="0.25">
      <c r="Q213" t="s">
        <v>531</v>
      </c>
    </row>
    <row r="214" spans="17:17" x14ac:dyDescent="0.25">
      <c r="Q214" t="s">
        <v>532</v>
      </c>
    </row>
    <row r="215" spans="17:17" x14ac:dyDescent="0.25">
      <c r="Q215" t="s">
        <v>533</v>
      </c>
    </row>
    <row r="216" spans="17:17" x14ac:dyDescent="0.25">
      <c r="Q216" t="s">
        <v>534</v>
      </c>
    </row>
    <row r="217" spans="17:17" x14ac:dyDescent="0.25">
      <c r="Q217" t="s">
        <v>535</v>
      </c>
    </row>
    <row r="218" spans="17:17" x14ac:dyDescent="0.25">
      <c r="Q218" t="s">
        <v>536</v>
      </c>
    </row>
    <row r="219" spans="17:17" x14ac:dyDescent="0.25">
      <c r="Q219" t="s">
        <v>537</v>
      </c>
    </row>
    <row r="220" spans="17:17" x14ac:dyDescent="0.25">
      <c r="Q220" t="s">
        <v>538</v>
      </c>
    </row>
    <row r="221" spans="17:17" x14ac:dyDescent="0.25">
      <c r="Q221" t="s">
        <v>539</v>
      </c>
    </row>
    <row r="222" spans="17:17" x14ac:dyDescent="0.25">
      <c r="Q222" t="s">
        <v>540</v>
      </c>
    </row>
    <row r="223" spans="17:17" x14ac:dyDescent="0.25">
      <c r="Q223" t="s">
        <v>541</v>
      </c>
    </row>
    <row r="224" spans="17:17" x14ac:dyDescent="0.25">
      <c r="Q224" t="s">
        <v>542</v>
      </c>
    </row>
    <row r="225" spans="17:17" x14ac:dyDescent="0.25">
      <c r="Q225" t="s">
        <v>543</v>
      </c>
    </row>
    <row r="226" spans="17:17" x14ac:dyDescent="0.25">
      <c r="Q226" t="s">
        <v>544</v>
      </c>
    </row>
    <row r="227" spans="17:17" x14ac:dyDescent="0.25">
      <c r="Q227" t="s">
        <v>545</v>
      </c>
    </row>
    <row r="228" spans="17:17" x14ac:dyDescent="0.25">
      <c r="Q228" t="s">
        <v>546</v>
      </c>
    </row>
    <row r="229" spans="17:17" x14ac:dyDescent="0.25">
      <c r="Q229" t="s">
        <v>547</v>
      </c>
    </row>
    <row r="230" spans="17:17" x14ac:dyDescent="0.25">
      <c r="Q230" t="s">
        <v>548</v>
      </c>
    </row>
    <row r="231" spans="17:17" x14ac:dyDescent="0.25">
      <c r="Q231" t="s">
        <v>549</v>
      </c>
    </row>
    <row r="232" spans="17:17" x14ac:dyDescent="0.25">
      <c r="Q232" t="s">
        <v>550</v>
      </c>
    </row>
    <row r="233" spans="17:17" x14ac:dyDescent="0.25">
      <c r="Q233" t="s">
        <v>551</v>
      </c>
    </row>
    <row r="234" spans="17:17" x14ac:dyDescent="0.25">
      <c r="Q234" t="s">
        <v>552</v>
      </c>
    </row>
    <row r="235" spans="17:17" x14ac:dyDescent="0.25">
      <c r="Q235" t="s">
        <v>553</v>
      </c>
    </row>
    <row r="236" spans="17:17" x14ac:dyDescent="0.25">
      <c r="Q236" t="s">
        <v>554</v>
      </c>
    </row>
    <row r="237" spans="17:17" x14ac:dyDescent="0.25">
      <c r="Q237" t="s">
        <v>555</v>
      </c>
    </row>
    <row r="238" spans="17:17" x14ac:dyDescent="0.25">
      <c r="Q238" t="s">
        <v>556</v>
      </c>
    </row>
    <row r="239" spans="17:17" x14ac:dyDescent="0.25">
      <c r="Q239" t="s">
        <v>557</v>
      </c>
    </row>
    <row r="240" spans="17:17" x14ac:dyDescent="0.25">
      <c r="Q240" t="s">
        <v>558</v>
      </c>
    </row>
    <row r="241" spans="17:17" x14ac:dyDescent="0.25">
      <c r="Q241" t="s">
        <v>559</v>
      </c>
    </row>
    <row r="242" spans="17:17" x14ac:dyDescent="0.25">
      <c r="Q242" t="s">
        <v>560</v>
      </c>
    </row>
    <row r="243" spans="17:17" x14ac:dyDescent="0.25">
      <c r="Q243" t="s">
        <v>561</v>
      </c>
    </row>
    <row r="244" spans="17:17" x14ac:dyDescent="0.25">
      <c r="Q244" t="s">
        <v>562</v>
      </c>
    </row>
    <row r="245" spans="17:17" x14ac:dyDescent="0.25">
      <c r="Q245" t="s">
        <v>563</v>
      </c>
    </row>
    <row r="246" spans="17:17" x14ac:dyDescent="0.25">
      <c r="Q246" t="s">
        <v>564</v>
      </c>
    </row>
    <row r="247" spans="17:17" x14ac:dyDescent="0.25">
      <c r="Q247" t="s">
        <v>565</v>
      </c>
    </row>
    <row r="248" spans="17:17" x14ac:dyDescent="0.25">
      <c r="Q248" t="s">
        <v>566</v>
      </c>
    </row>
    <row r="249" spans="17:17" x14ac:dyDescent="0.25">
      <c r="Q249" t="s">
        <v>567</v>
      </c>
    </row>
    <row r="250" spans="17:17" x14ac:dyDescent="0.25">
      <c r="Q250" t="s">
        <v>568</v>
      </c>
    </row>
    <row r="251" spans="17:17" x14ac:dyDescent="0.25">
      <c r="Q251" t="s">
        <v>569</v>
      </c>
    </row>
    <row r="252" spans="17:17" x14ac:dyDescent="0.25">
      <c r="Q252" t="s">
        <v>570</v>
      </c>
    </row>
    <row r="253" spans="17:17" x14ac:dyDescent="0.25">
      <c r="Q253" t="s">
        <v>571</v>
      </c>
    </row>
    <row r="254" spans="17:17" x14ac:dyDescent="0.25">
      <c r="Q254" t="s">
        <v>572</v>
      </c>
    </row>
    <row r="255" spans="17:17" x14ac:dyDescent="0.25">
      <c r="Q255" t="s">
        <v>573</v>
      </c>
    </row>
    <row r="256" spans="17:17" x14ac:dyDescent="0.25">
      <c r="Q256" t="s">
        <v>574</v>
      </c>
    </row>
    <row r="257" spans="17:17" x14ac:dyDescent="0.25">
      <c r="Q257" t="s">
        <v>575</v>
      </c>
    </row>
    <row r="258" spans="17:17" x14ac:dyDescent="0.25">
      <c r="Q258" t="s">
        <v>576</v>
      </c>
    </row>
    <row r="259" spans="17:17" x14ac:dyDescent="0.25">
      <c r="Q259" t="s">
        <v>577</v>
      </c>
    </row>
    <row r="260" spans="17:17" x14ac:dyDescent="0.25">
      <c r="Q260" t="s">
        <v>578</v>
      </c>
    </row>
    <row r="261" spans="17:17" x14ac:dyDescent="0.25">
      <c r="Q261" t="s">
        <v>579</v>
      </c>
    </row>
    <row r="262" spans="17:17" x14ac:dyDescent="0.25">
      <c r="Q262" t="s">
        <v>580</v>
      </c>
    </row>
    <row r="263" spans="17:17" x14ac:dyDescent="0.25">
      <c r="Q263" t="s">
        <v>581</v>
      </c>
    </row>
    <row r="264" spans="17:17" x14ac:dyDescent="0.25">
      <c r="Q264" t="s">
        <v>582</v>
      </c>
    </row>
    <row r="265" spans="17:17" x14ac:dyDescent="0.25">
      <c r="Q265" t="s">
        <v>583</v>
      </c>
    </row>
    <row r="266" spans="17:17" x14ac:dyDescent="0.25">
      <c r="Q266" t="s">
        <v>584</v>
      </c>
    </row>
    <row r="267" spans="17:17" x14ac:dyDescent="0.25">
      <c r="Q267" t="s">
        <v>585</v>
      </c>
    </row>
    <row r="268" spans="17:17" x14ac:dyDescent="0.25">
      <c r="Q268" t="s">
        <v>586</v>
      </c>
    </row>
    <row r="269" spans="17:17" x14ac:dyDescent="0.25">
      <c r="Q269" t="s">
        <v>587</v>
      </c>
    </row>
    <row r="270" spans="17:17" x14ac:dyDescent="0.25">
      <c r="Q270" t="s">
        <v>588</v>
      </c>
    </row>
    <row r="271" spans="17:17" x14ac:dyDescent="0.25">
      <c r="Q271" t="s">
        <v>589</v>
      </c>
    </row>
    <row r="272" spans="17:17" x14ac:dyDescent="0.25">
      <c r="Q272" t="s">
        <v>590</v>
      </c>
    </row>
    <row r="273" spans="17:17" x14ac:dyDescent="0.25">
      <c r="Q273" t="s">
        <v>591</v>
      </c>
    </row>
    <row r="274" spans="17:17" x14ac:dyDescent="0.25">
      <c r="Q274" t="s">
        <v>592</v>
      </c>
    </row>
    <row r="275" spans="17:17" x14ac:dyDescent="0.25">
      <c r="Q275" t="s">
        <v>593</v>
      </c>
    </row>
    <row r="276" spans="17:17" x14ac:dyDescent="0.25">
      <c r="Q276" t="s">
        <v>594</v>
      </c>
    </row>
    <row r="277" spans="17:17" x14ac:dyDescent="0.25">
      <c r="Q277" t="s">
        <v>595</v>
      </c>
    </row>
    <row r="278" spans="17:17" x14ac:dyDescent="0.25">
      <c r="Q278" t="s">
        <v>596</v>
      </c>
    </row>
    <row r="279" spans="17:17" x14ac:dyDescent="0.25">
      <c r="Q279" t="s">
        <v>597</v>
      </c>
    </row>
    <row r="280" spans="17:17" x14ac:dyDescent="0.25">
      <c r="Q280" t="s">
        <v>598</v>
      </c>
    </row>
    <row r="281" spans="17:17" x14ac:dyDescent="0.25">
      <c r="Q281" t="s">
        <v>599</v>
      </c>
    </row>
    <row r="282" spans="17:17" x14ac:dyDescent="0.25">
      <c r="Q282" t="s">
        <v>600</v>
      </c>
    </row>
    <row r="283" spans="17:17" x14ac:dyDescent="0.25">
      <c r="Q283" t="s">
        <v>601</v>
      </c>
    </row>
    <row r="284" spans="17:17" x14ac:dyDescent="0.25">
      <c r="Q284" t="s">
        <v>602</v>
      </c>
    </row>
    <row r="285" spans="17:17" x14ac:dyDescent="0.25">
      <c r="Q285" t="s">
        <v>603</v>
      </c>
    </row>
    <row r="286" spans="17:17" x14ac:dyDescent="0.25">
      <c r="Q286" t="s">
        <v>604</v>
      </c>
    </row>
    <row r="287" spans="17:17" x14ac:dyDescent="0.25">
      <c r="Q287" t="s">
        <v>605</v>
      </c>
    </row>
    <row r="288" spans="17:17" x14ac:dyDescent="0.25">
      <c r="Q288" t="s">
        <v>606</v>
      </c>
    </row>
    <row r="289" spans="17:17" x14ac:dyDescent="0.25">
      <c r="Q289" t="s">
        <v>607</v>
      </c>
    </row>
    <row r="290" spans="17:17" x14ac:dyDescent="0.25">
      <c r="Q290" t="s">
        <v>608</v>
      </c>
    </row>
    <row r="291" spans="17:17" x14ac:dyDescent="0.25">
      <c r="Q291" t="s">
        <v>609</v>
      </c>
    </row>
    <row r="292" spans="17:17" x14ac:dyDescent="0.25">
      <c r="Q292" t="s">
        <v>610</v>
      </c>
    </row>
    <row r="293" spans="17:17" x14ac:dyDescent="0.25">
      <c r="Q293" t="s">
        <v>611</v>
      </c>
    </row>
    <row r="294" spans="17:17" x14ac:dyDescent="0.25">
      <c r="Q294" t="s">
        <v>612</v>
      </c>
    </row>
    <row r="295" spans="17:17" x14ac:dyDescent="0.25">
      <c r="Q295" t="s">
        <v>613</v>
      </c>
    </row>
    <row r="296" spans="17:17" x14ac:dyDescent="0.25">
      <c r="Q296" t="s">
        <v>614</v>
      </c>
    </row>
    <row r="297" spans="17:17" x14ac:dyDescent="0.25">
      <c r="Q297" t="s">
        <v>615</v>
      </c>
    </row>
    <row r="298" spans="17:17" x14ac:dyDescent="0.25">
      <c r="Q298" t="s">
        <v>616</v>
      </c>
    </row>
    <row r="299" spans="17:17" x14ac:dyDescent="0.25">
      <c r="Q299" t="s">
        <v>617</v>
      </c>
    </row>
    <row r="300" spans="17:17" x14ac:dyDescent="0.25">
      <c r="Q300" t="s">
        <v>618</v>
      </c>
    </row>
    <row r="301" spans="17:17" x14ac:dyDescent="0.25">
      <c r="Q301" t="s">
        <v>619</v>
      </c>
    </row>
    <row r="302" spans="17:17" x14ac:dyDescent="0.25">
      <c r="Q302" t="s">
        <v>620</v>
      </c>
    </row>
    <row r="303" spans="17:17" x14ac:dyDescent="0.25">
      <c r="Q303" t="s">
        <v>621</v>
      </c>
    </row>
    <row r="304" spans="17:17" x14ac:dyDescent="0.25">
      <c r="Q304" t="s">
        <v>622</v>
      </c>
    </row>
    <row r="305" spans="17:17" x14ac:dyDescent="0.25">
      <c r="Q305" t="s">
        <v>623</v>
      </c>
    </row>
    <row r="306" spans="17:17" x14ac:dyDescent="0.25">
      <c r="Q306" t="s">
        <v>624</v>
      </c>
    </row>
    <row r="307" spans="17:17" x14ac:dyDescent="0.25">
      <c r="Q307" t="s">
        <v>625</v>
      </c>
    </row>
    <row r="308" spans="17:17" x14ac:dyDescent="0.25">
      <c r="Q308" t="s">
        <v>626</v>
      </c>
    </row>
    <row r="309" spans="17:17" x14ac:dyDescent="0.25">
      <c r="Q309" t="s">
        <v>627</v>
      </c>
    </row>
    <row r="310" spans="17:17" x14ac:dyDescent="0.25">
      <c r="Q310" t="s">
        <v>628</v>
      </c>
    </row>
    <row r="311" spans="17:17" x14ac:dyDescent="0.25">
      <c r="Q311" t="s">
        <v>629</v>
      </c>
    </row>
    <row r="312" spans="17:17" x14ac:dyDescent="0.25">
      <c r="Q312" t="s">
        <v>630</v>
      </c>
    </row>
    <row r="313" spans="17:17" x14ac:dyDescent="0.25">
      <c r="Q313" t="s">
        <v>631</v>
      </c>
    </row>
    <row r="314" spans="17:17" x14ac:dyDescent="0.25">
      <c r="Q314" t="s">
        <v>632</v>
      </c>
    </row>
    <row r="315" spans="17:17" x14ac:dyDescent="0.25">
      <c r="Q315" t="s">
        <v>633</v>
      </c>
    </row>
    <row r="316" spans="17:17" x14ac:dyDescent="0.25">
      <c r="Q316" t="s">
        <v>634</v>
      </c>
    </row>
    <row r="317" spans="17:17" x14ac:dyDescent="0.25">
      <c r="Q317" t="s">
        <v>635</v>
      </c>
    </row>
    <row r="318" spans="17:17" x14ac:dyDescent="0.25">
      <c r="Q318" t="s">
        <v>636</v>
      </c>
    </row>
    <row r="319" spans="17:17" x14ac:dyDescent="0.25">
      <c r="Q319" t="s">
        <v>637</v>
      </c>
    </row>
    <row r="320" spans="17:17" x14ac:dyDescent="0.25">
      <c r="Q320" t="s">
        <v>638</v>
      </c>
    </row>
    <row r="321" spans="17:17" x14ac:dyDescent="0.25">
      <c r="Q321" t="s">
        <v>639</v>
      </c>
    </row>
    <row r="322" spans="17:17" x14ac:dyDescent="0.25">
      <c r="Q322" t="s">
        <v>640</v>
      </c>
    </row>
    <row r="323" spans="17:17" x14ac:dyDescent="0.25">
      <c r="Q323" t="s">
        <v>641</v>
      </c>
    </row>
    <row r="324" spans="17:17" x14ac:dyDescent="0.25">
      <c r="Q324" t="s">
        <v>642</v>
      </c>
    </row>
    <row r="325" spans="17:17" x14ac:dyDescent="0.25">
      <c r="Q325" t="s">
        <v>643</v>
      </c>
    </row>
    <row r="326" spans="17:17" x14ac:dyDescent="0.25">
      <c r="Q326" t="s">
        <v>644</v>
      </c>
    </row>
    <row r="327" spans="17:17" x14ac:dyDescent="0.25">
      <c r="Q327" t="s">
        <v>645</v>
      </c>
    </row>
    <row r="328" spans="17:17" x14ac:dyDescent="0.25">
      <c r="Q328" t="s">
        <v>646</v>
      </c>
    </row>
    <row r="329" spans="17:17" x14ac:dyDescent="0.25">
      <c r="Q329" t="s">
        <v>647</v>
      </c>
    </row>
    <row r="330" spans="17:17" x14ac:dyDescent="0.25">
      <c r="Q330" t="s">
        <v>648</v>
      </c>
    </row>
    <row r="331" spans="17:17" x14ac:dyDescent="0.25">
      <c r="Q331" t="s">
        <v>649</v>
      </c>
    </row>
    <row r="332" spans="17:17" x14ac:dyDescent="0.25">
      <c r="Q332" t="s">
        <v>650</v>
      </c>
    </row>
    <row r="333" spans="17:17" x14ac:dyDescent="0.25">
      <c r="Q333" t="s">
        <v>651</v>
      </c>
    </row>
    <row r="334" spans="17:17" x14ac:dyDescent="0.25">
      <c r="Q334" t="s">
        <v>652</v>
      </c>
    </row>
    <row r="335" spans="17:17" x14ac:dyDescent="0.25">
      <c r="Q335" t="s">
        <v>653</v>
      </c>
    </row>
    <row r="336" spans="17:17" x14ac:dyDescent="0.25">
      <c r="Q336" t="s">
        <v>654</v>
      </c>
    </row>
    <row r="337" spans="17:17" x14ac:dyDescent="0.25">
      <c r="Q337" t="s">
        <v>655</v>
      </c>
    </row>
    <row r="338" spans="17:17" x14ac:dyDescent="0.25">
      <c r="Q338" t="s">
        <v>656</v>
      </c>
    </row>
    <row r="339" spans="17:17" x14ac:dyDescent="0.25">
      <c r="Q339" t="s">
        <v>657</v>
      </c>
    </row>
    <row r="340" spans="17:17" x14ac:dyDescent="0.25">
      <c r="Q340" t="s">
        <v>658</v>
      </c>
    </row>
    <row r="341" spans="17:17" x14ac:dyDescent="0.25">
      <c r="Q341" t="s">
        <v>659</v>
      </c>
    </row>
    <row r="342" spans="17:17" x14ac:dyDescent="0.25">
      <c r="Q342" t="s">
        <v>660</v>
      </c>
    </row>
    <row r="343" spans="17:17" x14ac:dyDescent="0.25">
      <c r="Q343" t="s">
        <v>661</v>
      </c>
    </row>
    <row r="344" spans="17:17" x14ac:dyDescent="0.25">
      <c r="Q344" t="s">
        <v>662</v>
      </c>
    </row>
    <row r="345" spans="17:17" x14ac:dyDescent="0.25">
      <c r="Q345" t="s">
        <v>663</v>
      </c>
    </row>
    <row r="346" spans="17:17" x14ac:dyDescent="0.25">
      <c r="Q346" t="s">
        <v>664</v>
      </c>
    </row>
    <row r="347" spans="17:17" x14ac:dyDescent="0.25">
      <c r="Q347" t="s">
        <v>665</v>
      </c>
    </row>
    <row r="348" spans="17:17" x14ac:dyDescent="0.25">
      <c r="Q348" t="s">
        <v>666</v>
      </c>
    </row>
    <row r="349" spans="17:17" x14ac:dyDescent="0.25">
      <c r="Q349" t="s">
        <v>667</v>
      </c>
    </row>
    <row r="350" spans="17:17" x14ac:dyDescent="0.25">
      <c r="Q350" t="s">
        <v>668</v>
      </c>
    </row>
    <row r="351" spans="17:17" x14ac:dyDescent="0.25">
      <c r="Q351" t="s">
        <v>669</v>
      </c>
    </row>
    <row r="352" spans="17:17" x14ac:dyDescent="0.25">
      <c r="Q352" t="s">
        <v>670</v>
      </c>
    </row>
    <row r="353" spans="17:17" x14ac:dyDescent="0.25">
      <c r="Q353" t="s">
        <v>671</v>
      </c>
    </row>
    <row r="354" spans="17:17" x14ac:dyDescent="0.25">
      <c r="Q354" t="s">
        <v>672</v>
      </c>
    </row>
    <row r="355" spans="17:17" x14ac:dyDescent="0.25">
      <c r="Q355" t="s">
        <v>673</v>
      </c>
    </row>
    <row r="356" spans="17:17" x14ac:dyDescent="0.25">
      <c r="Q356" t="s">
        <v>674</v>
      </c>
    </row>
    <row r="357" spans="17:17" x14ac:dyDescent="0.25">
      <c r="Q357" t="s">
        <v>675</v>
      </c>
    </row>
    <row r="358" spans="17:17" x14ac:dyDescent="0.25">
      <c r="Q358" t="s">
        <v>676</v>
      </c>
    </row>
    <row r="359" spans="17:17" x14ac:dyDescent="0.25">
      <c r="Q359" t="s">
        <v>677</v>
      </c>
    </row>
    <row r="360" spans="17:17" x14ac:dyDescent="0.25">
      <c r="Q360" t="s">
        <v>678</v>
      </c>
    </row>
    <row r="361" spans="17:17" x14ac:dyDescent="0.25">
      <c r="Q361" t="s">
        <v>679</v>
      </c>
    </row>
    <row r="362" spans="17:17" x14ac:dyDescent="0.25">
      <c r="Q362" t="s">
        <v>680</v>
      </c>
    </row>
    <row r="363" spans="17:17" x14ac:dyDescent="0.25">
      <c r="Q363" t="s">
        <v>681</v>
      </c>
    </row>
    <row r="364" spans="17:17" x14ac:dyDescent="0.25">
      <c r="Q364" t="s">
        <v>682</v>
      </c>
    </row>
    <row r="365" spans="17:17" x14ac:dyDescent="0.25">
      <c r="Q365" t="s">
        <v>683</v>
      </c>
    </row>
    <row r="366" spans="17:17" x14ac:dyDescent="0.25">
      <c r="Q366" t="s">
        <v>684</v>
      </c>
    </row>
    <row r="367" spans="17:17" x14ac:dyDescent="0.25">
      <c r="Q367" t="s">
        <v>685</v>
      </c>
    </row>
    <row r="368" spans="17:17" x14ac:dyDescent="0.25">
      <c r="Q368" t="s">
        <v>686</v>
      </c>
    </row>
    <row r="369" spans="17:17" x14ac:dyDescent="0.25">
      <c r="Q369" t="s">
        <v>687</v>
      </c>
    </row>
    <row r="370" spans="17:17" x14ac:dyDescent="0.25">
      <c r="Q370" t="s">
        <v>688</v>
      </c>
    </row>
    <row r="371" spans="17:17" x14ac:dyDescent="0.25">
      <c r="Q371" t="s">
        <v>689</v>
      </c>
    </row>
    <row r="372" spans="17:17" x14ac:dyDescent="0.25">
      <c r="Q372" t="s">
        <v>690</v>
      </c>
    </row>
    <row r="373" spans="17:17" x14ac:dyDescent="0.25">
      <c r="Q373" t="s">
        <v>691</v>
      </c>
    </row>
    <row r="374" spans="17:17" x14ac:dyDescent="0.25">
      <c r="Q374" t="s">
        <v>692</v>
      </c>
    </row>
    <row r="375" spans="17:17" x14ac:dyDescent="0.25">
      <c r="Q375" t="s">
        <v>693</v>
      </c>
    </row>
    <row r="376" spans="17:17" x14ac:dyDescent="0.25">
      <c r="Q376" t="s">
        <v>694</v>
      </c>
    </row>
    <row r="377" spans="17:17" x14ac:dyDescent="0.25">
      <c r="Q377" t="s">
        <v>695</v>
      </c>
    </row>
    <row r="378" spans="17:17" x14ac:dyDescent="0.25">
      <c r="Q378" t="s">
        <v>696</v>
      </c>
    </row>
    <row r="379" spans="17:17" x14ac:dyDescent="0.25">
      <c r="Q379" t="s">
        <v>697</v>
      </c>
    </row>
    <row r="380" spans="17:17" x14ac:dyDescent="0.25">
      <c r="Q380" t="s">
        <v>698</v>
      </c>
    </row>
    <row r="381" spans="17:17" x14ac:dyDescent="0.25">
      <c r="Q381" t="s">
        <v>699</v>
      </c>
    </row>
    <row r="382" spans="17:17" x14ac:dyDescent="0.25">
      <c r="Q382" t="s">
        <v>700</v>
      </c>
    </row>
    <row r="383" spans="17:17" x14ac:dyDescent="0.25">
      <c r="Q383" t="s">
        <v>701</v>
      </c>
    </row>
    <row r="384" spans="17:17" x14ac:dyDescent="0.25">
      <c r="Q384" t="s">
        <v>702</v>
      </c>
    </row>
    <row r="385" spans="17:17" x14ac:dyDescent="0.25">
      <c r="Q385" t="s">
        <v>703</v>
      </c>
    </row>
    <row r="386" spans="17:17" x14ac:dyDescent="0.25">
      <c r="Q386" t="s">
        <v>704</v>
      </c>
    </row>
    <row r="387" spans="17:17" x14ac:dyDescent="0.25">
      <c r="Q387" t="s">
        <v>705</v>
      </c>
    </row>
    <row r="388" spans="17:17" x14ac:dyDescent="0.25">
      <c r="Q388" t="s">
        <v>706</v>
      </c>
    </row>
    <row r="389" spans="17:17" x14ac:dyDescent="0.25">
      <c r="Q389" t="s">
        <v>707</v>
      </c>
    </row>
    <row r="390" spans="17:17" x14ac:dyDescent="0.25">
      <c r="Q390" t="s">
        <v>708</v>
      </c>
    </row>
    <row r="391" spans="17:17" x14ac:dyDescent="0.25">
      <c r="Q391" t="s">
        <v>709</v>
      </c>
    </row>
    <row r="392" spans="17:17" x14ac:dyDescent="0.25">
      <c r="Q392" t="s">
        <v>710</v>
      </c>
    </row>
    <row r="393" spans="17:17" x14ac:dyDescent="0.25">
      <c r="Q393" t="s">
        <v>711</v>
      </c>
    </row>
    <row r="394" spans="17:17" x14ac:dyDescent="0.25">
      <c r="Q394" t="s">
        <v>712</v>
      </c>
    </row>
    <row r="395" spans="17:17" x14ac:dyDescent="0.25">
      <c r="Q395" t="s">
        <v>713</v>
      </c>
    </row>
    <row r="396" spans="17:17" x14ac:dyDescent="0.25">
      <c r="Q396" t="s">
        <v>714</v>
      </c>
    </row>
    <row r="397" spans="17:17" x14ac:dyDescent="0.25">
      <c r="Q397" t="s">
        <v>715</v>
      </c>
    </row>
    <row r="398" spans="17:17" x14ac:dyDescent="0.25">
      <c r="Q398" t="s">
        <v>716</v>
      </c>
    </row>
    <row r="399" spans="17:17" x14ac:dyDescent="0.25">
      <c r="Q399" t="s">
        <v>717</v>
      </c>
    </row>
    <row r="400" spans="17:17" x14ac:dyDescent="0.25">
      <c r="Q400" t="s">
        <v>718</v>
      </c>
    </row>
    <row r="401" spans="17:17" x14ac:dyDescent="0.25">
      <c r="Q401" t="s">
        <v>719</v>
      </c>
    </row>
    <row r="402" spans="17:17" x14ac:dyDescent="0.25">
      <c r="Q402" t="s">
        <v>720</v>
      </c>
    </row>
    <row r="403" spans="17:17" x14ac:dyDescent="0.25">
      <c r="Q403" t="s">
        <v>721</v>
      </c>
    </row>
    <row r="404" spans="17:17" x14ac:dyDescent="0.25">
      <c r="Q404" t="s">
        <v>722</v>
      </c>
    </row>
    <row r="405" spans="17:17" x14ac:dyDescent="0.25">
      <c r="Q405" t="s">
        <v>723</v>
      </c>
    </row>
    <row r="406" spans="17:17" x14ac:dyDescent="0.25">
      <c r="Q406" t="s">
        <v>724</v>
      </c>
    </row>
    <row r="407" spans="17:17" x14ac:dyDescent="0.25">
      <c r="Q407" t="s">
        <v>725</v>
      </c>
    </row>
    <row r="408" spans="17:17" x14ac:dyDescent="0.25">
      <c r="Q408" t="s">
        <v>726</v>
      </c>
    </row>
    <row r="409" spans="17:17" x14ac:dyDescent="0.25">
      <c r="Q409" t="s">
        <v>727</v>
      </c>
    </row>
    <row r="410" spans="17:17" x14ac:dyDescent="0.25">
      <c r="Q410" t="s">
        <v>728</v>
      </c>
    </row>
    <row r="411" spans="17:17" x14ac:dyDescent="0.25">
      <c r="Q411" t="s">
        <v>729</v>
      </c>
    </row>
    <row r="412" spans="17:17" x14ac:dyDescent="0.25">
      <c r="Q412" t="s">
        <v>730</v>
      </c>
    </row>
    <row r="413" spans="17:17" x14ac:dyDescent="0.25">
      <c r="Q413" t="s">
        <v>27</v>
      </c>
    </row>
    <row r="414" spans="17:17" x14ac:dyDescent="0.25">
      <c r="Q414" t="s">
        <v>731</v>
      </c>
    </row>
    <row r="415" spans="17:17" x14ac:dyDescent="0.25">
      <c r="Q415" t="s">
        <v>732</v>
      </c>
    </row>
    <row r="416" spans="17:17" x14ac:dyDescent="0.25">
      <c r="Q416" t="s">
        <v>733</v>
      </c>
    </row>
    <row r="417" spans="17:17" x14ac:dyDescent="0.25">
      <c r="Q417" t="s">
        <v>734</v>
      </c>
    </row>
    <row r="418" spans="17:17" x14ac:dyDescent="0.25">
      <c r="Q418" t="s">
        <v>735</v>
      </c>
    </row>
    <row r="419" spans="17:17" x14ac:dyDescent="0.25">
      <c r="Q419" t="s">
        <v>736</v>
      </c>
    </row>
    <row r="420" spans="17:17" x14ac:dyDescent="0.25">
      <c r="Q420" t="s">
        <v>737</v>
      </c>
    </row>
    <row r="421" spans="17:17" x14ac:dyDescent="0.25">
      <c r="Q421" t="s">
        <v>738</v>
      </c>
    </row>
    <row r="422" spans="17:17" x14ac:dyDescent="0.25">
      <c r="Q422" t="s">
        <v>739</v>
      </c>
    </row>
    <row r="423" spans="17:17" x14ac:dyDescent="0.25">
      <c r="Q423" t="s">
        <v>740</v>
      </c>
    </row>
    <row r="424" spans="17:17" x14ac:dyDescent="0.25">
      <c r="Q424" t="s">
        <v>741</v>
      </c>
    </row>
    <row r="425" spans="17:17" x14ac:dyDescent="0.25">
      <c r="Q425" t="s">
        <v>28</v>
      </c>
    </row>
    <row r="426" spans="17:17" x14ac:dyDescent="0.25">
      <c r="Q426" t="s">
        <v>742</v>
      </c>
    </row>
    <row r="427" spans="17:17" x14ac:dyDescent="0.25">
      <c r="Q427" t="s">
        <v>743</v>
      </c>
    </row>
    <row r="428" spans="17:17" x14ac:dyDescent="0.25">
      <c r="Q428" t="s">
        <v>744</v>
      </c>
    </row>
    <row r="429" spans="17:17" x14ac:dyDescent="0.25">
      <c r="Q429" t="s">
        <v>745</v>
      </c>
    </row>
    <row r="430" spans="17:17" x14ac:dyDescent="0.25">
      <c r="Q430" t="s">
        <v>746</v>
      </c>
    </row>
    <row r="431" spans="17:17" x14ac:dyDescent="0.25">
      <c r="Q431" t="s">
        <v>747</v>
      </c>
    </row>
    <row r="432" spans="17:17" x14ac:dyDescent="0.25">
      <c r="Q432" t="s">
        <v>748</v>
      </c>
    </row>
    <row r="433" spans="17:17" x14ac:dyDescent="0.25">
      <c r="Q433" t="s">
        <v>749</v>
      </c>
    </row>
    <row r="434" spans="17:17" x14ac:dyDescent="0.25">
      <c r="Q434" t="s">
        <v>750</v>
      </c>
    </row>
    <row r="435" spans="17:17" x14ac:dyDescent="0.25">
      <c r="Q435" t="s">
        <v>751</v>
      </c>
    </row>
    <row r="436" spans="17:17" x14ac:dyDescent="0.25">
      <c r="Q436" t="s">
        <v>752</v>
      </c>
    </row>
    <row r="437" spans="17:17" x14ac:dyDescent="0.25">
      <c r="Q437" t="s">
        <v>753</v>
      </c>
    </row>
    <row r="438" spans="17:17" x14ac:dyDescent="0.25">
      <c r="Q438" t="s">
        <v>754</v>
      </c>
    </row>
    <row r="439" spans="17:17" x14ac:dyDescent="0.25">
      <c r="Q439" t="s">
        <v>755</v>
      </c>
    </row>
    <row r="440" spans="17:17" x14ac:dyDescent="0.25">
      <c r="Q440" t="s">
        <v>756</v>
      </c>
    </row>
    <row r="441" spans="17:17" x14ac:dyDescent="0.25">
      <c r="Q441" t="s">
        <v>757</v>
      </c>
    </row>
    <row r="442" spans="17:17" x14ac:dyDescent="0.25">
      <c r="Q442" t="s">
        <v>758</v>
      </c>
    </row>
    <row r="443" spans="17:17" x14ac:dyDescent="0.25">
      <c r="Q443" t="s">
        <v>759</v>
      </c>
    </row>
    <row r="444" spans="17:17" x14ac:dyDescent="0.25">
      <c r="Q444" t="s">
        <v>760</v>
      </c>
    </row>
    <row r="445" spans="17:17" x14ac:dyDescent="0.25">
      <c r="Q445" t="s">
        <v>761</v>
      </c>
    </row>
    <row r="446" spans="17:17" x14ac:dyDescent="0.25">
      <c r="Q446" t="s">
        <v>762</v>
      </c>
    </row>
    <row r="447" spans="17:17" x14ac:dyDescent="0.25">
      <c r="Q447" t="s">
        <v>763</v>
      </c>
    </row>
    <row r="448" spans="17:17" x14ac:dyDescent="0.25">
      <c r="Q448" t="s">
        <v>764</v>
      </c>
    </row>
    <row r="449" spans="17:17" x14ac:dyDescent="0.25">
      <c r="Q449" t="s">
        <v>765</v>
      </c>
    </row>
    <row r="450" spans="17:17" x14ac:dyDescent="0.25">
      <c r="Q450" t="s">
        <v>766</v>
      </c>
    </row>
    <row r="451" spans="17:17" x14ac:dyDescent="0.25">
      <c r="Q451" t="s">
        <v>767</v>
      </c>
    </row>
    <row r="452" spans="17:17" x14ac:dyDescent="0.25">
      <c r="Q452" t="s">
        <v>768</v>
      </c>
    </row>
    <row r="453" spans="17:17" x14ac:dyDescent="0.25">
      <c r="Q453" t="s">
        <v>769</v>
      </c>
    </row>
    <row r="454" spans="17:17" x14ac:dyDescent="0.25">
      <c r="Q454" t="s">
        <v>770</v>
      </c>
    </row>
    <row r="455" spans="17:17" x14ac:dyDescent="0.25">
      <c r="Q455" t="s">
        <v>771</v>
      </c>
    </row>
    <row r="456" spans="17:17" x14ac:dyDescent="0.25">
      <c r="Q456" t="s">
        <v>772</v>
      </c>
    </row>
    <row r="457" spans="17:17" x14ac:dyDescent="0.25">
      <c r="Q457" t="s">
        <v>773</v>
      </c>
    </row>
    <row r="458" spans="17:17" x14ac:dyDescent="0.25">
      <c r="Q458" t="s">
        <v>774</v>
      </c>
    </row>
    <row r="459" spans="17:17" x14ac:dyDescent="0.25">
      <c r="Q459" t="s">
        <v>775</v>
      </c>
    </row>
    <row r="460" spans="17:17" x14ac:dyDescent="0.25">
      <c r="Q460" t="s">
        <v>776</v>
      </c>
    </row>
    <row r="461" spans="17:17" x14ac:dyDescent="0.25">
      <c r="Q461" t="s">
        <v>777</v>
      </c>
    </row>
    <row r="462" spans="17:17" x14ac:dyDescent="0.25">
      <c r="Q462" t="s">
        <v>778</v>
      </c>
    </row>
    <row r="463" spans="17:17" x14ac:dyDescent="0.25">
      <c r="Q463" t="s">
        <v>779</v>
      </c>
    </row>
    <row r="464" spans="17:17" x14ac:dyDescent="0.25">
      <c r="Q464" t="s">
        <v>780</v>
      </c>
    </row>
    <row r="465" spans="17:17" x14ac:dyDescent="0.25">
      <c r="Q465" t="s">
        <v>781</v>
      </c>
    </row>
    <row r="466" spans="17:17" x14ac:dyDescent="0.25">
      <c r="Q466" t="s">
        <v>782</v>
      </c>
    </row>
    <row r="467" spans="17:17" x14ac:dyDescent="0.25">
      <c r="Q467" t="s">
        <v>783</v>
      </c>
    </row>
    <row r="468" spans="17:17" x14ac:dyDescent="0.25">
      <c r="Q468" t="s">
        <v>784</v>
      </c>
    </row>
    <row r="469" spans="17:17" x14ac:dyDescent="0.25">
      <c r="Q469" t="s">
        <v>785</v>
      </c>
    </row>
    <row r="470" spans="17:17" x14ac:dyDescent="0.25">
      <c r="Q470" t="s">
        <v>786</v>
      </c>
    </row>
    <row r="471" spans="17:17" x14ac:dyDescent="0.25">
      <c r="Q471" t="s">
        <v>787</v>
      </c>
    </row>
    <row r="472" spans="17:17" x14ac:dyDescent="0.25">
      <c r="Q472" t="s">
        <v>788</v>
      </c>
    </row>
    <row r="473" spans="17:17" x14ac:dyDescent="0.25">
      <c r="Q473" t="s">
        <v>789</v>
      </c>
    </row>
    <row r="474" spans="17:17" x14ac:dyDescent="0.25">
      <c r="Q474" t="s">
        <v>790</v>
      </c>
    </row>
    <row r="475" spans="17:17" x14ac:dyDescent="0.25">
      <c r="Q475" t="s">
        <v>791</v>
      </c>
    </row>
    <row r="476" spans="17:17" x14ac:dyDescent="0.25">
      <c r="Q476" t="s">
        <v>792</v>
      </c>
    </row>
    <row r="477" spans="17:17" x14ac:dyDescent="0.25">
      <c r="Q477" t="s">
        <v>793</v>
      </c>
    </row>
    <row r="478" spans="17:17" x14ac:dyDescent="0.25">
      <c r="Q478" t="s">
        <v>794</v>
      </c>
    </row>
    <row r="479" spans="17:17" x14ac:dyDescent="0.25">
      <c r="Q479" t="s">
        <v>795</v>
      </c>
    </row>
    <row r="480" spans="17:17" x14ac:dyDescent="0.25">
      <c r="Q480" t="s">
        <v>796</v>
      </c>
    </row>
    <row r="481" spans="17:17" x14ac:dyDescent="0.25">
      <c r="Q481" t="s">
        <v>797</v>
      </c>
    </row>
    <row r="482" spans="17:17" x14ac:dyDescent="0.25">
      <c r="Q482" t="s">
        <v>798</v>
      </c>
    </row>
    <row r="483" spans="17:17" x14ac:dyDescent="0.25">
      <c r="Q483" t="s">
        <v>799</v>
      </c>
    </row>
    <row r="484" spans="17:17" x14ac:dyDescent="0.25">
      <c r="Q484" t="s">
        <v>800</v>
      </c>
    </row>
    <row r="485" spans="17:17" x14ac:dyDescent="0.25">
      <c r="Q485" t="s">
        <v>801</v>
      </c>
    </row>
    <row r="486" spans="17:17" x14ac:dyDescent="0.25">
      <c r="Q486" t="s">
        <v>802</v>
      </c>
    </row>
    <row r="487" spans="17:17" x14ac:dyDescent="0.25">
      <c r="Q487" t="s">
        <v>803</v>
      </c>
    </row>
    <row r="488" spans="17:17" x14ac:dyDescent="0.25">
      <c r="Q488" t="s">
        <v>804</v>
      </c>
    </row>
    <row r="489" spans="17:17" x14ac:dyDescent="0.25">
      <c r="Q489" t="s">
        <v>805</v>
      </c>
    </row>
    <row r="490" spans="17:17" x14ac:dyDescent="0.25">
      <c r="Q490" t="s">
        <v>806</v>
      </c>
    </row>
    <row r="491" spans="17:17" x14ac:dyDescent="0.25">
      <c r="Q491" t="s">
        <v>807</v>
      </c>
    </row>
    <row r="492" spans="17:17" x14ac:dyDescent="0.25">
      <c r="Q492" t="s">
        <v>808</v>
      </c>
    </row>
    <row r="493" spans="17:17" x14ac:dyDescent="0.25">
      <c r="Q493" t="s">
        <v>809</v>
      </c>
    </row>
    <row r="494" spans="17:17" x14ac:dyDescent="0.25">
      <c r="Q494" t="s">
        <v>810</v>
      </c>
    </row>
    <row r="495" spans="17:17" x14ac:dyDescent="0.25">
      <c r="Q495" t="s">
        <v>811</v>
      </c>
    </row>
    <row r="496" spans="17:17" x14ac:dyDescent="0.25">
      <c r="Q496" t="s">
        <v>812</v>
      </c>
    </row>
    <row r="497" spans="17:17" x14ac:dyDescent="0.25">
      <c r="Q497" t="s">
        <v>813</v>
      </c>
    </row>
    <row r="498" spans="17:17" x14ac:dyDescent="0.25">
      <c r="Q498" t="s">
        <v>814</v>
      </c>
    </row>
    <row r="499" spans="17:17" x14ac:dyDescent="0.25">
      <c r="Q499" t="s">
        <v>815</v>
      </c>
    </row>
    <row r="500" spans="17:17" x14ac:dyDescent="0.25">
      <c r="Q500" t="s">
        <v>816</v>
      </c>
    </row>
    <row r="501" spans="17:17" x14ac:dyDescent="0.25">
      <c r="Q501" t="s">
        <v>817</v>
      </c>
    </row>
    <row r="502" spans="17:17" x14ac:dyDescent="0.25">
      <c r="Q502" t="s">
        <v>818</v>
      </c>
    </row>
    <row r="503" spans="17:17" x14ac:dyDescent="0.25">
      <c r="Q503" t="s">
        <v>819</v>
      </c>
    </row>
    <row r="504" spans="17:17" x14ac:dyDescent="0.25">
      <c r="Q504" t="s">
        <v>820</v>
      </c>
    </row>
    <row r="505" spans="17:17" x14ac:dyDescent="0.25">
      <c r="Q505" t="s">
        <v>821</v>
      </c>
    </row>
    <row r="506" spans="17:17" x14ac:dyDescent="0.25">
      <c r="Q506" t="s">
        <v>822</v>
      </c>
    </row>
    <row r="507" spans="17:17" x14ac:dyDescent="0.25">
      <c r="Q507" t="s">
        <v>823</v>
      </c>
    </row>
    <row r="508" spans="17:17" x14ac:dyDescent="0.25">
      <c r="Q508" t="s">
        <v>824</v>
      </c>
    </row>
    <row r="509" spans="17:17" x14ac:dyDescent="0.25">
      <c r="Q509" t="s">
        <v>825</v>
      </c>
    </row>
    <row r="510" spans="17:17" x14ac:dyDescent="0.25">
      <c r="Q510" t="s">
        <v>826</v>
      </c>
    </row>
    <row r="511" spans="17:17" x14ac:dyDescent="0.25">
      <c r="Q511" t="s">
        <v>827</v>
      </c>
    </row>
    <row r="512" spans="17:17" x14ac:dyDescent="0.25">
      <c r="Q512" t="s">
        <v>828</v>
      </c>
    </row>
    <row r="513" spans="17:17" x14ac:dyDescent="0.25">
      <c r="Q513" t="s">
        <v>829</v>
      </c>
    </row>
    <row r="514" spans="17:17" x14ac:dyDescent="0.25">
      <c r="Q514" t="s">
        <v>830</v>
      </c>
    </row>
    <row r="515" spans="17:17" x14ac:dyDescent="0.25">
      <c r="Q515" t="s">
        <v>831</v>
      </c>
    </row>
    <row r="516" spans="17:17" x14ac:dyDescent="0.25">
      <c r="Q516" t="s">
        <v>832</v>
      </c>
    </row>
    <row r="517" spans="17:17" x14ac:dyDescent="0.25">
      <c r="Q517" t="s">
        <v>833</v>
      </c>
    </row>
    <row r="518" spans="17:17" x14ac:dyDescent="0.25">
      <c r="Q518" t="s">
        <v>834</v>
      </c>
    </row>
    <row r="519" spans="17:17" x14ac:dyDescent="0.25">
      <c r="Q519" t="s">
        <v>835</v>
      </c>
    </row>
    <row r="520" spans="17:17" x14ac:dyDescent="0.25">
      <c r="Q520" t="s">
        <v>836</v>
      </c>
    </row>
    <row r="521" spans="17:17" x14ac:dyDescent="0.25">
      <c r="Q521" t="s">
        <v>837</v>
      </c>
    </row>
    <row r="522" spans="17:17" x14ac:dyDescent="0.25">
      <c r="Q522" t="s">
        <v>838</v>
      </c>
    </row>
    <row r="523" spans="17:17" x14ac:dyDescent="0.25">
      <c r="Q523" t="s">
        <v>839</v>
      </c>
    </row>
    <row r="524" spans="17:17" x14ac:dyDescent="0.25">
      <c r="Q524" t="s">
        <v>840</v>
      </c>
    </row>
    <row r="525" spans="17:17" x14ac:dyDescent="0.25">
      <c r="Q525" t="s">
        <v>841</v>
      </c>
    </row>
    <row r="526" spans="17:17" x14ac:dyDescent="0.25">
      <c r="Q526" t="s">
        <v>842</v>
      </c>
    </row>
    <row r="527" spans="17:17" x14ac:dyDescent="0.25">
      <c r="Q527" t="s">
        <v>843</v>
      </c>
    </row>
    <row r="528" spans="17:17" x14ac:dyDescent="0.25">
      <c r="Q528" t="s">
        <v>844</v>
      </c>
    </row>
    <row r="529" spans="17:17" x14ac:dyDescent="0.25">
      <c r="Q529" t="s">
        <v>845</v>
      </c>
    </row>
    <row r="530" spans="17:17" x14ac:dyDescent="0.25">
      <c r="Q530" t="s">
        <v>846</v>
      </c>
    </row>
    <row r="531" spans="17:17" x14ac:dyDescent="0.25">
      <c r="Q531" t="s">
        <v>847</v>
      </c>
    </row>
    <row r="532" spans="17:17" x14ac:dyDescent="0.25">
      <c r="Q532" t="s">
        <v>848</v>
      </c>
    </row>
    <row r="533" spans="17:17" x14ac:dyDescent="0.25">
      <c r="Q533" t="s">
        <v>849</v>
      </c>
    </row>
    <row r="534" spans="17:17" x14ac:dyDescent="0.25">
      <c r="Q534" t="s">
        <v>850</v>
      </c>
    </row>
    <row r="535" spans="17:17" x14ac:dyDescent="0.25">
      <c r="Q535" t="s">
        <v>851</v>
      </c>
    </row>
    <row r="536" spans="17:17" x14ac:dyDescent="0.25">
      <c r="Q536" t="s">
        <v>852</v>
      </c>
    </row>
    <row r="537" spans="17:17" x14ac:dyDescent="0.25">
      <c r="Q537" t="s">
        <v>853</v>
      </c>
    </row>
    <row r="538" spans="17:17" x14ac:dyDescent="0.25">
      <c r="Q538" t="s">
        <v>854</v>
      </c>
    </row>
    <row r="539" spans="17:17" x14ac:dyDescent="0.25">
      <c r="Q539" t="s">
        <v>855</v>
      </c>
    </row>
    <row r="540" spans="17:17" x14ac:dyDescent="0.25">
      <c r="Q540" t="s">
        <v>856</v>
      </c>
    </row>
    <row r="541" spans="17:17" x14ac:dyDescent="0.25">
      <c r="Q541" t="s">
        <v>857</v>
      </c>
    </row>
    <row r="542" spans="17:17" x14ac:dyDescent="0.25">
      <c r="Q542" t="s">
        <v>858</v>
      </c>
    </row>
    <row r="543" spans="17:17" x14ac:dyDescent="0.25">
      <c r="Q543" t="s">
        <v>859</v>
      </c>
    </row>
    <row r="544" spans="17:17" x14ac:dyDescent="0.25">
      <c r="Q544" t="s">
        <v>860</v>
      </c>
    </row>
    <row r="545" spans="17:17" x14ac:dyDescent="0.25">
      <c r="Q545" t="s">
        <v>861</v>
      </c>
    </row>
    <row r="546" spans="17:17" x14ac:dyDescent="0.25">
      <c r="Q546" t="s">
        <v>862</v>
      </c>
    </row>
    <row r="547" spans="17:17" x14ac:dyDescent="0.25">
      <c r="Q547" t="s">
        <v>863</v>
      </c>
    </row>
    <row r="548" spans="17:17" x14ac:dyDescent="0.25">
      <c r="Q548" t="s">
        <v>864</v>
      </c>
    </row>
    <row r="549" spans="17:17" x14ac:dyDescent="0.25">
      <c r="Q549" t="s">
        <v>865</v>
      </c>
    </row>
    <row r="550" spans="17:17" x14ac:dyDescent="0.25">
      <c r="Q550" t="s">
        <v>866</v>
      </c>
    </row>
    <row r="551" spans="17:17" x14ac:dyDescent="0.25">
      <c r="Q551" t="s">
        <v>867</v>
      </c>
    </row>
    <row r="552" spans="17:17" x14ac:dyDescent="0.25">
      <c r="Q552" t="s">
        <v>868</v>
      </c>
    </row>
    <row r="553" spans="17:17" x14ac:dyDescent="0.25">
      <c r="Q553" t="s">
        <v>869</v>
      </c>
    </row>
    <row r="554" spans="17:17" x14ac:dyDescent="0.25">
      <c r="Q554" t="s">
        <v>870</v>
      </c>
    </row>
    <row r="555" spans="17:17" x14ac:dyDescent="0.25">
      <c r="Q555" t="s">
        <v>871</v>
      </c>
    </row>
    <row r="556" spans="17:17" x14ac:dyDescent="0.25">
      <c r="Q556" t="s">
        <v>872</v>
      </c>
    </row>
    <row r="557" spans="17:17" x14ac:dyDescent="0.25">
      <c r="Q557" t="s">
        <v>873</v>
      </c>
    </row>
    <row r="558" spans="17:17" x14ac:dyDescent="0.25">
      <c r="Q558" t="s">
        <v>874</v>
      </c>
    </row>
    <row r="559" spans="17:17" x14ac:dyDescent="0.25">
      <c r="Q559" t="s">
        <v>875</v>
      </c>
    </row>
    <row r="560" spans="17:17" x14ac:dyDescent="0.25">
      <c r="Q560" t="s">
        <v>876</v>
      </c>
    </row>
    <row r="561" spans="17:17" x14ac:dyDescent="0.25">
      <c r="Q561" t="s">
        <v>877</v>
      </c>
    </row>
    <row r="562" spans="17:17" x14ac:dyDescent="0.25">
      <c r="Q562" t="s">
        <v>878</v>
      </c>
    </row>
    <row r="563" spans="17:17" x14ac:dyDescent="0.25">
      <c r="Q563" t="s">
        <v>879</v>
      </c>
    </row>
    <row r="564" spans="17:17" x14ac:dyDescent="0.25">
      <c r="Q564" t="s">
        <v>880</v>
      </c>
    </row>
    <row r="565" spans="17:17" x14ac:dyDescent="0.25">
      <c r="Q565" t="s">
        <v>881</v>
      </c>
    </row>
    <row r="566" spans="17:17" x14ac:dyDescent="0.25">
      <c r="Q566" t="s">
        <v>882</v>
      </c>
    </row>
    <row r="567" spans="17:17" x14ac:dyDescent="0.25">
      <c r="Q567" t="s">
        <v>883</v>
      </c>
    </row>
    <row r="568" spans="17:17" x14ac:dyDescent="0.25">
      <c r="Q568" t="s">
        <v>884</v>
      </c>
    </row>
    <row r="569" spans="17:17" x14ac:dyDescent="0.25">
      <c r="Q569" t="s">
        <v>885</v>
      </c>
    </row>
    <row r="570" spans="17:17" x14ac:dyDescent="0.25">
      <c r="Q570" t="s">
        <v>886</v>
      </c>
    </row>
    <row r="571" spans="17:17" x14ac:dyDescent="0.25">
      <c r="Q571" t="s">
        <v>887</v>
      </c>
    </row>
    <row r="572" spans="17:17" x14ac:dyDescent="0.25">
      <c r="Q572" t="s">
        <v>888</v>
      </c>
    </row>
    <row r="573" spans="17:17" x14ac:dyDescent="0.25">
      <c r="Q573" t="s">
        <v>889</v>
      </c>
    </row>
    <row r="574" spans="17:17" x14ac:dyDescent="0.25">
      <c r="Q574" t="s">
        <v>890</v>
      </c>
    </row>
    <row r="575" spans="17:17" x14ac:dyDescent="0.25">
      <c r="Q575" t="s">
        <v>891</v>
      </c>
    </row>
    <row r="576" spans="17:17" x14ac:dyDescent="0.25">
      <c r="Q576" t="s">
        <v>892</v>
      </c>
    </row>
    <row r="577" spans="17:17" x14ac:dyDescent="0.25">
      <c r="Q577" t="s">
        <v>893</v>
      </c>
    </row>
    <row r="578" spans="17:17" x14ac:dyDescent="0.25">
      <c r="Q578" t="s">
        <v>894</v>
      </c>
    </row>
    <row r="579" spans="17:17" x14ac:dyDescent="0.25">
      <c r="Q579" t="s">
        <v>895</v>
      </c>
    </row>
    <row r="580" spans="17:17" x14ac:dyDescent="0.25">
      <c r="Q580" t="s">
        <v>896</v>
      </c>
    </row>
    <row r="581" spans="17:17" x14ac:dyDescent="0.25">
      <c r="Q581" t="s">
        <v>897</v>
      </c>
    </row>
    <row r="582" spans="17:17" x14ac:dyDescent="0.25">
      <c r="Q582" t="s">
        <v>898</v>
      </c>
    </row>
    <row r="583" spans="17:17" x14ac:dyDescent="0.25">
      <c r="Q583" t="s">
        <v>899</v>
      </c>
    </row>
    <row r="584" spans="17:17" x14ac:dyDescent="0.25">
      <c r="Q584" t="s">
        <v>900</v>
      </c>
    </row>
    <row r="585" spans="17:17" x14ac:dyDescent="0.25">
      <c r="Q585" t="s">
        <v>901</v>
      </c>
    </row>
    <row r="586" spans="17:17" x14ac:dyDescent="0.25">
      <c r="Q586" t="s">
        <v>902</v>
      </c>
    </row>
    <row r="587" spans="17:17" x14ac:dyDescent="0.25">
      <c r="Q587" t="s">
        <v>903</v>
      </c>
    </row>
    <row r="588" spans="17:17" x14ac:dyDescent="0.25">
      <c r="Q588" t="s">
        <v>904</v>
      </c>
    </row>
    <row r="589" spans="17:17" x14ac:dyDescent="0.25">
      <c r="Q589" t="s">
        <v>905</v>
      </c>
    </row>
    <row r="590" spans="17:17" x14ac:dyDescent="0.25">
      <c r="Q590" t="s">
        <v>906</v>
      </c>
    </row>
    <row r="591" spans="17:17" x14ac:dyDescent="0.25">
      <c r="Q591" t="s">
        <v>907</v>
      </c>
    </row>
    <row r="592" spans="17:17" x14ac:dyDescent="0.25">
      <c r="Q592" t="s">
        <v>908</v>
      </c>
    </row>
    <row r="593" spans="17:17" x14ac:dyDescent="0.25">
      <c r="Q593" t="s">
        <v>909</v>
      </c>
    </row>
    <row r="594" spans="17:17" x14ac:dyDescent="0.25">
      <c r="Q594" t="s">
        <v>910</v>
      </c>
    </row>
    <row r="595" spans="17:17" x14ac:dyDescent="0.25">
      <c r="Q595" t="s">
        <v>911</v>
      </c>
    </row>
    <row r="596" spans="17:17" x14ac:dyDescent="0.25">
      <c r="Q596" t="s">
        <v>912</v>
      </c>
    </row>
    <row r="597" spans="17:17" x14ac:dyDescent="0.25">
      <c r="Q597" t="s">
        <v>913</v>
      </c>
    </row>
    <row r="598" spans="17:17" x14ac:dyDescent="0.25">
      <c r="Q598" t="s">
        <v>914</v>
      </c>
    </row>
    <row r="599" spans="17:17" x14ac:dyDescent="0.25">
      <c r="Q599" t="s">
        <v>915</v>
      </c>
    </row>
    <row r="600" spans="17:17" x14ac:dyDescent="0.25">
      <c r="Q600" t="s">
        <v>916</v>
      </c>
    </row>
    <row r="601" spans="17:17" x14ac:dyDescent="0.25">
      <c r="Q601" t="s">
        <v>917</v>
      </c>
    </row>
    <row r="602" spans="17:17" x14ac:dyDescent="0.25">
      <c r="Q602" t="s">
        <v>918</v>
      </c>
    </row>
    <row r="603" spans="17:17" x14ac:dyDescent="0.25">
      <c r="Q603" t="s">
        <v>919</v>
      </c>
    </row>
    <row r="604" spans="17:17" x14ac:dyDescent="0.25">
      <c r="Q604" t="s">
        <v>920</v>
      </c>
    </row>
    <row r="605" spans="17:17" x14ac:dyDescent="0.25">
      <c r="Q605" t="s">
        <v>921</v>
      </c>
    </row>
    <row r="606" spans="17:17" x14ac:dyDescent="0.25">
      <c r="Q606" t="s">
        <v>922</v>
      </c>
    </row>
    <row r="607" spans="17:17" x14ac:dyDescent="0.25">
      <c r="Q607" t="s">
        <v>923</v>
      </c>
    </row>
    <row r="608" spans="17:17" x14ac:dyDescent="0.25">
      <c r="Q608" t="s">
        <v>924</v>
      </c>
    </row>
    <row r="609" spans="17:17" x14ac:dyDescent="0.25">
      <c r="Q609" t="s">
        <v>925</v>
      </c>
    </row>
    <row r="610" spans="17:17" x14ac:dyDescent="0.25">
      <c r="Q610" t="s">
        <v>926</v>
      </c>
    </row>
    <row r="611" spans="17:17" x14ac:dyDescent="0.25">
      <c r="Q611" t="s">
        <v>927</v>
      </c>
    </row>
    <row r="612" spans="17:17" x14ac:dyDescent="0.25">
      <c r="Q612" t="s">
        <v>928</v>
      </c>
    </row>
    <row r="613" spans="17:17" x14ac:dyDescent="0.25">
      <c r="Q613" t="s">
        <v>929</v>
      </c>
    </row>
    <row r="614" spans="17:17" x14ac:dyDescent="0.25">
      <c r="Q614" t="s">
        <v>930</v>
      </c>
    </row>
    <row r="615" spans="17:17" x14ac:dyDescent="0.25">
      <c r="Q615" t="s">
        <v>931</v>
      </c>
    </row>
    <row r="616" spans="17:17" x14ac:dyDescent="0.25">
      <c r="Q616" t="s">
        <v>932</v>
      </c>
    </row>
    <row r="617" spans="17:17" x14ac:dyDescent="0.25">
      <c r="Q617" t="s">
        <v>933</v>
      </c>
    </row>
    <row r="618" spans="17:17" x14ac:dyDescent="0.25">
      <c r="Q618" t="s">
        <v>934</v>
      </c>
    </row>
    <row r="619" spans="17:17" x14ac:dyDescent="0.25">
      <c r="Q619" t="s">
        <v>935</v>
      </c>
    </row>
    <row r="620" spans="17:17" x14ac:dyDescent="0.25">
      <c r="Q620" t="s">
        <v>936</v>
      </c>
    </row>
    <row r="621" spans="17:17" x14ac:dyDescent="0.25">
      <c r="Q621" t="s">
        <v>937</v>
      </c>
    </row>
    <row r="622" spans="17:17" x14ac:dyDescent="0.25">
      <c r="Q622" t="s">
        <v>938</v>
      </c>
    </row>
    <row r="623" spans="17:17" x14ac:dyDescent="0.25">
      <c r="Q623" t="s">
        <v>939</v>
      </c>
    </row>
    <row r="624" spans="17:17" x14ac:dyDescent="0.25">
      <c r="Q624" t="s">
        <v>940</v>
      </c>
    </row>
    <row r="625" spans="17:17" x14ac:dyDescent="0.25">
      <c r="Q625" t="s">
        <v>941</v>
      </c>
    </row>
    <row r="626" spans="17:17" x14ac:dyDescent="0.25">
      <c r="Q626" t="s">
        <v>942</v>
      </c>
    </row>
    <row r="627" spans="17:17" x14ac:dyDescent="0.25">
      <c r="Q627" t="s">
        <v>943</v>
      </c>
    </row>
    <row r="628" spans="17:17" x14ac:dyDescent="0.25">
      <c r="Q628" t="s">
        <v>944</v>
      </c>
    </row>
    <row r="629" spans="17:17" x14ac:dyDescent="0.25">
      <c r="Q629" t="s">
        <v>945</v>
      </c>
    </row>
    <row r="630" spans="17:17" x14ac:dyDescent="0.25">
      <c r="Q630" t="s">
        <v>946</v>
      </c>
    </row>
    <row r="631" spans="17:17" x14ac:dyDescent="0.25">
      <c r="Q631" t="s">
        <v>947</v>
      </c>
    </row>
    <row r="632" spans="17:17" x14ac:dyDescent="0.25">
      <c r="Q632" t="s">
        <v>948</v>
      </c>
    </row>
    <row r="633" spans="17:17" x14ac:dyDescent="0.25">
      <c r="Q633" t="s">
        <v>949</v>
      </c>
    </row>
    <row r="634" spans="17:17" x14ac:dyDescent="0.25">
      <c r="Q634" t="s">
        <v>950</v>
      </c>
    </row>
    <row r="635" spans="17:17" x14ac:dyDescent="0.25">
      <c r="Q635" t="s">
        <v>951</v>
      </c>
    </row>
    <row r="636" spans="17:17" x14ac:dyDescent="0.25">
      <c r="Q636" t="s">
        <v>952</v>
      </c>
    </row>
    <row r="637" spans="17:17" x14ac:dyDescent="0.25">
      <c r="Q637" t="s">
        <v>953</v>
      </c>
    </row>
    <row r="638" spans="17:17" x14ac:dyDescent="0.25">
      <c r="Q638" t="s">
        <v>954</v>
      </c>
    </row>
    <row r="639" spans="17:17" x14ac:dyDescent="0.25">
      <c r="Q639" t="s">
        <v>955</v>
      </c>
    </row>
    <row r="640" spans="17:17" x14ac:dyDescent="0.25">
      <c r="Q640" t="s">
        <v>956</v>
      </c>
    </row>
    <row r="641" spans="17:17" x14ac:dyDescent="0.25">
      <c r="Q641" t="s">
        <v>957</v>
      </c>
    </row>
    <row r="642" spans="17:17" x14ac:dyDescent="0.25">
      <c r="Q642" t="s">
        <v>958</v>
      </c>
    </row>
    <row r="643" spans="17:17" x14ac:dyDescent="0.25">
      <c r="Q643" t="s">
        <v>959</v>
      </c>
    </row>
    <row r="644" spans="17:17" x14ac:dyDescent="0.25">
      <c r="Q644" t="s">
        <v>960</v>
      </c>
    </row>
    <row r="645" spans="17:17" x14ac:dyDescent="0.25">
      <c r="Q645" t="s">
        <v>961</v>
      </c>
    </row>
    <row r="646" spans="17:17" x14ac:dyDescent="0.25">
      <c r="Q646" t="s">
        <v>962</v>
      </c>
    </row>
    <row r="647" spans="17:17" x14ac:dyDescent="0.25">
      <c r="Q647" t="s">
        <v>963</v>
      </c>
    </row>
    <row r="648" spans="17:17" x14ac:dyDescent="0.25">
      <c r="Q648" t="s">
        <v>964</v>
      </c>
    </row>
    <row r="649" spans="17:17" x14ac:dyDescent="0.25">
      <c r="Q649" t="s">
        <v>965</v>
      </c>
    </row>
    <row r="650" spans="17:17" x14ac:dyDescent="0.25">
      <c r="Q650" t="s">
        <v>966</v>
      </c>
    </row>
    <row r="651" spans="17:17" x14ac:dyDescent="0.25">
      <c r="Q651" t="s">
        <v>967</v>
      </c>
    </row>
    <row r="652" spans="17:17" x14ac:dyDescent="0.25">
      <c r="Q652" t="s">
        <v>968</v>
      </c>
    </row>
    <row r="653" spans="17:17" x14ac:dyDescent="0.25">
      <c r="Q653" t="s">
        <v>969</v>
      </c>
    </row>
    <row r="654" spans="17:17" x14ac:dyDescent="0.25">
      <c r="Q654" t="s">
        <v>970</v>
      </c>
    </row>
    <row r="655" spans="17:17" x14ac:dyDescent="0.25">
      <c r="Q655" t="s">
        <v>971</v>
      </c>
    </row>
    <row r="656" spans="17:17" x14ac:dyDescent="0.25">
      <c r="Q656" t="s">
        <v>972</v>
      </c>
    </row>
    <row r="657" spans="17:17" x14ac:dyDescent="0.25">
      <c r="Q657" t="s">
        <v>973</v>
      </c>
    </row>
    <row r="658" spans="17:17" x14ac:dyDescent="0.25">
      <c r="Q658" t="s">
        <v>974</v>
      </c>
    </row>
    <row r="659" spans="17:17" x14ac:dyDescent="0.25">
      <c r="Q659" t="s">
        <v>975</v>
      </c>
    </row>
    <row r="660" spans="17:17" x14ac:dyDescent="0.25">
      <c r="Q660" t="s">
        <v>976</v>
      </c>
    </row>
    <row r="661" spans="17:17" x14ac:dyDescent="0.25">
      <c r="Q661" t="s">
        <v>977</v>
      </c>
    </row>
    <row r="662" spans="17:17" x14ac:dyDescent="0.25">
      <c r="Q662" t="s">
        <v>978</v>
      </c>
    </row>
    <row r="663" spans="17:17" x14ac:dyDescent="0.25">
      <c r="Q663" t="s">
        <v>979</v>
      </c>
    </row>
    <row r="664" spans="17:17" x14ac:dyDescent="0.25">
      <c r="Q664" t="s">
        <v>980</v>
      </c>
    </row>
    <row r="665" spans="17:17" x14ac:dyDescent="0.25">
      <c r="Q665" t="s">
        <v>981</v>
      </c>
    </row>
    <row r="666" spans="17:17" x14ac:dyDescent="0.25">
      <c r="Q666" t="s">
        <v>982</v>
      </c>
    </row>
    <row r="667" spans="17:17" x14ac:dyDescent="0.25">
      <c r="Q667" t="s">
        <v>983</v>
      </c>
    </row>
    <row r="668" spans="17:17" x14ac:dyDescent="0.25">
      <c r="Q668" t="s">
        <v>984</v>
      </c>
    </row>
    <row r="669" spans="17:17" x14ac:dyDescent="0.25">
      <c r="Q669" t="s">
        <v>985</v>
      </c>
    </row>
    <row r="670" spans="17:17" x14ac:dyDescent="0.25">
      <c r="Q670" t="s">
        <v>986</v>
      </c>
    </row>
    <row r="671" spans="17:17" x14ac:dyDescent="0.25">
      <c r="Q671" t="s">
        <v>987</v>
      </c>
    </row>
    <row r="672" spans="17:17" x14ac:dyDescent="0.25">
      <c r="Q672" t="s">
        <v>988</v>
      </c>
    </row>
    <row r="673" spans="17:17" x14ac:dyDescent="0.25">
      <c r="Q673" t="s">
        <v>989</v>
      </c>
    </row>
    <row r="674" spans="17:17" x14ac:dyDescent="0.25">
      <c r="Q674" t="s">
        <v>990</v>
      </c>
    </row>
    <row r="675" spans="17:17" x14ac:dyDescent="0.25">
      <c r="Q675" t="s">
        <v>991</v>
      </c>
    </row>
    <row r="676" spans="17:17" x14ac:dyDescent="0.25">
      <c r="Q676" t="s">
        <v>992</v>
      </c>
    </row>
    <row r="677" spans="17:17" x14ac:dyDescent="0.25">
      <c r="Q677" t="s">
        <v>993</v>
      </c>
    </row>
    <row r="678" spans="17:17" x14ac:dyDescent="0.25">
      <c r="Q678" t="s">
        <v>994</v>
      </c>
    </row>
    <row r="679" spans="17:17" x14ac:dyDescent="0.25">
      <c r="Q679" t="s">
        <v>995</v>
      </c>
    </row>
    <row r="680" spans="17:17" x14ac:dyDescent="0.25">
      <c r="Q680" t="s">
        <v>996</v>
      </c>
    </row>
    <row r="681" spans="17:17" x14ac:dyDescent="0.25">
      <c r="Q681" t="s">
        <v>997</v>
      </c>
    </row>
    <row r="682" spans="17:17" x14ac:dyDescent="0.25">
      <c r="Q682" t="s">
        <v>998</v>
      </c>
    </row>
    <row r="683" spans="17:17" x14ac:dyDescent="0.25">
      <c r="Q683" t="s">
        <v>999</v>
      </c>
    </row>
    <row r="684" spans="17:17" x14ac:dyDescent="0.25">
      <c r="Q684" t="s">
        <v>1000</v>
      </c>
    </row>
    <row r="685" spans="17:17" x14ac:dyDescent="0.25">
      <c r="Q685" t="s">
        <v>1001</v>
      </c>
    </row>
    <row r="686" spans="17:17" x14ac:dyDescent="0.25">
      <c r="Q686" t="s">
        <v>1002</v>
      </c>
    </row>
    <row r="687" spans="17:17" x14ac:dyDescent="0.25">
      <c r="Q687" t="s">
        <v>1003</v>
      </c>
    </row>
    <row r="688" spans="17:17" x14ac:dyDescent="0.25">
      <c r="Q688" t="s">
        <v>1004</v>
      </c>
    </row>
    <row r="689" spans="17:17" x14ac:dyDescent="0.25">
      <c r="Q689" t="s">
        <v>1005</v>
      </c>
    </row>
    <row r="690" spans="17:17" x14ac:dyDescent="0.25">
      <c r="Q690" t="s">
        <v>1006</v>
      </c>
    </row>
    <row r="691" spans="17:17" x14ac:dyDescent="0.25">
      <c r="Q691" t="s">
        <v>1007</v>
      </c>
    </row>
    <row r="692" spans="17:17" x14ac:dyDescent="0.25">
      <c r="Q692" t="s">
        <v>1008</v>
      </c>
    </row>
    <row r="693" spans="17:17" x14ac:dyDescent="0.25">
      <c r="Q693" t="s">
        <v>1009</v>
      </c>
    </row>
    <row r="694" spans="17:17" x14ac:dyDescent="0.25">
      <c r="Q694" t="s">
        <v>1010</v>
      </c>
    </row>
    <row r="695" spans="17:17" x14ac:dyDescent="0.25">
      <c r="Q695" t="s">
        <v>1011</v>
      </c>
    </row>
    <row r="696" spans="17:17" x14ac:dyDescent="0.25">
      <c r="Q696" t="s">
        <v>1012</v>
      </c>
    </row>
    <row r="697" spans="17:17" x14ac:dyDescent="0.25">
      <c r="Q697" t="s">
        <v>1013</v>
      </c>
    </row>
    <row r="698" spans="17:17" x14ac:dyDescent="0.25">
      <c r="Q698" t="s">
        <v>1014</v>
      </c>
    </row>
    <row r="699" spans="17:17" x14ac:dyDescent="0.25">
      <c r="Q699" t="s">
        <v>1015</v>
      </c>
    </row>
    <row r="700" spans="17:17" x14ac:dyDescent="0.25">
      <c r="Q700" t="s">
        <v>1016</v>
      </c>
    </row>
    <row r="701" spans="17:17" x14ac:dyDescent="0.25">
      <c r="Q701" t="s">
        <v>1017</v>
      </c>
    </row>
    <row r="702" spans="17:17" x14ac:dyDescent="0.25">
      <c r="Q702" t="s">
        <v>1018</v>
      </c>
    </row>
    <row r="703" spans="17:17" x14ac:dyDescent="0.25">
      <c r="Q703" t="s">
        <v>1019</v>
      </c>
    </row>
    <row r="704" spans="17:17" x14ac:dyDescent="0.25">
      <c r="Q704" t="s">
        <v>1020</v>
      </c>
    </row>
    <row r="705" spans="17:17" x14ac:dyDescent="0.25">
      <c r="Q705" t="s">
        <v>1021</v>
      </c>
    </row>
    <row r="706" spans="17:17" x14ac:dyDescent="0.25">
      <c r="Q706" t="s">
        <v>1022</v>
      </c>
    </row>
    <row r="707" spans="17:17" x14ac:dyDescent="0.25">
      <c r="Q707" t="s">
        <v>1023</v>
      </c>
    </row>
    <row r="708" spans="17:17" x14ac:dyDescent="0.25">
      <c r="Q708" t="s">
        <v>1024</v>
      </c>
    </row>
    <row r="709" spans="17:17" x14ac:dyDescent="0.25">
      <c r="Q709" t="s">
        <v>1025</v>
      </c>
    </row>
    <row r="710" spans="17:17" x14ac:dyDescent="0.25">
      <c r="Q710" t="s">
        <v>1026</v>
      </c>
    </row>
    <row r="711" spans="17:17" x14ac:dyDescent="0.25">
      <c r="Q711" t="s">
        <v>1027</v>
      </c>
    </row>
    <row r="712" spans="17:17" x14ac:dyDescent="0.25">
      <c r="Q712" t="s">
        <v>1028</v>
      </c>
    </row>
    <row r="713" spans="17:17" x14ac:dyDescent="0.25">
      <c r="Q713" t="s">
        <v>1029</v>
      </c>
    </row>
    <row r="714" spans="17:17" x14ac:dyDescent="0.25">
      <c r="Q714" t="s">
        <v>1030</v>
      </c>
    </row>
    <row r="715" spans="17:17" x14ac:dyDescent="0.25">
      <c r="Q715" t="s">
        <v>1031</v>
      </c>
    </row>
    <row r="716" spans="17:17" x14ac:dyDescent="0.25">
      <c r="Q716" t="s">
        <v>1032</v>
      </c>
    </row>
    <row r="717" spans="17:17" x14ac:dyDescent="0.25">
      <c r="Q717" t="s">
        <v>1033</v>
      </c>
    </row>
    <row r="718" spans="17:17" x14ac:dyDescent="0.25">
      <c r="Q718" t="s">
        <v>1034</v>
      </c>
    </row>
    <row r="719" spans="17:17" x14ac:dyDescent="0.25">
      <c r="Q719" t="s">
        <v>1035</v>
      </c>
    </row>
    <row r="720" spans="17:17" x14ac:dyDescent="0.25">
      <c r="Q720" t="s">
        <v>1036</v>
      </c>
    </row>
    <row r="721" spans="17:17" x14ac:dyDescent="0.25">
      <c r="Q721" t="s">
        <v>1037</v>
      </c>
    </row>
    <row r="722" spans="17:17" x14ac:dyDescent="0.25">
      <c r="Q722" t="s">
        <v>1038</v>
      </c>
    </row>
    <row r="723" spans="17:17" x14ac:dyDescent="0.25">
      <c r="Q723" t="s">
        <v>1039</v>
      </c>
    </row>
    <row r="724" spans="17:17" x14ac:dyDescent="0.25">
      <c r="Q724" t="s">
        <v>1040</v>
      </c>
    </row>
    <row r="725" spans="17:17" x14ac:dyDescent="0.25">
      <c r="Q725" t="s">
        <v>1041</v>
      </c>
    </row>
    <row r="726" spans="17:17" x14ac:dyDescent="0.25">
      <c r="Q726" t="s">
        <v>1042</v>
      </c>
    </row>
    <row r="727" spans="17:17" x14ac:dyDescent="0.25">
      <c r="Q727" t="s">
        <v>1043</v>
      </c>
    </row>
    <row r="728" spans="17:17" x14ac:dyDescent="0.25">
      <c r="Q728" t="s">
        <v>1044</v>
      </c>
    </row>
    <row r="729" spans="17:17" x14ac:dyDescent="0.25">
      <c r="Q729" t="s">
        <v>1045</v>
      </c>
    </row>
    <row r="730" spans="17:17" x14ac:dyDescent="0.25">
      <c r="Q730" t="s">
        <v>1046</v>
      </c>
    </row>
    <row r="731" spans="17:17" x14ac:dyDescent="0.25">
      <c r="Q731" t="s">
        <v>1047</v>
      </c>
    </row>
    <row r="732" spans="17:17" x14ac:dyDescent="0.25">
      <c r="Q732" t="s">
        <v>1048</v>
      </c>
    </row>
    <row r="733" spans="17:17" x14ac:dyDescent="0.25">
      <c r="Q733" t="s">
        <v>1049</v>
      </c>
    </row>
    <row r="734" spans="17:17" x14ac:dyDescent="0.25">
      <c r="Q734" t="s">
        <v>1050</v>
      </c>
    </row>
    <row r="735" spans="17:17" x14ac:dyDescent="0.25">
      <c r="Q735" t="s">
        <v>1051</v>
      </c>
    </row>
    <row r="736" spans="17:17" x14ac:dyDescent="0.25">
      <c r="Q736" t="s">
        <v>1052</v>
      </c>
    </row>
    <row r="737" spans="17:17" x14ac:dyDescent="0.25">
      <c r="Q737" t="s">
        <v>1053</v>
      </c>
    </row>
    <row r="738" spans="17:17" x14ac:dyDescent="0.25">
      <c r="Q738" t="s">
        <v>1054</v>
      </c>
    </row>
    <row r="739" spans="17:17" x14ac:dyDescent="0.25">
      <c r="Q739" t="s">
        <v>1055</v>
      </c>
    </row>
    <row r="740" spans="17:17" x14ac:dyDescent="0.25">
      <c r="Q740" t="s">
        <v>1056</v>
      </c>
    </row>
    <row r="741" spans="17:17" x14ac:dyDescent="0.25">
      <c r="Q741" t="s">
        <v>1057</v>
      </c>
    </row>
    <row r="742" spans="17:17" x14ac:dyDescent="0.25">
      <c r="Q742" t="s">
        <v>1058</v>
      </c>
    </row>
    <row r="743" spans="17:17" x14ac:dyDescent="0.25">
      <c r="Q743" t="s">
        <v>1059</v>
      </c>
    </row>
    <row r="744" spans="17:17" x14ac:dyDescent="0.25">
      <c r="Q744" t="s">
        <v>1060</v>
      </c>
    </row>
    <row r="745" spans="17:17" x14ac:dyDescent="0.25">
      <c r="Q745" t="s">
        <v>1061</v>
      </c>
    </row>
    <row r="746" spans="17:17" x14ac:dyDescent="0.25">
      <c r="Q746" t="s">
        <v>1062</v>
      </c>
    </row>
    <row r="747" spans="17:17" x14ac:dyDescent="0.25">
      <c r="Q747" t="s">
        <v>1063</v>
      </c>
    </row>
    <row r="748" spans="17:17" x14ac:dyDescent="0.25">
      <c r="Q748" t="s">
        <v>1064</v>
      </c>
    </row>
    <row r="749" spans="17:17" x14ac:dyDescent="0.25">
      <c r="Q749" t="s">
        <v>1065</v>
      </c>
    </row>
    <row r="750" spans="17:17" x14ac:dyDescent="0.25">
      <c r="Q750" t="s">
        <v>1066</v>
      </c>
    </row>
    <row r="751" spans="17:17" x14ac:dyDescent="0.25">
      <c r="Q751" t="s">
        <v>1067</v>
      </c>
    </row>
    <row r="752" spans="17:17" x14ac:dyDescent="0.25">
      <c r="Q752" t="s">
        <v>1068</v>
      </c>
    </row>
    <row r="753" spans="17:17" x14ac:dyDescent="0.25">
      <c r="Q753" t="s">
        <v>1069</v>
      </c>
    </row>
    <row r="754" spans="17:17" x14ac:dyDescent="0.25">
      <c r="Q754" t="s">
        <v>59</v>
      </c>
    </row>
    <row r="755" spans="17:17" x14ac:dyDescent="0.25">
      <c r="Q755" t="s">
        <v>1070</v>
      </c>
    </row>
    <row r="756" spans="17:17" x14ac:dyDescent="0.25">
      <c r="Q756" t="s">
        <v>1071</v>
      </c>
    </row>
    <row r="757" spans="17:17" x14ac:dyDescent="0.25">
      <c r="Q757" t="s">
        <v>1072</v>
      </c>
    </row>
    <row r="758" spans="17:17" x14ac:dyDescent="0.25">
      <c r="Q758" t="s">
        <v>1073</v>
      </c>
    </row>
    <row r="759" spans="17:17" x14ac:dyDescent="0.25">
      <c r="Q759" t="s">
        <v>1074</v>
      </c>
    </row>
    <row r="760" spans="17:17" x14ac:dyDescent="0.25">
      <c r="Q760" t="s">
        <v>1075</v>
      </c>
    </row>
    <row r="761" spans="17:17" x14ac:dyDescent="0.25">
      <c r="Q761" t="s">
        <v>1076</v>
      </c>
    </row>
    <row r="762" spans="17:17" x14ac:dyDescent="0.25">
      <c r="Q762" t="s">
        <v>1077</v>
      </c>
    </row>
    <row r="763" spans="17:17" x14ac:dyDescent="0.25">
      <c r="Q763" t="s">
        <v>1078</v>
      </c>
    </row>
    <row r="764" spans="17:17" x14ac:dyDescent="0.25">
      <c r="Q764" t="s">
        <v>1079</v>
      </c>
    </row>
    <row r="765" spans="17:17" x14ac:dyDescent="0.25">
      <c r="Q765" t="s">
        <v>1080</v>
      </c>
    </row>
    <row r="766" spans="17:17" x14ac:dyDescent="0.25">
      <c r="Q766" t="s">
        <v>1081</v>
      </c>
    </row>
    <row r="767" spans="17:17" x14ac:dyDescent="0.25">
      <c r="Q767" t="s">
        <v>1082</v>
      </c>
    </row>
    <row r="768" spans="17:17" x14ac:dyDescent="0.25">
      <c r="Q768" t="s">
        <v>1083</v>
      </c>
    </row>
    <row r="769" spans="17:17" x14ac:dyDescent="0.25">
      <c r="Q769" t="s">
        <v>1084</v>
      </c>
    </row>
    <row r="770" spans="17:17" x14ac:dyDescent="0.25">
      <c r="Q770" t="s">
        <v>1085</v>
      </c>
    </row>
    <row r="771" spans="17:17" x14ac:dyDescent="0.25">
      <c r="Q771" t="s">
        <v>1086</v>
      </c>
    </row>
    <row r="772" spans="17:17" x14ac:dyDescent="0.25">
      <c r="Q772" t="s">
        <v>1087</v>
      </c>
    </row>
    <row r="773" spans="17:17" x14ac:dyDescent="0.25">
      <c r="Q773" t="s">
        <v>1088</v>
      </c>
    </row>
    <row r="774" spans="17:17" x14ac:dyDescent="0.25">
      <c r="Q774" t="s">
        <v>1089</v>
      </c>
    </row>
    <row r="775" spans="17:17" x14ac:dyDescent="0.25">
      <c r="Q775" t="s">
        <v>1090</v>
      </c>
    </row>
    <row r="776" spans="17:17" x14ac:dyDescent="0.25">
      <c r="Q776" t="s">
        <v>1091</v>
      </c>
    </row>
    <row r="777" spans="17:17" x14ac:dyDescent="0.25">
      <c r="Q777" t="s">
        <v>1092</v>
      </c>
    </row>
    <row r="778" spans="17:17" x14ac:dyDescent="0.25">
      <c r="Q778" t="s">
        <v>1093</v>
      </c>
    </row>
    <row r="779" spans="17:17" x14ac:dyDescent="0.25">
      <c r="Q779" t="s">
        <v>1094</v>
      </c>
    </row>
    <row r="780" spans="17:17" x14ac:dyDescent="0.25">
      <c r="Q780" t="s">
        <v>1095</v>
      </c>
    </row>
    <row r="781" spans="17:17" x14ac:dyDescent="0.25">
      <c r="Q781" t="s">
        <v>1096</v>
      </c>
    </row>
    <row r="782" spans="17:17" x14ac:dyDescent="0.25">
      <c r="Q782" t="s">
        <v>1097</v>
      </c>
    </row>
    <row r="783" spans="17:17" x14ac:dyDescent="0.25">
      <c r="Q783" t="s">
        <v>1098</v>
      </c>
    </row>
    <row r="784" spans="17:17" x14ac:dyDescent="0.25">
      <c r="Q784" t="s">
        <v>1099</v>
      </c>
    </row>
    <row r="785" spans="17:17" x14ac:dyDescent="0.25">
      <c r="Q785" t="s">
        <v>1100</v>
      </c>
    </row>
    <row r="786" spans="17:17" x14ac:dyDescent="0.25">
      <c r="Q786" t="s">
        <v>1101</v>
      </c>
    </row>
    <row r="787" spans="17:17" x14ac:dyDescent="0.25">
      <c r="Q787" t="s">
        <v>1102</v>
      </c>
    </row>
    <row r="788" spans="17:17" x14ac:dyDescent="0.25">
      <c r="Q788" t="s">
        <v>1103</v>
      </c>
    </row>
    <row r="789" spans="17:17" x14ac:dyDescent="0.25">
      <c r="Q789" t="s">
        <v>1104</v>
      </c>
    </row>
    <row r="790" spans="17:17" x14ac:dyDescent="0.25">
      <c r="Q790" t="s">
        <v>1105</v>
      </c>
    </row>
    <row r="791" spans="17:17" x14ac:dyDescent="0.25">
      <c r="Q791" t="s">
        <v>1106</v>
      </c>
    </row>
    <row r="792" spans="17:17" x14ac:dyDescent="0.25">
      <c r="Q792" t="s">
        <v>1107</v>
      </c>
    </row>
    <row r="793" spans="17:17" x14ac:dyDescent="0.25">
      <c r="Q793" t="s">
        <v>1108</v>
      </c>
    </row>
  </sheetData>
  <sheetProtection password="CA31" sheet="1" objects="1" scenarios="1"/>
  <pageMargins left="0.7" right="0.7" top="0.75" bottom="0.75" header="0.3" footer="0.3"/>
  <pageSetup orientation="portrait"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32</vt:i4>
      </vt:variant>
    </vt:vector>
  </HeadingPairs>
  <TitlesOfParts>
    <vt:vector size="46"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NumMethods</vt:lpstr>
      <vt:lpstr>NumOrganizations</vt:lpstr>
      <vt:lpstr>NumPeople</vt:lpstr>
      <vt:lpstr>NumProcessingLevels</vt:lpstr>
      <vt:lpstr>NumRelatedFeatures</vt:lpstr>
      <vt:lpstr>NumSamplingFeatures</vt:lpstr>
      <vt:lpstr>NumSites</vt:lpstr>
      <vt:lpstr>NumSpatialOffsets</vt:lpstr>
      <vt:lpstr>NumSpecimens</vt:lpstr>
      <vt:lpstr>NumVariables</vt:lpstr>
      <vt:lpstr>PriorVersionUUID</vt:lpstr>
      <vt:lpstr>PublicationYear</vt:lpstr>
      <vt:lpstr>Publisher</vt:lpstr>
      <vt:lpstr>VersionCode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2015-03-11T16:57:40Z</dcterms:modified>
</cp:coreProperties>
</file>