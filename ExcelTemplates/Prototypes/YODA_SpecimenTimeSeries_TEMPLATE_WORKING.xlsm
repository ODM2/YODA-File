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6045" firstSheet="10" activeTab="11"/>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Column Finder" sheetId="21" r:id="rId12"/>
    <sheet name="Data Values" sheetId="5" r:id="rId13"/>
    <sheet name="YODA Header Blocks" sheetId="11" r:id="rId14"/>
    <sheet name="YODA Generator" sheetId="15" r:id="rId15"/>
    <sheet name="YODA File" sheetId="16" r:id="rId16"/>
    <sheet name="Controlled Vocabularies" sheetId="3" r:id="rId17"/>
    <sheet name="Units" sheetId="19" r:id="rId18"/>
    <sheet name="SpatialReferences" sheetId="18" r:id="rId19"/>
    <sheet name="ExternalIdentifierSystems" sheetId="17" r:id="rId20"/>
  </sheets>
  <functionGroups builtInGroupCount="17"/>
  <definedNames>
    <definedName name="_xlnm._FilterDatabase" localSheetId="15" hidden="1">'YODA File'!$A$1:$A$985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Columns'!$R$6</definedName>
    <definedName name="NumDataValues">'YODA Header Blocks'!$AK$5</definedName>
    <definedName name="NumFileColumns">'Data Columns'!$R$3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Columns'!$R$5</definedName>
    <definedName name="NumTaxClassifiers">'Taxonomic Classifiers'!$E$3</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Columns'!$R$4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H12" i="21" l="1"/>
  <c r="L12" i="21"/>
  <c r="L17" i="21"/>
  <c r="L2" i="21"/>
  <c r="L7" i="21"/>
  <c r="L20" i="21"/>
  <c r="L15" i="21"/>
  <c r="L13" i="21"/>
  <c r="L14" i="21"/>
  <c r="L16" i="21"/>
  <c r="L8" i="21"/>
  <c r="L11" i="21"/>
  <c r="L18" i="21"/>
  <c r="L19" i="21"/>
  <c r="L10" i="21"/>
  <c r="L9" i="21"/>
  <c r="L6" i="21"/>
  <c r="L3" i="21"/>
  <c r="L4" i="21"/>
  <c r="L5" i="21"/>
  <c r="L21" i="21"/>
  <c r="L22" i="21"/>
  <c r="L23" i="21"/>
  <c r="L24" i="21"/>
  <c r="L25" i="21"/>
  <c r="L26" i="21"/>
  <c r="L27" i="21"/>
  <c r="L28" i="21"/>
  <c r="L29" i="21"/>
  <c r="L30" i="21"/>
  <c r="L31" i="21"/>
  <c r="L32" i="21"/>
  <c r="G25" i="21"/>
  <c r="H25" i="21"/>
  <c r="J25" i="21"/>
  <c r="G20" i="21"/>
  <c r="G15" i="21"/>
  <c r="G3" i="21"/>
  <c r="G6" i="21"/>
  <c r="G13" i="21"/>
  <c r="G2" i="21"/>
  <c r="G14" i="21"/>
  <c r="G16" i="21"/>
  <c r="G12" i="21"/>
  <c r="G8" i="21"/>
  <c r="G11" i="21"/>
  <c r="G7" i="21"/>
  <c r="G27" i="21"/>
  <c r="G28" i="21"/>
  <c r="G18" i="21"/>
  <c r="G19" i="21"/>
  <c r="G10" i="21"/>
  <c r="G24" i="21"/>
  <c r="G9" i="21"/>
  <c r="G21" i="21"/>
  <c r="G22" i="21"/>
  <c r="G31" i="21"/>
  <c r="G29" i="21"/>
  <c r="G23" i="21"/>
  <c r="G32" i="21"/>
  <c r="G30" i="21"/>
  <c r="G26" i="21"/>
  <c r="G4" i="21"/>
  <c r="G5" i="21"/>
  <c r="G17" i="21"/>
  <c r="H7" i="21"/>
  <c r="J7" i="21"/>
  <c r="J21" i="21"/>
  <c r="J22" i="21"/>
  <c r="J6" i="21"/>
  <c r="J2" i="21"/>
  <c r="J12" i="21"/>
  <c r="J23" i="21"/>
  <c r="J26" i="21"/>
  <c r="J27" i="21"/>
  <c r="J17" i="21"/>
  <c r="P2" i="11"/>
  <c r="P6" i="11"/>
  <c r="D991" i="15"/>
  <c r="D990" i="15"/>
  <c r="AH288" i="11"/>
  <c r="AG288" i="11"/>
  <c r="AF288" i="11"/>
  <c r="AC288" i="11"/>
  <c r="AB288" i="11"/>
  <c r="AA288" i="11"/>
  <c r="Z288" i="11"/>
  <c r="Y288" i="11"/>
  <c r="X288" i="11"/>
  <c r="V288" i="11"/>
  <c r="U288" i="11"/>
  <c r="T288" i="11"/>
  <c r="S288" i="11"/>
  <c r="Q288" i="11"/>
  <c r="L288" i="11"/>
  <c r="I288" i="11"/>
  <c r="H288" i="11"/>
  <c r="G288" i="11"/>
  <c r="D288" i="11"/>
  <c r="A288" i="11"/>
  <c r="AH287" i="11"/>
  <c r="AG287" i="11"/>
  <c r="AF287" i="11"/>
  <c r="AC287" i="11"/>
  <c r="AB287" i="11"/>
  <c r="AA287" i="11"/>
  <c r="Z287" i="11"/>
  <c r="Y287" i="11"/>
  <c r="X287" i="11"/>
  <c r="V287" i="11"/>
  <c r="U287" i="11"/>
  <c r="T287" i="11"/>
  <c r="S287" i="11"/>
  <c r="Q287" i="11"/>
  <c r="L287" i="11"/>
  <c r="I287" i="11"/>
  <c r="H287" i="11"/>
  <c r="G287" i="11"/>
  <c r="D287" i="11"/>
  <c r="A287" i="11"/>
  <c r="AH286" i="11"/>
  <c r="AG286" i="11"/>
  <c r="AF286" i="11"/>
  <c r="AC286" i="11"/>
  <c r="AB286" i="11"/>
  <c r="AA286" i="11"/>
  <c r="Z286" i="11"/>
  <c r="Y286" i="11"/>
  <c r="X286" i="11"/>
  <c r="V286" i="11"/>
  <c r="U286" i="11"/>
  <c r="T286" i="11"/>
  <c r="S286" i="11"/>
  <c r="Q286" i="11"/>
  <c r="L286" i="11"/>
  <c r="I286" i="11"/>
  <c r="H286" i="11"/>
  <c r="G286" i="11"/>
  <c r="D286" i="11"/>
  <c r="A286" i="11"/>
  <c r="AH285" i="11"/>
  <c r="AG285" i="11"/>
  <c r="AF285" i="11"/>
  <c r="AC285" i="11"/>
  <c r="AB285" i="11"/>
  <c r="AA285" i="11"/>
  <c r="Z285" i="11"/>
  <c r="Y285" i="11"/>
  <c r="X285" i="11"/>
  <c r="V285" i="11"/>
  <c r="U285" i="11"/>
  <c r="T285" i="11"/>
  <c r="S285" i="11"/>
  <c r="Q285" i="11"/>
  <c r="L285" i="11"/>
  <c r="I285" i="11"/>
  <c r="H285" i="11"/>
  <c r="G285" i="11"/>
  <c r="D285" i="11"/>
  <c r="A285" i="11"/>
  <c r="AH284" i="11"/>
  <c r="AG284" i="11"/>
  <c r="AF284" i="11"/>
  <c r="AC284" i="11"/>
  <c r="AB284" i="11"/>
  <c r="AA284" i="11"/>
  <c r="Z284" i="11"/>
  <c r="Y284" i="11"/>
  <c r="X284" i="11"/>
  <c r="V284" i="11"/>
  <c r="U284" i="11"/>
  <c r="T284" i="11"/>
  <c r="S284" i="11"/>
  <c r="Q284" i="11"/>
  <c r="L284" i="11"/>
  <c r="I284" i="11"/>
  <c r="H284" i="11"/>
  <c r="G284" i="11"/>
  <c r="D284" i="11"/>
  <c r="A284" i="11"/>
  <c r="AH283" i="11"/>
  <c r="AG283" i="11"/>
  <c r="AF283" i="11"/>
  <c r="AC283" i="11"/>
  <c r="AB283" i="11"/>
  <c r="AA283" i="11"/>
  <c r="Z283" i="11"/>
  <c r="Y283" i="11"/>
  <c r="X283" i="11"/>
  <c r="V283" i="11"/>
  <c r="U283" i="11"/>
  <c r="T283" i="11"/>
  <c r="S283" i="11"/>
  <c r="Q283" i="11"/>
  <c r="L283" i="11"/>
  <c r="I283" i="11"/>
  <c r="H283" i="11"/>
  <c r="G283" i="11"/>
  <c r="D283" i="11"/>
  <c r="A283" i="11"/>
  <c r="AH282" i="11"/>
  <c r="AG282" i="11"/>
  <c r="AF282" i="11"/>
  <c r="AC282" i="11"/>
  <c r="AB282" i="11"/>
  <c r="AA282" i="11"/>
  <c r="Z282" i="11"/>
  <c r="Y282" i="11"/>
  <c r="X282" i="11"/>
  <c r="V282" i="11"/>
  <c r="U282" i="11"/>
  <c r="T282" i="11"/>
  <c r="S282" i="11"/>
  <c r="Q282" i="11"/>
  <c r="L282" i="11"/>
  <c r="I282" i="11"/>
  <c r="H282" i="11"/>
  <c r="G282" i="11"/>
  <c r="D282" i="11"/>
  <c r="A282" i="11"/>
  <c r="AH281" i="11"/>
  <c r="AG281" i="11"/>
  <c r="AF281" i="11"/>
  <c r="AC281" i="11"/>
  <c r="AB281" i="11"/>
  <c r="AA281" i="11"/>
  <c r="Z281" i="11"/>
  <c r="Y281" i="11"/>
  <c r="X281" i="11"/>
  <c r="V281" i="11"/>
  <c r="U281" i="11"/>
  <c r="T281" i="11"/>
  <c r="S281" i="11"/>
  <c r="Q281" i="11"/>
  <c r="L281" i="11"/>
  <c r="I281" i="11"/>
  <c r="H281" i="11"/>
  <c r="G281" i="11"/>
  <c r="D281" i="11"/>
  <c r="A281" i="11"/>
  <c r="AH280" i="11"/>
  <c r="AG280" i="11"/>
  <c r="AF280" i="11"/>
  <c r="AC280" i="11"/>
  <c r="AB280" i="11"/>
  <c r="AA280" i="11"/>
  <c r="Z280" i="11"/>
  <c r="Y280" i="11"/>
  <c r="X280" i="11"/>
  <c r="V280" i="11"/>
  <c r="U280" i="11"/>
  <c r="T280" i="11"/>
  <c r="S280" i="11"/>
  <c r="Q280" i="11"/>
  <c r="L280" i="11"/>
  <c r="I280" i="11"/>
  <c r="H280" i="11"/>
  <c r="G280" i="11"/>
  <c r="D280" i="11"/>
  <c r="A280" i="11"/>
  <c r="AH279" i="11"/>
  <c r="AG279" i="11"/>
  <c r="AF279" i="11"/>
  <c r="AC279" i="11"/>
  <c r="AB279" i="11"/>
  <c r="AA279" i="11"/>
  <c r="Z279" i="11"/>
  <c r="Y279" i="11"/>
  <c r="X279" i="11"/>
  <c r="V279" i="11"/>
  <c r="U279" i="11"/>
  <c r="T279" i="11"/>
  <c r="S279" i="11"/>
  <c r="Q279" i="11"/>
  <c r="L279" i="11"/>
  <c r="I279" i="11"/>
  <c r="H279" i="11"/>
  <c r="G279" i="11"/>
  <c r="D279" i="11"/>
  <c r="A279" i="11"/>
  <c r="AH278" i="11"/>
  <c r="AG278" i="11"/>
  <c r="AF278" i="11"/>
  <c r="AC278" i="11"/>
  <c r="AB278" i="11"/>
  <c r="AA278" i="11"/>
  <c r="Z278" i="11"/>
  <c r="Y278" i="11"/>
  <c r="X278" i="11"/>
  <c r="V278" i="11"/>
  <c r="U278" i="11"/>
  <c r="T278" i="11"/>
  <c r="S278" i="11"/>
  <c r="Q278" i="11"/>
  <c r="L278" i="11"/>
  <c r="I278" i="11"/>
  <c r="H278" i="11"/>
  <c r="G278" i="11"/>
  <c r="D278" i="11"/>
  <c r="A278" i="11"/>
  <c r="AH277" i="11"/>
  <c r="AG277" i="11"/>
  <c r="AF277" i="11"/>
  <c r="AC277" i="11"/>
  <c r="AB277" i="11"/>
  <c r="AA277" i="11"/>
  <c r="Z277" i="11"/>
  <c r="Y277" i="11"/>
  <c r="X277" i="11"/>
  <c r="V277" i="11"/>
  <c r="U277" i="11"/>
  <c r="T277" i="11"/>
  <c r="S277" i="11"/>
  <c r="Q277" i="11"/>
  <c r="L277" i="11"/>
  <c r="I277" i="11"/>
  <c r="H277" i="11"/>
  <c r="G277" i="11"/>
  <c r="D277" i="11"/>
  <c r="A277" i="11"/>
  <c r="AH276" i="11"/>
  <c r="AG276" i="11"/>
  <c r="AF276" i="11"/>
  <c r="AC276" i="11"/>
  <c r="AB276" i="11"/>
  <c r="AA276" i="11"/>
  <c r="Z276" i="11"/>
  <c r="Y276" i="11"/>
  <c r="X276" i="11"/>
  <c r="V276" i="11"/>
  <c r="U276" i="11"/>
  <c r="T276" i="11"/>
  <c r="S276" i="11"/>
  <c r="Q276" i="11"/>
  <c r="L276" i="11"/>
  <c r="I276" i="11"/>
  <c r="H276" i="11"/>
  <c r="G276" i="11"/>
  <c r="D276" i="11"/>
  <c r="A276" i="11"/>
  <c r="AH275" i="11"/>
  <c r="AG275" i="11"/>
  <c r="AF275" i="11"/>
  <c r="AC275" i="11"/>
  <c r="AB275" i="11"/>
  <c r="AA275" i="11"/>
  <c r="Z275" i="11"/>
  <c r="Y275" i="11"/>
  <c r="X275" i="11"/>
  <c r="V275" i="11"/>
  <c r="U275" i="11"/>
  <c r="T275" i="11"/>
  <c r="S275" i="11"/>
  <c r="Q275" i="11"/>
  <c r="L275" i="11"/>
  <c r="I275" i="11"/>
  <c r="H275" i="11"/>
  <c r="G275" i="11"/>
  <c r="D275" i="11"/>
  <c r="A275" i="11"/>
  <c r="AH274" i="11"/>
  <c r="AG274" i="11"/>
  <c r="AF274" i="11"/>
  <c r="AC274" i="11"/>
  <c r="AB274" i="11"/>
  <c r="AA274" i="11"/>
  <c r="Z274" i="11"/>
  <c r="Y274" i="11"/>
  <c r="X274" i="11"/>
  <c r="V274" i="11"/>
  <c r="U274" i="11"/>
  <c r="T274" i="11"/>
  <c r="S274" i="11"/>
  <c r="Q274" i="11"/>
  <c r="L274" i="11"/>
  <c r="I274" i="11"/>
  <c r="H274" i="11"/>
  <c r="G274" i="11"/>
  <c r="D274" i="11"/>
  <c r="A274" i="11"/>
  <c r="AH273" i="11"/>
  <c r="AG273" i="11"/>
  <c r="AF273" i="11"/>
  <c r="AC273" i="11"/>
  <c r="AB273" i="11"/>
  <c r="AA273" i="11"/>
  <c r="Z273" i="11"/>
  <c r="Y273" i="11"/>
  <c r="X273" i="11"/>
  <c r="V273" i="11"/>
  <c r="U273" i="11"/>
  <c r="T273" i="11"/>
  <c r="S273" i="11"/>
  <c r="Q273" i="11"/>
  <c r="L273" i="11"/>
  <c r="I273" i="11"/>
  <c r="H273" i="11"/>
  <c r="G273" i="11"/>
  <c r="D273" i="11"/>
  <c r="A273" i="11"/>
  <c r="AH272" i="11"/>
  <c r="AG272" i="11"/>
  <c r="AF272" i="11"/>
  <c r="AC272" i="11"/>
  <c r="AB272" i="11"/>
  <c r="AA272" i="11"/>
  <c r="Z272" i="11"/>
  <c r="Y272" i="11"/>
  <c r="X272" i="11"/>
  <c r="V272" i="11"/>
  <c r="U272" i="11"/>
  <c r="T272" i="11"/>
  <c r="S272" i="11"/>
  <c r="Q272" i="11"/>
  <c r="L272" i="11"/>
  <c r="I272" i="11"/>
  <c r="H272" i="11"/>
  <c r="G272" i="11"/>
  <c r="D272" i="11"/>
  <c r="A272" i="11"/>
  <c r="AH271" i="11"/>
  <c r="AG271" i="11"/>
  <c r="AF271" i="11"/>
  <c r="AC271" i="11"/>
  <c r="AB271" i="11"/>
  <c r="AA271" i="11"/>
  <c r="Z271" i="11"/>
  <c r="Y271" i="11"/>
  <c r="X271" i="11"/>
  <c r="V271" i="11"/>
  <c r="U271" i="11"/>
  <c r="T271" i="11"/>
  <c r="S271" i="11"/>
  <c r="Q271" i="11"/>
  <c r="L271" i="11"/>
  <c r="I271" i="11"/>
  <c r="H271" i="11"/>
  <c r="G271" i="11"/>
  <c r="D271" i="11"/>
  <c r="A271" i="11"/>
  <c r="AH270" i="11"/>
  <c r="AG270" i="11"/>
  <c r="AF270" i="11"/>
  <c r="AC270" i="11"/>
  <c r="AB270" i="11"/>
  <c r="AA270" i="11"/>
  <c r="Z270" i="11"/>
  <c r="Y270" i="11"/>
  <c r="X270" i="11"/>
  <c r="V270" i="11"/>
  <c r="U270" i="11"/>
  <c r="T270" i="11"/>
  <c r="S270" i="11"/>
  <c r="Q270" i="11"/>
  <c r="L270" i="11"/>
  <c r="I270" i="11"/>
  <c r="H270" i="11"/>
  <c r="G270" i="11"/>
  <c r="D270" i="11"/>
  <c r="A270" i="11"/>
  <c r="AH269" i="11"/>
  <c r="AG269" i="11"/>
  <c r="AF269" i="11"/>
  <c r="AC269" i="11"/>
  <c r="AB269" i="11"/>
  <c r="AA269" i="11"/>
  <c r="Z269" i="11"/>
  <c r="Y269" i="11"/>
  <c r="X269" i="11"/>
  <c r="V269" i="11"/>
  <c r="U269" i="11"/>
  <c r="T269" i="11"/>
  <c r="S269" i="11"/>
  <c r="Q269" i="11"/>
  <c r="L269" i="11"/>
  <c r="I269" i="11"/>
  <c r="H269" i="11"/>
  <c r="G269" i="11"/>
  <c r="D269" i="11"/>
  <c r="A269" i="11"/>
  <c r="AH268" i="11"/>
  <c r="AG268" i="11"/>
  <c r="AF268" i="11"/>
  <c r="AC268" i="11"/>
  <c r="AB268" i="11"/>
  <c r="AA268" i="11"/>
  <c r="Z268" i="11"/>
  <c r="Y268" i="11"/>
  <c r="X268" i="11"/>
  <c r="V268" i="11"/>
  <c r="U268" i="11"/>
  <c r="T268" i="11"/>
  <c r="S268" i="11"/>
  <c r="Q268" i="11"/>
  <c r="L268" i="11"/>
  <c r="I268" i="11"/>
  <c r="H268" i="11"/>
  <c r="G268" i="11"/>
  <c r="D268" i="11"/>
  <c r="A268" i="11"/>
  <c r="AH267" i="11"/>
  <c r="AG267" i="11"/>
  <c r="AF267" i="11"/>
  <c r="AC267" i="11"/>
  <c r="AB267" i="11"/>
  <c r="AA267" i="11"/>
  <c r="Z267" i="11"/>
  <c r="Y267" i="11"/>
  <c r="X267" i="11"/>
  <c r="V267" i="11"/>
  <c r="U267" i="11"/>
  <c r="T267" i="11"/>
  <c r="S267" i="11"/>
  <c r="Q267" i="11"/>
  <c r="L267" i="11"/>
  <c r="I267" i="11"/>
  <c r="H267" i="11"/>
  <c r="G267" i="11"/>
  <c r="D267" i="11"/>
  <c r="A267" i="11"/>
  <c r="AH266" i="11"/>
  <c r="AG266" i="11"/>
  <c r="AF266" i="11"/>
  <c r="AC266" i="11"/>
  <c r="AB266" i="11"/>
  <c r="AA266" i="11"/>
  <c r="Z266" i="11"/>
  <c r="Y266" i="11"/>
  <c r="X266" i="11"/>
  <c r="V266" i="11"/>
  <c r="U266" i="11"/>
  <c r="T266" i="11"/>
  <c r="S266" i="11"/>
  <c r="Q266" i="11"/>
  <c r="L266" i="11"/>
  <c r="I266" i="11"/>
  <c r="H266" i="11"/>
  <c r="G266" i="11"/>
  <c r="D266" i="11"/>
  <c r="A266" i="11"/>
  <c r="AH265" i="11"/>
  <c r="AG265" i="11"/>
  <c r="AF265" i="11"/>
  <c r="AC265" i="11"/>
  <c r="AB265" i="11"/>
  <c r="AA265" i="11"/>
  <c r="Z265" i="11"/>
  <c r="Y265" i="11"/>
  <c r="X265" i="11"/>
  <c r="V265" i="11"/>
  <c r="U265" i="11"/>
  <c r="T265" i="11"/>
  <c r="S265" i="11"/>
  <c r="Q265" i="11"/>
  <c r="L265" i="11"/>
  <c r="I265" i="11"/>
  <c r="H265" i="11"/>
  <c r="G265" i="11"/>
  <c r="D265" i="11"/>
  <c r="A265" i="11"/>
  <c r="AH264" i="11"/>
  <c r="AG264" i="11"/>
  <c r="AF264" i="11"/>
  <c r="AC264" i="11"/>
  <c r="AB264" i="11"/>
  <c r="AA264" i="11"/>
  <c r="Z264" i="11"/>
  <c r="Y264" i="11"/>
  <c r="X264" i="11"/>
  <c r="V264" i="11"/>
  <c r="U264" i="11"/>
  <c r="T264" i="11"/>
  <c r="S264" i="11"/>
  <c r="Q264" i="11"/>
  <c r="L264" i="11"/>
  <c r="I264" i="11"/>
  <c r="H264" i="11"/>
  <c r="G264" i="11"/>
  <c r="D264" i="11"/>
  <c r="A264" i="11"/>
  <c r="AH263" i="11"/>
  <c r="AG263" i="11"/>
  <c r="AF263" i="11"/>
  <c r="AC263" i="11"/>
  <c r="AB263" i="11"/>
  <c r="AA263" i="11"/>
  <c r="Z263" i="11"/>
  <c r="Y263" i="11"/>
  <c r="X263" i="11"/>
  <c r="V263" i="11"/>
  <c r="U263" i="11"/>
  <c r="T263" i="11"/>
  <c r="S263" i="11"/>
  <c r="Q263" i="11"/>
  <c r="L263" i="11"/>
  <c r="I263" i="11"/>
  <c r="H263" i="11"/>
  <c r="G263" i="11"/>
  <c r="D263" i="11"/>
  <c r="A263" i="11"/>
  <c r="AH262" i="11"/>
  <c r="AG262" i="11"/>
  <c r="AF262" i="11"/>
  <c r="AC262" i="11"/>
  <c r="AB262" i="11"/>
  <c r="AA262" i="11"/>
  <c r="Z262" i="11"/>
  <c r="Y262" i="11"/>
  <c r="X262" i="11"/>
  <c r="V262" i="11"/>
  <c r="U262" i="11"/>
  <c r="T262" i="11"/>
  <c r="S262" i="11"/>
  <c r="Q262" i="11"/>
  <c r="L262" i="11"/>
  <c r="I262" i="11"/>
  <c r="H262" i="11"/>
  <c r="G262" i="11"/>
  <c r="D262" i="11"/>
  <c r="A262" i="11"/>
  <c r="AH261" i="11"/>
  <c r="AG261" i="11"/>
  <c r="AF261" i="11"/>
  <c r="AC261" i="11"/>
  <c r="AB261" i="11"/>
  <c r="AA261" i="11"/>
  <c r="Z261" i="11"/>
  <c r="Y261" i="11"/>
  <c r="X261" i="11"/>
  <c r="V261" i="11"/>
  <c r="U261" i="11"/>
  <c r="T261" i="11"/>
  <c r="S261" i="11"/>
  <c r="Q261" i="11"/>
  <c r="L261" i="11"/>
  <c r="I261" i="11"/>
  <c r="H261" i="11"/>
  <c r="G261" i="11"/>
  <c r="D261" i="11"/>
  <c r="A261" i="11"/>
  <c r="AH260" i="11"/>
  <c r="AG260" i="11"/>
  <c r="AF260" i="11"/>
  <c r="AC260" i="11"/>
  <c r="AB260" i="11"/>
  <c r="AA260" i="11"/>
  <c r="Z260" i="11"/>
  <c r="Y260" i="11"/>
  <c r="X260" i="11"/>
  <c r="V260" i="11"/>
  <c r="U260" i="11"/>
  <c r="T260" i="11"/>
  <c r="S260" i="11"/>
  <c r="Q260" i="11"/>
  <c r="L260" i="11"/>
  <c r="I260" i="11"/>
  <c r="H260" i="11"/>
  <c r="G260" i="11"/>
  <c r="D260" i="11"/>
  <c r="A260" i="11"/>
  <c r="AH259" i="11"/>
  <c r="AG259" i="11"/>
  <c r="AF259" i="11"/>
  <c r="AC259" i="11"/>
  <c r="AB259" i="11"/>
  <c r="AA259" i="11"/>
  <c r="Z259" i="11"/>
  <c r="Y259" i="11"/>
  <c r="X259" i="11"/>
  <c r="V259" i="11"/>
  <c r="U259" i="11"/>
  <c r="T259" i="11"/>
  <c r="S259" i="11"/>
  <c r="Q259" i="11"/>
  <c r="L259" i="11"/>
  <c r="I259" i="11"/>
  <c r="H259" i="11"/>
  <c r="G259" i="11"/>
  <c r="D259" i="11"/>
  <c r="A259" i="11"/>
  <c r="AH258" i="11"/>
  <c r="AG258" i="11"/>
  <c r="AF258" i="11"/>
  <c r="AC258" i="11"/>
  <c r="AB258" i="11"/>
  <c r="AA258" i="11"/>
  <c r="Z258" i="11"/>
  <c r="Y258" i="11"/>
  <c r="X258" i="11"/>
  <c r="V258" i="11"/>
  <c r="U258" i="11"/>
  <c r="T258" i="11"/>
  <c r="S258" i="11"/>
  <c r="Q258" i="11"/>
  <c r="L258" i="11"/>
  <c r="I258" i="11"/>
  <c r="H258" i="11"/>
  <c r="G258" i="11"/>
  <c r="D258" i="11"/>
  <c r="A258" i="11"/>
  <c r="AH257" i="11"/>
  <c r="AG257" i="11"/>
  <c r="AF257" i="11"/>
  <c r="AC257" i="11"/>
  <c r="AB257" i="11"/>
  <c r="AA257" i="11"/>
  <c r="Z257" i="11"/>
  <c r="Y257" i="11"/>
  <c r="X257" i="11"/>
  <c r="V257" i="11"/>
  <c r="U257" i="11"/>
  <c r="T257" i="11"/>
  <c r="S257" i="11"/>
  <c r="Q257" i="11"/>
  <c r="L257" i="11"/>
  <c r="I257" i="11"/>
  <c r="H257" i="11"/>
  <c r="G257" i="11"/>
  <c r="D257" i="11"/>
  <c r="A257" i="11"/>
  <c r="AH256" i="11"/>
  <c r="AG256" i="11"/>
  <c r="AF256" i="11"/>
  <c r="AC256" i="11"/>
  <c r="AB256" i="11"/>
  <c r="AA256" i="11"/>
  <c r="Z256" i="11"/>
  <c r="Y256" i="11"/>
  <c r="X256" i="11"/>
  <c r="V256" i="11"/>
  <c r="U256" i="11"/>
  <c r="T256" i="11"/>
  <c r="S256" i="11"/>
  <c r="Q256" i="11"/>
  <c r="L256" i="11"/>
  <c r="I256" i="11"/>
  <c r="H256" i="11"/>
  <c r="G256" i="11"/>
  <c r="D256" i="11"/>
  <c r="A256" i="11"/>
  <c r="AH255" i="11"/>
  <c r="AG255" i="11"/>
  <c r="AF255" i="11"/>
  <c r="AC255" i="11"/>
  <c r="AB255" i="11"/>
  <c r="AA255" i="11"/>
  <c r="Z255" i="11"/>
  <c r="Y255" i="11"/>
  <c r="X255" i="11"/>
  <c r="V255" i="11"/>
  <c r="U255" i="11"/>
  <c r="T255" i="11"/>
  <c r="S255" i="11"/>
  <c r="Q255" i="11"/>
  <c r="L255" i="11"/>
  <c r="I255" i="11"/>
  <c r="H255" i="11"/>
  <c r="G255" i="11"/>
  <c r="D255" i="11"/>
  <c r="A255" i="11"/>
  <c r="AH254" i="11"/>
  <c r="AG254" i="11"/>
  <c r="AF254" i="11"/>
  <c r="AC254" i="11"/>
  <c r="AB254" i="11"/>
  <c r="AA254" i="11"/>
  <c r="Z254" i="11"/>
  <c r="Y254" i="11"/>
  <c r="X254" i="11"/>
  <c r="V254" i="11"/>
  <c r="U254" i="11"/>
  <c r="T254" i="11"/>
  <c r="S254" i="11"/>
  <c r="Q254" i="11"/>
  <c r="L254" i="11"/>
  <c r="I254" i="11"/>
  <c r="H254" i="11"/>
  <c r="G254" i="11"/>
  <c r="D254" i="11"/>
  <c r="A254" i="11"/>
  <c r="AH253" i="11"/>
  <c r="AG253" i="11"/>
  <c r="AF253" i="11"/>
  <c r="AC253" i="11"/>
  <c r="AB253" i="11"/>
  <c r="AA253" i="11"/>
  <c r="Z253" i="11"/>
  <c r="Y253" i="11"/>
  <c r="X253" i="11"/>
  <c r="V253" i="11"/>
  <c r="U253" i="11"/>
  <c r="T253" i="11"/>
  <c r="S253" i="11"/>
  <c r="Q253" i="11"/>
  <c r="L253" i="11"/>
  <c r="I253" i="11"/>
  <c r="H253" i="11"/>
  <c r="G253" i="11"/>
  <c r="D253" i="11"/>
  <c r="A253" i="11"/>
  <c r="AH252" i="11"/>
  <c r="AG252" i="11"/>
  <c r="AF252" i="11"/>
  <c r="AC252" i="11"/>
  <c r="AB252" i="11"/>
  <c r="AA252" i="11"/>
  <c r="Z252" i="11"/>
  <c r="Y252" i="11"/>
  <c r="X252" i="11"/>
  <c r="V252" i="11"/>
  <c r="U252" i="11"/>
  <c r="T252" i="11"/>
  <c r="S252" i="11"/>
  <c r="Q252" i="11"/>
  <c r="L252" i="11"/>
  <c r="I252" i="11"/>
  <c r="H252" i="11"/>
  <c r="G252" i="11"/>
  <c r="D252" i="11"/>
  <c r="A252" i="11"/>
  <c r="AH251" i="11"/>
  <c r="AG251" i="11"/>
  <c r="AF251" i="11"/>
  <c r="AC251" i="11"/>
  <c r="AB251" i="11"/>
  <c r="AA251" i="11"/>
  <c r="Z251" i="11"/>
  <c r="Y251" i="11"/>
  <c r="X251" i="11"/>
  <c r="V251" i="11"/>
  <c r="U251" i="11"/>
  <c r="T251" i="11"/>
  <c r="S251" i="11"/>
  <c r="Q251" i="11"/>
  <c r="L251" i="11"/>
  <c r="I251" i="11"/>
  <c r="H251" i="11"/>
  <c r="G251" i="11"/>
  <c r="D251" i="11"/>
  <c r="A251" i="11"/>
  <c r="AH250" i="11"/>
  <c r="AG250" i="11"/>
  <c r="AF250" i="11"/>
  <c r="AC250" i="11"/>
  <c r="AB250" i="11"/>
  <c r="AA250" i="11"/>
  <c r="Z250" i="11"/>
  <c r="Y250" i="11"/>
  <c r="X250" i="11"/>
  <c r="V250" i="11"/>
  <c r="U250" i="11"/>
  <c r="T250" i="11"/>
  <c r="S250" i="11"/>
  <c r="Q250" i="11"/>
  <c r="L250" i="11"/>
  <c r="I250" i="11"/>
  <c r="H250" i="11"/>
  <c r="G250" i="11"/>
  <c r="D250" i="11"/>
  <c r="A250" i="11"/>
  <c r="AH249" i="11"/>
  <c r="AG249" i="11"/>
  <c r="AF249" i="11"/>
  <c r="AC249" i="11"/>
  <c r="AB249" i="11"/>
  <c r="AA249" i="11"/>
  <c r="Z249" i="11"/>
  <c r="Y249" i="11"/>
  <c r="X249" i="11"/>
  <c r="V249" i="11"/>
  <c r="U249" i="11"/>
  <c r="T249" i="11"/>
  <c r="S249" i="11"/>
  <c r="Q249" i="11"/>
  <c r="L249" i="11"/>
  <c r="I249" i="11"/>
  <c r="H249" i="11"/>
  <c r="G249" i="11"/>
  <c r="D249" i="11"/>
  <c r="A249" i="11"/>
  <c r="AH248" i="11"/>
  <c r="AG248" i="11"/>
  <c r="AF248" i="11"/>
  <c r="AC248" i="11"/>
  <c r="AB248" i="11"/>
  <c r="AA248" i="11"/>
  <c r="Z248" i="11"/>
  <c r="Y248" i="11"/>
  <c r="X248" i="11"/>
  <c r="V248" i="11"/>
  <c r="U248" i="11"/>
  <c r="T248" i="11"/>
  <c r="S248" i="11"/>
  <c r="Q248" i="11"/>
  <c r="L248" i="11"/>
  <c r="I248" i="11"/>
  <c r="H248" i="11"/>
  <c r="G248" i="11"/>
  <c r="D248" i="11"/>
  <c r="A248" i="11"/>
  <c r="AH247" i="11"/>
  <c r="AG247" i="11"/>
  <c r="AF247" i="11"/>
  <c r="AC247" i="11"/>
  <c r="AB247" i="11"/>
  <c r="AA247" i="11"/>
  <c r="Z247" i="11"/>
  <c r="Y247" i="11"/>
  <c r="X247" i="11"/>
  <c r="V247" i="11"/>
  <c r="U247" i="11"/>
  <c r="T247" i="11"/>
  <c r="S247" i="11"/>
  <c r="Q247" i="11"/>
  <c r="L247" i="11"/>
  <c r="I247" i="11"/>
  <c r="H247" i="11"/>
  <c r="G247" i="11"/>
  <c r="D247" i="11"/>
  <c r="A247" i="11"/>
  <c r="AH246" i="11"/>
  <c r="AG246" i="11"/>
  <c r="AF246" i="11"/>
  <c r="AC246" i="11"/>
  <c r="AB246" i="11"/>
  <c r="AA246" i="11"/>
  <c r="Z246" i="11"/>
  <c r="Y246" i="11"/>
  <c r="X246" i="11"/>
  <c r="V246" i="11"/>
  <c r="U246" i="11"/>
  <c r="T246" i="11"/>
  <c r="S246" i="11"/>
  <c r="Q246" i="11"/>
  <c r="L246" i="11"/>
  <c r="I246" i="11"/>
  <c r="H246" i="11"/>
  <c r="G246" i="11"/>
  <c r="D246" i="11"/>
  <c r="A246" i="11"/>
  <c r="AH245" i="11"/>
  <c r="AG245" i="11"/>
  <c r="AF245" i="11"/>
  <c r="AC245" i="11"/>
  <c r="AB245" i="11"/>
  <c r="AA245" i="11"/>
  <c r="Z245" i="11"/>
  <c r="Y245" i="11"/>
  <c r="X245" i="11"/>
  <c r="V245" i="11"/>
  <c r="U245" i="11"/>
  <c r="T245" i="11"/>
  <c r="S245" i="11"/>
  <c r="Q245" i="11"/>
  <c r="L245" i="11"/>
  <c r="I245" i="11"/>
  <c r="H245" i="11"/>
  <c r="G245" i="11"/>
  <c r="D245" i="11"/>
  <c r="A245" i="11"/>
  <c r="AH244" i="11"/>
  <c r="AG244" i="11"/>
  <c r="AF244" i="11"/>
  <c r="AC244" i="11"/>
  <c r="AB244" i="11"/>
  <c r="AA244" i="11"/>
  <c r="Z244" i="11"/>
  <c r="Y244" i="11"/>
  <c r="X244" i="11"/>
  <c r="V244" i="11"/>
  <c r="U244" i="11"/>
  <c r="T244" i="11"/>
  <c r="S244" i="11"/>
  <c r="Q244" i="11"/>
  <c r="L244" i="11"/>
  <c r="I244" i="11"/>
  <c r="H244" i="11"/>
  <c r="G244" i="11"/>
  <c r="D244" i="11"/>
  <c r="A244" i="11"/>
  <c r="AH243" i="11"/>
  <c r="AG243" i="11"/>
  <c r="AF243" i="11"/>
  <c r="AC243" i="11"/>
  <c r="AB243" i="11"/>
  <c r="AA243" i="11"/>
  <c r="Z243" i="11"/>
  <c r="Y243" i="11"/>
  <c r="X243" i="11"/>
  <c r="V243" i="11"/>
  <c r="U243" i="11"/>
  <c r="T243" i="11"/>
  <c r="S243" i="11"/>
  <c r="Q243" i="11"/>
  <c r="L243" i="11"/>
  <c r="I243" i="11"/>
  <c r="H243" i="11"/>
  <c r="G243" i="11"/>
  <c r="D243" i="11"/>
  <c r="A243" i="11"/>
  <c r="AH242" i="11"/>
  <c r="AG242" i="11"/>
  <c r="AF242" i="11"/>
  <c r="AC242" i="11"/>
  <c r="AB242" i="11"/>
  <c r="AA242" i="11"/>
  <c r="Z242" i="11"/>
  <c r="Y242" i="11"/>
  <c r="X242" i="11"/>
  <c r="V242" i="11"/>
  <c r="U242" i="11"/>
  <c r="T242" i="11"/>
  <c r="S242" i="11"/>
  <c r="Q242" i="11"/>
  <c r="L242" i="11"/>
  <c r="I242" i="11"/>
  <c r="H242" i="11"/>
  <c r="G242" i="11"/>
  <c r="D242" i="11"/>
  <c r="A242" i="11"/>
  <c r="AH241" i="11"/>
  <c r="AG241" i="11"/>
  <c r="AF241" i="11"/>
  <c r="AC241" i="11"/>
  <c r="AB241" i="11"/>
  <c r="AA241" i="11"/>
  <c r="Z241" i="11"/>
  <c r="Y241" i="11"/>
  <c r="X241" i="11"/>
  <c r="V241" i="11"/>
  <c r="U241" i="11"/>
  <c r="T241" i="11"/>
  <c r="S241" i="11"/>
  <c r="Q241" i="11"/>
  <c r="L241" i="11"/>
  <c r="I241" i="11"/>
  <c r="H241" i="11"/>
  <c r="G241" i="11"/>
  <c r="D241" i="11"/>
  <c r="A241" i="11"/>
  <c r="AH240" i="11"/>
  <c r="AG240" i="11"/>
  <c r="AF240" i="11"/>
  <c r="AC240" i="11"/>
  <c r="AB240" i="11"/>
  <c r="AA240" i="11"/>
  <c r="Z240" i="11"/>
  <c r="Y240" i="11"/>
  <c r="X240" i="11"/>
  <c r="V240" i="11"/>
  <c r="U240" i="11"/>
  <c r="T240" i="11"/>
  <c r="S240" i="11"/>
  <c r="Q240" i="11"/>
  <c r="L240" i="11"/>
  <c r="I240" i="11"/>
  <c r="H240" i="11"/>
  <c r="G240" i="11"/>
  <c r="D240" i="11"/>
  <c r="A240" i="11"/>
  <c r="AH239" i="11"/>
  <c r="AG239" i="11"/>
  <c r="AF239" i="11"/>
  <c r="AC239" i="11"/>
  <c r="AB239" i="11"/>
  <c r="AA239" i="11"/>
  <c r="Z239" i="11"/>
  <c r="Y239" i="11"/>
  <c r="X239" i="11"/>
  <c r="V239" i="11"/>
  <c r="U239" i="11"/>
  <c r="T239" i="11"/>
  <c r="S239" i="11"/>
  <c r="Q239" i="11"/>
  <c r="L239" i="11"/>
  <c r="I239" i="11"/>
  <c r="H239" i="11"/>
  <c r="G239" i="11"/>
  <c r="D239" i="11"/>
  <c r="A239" i="11"/>
  <c r="AH238" i="11"/>
  <c r="AG238" i="11"/>
  <c r="AF238" i="11"/>
  <c r="AC238" i="11"/>
  <c r="AB238" i="11"/>
  <c r="AA238" i="11"/>
  <c r="Z238" i="11"/>
  <c r="Y238" i="11"/>
  <c r="X238" i="11"/>
  <c r="V238" i="11"/>
  <c r="U238" i="11"/>
  <c r="T238" i="11"/>
  <c r="S238" i="11"/>
  <c r="Q238" i="11"/>
  <c r="L238" i="11"/>
  <c r="I238" i="11"/>
  <c r="H238" i="11"/>
  <c r="G238" i="11"/>
  <c r="D238" i="11"/>
  <c r="A238" i="11"/>
  <c r="AH237" i="11"/>
  <c r="AG237" i="11"/>
  <c r="AF237" i="11"/>
  <c r="AC237" i="11"/>
  <c r="AB237" i="11"/>
  <c r="AA237" i="11"/>
  <c r="Z237" i="11"/>
  <c r="Y237" i="11"/>
  <c r="X237" i="11"/>
  <c r="V237" i="11"/>
  <c r="U237" i="11"/>
  <c r="T237" i="11"/>
  <c r="S237" i="11"/>
  <c r="Q237" i="11"/>
  <c r="L237" i="11"/>
  <c r="I237" i="11"/>
  <c r="H237" i="11"/>
  <c r="G237" i="11"/>
  <c r="D237" i="11"/>
  <c r="A237" i="11"/>
  <c r="AH236" i="11"/>
  <c r="AG236" i="11"/>
  <c r="AF236" i="11"/>
  <c r="AC236" i="11"/>
  <c r="AB236" i="11"/>
  <c r="AA236" i="11"/>
  <c r="Z236" i="11"/>
  <c r="Y236" i="11"/>
  <c r="X236" i="11"/>
  <c r="V236" i="11"/>
  <c r="U236" i="11"/>
  <c r="T236" i="11"/>
  <c r="S236" i="11"/>
  <c r="Q236" i="11"/>
  <c r="L236" i="11"/>
  <c r="I236" i="11"/>
  <c r="H236" i="11"/>
  <c r="G236" i="11"/>
  <c r="D236" i="11"/>
  <c r="A236" i="11"/>
  <c r="AH235" i="11"/>
  <c r="AG235" i="11"/>
  <c r="AF235" i="11"/>
  <c r="AC235" i="11"/>
  <c r="AB235" i="11"/>
  <c r="AA235" i="11"/>
  <c r="Z235" i="11"/>
  <c r="Y235" i="11"/>
  <c r="X235" i="11"/>
  <c r="V235" i="11"/>
  <c r="U235" i="11"/>
  <c r="T235" i="11"/>
  <c r="S235" i="11"/>
  <c r="Q235" i="11"/>
  <c r="L235" i="11"/>
  <c r="I235" i="11"/>
  <c r="H235" i="11"/>
  <c r="G235" i="11"/>
  <c r="D235" i="11"/>
  <c r="A235" i="11"/>
  <c r="AH234" i="11"/>
  <c r="AG234" i="11"/>
  <c r="AF234" i="11"/>
  <c r="AC234" i="11"/>
  <c r="AB234" i="11"/>
  <c r="AA234" i="11"/>
  <c r="Z234" i="11"/>
  <c r="Y234" i="11"/>
  <c r="X234" i="11"/>
  <c r="V234" i="11"/>
  <c r="U234" i="11"/>
  <c r="T234" i="11"/>
  <c r="S234" i="11"/>
  <c r="Q234" i="11"/>
  <c r="L234" i="11"/>
  <c r="I234" i="11"/>
  <c r="H234" i="11"/>
  <c r="G234" i="11"/>
  <c r="D234" i="11"/>
  <c r="A234" i="11"/>
  <c r="AH233" i="11"/>
  <c r="AG233" i="11"/>
  <c r="AF233" i="11"/>
  <c r="AC233" i="11"/>
  <c r="AB233" i="11"/>
  <c r="AA233" i="11"/>
  <c r="Z233" i="11"/>
  <c r="Y233" i="11"/>
  <c r="X233" i="11"/>
  <c r="V233" i="11"/>
  <c r="U233" i="11"/>
  <c r="T233" i="11"/>
  <c r="S233" i="11"/>
  <c r="Q233" i="11"/>
  <c r="L233" i="11"/>
  <c r="I233" i="11"/>
  <c r="H233" i="11"/>
  <c r="G233" i="11"/>
  <c r="D233" i="11"/>
  <c r="A233" i="11"/>
  <c r="AH232" i="11"/>
  <c r="AG232" i="11"/>
  <c r="AF232" i="11"/>
  <c r="AC232" i="11"/>
  <c r="AB232" i="11"/>
  <c r="AA232" i="11"/>
  <c r="Z232" i="11"/>
  <c r="Y232" i="11"/>
  <c r="X232" i="11"/>
  <c r="V232" i="11"/>
  <c r="U232" i="11"/>
  <c r="T232" i="11"/>
  <c r="S232" i="11"/>
  <c r="Q232" i="11"/>
  <c r="L232" i="11"/>
  <c r="I232" i="11"/>
  <c r="H232" i="11"/>
  <c r="G232" i="11"/>
  <c r="D232" i="11"/>
  <c r="A232" i="11"/>
  <c r="AH231" i="11"/>
  <c r="AG231" i="11"/>
  <c r="AF231" i="11"/>
  <c r="AC231" i="11"/>
  <c r="AB231" i="11"/>
  <c r="AA231" i="11"/>
  <c r="Z231" i="11"/>
  <c r="Y231" i="11"/>
  <c r="X231" i="11"/>
  <c r="V231" i="11"/>
  <c r="U231" i="11"/>
  <c r="T231" i="11"/>
  <c r="S231" i="11"/>
  <c r="Q231" i="11"/>
  <c r="L231" i="11"/>
  <c r="I231" i="11"/>
  <c r="H231" i="11"/>
  <c r="G231" i="11"/>
  <c r="D231" i="11"/>
  <c r="A231" i="11"/>
  <c r="AH230" i="11"/>
  <c r="AG230" i="11"/>
  <c r="AF230" i="11"/>
  <c r="AC230" i="11"/>
  <c r="AB230" i="11"/>
  <c r="AA230" i="11"/>
  <c r="Z230" i="11"/>
  <c r="Y230" i="11"/>
  <c r="X230" i="11"/>
  <c r="V230" i="11"/>
  <c r="U230" i="11"/>
  <c r="T230" i="11"/>
  <c r="S230" i="11"/>
  <c r="Q230" i="11"/>
  <c r="L230" i="11"/>
  <c r="I230" i="11"/>
  <c r="H230" i="11"/>
  <c r="G230" i="11"/>
  <c r="D230" i="11"/>
  <c r="A230" i="11"/>
  <c r="AH229" i="11"/>
  <c r="AG229" i="11"/>
  <c r="AF229" i="11"/>
  <c r="AC229" i="11"/>
  <c r="AB229" i="11"/>
  <c r="AA229" i="11"/>
  <c r="Z229" i="11"/>
  <c r="Y229" i="11"/>
  <c r="X229" i="11"/>
  <c r="V229" i="11"/>
  <c r="U229" i="11"/>
  <c r="T229" i="11"/>
  <c r="S229" i="11"/>
  <c r="Q229" i="11"/>
  <c r="L229" i="11"/>
  <c r="I229" i="11"/>
  <c r="H229" i="11"/>
  <c r="G229" i="11"/>
  <c r="D229" i="11"/>
  <c r="A229" i="11"/>
  <c r="AH228" i="11"/>
  <c r="AG228" i="11"/>
  <c r="AF228" i="11"/>
  <c r="AC228" i="11"/>
  <c r="AB228" i="11"/>
  <c r="AA228" i="11"/>
  <c r="Z228" i="11"/>
  <c r="Y228" i="11"/>
  <c r="X228" i="11"/>
  <c r="V228" i="11"/>
  <c r="U228" i="11"/>
  <c r="T228" i="11"/>
  <c r="S228" i="11"/>
  <c r="Q228" i="11"/>
  <c r="L228" i="11"/>
  <c r="I228" i="11"/>
  <c r="H228" i="11"/>
  <c r="G228" i="11"/>
  <c r="D228" i="11"/>
  <c r="A228" i="11"/>
  <c r="AH227" i="11"/>
  <c r="AG227" i="11"/>
  <c r="AF227" i="11"/>
  <c r="AC227" i="11"/>
  <c r="AB227" i="11"/>
  <c r="AA227" i="11"/>
  <c r="Z227" i="11"/>
  <c r="Y227" i="11"/>
  <c r="X227" i="11"/>
  <c r="V227" i="11"/>
  <c r="U227" i="11"/>
  <c r="T227" i="11"/>
  <c r="S227" i="11"/>
  <c r="Q227" i="11"/>
  <c r="L227" i="11"/>
  <c r="I227" i="11"/>
  <c r="H227" i="11"/>
  <c r="G227" i="11"/>
  <c r="D227" i="11"/>
  <c r="A227" i="11"/>
  <c r="AH226" i="11"/>
  <c r="AG226" i="11"/>
  <c r="AF226" i="11"/>
  <c r="AC226" i="11"/>
  <c r="AB226" i="11"/>
  <c r="AA226" i="11"/>
  <c r="Z226" i="11"/>
  <c r="Y226" i="11"/>
  <c r="X226" i="11"/>
  <c r="V226" i="11"/>
  <c r="U226" i="11"/>
  <c r="T226" i="11"/>
  <c r="S226" i="11"/>
  <c r="Q226" i="11"/>
  <c r="L226" i="11"/>
  <c r="I226" i="11"/>
  <c r="H226" i="11"/>
  <c r="G226" i="11"/>
  <c r="D226" i="11"/>
  <c r="A226" i="11"/>
  <c r="AH225" i="11"/>
  <c r="AG225" i="11"/>
  <c r="AF225" i="11"/>
  <c r="AC225" i="11"/>
  <c r="AB225" i="11"/>
  <c r="AA225" i="11"/>
  <c r="Z225" i="11"/>
  <c r="Y225" i="11"/>
  <c r="X225" i="11"/>
  <c r="V225" i="11"/>
  <c r="U225" i="11"/>
  <c r="T225" i="11"/>
  <c r="S225" i="11"/>
  <c r="Q225" i="11"/>
  <c r="L225" i="11"/>
  <c r="I225" i="11"/>
  <c r="H225" i="11"/>
  <c r="G225" i="11"/>
  <c r="D225" i="11"/>
  <c r="A225" i="11"/>
  <c r="AH224" i="11"/>
  <c r="AG224" i="11"/>
  <c r="AF224" i="11"/>
  <c r="AC224" i="11"/>
  <c r="AB224" i="11"/>
  <c r="AA224" i="11"/>
  <c r="Z224" i="11"/>
  <c r="Y224" i="11"/>
  <c r="X224" i="11"/>
  <c r="V224" i="11"/>
  <c r="U224" i="11"/>
  <c r="T224" i="11"/>
  <c r="S224" i="11"/>
  <c r="Q224" i="11"/>
  <c r="L224" i="11"/>
  <c r="I224" i="11"/>
  <c r="H224" i="11"/>
  <c r="G224" i="11"/>
  <c r="D224" i="11"/>
  <c r="A224" i="11"/>
  <c r="AH223" i="11"/>
  <c r="AG223" i="11"/>
  <c r="AF223" i="11"/>
  <c r="AC223" i="11"/>
  <c r="AB223" i="11"/>
  <c r="AA223" i="11"/>
  <c r="Z223" i="11"/>
  <c r="Y223" i="11"/>
  <c r="X223" i="11"/>
  <c r="V223" i="11"/>
  <c r="U223" i="11"/>
  <c r="T223" i="11"/>
  <c r="S223" i="11"/>
  <c r="Q223" i="11"/>
  <c r="L223" i="11"/>
  <c r="I223" i="11"/>
  <c r="H223" i="11"/>
  <c r="G223" i="11"/>
  <c r="D223" i="11"/>
  <c r="A223" i="11"/>
  <c r="AH222" i="11"/>
  <c r="AG222" i="11"/>
  <c r="AF222" i="11"/>
  <c r="AC222" i="11"/>
  <c r="AB222" i="11"/>
  <c r="AA222" i="11"/>
  <c r="Z222" i="11"/>
  <c r="Y222" i="11"/>
  <c r="X222" i="11"/>
  <c r="V222" i="11"/>
  <c r="U222" i="11"/>
  <c r="T222" i="11"/>
  <c r="S222" i="11"/>
  <c r="Q222" i="11"/>
  <c r="L222" i="11"/>
  <c r="I222" i="11"/>
  <c r="H222" i="11"/>
  <c r="G222" i="11"/>
  <c r="D222" i="11"/>
  <c r="A222" i="11"/>
  <c r="AH221" i="11"/>
  <c r="AG221" i="11"/>
  <c r="AF221" i="11"/>
  <c r="AC221" i="11"/>
  <c r="AB221" i="11"/>
  <c r="AA221" i="11"/>
  <c r="Z221" i="11"/>
  <c r="Y221" i="11"/>
  <c r="X221" i="11"/>
  <c r="V221" i="11"/>
  <c r="U221" i="11"/>
  <c r="T221" i="11"/>
  <c r="S221" i="11"/>
  <c r="Q221" i="11"/>
  <c r="L221" i="11"/>
  <c r="I221" i="11"/>
  <c r="H221" i="11"/>
  <c r="G221" i="11"/>
  <c r="D221" i="11"/>
  <c r="A221" i="11"/>
  <c r="AH220" i="11"/>
  <c r="AG220" i="11"/>
  <c r="AF220" i="11"/>
  <c r="AC220" i="11"/>
  <c r="AB220" i="11"/>
  <c r="AA220" i="11"/>
  <c r="Z220" i="11"/>
  <c r="Y220" i="11"/>
  <c r="X220" i="11"/>
  <c r="V220" i="11"/>
  <c r="U220" i="11"/>
  <c r="T220" i="11"/>
  <c r="S220" i="11"/>
  <c r="Q220" i="11"/>
  <c r="L220" i="11"/>
  <c r="I220" i="11"/>
  <c r="H220" i="11"/>
  <c r="G220" i="11"/>
  <c r="D220" i="11"/>
  <c r="A220" i="11"/>
  <c r="AH219" i="11"/>
  <c r="AG219" i="11"/>
  <c r="AF219" i="11"/>
  <c r="AC219" i="11"/>
  <c r="AB219" i="11"/>
  <c r="AA219" i="11"/>
  <c r="Z219" i="11"/>
  <c r="Y219" i="11"/>
  <c r="X219" i="11"/>
  <c r="V219" i="11"/>
  <c r="U219" i="11"/>
  <c r="T219" i="11"/>
  <c r="S219" i="11"/>
  <c r="Q219" i="11"/>
  <c r="L219" i="11"/>
  <c r="I219" i="11"/>
  <c r="H219" i="11"/>
  <c r="G219" i="11"/>
  <c r="D219" i="11"/>
  <c r="A219" i="11"/>
  <c r="AH218" i="11"/>
  <c r="AG218" i="11"/>
  <c r="AF218" i="11"/>
  <c r="AC218" i="11"/>
  <c r="AB218" i="11"/>
  <c r="AA218" i="11"/>
  <c r="Z218" i="11"/>
  <c r="Y218" i="11"/>
  <c r="X218" i="11"/>
  <c r="V218" i="11"/>
  <c r="U218" i="11"/>
  <c r="T218" i="11"/>
  <c r="S218" i="11"/>
  <c r="Q218" i="11"/>
  <c r="L218" i="11"/>
  <c r="I218" i="11"/>
  <c r="H218" i="11"/>
  <c r="G218" i="11"/>
  <c r="D218" i="11"/>
  <c r="A218" i="11"/>
  <c r="AH217" i="11"/>
  <c r="AG217" i="11"/>
  <c r="AF217" i="11"/>
  <c r="AC217" i="11"/>
  <c r="AB217" i="11"/>
  <c r="AA217" i="11"/>
  <c r="Z217" i="11"/>
  <c r="Y217" i="11"/>
  <c r="X217" i="11"/>
  <c r="V217" i="11"/>
  <c r="U217" i="11"/>
  <c r="T217" i="11"/>
  <c r="S217" i="11"/>
  <c r="Q217" i="11"/>
  <c r="L217" i="11"/>
  <c r="I217" i="11"/>
  <c r="H217" i="11"/>
  <c r="G217" i="11"/>
  <c r="D217" i="11"/>
  <c r="A217" i="11"/>
  <c r="AH216" i="11"/>
  <c r="AG216" i="11"/>
  <c r="AF216" i="11"/>
  <c r="AC216" i="11"/>
  <c r="AB216" i="11"/>
  <c r="AA216" i="11"/>
  <c r="Z216" i="11"/>
  <c r="Y216" i="11"/>
  <c r="X216" i="11"/>
  <c r="V216" i="11"/>
  <c r="U216" i="11"/>
  <c r="T216" i="11"/>
  <c r="S216" i="11"/>
  <c r="Q216" i="11"/>
  <c r="L216" i="11"/>
  <c r="I216" i="11"/>
  <c r="H216" i="11"/>
  <c r="G216" i="11"/>
  <c r="D216" i="11"/>
  <c r="A216" i="11"/>
  <c r="AH215" i="11"/>
  <c r="AG215" i="11"/>
  <c r="AF215" i="11"/>
  <c r="AC215" i="11"/>
  <c r="AB215" i="11"/>
  <c r="AA215" i="11"/>
  <c r="Z215" i="11"/>
  <c r="Y215" i="11"/>
  <c r="X215" i="11"/>
  <c r="V215" i="11"/>
  <c r="U215" i="11"/>
  <c r="T215" i="11"/>
  <c r="S215" i="11"/>
  <c r="Q215" i="11"/>
  <c r="L215" i="11"/>
  <c r="I215" i="11"/>
  <c r="H215" i="11"/>
  <c r="G215" i="11"/>
  <c r="D215" i="11"/>
  <c r="A215" i="11"/>
  <c r="AH214" i="11"/>
  <c r="AG214" i="11"/>
  <c r="AF214" i="11"/>
  <c r="AC214" i="11"/>
  <c r="AB214" i="11"/>
  <c r="AA214" i="11"/>
  <c r="Z214" i="11"/>
  <c r="Y214" i="11"/>
  <c r="X214" i="11"/>
  <c r="V214" i="11"/>
  <c r="U214" i="11"/>
  <c r="T214" i="11"/>
  <c r="S214" i="11"/>
  <c r="Q214" i="11"/>
  <c r="L214" i="11"/>
  <c r="I214" i="11"/>
  <c r="H214" i="11"/>
  <c r="G214" i="11"/>
  <c r="D214" i="11"/>
  <c r="A214" i="11"/>
  <c r="AH213" i="11"/>
  <c r="AG213" i="11"/>
  <c r="AF213" i="11"/>
  <c r="AC213" i="11"/>
  <c r="AB213" i="11"/>
  <c r="AA213" i="11"/>
  <c r="Z213" i="11"/>
  <c r="Y213" i="11"/>
  <c r="X213" i="11"/>
  <c r="V213" i="11"/>
  <c r="U213" i="11"/>
  <c r="T213" i="11"/>
  <c r="S213" i="11"/>
  <c r="Q213" i="11"/>
  <c r="L213" i="11"/>
  <c r="I213" i="11"/>
  <c r="H213" i="11"/>
  <c r="G213" i="11"/>
  <c r="D213" i="11"/>
  <c r="A213" i="11"/>
  <c r="AH212" i="11"/>
  <c r="AG212" i="11"/>
  <c r="AF212" i="11"/>
  <c r="AC212" i="11"/>
  <c r="AB212" i="11"/>
  <c r="AA212" i="11"/>
  <c r="Z212" i="11"/>
  <c r="Y212" i="11"/>
  <c r="X212" i="11"/>
  <c r="V212" i="11"/>
  <c r="U212" i="11"/>
  <c r="T212" i="11"/>
  <c r="S212" i="11"/>
  <c r="Q212" i="11"/>
  <c r="L212" i="11"/>
  <c r="I212" i="11"/>
  <c r="H212" i="11"/>
  <c r="G212" i="11"/>
  <c r="D212" i="11"/>
  <c r="A212" i="11"/>
  <c r="AH211" i="11"/>
  <c r="AG211" i="11"/>
  <c r="AF211" i="11"/>
  <c r="AC211" i="11"/>
  <c r="AB211" i="11"/>
  <c r="AA211" i="11"/>
  <c r="Z211" i="11"/>
  <c r="Y211" i="11"/>
  <c r="X211" i="11"/>
  <c r="V211" i="11"/>
  <c r="U211" i="11"/>
  <c r="T211" i="11"/>
  <c r="S211" i="11"/>
  <c r="Q211" i="11"/>
  <c r="L211" i="11"/>
  <c r="I211" i="11"/>
  <c r="H211" i="11"/>
  <c r="G211" i="11"/>
  <c r="D211" i="11"/>
  <c r="A211" i="11"/>
  <c r="AH210" i="11"/>
  <c r="AG210" i="11"/>
  <c r="AF210" i="11"/>
  <c r="AC210" i="11"/>
  <c r="AB210" i="11"/>
  <c r="AA210" i="11"/>
  <c r="Z210" i="11"/>
  <c r="Y210" i="11"/>
  <c r="X210" i="11"/>
  <c r="V210" i="11"/>
  <c r="U210" i="11"/>
  <c r="T210" i="11"/>
  <c r="S210" i="11"/>
  <c r="Q210" i="11"/>
  <c r="L210" i="11"/>
  <c r="I210" i="11"/>
  <c r="H210" i="11"/>
  <c r="G210" i="11"/>
  <c r="D210" i="11"/>
  <c r="A210" i="11"/>
  <c r="AH209" i="11"/>
  <c r="AG209" i="11"/>
  <c r="AF209" i="11"/>
  <c r="AC209" i="11"/>
  <c r="AB209" i="11"/>
  <c r="AA209" i="11"/>
  <c r="Z209" i="11"/>
  <c r="Y209" i="11"/>
  <c r="X209" i="11"/>
  <c r="V209" i="11"/>
  <c r="U209" i="11"/>
  <c r="T209" i="11"/>
  <c r="S209" i="11"/>
  <c r="Q209" i="11"/>
  <c r="L209" i="11"/>
  <c r="I209" i="11"/>
  <c r="H209" i="11"/>
  <c r="G209" i="11"/>
  <c r="D209" i="11"/>
  <c r="A209" i="11"/>
  <c r="AH208" i="11"/>
  <c r="AG208" i="11"/>
  <c r="AF208" i="11"/>
  <c r="AC208" i="11"/>
  <c r="AB208" i="11"/>
  <c r="AA208" i="11"/>
  <c r="Z208" i="11"/>
  <c r="Y208" i="11"/>
  <c r="X208" i="11"/>
  <c r="V208" i="11"/>
  <c r="U208" i="11"/>
  <c r="T208" i="11"/>
  <c r="S208" i="11"/>
  <c r="Q208" i="11"/>
  <c r="L208" i="11"/>
  <c r="I208" i="11"/>
  <c r="H208" i="11"/>
  <c r="G208" i="11"/>
  <c r="D208" i="11"/>
  <c r="A208" i="11"/>
  <c r="AH207" i="11"/>
  <c r="AG207" i="11"/>
  <c r="AF207" i="11"/>
  <c r="AC207" i="11"/>
  <c r="AB207" i="11"/>
  <c r="AA207" i="11"/>
  <c r="Z207" i="11"/>
  <c r="Y207" i="11"/>
  <c r="X207" i="11"/>
  <c r="V207" i="11"/>
  <c r="U207" i="11"/>
  <c r="T207" i="11"/>
  <c r="S207" i="11"/>
  <c r="Q207" i="11"/>
  <c r="L207" i="11"/>
  <c r="I207" i="11"/>
  <c r="H207" i="11"/>
  <c r="G207" i="11"/>
  <c r="D207" i="11"/>
  <c r="A207" i="11"/>
  <c r="AH206" i="11"/>
  <c r="AG206" i="11"/>
  <c r="AF206" i="11"/>
  <c r="AC206" i="11"/>
  <c r="AB206" i="11"/>
  <c r="AA206" i="11"/>
  <c r="Z206" i="11"/>
  <c r="Y206" i="11"/>
  <c r="X206" i="11"/>
  <c r="V206" i="11"/>
  <c r="U206" i="11"/>
  <c r="T206" i="11"/>
  <c r="S206" i="11"/>
  <c r="Q206" i="11"/>
  <c r="L206" i="11"/>
  <c r="I206" i="11"/>
  <c r="H206" i="11"/>
  <c r="G206" i="11"/>
  <c r="D206" i="11"/>
  <c r="A206" i="11"/>
  <c r="AH205" i="11"/>
  <c r="AG205" i="11"/>
  <c r="AF205" i="11"/>
  <c r="AC205" i="11"/>
  <c r="AB205" i="11"/>
  <c r="AA205" i="11"/>
  <c r="Z205" i="11"/>
  <c r="Y205" i="11"/>
  <c r="X205" i="11"/>
  <c r="V205" i="11"/>
  <c r="U205" i="11"/>
  <c r="T205" i="11"/>
  <c r="S205" i="11"/>
  <c r="Q205" i="11"/>
  <c r="L205" i="11"/>
  <c r="I205" i="11"/>
  <c r="H205" i="11"/>
  <c r="G205" i="11"/>
  <c r="D205" i="11"/>
  <c r="A205" i="11"/>
  <c r="AH204" i="11"/>
  <c r="AG204" i="11"/>
  <c r="AF204" i="11"/>
  <c r="AC204" i="11"/>
  <c r="AB204" i="11"/>
  <c r="AA204" i="11"/>
  <c r="Z204" i="11"/>
  <c r="Y204" i="11"/>
  <c r="X204" i="11"/>
  <c r="V204" i="11"/>
  <c r="U204" i="11"/>
  <c r="T204" i="11"/>
  <c r="S204" i="11"/>
  <c r="Q204" i="11"/>
  <c r="L204" i="11"/>
  <c r="I204" i="11"/>
  <c r="H204" i="11"/>
  <c r="G204" i="11"/>
  <c r="D204" i="11"/>
  <c r="A204" i="11"/>
  <c r="AH203" i="11"/>
  <c r="AG203" i="11"/>
  <c r="AF203" i="11"/>
  <c r="AC203" i="11"/>
  <c r="AB203" i="11"/>
  <c r="AA203" i="11"/>
  <c r="Z203" i="11"/>
  <c r="Y203" i="11"/>
  <c r="X203" i="11"/>
  <c r="V203" i="11"/>
  <c r="U203" i="11"/>
  <c r="T203" i="11"/>
  <c r="S203" i="11"/>
  <c r="Q203" i="11"/>
  <c r="L203" i="11"/>
  <c r="I203" i="11"/>
  <c r="H203" i="11"/>
  <c r="G203" i="11"/>
  <c r="D203" i="11"/>
  <c r="A203" i="11"/>
  <c r="AH202" i="11"/>
  <c r="AG202" i="11"/>
  <c r="AF202" i="11"/>
  <c r="AC202" i="11"/>
  <c r="AB202" i="11"/>
  <c r="AA202" i="11"/>
  <c r="Z202" i="11"/>
  <c r="Y202" i="11"/>
  <c r="X202" i="11"/>
  <c r="V202" i="11"/>
  <c r="U202" i="11"/>
  <c r="T202" i="11"/>
  <c r="S202" i="11"/>
  <c r="Q202" i="11"/>
  <c r="L202" i="11"/>
  <c r="I202" i="11"/>
  <c r="H202" i="11"/>
  <c r="G202" i="11"/>
  <c r="D202" i="11"/>
  <c r="A202" i="11"/>
  <c r="AH201" i="11"/>
  <c r="AG201" i="11"/>
  <c r="AF201" i="11"/>
  <c r="AC201" i="11"/>
  <c r="AB201" i="11"/>
  <c r="AA201" i="11"/>
  <c r="Z201" i="11"/>
  <c r="Y201" i="11"/>
  <c r="X201" i="11"/>
  <c r="V201" i="11"/>
  <c r="U201" i="11"/>
  <c r="T201" i="11"/>
  <c r="S201" i="11"/>
  <c r="Q201" i="11"/>
  <c r="L201" i="11"/>
  <c r="I201" i="11"/>
  <c r="H201" i="11"/>
  <c r="G201" i="11"/>
  <c r="D201" i="11"/>
  <c r="A201" i="11"/>
  <c r="AH200" i="11"/>
  <c r="AG200" i="11"/>
  <c r="AF200" i="11"/>
  <c r="AC200" i="11"/>
  <c r="AB200" i="11"/>
  <c r="AA200" i="11"/>
  <c r="Z200" i="11"/>
  <c r="Y200" i="11"/>
  <c r="X200" i="11"/>
  <c r="V200" i="11"/>
  <c r="U200" i="11"/>
  <c r="T200" i="11"/>
  <c r="S200" i="11"/>
  <c r="Q200" i="11"/>
  <c r="L200" i="11"/>
  <c r="I200" i="11"/>
  <c r="H200" i="11"/>
  <c r="G200" i="11"/>
  <c r="D200" i="11"/>
  <c r="A200" i="11"/>
  <c r="AH199" i="11"/>
  <c r="AG199" i="11"/>
  <c r="AF199" i="11"/>
  <c r="AC199" i="11"/>
  <c r="AB199" i="11"/>
  <c r="AA199" i="11"/>
  <c r="Z199" i="11"/>
  <c r="Y199" i="11"/>
  <c r="X199" i="11"/>
  <c r="V199" i="11"/>
  <c r="U199" i="11"/>
  <c r="T199" i="11"/>
  <c r="S199" i="11"/>
  <c r="Q199" i="11"/>
  <c r="L199" i="11"/>
  <c r="I199" i="11"/>
  <c r="H199" i="11"/>
  <c r="G199" i="11"/>
  <c r="D199" i="11"/>
  <c r="A199" i="11"/>
  <c r="AH198" i="11"/>
  <c r="AG198" i="11"/>
  <c r="AF198" i="11"/>
  <c r="AC198" i="11"/>
  <c r="AB198" i="11"/>
  <c r="AA198" i="11"/>
  <c r="Z198" i="11"/>
  <c r="Y198" i="11"/>
  <c r="X198" i="11"/>
  <c r="V198" i="11"/>
  <c r="U198" i="11"/>
  <c r="T198" i="11"/>
  <c r="S198" i="11"/>
  <c r="Q198" i="11"/>
  <c r="L198" i="11"/>
  <c r="I198" i="11"/>
  <c r="H198" i="11"/>
  <c r="G198" i="11"/>
  <c r="D198" i="11"/>
  <c r="A198" i="11"/>
  <c r="AH197" i="11"/>
  <c r="AG197" i="11"/>
  <c r="AF197" i="11"/>
  <c r="AC197" i="11"/>
  <c r="AB197" i="11"/>
  <c r="AA197" i="11"/>
  <c r="Z197" i="11"/>
  <c r="Y197" i="11"/>
  <c r="X197" i="11"/>
  <c r="V197" i="11"/>
  <c r="U197" i="11"/>
  <c r="T197" i="11"/>
  <c r="S197" i="11"/>
  <c r="Q197" i="11"/>
  <c r="L197" i="11"/>
  <c r="I197" i="11"/>
  <c r="H197" i="11"/>
  <c r="G197" i="11"/>
  <c r="D197" i="11"/>
  <c r="A197" i="11"/>
  <c r="AH196" i="11"/>
  <c r="AG196" i="11"/>
  <c r="AF196" i="11"/>
  <c r="AC196" i="11"/>
  <c r="AB196" i="11"/>
  <c r="AA196" i="11"/>
  <c r="Z196" i="11"/>
  <c r="Y196" i="11"/>
  <c r="X196" i="11"/>
  <c r="V196" i="11"/>
  <c r="U196" i="11"/>
  <c r="T196" i="11"/>
  <c r="S196" i="11"/>
  <c r="Q196" i="11"/>
  <c r="L196" i="11"/>
  <c r="I196" i="11"/>
  <c r="H196" i="11"/>
  <c r="G196" i="11"/>
  <c r="D196" i="11"/>
  <c r="A196" i="11"/>
  <c r="AH195" i="11"/>
  <c r="AG195" i="11"/>
  <c r="AF195" i="11"/>
  <c r="AC195" i="11"/>
  <c r="AB195" i="11"/>
  <c r="AA195" i="11"/>
  <c r="Z195" i="11"/>
  <c r="Y195" i="11"/>
  <c r="X195" i="11"/>
  <c r="V195" i="11"/>
  <c r="U195" i="11"/>
  <c r="T195" i="11"/>
  <c r="S195" i="11"/>
  <c r="Q195" i="11"/>
  <c r="L195" i="11"/>
  <c r="I195" i="11"/>
  <c r="H195" i="11"/>
  <c r="G195" i="11"/>
  <c r="D195" i="11"/>
  <c r="A195" i="11"/>
  <c r="AH194" i="11"/>
  <c r="AG194" i="11"/>
  <c r="AF194" i="11"/>
  <c r="AC194" i="11"/>
  <c r="AB194" i="11"/>
  <c r="AA194" i="11"/>
  <c r="Z194" i="11"/>
  <c r="Y194" i="11"/>
  <c r="X194" i="11"/>
  <c r="V194" i="11"/>
  <c r="U194" i="11"/>
  <c r="T194" i="11"/>
  <c r="S194" i="11"/>
  <c r="Q194" i="11"/>
  <c r="L194" i="11"/>
  <c r="I194" i="11"/>
  <c r="H194" i="11"/>
  <c r="G194" i="11"/>
  <c r="D194" i="11"/>
  <c r="A194" i="11"/>
  <c r="AH193" i="11"/>
  <c r="AG193" i="11"/>
  <c r="AF193" i="11"/>
  <c r="AC193" i="11"/>
  <c r="AB193" i="11"/>
  <c r="AA193" i="11"/>
  <c r="Z193" i="11"/>
  <c r="Y193" i="11"/>
  <c r="X193" i="11"/>
  <c r="V193" i="11"/>
  <c r="U193" i="11"/>
  <c r="T193" i="11"/>
  <c r="S193" i="11"/>
  <c r="Q193" i="11"/>
  <c r="L193" i="11"/>
  <c r="I193" i="11"/>
  <c r="H193" i="11"/>
  <c r="G193" i="11"/>
  <c r="D193" i="11"/>
  <c r="A193" i="11"/>
  <c r="AH192" i="11"/>
  <c r="AG192" i="11"/>
  <c r="AF192" i="11"/>
  <c r="AC192" i="11"/>
  <c r="AB192" i="11"/>
  <c r="AA192" i="11"/>
  <c r="Z192" i="11"/>
  <c r="Y192" i="11"/>
  <c r="X192" i="11"/>
  <c r="V192" i="11"/>
  <c r="U192" i="11"/>
  <c r="T192" i="11"/>
  <c r="S192" i="11"/>
  <c r="Q192" i="11"/>
  <c r="L192" i="11"/>
  <c r="I192" i="11"/>
  <c r="H192" i="11"/>
  <c r="G192" i="11"/>
  <c r="D192" i="11"/>
  <c r="A192" i="11"/>
  <c r="AH191" i="11"/>
  <c r="AG191" i="11"/>
  <c r="AF191" i="11"/>
  <c r="AC191" i="11"/>
  <c r="AB191" i="11"/>
  <c r="AA191" i="11"/>
  <c r="Z191" i="11"/>
  <c r="Y191" i="11"/>
  <c r="X191" i="11"/>
  <c r="V191" i="11"/>
  <c r="U191" i="11"/>
  <c r="T191" i="11"/>
  <c r="S191" i="11"/>
  <c r="Q191" i="11"/>
  <c r="L191" i="11"/>
  <c r="I191" i="11"/>
  <c r="H191" i="11"/>
  <c r="G191" i="11"/>
  <c r="D191" i="11"/>
  <c r="A191" i="11"/>
  <c r="AH190" i="11"/>
  <c r="AG190" i="11"/>
  <c r="AF190" i="11"/>
  <c r="AC190" i="11"/>
  <c r="AB190" i="11"/>
  <c r="AA190" i="11"/>
  <c r="Z190" i="11"/>
  <c r="Y190" i="11"/>
  <c r="X190" i="11"/>
  <c r="V190" i="11"/>
  <c r="U190" i="11"/>
  <c r="T190" i="11"/>
  <c r="S190" i="11"/>
  <c r="Q190" i="11"/>
  <c r="L190" i="11"/>
  <c r="I190" i="11"/>
  <c r="H190" i="11"/>
  <c r="G190" i="11"/>
  <c r="D190" i="11"/>
  <c r="A190" i="11"/>
  <c r="AH189" i="11"/>
  <c r="AG189" i="11"/>
  <c r="AF189" i="11"/>
  <c r="AC189" i="11"/>
  <c r="AB189" i="11"/>
  <c r="AA189" i="11"/>
  <c r="Z189" i="11"/>
  <c r="Y189" i="11"/>
  <c r="X189" i="11"/>
  <c r="V189" i="11"/>
  <c r="U189" i="11"/>
  <c r="T189" i="11"/>
  <c r="S189" i="11"/>
  <c r="Q189" i="11"/>
  <c r="L189" i="11"/>
  <c r="I189" i="11"/>
  <c r="H189" i="11"/>
  <c r="G189" i="11"/>
  <c r="D189" i="11"/>
  <c r="A189" i="11"/>
  <c r="AH188" i="11"/>
  <c r="AG188" i="11"/>
  <c r="AF188" i="11"/>
  <c r="AC188" i="11"/>
  <c r="AB188" i="11"/>
  <c r="AA188" i="11"/>
  <c r="Z188" i="11"/>
  <c r="Y188" i="11"/>
  <c r="X188" i="11"/>
  <c r="V188" i="11"/>
  <c r="U188" i="11"/>
  <c r="T188" i="11"/>
  <c r="S188" i="11"/>
  <c r="Q188" i="11"/>
  <c r="L188" i="11"/>
  <c r="I188" i="11"/>
  <c r="H188" i="11"/>
  <c r="G188" i="11"/>
  <c r="D188" i="11"/>
  <c r="A188" i="11"/>
  <c r="AH187" i="11"/>
  <c r="AG187" i="11"/>
  <c r="AF187" i="11"/>
  <c r="AC187" i="11"/>
  <c r="AB187" i="11"/>
  <c r="AA187" i="11"/>
  <c r="Z187" i="11"/>
  <c r="Y187" i="11"/>
  <c r="X187" i="11"/>
  <c r="V187" i="11"/>
  <c r="U187" i="11"/>
  <c r="T187" i="11"/>
  <c r="S187" i="11"/>
  <c r="Q187" i="11"/>
  <c r="L187" i="11"/>
  <c r="I187" i="11"/>
  <c r="H187" i="11"/>
  <c r="G187" i="11"/>
  <c r="D187" i="11"/>
  <c r="A187" i="11"/>
  <c r="AH186" i="11"/>
  <c r="AG186" i="11"/>
  <c r="AF186" i="11"/>
  <c r="AC186" i="11"/>
  <c r="AB186" i="11"/>
  <c r="AA186" i="11"/>
  <c r="Z186" i="11"/>
  <c r="Y186" i="11"/>
  <c r="X186" i="11"/>
  <c r="V186" i="11"/>
  <c r="U186" i="11"/>
  <c r="T186" i="11"/>
  <c r="S186" i="11"/>
  <c r="Q186" i="11"/>
  <c r="L186" i="11"/>
  <c r="I186" i="11"/>
  <c r="H186" i="11"/>
  <c r="G186" i="11"/>
  <c r="D186" i="11"/>
  <c r="A186" i="11"/>
  <c r="AH185" i="11"/>
  <c r="AG185" i="11"/>
  <c r="AF185" i="11"/>
  <c r="AC185" i="11"/>
  <c r="AB185" i="11"/>
  <c r="AA185" i="11"/>
  <c r="Z185" i="11"/>
  <c r="Y185" i="11"/>
  <c r="X185" i="11"/>
  <c r="V185" i="11"/>
  <c r="U185" i="11"/>
  <c r="T185" i="11"/>
  <c r="S185" i="11"/>
  <c r="Q185" i="11"/>
  <c r="L185" i="11"/>
  <c r="I185" i="11"/>
  <c r="H185" i="11"/>
  <c r="G185" i="11"/>
  <c r="D185" i="11"/>
  <c r="A185" i="11"/>
  <c r="AH184" i="11"/>
  <c r="AG184" i="11"/>
  <c r="AF184" i="11"/>
  <c r="AC184" i="11"/>
  <c r="AB184" i="11"/>
  <c r="AA184" i="11"/>
  <c r="Z184" i="11"/>
  <c r="Y184" i="11"/>
  <c r="X184" i="11"/>
  <c r="V184" i="11"/>
  <c r="U184" i="11"/>
  <c r="T184" i="11"/>
  <c r="S184" i="11"/>
  <c r="Q184" i="11"/>
  <c r="L184" i="11"/>
  <c r="I184" i="11"/>
  <c r="H184" i="11"/>
  <c r="G184" i="11"/>
  <c r="D184" i="11"/>
  <c r="A184" i="11"/>
  <c r="AH183" i="11"/>
  <c r="AG183" i="11"/>
  <c r="AF183" i="11"/>
  <c r="AC183" i="11"/>
  <c r="AB183" i="11"/>
  <c r="AA183" i="11"/>
  <c r="Z183" i="11"/>
  <c r="Y183" i="11"/>
  <c r="X183" i="11"/>
  <c r="V183" i="11"/>
  <c r="U183" i="11"/>
  <c r="T183" i="11"/>
  <c r="S183" i="11"/>
  <c r="Q183" i="11"/>
  <c r="L183" i="11"/>
  <c r="I183" i="11"/>
  <c r="H183" i="11"/>
  <c r="G183" i="11"/>
  <c r="D183" i="11"/>
  <c r="A183" i="11"/>
  <c r="AH182" i="11"/>
  <c r="AG182" i="11"/>
  <c r="AF182" i="11"/>
  <c r="AC182" i="11"/>
  <c r="AB182" i="11"/>
  <c r="AA182" i="11"/>
  <c r="Z182" i="11"/>
  <c r="Y182" i="11"/>
  <c r="X182" i="11"/>
  <c r="V182" i="11"/>
  <c r="U182" i="11"/>
  <c r="T182" i="11"/>
  <c r="S182" i="11"/>
  <c r="Q182" i="11"/>
  <c r="L182" i="11"/>
  <c r="I182" i="11"/>
  <c r="H182" i="11"/>
  <c r="G182" i="11"/>
  <c r="D182" i="11"/>
  <c r="A182" i="11"/>
  <c r="AH181" i="11"/>
  <c r="AG181" i="11"/>
  <c r="AF181" i="11"/>
  <c r="AC181" i="11"/>
  <c r="AB181" i="11"/>
  <c r="AA181" i="11"/>
  <c r="Z181" i="11"/>
  <c r="Y181" i="11"/>
  <c r="X181" i="11"/>
  <c r="V181" i="11"/>
  <c r="U181" i="11"/>
  <c r="T181" i="11"/>
  <c r="S181" i="11"/>
  <c r="Q181" i="11"/>
  <c r="L181" i="11"/>
  <c r="I181" i="11"/>
  <c r="H181" i="11"/>
  <c r="G181" i="11"/>
  <c r="D181" i="11"/>
  <c r="A181" i="11"/>
  <c r="AH180" i="11"/>
  <c r="AG180" i="11"/>
  <c r="AF180" i="11"/>
  <c r="AC180" i="11"/>
  <c r="AB180" i="11"/>
  <c r="AA180" i="11"/>
  <c r="Z180" i="11"/>
  <c r="Y180" i="11"/>
  <c r="X180" i="11"/>
  <c r="V180" i="11"/>
  <c r="U180" i="11"/>
  <c r="T180" i="11"/>
  <c r="S180" i="11"/>
  <c r="Q180" i="11"/>
  <c r="L180" i="11"/>
  <c r="I180" i="11"/>
  <c r="H180" i="11"/>
  <c r="G180" i="11"/>
  <c r="D180" i="11"/>
  <c r="A180" i="11"/>
  <c r="AH179" i="11"/>
  <c r="AG179" i="11"/>
  <c r="AF179" i="11"/>
  <c r="AC179" i="11"/>
  <c r="AB179" i="11"/>
  <c r="AA179" i="11"/>
  <c r="Z179" i="11"/>
  <c r="Y179" i="11"/>
  <c r="X179" i="11"/>
  <c r="V179" i="11"/>
  <c r="U179" i="11"/>
  <c r="T179" i="11"/>
  <c r="S179" i="11"/>
  <c r="Q179" i="11"/>
  <c r="L179" i="11"/>
  <c r="I179" i="11"/>
  <c r="H179" i="11"/>
  <c r="G179" i="11"/>
  <c r="D179" i="11"/>
  <c r="A179" i="11"/>
  <c r="AH178" i="11"/>
  <c r="AG178" i="11"/>
  <c r="AF178" i="11"/>
  <c r="AC178" i="11"/>
  <c r="AB178" i="11"/>
  <c r="AA178" i="11"/>
  <c r="Z178" i="11"/>
  <c r="Y178" i="11"/>
  <c r="X178" i="11"/>
  <c r="V178" i="11"/>
  <c r="U178" i="11"/>
  <c r="T178" i="11"/>
  <c r="S178" i="11"/>
  <c r="Q178" i="11"/>
  <c r="L178" i="11"/>
  <c r="I178" i="11"/>
  <c r="H178" i="11"/>
  <c r="G178" i="11"/>
  <c r="D178" i="11"/>
  <c r="A178" i="11"/>
  <c r="AH177" i="11"/>
  <c r="AG177" i="11"/>
  <c r="AF177" i="11"/>
  <c r="AC177" i="11"/>
  <c r="AB177" i="11"/>
  <c r="AA177" i="11"/>
  <c r="Z177" i="11"/>
  <c r="Y177" i="11"/>
  <c r="X177" i="11"/>
  <c r="V177" i="11"/>
  <c r="U177" i="11"/>
  <c r="T177" i="11"/>
  <c r="S177" i="11"/>
  <c r="Q177" i="11"/>
  <c r="L177" i="11"/>
  <c r="I177" i="11"/>
  <c r="H177" i="11"/>
  <c r="G177" i="11"/>
  <c r="D177" i="11"/>
  <c r="A177" i="11"/>
  <c r="AH176" i="11"/>
  <c r="AG176" i="11"/>
  <c r="AF176" i="11"/>
  <c r="AC176" i="11"/>
  <c r="AB176" i="11"/>
  <c r="AA176" i="11"/>
  <c r="Z176" i="11"/>
  <c r="Y176" i="11"/>
  <c r="X176" i="11"/>
  <c r="V176" i="11"/>
  <c r="U176" i="11"/>
  <c r="T176" i="11"/>
  <c r="S176" i="11"/>
  <c r="Q176" i="11"/>
  <c r="L176" i="11"/>
  <c r="I176" i="11"/>
  <c r="H176" i="11"/>
  <c r="G176" i="11"/>
  <c r="D176" i="11"/>
  <c r="A176" i="11"/>
  <c r="AH175" i="11"/>
  <c r="AG175" i="11"/>
  <c r="AF175" i="11"/>
  <c r="AC175" i="11"/>
  <c r="AB175" i="11"/>
  <c r="AA175" i="11"/>
  <c r="Z175" i="11"/>
  <c r="Y175" i="11"/>
  <c r="X175" i="11"/>
  <c r="V175" i="11"/>
  <c r="U175" i="11"/>
  <c r="T175" i="11"/>
  <c r="S175" i="11"/>
  <c r="Q175" i="11"/>
  <c r="L175" i="11"/>
  <c r="I175" i="11"/>
  <c r="H175" i="11"/>
  <c r="G175" i="11"/>
  <c r="D175" i="11"/>
  <c r="A175" i="11"/>
  <c r="AH174" i="11"/>
  <c r="AG174" i="11"/>
  <c r="AF174" i="11"/>
  <c r="AC174" i="11"/>
  <c r="AB174" i="11"/>
  <c r="AA174" i="11"/>
  <c r="Z174" i="11"/>
  <c r="Y174" i="11"/>
  <c r="X174" i="11"/>
  <c r="V174" i="11"/>
  <c r="U174" i="11"/>
  <c r="T174" i="11"/>
  <c r="S174" i="11"/>
  <c r="Q174" i="11"/>
  <c r="L174" i="11"/>
  <c r="I174" i="11"/>
  <c r="H174" i="11"/>
  <c r="G174" i="11"/>
  <c r="D174" i="11"/>
  <c r="A174" i="11"/>
  <c r="AH173" i="11"/>
  <c r="AG173" i="11"/>
  <c r="AF173" i="11"/>
  <c r="AC173" i="11"/>
  <c r="AB173" i="11"/>
  <c r="AA173" i="11"/>
  <c r="Z173" i="11"/>
  <c r="Y173" i="11"/>
  <c r="X173" i="11"/>
  <c r="V173" i="11"/>
  <c r="U173" i="11"/>
  <c r="T173" i="11"/>
  <c r="S173" i="11"/>
  <c r="Q173" i="11"/>
  <c r="L173" i="11"/>
  <c r="I173" i="11"/>
  <c r="H173" i="11"/>
  <c r="G173" i="11"/>
  <c r="D173" i="11"/>
  <c r="A173" i="11"/>
  <c r="AH172" i="11"/>
  <c r="AG172" i="11"/>
  <c r="AF172" i="11"/>
  <c r="AC172" i="11"/>
  <c r="AB172" i="11"/>
  <c r="AA172" i="11"/>
  <c r="Z172" i="11"/>
  <c r="Y172" i="11"/>
  <c r="X172" i="11"/>
  <c r="V172" i="11"/>
  <c r="U172" i="11"/>
  <c r="T172" i="11"/>
  <c r="S172" i="11"/>
  <c r="Q172" i="11"/>
  <c r="L172" i="11"/>
  <c r="I172" i="11"/>
  <c r="H172" i="11"/>
  <c r="G172" i="11"/>
  <c r="D172" i="11"/>
  <c r="A172" i="11"/>
  <c r="AH171" i="11"/>
  <c r="AG171" i="11"/>
  <c r="AF171" i="11"/>
  <c r="AC171" i="11"/>
  <c r="AB171" i="11"/>
  <c r="AA171" i="11"/>
  <c r="Z171" i="11"/>
  <c r="Y171" i="11"/>
  <c r="X171" i="11"/>
  <c r="V171" i="11"/>
  <c r="U171" i="11"/>
  <c r="T171" i="11"/>
  <c r="S171" i="11"/>
  <c r="Q171" i="11"/>
  <c r="L171" i="11"/>
  <c r="I171" i="11"/>
  <c r="H171" i="11"/>
  <c r="G171" i="11"/>
  <c r="D171" i="11"/>
  <c r="A171" i="11"/>
  <c r="AH170" i="11"/>
  <c r="AG170" i="11"/>
  <c r="AF170" i="11"/>
  <c r="AC170" i="11"/>
  <c r="AB170" i="11"/>
  <c r="AA170" i="11"/>
  <c r="Z170" i="11"/>
  <c r="Y170" i="11"/>
  <c r="X170" i="11"/>
  <c r="V170" i="11"/>
  <c r="U170" i="11"/>
  <c r="T170" i="11"/>
  <c r="S170" i="11"/>
  <c r="Q170" i="11"/>
  <c r="L170" i="11"/>
  <c r="I170" i="11"/>
  <c r="H170" i="11"/>
  <c r="G170" i="11"/>
  <c r="D170" i="11"/>
  <c r="A170" i="11"/>
  <c r="AH169" i="11"/>
  <c r="AG169" i="11"/>
  <c r="AF169" i="11"/>
  <c r="AC169" i="11"/>
  <c r="AB169" i="11"/>
  <c r="AA169" i="11"/>
  <c r="Z169" i="11"/>
  <c r="Y169" i="11"/>
  <c r="X169" i="11"/>
  <c r="V169" i="11"/>
  <c r="U169" i="11"/>
  <c r="T169" i="11"/>
  <c r="S169" i="11"/>
  <c r="Q169" i="11"/>
  <c r="L169" i="11"/>
  <c r="I169" i="11"/>
  <c r="H169" i="11"/>
  <c r="G169" i="11"/>
  <c r="D169" i="11"/>
  <c r="A169" i="11"/>
  <c r="AH168" i="11"/>
  <c r="AG168" i="11"/>
  <c r="AF168" i="11"/>
  <c r="AC168" i="11"/>
  <c r="AB168" i="11"/>
  <c r="AA168" i="11"/>
  <c r="Z168" i="11"/>
  <c r="Y168" i="11"/>
  <c r="X168" i="11"/>
  <c r="V168" i="11"/>
  <c r="U168" i="11"/>
  <c r="T168" i="11"/>
  <c r="S168" i="11"/>
  <c r="Q168" i="11"/>
  <c r="L168" i="11"/>
  <c r="I168" i="11"/>
  <c r="H168" i="11"/>
  <c r="G168" i="11"/>
  <c r="D168" i="11"/>
  <c r="A168" i="11"/>
  <c r="AH167" i="11"/>
  <c r="AG167" i="11"/>
  <c r="AF167" i="11"/>
  <c r="AC167" i="11"/>
  <c r="AB167" i="11"/>
  <c r="AA167" i="11"/>
  <c r="Z167" i="11"/>
  <c r="Y167" i="11"/>
  <c r="X167" i="11"/>
  <c r="V167" i="11"/>
  <c r="U167" i="11"/>
  <c r="T167" i="11"/>
  <c r="S167" i="11"/>
  <c r="Q167" i="11"/>
  <c r="L167" i="11"/>
  <c r="I167" i="11"/>
  <c r="H167" i="11"/>
  <c r="G167" i="11"/>
  <c r="D167" i="11"/>
  <c r="A167" i="11"/>
  <c r="AH166" i="11"/>
  <c r="AG166" i="11"/>
  <c r="AF166" i="11"/>
  <c r="AC166" i="11"/>
  <c r="AB166" i="11"/>
  <c r="AA166" i="11"/>
  <c r="Z166" i="11"/>
  <c r="Y166" i="11"/>
  <c r="X166" i="11"/>
  <c r="V166" i="11"/>
  <c r="U166" i="11"/>
  <c r="T166" i="11"/>
  <c r="S166" i="11"/>
  <c r="Q166" i="11"/>
  <c r="L166" i="11"/>
  <c r="I166" i="11"/>
  <c r="H166" i="11"/>
  <c r="G166" i="11"/>
  <c r="D166" i="11"/>
  <c r="A166" i="11"/>
  <c r="AH165" i="11"/>
  <c r="AG165" i="11"/>
  <c r="AF165" i="11"/>
  <c r="AC165" i="11"/>
  <c r="AB165" i="11"/>
  <c r="AA165" i="11"/>
  <c r="Z165" i="11"/>
  <c r="Y165" i="11"/>
  <c r="X165" i="11"/>
  <c r="V165" i="11"/>
  <c r="U165" i="11"/>
  <c r="T165" i="11"/>
  <c r="S165" i="11"/>
  <c r="Q165" i="11"/>
  <c r="L165" i="11"/>
  <c r="I165" i="11"/>
  <c r="H165" i="11"/>
  <c r="G165" i="11"/>
  <c r="D165" i="11"/>
  <c r="A165" i="11"/>
  <c r="AH164" i="11"/>
  <c r="AG164" i="11"/>
  <c r="AF164" i="11"/>
  <c r="AC164" i="11"/>
  <c r="AB164" i="11"/>
  <c r="AA164" i="11"/>
  <c r="Z164" i="11"/>
  <c r="Y164" i="11"/>
  <c r="X164" i="11"/>
  <c r="V164" i="11"/>
  <c r="U164" i="11"/>
  <c r="T164" i="11"/>
  <c r="S164" i="11"/>
  <c r="Q164" i="11"/>
  <c r="L164" i="11"/>
  <c r="I164" i="11"/>
  <c r="H164" i="11"/>
  <c r="G164" i="11"/>
  <c r="D164" i="11"/>
  <c r="A164" i="11"/>
  <c r="AH163" i="11"/>
  <c r="AG163" i="11"/>
  <c r="AF163" i="11"/>
  <c r="AC163" i="11"/>
  <c r="AB163" i="11"/>
  <c r="AA163" i="11"/>
  <c r="Z163" i="11"/>
  <c r="Y163" i="11"/>
  <c r="X163" i="11"/>
  <c r="V163" i="11"/>
  <c r="U163" i="11"/>
  <c r="T163" i="11"/>
  <c r="S163" i="11"/>
  <c r="Q163" i="11"/>
  <c r="L163" i="11"/>
  <c r="I163" i="11"/>
  <c r="H163" i="11"/>
  <c r="G163" i="11"/>
  <c r="D163" i="11"/>
  <c r="A163" i="11"/>
  <c r="AH162" i="11"/>
  <c r="AG162" i="11"/>
  <c r="AF162" i="11"/>
  <c r="AC162" i="11"/>
  <c r="AB162" i="11"/>
  <c r="AA162" i="11"/>
  <c r="Z162" i="11"/>
  <c r="Y162" i="11"/>
  <c r="X162" i="11"/>
  <c r="V162" i="11"/>
  <c r="U162" i="11"/>
  <c r="T162" i="11"/>
  <c r="S162" i="11"/>
  <c r="Q162" i="11"/>
  <c r="L162" i="11"/>
  <c r="I162" i="11"/>
  <c r="H162" i="11"/>
  <c r="G162" i="11"/>
  <c r="D162" i="11"/>
  <c r="A162" i="11"/>
  <c r="AH161" i="11"/>
  <c r="AG161" i="11"/>
  <c r="AF161" i="11"/>
  <c r="AC161" i="11"/>
  <c r="AB161" i="11"/>
  <c r="AA161" i="11"/>
  <c r="Z161" i="11"/>
  <c r="Y161" i="11"/>
  <c r="X161" i="11"/>
  <c r="V161" i="11"/>
  <c r="U161" i="11"/>
  <c r="T161" i="11"/>
  <c r="S161" i="11"/>
  <c r="Q161" i="11"/>
  <c r="L161" i="11"/>
  <c r="I161" i="11"/>
  <c r="H161" i="11"/>
  <c r="G161" i="11"/>
  <c r="D161" i="11"/>
  <c r="A161" i="11"/>
  <c r="AH160" i="11"/>
  <c r="AG160" i="11"/>
  <c r="AF160" i="11"/>
  <c r="AC160" i="11"/>
  <c r="AB160" i="11"/>
  <c r="AA160" i="11"/>
  <c r="Z160" i="11"/>
  <c r="Y160" i="11"/>
  <c r="X160" i="11"/>
  <c r="V160" i="11"/>
  <c r="U160" i="11"/>
  <c r="T160" i="11"/>
  <c r="S160" i="11"/>
  <c r="Q160" i="11"/>
  <c r="L160" i="11"/>
  <c r="I160" i="11"/>
  <c r="H160" i="11"/>
  <c r="G160" i="11"/>
  <c r="D160" i="11"/>
  <c r="A160" i="11"/>
  <c r="AH159" i="11"/>
  <c r="AG159" i="11"/>
  <c r="AF159" i="11"/>
  <c r="AC159" i="11"/>
  <c r="AB159" i="11"/>
  <c r="AA159" i="11"/>
  <c r="Z159" i="11"/>
  <c r="Y159" i="11"/>
  <c r="X159" i="11"/>
  <c r="V159" i="11"/>
  <c r="U159" i="11"/>
  <c r="T159" i="11"/>
  <c r="S159" i="11"/>
  <c r="Q159" i="11"/>
  <c r="L159" i="11"/>
  <c r="I159" i="11"/>
  <c r="H159" i="11"/>
  <c r="G159" i="11"/>
  <c r="D159" i="11"/>
  <c r="A159" i="11"/>
  <c r="AH158" i="11"/>
  <c r="AG158" i="11"/>
  <c r="AF158" i="11"/>
  <c r="AC158" i="11"/>
  <c r="AB158" i="11"/>
  <c r="AA158" i="11"/>
  <c r="Z158" i="11"/>
  <c r="Y158" i="11"/>
  <c r="X158" i="11"/>
  <c r="V158" i="11"/>
  <c r="U158" i="11"/>
  <c r="T158" i="11"/>
  <c r="S158" i="11"/>
  <c r="Q158" i="11"/>
  <c r="L158" i="11"/>
  <c r="I158" i="11"/>
  <c r="H158" i="11"/>
  <c r="G158" i="11"/>
  <c r="D158" i="11"/>
  <c r="A158" i="11"/>
  <c r="AH157" i="11"/>
  <c r="AG157" i="11"/>
  <c r="AF157" i="11"/>
  <c r="AC157" i="11"/>
  <c r="AB157" i="11"/>
  <c r="AA157" i="11"/>
  <c r="Z157" i="11"/>
  <c r="Y157" i="11"/>
  <c r="X157" i="11"/>
  <c r="V157" i="11"/>
  <c r="U157" i="11"/>
  <c r="T157" i="11"/>
  <c r="S157" i="11"/>
  <c r="Q157" i="11"/>
  <c r="L157" i="11"/>
  <c r="I157" i="11"/>
  <c r="H157" i="11"/>
  <c r="G157" i="11"/>
  <c r="D157" i="11"/>
  <c r="A157" i="11"/>
  <c r="AH156" i="11"/>
  <c r="AG156" i="11"/>
  <c r="AF156" i="11"/>
  <c r="AC156" i="11"/>
  <c r="AB156" i="11"/>
  <c r="AA156" i="11"/>
  <c r="Z156" i="11"/>
  <c r="Y156" i="11"/>
  <c r="X156" i="11"/>
  <c r="V156" i="11"/>
  <c r="U156" i="11"/>
  <c r="T156" i="11"/>
  <c r="S156" i="11"/>
  <c r="Q156" i="11"/>
  <c r="L156" i="11"/>
  <c r="I156" i="11"/>
  <c r="H156" i="11"/>
  <c r="G156" i="11"/>
  <c r="D156" i="11"/>
  <c r="A156" i="11"/>
  <c r="AH155" i="11"/>
  <c r="AG155" i="11"/>
  <c r="AF155" i="11"/>
  <c r="AC155" i="11"/>
  <c r="AB155" i="11"/>
  <c r="AA155" i="11"/>
  <c r="Z155" i="11"/>
  <c r="Y155" i="11"/>
  <c r="X155" i="11"/>
  <c r="V155" i="11"/>
  <c r="U155" i="11"/>
  <c r="T155" i="11"/>
  <c r="S155" i="11"/>
  <c r="Q155" i="11"/>
  <c r="L155" i="11"/>
  <c r="I155" i="11"/>
  <c r="H155" i="11"/>
  <c r="G155" i="11"/>
  <c r="D155" i="11"/>
  <c r="A155" i="11"/>
  <c r="AH154" i="11"/>
  <c r="AG154" i="11"/>
  <c r="AF154" i="11"/>
  <c r="AC154" i="11"/>
  <c r="AB154" i="11"/>
  <c r="AA154" i="11"/>
  <c r="Z154" i="11"/>
  <c r="Y154" i="11"/>
  <c r="X154" i="11"/>
  <c r="V154" i="11"/>
  <c r="U154" i="11"/>
  <c r="T154" i="11"/>
  <c r="S154" i="11"/>
  <c r="Q154" i="11"/>
  <c r="L154" i="11"/>
  <c r="I154" i="11"/>
  <c r="H154" i="11"/>
  <c r="G154" i="11"/>
  <c r="D154" i="11"/>
  <c r="A154" i="11"/>
  <c r="AH153" i="11"/>
  <c r="AG153" i="11"/>
  <c r="AF153" i="11"/>
  <c r="AC153" i="11"/>
  <c r="AB153" i="11"/>
  <c r="AA153" i="11"/>
  <c r="Z153" i="11"/>
  <c r="Y153" i="11"/>
  <c r="X153" i="11"/>
  <c r="V153" i="11"/>
  <c r="U153" i="11"/>
  <c r="T153" i="11"/>
  <c r="S153" i="11"/>
  <c r="Q153" i="11"/>
  <c r="L153" i="11"/>
  <c r="I153" i="11"/>
  <c r="H153" i="11"/>
  <c r="G153" i="11"/>
  <c r="D153" i="11"/>
  <c r="A153" i="11"/>
  <c r="AH152" i="11"/>
  <c r="AG152" i="11"/>
  <c r="AF152" i="11"/>
  <c r="AC152" i="11"/>
  <c r="AB152" i="11"/>
  <c r="AA152" i="11"/>
  <c r="Z152" i="11"/>
  <c r="Y152" i="11"/>
  <c r="X152" i="11"/>
  <c r="V152" i="11"/>
  <c r="U152" i="11"/>
  <c r="T152" i="11"/>
  <c r="S152" i="11"/>
  <c r="Q152" i="11"/>
  <c r="L152" i="11"/>
  <c r="I152" i="11"/>
  <c r="H152" i="11"/>
  <c r="G152" i="11"/>
  <c r="D152" i="11"/>
  <c r="A152" i="11"/>
  <c r="AH151" i="11"/>
  <c r="AG151" i="11"/>
  <c r="AF151" i="11"/>
  <c r="AC151" i="11"/>
  <c r="AB151" i="11"/>
  <c r="AA151" i="11"/>
  <c r="Z151" i="11"/>
  <c r="Y151" i="11"/>
  <c r="X151" i="11"/>
  <c r="V151" i="11"/>
  <c r="U151" i="11"/>
  <c r="T151" i="11"/>
  <c r="S151" i="11"/>
  <c r="Q151" i="11"/>
  <c r="L151" i="11"/>
  <c r="I151" i="11"/>
  <c r="H151" i="11"/>
  <c r="G151" i="11"/>
  <c r="D151" i="11"/>
  <c r="A151" i="11"/>
  <c r="AH150" i="11"/>
  <c r="AG150" i="11"/>
  <c r="AF150" i="11"/>
  <c r="AC150" i="11"/>
  <c r="AB150" i="11"/>
  <c r="AA150" i="11"/>
  <c r="Z150" i="11"/>
  <c r="Y150" i="11"/>
  <c r="X150" i="11"/>
  <c r="V150" i="11"/>
  <c r="U150" i="11"/>
  <c r="T150" i="11"/>
  <c r="S150" i="11"/>
  <c r="Q150" i="11"/>
  <c r="L150" i="11"/>
  <c r="I150" i="11"/>
  <c r="H150" i="11"/>
  <c r="G150" i="11"/>
  <c r="D150" i="11"/>
  <c r="A150" i="11"/>
  <c r="AH149" i="11"/>
  <c r="AG149" i="11"/>
  <c r="AF149" i="11"/>
  <c r="AC149" i="11"/>
  <c r="AB149" i="11"/>
  <c r="AA149" i="11"/>
  <c r="Z149" i="11"/>
  <c r="Y149" i="11"/>
  <c r="X149" i="11"/>
  <c r="V149" i="11"/>
  <c r="U149" i="11"/>
  <c r="T149" i="11"/>
  <c r="S149" i="11"/>
  <c r="Q149" i="11"/>
  <c r="L149" i="11"/>
  <c r="I149" i="11"/>
  <c r="H149" i="11"/>
  <c r="G149" i="11"/>
  <c r="D149" i="11"/>
  <c r="A149" i="11"/>
  <c r="AH148" i="11"/>
  <c r="AG148" i="11"/>
  <c r="AF148" i="11"/>
  <c r="AC148" i="11"/>
  <c r="AB148" i="11"/>
  <c r="AA148" i="11"/>
  <c r="Z148" i="11"/>
  <c r="Y148" i="11"/>
  <c r="X148" i="11"/>
  <c r="V148" i="11"/>
  <c r="U148" i="11"/>
  <c r="T148" i="11"/>
  <c r="S148" i="11"/>
  <c r="Q148" i="11"/>
  <c r="L148" i="11"/>
  <c r="I148" i="11"/>
  <c r="H148" i="11"/>
  <c r="G148" i="11"/>
  <c r="D148" i="11"/>
  <c r="A148" i="11"/>
  <c r="AH147" i="11"/>
  <c r="AG147" i="11"/>
  <c r="AF147" i="11"/>
  <c r="AC147" i="11"/>
  <c r="AB147" i="11"/>
  <c r="AA147" i="11"/>
  <c r="Z147" i="11"/>
  <c r="Y147" i="11"/>
  <c r="X147" i="11"/>
  <c r="V147" i="11"/>
  <c r="U147" i="11"/>
  <c r="T147" i="11"/>
  <c r="S147" i="11"/>
  <c r="Q147" i="11"/>
  <c r="L147" i="11"/>
  <c r="I147" i="11"/>
  <c r="H147" i="11"/>
  <c r="G147" i="11"/>
  <c r="D147" i="11"/>
  <c r="A147" i="11"/>
  <c r="AH146" i="11"/>
  <c r="AG146" i="11"/>
  <c r="AF146" i="11"/>
  <c r="AC146" i="11"/>
  <c r="AB146" i="11"/>
  <c r="AA146" i="11"/>
  <c r="Z146" i="11"/>
  <c r="Y146" i="11"/>
  <c r="X146" i="11"/>
  <c r="V146" i="11"/>
  <c r="U146" i="11"/>
  <c r="T146" i="11"/>
  <c r="S146" i="11"/>
  <c r="Q146" i="11"/>
  <c r="L146" i="11"/>
  <c r="I146" i="11"/>
  <c r="H146" i="11"/>
  <c r="G146" i="11"/>
  <c r="D146" i="11"/>
  <c r="A146" i="11"/>
  <c r="AH145" i="11"/>
  <c r="AG145" i="11"/>
  <c r="AF145" i="11"/>
  <c r="AC145" i="11"/>
  <c r="AB145" i="11"/>
  <c r="AA145" i="11"/>
  <c r="Z145" i="11"/>
  <c r="Y145" i="11"/>
  <c r="X145" i="11"/>
  <c r="V145" i="11"/>
  <c r="U145" i="11"/>
  <c r="T145" i="11"/>
  <c r="S145" i="11"/>
  <c r="Q145" i="11"/>
  <c r="L145" i="11"/>
  <c r="I145" i="11"/>
  <c r="H145" i="11"/>
  <c r="G145" i="11"/>
  <c r="D145" i="11"/>
  <c r="A145" i="11"/>
  <c r="AH144" i="11"/>
  <c r="AG144" i="11"/>
  <c r="AF144" i="11"/>
  <c r="AC144" i="11"/>
  <c r="AB144" i="11"/>
  <c r="AA144" i="11"/>
  <c r="Z144" i="11"/>
  <c r="Y144" i="11"/>
  <c r="X144" i="11"/>
  <c r="V144" i="11"/>
  <c r="U144" i="11"/>
  <c r="T144" i="11"/>
  <c r="S144" i="11"/>
  <c r="Q144" i="11"/>
  <c r="L144" i="11"/>
  <c r="I144" i="11"/>
  <c r="H144" i="11"/>
  <c r="G144" i="11"/>
  <c r="D144" i="11"/>
  <c r="A144" i="11"/>
  <c r="AH143" i="11"/>
  <c r="AG143" i="11"/>
  <c r="AF143" i="11"/>
  <c r="AC143" i="11"/>
  <c r="AB143" i="11"/>
  <c r="AA143" i="11"/>
  <c r="Z143" i="11"/>
  <c r="Y143" i="11"/>
  <c r="X143" i="11"/>
  <c r="V143" i="11"/>
  <c r="U143" i="11"/>
  <c r="T143" i="11"/>
  <c r="S143" i="11"/>
  <c r="Q143" i="11"/>
  <c r="L143" i="11"/>
  <c r="I143" i="11"/>
  <c r="H143" i="11"/>
  <c r="G143" i="11"/>
  <c r="D143" i="11"/>
  <c r="A143" i="11"/>
  <c r="AH142" i="11"/>
  <c r="AG142" i="11"/>
  <c r="AF142" i="11"/>
  <c r="AC142" i="11"/>
  <c r="AB142" i="11"/>
  <c r="AA142" i="11"/>
  <c r="Z142" i="11"/>
  <c r="Y142" i="11"/>
  <c r="X142" i="11"/>
  <c r="V142" i="11"/>
  <c r="U142" i="11"/>
  <c r="T142" i="11"/>
  <c r="S142" i="11"/>
  <c r="Q142" i="11"/>
  <c r="L142" i="11"/>
  <c r="I142" i="11"/>
  <c r="H142" i="11"/>
  <c r="G142" i="11"/>
  <c r="D142" i="11"/>
  <c r="A142" i="11"/>
  <c r="AH141" i="11"/>
  <c r="AG141" i="11"/>
  <c r="AF141" i="11"/>
  <c r="AC141" i="11"/>
  <c r="AB141" i="11"/>
  <c r="AA141" i="11"/>
  <c r="Z141" i="11"/>
  <c r="Y141" i="11"/>
  <c r="X141" i="11"/>
  <c r="V141" i="11"/>
  <c r="U141" i="11"/>
  <c r="T141" i="11"/>
  <c r="S141" i="11"/>
  <c r="Q141" i="11"/>
  <c r="L141" i="11"/>
  <c r="I141" i="11"/>
  <c r="H141" i="11"/>
  <c r="G141" i="11"/>
  <c r="D141" i="11"/>
  <c r="A141" i="11"/>
  <c r="AH140" i="11"/>
  <c r="AG140" i="11"/>
  <c r="AF140" i="11"/>
  <c r="AC140" i="11"/>
  <c r="AB140" i="11"/>
  <c r="AA140" i="11"/>
  <c r="Z140" i="11"/>
  <c r="Y140" i="11"/>
  <c r="X140" i="11"/>
  <c r="V140" i="11"/>
  <c r="U140" i="11"/>
  <c r="T140" i="11"/>
  <c r="S140" i="11"/>
  <c r="Q140" i="11"/>
  <c r="L140" i="11"/>
  <c r="I140" i="11"/>
  <c r="H140" i="11"/>
  <c r="G140" i="11"/>
  <c r="D140" i="11"/>
  <c r="A140" i="11"/>
  <c r="AH139" i="11"/>
  <c r="AG139" i="11"/>
  <c r="AF139" i="11"/>
  <c r="AC139" i="11"/>
  <c r="AB139" i="11"/>
  <c r="AA139" i="11"/>
  <c r="Z139" i="11"/>
  <c r="Y139" i="11"/>
  <c r="X139" i="11"/>
  <c r="V139" i="11"/>
  <c r="U139" i="11"/>
  <c r="T139" i="11"/>
  <c r="S139" i="11"/>
  <c r="Q139" i="11"/>
  <c r="L139" i="11"/>
  <c r="I139" i="11"/>
  <c r="H139" i="11"/>
  <c r="G139" i="11"/>
  <c r="D139" i="11"/>
  <c r="A139" i="11"/>
  <c r="AH138" i="11"/>
  <c r="AG138" i="11"/>
  <c r="AF138" i="11"/>
  <c r="AC138" i="11"/>
  <c r="AB138" i="11"/>
  <c r="AA138" i="11"/>
  <c r="Z138" i="11"/>
  <c r="Y138" i="11"/>
  <c r="X138" i="11"/>
  <c r="V138" i="11"/>
  <c r="U138" i="11"/>
  <c r="T138" i="11"/>
  <c r="S138" i="11"/>
  <c r="Q138" i="11"/>
  <c r="L138" i="11"/>
  <c r="I138" i="11"/>
  <c r="H138" i="11"/>
  <c r="G138" i="11"/>
  <c r="D138" i="11"/>
  <c r="A138" i="11"/>
  <c r="AH137" i="11"/>
  <c r="AG137" i="11"/>
  <c r="AF137" i="11"/>
  <c r="AC137" i="11"/>
  <c r="AB137" i="11"/>
  <c r="AA137" i="11"/>
  <c r="Z137" i="11"/>
  <c r="Y137" i="11"/>
  <c r="X137" i="11"/>
  <c r="V137" i="11"/>
  <c r="U137" i="11"/>
  <c r="T137" i="11"/>
  <c r="S137" i="11"/>
  <c r="Q137" i="11"/>
  <c r="L137" i="11"/>
  <c r="I137" i="11"/>
  <c r="H137" i="11"/>
  <c r="G137" i="11"/>
  <c r="D137" i="11"/>
  <c r="A137" i="11"/>
  <c r="AH136" i="11"/>
  <c r="AG136" i="11"/>
  <c r="AF136" i="11"/>
  <c r="AC136" i="11"/>
  <c r="AB136" i="11"/>
  <c r="AA136" i="11"/>
  <c r="Z136" i="11"/>
  <c r="Y136" i="11"/>
  <c r="X136" i="11"/>
  <c r="V136" i="11"/>
  <c r="U136" i="11"/>
  <c r="T136" i="11"/>
  <c r="S136" i="11"/>
  <c r="Q136" i="11"/>
  <c r="L136" i="11"/>
  <c r="I136" i="11"/>
  <c r="H136" i="11"/>
  <c r="G136" i="11"/>
  <c r="D136" i="11"/>
  <c r="A136" i="11"/>
  <c r="AH135" i="11"/>
  <c r="AG135" i="11"/>
  <c r="AF135" i="11"/>
  <c r="AC135" i="11"/>
  <c r="AB135" i="11"/>
  <c r="AA135" i="11"/>
  <c r="Z135" i="11"/>
  <c r="Y135" i="11"/>
  <c r="X135" i="11"/>
  <c r="V135" i="11"/>
  <c r="U135" i="11"/>
  <c r="T135" i="11"/>
  <c r="S135" i="11"/>
  <c r="Q135" i="11"/>
  <c r="L135" i="11"/>
  <c r="I135" i="11"/>
  <c r="H135" i="11"/>
  <c r="G135" i="11"/>
  <c r="D135" i="11"/>
  <c r="A135" i="11"/>
  <c r="AH134" i="11"/>
  <c r="AG134" i="11"/>
  <c r="AF134" i="11"/>
  <c r="AC134" i="11"/>
  <c r="AB134" i="11"/>
  <c r="AA134" i="11"/>
  <c r="Z134" i="11"/>
  <c r="Y134" i="11"/>
  <c r="X134" i="11"/>
  <c r="V134" i="11"/>
  <c r="U134" i="11"/>
  <c r="T134" i="11"/>
  <c r="S134" i="11"/>
  <c r="Q134" i="11"/>
  <c r="L134" i="11"/>
  <c r="I134" i="11"/>
  <c r="H134" i="11"/>
  <c r="G134" i="11"/>
  <c r="D134" i="11"/>
  <c r="A134" i="11"/>
  <c r="AH133" i="11"/>
  <c r="AG133" i="11"/>
  <c r="AF133" i="11"/>
  <c r="AC133" i="11"/>
  <c r="AB133" i="11"/>
  <c r="AA133" i="11"/>
  <c r="Z133" i="11"/>
  <c r="Y133" i="11"/>
  <c r="X133" i="11"/>
  <c r="V133" i="11"/>
  <c r="U133" i="11"/>
  <c r="T133" i="11"/>
  <c r="S133" i="11"/>
  <c r="Q133" i="11"/>
  <c r="L133" i="11"/>
  <c r="I133" i="11"/>
  <c r="H133" i="11"/>
  <c r="G133" i="11"/>
  <c r="D133" i="11"/>
  <c r="A133" i="11"/>
  <c r="AH132" i="11"/>
  <c r="AG132" i="11"/>
  <c r="AF132" i="11"/>
  <c r="AC132" i="11"/>
  <c r="AB132" i="11"/>
  <c r="AA132" i="11"/>
  <c r="Z132" i="11"/>
  <c r="Y132" i="11"/>
  <c r="X132" i="11"/>
  <c r="V132" i="11"/>
  <c r="U132" i="11"/>
  <c r="T132" i="11"/>
  <c r="S132" i="11"/>
  <c r="Q132" i="11"/>
  <c r="L132" i="11"/>
  <c r="I132" i="11"/>
  <c r="H132" i="11"/>
  <c r="G132" i="11"/>
  <c r="D132" i="11"/>
  <c r="A132" i="11"/>
  <c r="AH131" i="11"/>
  <c r="AG131" i="11"/>
  <c r="AF131" i="11"/>
  <c r="AC131" i="11"/>
  <c r="AB131" i="11"/>
  <c r="AA131" i="11"/>
  <c r="Z131" i="11"/>
  <c r="Y131" i="11"/>
  <c r="X131" i="11"/>
  <c r="V131" i="11"/>
  <c r="U131" i="11"/>
  <c r="T131" i="11"/>
  <c r="S131" i="11"/>
  <c r="Q131" i="11"/>
  <c r="L131" i="11"/>
  <c r="I131" i="11"/>
  <c r="H131" i="11"/>
  <c r="G131" i="11"/>
  <c r="D131" i="11"/>
  <c r="A131" i="11"/>
  <c r="AH130" i="11"/>
  <c r="AG130" i="11"/>
  <c r="AF130" i="11"/>
  <c r="AC130" i="11"/>
  <c r="AB130" i="11"/>
  <c r="AA130" i="11"/>
  <c r="Z130" i="11"/>
  <c r="Y130" i="11"/>
  <c r="X130" i="11"/>
  <c r="V130" i="11"/>
  <c r="U130" i="11"/>
  <c r="T130" i="11"/>
  <c r="S130" i="11"/>
  <c r="Q130" i="11"/>
  <c r="L130" i="11"/>
  <c r="I130" i="11"/>
  <c r="H130" i="11"/>
  <c r="G130" i="11"/>
  <c r="D130" i="11"/>
  <c r="A130" i="11"/>
  <c r="AH129" i="11"/>
  <c r="AG129" i="11"/>
  <c r="AF129" i="11"/>
  <c r="AC129" i="11"/>
  <c r="AB129" i="11"/>
  <c r="AA129" i="11"/>
  <c r="Z129" i="11"/>
  <c r="Y129" i="11"/>
  <c r="X129" i="11"/>
  <c r="V129" i="11"/>
  <c r="U129" i="11"/>
  <c r="T129" i="11"/>
  <c r="S129" i="11"/>
  <c r="Q129" i="11"/>
  <c r="L129" i="11"/>
  <c r="I129" i="11"/>
  <c r="H129" i="11"/>
  <c r="G129" i="11"/>
  <c r="D129" i="11"/>
  <c r="A129" i="11"/>
  <c r="AH128" i="11"/>
  <c r="AG128" i="11"/>
  <c r="AF128" i="11"/>
  <c r="AC128" i="11"/>
  <c r="AB128" i="11"/>
  <c r="AA128" i="11"/>
  <c r="Z128" i="11"/>
  <c r="Y128" i="11"/>
  <c r="X128" i="11"/>
  <c r="V128" i="11"/>
  <c r="U128" i="11"/>
  <c r="T128" i="11"/>
  <c r="S128" i="11"/>
  <c r="Q128" i="11"/>
  <c r="L128" i="11"/>
  <c r="I128" i="11"/>
  <c r="H128" i="11"/>
  <c r="G128" i="11"/>
  <c r="D128" i="11"/>
  <c r="A128" i="11"/>
  <c r="AH127" i="11"/>
  <c r="AG127" i="11"/>
  <c r="AF127" i="11"/>
  <c r="AC127" i="11"/>
  <c r="AB127" i="11"/>
  <c r="AA127" i="11"/>
  <c r="Z127" i="11"/>
  <c r="Y127" i="11"/>
  <c r="X127" i="11"/>
  <c r="V127" i="11"/>
  <c r="U127" i="11"/>
  <c r="T127" i="11"/>
  <c r="S127" i="11"/>
  <c r="Q127" i="11"/>
  <c r="L127" i="11"/>
  <c r="I127" i="11"/>
  <c r="H127" i="11"/>
  <c r="G127" i="11"/>
  <c r="D127" i="11"/>
  <c r="A127" i="11"/>
  <c r="AH126" i="11"/>
  <c r="AG126" i="11"/>
  <c r="AF126" i="11"/>
  <c r="AC126" i="11"/>
  <c r="AB126" i="11"/>
  <c r="AA126" i="11"/>
  <c r="Z126" i="11"/>
  <c r="Y126" i="11"/>
  <c r="X126" i="11"/>
  <c r="V126" i="11"/>
  <c r="U126" i="11"/>
  <c r="T126" i="11"/>
  <c r="S126" i="11"/>
  <c r="Q126" i="11"/>
  <c r="L126" i="11"/>
  <c r="I126" i="11"/>
  <c r="H126" i="11"/>
  <c r="G126" i="11"/>
  <c r="D126" i="11"/>
  <c r="A126" i="11"/>
  <c r="AH125" i="11"/>
  <c r="AG125" i="11"/>
  <c r="AF125" i="11"/>
  <c r="AC125" i="11"/>
  <c r="AB125" i="11"/>
  <c r="AA125" i="11"/>
  <c r="Z125" i="11"/>
  <c r="Y125" i="11"/>
  <c r="X125" i="11"/>
  <c r="V125" i="11"/>
  <c r="U125" i="11"/>
  <c r="T125" i="11"/>
  <c r="S125" i="11"/>
  <c r="Q125" i="11"/>
  <c r="L125" i="11"/>
  <c r="I125" i="11"/>
  <c r="H125" i="11"/>
  <c r="G125" i="11"/>
  <c r="D125" i="11"/>
  <c r="A125" i="11"/>
  <c r="AH124" i="11"/>
  <c r="AG124" i="11"/>
  <c r="AF124" i="11"/>
  <c r="AC124" i="11"/>
  <c r="AB124" i="11"/>
  <c r="AA124" i="11"/>
  <c r="Z124" i="11"/>
  <c r="Y124" i="11"/>
  <c r="X124" i="11"/>
  <c r="V124" i="11"/>
  <c r="U124" i="11"/>
  <c r="T124" i="11"/>
  <c r="S124" i="11"/>
  <c r="Q124" i="11"/>
  <c r="L124" i="11"/>
  <c r="I124" i="11"/>
  <c r="H124" i="11"/>
  <c r="G124" i="11"/>
  <c r="D124" i="11"/>
  <c r="A124" i="11"/>
  <c r="AH123" i="11"/>
  <c r="AG123" i="11"/>
  <c r="AF123" i="11"/>
  <c r="AC123" i="11"/>
  <c r="AB123" i="11"/>
  <c r="AA123" i="11"/>
  <c r="Z123" i="11"/>
  <c r="Y123" i="11"/>
  <c r="X123" i="11"/>
  <c r="V123" i="11"/>
  <c r="U123" i="11"/>
  <c r="T123" i="11"/>
  <c r="S123" i="11"/>
  <c r="Q123" i="11"/>
  <c r="L123" i="11"/>
  <c r="I123" i="11"/>
  <c r="H123" i="11"/>
  <c r="G123" i="11"/>
  <c r="D123" i="11"/>
  <c r="A123" i="11"/>
  <c r="AH122" i="11"/>
  <c r="AG122" i="11"/>
  <c r="AF122" i="11"/>
  <c r="AC122" i="11"/>
  <c r="AB122" i="11"/>
  <c r="AA122" i="11"/>
  <c r="Z122" i="11"/>
  <c r="Y122" i="11"/>
  <c r="X122" i="11"/>
  <c r="V122" i="11"/>
  <c r="U122" i="11"/>
  <c r="T122" i="11"/>
  <c r="S122" i="11"/>
  <c r="Q122" i="11"/>
  <c r="L122" i="11"/>
  <c r="I122" i="11"/>
  <c r="H122" i="11"/>
  <c r="G122" i="11"/>
  <c r="D122" i="11"/>
  <c r="A122" i="11"/>
  <c r="AH121" i="11"/>
  <c r="AG121" i="11"/>
  <c r="AF121" i="11"/>
  <c r="AC121" i="11"/>
  <c r="AB121" i="11"/>
  <c r="AA121" i="11"/>
  <c r="Z121" i="11"/>
  <c r="Y121" i="11"/>
  <c r="X121" i="11"/>
  <c r="V121" i="11"/>
  <c r="U121" i="11"/>
  <c r="T121" i="11"/>
  <c r="S121" i="11"/>
  <c r="Q121" i="11"/>
  <c r="L121" i="11"/>
  <c r="I121" i="11"/>
  <c r="H121" i="11"/>
  <c r="G121" i="11"/>
  <c r="D121" i="11"/>
  <c r="A121" i="11"/>
  <c r="AH120" i="11"/>
  <c r="AG120" i="11"/>
  <c r="AF120" i="11"/>
  <c r="AC120" i="11"/>
  <c r="AB120" i="11"/>
  <c r="AA120" i="11"/>
  <c r="Z120" i="11"/>
  <c r="Y120" i="11"/>
  <c r="X120" i="11"/>
  <c r="V120" i="11"/>
  <c r="U120" i="11"/>
  <c r="T120" i="11"/>
  <c r="S120" i="11"/>
  <c r="Q120" i="11"/>
  <c r="L120" i="11"/>
  <c r="I120" i="11"/>
  <c r="H120" i="11"/>
  <c r="G120" i="11"/>
  <c r="D120" i="11"/>
  <c r="A120" i="11"/>
  <c r="AH119" i="11"/>
  <c r="AG119" i="11"/>
  <c r="AF119" i="11"/>
  <c r="AC119" i="11"/>
  <c r="AB119" i="11"/>
  <c r="AA119" i="11"/>
  <c r="Z119" i="11"/>
  <c r="Y119" i="11"/>
  <c r="X119" i="11"/>
  <c r="V119" i="11"/>
  <c r="U119" i="11"/>
  <c r="T119" i="11"/>
  <c r="S119" i="11"/>
  <c r="Q119" i="11"/>
  <c r="L119" i="11"/>
  <c r="I119" i="11"/>
  <c r="H119" i="11"/>
  <c r="G119" i="11"/>
  <c r="D119" i="11"/>
  <c r="A119" i="11"/>
  <c r="AH118" i="11"/>
  <c r="AG118" i="11"/>
  <c r="AF118" i="11"/>
  <c r="AC118" i="11"/>
  <c r="AB118" i="11"/>
  <c r="AA118" i="11"/>
  <c r="Z118" i="11"/>
  <c r="Y118" i="11"/>
  <c r="X118" i="11"/>
  <c r="V118" i="11"/>
  <c r="U118" i="11"/>
  <c r="T118" i="11"/>
  <c r="S118" i="11"/>
  <c r="Q118" i="11"/>
  <c r="L118" i="11"/>
  <c r="I118" i="11"/>
  <c r="H118" i="11"/>
  <c r="G118" i="11"/>
  <c r="D118" i="11"/>
  <c r="A118" i="11"/>
  <c r="AH117" i="11"/>
  <c r="AG117" i="11"/>
  <c r="AF117" i="11"/>
  <c r="AC117" i="11"/>
  <c r="AB117" i="11"/>
  <c r="AA117" i="11"/>
  <c r="Z117" i="11"/>
  <c r="Y117" i="11"/>
  <c r="X117" i="11"/>
  <c r="V117" i="11"/>
  <c r="U117" i="11"/>
  <c r="T117" i="11"/>
  <c r="S117" i="11"/>
  <c r="Q117" i="11"/>
  <c r="L117" i="11"/>
  <c r="I117" i="11"/>
  <c r="H117" i="11"/>
  <c r="G117" i="11"/>
  <c r="D117" i="11"/>
  <c r="A117" i="11"/>
  <c r="AH116" i="11"/>
  <c r="AG116" i="11"/>
  <c r="AF116" i="11"/>
  <c r="AC116" i="11"/>
  <c r="AB116" i="11"/>
  <c r="AA116" i="11"/>
  <c r="Z116" i="11"/>
  <c r="Y116" i="11"/>
  <c r="X116" i="11"/>
  <c r="V116" i="11"/>
  <c r="U116" i="11"/>
  <c r="T116" i="11"/>
  <c r="S116" i="11"/>
  <c r="Q116" i="11"/>
  <c r="L116" i="11"/>
  <c r="I116" i="11"/>
  <c r="H116" i="11"/>
  <c r="G116" i="11"/>
  <c r="D116" i="11"/>
  <c r="A116" i="11"/>
  <c r="AH115" i="11"/>
  <c r="AG115" i="11"/>
  <c r="AF115" i="11"/>
  <c r="AC115" i="11"/>
  <c r="AB115" i="11"/>
  <c r="AA115" i="11"/>
  <c r="Z115" i="11"/>
  <c r="Y115" i="11"/>
  <c r="X115" i="11"/>
  <c r="V115" i="11"/>
  <c r="U115" i="11"/>
  <c r="T115" i="11"/>
  <c r="S115" i="11"/>
  <c r="Q115" i="11"/>
  <c r="L115" i="11"/>
  <c r="I115" i="11"/>
  <c r="H115" i="11"/>
  <c r="G115" i="11"/>
  <c r="D115" i="11"/>
  <c r="A115" i="11"/>
  <c r="AH114" i="11"/>
  <c r="AG114" i="11"/>
  <c r="AF114" i="11"/>
  <c r="AC114" i="11"/>
  <c r="AB114" i="11"/>
  <c r="AA114" i="11"/>
  <c r="Z114" i="11"/>
  <c r="Y114" i="11"/>
  <c r="X114" i="11"/>
  <c r="V114" i="11"/>
  <c r="U114" i="11"/>
  <c r="T114" i="11"/>
  <c r="S114" i="11"/>
  <c r="Q114" i="11"/>
  <c r="L114" i="11"/>
  <c r="I114" i="11"/>
  <c r="H114" i="11"/>
  <c r="G114" i="11"/>
  <c r="D114" i="11"/>
  <c r="A114" i="11"/>
  <c r="AH113" i="11"/>
  <c r="AG113" i="11"/>
  <c r="AF113" i="11"/>
  <c r="AC113" i="11"/>
  <c r="AB113" i="11"/>
  <c r="AA113" i="11"/>
  <c r="Z113" i="11"/>
  <c r="Y113" i="11"/>
  <c r="X113" i="11"/>
  <c r="V113" i="11"/>
  <c r="U113" i="11"/>
  <c r="T113" i="11"/>
  <c r="S113" i="11"/>
  <c r="Q113" i="11"/>
  <c r="L113" i="11"/>
  <c r="I113" i="11"/>
  <c r="H113" i="11"/>
  <c r="G113" i="11"/>
  <c r="D113" i="11"/>
  <c r="A113" i="11"/>
  <c r="AH112" i="11"/>
  <c r="AG112" i="11"/>
  <c r="AF112" i="11"/>
  <c r="AC112" i="11"/>
  <c r="AB112" i="11"/>
  <c r="AA112" i="11"/>
  <c r="Z112" i="11"/>
  <c r="Y112" i="11"/>
  <c r="X112" i="11"/>
  <c r="V112" i="11"/>
  <c r="U112" i="11"/>
  <c r="T112" i="11"/>
  <c r="S112" i="11"/>
  <c r="Q112" i="11"/>
  <c r="L112" i="11"/>
  <c r="I112" i="11"/>
  <c r="H112" i="11"/>
  <c r="G112" i="11"/>
  <c r="D112" i="11"/>
  <c r="A112" i="11"/>
  <c r="AH111" i="11"/>
  <c r="AG111" i="11"/>
  <c r="AF111" i="11"/>
  <c r="AC111" i="11"/>
  <c r="AB111" i="11"/>
  <c r="AA111" i="11"/>
  <c r="Z111" i="11"/>
  <c r="Y111" i="11"/>
  <c r="X111" i="11"/>
  <c r="V111" i="11"/>
  <c r="U111" i="11"/>
  <c r="T111" i="11"/>
  <c r="S111" i="11"/>
  <c r="Q111" i="11"/>
  <c r="L111" i="11"/>
  <c r="I111" i="11"/>
  <c r="H111" i="11"/>
  <c r="G111" i="11"/>
  <c r="D111" i="11"/>
  <c r="A111" i="11"/>
  <c r="AH110" i="11"/>
  <c r="AG110" i="11"/>
  <c r="AF110" i="11"/>
  <c r="AC110" i="11"/>
  <c r="AB110" i="11"/>
  <c r="AA110" i="11"/>
  <c r="Z110" i="11"/>
  <c r="Y110" i="11"/>
  <c r="X110" i="11"/>
  <c r="V110" i="11"/>
  <c r="U110" i="11"/>
  <c r="T110" i="11"/>
  <c r="S110" i="11"/>
  <c r="Q110" i="11"/>
  <c r="L110" i="11"/>
  <c r="I110" i="11"/>
  <c r="H110" i="11"/>
  <c r="G110" i="11"/>
  <c r="D110" i="11"/>
  <c r="A110" i="11"/>
  <c r="AH109" i="11"/>
  <c r="AG109" i="11"/>
  <c r="AF109" i="11"/>
  <c r="AC109" i="11"/>
  <c r="AB109" i="11"/>
  <c r="AA109" i="11"/>
  <c r="Z109" i="11"/>
  <c r="Y109" i="11"/>
  <c r="X109" i="11"/>
  <c r="V109" i="11"/>
  <c r="U109" i="11"/>
  <c r="T109" i="11"/>
  <c r="S109" i="11"/>
  <c r="Q109" i="11"/>
  <c r="L109" i="11"/>
  <c r="I109" i="11"/>
  <c r="H109" i="11"/>
  <c r="G109" i="11"/>
  <c r="D109" i="11"/>
  <c r="A109" i="11"/>
  <c r="AH108" i="11"/>
  <c r="AG108" i="11"/>
  <c r="AF108" i="11"/>
  <c r="AC108" i="11"/>
  <c r="AB108" i="11"/>
  <c r="AA108" i="11"/>
  <c r="Z108" i="11"/>
  <c r="Y108" i="11"/>
  <c r="X108" i="11"/>
  <c r="V108" i="11"/>
  <c r="U108" i="11"/>
  <c r="T108" i="11"/>
  <c r="S108" i="11"/>
  <c r="Q108" i="11"/>
  <c r="L108" i="11"/>
  <c r="I108" i="11"/>
  <c r="H108" i="11"/>
  <c r="G108" i="11"/>
  <c r="D108" i="11"/>
  <c r="A108" i="11"/>
  <c r="AH107" i="11"/>
  <c r="AG107" i="11"/>
  <c r="AF107" i="11"/>
  <c r="AC107" i="11"/>
  <c r="AB107" i="11"/>
  <c r="AA107" i="11"/>
  <c r="Z107" i="11"/>
  <c r="Y107" i="11"/>
  <c r="X107" i="11"/>
  <c r="V107" i="11"/>
  <c r="U107" i="11"/>
  <c r="T107" i="11"/>
  <c r="S107" i="11"/>
  <c r="Q107" i="11"/>
  <c r="L107" i="11"/>
  <c r="I107" i="11"/>
  <c r="H107" i="11"/>
  <c r="G107" i="11"/>
  <c r="D107" i="11"/>
  <c r="A107" i="11"/>
  <c r="AH106" i="11"/>
  <c r="AG106" i="11"/>
  <c r="AF106" i="11"/>
  <c r="AC106" i="11"/>
  <c r="AB106" i="11"/>
  <c r="AA106" i="11"/>
  <c r="Z106" i="11"/>
  <c r="Y106" i="11"/>
  <c r="X106" i="11"/>
  <c r="V106" i="11"/>
  <c r="U106" i="11"/>
  <c r="T106" i="11"/>
  <c r="S106" i="11"/>
  <c r="Q106" i="11"/>
  <c r="L106" i="11"/>
  <c r="I106" i="11"/>
  <c r="H106" i="11"/>
  <c r="G106" i="11"/>
  <c r="D106" i="11"/>
  <c r="A106" i="11"/>
  <c r="AH105" i="11"/>
  <c r="AG105" i="11"/>
  <c r="AF105" i="11"/>
  <c r="AC105" i="11"/>
  <c r="AB105" i="11"/>
  <c r="AA105" i="11"/>
  <c r="Z105" i="11"/>
  <c r="Y105" i="11"/>
  <c r="X105" i="11"/>
  <c r="V105" i="11"/>
  <c r="U105" i="11"/>
  <c r="T105" i="11"/>
  <c r="S105" i="11"/>
  <c r="Q105" i="11"/>
  <c r="L105" i="11"/>
  <c r="I105" i="11"/>
  <c r="H105" i="11"/>
  <c r="G105" i="11"/>
  <c r="D105" i="11"/>
  <c r="A105" i="11"/>
  <c r="AH104" i="11"/>
  <c r="AG104" i="11"/>
  <c r="AF104" i="11"/>
  <c r="AC104" i="11"/>
  <c r="AB104" i="11"/>
  <c r="AA104" i="11"/>
  <c r="Z104" i="11"/>
  <c r="Y104" i="11"/>
  <c r="X104" i="11"/>
  <c r="V104" i="11"/>
  <c r="U104" i="11"/>
  <c r="T104" i="11"/>
  <c r="S104" i="11"/>
  <c r="Q104" i="11"/>
  <c r="L104" i="11"/>
  <c r="I104" i="11"/>
  <c r="H104" i="11"/>
  <c r="G104" i="11"/>
  <c r="D104" i="11"/>
  <c r="A104" i="11"/>
  <c r="AH103" i="11"/>
  <c r="AG103" i="11"/>
  <c r="AF103" i="11"/>
  <c r="AC103" i="11"/>
  <c r="AB103" i="11"/>
  <c r="AA103" i="11"/>
  <c r="Z103" i="11"/>
  <c r="Y103" i="11"/>
  <c r="X103" i="11"/>
  <c r="V103" i="11"/>
  <c r="U103" i="11"/>
  <c r="T103" i="11"/>
  <c r="S103" i="11"/>
  <c r="Q103" i="11"/>
  <c r="L103" i="11"/>
  <c r="I103" i="11"/>
  <c r="H103" i="11"/>
  <c r="G103" i="11"/>
  <c r="D103" i="11"/>
  <c r="A103" i="11"/>
  <c r="AH102" i="11"/>
  <c r="AG102" i="11"/>
  <c r="AF102" i="11"/>
  <c r="AC102" i="11"/>
  <c r="AB102" i="11"/>
  <c r="AA102" i="11"/>
  <c r="Z102" i="11"/>
  <c r="Y102" i="11"/>
  <c r="X102" i="11"/>
  <c r="V102" i="11"/>
  <c r="U102" i="11"/>
  <c r="T102" i="11"/>
  <c r="S102" i="11"/>
  <c r="Q102" i="11"/>
  <c r="L102" i="11"/>
  <c r="I102" i="11"/>
  <c r="H102" i="11"/>
  <c r="G102" i="11"/>
  <c r="D102" i="11"/>
  <c r="A102" i="11"/>
  <c r="AH101" i="11"/>
  <c r="AG101" i="11"/>
  <c r="AF101" i="11"/>
  <c r="AC101" i="11"/>
  <c r="AB101" i="11"/>
  <c r="AA101" i="11"/>
  <c r="Z101" i="11"/>
  <c r="Y101" i="11"/>
  <c r="X101" i="11"/>
  <c r="V101" i="11"/>
  <c r="U101" i="11"/>
  <c r="T101" i="11"/>
  <c r="S101" i="11"/>
  <c r="Q101" i="11"/>
  <c r="L101" i="11"/>
  <c r="I101" i="11"/>
  <c r="H101" i="11"/>
  <c r="G101" i="11"/>
  <c r="D101" i="11"/>
  <c r="A101" i="11"/>
  <c r="AH100" i="11"/>
  <c r="AG100" i="11"/>
  <c r="AF100" i="11"/>
  <c r="AC100" i="11"/>
  <c r="AB100" i="11"/>
  <c r="AA100" i="11"/>
  <c r="Z100" i="11"/>
  <c r="Y100" i="11"/>
  <c r="X100" i="11"/>
  <c r="V100" i="11"/>
  <c r="U100" i="11"/>
  <c r="T100" i="11"/>
  <c r="S100" i="11"/>
  <c r="Q100" i="11"/>
  <c r="L100" i="11"/>
  <c r="I100" i="11"/>
  <c r="H100" i="11"/>
  <c r="G100" i="11"/>
  <c r="D100" i="11"/>
  <c r="A100" i="11"/>
  <c r="AH99" i="11"/>
  <c r="AG99" i="11"/>
  <c r="AF99" i="11"/>
  <c r="AC99" i="11"/>
  <c r="AB99" i="11"/>
  <c r="AA99" i="11"/>
  <c r="Z99" i="11"/>
  <c r="Y99" i="11"/>
  <c r="X99" i="11"/>
  <c r="V99" i="11"/>
  <c r="U99" i="11"/>
  <c r="T99" i="11"/>
  <c r="S99" i="11"/>
  <c r="Q99" i="11"/>
  <c r="L99" i="11"/>
  <c r="I99" i="11"/>
  <c r="H99" i="11"/>
  <c r="G99" i="11"/>
  <c r="D99" i="11"/>
  <c r="A99" i="11"/>
  <c r="AH98" i="11"/>
  <c r="AG98" i="11"/>
  <c r="AF98" i="11"/>
  <c r="AC98" i="11"/>
  <c r="AB98" i="11"/>
  <c r="AA98" i="11"/>
  <c r="Z98" i="11"/>
  <c r="Y98" i="11"/>
  <c r="X98" i="11"/>
  <c r="V98" i="11"/>
  <c r="U98" i="11"/>
  <c r="T98" i="11"/>
  <c r="S98" i="11"/>
  <c r="Q98" i="11"/>
  <c r="L98" i="11"/>
  <c r="I98" i="11"/>
  <c r="H98" i="11"/>
  <c r="G98" i="11"/>
  <c r="D98" i="11"/>
  <c r="A98" i="11"/>
  <c r="AH97" i="11"/>
  <c r="AG97" i="11"/>
  <c r="AF97" i="11"/>
  <c r="AC97" i="11"/>
  <c r="AB97" i="11"/>
  <c r="AA97" i="11"/>
  <c r="Z97" i="11"/>
  <c r="Y97" i="11"/>
  <c r="X97" i="11"/>
  <c r="V97" i="11"/>
  <c r="U97" i="11"/>
  <c r="T97" i="11"/>
  <c r="S97" i="11"/>
  <c r="Q97" i="11"/>
  <c r="L97" i="11"/>
  <c r="I97" i="11"/>
  <c r="H97" i="11"/>
  <c r="G97" i="11"/>
  <c r="D97" i="11"/>
  <c r="A97" i="11"/>
  <c r="AH96" i="11"/>
  <c r="AG96" i="11"/>
  <c r="AF96" i="11"/>
  <c r="AC96" i="11"/>
  <c r="AB96" i="11"/>
  <c r="AA96" i="11"/>
  <c r="Z96" i="11"/>
  <c r="Y96" i="11"/>
  <c r="X96" i="11"/>
  <c r="V96" i="11"/>
  <c r="U96" i="11"/>
  <c r="T96" i="11"/>
  <c r="S96" i="11"/>
  <c r="Q96" i="11"/>
  <c r="L96" i="11"/>
  <c r="I96" i="11"/>
  <c r="H96" i="11"/>
  <c r="G96" i="11"/>
  <c r="D96" i="11"/>
  <c r="A96" i="11"/>
  <c r="AH95" i="11"/>
  <c r="AG95" i="11"/>
  <c r="AF95" i="11"/>
  <c r="AC95" i="11"/>
  <c r="AB95" i="11"/>
  <c r="AA95" i="11"/>
  <c r="Z95" i="11"/>
  <c r="Y95" i="11"/>
  <c r="X95" i="11"/>
  <c r="V95" i="11"/>
  <c r="U95" i="11"/>
  <c r="T95" i="11"/>
  <c r="S95" i="11"/>
  <c r="Q95" i="11"/>
  <c r="L95" i="11"/>
  <c r="I95" i="11"/>
  <c r="H95" i="11"/>
  <c r="G95" i="11"/>
  <c r="D95" i="11"/>
  <c r="A95" i="11"/>
  <c r="AH94" i="11"/>
  <c r="AG94" i="11"/>
  <c r="AF94" i="11"/>
  <c r="AC94" i="11"/>
  <c r="AB94" i="11"/>
  <c r="AA94" i="11"/>
  <c r="Z94" i="11"/>
  <c r="Y94" i="11"/>
  <c r="X94" i="11"/>
  <c r="V94" i="11"/>
  <c r="U94" i="11"/>
  <c r="T94" i="11"/>
  <c r="S94" i="11"/>
  <c r="Q94" i="11"/>
  <c r="L94" i="11"/>
  <c r="I94" i="11"/>
  <c r="H94" i="11"/>
  <c r="G94" i="11"/>
  <c r="D94" i="11"/>
  <c r="A94" i="11"/>
  <c r="AH93" i="11"/>
  <c r="AG93" i="11"/>
  <c r="AF93" i="11"/>
  <c r="AC93" i="11"/>
  <c r="AB93" i="11"/>
  <c r="AA93" i="11"/>
  <c r="Z93" i="11"/>
  <c r="Y93" i="11"/>
  <c r="X93" i="11"/>
  <c r="V93" i="11"/>
  <c r="U93" i="11"/>
  <c r="T93" i="11"/>
  <c r="S93" i="11"/>
  <c r="Q93" i="11"/>
  <c r="L93" i="11"/>
  <c r="I93" i="11"/>
  <c r="H93" i="11"/>
  <c r="G93" i="11"/>
  <c r="D93" i="11"/>
  <c r="A93" i="11"/>
  <c r="AH92" i="11"/>
  <c r="AG92" i="11"/>
  <c r="AF92" i="11"/>
  <c r="AC92" i="11"/>
  <c r="AB92" i="11"/>
  <c r="AA92" i="11"/>
  <c r="Z92" i="11"/>
  <c r="Y92" i="11"/>
  <c r="X92" i="11"/>
  <c r="V92" i="11"/>
  <c r="U92" i="11"/>
  <c r="T92" i="11"/>
  <c r="S92" i="11"/>
  <c r="Q92" i="11"/>
  <c r="L92" i="11"/>
  <c r="I92" i="11"/>
  <c r="H92" i="11"/>
  <c r="G92" i="11"/>
  <c r="D92" i="11"/>
  <c r="A92" i="11"/>
  <c r="AH91" i="11"/>
  <c r="AG91" i="11"/>
  <c r="AF91" i="11"/>
  <c r="AC91" i="11"/>
  <c r="AB91" i="11"/>
  <c r="AA91" i="11"/>
  <c r="Z91" i="11"/>
  <c r="Y91" i="11"/>
  <c r="X91" i="11"/>
  <c r="V91" i="11"/>
  <c r="U91" i="11"/>
  <c r="T91" i="11"/>
  <c r="S91" i="11"/>
  <c r="Q91" i="11"/>
  <c r="L91" i="11"/>
  <c r="I91" i="11"/>
  <c r="H91" i="11"/>
  <c r="G91" i="11"/>
  <c r="D91" i="11"/>
  <c r="A91" i="11"/>
  <c r="AH90" i="11"/>
  <c r="AG90" i="11"/>
  <c r="AF90" i="11"/>
  <c r="AC90" i="11"/>
  <c r="AB90" i="11"/>
  <c r="AA90" i="11"/>
  <c r="Z90" i="11"/>
  <c r="Y90" i="11"/>
  <c r="X90" i="11"/>
  <c r="V90" i="11"/>
  <c r="U90" i="11"/>
  <c r="T90" i="11"/>
  <c r="S90" i="11"/>
  <c r="Q90" i="11"/>
  <c r="L90" i="11"/>
  <c r="I90" i="11"/>
  <c r="H90" i="11"/>
  <c r="G90" i="11"/>
  <c r="D90" i="11"/>
  <c r="A90" i="11"/>
  <c r="AH89" i="11"/>
  <c r="AG89" i="11"/>
  <c r="AF89" i="11"/>
  <c r="AC89" i="11"/>
  <c r="AB89" i="11"/>
  <c r="AA89" i="11"/>
  <c r="Z89" i="11"/>
  <c r="Y89" i="11"/>
  <c r="X89" i="11"/>
  <c r="V89" i="11"/>
  <c r="U89" i="11"/>
  <c r="T89" i="11"/>
  <c r="S89" i="11"/>
  <c r="Q89" i="11"/>
  <c r="L89" i="11"/>
  <c r="I89" i="11"/>
  <c r="H89" i="11"/>
  <c r="G89" i="11"/>
  <c r="D89" i="11"/>
  <c r="A89" i="11"/>
  <c r="AH88" i="11"/>
  <c r="AG88" i="11"/>
  <c r="AF88" i="11"/>
  <c r="AC88" i="11"/>
  <c r="AB88" i="11"/>
  <c r="AA88" i="11"/>
  <c r="Z88" i="11"/>
  <c r="Y88" i="11"/>
  <c r="X88" i="11"/>
  <c r="V88" i="11"/>
  <c r="U88" i="11"/>
  <c r="T88" i="11"/>
  <c r="S88" i="11"/>
  <c r="Q88" i="11"/>
  <c r="L88" i="11"/>
  <c r="I88" i="11"/>
  <c r="H88" i="11"/>
  <c r="G88" i="11"/>
  <c r="D88" i="11"/>
  <c r="A88" i="11"/>
  <c r="AH87" i="11"/>
  <c r="AG87" i="11"/>
  <c r="AF87" i="11"/>
  <c r="AC87" i="11"/>
  <c r="AB87" i="11"/>
  <c r="AA87" i="11"/>
  <c r="Z87" i="11"/>
  <c r="Y87" i="11"/>
  <c r="X87" i="11"/>
  <c r="V87" i="11"/>
  <c r="U87" i="11"/>
  <c r="T87" i="11"/>
  <c r="S87" i="11"/>
  <c r="Q87" i="11"/>
  <c r="L87" i="11"/>
  <c r="I87" i="11"/>
  <c r="H87" i="11"/>
  <c r="G87" i="11"/>
  <c r="D87" i="11"/>
  <c r="A87" i="11"/>
  <c r="AH86" i="11"/>
  <c r="AG86" i="11"/>
  <c r="AF86" i="11"/>
  <c r="AC86" i="11"/>
  <c r="AB86" i="11"/>
  <c r="AA86" i="11"/>
  <c r="Z86" i="11"/>
  <c r="Y86" i="11"/>
  <c r="X86" i="11"/>
  <c r="V86" i="11"/>
  <c r="U86" i="11"/>
  <c r="T86" i="11"/>
  <c r="S86" i="11"/>
  <c r="Q86" i="11"/>
  <c r="L86" i="11"/>
  <c r="I86" i="11"/>
  <c r="H86" i="11"/>
  <c r="G86" i="11"/>
  <c r="D86" i="11"/>
  <c r="A86" i="11"/>
  <c r="AH85" i="11"/>
  <c r="AG85" i="11"/>
  <c r="AF85" i="11"/>
  <c r="AC85" i="11"/>
  <c r="AB85" i="11"/>
  <c r="AA85" i="11"/>
  <c r="Z85" i="11"/>
  <c r="Y85" i="11"/>
  <c r="X85" i="11"/>
  <c r="V85" i="11"/>
  <c r="U85" i="11"/>
  <c r="T85" i="11"/>
  <c r="S85" i="11"/>
  <c r="Q85" i="11"/>
  <c r="L85" i="11"/>
  <c r="I85" i="11"/>
  <c r="H85" i="11"/>
  <c r="G85" i="11"/>
  <c r="D85" i="11"/>
  <c r="A85" i="11"/>
  <c r="AH84" i="11"/>
  <c r="AG84" i="11"/>
  <c r="AF84" i="11"/>
  <c r="AC84" i="11"/>
  <c r="AB84" i="11"/>
  <c r="AA84" i="11"/>
  <c r="Z84" i="11"/>
  <c r="Y84" i="11"/>
  <c r="X84" i="11"/>
  <c r="V84" i="11"/>
  <c r="U84" i="11"/>
  <c r="T84" i="11"/>
  <c r="S84" i="11"/>
  <c r="Q84" i="11"/>
  <c r="L84" i="11"/>
  <c r="I84" i="11"/>
  <c r="H84" i="11"/>
  <c r="G84" i="11"/>
  <c r="D84" i="11"/>
  <c r="A84" i="11"/>
  <c r="AH83" i="11"/>
  <c r="AG83" i="11"/>
  <c r="AF83" i="11"/>
  <c r="AC83" i="11"/>
  <c r="AB83" i="11"/>
  <c r="AA83" i="11"/>
  <c r="Z83" i="11"/>
  <c r="Y83" i="11"/>
  <c r="X83" i="11"/>
  <c r="V83" i="11"/>
  <c r="U83" i="11"/>
  <c r="T83" i="11"/>
  <c r="S83" i="11"/>
  <c r="Q83" i="11"/>
  <c r="L83" i="11"/>
  <c r="I83" i="11"/>
  <c r="H83" i="11"/>
  <c r="G83" i="11"/>
  <c r="D83" i="11"/>
  <c r="A83" i="11"/>
  <c r="AH82" i="11"/>
  <c r="AG82" i="11"/>
  <c r="AF82" i="11"/>
  <c r="AC82" i="11"/>
  <c r="AB82" i="11"/>
  <c r="AA82" i="11"/>
  <c r="Z82" i="11"/>
  <c r="Y82" i="11"/>
  <c r="X82" i="11"/>
  <c r="V82" i="11"/>
  <c r="U82" i="11"/>
  <c r="T82" i="11"/>
  <c r="S82" i="11"/>
  <c r="Q82" i="11"/>
  <c r="L82" i="11"/>
  <c r="I82" i="11"/>
  <c r="H82" i="11"/>
  <c r="G82" i="11"/>
  <c r="D82" i="11"/>
  <c r="A82" i="11"/>
  <c r="AH81" i="11"/>
  <c r="AG81" i="11"/>
  <c r="AF81" i="11"/>
  <c r="AC81" i="11"/>
  <c r="AB81" i="11"/>
  <c r="AA81" i="11"/>
  <c r="Z81" i="11"/>
  <c r="Y81" i="11"/>
  <c r="X81" i="11"/>
  <c r="V81" i="11"/>
  <c r="U81" i="11"/>
  <c r="T81" i="11"/>
  <c r="S81" i="11"/>
  <c r="Q81" i="11"/>
  <c r="L81" i="11"/>
  <c r="I81" i="11"/>
  <c r="H81" i="11"/>
  <c r="G81" i="11"/>
  <c r="D81" i="11"/>
  <c r="A81" i="11"/>
  <c r="AH80" i="11"/>
  <c r="AG80" i="11"/>
  <c r="AF80" i="11"/>
  <c r="AC80" i="11"/>
  <c r="AB80" i="11"/>
  <c r="AA80" i="11"/>
  <c r="Z80" i="11"/>
  <c r="Y80" i="11"/>
  <c r="X80" i="11"/>
  <c r="V80" i="11"/>
  <c r="U80" i="11"/>
  <c r="T80" i="11"/>
  <c r="S80" i="11"/>
  <c r="Q80" i="11"/>
  <c r="L80" i="11"/>
  <c r="I80" i="11"/>
  <c r="H80" i="11"/>
  <c r="G80" i="11"/>
  <c r="D80" i="11"/>
  <c r="A80" i="11"/>
  <c r="AH79" i="11"/>
  <c r="AG79" i="11"/>
  <c r="AF79" i="11"/>
  <c r="AC79" i="11"/>
  <c r="AB79" i="11"/>
  <c r="AA79" i="11"/>
  <c r="Z79" i="11"/>
  <c r="Y79" i="11"/>
  <c r="X79" i="11"/>
  <c r="V79" i="11"/>
  <c r="U79" i="11"/>
  <c r="T79" i="11"/>
  <c r="S79" i="11"/>
  <c r="Q79" i="11"/>
  <c r="L79" i="11"/>
  <c r="I79" i="11"/>
  <c r="H79" i="11"/>
  <c r="G79" i="11"/>
  <c r="D79" i="11"/>
  <c r="A79" i="11"/>
  <c r="AH78" i="11"/>
  <c r="AG78" i="11"/>
  <c r="AF78" i="11"/>
  <c r="AC78" i="11"/>
  <c r="AB78" i="11"/>
  <c r="AA78" i="11"/>
  <c r="Z78" i="11"/>
  <c r="Y78" i="11"/>
  <c r="X78" i="11"/>
  <c r="V78" i="11"/>
  <c r="U78" i="11"/>
  <c r="T78" i="11"/>
  <c r="S78" i="11"/>
  <c r="Q78" i="11"/>
  <c r="L78" i="11"/>
  <c r="I78" i="11"/>
  <c r="H78" i="11"/>
  <c r="G78" i="11"/>
  <c r="D78" i="11"/>
  <c r="A78" i="11"/>
  <c r="AH77" i="11"/>
  <c r="AG77" i="11"/>
  <c r="AF77" i="11"/>
  <c r="AC77" i="11"/>
  <c r="AB77" i="11"/>
  <c r="AA77" i="11"/>
  <c r="Z77" i="11"/>
  <c r="Y77" i="11"/>
  <c r="X77" i="11"/>
  <c r="V77" i="11"/>
  <c r="U77" i="11"/>
  <c r="T77" i="11"/>
  <c r="S77" i="11"/>
  <c r="Q77" i="11"/>
  <c r="L77" i="11"/>
  <c r="I77" i="11"/>
  <c r="H77" i="11"/>
  <c r="G77" i="11"/>
  <c r="D77" i="11"/>
  <c r="A77" i="11"/>
  <c r="AH76" i="11"/>
  <c r="AG76" i="11"/>
  <c r="AF76" i="11"/>
  <c r="AC76" i="11"/>
  <c r="AB76" i="11"/>
  <c r="AA76" i="11"/>
  <c r="Z76" i="11"/>
  <c r="Y76" i="11"/>
  <c r="X76" i="11"/>
  <c r="V76" i="11"/>
  <c r="U76" i="11"/>
  <c r="T76" i="11"/>
  <c r="S76" i="11"/>
  <c r="Q76" i="11"/>
  <c r="L76" i="11"/>
  <c r="I76" i="11"/>
  <c r="H76" i="11"/>
  <c r="G76" i="11"/>
  <c r="D76" i="11"/>
  <c r="A76" i="11"/>
  <c r="AH75" i="11"/>
  <c r="AG75" i="11"/>
  <c r="AF75" i="11"/>
  <c r="AC75" i="11"/>
  <c r="AB75" i="11"/>
  <c r="AA75" i="11"/>
  <c r="Z75" i="11"/>
  <c r="Y75" i="11"/>
  <c r="X75" i="11"/>
  <c r="V75" i="11"/>
  <c r="U75" i="11"/>
  <c r="T75" i="11"/>
  <c r="S75" i="11"/>
  <c r="Q75" i="11"/>
  <c r="L75" i="11"/>
  <c r="I75" i="11"/>
  <c r="H75" i="11"/>
  <c r="G75" i="11"/>
  <c r="D75" i="11"/>
  <c r="A75" i="11"/>
  <c r="AH74" i="11"/>
  <c r="AG74" i="11"/>
  <c r="AF74" i="11"/>
  <c r="AC74" i="11"/>
  <c r="AB74" i="11"/>
  <c r="AA74" i="11"/>
  <c r="Z74" i="11"/>
  <c r="Y74" i="11"/>
  <c r="X74" i="11"/>
  <c r="V74" i="11"/>
  <c r="U74" i="11"/>
  <c r="T74" i="11"/>
  <c r="S74" i="11"/>
  <c r="Q74" i="11"/>
  <c r="L74" i="11"/>
  <c r="I74" i="11"/>
  <c r="H74" i="11"/>
  <c r="G74" i="11"/>
  <c r="D74" i="11"/>
  <c r="A74" i="11"/>
  <c r="AH73" i="11"/>
  <c r="AG73" i="11"/>
  <c r="AF73" i="11"/>
  <c r="AC73" i="11"/>
  <c r="AB73" i="11"/>
  <c r="AA73" i="11"/>
  <c r="Z73" i="11"/>
  <c r="Y73" i="11"/>
  <c r="X73" i="11"/>
  <c r="V73" i="11"/>
  <c r="U73" i="11"/>
  <c r="T73" i="11"/>
  <c r="S73" i="11"/>
  <c r="Q73" i="11"/>
  <c r="L73" i="11"/>
  <c r="I73" i="11"/>
  <c r="H73" i="11"/>
  <c r="G73" i="11"/>
  <c r="D73" i="11"/>
  <c r="A73" i="11"/>
  <c r="AH72" i="11"/>
  <c r="AG72" i="11"/>
  <c r="AF72" i="11"/>
  <c r="AC72" i="11"/>
  <c r="AB72" i="11"/>
  <c r="AA72" i="11"/>
  <c r="Z72" i="11"/>
  <c r="Y72" i="11"/>
  <c r="X72" i="11"/>
  <c r="V72" i="11"/>
  <c r="U72" i="11"/>
  <c r="T72" i="11"/>
  <c r="S72" i="11"/>
  <c r="Q72" i="11"/>
  <c r="L72" i="11"/>
  <c r="I72" i="11"/>
  <c r="H72" i="11"/>
  <c r="G72" i="11"/>
  <c r="D72" i="11"/>
  <c r="A72" i="11"/>
  <c r="AH71" i="11"/>
  <c r="AG71" i="11"/>
  <c r="AF71" i="11"/>
  <c r="AC71" i="11"/>
  <c r="AB71" i="11"/>
  <c r="AA71" i="11"/>
  <c r="Z71" i="11"/>
  <c r="Y71" i="11"/>
  <c r="X71" i="11"/>
  <c r="V71" i="11"/>
  <c r="U71" i="11"/>
  <c r="T71" i="11"/>
  <c r="S71" i="11"/>
  <c r="Q71" i="11"/>
  <c r="L71" i="11"/>
  <c r="I71" i="11"/>
  <c r="H71" i="11"/>
  <c r="G71" i="11"/>
  <c r="D71" i="11"/>
  <c r="A71" i="11"/>
  <c r="AH70" i="11"/>
  <c r="AG70" i="11"/>
  <c r="AF70" i="11"/>
  <c r="AC70" i="11"/>
  <c r="AB70" i="11"/>
  <c r="AA70" i="11"/>
  <c r="Z70" i="11"/>
  <c r="Y70" i="11"/>
  <c r="X70" i="11"/>
  <c r="V70" i="11"/>
  <c r="U70" i="11"/>
  <c r="T70" i="11"/>
  <c r="S70" i="11"/>
  <c r="Q70" i="11"/>
  <c r="L70" i="11"/>
  <c r="I70" i="11"/>
  <c r="H70" i="11"/>
  <c r="G70" i="11"/>
  <c r="D70" i="11"/>
  <c r="A70" i="11"/>
  <c r="AH69" i="11"/>
  <c r="AG69" i="11"/>
  <c r="AF69" i="11"/>
  <c r="AC69" i="11"/>
  <c r="AB69" i="11"/>
  <c r="AA69" i="11"/>
  <c r="Z69" i="11"/>
  <c r="Y69" i="11"/>
  <c r="X69" i="11"/>
  <c r="V69" i="11"/>
  <c r="U69" i="11"/>
  <c r="T69" i="11"/>
  <c r="S69" i="11"/>
  <c r="Q69" i="11"/>
  <c r="L69" i="11"/>
  <c r="I69" i="11"/>
  <c r="H69" i="11"/>
  <c r="G69" i="11"/>
  <c r="D69" i="11"/>
  <c r="A69" i="11"/>
  <c r="AH68" i="11"/>
  <c r="AG68" i="11"/>
  <c r="AF68" i="11"/>
  <c r="AC68" i="11"/>
  <c r="AB68" i="11"/>
  <c r="AA68" i="11"/>
  <c r="Z68" i="11"/>
  <c r="Y68" i="11"/>
  <c r="X68" i="11"/>
  <c r="V68" i="11"/>
  <c r="U68" i="11"/>
  <c r="T68" i="11"/>
  <c r="S68" i="11"/>
  <c r="Q68" i="11"/>
  <c r="L68" i="11"/>
  <c r="I68" i="11"/>
  <c r="H68" i="11"/>
  <c r="G68" i="11"/>
  <c r="D68" i="11"/>
  <c r="A68" i="11"/>
  <c r="AH67" i="11"/>
  <c r="AG67" i="11"/>
  <c r="AF67" i="11"/>
  <c r="AC67" i="11"/>
  <c r="AB67" i="11"/>
  <c r="AA67" i="11"/>
  <c r="Z67" i="11"/>
  <c r="Y67" i="11"/>
  <c r="X67" i="11"/>
  <c r="V67" i="11"/>
  <c r="U67" i="11"/>
  <c r="T67" i="11"/>
  <c r="S67" i="11"/>
  <c r="Q67" i="11"/>
  <c r="L67" i="11"/>
  <c r="I67" i="11"/>
  <c r="H67" i="11"/>
  <c r="G67" i="11"/>
  <c r="D67" i="11"/>
  <c r="A67" i="11"/>
  <c r="AH66" i="11"/>
  <c r="AG66" i="11"/>
  <c r="AF66" i="11"/>
  <c r="AC66" i="11"/>
  <c r="AB66" i="11"/>
  <c r="AA66" i="11"/>
  <c r="Z66" i="11"/>
  <c r="Y66" i="11"/>
  <c r="X66" i="11"/>
  <c r="V66" i="11"/>
  <c r="U66" i="11"/>
  <c r="T66" i="11"/>
  <c r="S66" i="11"/>
  <c r="Q66" i="11"/>
  <c r="L66" i="11"/>
  <c r="I66" i="11"/>
  <c r="H66" i="11"/>
  <c r="G66" i="11"/>
  <c r="D66" i="11"/>
  <c r="A66" i="11"/>
  <c r="AH65" i="11"/>
  <c r="AG65" i="11"/>
  <c r="AF65" i="11"/>
  <c r="AC65" i="11"/>
  <c r="AB65" i="11"/>
  <c r="AA65" i="11"/>
  <c r="Z65" i="11"/>
  <c r="Y65" i="11"/>
  <c r="X65" i="11"/>
  <c r="V65" i="11"/>
  <c r="U65" i="11"/>
  <c r="T65" i="11"/>
  <c r="S65" i="11"/>
  <c r="Q65" i="11"/>
  <c r="L65" i="11"/>
  <c r="I65" i="11"/>
  <c r="H65" i="11"/>
  <c r="G65" i="11"/>
  <c r="D65" i="11"/>
  <c r="A65" i="11"/>
  <c r="AH64" i="11"/>
  <c r="AG64" i="11"/>
  <c r="AF64" i="11"/>
  <c r="AC64" i="11"/>
  <c r="AB64" i="11"/>
  <c r="AA64" i="11"/>
  <c r="Z64" i="11"/>
  <c r="Y64" i="11"/>
  <c r="X64" i="11"/>
  <c r="V64" i="11"/>
  <c r="U64" i="11"/>
  <c r="T64" i="11"/>
  <c r="S64" i="11"/>
  <c r="Q64" i="11"/>
  <c r="L64" i="11"/>
  <c r="I64" i="11"/>
  <c r="H64" i="11"/>
  <c r="G64" i="11"/>
  <c r="D64" i="11"/>
  <c r="A64" i="11"/>
  <c r="AH63" i="11"/>
  <c r="AG63" i="11"/>
  <c r="AF63" i="11"/>
  <c r="AC63" i="11"/>
  <c r="AB63" i="11"/>
  <c r="AA63" i="11"/>
  <c r="Z63" i="11"/>
  <c r="Y63" i="11"/>
  <c r="X63" i="11"/>
  <c r="V63" i="11"/>
  <c r="U63" i="11"/>
  <c r="T63" i="11"/>
  <c r="S63" i="11"/>
  <c r="Q63" i="11"/>
  <c r="L63" i="11"/>
  <c r="I63" i="11"/>
  <c r="H63" i="11"/>
  <c r="G63" i="11"/>
  <c r="D63" i="11"/>
  <c r="A63" i="11"/>
  <c r="AH62" i="11"/>
  <c r="AG62" i="11"/>
  <c r="AF62" i="11"/>
  <c r="AC62" i="11"/>
  <c r="AB62" i="11"/>
  <c r="AA62" i="11"/>
  <c r="Z62" i="11"/>
  <c r="Y62" i="11"/>
  <c r="X62" i="11"/>
  <c r="V62" i="11"/>
  <c r="U62" i="11"/>
  <c r="T62" i="11"/>
  <c r="S62" i="11"/>
  <c r="Q62" i="11"/>
  <c r="L62" i="11"/>
  <c r="I62" i="11"/>
  <c r="H62" i="11"/>
  <c r="G62" i="11"/>
  <c r="D62" i="11"/>
  <c r="A62" i="11"/>
  <c r="AH61" i="11"/>
  <c r="AG61" i="11"/>
  <c r="AF61" i="11"/>
  <c r="AC61" i="11"/>
  <c r="AB61" i="11"/>
  <c r="AA61" i="11"/>
  <c r="Z61" i="11"/>
  <c r="Y61" i="11"/>
  <c r="X61" i="11"/>
  <c r="V61" i="11"/>
  <c r="U61" i="11"/>
  <c r="T61" i="11"/>
  <c r="S61" i="11"/>
  <c r="Q61" i="11"/>
  <c r="L61" i="11"/>
  <c r="I61" i="11"/>
  <c r="H61" i="11"/>
  <c r="G61" i="11"/>
  <c r="D61" i="11"/>
  <c r="A61" i="11"/>
  <c r="AH60" i="11"/>
  <c r="AG60" i="11"/>
  <c r="AF60" i="11"/>
  <c r="AC60" i="11"/>
  <c r="AB60" i="11"/>
  <c r="AA60" i="11"/>
  <c r="Z60" i="11"/>
  <c r="Y60" i="11"/>
  <c r="X60" i="11"/>
  <c r="V60" i="11"/>
  <c r="U60" i="11"/>
  <c r="T60" i="11"/>
  <c r="S60" i="11"/>
  <c r="Q60" i="11"/>
  <c r="L60" i="11"/>
  <c r="I60" i="11"/>
  <c r="H60" i="11"/>
  <c r="G60" i="11"/>
  <c r="D60" i="11"/>
  <c r="A60" i="11"/>
  <c r="AH59" i="11"/>
  <c r="AG59" i="11"/>
  <c r="AF59" i="11"/>
  <c r="AC59" i="11"/>
  <c r="AB59" i="11"/>
  <c r="AA59" i="11"/>
  <c r="Z59" i="11"/>
  <c r="Y59" i="11"/>
  <c r="X59" i="11"/>
  <c r="V59" i="11"/>
  <c r="U59" i="11"/>
  <c r="T59" i="11"/>
  <c r="S59" i="11"/>
  <c r="Q59" i="11"/>
  <c r="L59" i="11"/>
  <c r="I59" i="11"/>
  <c r="H59" i="11"/>
  <c r="G59" i="11"/>
  <c r="D59" i="11"/>
  <c r="A59" i="11"/>
  <c r="AH58" i="11"/>
  <c r="AG58" i="11"/>
  <c r="AF58" i="11"/>
  <c r="AC58" i="11"/>
  <c r="AB58" i="11"/>
  <c r="AA58" i="11"/>
  <c r="Z58" i="11"/>
  <c r="Y58" i="11"/>
  <c r="X58" i="11"/>
  <c r="V58" i="11"/>
  <c r="U58" i="11"/>
  <c r="T58" i="11"/>
  <c r="S58" i="11"/>
  <c r="Q58" i="11"/>
  <c r="L58" i="11"/>
  <c r="I58" i="11"/>
  <c r="H58" i="11"/>
  <c r="G58" i="11"/>
  <c r="D58" i="11"/>
  <c r="A58" i="11"/>
  <c r="AH57" i="11"/>
  <c r="AG57" i="11"/>
  <c r="AF57" i="11"/>
  <c r="AC57" i="11"/>
  <c r="AB57" i="11"/>
  <c r="AA57" i="11"/>
  <c r="Z57" i="11"/>
  <c r="Y57" i="11"/>
  <c r="X57" i="11"/>
  <c r="V57" i="11"/>
  <c r="U57" i="11"/>
  <c r="T57" i="11"/>
  <c r="S57" i="11"/>
  <c r="Q57" i="11"/>
  <c r="L57" i="11"/>
  <c r="I57" i="11"/>
  <c r="H57" i="11"/>
  <c r="G57" i="11"/>
  <c r="D57" i="11"/>
  <c r="A57" i="11"/>
  <c r="AH56" i="11"/>
  <c r="AG56" i="11"/>
  <c r="AF56" i="11"/>
  <c r="AC56" i="11"/>
  <c r="AB56" i="11"/>
  <c r="AA56" i="11"/>
  <c r="Z56" i="11"/>
  <c r="Y56" i="11"/>
  <c r="X56" i="11"/>
  <c r="V56" i="11"/>
  <c r="U56" i="11"/>
  <c r="T56" i="11"/>
  <c r="S56" i="11"/>
  <c r="Q56" i="11"/>
  <c r="L56" i="11"/>
  <c r="I56" i="11"/>
  <c r="H56" i="11"/>
  <c r="G56" i="11"/>
  <c r="D56" i="11"/>
  <c r="A56" i="11"/>
  <c r="AH55" i="11"/>
  <c r="AG55" i="11"/>
  <c r="AF55" i="11"/>
  <c r="AC55" i="11"/>
  <c r="AB55" i="11"/>
  <c r="AA55" i="11"/>
  <c r="Z55" i="11"/>
  <c r="Y55" i="11"/>
  <c r="X55" i="11"/>
  <c r="V55" i="11"/>
  <c r="U55" i="11"/>
  <c r="T55" i="11"/>
  <c r="S55" i="11"/>
  <c r="Q55" i="11"/>
  <c r="L55" i="11"/>
  <c r="I55" i="11"/>
  <c r="H55" i="11"/>
  <c r="G55" i="11"/>
  <c r="D55" i="11"/>
  <c r="A55" i="11"/>
  <c r="AH54" i="11"/>
  <c r="AG54" i="11"/>
  <c r="AF54" i="11"/>
  <c r="AC54" i="11"/>
  <c r="AB54" i="11"/>
  <c r="AA54" i="11"/>
  <c r="Z54" i="11"/>
  <c r="Y54" i="11"/>
  <c r="X54" i="11"/>
  <c r="V54" i="11"/>
  <c r="U54" i="11"/>
  <c r="T54" i="11"/>
  <c r="S54" i="11"/>
  <c r="Q54" i="11"/>
  <c r="L54" i="11"/>
  <c r="I54" i="11"/>
  <c r="H54" i="11"/>
  <c r="G54" i="11"/>
  <c r="D54" i="11"/>
  <c r="A54" i="11"/>
  <c r="AH53" i="11"/>
  <c r="AG53" i="11"/>
  <c r="AF53" i="11"/>
  <c r="AC53" i="11"/>
  <c r="AB53" i="11"/>
  <c r="AA53" i="11"/>
  <c r="Z53" i="11"/>
  <c r="Y53" i="11"/>
  <c r="X53" i="11"/>
  <c r="V53" i="11"/>
  <c r="U53" i="11"/>
  <c r="T53" i="11"/>
  <c r="S53" i="11"/>
  <c r="Q53" i="11"/>
  <c r="L53" i="11"/>
  <c r="I53" i="11"/>
  <c r="H53" i="11"/>
  <c r="G53" i="11"/>
  <c r="D53" i="11"/>
  <c r="A53" i="11"/>
  <c r="AH52" i="11"/>
  <c r="AG52" i="11"/>
  <c r="AF52" i="11"/>
  <c r="AC52" i="11"/>
  <c r="AB52" i="11"/>
  <c r="AA52" i="11"/>
  <c r="Z52" i="11"/>
  <c r="Y52" i="11"/>
  <c r="X52" i="11"/>
  <c r="V52" i="11"/>
  <c r="U52" i="11"/>
  <c r="T52" i="11"/>
  <c r="S52" i="11"/>
  <c r="Q52" i="11"/>
  <c r="L52" i="11"/>
  <c r="I52" i="11"/>
  <c r="H52" i="11"/>
  <c r="G52" i="11"/>
  <c r="D52" i="11"/>
  <c r="A52" i="11"/>
  <c r="AH51" i="11"/>
  <c r="AG51" i="11"/>
  <c r="AF51" i="11"/>
  <c r="AC51" i="11"/>
  <c r="AB51" i="11"/>
  <c r="AA51" i="11"/>
  <c r="Z51" i="11"/>
  <c r="Y51" i="11"/>
  <c r="X51" i="11"/>
  <c r="V51" i="11"/>
  <c r="U51" i="11"/>
  <c r="T51" i="11"/>
  <c r="S51" i="11"/>
  <c r="Q51" i="11"/>
  <c r="L51" i="11"/>
  <c r="I51" i="11"/>
  <c r="H51" i="11"/>
  <c r="G51" i="11"/>
  <c r="D51" i="11"/>
  <c r="A51" i="11"/>
  <c r="AH50" i="11"/>
  <c r="AG50" i="11"/>
  <c r="AF50" i="11"/>
  <c r="AC50" i="11"/>
  <c r="AB50" i="11"/>
  <c r="AA50" i="11"/>
  <c r="Z50" i="11"/>
  <c r="Y50" i="11"/>
  <c r="X50" i="11"/>
  <c r="V50" i="11"/>
  <c r="U50" i="11"/>
  <c r="T50" i="11"/>
  <c r="S50" i="11"/>
  <c r="Q50" i="11"/>
  <c r="L50" i="11"/>
  <c r="I50" i="11"/>
  <c r="H50" i="11"/>
  <c r="G50" i="11"/>
  <c r="D50" i="11"/>
  <c r="A50" i="11"/>
  <c r="AH49" i="11"/>
  <c r="AG49" i="11"/>
  <c r="AF49" i="11"/>
  <c r="AC49" i="11"/>
  <c r="AB49" i="11"/>
  <c r="AA49" i="11"/>
  <c r="Z49" i="11"/>
  <c r="Y49" i="11"/>
  <c r="X49" i="11"/>
  <c r="V49" i="11"/>
  <c r="U49" i="11"/>
  <c r="T49" i="11"/>
  <c r="S49" i="11"/>
  <c r="Q49" i="11"/>
  <c r="L49" i="11"/>
  <c r="I49" i="11"/>
  <c r="H49" i="11"/>
  <c r="G49" i="11"/>
  <c r="D49" i="11"/>
  <c r="A49" i="11"/>
  <c r="AH48" i="11"/>
  <c r="AG48" i="11"/>
  <c r="AF48" i="11"/>
  <c r="AC48" i="11"/>
  <c r="AB48" i="11"/>
  <c r="AA48" i="11"/>
  <c r="Z48" i="11"/>
  <c r="Y48" i="11"/>
  <c r="X48" i="11"/>
  <c r="V48" i="11"/>
  <c r="U48" i="11"/>
  <c r="T48" i="11"/>
  <c r="S48" i="11"/>
  <c r="Q48" i="11"/>
  <c r="L48" i="11"/>
  <c r="I48" i="11"/>
  <c r="H48" i="11"/>
  <c r="G48" i="11"/>
  <c r="D48" i="11"/>
  <c r="A48" i="11"/>
  <c r="AH47" i="11"/>
  <c r="AG47" i="11"/>
  <c r="AF47" i="11"/>
  <c r="AC47" i="11"/>
  <c r="AB47" i="11"/>
  <c r="AA47" i="11"/>
  <c r="Z47" i="11"/>
  <c r="Y47" i="11"/>
  <c r="X47" i="11"/>
  <c r="V47" i="11"/>
  <c r="U47" i="11"/>
  <c r="T47" i="11"/>
  <c r="S47" i="11"/>
  <c r="Q47" i="11"/>
  <c r="L47" i="11"/>
  <c r="I47" i="11"/>
  <c r="H47" i="11"/>
  <c r="G47" i="11"/>
  <c r="D47" i="11"/>
  <c r="A47" i="11"/>
  <c r="AH46" i="11"/>
  <c r="AG46" i="11"/>
  <c r="AF46" i="11"/>
  <c r="AC46" i="11"/>
  <c r="AB46" i="11"/>
  <c r="AA46" i="11"/>
  <c r="Z46" i="11"/>
  <c r="Y46" i="11"/>
  <c r="X46" i="11"/>
  <c r="V46" i="11"/>
  <c r="U46" i="11"/>
  <c r="T46" i="11"/>
  <c r="S46" i="11"/>
  <c r="Q46" i="11"/>
  <c r="L46" i="11"/>
  <c r="I46" i="11"/>
  <c r="H46" i="11"/>
  <c r="G46" i="11"/>
  <c r="D46" i="11"/>
  <c r="A46" i="11"/>
  <c r="AH45" i="11"/>
  <c r="AG45" i="11"/>
  <c r="AF45" i="11"/>
  <c r="AC45" i="11"/>
  <c r="AB45" i="11"/>
  <c r="AA45" i="11"/>
  <c r="Z45" i="11"/>
  <c r="Y45" i="11"/>
  <c r="X45" i="11"/>
  <c r="V45" i="11"/>
  <c r="U45" i="11"/>
  <c r="T45" i="11"/>
  <c r="S45" i="11"/>
  <c r="Q45" i="11"/>
  <c r="L45" i="11"/>
  <c r="I45" i="11"/>
  <c r="H45" i="11"/>
  <c r="G45" i="11"/>
  <c r="D45" i="11"/>
  <c r="A45" i="11"/>
  <c r="AH44" i="11"/>
  <c r="AG44" i="11"/>
  <c r="AF44" i="11"/>
  <c r="AC44" i="11"/>
  <c r="AB44" i="11"/>
  <c r="AA44" i="11"/>
  <c r="Z44" i="11"/>
  <c r="Y44" i="11"/>
  <c r="X44" i="11"/>
  <c r="V44" i="11"/>
  <c r="U44" i="11"/>
  <c r="T44" i="11"/>
  <c r="S44" i="11"/>
  <c r="Q44" i="11"/>
  <c r="L44" i="11"/>
  <c r="I44" i="11"/>
  <c r="H44" i="11"/>
  <c r="G44" i="11"/>
  <c r="D44" i="11"/>
  <c r="A44" i="11"/>
  <c r="AH43" i="11"/>
  <c r="AG43" i="11"/>
  <c r="AF43" i="11"/>
  <c r="AC43" i="11"/>
  <c r="AB43" i="11"/>
  <c r="AA43" i="11"/>
  <c r="Z43" i="11"/>
  <c r="Y43" i="11"/>
  <c r="X43" i="11"/>
  <c r="V43" i="11"/>
  <c r="U43" i="11"/>
  <c r="T43" i="11"/>
  <c r="S43" i="11"/>
  <c r="Q43" i="11"/>
  <c r="L43" i="11"/>
  <c r="I43" i="11"/>
  <c r="H43" i="11"/>
  <c r="G43" i="11"/>
  <c r="D43" i="11"/>
  <c r="A43" i="11"/>
  <c r="AH42" i="11"/>
  <c r="AG42" i="11"/>
  <c r="AF42" i="11"/>
  <c r="AC42" i="11"/>
  <c r="AB42" i="11"/>
  <c r="AA42" i="11"/>
  <c r="Z42" i="11"/>
  <c r="Y42" i="11"/>
  <c r="X42" i="11"/>
  <c r="V42" i="11"/>
  <c r="U42" i="11"/>
  <c r="T42" i="11"/>
  <c r="S42" i="11"/>
  <c r="Q42" i="11"/>
  <c r="L42" i="11"/>
  <c r="I42" i="11"/>
  <c r="H42" i="11"/>
  <c r="G42" i="11"/>
  <c r="D42" i="11"/>
  <c r="A42" i="11"/>
  <c r="AH41" i="11"/>
  <c r="AG41" i="11"/>
  <c r="AF41" i="11"/>
  <c r="AC41" i="11"/>
  <c r="AB41" i="11"/>
  <c r="AA41" i="11"/>
  <c r="Z41" i="11"/>
  <c r="Y41" i="11"/>
  <c r="X41" i="11"/>
  <c r="V41" i="11"/>
  <c r="U41" i="11"/>
  <c r="T41" i="11"/>
  <c r="S41" i="11"/>
  <c r="Q41" i="11"/>
  <c r="L41" i="11"/>
  <c r="I41" i="11"/>
  <c r="H41" i="11"/>
  <c r="G41" i="11"/>
  <c r="D41" i="11"/>
  <c r="A41" i="11"/>
  <c r="AH40" i="11"/>
  <c r="AG40" i="11"/>
  <c r="AF40" i="11"/>
  <c r="AC40" i="11"/>
  <c r="AB40" i="11"/>
  <c r="AA40" i="11"/>
  <c r="Z40" i="11"/>
  <c r="Y40" i="11"/>
  <c r="X40" i="11"/>
  <c r="V40" i="11"/>
  <c r="U40" i="11"/>
  <c r="T40" i="11"/>
  <c r="S40" i="11"/>
  <c r="Q40" i="11"/>
  <c r="L40" i="11"/>
  <c r="I40" i="11"/>
  <c r="H40" i="11"/>
  <c r="G40" i="11"/>
  <c r="D40" i="11"/>
  <c r="A40" i="11"/>
  <c r="AH39" i="11"/>
  <c r="AG39" i="11"/>
  <c r="AF39" i="11"/>
  <c r="AC39" i="11"/>
  <c r="AB39" i="11"/>
  <c r="AA39" i="11"/>
  <c r="Z39" i="11"/>
  <c r="Y39" i="11"/>
  <c r="X39" i="11"/>
  <c r="V39" i="11"/>
  <c r="U39" i="11"/>
  <c r="T39" i="11"/>
  <c r="S39" i="11"/>
  <c r="Q39" i="11"/>
  <c r="L39" i="11"/>
  <c r="I39" i="11"/>
  <c r="H39" i="11"/>
  <c r="G39" i="11"/>
  <c r="D39" i="11"/>
  <c r="A39" i="11"/>
  <c r="AH38" i="11"/>
  <c r="AG38" i="11"/>
  <c r="AF38" i="11"/>
  <c r="AC38" i="11"/>
  <c r="AB38" i="11"/>
  <c r="AA38" i="11"/>
  <c r="Z38" i="11"/>
  <c r="Y38" i="11"/>
  <c r="X38" i="11"/>
  <c r="V38" i="11"/>
  <c r="U38" i="11"/>
  <c r="T38" i="11"/>
  <c r="S38" i="11"/>
  <c r="Q38" i="11"/>
  <c r="L38" i="11"/>
  <c r="I38" i="11"/>
  <c r="H38" i="11"/>
  <c r="G38" i="11"/>
  <c r="D38" i="11"/>
  <c r="A38" i="11"/>
  <c r="AH37" i="11"/>
  <c r="AG37" i="11"/>
  <c r="AF37" i="11"/>
  <c r="AC37" i="11"/>
  <c r="AB37" i="11"/>
  <c r="AA37" i="11"/>
  <c r="Z37" i="11"/>
  <c r="Y37" i="11"/>
  <c r="X37" i="11"/>
  <c r="V37" i="11"/>
  <c r="U37" i="11"/>
  <c r="T37" i="11"/>
  <c r="S37" i="11"/>
  <c r="Q37" i="11"/>
  <c r="L37" i="11"/>
  <c r="I37" i="11"/>
  <c r="H37" i="11"/>
  <c r="G37" i="11"/>
  <c r="D37" i="11"/>
  <c r="A37" i="11"/>
  <c r="AH36" i="11"/>
  <c r="AG36" i="11"/>
  <c r="AF36" i="11"/>
  <c r="AC36" i="11"/>
  <c r="AB36" i="11"/>
  <c r="AA36" i="11"/>
  <c r="Z36" i="11"/>
  <c r="Y36" i="11"/>
  <c r="X36" i="11"/>
  <c r="V36" i="11"/>
  <c r="U36" i="11"/>
  <c r="T36" i="11"/>
  <c r="S36" i="11"/>
  <c r="Q36" i="11"/>
  <c r="L36" i="11"/>
  <c r="I36" i="11"/>
  <c r="H36" i="11"/>
  <c r="G36" i="11"/>
  <c r="D36" i="11"/>
  <c r="A36" i="11"/>
  <c r="AH35" i="11"/>
  <c r="AG35" i="11"/>
  <c r="AF35" i="11"/>
  <c r="AC35" i="11"/>
  <c r="AB35" i="11"/>
  <c r="AA35" i="11"/>
  <c r="Z35" i="11"/>
  <c r="Y35" i="11"/>
  <c r="X35" i="11"/>
  <c r="V35" i="11"/>
  <c r="U35" i="11"/>
  <c r="T35" i="11"/>
  <c r="S35" i="11"/>
  <c r="Q35" i="11"/>
  <c r="L35" i="11"/>
  <c r="I35" i="11"/>
  <c r="H35" i="11"/>
  <c r="G35" i="11"/>
  <c r="D35" i="11"/>
  <c r="A35" i="11"/>
  <c r="AH34" i="11"/>
  <c r="AG34" i="11"/>
  <c r="AF34" i="11"/>
  <c r="AC34" i="11"/>
  <c r="AB34" i="11"/>
  <c r="AA34" i="11"/>
  <c r="Z34" i="11"/>
  <c r="Y34" i="11"/>
  <c r="X34" i="11"/>
  <c r="V34" i="11"/>
  <c r="U34" i="11"/>
  <c r="T34" i="11"/>
  <c r="S34" i="11"/>
  <c r="Q34" i="11"/>
  <c r="L34" i="11"/>
  <c r="I34" i="11"/>
  <c r="H34" i="11"/>
  <c r="G34" i="11"/>
  <c r="D34" i="11"/>
  <c r="A34" i="11"/>
  <c r="AH33" i="11"/>
  <c r="AG33" i="11"/>
  <c r="AF33" i="11"/>
  <c r="AC33" i="11"/>
  <c r="AB33" i="11"/>
  <c r="AA33" i="11"/>
  <c r="Z33" i="11"/>
  <c r="Y33" i="11"/>
  <c r="X33" i="11"/>
  <c r="V33" i="11"/>
  <c r="U33" i="11"/>
  <c r="T33" i="11"/>
  <c r="S33" i="11"/>
  <c r="Q33" i="11"/>
  <c r="L33" i="11"/>
  <c r="I33" i="11"/>
  <c r="H33" i="11"/>
  <c r="G33" i="11"/>
  <c r="D33" i="11"/>
  <c r="A33" i="11"/>
  <c r="AH32" i="11"/>
  <c r="AG32" i="11"/>
  <c r="AF32" i="11"/>
  <c r="AC32" i="11"/>
  <c r="AB32" i="11"/>
  <c r="AA32" i="11"/>
  <c r="Z32" i="11"/>
  <c r="Y32" i="11"/>
  <c r="X32" i="11"/>
  <c r="V32" i="11"/>
  <c r="U32" i="11"/>
  <c r="T32" i="11"/>
  <c r="S32" i="11"/>
  <c r="Q32" i="11"/>
  <c r="L32" i="11"/>
  <c r="I32" i="11"/>
  <c r="H32" i="11"/>
  <c r="G32" i="11"/>
  <c r="D32" i="11"/>
  <c r="A32" i="11"/>
  <c r="AH31" i="11"/>
  <c r="AG31" i="11"/>
  <c r="AF31" i="11"/>
  <c r="AC31" i="11"/>
  <c r="AB31" i="11"/>
  <c r="AA31" i="11"/>
  <c r="Z31" i="11"/>
  <c r="Y31" i="11"/>
  <c r="X31" i="11"/>
  <c r="V31" i="11"/>
  <c r="U31" i="11"/>
  <c r="T31" i="11"/>
  <c r="S31" i="11"/>
  <c r="Q31" i="11"/>
  <c r="L31" i="11"/>
  <c r="I31" i="11"/>
  <c r="H31" i="11"/>
  <c r="G31" i="11"/>
  <c r="D31" i="11"/>
  <c r="A31" i="11"/>
  <c r="AH30" i="11"/>
  <c r="AG30" i="11"/>
  <c r="AF30" i="11"/>
  <c r="AC30" i="11"/>
  <c r="AB30" i="11"/>
  <c r="AA30" i="11"/>
  <c r="Z30" i="11"/>
  <c r="Y30" i="11"/>
  <c r="X30" i="11"/>
  <c r="V30" i="11"/>
  <c r="U30" i="11"/>
  <c r="T30" i="11"/>
  <c r="S30" i="11"/>
  <c r="Q30" i="11"/>
  <c r="L30" i="11"/>
  <c r="I30" i="11"/>
  <c r="H30" i="11"/>
  <c r="G30" i="11"/>
  <c r="D30" i="11"/>
  <c r="A30" i="11"/>
  <c r="AH29" i="11"/>
  <c r="AG29" i="11"/>
  <c r="AF29" i="11"/>
  <c r="AC29" i="11"/>
  <c r="AB29" i="11"/>
  <c r="AA29" i="11"/>
  <c r="Z29" i="11"/>
  <c r="Y29" i="11"/>
  <c r="X29" i="11"/>
  <c r="V29" i="11"/>
  <c r="U29" i="11"/>
  <c r="T29" i="11"/>
  <c r="S29" i="11"/>
  <c r="Q29" i="11"/>
  <c r="L29" i="11"/>
  <c r="I29" i="11"/>
  <c r="H29" i="11"/>
  <c r="G29" i="11"/>
  <c r="D29" i="11"/>
  <c r="A29" i="11"/>
  <c r="AH28" i="11"/>
  <c r="AG28" i="11"/>
  <c r="AF28" i="11"/>
  <c r="AC28" i="11"/>
  <c r="AB28" i="11"/>
  <c r="AA28" i="11"/>
  <c r="Z28" i="11"/>
  <c r="Y28" i="11"/>
  <c r="X28" i="11"/>
  <c r="V28" i="11"/>
  <c r="U28" i="11"/>
  <c r="T28" i="11"/>
  <c r="S28" i="11"/>
  <c r="Q28" i="11"/>
  <c r="L28" i="11"/>
  <c r="I28" i="11"/>
  <c r="H28" i="11"/>
  <c r="G28" i="11"/>
  <c r="D28" i="11"/>
  <c r="A28" i="11"/>
  <c r="AH27" i="11"/>
  <c r="AG27" i="11"/>
  <c r="AF27" i="11"/>
  <c r="AC27" i="11"/>
  <c r="AB27" i="11"/>
  <c r="AA27" i="11"/>
  <c r="Z27" i="11"/>
  <c r="Y27" i="11"/>
  <c r="X27" i="11"/>
  <c r="V27" i="11"/>
  <c r="U27" i="11"/>
  <c r="T27" i="11"/>
  <c r="S27" i="11"/>
  <c r="Q27" i="11"/>
  <c r="L27" i="11"/>
  <c r="I27" i="11"/>
  <c r="H27" i="11"/>
  <c r="G27" i="11"/>
  <c r="D27" i="11"/>
  <c r="A27" i="11"/>
  <c r="AH26" i="11"/>
  <c r="AG26" i="11"/>
  <c r="AF26" i="11"/>
  <c r="AC26" i="11"/>
  <c r="AB26" i="11"/>
  <c r="AA26" i="11"/>
  <c r="Z26" i="11"/>
  <c r="Y26" i="11"/>
  <c r="X26" i="11"/>
  <c r="V26" i="11"/>
  <c r="U26" i="11"/>
  <c r="T26" i="11"/>
  <c r="S26" i="11"/>
  <c r="Q26" i="11"/>
  <c r="L26" i="11"/>
  <c r="I26" i="11"/>
  <c r="H26" i="11"/>
  <c r="G26" i="11"/>
  <c r="D26" i="11"/>
  <c r="A26" i="11"/>
  <c r="AH25" i="11"/>
  <c r="AG25" i="11"/>
  <c r="AF25" i="11"/>
  <c r="AC25" i="11"/>
  <c r="AB25" i="11"/>
  <c r="AA25" i="11"/>
  <c r="Z25" i="11"/>
  <c r="Y25" i="11"/>
  <c r="X25" i="11"/>
  <c r="V25" i="11"/>
  <c r="U25" i="11"/>
  <c r="T25" i="11"/>
  <c r="S25" i="11"/>
  <c r="Q25" i="11"/>
  <c r="L25" i="11"/>
  <c r="I25" i="11"/>
  <c r="H25" i="11"/>
  <c r="G25" i="11"/>
  <c r="D25" i="11"/>
  <c r="A25" i="11"/>
  <c r="AH24" i="11"/>
  <c r="AG24" i="11"/>
  <c r="AF24" i="11"/>
  <c r="AC24" i="11"/>
  <c r="AB24" i="11"/>
  <c r="AA24" i="11"/>
  <c r="Z24" i="11"/>
  <c r="Y24" i="11"/>
  <c r="X24" i="11"/>
  <c r="V24" i="11"/>
  <c r="U24" i="11"/>
  <c r="T24" i="11"/>
  <c r="S24" i="11"/>
  <c r="Q24" i="11"/>
  <c r="L24" i="11"/>
  <c r="I24" i="11"/>
  <c r="H24" i="11"/>
  <c r="G24" i="11"/>
  <c r="D24" i="11"/>
  <c r="A24" i="11"/>
  <c r="AH23" i="11"/>
  <c r="AG23" i="11"/>
  <c r="AF23" i="11"/>
  <c r="AC23" i="11"/>
  <c r="AB23" i="11"/>
  <c r="AA23" i="11"/>
  <c r="Z23" i="11"/>
  <c r="Y23" i="11"/>
  <c r="X23" i="11"/>
  <c r="V23" i="11"/>
  <c r="U23" i="11"/>
  <c r="T23" i="11"/>
  <c r="S23" i="11"/>
  <c r="Q23" i="11"/>
  <c r="L23" i="11"/>
  <c r="I23" i="11"/>
  <c r="H23" i="11"/>
  <c r="G23" i="11"/>
  <c r="D23" i="11"/>
  <c r="A23" i="11"/>
  <c r="AH22" i="11"/>
  <c r="AG22" i="11"/>
  <c r="AF22" i="11"/>
  <c r="AC22" i="11"/>
  <c r="AB22" i="11"/>
  <c r="AA22" i="11"/>
  <c r="Z22" i="11"/>
  <c r="Y22" i="11"/>
  <c r="X22" i="11"/>
  <c r="V22" i="11"/>
  <c r="U22" i="11"/>
  <c r="T22" i="11"/>
  <c r="S22" i="11"/>
  <c r="Q22" i="11"/>
  <c r="L22" i="11"/>
  <c r="I22" i="11"/>
  <c r="H22" i="11"/>
  <c r="G22" i="11"/>
  <c r="D22" i="11"/>
  <c r="A22" i="11"/>
  <c r="AH21" i="11"/>
  <c r="AG21" i="11"/>
  <c r="AF21" i="11"/>
  <c r="AC21" i="11"/>
  <c r="AB21" i="11"/>
  <c r="AA21" i="11"/>
  <c r="Z21" i="11"/>
  <c r="Y21" i="11"/>
  <c r="X21" i="11"/>
  <c r="V21" i="11"/>
  <c r="U21" i="11"/>
  <c r="T21" i="11"/>
  <c r="S21" i="11"/>
  <c r="Q21" i="11"/>
  <c r="L21" i="11"/>
  <c r="I21" i="11"/>
  <c r="H21" i="11"/>
  <c r="G21" i="11"/>
  <c r="D21" i="11"/>
  <c r="A21" i="11"/>
  <c r="AH20" i="11"/>
  <c r="AG20" i="11"/>
  <c r="AF20" i="11"/>
  <c r="AC20" i="11"/>
  <c r="AB20" i="11"/>
  <c r="AA20" i="11"/>
  <c r="Z20" i="11"/>
  <c r="Y20" i="11"/>
  <c r="X20" i="11"/>
  <c r="V20" i="11"/>
  <c r="U20" i="11"/>
  <c r="T20" i="11"/>
  <c r="S20" i="11"/>
  <c r="Q20" i="11"/>
  <c r="L20" i="11"/>
  <c r="I20" i="11"/>
  <c r="H20" i="11"/>
  <c r="G20" i="11"/>
  <c r="D20" i="11"/>
  <c r="A20" i="11"/>
  <c r="AH19" i="11"/>
  <c r="AG19" i="11"/>
  <c r="AF19" i="11"/>
  <c r="AC19" i="11"/>
  <c r="AB19" i="11"/>
  <c r="AA19" i="11"/>
  <c r="Z19" i="11"/>
  <c r="Y19" i="11"/>
  <c r="X19" i="11"/>
  <c r="V19" i="11"/>
  <c r="U19" i="11"/>
  <c r="T19" i="11"/>
  <c r="S19" i="11"/>
  <c r="Q19" i="11"/>
  <c r="L19" i="11"/>
  <c r="I19" i="11"/>
  <c r="H19" i="11"/>
  <c r="G19" i="11"/>
  <c r="D19" i="11"/>
  <c r="A19" i="11"/>
  <c r="AG18" i="11"/>
  <c r="AF18" i="11"/>
  <c r="AC18" i="11"/>
  <c r="AA18" i="11"/>
  <c r="Z18" i="11"/>
  <c r="Y18" i="11"/>
  <c r="X18" i="11"/>
  <c r="V18" i="11"/>
  <c r="U18" i="11"/>
  <c r="T18" i="11"/>
  <c r="S18" i="11"/>
  <c r="Q18" i="11"/>
  <c r="L18" i="11"/>
  <c r="I18" i="11"/>
  <c r="H18" i="11"/>
  <c r="G18" i="11"/>
  <c r="D18" i="11"/>
  <c r="A18" i="11"/>
  <c r="AG17" i="11"/>
  <c r="AF17" i="11"/>
  <c r="AC17" i="11"/>
  <c r="AA17" i="11"/>
  <c r="Z17" i="11"/>
  <c r="Y17" i="11"/>
  <c r="X17" i="11"/>
  <c r="V17" i="11"/>
  <c r="U17" i="11"/>
  <c r="T17" i="11"/>
  <c r="S17" i="11"/>
  <c r="Q17" i="11"/>
  <c r="L17" i="11"/>
  <c r="I17" i="11"/>
  <c r="H17" i="11"/>
  <c r="G17" i="11"/>
  <c r="D17" i="11"/>
  <c r="A17" i="11"/>
  <c r="AG16" i="11"/>
  <c r="AF16" i="11"/>
  <c r="AC16" i="11"/>
  <c r="AA16" i="11"/>
  <c r="Z16" i="11"/>
  <c r="Y16" i="11"/>
  <c r="X16" i="11"/>
  <c r="V16" i="11"/>
  <c r="U16" i="11"/>
  <c r="T16" i="11"/>
  <c r="S16" i="11"/>
  <c r="Q16" i="11"/>
  <c r="L16" i="11"/>
  <c r="I16" i="11"/>
  <c r="H16" i="11"/>
  <c r="G16" i="11"/>
  <c r="D16" i="11"/>
  <c r="A16" i="11"/>
  <c r="AG15" i="11"/>
  <c r="AF15" i="11"/>
  <c r="AC15" i="11"/>
  <c r="AA15" i="11"/>
  <c r="Z15" i="11"/>
  <c r="Y15" i="11"/>
  <c r="X15" i="11"/>
  <c r="V15" i="11"/>
  <c r="U15" i="11"/>
  <c r="T15" i="11"/>
  <c r="S15" i="11"/>
  <c r="Q15" i="11"/>
  <c r="L15" i="11"/>
  <c r="I15" i="11"/>
  <c r="H15" i="11"/>
  <c r="G15" i="11"/>
  <c r="D15" i="11"/>
  <c r="A15" i="11"/>
  <c r="AG14" i="11"/>
  <c r="AF14" i="11"/>
  <c r="AC14" i="11"/>
  <c r="AA14" i="11"/>
  <c r="Z14" i="11"/>
  <c r="Y14" i="11"/>
  <c r="X14" i="11"/>
  <c r="V14" i="11"/>
  <c r="U14" i="11"/>
  <c r="T14" i="11"/>
  <c r="S14" i="11"/>
  <c r="Q14" i="11"/>
  <c r="L14" i="11"/>
  <c r="I14" i="11"/>
  <c r="H14" i="11"/>
  <c r="G14" i="11"/>
  <c r="D14" i="11"/>
  <c r="A14" i="11"/>
  <c r="AG13" i="11"/>
  <c r="AF13" i="11"/>
  <c r="AC13" i="11"/>
  <c r="AA13" i="11"/>
  <c r="Z13" i="11"/>
  <c r="Y13" i="11"/>
  <c r="X13" i="11"/>
  <c r="V13" i="11"/>
  <c r="U13" i="11"/>
  <c r="T13" i="11"/>
  <c r="S13" i="11"/>
  <c r="Q13" i="11"/>
  <c r="L13" i="11"/>
  <c r="I13" i="11"/>
  <c r="H13" i="11"/>
  <c r="G13" i="11"/>
  <c r="D13" i="11"/>
  <c r="A13" i="11"/>
  <c r="AG12" i="11"/>
  <c r="AF12" i="11"/>
  <c r="AC12" i="11"/>
  <c r="AA12" i="11"/>
  <c r="Z12" i="11"/>
  <c r="Y12" i="11"/>
  <c r="X12" i="11"/>
  <c r="V12" i="11"/>
  <c r="U12" i="11"/>
  <c r="T12" i="11"/>
  <c r="S12" i="11"/>
  <c r="Q12" i="11"/>
  <c r="L12" i="11"/>
  <c r="I12" i="11"/>
  <c r="H12" i="11"/>
  <c r="G12" i="11"/>
  <c r="D12" i="11"/>
  <c r="A12" i="11"/>
  <c r="AG11" i="11"/>
  <c r="AF11" i="11"/>
  <c r="AC11" i="11"/>
  <c r="AA11" i="11"/>
  <c r="Z11" i="11"/>
  <c r="Y11" i="11"/>
  <c r="X11" i="11"/>
  <c r="V11" i="11"/>
  <c r="U11" i="11"/>
  <c r="T11" i="11"/>
  <c r="S11" i="11"/>
  <c r="Q11" i="11"/>
  <c r="L11" i="11"/>
  <c r="I11" i="11"/>
  <c r="H11" i="11"/>
  <c r="G11" i="11"/>
  <c r="D11" i="11"/>
  <c r="A11" i="11"/>
  <c r="AG10" i="11"/>
  <c r="AF10" i="11"/>
  <c r="AC10" i="11"/>
  <c r="AA10" i="11"/>
  <c r="Z10" i="11"/>
  <c r="Y10" i="11"/>
  <c r="X10" i="11"/>
  <c r="V10" i="11"/>
  <c r="U10" i="11"/>
  <c r="T10" i="11"/>
  <c r="S10" i="11"/>
  <c r="Q10" i="11"/>
  <c r="L10" i="11"/>
  <c r="I10" i="11"/>
  <c r="H10" i="11"/>
  <c r="G10" i="11"/>
  <c r="D10" i="11"/>
  <c r="A10" i="11"/>
  <c r="AG9" i="11"/>
  <c r="AF9" i="11"/>
  <c r="AC9" i="11"/>
  <c r="AA9" i="11"/>
  <c r="Z9" i="11"/>
  <c r="Y9" i="11"/>
  <c r="X9" i="11"/>
  <c r="V9" i="11"/>
  <c r="U9" i="11"/>
  <c r="T9" i="11"/>
  <c r="S9" i="11"/>
  <c r="Q9" i="11"/>
  <c r="L9" i="11"/>
  <c r="I9" i="11"/>
  <c r="H9" i="11"/>
  <c r="G9" i="11"/>
  <c r="D9" i="11"/>
  <c r="A9" i="11"/>
  <c r="P2" i="21"/>
  <c r="P6" i="21"/>
  <c r="P10" i="21"/>
  <c r="P14" i="21"/>
  <c r="P18" i="21"/>
  <c r="P22" i="21"/>
  <c r="P26" i="21"/>
  <c r="P30" i="21"/>
  <c r="P8" i="21"/>
  <c r="P9" i="21"/>
  <c r="P3" i="21"/>
  <c r="P7" i="21"/>
  <c r="P11" i="21"/>
  <c r="P15" i="21"/>
  <c r="P19" i="21"/>
  <c r="P23" i="21"/>
  <c r="P27" i="21"/>
  <c r="P31" i="21"/>
  <c r="P4" i="21"/>
  <c r="P12" i="21"/>
  <c r="P16" i="21"/>
  <c r="P20" i="21"/>
  <c r="P24" i="21"/>
  <c r="P28" i="21"/>
  <c r="P32" i="21"/>
  <c r="P5" i="21"/>
  <c r="P13" i="21"/>
  <c r="P17" i="21"/>
  <c r="P21" i="21"/>
  <c r="P25" i="21"/>
  <c r="P29" i="21"/>
  <c r="O12" i="21"/>
  <c r="O20" i="21"/>
  <c r="O16" i="21"/>
  <c r="O19" i="21"/>
  <c r="O3" i="21"/>
  <c r="O22" i="21"/>
  <c r="O26" i="21"/>
  <c r="O30" i="21"/>
  <c r="O13" i="21"/>
  <c r="O28" i="21"/>
  <c r="O7" i="21"/>
  <c r="O18" i="21"/>
  <c r="O21" i="21"/>
  <c r="O29" i="21"/>
  <c r="O17" i="21"/>
  <c r="O15" i="21"/>
  <c r="O8" i="21"/>
  <c r="O10" i="21"/>
  <c r="O4" i="21"/>
  <c r="O23" i="21"/>
  <c r="O27" i="21"/>
  <c r="O31" i="21"/>
  <c r="O2" i="21"/>
  <c r="O11" i="21"/>
  <c r="O9" i="21"/>
  <c r="O5" i="21"/>
  <c r="O24" i="21"/>
  <c r="O32" i="21"/>
  <c r="O14" i="21"/>
  <c r="O6" i="21"/>
  <c r="O25" i="21"/>
  <c r="I12" i="21"/>
  <c r="I7" i="21"/>
  <c r="I25" i="21"/>
  <c r="N20" i="21"/>
  <c r="N12" i="21"/>
  <c r="N16" i="21"/>
  <c r="N19" i="21"/>
  <c r="N3" i="21"/>
  <c r="N22" i="21"/>
  <c r="N26" i="21"/>
  <c r="N30" i="21"/>
  <c r="N2" i="21"/>
  <c r="N9" i="21"/>
  <c r="N24" i="21"/>
  <c r="N28" i="21"/>
  <c r="N14" i="21"/>
  <c r="N6" i="21"/>
  <c r="N25" i="21"/>
  <c r="N17" i="21"/>
  <c r="N15" i="21"/>
  <c r="N8" i="21"/>
  <c r="N10" i="21"/>
  <c r="N4" i="21"/>
  <c r="N23" i="21"/>
  <c r="N27" i="21"/>
  <c r="N31" i="21"/>
  <c r="N13" i="21"/>
  <c r="N11" i="21"/>
  <c r="N5" i="21"/>
  <c r="N32" i="21"/>
  <c r="N7" i="21"/>
  <c r="N18" i="21"/>
  <c r="N21" i="21"/>
  <c r="N29" i="21"/>
  <c r="M12" i="21"/>
  <c r="M2" i="21"/>
  <c r="M13" i="21"/>
  <c r="M11" i="21"/>
  <c r="M9" i="21"/>
  <c r="M5" i="21"/>
  <c r="M24" i="21"/>
  <c r="M28" i="21"/>
  <c r="M32" i="21"/>
  <c r="M7" i="21"/>
  <c r="M14" i="21"/>
  <c r="M18" i="21"/>
  <c r="M6" i="21"/>
  <c r="M21" i="21"/>
  <c r="M25" i="21"/>
  <c r="M29" i="21"/>
  <c r="M20" i="21"/>
  <c r="M16" i="21"/>
  <c r="M19" i="21"/>
  <c r="M3" i="21"/>
  <c r="M22" i="21"/>
  <c r="M26" i="21"/>
  <c r="M30" i="21"/>
  <c r="M17" i="21"/>
  <c r="M15" i="21"/>
  <c r="M8" i="21"/>
  <c r="M10" i="21"/>
  <c r="M4" i="21"/>
  <c r="M23" i="21"/>
  <c r="M27" i="21"/>
  <c r="M31" i="21"/>
  <c r="W11" i="4"/>
  <c r="S11" i="4"/>
  <c r="O11" i="4"/>
  <c r="K11" i="4"/>
  <c r="G11" i="4"/>
  <c r="Q11" i="4"/>
  <c r="M11" i="4"/>
  <c r="P11" i="4"/>
  <c r="L11" i="4"/>
  <c r="V11" i="4"/>
  <c r="R11" i="4"/>
  <c r="N11" i="4"/>
  <c r="J11" i="4"/>
  <c r="F11" i="4"/>
  <c r="U11" i="4"/>
  <c r="I11" i="4"/>
  <c r="T11" i="4"/>
  <c r="H11" i="4"/>
  <c r="E11" i="4"/>
  <c r="D987" i="15"/>
  <c r="D983" i="15"/>
  <c r="D979" i="15"/>
  <c r="D975" i="15"/>
  <c r="D971" i="15"/>
  <c r="D967" i="15"/>
  <c r="D963" i="15"/>
  <c r="D959" i="15"/>
  <c r="D955" i="15"/>
  <c r="D951" i="15"/>
  <c r="D947" i="15"/>
  <c r="D943" i="15"/>
  <c r="D939" i="15"/>
  <c r="D935" i="15"/>
  <c r="D931" i="15"/>
  <c r="D927" i="15"/>
  <c r="D923" i="15"/>
  <c r="D919" i="15"/>
  <c r="D915" i="15"/>
  <c r="D911" i="15"/>
  <c r="D907" i="15"/>
  <c r="D903" i="15"/>
  <c r="D899" i="15"/>
  <c r="D895" i="15"/>
  <c r="D891" i="15"/>
  <c r="D887" i="15"/>
  <c r="D883" i="15"/>
  <c r="D879" i="15"/>
  <c r="D875" i="15"/>
  <c r="D871" i="15"/>
  <c r="D867" i="15"/>
  <c r="D863" i="15"/>
  <c r="D859" i="15"/>
  <c r="D855" i="15"/>
  <c r="D851" i="15"/>
  <c r="D847" i="15"/>
  <c r="D843" i="15"/>
  <c r="D839" i="15"/>
  <c r="D835" i="15"/>
  <c r="D831" i="15"/>
  <c r="D827" i="15"/>
  <c r="D823" i="15"/>
  <c r="D819" i="15"/>
  <c r="D815" i="15"/>
  <c r="D811" i="15"/>
  <c r="D807" i="15"/>
  <c r="D803" i="15"/>
  <c r="D799" i="15"/>
  <c r="D795" i="15"/>
  <c r="D791" i="15"/>
  <c r="D787" i="15"/>
  <c r="D783" i="15"/>
  <c r="D779" i="15"/>
  <c r="D775" i="15"/>
  <c r="D771" i="15"/>
  <c r="D767" i="15"/>
  <c r="D986" i="15"/>
  <c r="D982" i="15"/>
  <c r="D978" i="15"/>
  <c r="D974" i="15"/>
  <c r="D970" i="15"/>
  <c r="D966" i="15"/>
  <c r="D962" i="15"/>
  <c r="D958" i="15"/>
  <c r="D954" i="15"/>
  <c r="D950" i="15"/>
  <c r="D946" i="15"/>
  <c r="D942" i="15"/>
  <c r="D938" i="15"/>
  <c r="D934" i="15"/>
  <c r="D930" i="15"/>
  <c r="D926" i="15"/>
  <c r="D922" i="15"/>
  <c r="D918" i="15"/>
  <c r="D914" i="15"/>
  <c r="D910" i="15"/>
  <c r="D906" i="15"/>
  <c r="D902" i="15"/>
  <c r="D898" i="15"/>
  <c r="D894" i="15"/>
  <c r="D890" i="15"/>
  <c r="D886" i="15"/>
  <c r="D882" i="15"/>
  <c r="D878" i="15"/>
  <c r="D874" i="15"/>
  <c r="D870" i="15"/>
  <c r="D866" i="15"/>
  <c r="D862" i="15"/>
  <c r="D858" i="15"/>
  <c r="D854" i="15"/>
  <c r="D850" i="15"/>
  <c r="D846" i="15"/>
  <c r="D842" i="15"/>
  <c r="D838" i="15"/>
  <c r="D834" i="15"/>
  <c r="D830" i="15"/>
  <c r="D826" i="15"/>
  <c r="D822" i="15"/>
  <c r="D818" i="15"/>
  <c r="D814" i="15"/>
  <c r="D810" i="15"/>
  <c r="D806" i="15"/>
  <c r="D802" i="15"/>
  <c r="D798" i="15"/>
  <c r="D794" i="15"/>
  <c r="D790" i="15"/>
  <c r="D786" i="15"/>
  <c r="D782" i="15"/>
  <c r="D778" i="15"/>
  <c r="D774" i="15"/>
  <c r="D770" i="15"/>
  <c r="D766" i="15"/>
  <c r="D988" i="15"/>
  <c r="D984" i="15"/>
  <c r="D980" i="15"/>
  <c r="D976" i="15"/>
  <c r="D972" i="15"/>
  <c r="D968" i="15"/>
  <c r="D964" i="15"/>
  <c r="D960" i="15"/>
  <c r="D956" i="15"/>
  <c r="D952" i="15"/>
  <c r="D948" i="15"/>
  <c r="D944" i="15"/>
  <c r="D940" i="15"/>
  <c r="D936" i="15"/>
  <c r="D932" i="15"/>
  <c r="D928" i="15"/>
  <c r="D924" i="15"/>
  <c r="D920" i="15"/>
  <c r="D916" i="15"/>
  <c r="D912" i="15"/>
  <c r="D908" i="15"/>
  <c r="D904" i="15"/>
  <c r="D900" i="15"/>
  <c r="D896" i="15"/>
  <c r="D892" i="15"/>
  <c r="D888" i="15"/>
  <c r="D884" i="15"/>
  <c r="D880" i="15"/>
  <c r="D876" i="15"/>
  <c r="D872" i="15"/>
  <c r="D868" i="15"/>
  <c r="D864" i="15"/>
  <c r="D860" i="15"/>
  <c r="D856" i="15"/>
  <c r="D852" i="15"/>
  <c r="D848" i="15"/>
  <c r="D844" i="15"/>
  <c r="D840" i="15"/>
  <c r="D836" i="15"/>
  <c r="D832" i="15"/>
  <c r="D828" i="15"/>
  <c r="D824" i="15"/>
  <c r="D820" i="15"/>
  <c r="D816" i="15"/>
  <c r="D812" i="15"/>
  <c r="D808" i="15"/>
  <c r="D804" i="15"/>
  <c r="D800" i="15"/>
  <c r="D796" i="15"/>
  <c r="D792" i="15"/>
  <c r="D788" i="15"/>
  <c r="D784" i="15"/>
  <c r="D780" i="15"/>
  <c r="D776" i="15"/>
  <c r="D772" i="15"/>
  <c r="D768" i="15"/>
  <c r="D764" i="15"/>
  <c r="D760" i="15"/>
  <c r="D756" i="15"/>
  <c r="D752" i="15"/>
  <c r="D748" i="15"/>
  <c r="D744" i="15"/>
  <c r="D740" i="15"/>
  <c r="D736" i="15"/>
  <c r="D732" i="15"/>
  <c r="D728" i="15"/>
  <c r="D724" i="15"/>
  <c r="D720" i="15"/>
  <c r="D716" i="15"/>
  <c r="D981" i="15"/>
  <c r="D965" i="15"/>
  <c r="D949" i="15"/>
  <c r="D933" i="15"/>
  <c r="D917" i="15"/>
  <c r="D901" i="15"/>
  <c r="D885" i="15"/>
  <c r="D869" i="15"/>
  <c r="D853" i="15"/>
  <c r="D837" i="15"/>
  <c r="D821" i="15"/>
  <c r="D805" i="15"/>
  <c r="D789" i="15"/>
  <c r="D773" i="15"/>
  <c r="D762" i="15"/>
  <c r="D757" i="15"/>
  <c r="D751" i="15"/>
  <c r="D746" i="15"/>
  <c r="D741" i="15"/>
  <c r="D735" i="15"/>
  <c r="D730" i="15"/>
  <c r="D725" i="15"/>
  <c r="D719" i="15"/>
  <c r="D714" i="15"/>
  <c r="D977" i="15"/>
  <c r="D961" i="15"/>
  <c r="D945" i="15"/>
  <c r="D929" i="15"/>
  <c r="D913" i="15"/>
  <c r="D897" i="15"/>
  <c r="D881" i="15"/>
  <c r="D865" i="15"/>
  <c r="D849" i="15"/>
  <c r="D833" i="15"/>
  <c r="D817" i="15"/>
  <c r="D801" i="15"/>
  <c r="D785" i="15"/>
  <c r="D769" i="15"/>
  <c r="D761" i="15"/>
  <c r="D755" i="15"/>
  <c r="D750" i="15"/>
  <c r="D745" i="15"/>
  <c r="D739" i="15"/>
  <c r="D734" i="15"/>
  <c r="D729" i="15"/>
  <c r="D723" i="15"/>
  <c r="D718" i="15"/>
  <c r="D713" i="15"/>
  <c r="D985" i="15"/>
  <c r="D969" i="15"/>
  <c r="D953" i="15"/>
  <c r="D937" i="15"/>
  <c r="D921" i="15"/>
  <c r="D905" i="15"/>
  <c r="D889" i="15"/>
  <c r="D873" i="15"/>
  <c r="D857" i="15"/>
  <c r="D841" i="15"/>
  <c r="D825" i="15"/>
  <c r="D809" i="15"/>
  <c r="D793" i="15"/>
  <c r="D777" i="15"/>
  <c r="D763" i="15"/>
  <c r="D758" i="15"/>
  <c r="D753" i="15"/>
  <c r="D747" i="15"/>
  <c r="D742" i="15"/>
  <c r="D737" i="15"/>
  <c r="D731" i="15"/>
  <c r="D726" i="15"/>
  <c r="D721" i="15"/>
  <c r="D715" i="15"/>
  <c r="D957" i="15"/>
  <c r="D893" i="15"/>
  <c r="D829" i="15"/>
  <c r="D765" i="15"/>
  <c r="D743" i="15"/>
  <c r="D722" i="15"/>
  <c r="D941" i="15"/>
  <c r="D877" i="15"/>
  <c r="D813" i="15"/>
  <c r="D759" i="15"/>
  <c r="D738" i="15"/>
  <c r="D717" i="15"/>
  <c r="D973" i="15"/>
  <c r="D909" i="15"/>
  <c r="D845" i="15"/>
  <c r="D781" i="15"/>
  <c r="D749" i="15"/>
  <c r="D727" i="15"/>
  <c r="D861" i="15"/>
  <c r="D797" i="15"/>
  <c r="D989" i="15"/>
  <c r="D754" i="15"/>
  <c r="D925" i="15"/>
  <c r="D733" i="15"/>
  <c r="K25" i="21" l="1"/>
  <c r="K7" i="21"/>
  <c r="H20" i="21"/>
  <c r="H21" i="21"/>
  <c r="H22" i="21"/>
  <c r="H15" i="21"/>
  <c r="H31" i="21"/>
  <c r="H3" i="21"/>
  <c r="H29" i="21"/>
  <c r="H6" i="21"/>
  <c r="H13" i="21"/>
  <c r="H14" i="21"/>
  <c r="H16" i="21"/>
  <c r="H8" i="21"/>
  <c r="H23" i="21"/>
  <c r="H11" i="21"/>
  <c r="H32" i="21"/>
  <c r="H2" i="21"/>
  <c r="H30" i="21"/>
  <c r="H26" i="21"/>
  <c r="H4" i="21"/>
  <c r="H27" i="21"/>
  <c r="H5" i="21"/>
  <c r="H28" i="21"/>
  <c r="H17" i="21"/>
  <c r="H18" i="21"/>
  <c r="H19" i="21"/>
  <c r="H10" i="21"/>
  <c r="H24" i="21"/>
  <c r="H9" i="21"/>
  <c r="I15" i="21"/>
  <c r="I6" i="21"/>
  <c r="I8" i="21"/>
  <c r="I2" i="21"/>
  <c r="I27" i="21"/>
  <c r="I18" i="21"/>
  <c r="I9" i="21"/>
  <c r="I20" i="21"/>
  <c r="I31" i="21"/>
  <c r="I13" i="21"/>
  <c r="I23" i="21"/>
  <c r="I30" i="21"/>
  <c r="I5" i="21"/>
  <c r="I19" i="21"/>
  <c r="I21" i="21"/>
  <c r="I3" i="21"/>
  <c r="I14" i="21"/>
  <c r="I11" i="21"/>
  <c r="I26" i="21"/>
  <c r="I28" i="21"/>
  <c r="I10" i="21"/>
  <c r="I22" i="21"/>
  <c r="I29" i="21"/>
  <c r="I16" i="21"/>
  <c r="I32" i="21"/>
  <c r="I4" i="21"/>
  <c r="I17" i="21"/>
  <c r="I24" i="21"/>
  <c r="K12" i="21" l="1"/>
  <c r="K22" i="21"/>
  <c r="K23" i="21"/>
  <c r="K21" i="21"/>
  <c r="K17" i="21"/>
  <c r="K6" i="21"/>
  <c r="K26" i="21"/>
  <c r="K27" i="21"/>
  <c r="K2" i="21"/>
  <c r="S8" i="11"/>
  <c r="S7" i="11"/>
  <c r="S6" i="11"/>
  <c r="S5" i="11"/>
  <c r="S4" i="11"/>
  <c r="S2" i="11"/>
  <c r="S3" i="11"/>
  <c r="Q13" i="2" l="1"/>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19" i="2"/>
  <c r="Q18" i="2"/>
  <c r="Q17" i="2"/>
  <c r="Q16" i="2"/>
  <c r="Q15" i="2"/>
  <c r="Q14" i="2"/>
  <c r="Q20" i="2" l="1"/>
  <c r="S9" i="2"/>
  <c r="H24" i="7"/>
  <c r="H25" i="7"/>
  <c r="H26" i="7"/>
  <c r="H27" i="7"/>
  <c r="H28" i="7"/>
  <c r="H29" i="7"/>
  <c r="H30" i="7"/>
  <c r="H31" i="7"/>
  <c r="H32" i="7"/>
  <c r="H33" i="7"/>
  <c r="R6" i="4" l="1"/>
  <c r="J18" i="21" s="1"/>
  <c r="K18" i="21" s="1"/>
  <c r="AK5" i="11"/>
  <c r="J20" i="21" l="1"/>
  <c r="K20" i="21" s="1"/>
  <c r="J3" i="21"/>
  <c r="K3" i="21" s="1"/>
  <c r="J14" i="21"/>
  <c r="K14" i="21" s="1"/>
  <c r="J24" i="21"/>
  <c r="K24" i="21" s="1"/>
  <c r="J16" i="21"/>
  <c r="K16" i="21" s="1"/>
  <c r="J11" i="21"/>
  <c r="K11" i="21" s="1"/>
  <c r="J13" i="21"/>
  <c r="K13" i="21" s="1"/>
  <c r="J19" i="21"/>
  <c r="K19" i="21" s="1"/>
  <c r="J9" i="21"/>
  <c r="K9" i="21" s="1"/>
  <c r="J15" i="21"/>
  <c r="K15" i="21" s="1"/>
  <c r="J8" i="21"/>
  <c r="K8" i="21" s="1"/>
  <c r="J10" i="21"/>
  <c r="K10" i="21" s="1"/>
  <c r="AB17" i="11"/>
  <c r="AB13" i="11"/>
  <c r="AB9" i="11"/>
  <c r="AB16" i="11"/>
  <c r="AB10" i="11"/>
  <c r="AB18" i="11"/>
  <c r="AB14" i="11"/>
  <c r="AB11" i="11"/>
  <c r="AB15" i="11"/>
  <c r="AB12" i="11"/>
  <c r="X4" i="11"/>
  <c r="V4" i="11"/>
  <c r="U4" i="11"/>
  <c r="N4" i="11"/>
  <c r="G4" i="11"/>
  <c r="D4" i="11"/>
  <c r="W3" i="11"/>
  <c r="M4" i="11"/>
  <c r="K4" i="11"/>
  <c r="J4" i="11"/>
  <c r="C4" i="11"/>
  <c r="M3" i="11"/>
  <c r="L3" i="11"/>
  <c r="K3" i="11"/>
  <c r="J3" i="11"/>
  <c r="M2" i="11"/>
  <c r="K2" i="11"/>
  <c r="J2" i="11"/>
  <c r="B5" i="11"/>
  <c r="AH4" i="11" l="1"/>
  <c r="AB2" i="11"/>
  <c r="A13" i="4" l="1"/>
  <c r="A14" i="4" s="1"/>
  <c r="AG8" i="11" s="1"/>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E3" i="20"/>
  <c r="AF4" i="11" l="1"/>
  <c r="AG7" i="11"/>
  <c r="A15" i="4"/>
  <c r="R4" i="4" l="1"/>
  <c r="A16" i="4"/>
  <c r="A17" i="4" l="1"/>
  <c r="AI5" i="11"/>
  <c r="A8" i="11"/>
  <c r="A7" i="11"/>
  <c r="A6" i="11"/>
  <c r="A5" i="11"/>
  <c r="A4" i="11"/>
  <c r="A3" i="11"/>
  <c r="A18" i="4" l="1"/>
  <c r="AI2" i="11"/>
  <c r="H5" i="7"/>
  <c r="I24" i="7"/>
  <c r="I25" i="7"/>
  <c r="I27" i="7"/>
  <c r="I28" i="7"/>
  <c r="I29" i="7"/>
  <c r="I30" i="7"/>
  <c r="I31" i="7"/>
  <c r="I32" i="7"/>
  <c r="I33" i="7"/>
  <c r="G8" i="11" l="1"/>
  <c r="I7" i="11"/>
  <c r="G6" i="11"/>
  <c r="G5" i="11"/>
  <c r="I5" i="11"/>
  <c r="I4" i="11"/>
  <c r="G2" i="11"/>
  <c r="I8" i="11"/>
  <c r="G7" i="11"/>
  <c r="I6" i="11"/>
  <c r="A19" i="4"/>
  <c r="I26" i="7"/>
  <c r="H6" i="7" s="1"/>
  <c r="H2" i="11" l="1"/>
  <c r="H4" i="11"/>
  <c r="H3" i="11"/>
  <c r="H8" i="11"/>
  <c r="H6" i="11"/>
  <c r="H7" i="11"/>
  <c r="H5" i="11"/>
  <c r="A20" i="4"/>
  <c r="H4" i="7"/>
  <c r="F5" i="11" l="1"/>
  <c r="F4" i="11"/>
  <c r="D2" i="11"/>
  <c r="D7" i="11"/>
  <c r="I2" i="11"/>
  <c r="D8" i="11"/>
  <c r="F6" i="11"/>
  <c r="D5" i="11"/>
  <c r="D6" i="11"/>
  <c r="A21" i="4"/>
  <c r="J13" i="2"/>
  <c r="J14" i="2"/>
  <c r="J15" i="2"/>
  <c r="J16" i="2"/>
  <c r="J17" i="2"/>
  <c r="J18" i="2"/>
  <c r="J19"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L13"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A22" i="4" l="1"/>
  <c r="L14" i="2"/>
  <c r="L15" i="2" s="1"/>
  <c r="J20" i="2"/>
  <c r="I10" i="2" s="1"/>
  <c r="P3" i="11" l="1"/>
  <c r="E3" i="11"/>
  <c r="E2" i="11"/>
  <c r="E5" i="11"/>
  <c r="E4" i="11"/>
  <c r="F3" i="11"/>
  <c r="F2" i="11"/>
  <c r="A23" i="4"/>
  <c r="L16" i="2"/>
  <c r="L17" i="2" s="1"/>
  <c r="L18" i="2" s="1"/>
  <c r="R5" i="4"/>
  <c r="J5" i="21" l="1"/>
  <c r="K5" i="21" s="1"/>
  <c r="J28" i="21"/>
  <c r="K28" i="21" s="1"/>
  <c r="J4" i="21"/>
  <c r="K4" i="21" s="1"/>
  <c r="J31" i="21"/>
  <c r="K31" i="21" s="1"/>
  <c r="J32" i="21"/>
  <c r="K32" i="21" s="1"/>
  <c r="J30" i="21"/>
  <c r="K30" i="21" s="1"/>
  <c r="J29" i="21"/>
  <c r="K29" i="21" s="1"/>
  <c r="R287" i="11"/>
  <c r="P285" i="11"/>
  <c r="R283" i="11"/>
  <c r="P281" i="11"/>
  <c r="P277" i="11"/>
  <c r="P273" i="11"/>
  <c r="P269" i="11"/>
  <c r="P265" i="11"/>
  <c r="P261" i="11"/>
  <c r="P257" i="11"/>
  <c r="P253" i="11"/>
  <c r="P249" i="11"/>
  <c r="P245" i="11"/>
  <c r="P241" i="11"/>
  <c r="P237" i="11"/>
  <c r="P233" i="11"/>
  <c r="P229" i="11"/>
  <c r="P225" i="11"/>
  <c r="P221" i="11"/>
  <c r="P217" i="11"/>
  <c r="P213" i="11"/>
  <c r="P209" i="11"/>
  <c r="P205" i="11"/>
  <c r="P201" i="11"/>
  <c r="P197" i="11"/>
  <c r="P193" i="11"/>
  <c r="P189" i="11"/>
  <c r="P185" i="11"/>
  <c r="P181" i="11"/>
  <c r="R288" i="11"/>
  <c r="P286" i="11"/>
  <c r="R284" i="11"/>
  <c r="P282" i="11"/>
  <c r="P278" i="11"/>
  <c r="P274" i="11"/>
  <c r="P270" i="11"/>
  <c r="P266" i="11"/>
  <c r="P262" i="11"/>
  <c r="P258" i="11"/>
  <c r="P254" i="11"/>
  <c r="P250" i="11"/>
  <c r="P246" i="11"/>
  <c r="P242" i="11"/>
  <c r="P238" i="11"/>
  <c r="P234" i="11"/>
  <c r="P230" i="11"/>
  <c r="P226" i="11"/>
  <c r="P222" i="11"/>
  <c r="P218" i="11"/>
  <c r="P214" i="11"/>
  <c r="P210" i="11"/>
  <c r="P206" i="11"/>
  <c r="P202" i="11"/>
  <c r="P198" i="11"/>
  <c r="P194" i="11"/>
  <c r="P190" i="11"/>
  <c r="P186" i="11"/>
  <c r="P182" i="11"/>
  <c r="P178" i="11"/>
  <c r="R286" i="11"/>
  <c r="P284" i="11"/>
  <c r="P276" i="11"/>
  <c r="P268" i="11"/>
  <c r="P260" i="11"/>
  <c r="P252" i="11"/>
  <c r="P244" i="11"/>
  <c r="P236" i="11"/>
  <c r="P228" i="11"/>
  <c r="P220" i="11"/>
  <c r="P212" i="11"/>
  <c r="P204" i="11"/>
  <c r="P196" i="11"/>
  <c r="P188" i="11"/>
  <c r="P180" i="11"/>
  <c r="P176" i="11"/>
  <c r="P172" i="11"/>
  <c r="P168" i="11"/>
  <c r="P164" i="11"/>
  <c r="P160" i="11"/>
  <c r="P156" i="11"/>
  <c r="P287" i="11"/>
  <c r="P279" i="11"/>
  <c r="P271" i="11"/>
  <c r="P263" i="11"/>
  <c r="P255" i="11"/>
  <c r="P247" i="11"/>
  <c r="P239" i="11"/>
  <c r="P231" i="11"/>
  <c r="P223" i="11"/>
  <c r="P215" i="11"/>
  <c r="P207" i="11"/>
  <c r="P199" i="11"/>
  <c r="P191" i="11"/>
  <c r="P183" i="11"/>
  <c r="P177" i="11"/>
  <c r="P175" i="11"/>
  <c r="P171" i="11"/>
  <c r="P167" i="11"/>
  <c r="P163" i="11"/>
  <c r="P280" i="11"/>
  <c r="P264" i="11"/>
  <c r="P248" i="11"/>
  <c r="P232" i="11"/>
  <c r="P216" i="11"/>
  <c r="P200" i="11"/>
  <c r="P184" i="11"/>
  <c r="P174" i="11"/>
  <c r="P166" i="11"/>
  <c r="P161" i="11"/>
  <c r="P153" i="11"/>
  <c r="P149" i="11"/>
  <c r="P145" i="11"/>
  <c r="P141" i="11"/>
  <c r="P137" i="11"/>
  <c r="P133" i="11"/>
  <c r="P129" i="11"/>
  <c r="P125" i="11"/>
  <c r="P121" i="11"/>
  <c r="P117" i="11"/>
  <c r="P113" i="11"/>
  <c r="P283" i="11"/>
  <c r="P267" i="11"/>
  <c r="P251" i="11"/>
  <c r="P235" i="11"/>
  <c r="P219" i="11"/>
  <c r="P203" i="11"/>
  <c r="P187" i="11"/>
  <c r="P173" i="11"/>
  <c r="P165" i="11"/>
  <c r="P159" i="11"/>
  <c r="P157" i="11"/>
  <c r="P154" i="11"/>
  <c r="P150" i="11"/>
  <c r="P146" i="11"/>
  <c r="P142" i="11"/>
  <c r="P138" i="11"/>
  <c r="P134" i="11"/>
  <c r="P130" i="11"/>
  <c r="P126" i="11"/>
  <c r="P122" i="11"/>
  <c r="P118" i="11"/>
  <c r="P114" i="11"/>
  <c r="P110" i="11"/>
  <c r="P106" i="11"/>
  <c r="P102" i="11"/>
  <c r="P98" i="11"/>
  <c r="P94" i="11"/>
  <c r="P90" i="11"/>
  <c r="P86" i="11"/>
  <c r="P82" i="11"/>
  <c r="P78" i="11"/>
  <c r="P74" i="11"/>
  <c r="P70" i="11"/>
  <c r="P66" i="11"/>
  <c r="P62" i="11"/>
  <c r="P58" i="11"/>
  <c r="P54" i="11"/>
  <c r="P50" i="11"/>
  <c r="P46" i="11"/>
  <c r="P42" i="11"/>
  <c r="P38" i="11"/>
  <c r="P34" i="11"/>
  <c r="P30" i="11"/>
  <c r="P26" i="11"/>
  <c r="P22" i="11"/>
  <c r="P18" i="11"/>
  <c r="P14" i="11"/>
  <c r="P10" i="11"/>
  <c r="P288" i="11"/>
  <c r="R285" i="11"/>
  <c r="P275" i="11"/>
  <c r="P259" i="11"/>
  <c r="P243" i="11"/>
  <c r="P227" i="11"/>
  <c r="P211" i="11"/>
  <c r="P195" i="11"/>
  <c r="P179" i="11"/>
  <c r="P169" i="11"/>
  <c r="P152" i="11"/>
  <c r="P148" i="11"/>
  <c r="P144" i="11"/>
  <c r="P140" i="11"/>
  <c r="P136" i="11"/>
  <c r="P132" i="11"/>
  <c r="P128" i="11"/>
  <c r="P124" i="11"/>
  <c r="P120" i="11"/>
  <c r="P116" i="11"/>
  <c r="P112" i="11"/>
  <c r="P108" i="11"/>
  <c r="P104" i="11"/>
  <c r="P100" i="11"/>
  <c r="P96" i="11"/>
  <c r="P92" i="11"/>
  <c r="P88" i="11"/>
  <c r="P84" i="11"/>
  <c r="P80" i="11"/>
  <c r="P272" i="11"/>
  <c r="P208" i="11"/>
  <c r="P155" i="11"/>
  <c r="P139" i="11"/>
  <c r="P123" i="11"/>
  <c r="P109" i="11"/>
  <c r="P101" i="11"/>
  <c r="P93" i="11"/>
  <c r="P85" i="11"/>
  <c r="P77" i="11"/>
  <c r="P75" i="11"/>
  <c r="P64" i="11"/>
  <c r="P61" i="11"/>
  <c r="P59" i="11"/>
  <c r="P48" i="11"/>
  <c r="P45" i="11"/>
  <c r="P43" i="11"/>
  <c r="P32" i="11"/>
  <c r="P29" i="11"/>
  <c r="P27" i="11"/>
  <c r="P13" i="11"/>
  <c r="P11" i="11"/>
  <c r="O9" i="11"/>
  <c r="P240" i="11"/>
  <c r="P67" i="11"/>
  <c r="P56" i="11"/>
  <c r="P40" i="11"/>
  <c r="P37" i="11"/>
  <c r="P24" i="11"/>
  <c r="P21" i="11"/>
  <c r="P16" i="11"/>
  <c r="P256" i="11"/>
  <c r="P162" i="11"/>
  <c r="P135" i="11"/>
  <c r="P107" i="11"/>
  <c r="P99" i="11"/>
  <c r="P36" i="11"/>
  <c r="P33" i="11"/>
  <c r="P20" i="11"/>
  <c r="O10" i="11"/>
  <c r="P9" i="11"/>
  <c r="P224" i="11"/>
  <c r="P158" i="11"/>
  <c r="P143" i="11"/>
  <c r="P127" i="11"/>
  <c r="P111" i="11"/>
  <c r="P103" i="11"/>
  <c r="P95" i="11"/>
  <c r="P87" i="11"/>
  <c r="P79" i="11"/>
  <c r="P76" i="11"/>
  <c r="P73" i="11"/>
  <c r="P71" i="11"/>
  <c r="P60" i="11"/>
  <c r="P57" i="11"/>
  <c r="P55" i="11"/>
  <c r="P44" i="11"/>
  <c r="P41" i="11"/>
  <c r="P39" i="11"/>
  <c r="P28" i="11"/>
  <c r="P25" i="11"/>
  <c r="P23" i="11"/>
  <c r="P17" i="11"/>
  <c r="P15" i="11"/>
  <c r="P12" i="11"/>
  <c r="O11" i="11"/>
  <c r="P170" i="11"/>
  <c r="P147" i="11"/>
  <c r="P131" i="11"/>
  <c r="P115" i="11"/>
  <c r="P105" i="11"/>
  <c r="P97" i="11"/>
  <c r="P89" i="11"/>
  <c r="P81" i="11"/>
  <c r="P72" i="11"/>
  <c r="P69" i="11"/>
  <c r="P53" i="11"/>
  <c r="P51" i="11"/>
  <c r="P35" i="11"/>
  <c r="P19" i="11"/>
  <c r="P192" i="11"/>
  <c r="P151" i="11"/>
  <c r="P119" i="11"/>
  <c r="P91" i="11"/>
  <c r="P83" i="11"/>
  <c r="P68" i="11"/>
  <c r="P65" i="11"/>
  <c r="P63" i="11"/>
  <c r="P52" i="11"/>
  <c r="P49" i="11"/>
  <c r="P47" i="11"/>
  <c r="P31" i="11"/>
  <c r="P7" i="11"/>
  <c r="P8" i="11"/>
  <c r="P5" i="11"/>
  <c r="P4" i="11"/>
  <c r="R4" i="11"/>
  <c r="A24" i="4"/>
  <c r="A25" i="4" s="1"/>
  <c r="R2" i="11"/>
  <c r="L19" i="2"/>
  <c r="L20" i="2" s="1"/>
  <c r="B2" i="15"/>
  <c r="O288" i="11"/>
  <c r="O272" i="11"/>
  <c r="R267" i="11"/>
  <c r="O256" i="11"/>
  <c r="R251" i="11"/>
  <c r="O240" i="11"/>
  <c r="R235" i="11"/>
  <c r="O224" i="11"/>
  <c r="R219" i="11"/>
  <c r="O208" i="11"/>
  <c r="R203" i="11"/>
  <c r="O192" i="11"/>
  <c r="R187" i="11"/>
  <c r="O285" i="11"/>
  <c r="R280" i="11"/>
  <c r="O269" i="11"/>
  <c r="R264" i="11"/>
  <c r="O253" i="11"/>
  <c r="R248" i="11"/>
  <c r="O237" i="11"/>
  <c r="R232" i="11"/>
  <c r="O221" i="11"/>
  <c r="R216" i="11"/>
  <c r="O205" i="11"/>
  <c r="R200" i="11"/>
  <c r="O189" i="11"/>
  <c r="R184" i="11"/>
  <c r="O279" i="11"/>
  <c r="R273" i="11"/>
  <c r="O266" i="11"/>
  <c r="R254" i="11"/>
  <c r="O247" i="11"/>
  <c r="R241" i="11"/>
  <c r="O234" i="11"/>
  <c r="R222" i="11"/>
  <c r="O215" i="11"/>
  <c r="R209" i="11"/>
  <c r="O202" i="11"/>
  <c r="R190" i="11"/>
  <c r="O183" i="11"/>
  <c r="O171" i="11"/>
  <c r="R166" i="11"/>
  <c r="O166" i="11"/>
  <c r="O259" i="11"/>
  <c r="R242" i="11"/>
  <c r="O195" i="11"/>
  <c r="R177" i="11"/>
  <c r="O169" i="11"/>
  <c r="R163" i="11"/>
  <c r="O148" i="11"/>
  <c r="R143" i="11"/>
  <c r="O132" i="11"/>
  <c r="R127" i="11"/>
  <c r="O116" i="11"/>
  <c r="R111" i="11"/>
  <c r="O246" i="11"/>
  <c r="R229" i="11"/>
  <c r="O182" i="11"/>
  <c r="O161" i="11"/>
  <c r="O149" i="11"/>
  <c r="R144" i="11"/>
  <c r="O133" i="11"/>
  <c r="R128" i="11"/>
  <c r="O117" i="11"/>
  <c r="R112" i="11"/>
  <c r="O101" i="11"/>
  <c r="R96" i="11"/>
  <c r="O85" i="11"/>
  <c r="R80" i="11"/>
  <c r="O69" i="11"/>
  <c r="R64" i="11"/>
  <c r="O53" i="11"/>
  <c r="R48" i="11"/>
  <c r="O37" i="11"/>
  <c r="R32" i="11"/>
  <c r="O21" i="11"/>
  <c r="R16" i="11"/>
  <c r="O254" i="11"/>
  <c r="R237" i="11"/>
  <c r="O190" i="11"/>
  <c r="O160" i="11"/>
  <c r="O155" i="11"/>
  <c r="R150" i="11"/>
  <c r="O139" i="11"/>
  <c r="R134" i="11"/>
  <c r="O123" i="11"/>
  <c r="R118" i="11"/>
  <c r="O107" i="11"/>
  <c r="R102" i="11"/>
  <c r="O91" i="11"/>
  <c r="R86" i="11"/>
  <c r="O251" i="11"/>
  <c r="R186" i="11"/>
  <c r="O150" i="11"/>
  <c r="R133" i="11"/>
  <c r="O98" i="11"/>
  <c r="R89" i="11"/>
  <c r="O68" i="11"/>
  <c r="R62" i="11"/>
  <c r="R53" i="11"/>
  <c r="O47" i="11"/>
  <c r="O38" i="11"/>
  <c r="R19" i="11"/>
  <c r="O142" i="11"/>
  <c r="R77" i="11"/>
  <c r="O62" i="11"/>
  <c r="O55" i="11"/>
  <c r="O39" i="11"/>
  <c r="O28" i="11"/>
  <c r="R145" i="11"/>
  <c r="O74" i="11"/>
  <c r="O42" i="11"/>
  <c r="R15" i="11"/>
  <c r="R266" i="11"/>
  <c r="O165" i="11"/>
  <c r="R153" i="11"/>
  <c r="O108" i="11"/>
  <c r="R99" i="11"/>
  <c r="R63" i="11"/>
  <c r="O48" i="11"/>
  <c r="R42" i="11"/>
  <c r="R33" i="11"/>
  <c r="O27" i="11"/>
  <c r="O18" i="11"/>
  <c r="R282" i="11"/>
  <c r="R175" i="11"/>
  <c r="R93" i="11"/>
  <c r="R70" i="11"/>
  <c r="R14" i="11"/>
  <c r="R234" i="11"/>
  <c r="O104" i="11"/>
  <c r="O88" i="11"/>
  <c r="R73" i="11"/>
  <c r="R66" i="11"/>
  <c r="O56" i="11"/>
  <c r="R25" i="11"/>
  <c r="O264" i="11"/>
  <c r="O248" i="11"/>
  <c r="R227" i="11"/>
  <c r="O216" i="11"/>
  <c r="R195" i="11"/>
  <c r="O184" i="11"/>
  <c r="O277" i="11"/>
  <c r="O261" i="11"/>
  <c r="R240" i="11"/>
  <c r="O229" i="11"/>
  <c r="R208" i="11"/>
  <c r="O197" i="11"/>
  <c r="R176" i="11"/>
  <c r="O263" i="11"/>
  <c r="O250" i="11"/>
  <c r="R238" i="11"/>
  <c r="R225" i="11"/>
  <c r="O199" i="11"/>
  <c r="O186" i="11"/>
  <c r="R174" i="11"/>
  <c r="O163" i="11"/>
  <c r="O179" i="11"/>
  <c r="R169" i="11"/>
  <c r="O227" i="11"/>
  <c r="R151" i="11"/>
  <c r="O140" i="11"/>
  <c r="R119" i="11"/>
  <c r="O278" i="11"/>
  <c r="R197" i="11"/>
  <c r="R136" i="11"/>
  <c r="O125" i="11"/>
  <c r="R104" i="11"/>
  <c r="O93" i="11"/>
  <c r="R72" i="11"/>
  <c r="O61" i="11"/>
  <c r="R40" i="11"/>
  <c r="O29" i="11"/>
  <c r="O286" i="11"/>
  <c r="R205" i="11"/>
  <c r="O158" i="11"/>
  <c r="O147" i="11"/>
  <c r="R126" i="11"/>
  <c r="O115" i="11"/>
  <c r="R94" i="11"/>
  <c r="O83" i="11"/>
  <c r="O118" i="11"/>
  <c r="O70" i="11"/>
  <c r="R30" i="11"/>
  <c r="O110" i="11"/>
  <c r="R59" i="11"/>
  <c r="O23" i="11"/>
  <c r="R57" i="11"/>
  <c r="O203" i="11"/>
  <c r="O138" i="11"/>
  <c r="R83" i="11"/>
  <c r="R65" i="11"/>
  <c r="O50" i="11"/>
  <c r="R9" i="11"/>
  <c r="R45" i="11"/>
  <c r="O12" i="11"/>
  <c r="O96" i="11"/>
  <c r="R23" i="11"/>
  <c r="O284" i="11"/>
  <c r="R263" i="11"/>
  <c r="O252" i="11"/>
  <c r="R231" i="11"/>
  <c r="R215" i="11"/>
  <c r="O204" i="11"/>
  <c r="O188" i="11"/>
  <c r="R276" i="11"/>
  <c r="O265" i="11"/>
  <c r="R244" i="11"/>
  <c r="O233" i="11"/>
  <c r="R212" i="11"/>
  <c r="O201" i="11"/>
  <c r="R180" i="11"/>
  <c r="R281" i="11"/>
  <c r="R262" i="11"/>
  <c r="R249" i="11"/>
  <c r="O223" i="11"/>
  <c r="O210" i="11"/>
  <c r="R198" i="11"/>
  <c r="R185" i="11"/>
  <c r="R162" i="11"/>
  <c r="R173" i="11"/>
  <c r="O162" i="11"/>
  <c r="O243" i="11"/>
  <c r="R171" i="11"/>
  <c r="R155" i="11"/>
  <c r="R139" i="11"/>
  <c r="O128" i="11"/>
  <c r="R277" i="11"/>
  <c r="O230" i="11"/>
  <c r="O145" i="11"/>
  <c r="O129" i="11"/>
  <c r="R108" i="11"/>
  <c r="O97" i="11"/>
  <c r="R76" i="11"/>
  <c r="O65" i="11"/>
  <c r="R44" i="11"/>
  <c r="O33" i="11"/>
  <c r="R12" i="11"/>
  <c r="O238" i="11"/>
  <c r="O151" i="11"/>
  <c r="R130" i="11"/>
  <c r="O276" i="11"/>
  <c r="R271" i="11"/>
  <c r="O260" i="11"/>
  <c r="R255" i="11"/>
  <c r="O244" i="11"/>
  <c r="R239" i="11"/>
  <c r="O228" i="11"/>
  <c r="R223" i="11"/>
  <c r="O212" i="11"/>
  <c r="R207" i="11"/>
  <c r="O196" i="11"/>
  <c r="R191" i="11"/>
  <c r="O180" i="11"/>
  <c r="O273" i="11"/>
  <c r="R268" i="11"/>
  <c r="O257" i="11"/>
  <c r="R252" i="11"/>
  <c r="O241" i="11"/>
  <c r="R236" i="11"/>
  <c r="O225" i="11"/>
  <c r="R220" i="11"/>
  <c r="O209" i="11"/>
  <c r="R204" i="11"/>
  <c r="O193" i="11"/>
  <c r="R188" i="11"/>
  <c r="O177" i="11"/>
  <c r="R278" i="11"/>
  <c r="O271" i="11"/>
  <c r="R265" i="11"/>
  <c r="O258" i="11"/>
  <c r="R246" i="11"/>
  <c r="O239" i="11"/>
  <c r="R233" i="11"/>
  <c r="O226" i="11"/>
  <c r="R214" i="11"/>
  <c r="O207" i="11"/>
  <c r="R201" i="11"/>
  <c r="O194" i="11"/>
  <c r="R182" i="11"/>
  <c r="O175" i="11"/>
  <c r="R170" i="11"/>
  <c r="O159" i="11"/>
  <c r="O170" i="11"/>
  <c r="R165" i="11"/>
  <c r="O275" i="11"/>
  <c r="R258" i="11"/>
  <c r="O211" i="11"/>
  <c r="R194" i="11"/>
  <c r="R168" i="11"/>
  <c r="O152" i="11"/>
  <c r="R147" i="11"/>
  <c r="O136" i="11"/>
  <c r="R131" i="11"/>
  <c r="O120" i="11"/>
  <c r="R115" i="11"/>
  <c r="O262" i="11"/>
  <c r="R245" i="11"/>
  <c r="O198" i="11"/>
  <c r="R181" i="11"/>
  <c r="R160" i="11"/>
  <c r="O153" i="11"/>
  <c r="R148" i="11"/>
  <c r="O137" i="11"/>
  <c r="R132" i="11"/>
  <c r="O121" i="11"/>
  <c r="R116" i="11"/>
  <c r="O105" i="11"/>
  <c r="R100" i="11"/>
  <c r="O89" i="11"/>
  <c r="R84" i="11"/>
  <c r="O73" i="11"/>
  <c r="R68" i="11"/>
  <c r="O57" i="11"/>
  <c r="R52" i="11"/>
  <c r="O41" i="11"/>
  <c r="R36" i="11"/>
  <c r="O25" i="11"/>
  <c r="R20" i="11"/>
  <c r="O270" i="11"/>
  <c r="R253" i="11"/>
  <c r="O206" i="11"/>
  <c r="R189" i="11"/>
  <c r="R159" i="11"/>
  <c r="R154" i="11"/>
  <c r="O143" i="11"/>
  <c r="R138" i="11"/>
  <c r="O127" i="11"/>
  <c r="R122" i="11"/>
  <c r="O111" i="11"/>
  <c r="R106" i="11"/>
  <c r="O95" i="11"/>
  <c r="R90" i="11"/>
  <c r="O79" i="11"/>
  <c r="R250" i="11"/>
  <c r="O173" i="11"/>
  <c r="R149" i="11"/>
  <c r="O106" i="11"/>
  <c r="R97" i="11"/>
  <c r="R67" i="11"/>
  <c r="O52" i="11"/>
  <c r="R46" i="11"/>
  <c r="R37" i="11"/>
  <c r="O31" i="11"/>
  <c r="O22" i="11"/>
  <c r="O14" i="11"/>
  <c r="O126" i="11"/>
  <c r="O76" i="11"/>
  <c r="R61" i="11"/>
  <c r="R54" i="11"/>
  <c r="R38" i="11"/>
  <c r="O168" i="11"/>
  <c r="R71" i="11"/>
  <c r="R41" i="11"/>
  <c r="O35" i="11"/>
  <c r="O19" i="11"/>
  <c r="R164" i="11"/>
  <c r="O122" i="11"/>
  <c r="R107" i="11"/>
  <c r="O84" i="11"/>
  <c r="O75" i="11"/>
  <c r="O66" i="11"/>
  <c r="R47" i="11"/>
  <c r="O32" i="11"/>
  <c r="R26" i="11"/>
  <c r="R10" i="11"/>
  <c r="O219" i="11"/>
  <c r="R125" i="11"/>
  <c r="R101" i="11"/>
  <c r="O78" i="11"/>
  <c r="O46" i="11"/>
  <c r="O30" i="11"/>
  <c r="R13" i="11"/>
  <c r="R129" i="11"/>
  <c r="R103" i="11"/>
  <c r="O72" i="11"/>
  <c r="R55" i="11"/>
  <c r="O24" i="11"/>
  <c r="O280" i="11"/>
  <c r="R275" i="11"/>
  <c r="R259" i="11"/>
  <c r="R243" i="11"/>
  <c r="O232" i="11"/>
  <c r="R211" i="11"/>
  <c r="O200" i="11"/>
  <c r="R272" i="11"/>
  <c r="R256" i="11"/>
  <c r="O245" i="11"/>
  <c r="R224" i="11"/>
  <c r="O213" i="11"/>
  <c r="R192" i="11"/>
  <c r="O181" i="11"/>
  <c r="O282" i="11"/>
  <c r="R270" i="11"/>
  <c r="R257" i="11"/>
  <c r="O231" i="11"/>
  <c r="O218" i="11"/>
  <c r="R206" i="11"/>
  <c r="R193" i="11"/>
  <c r="R158" i="11"/>
  <c r="O174" i="11"/>
  <c r="R274" i="11"/>
  <c r="R210" i="11"/>
  <c r="O172" i="11"/>
  <c r="O156" i="11"/>
  <c r="R135" i="11"/>
  <c r="O124" i="11"/>
  <c r="R261" i="11"/>
  <c r="O214" i="11"/>
  <c r="R152" i="11"/>
  <c r="O141" i="11"/>
  <c r="R120" i="11"/>
  <c r="O109" i="11"/>
  <c r="R88" i="11"/>
  <c r="O77" i="11"/>
  <c r="R56" i="11"/>
  <c r="O45" i="11"/>
  <c r="R24" i="11"/>
  <c r="O13" i="11"/>
  <c r="R269" i="11"/>
  <c r="O222" i="11"/>
  <c r="R142" i="11"/>
  <c r="O131" i="11"/>
  <c r="R110" i="11"/>
  <c r="O99" i="11"/>
  <c r="R78" i="11"/>
  <c r="R172" i="11"/>
  <c r="R105" i="11"/>
  <c r="O82" i="11"/>
  <c r="R51" i="11"/>
  <c r="O36" i="11"/>
  <c r="R21" i="11"/>
  <c r="O157" i="11"/>
  <c r="R75" i="11"/>
  <c r="R43" i="11"/>
  <c r="O15" i="11"/>
  <c r="O130" i="11"/>
  <c r="R95" i="11"/>
  <c r="O40" i="11"/>
  <c r="R18" i="11"/>
  <c r="R121" i="11"/>
  <c r="O92" i="11"/>
  <c r="R74" i="11"/>
  <c r="O59" i="11"/>
  <c r="R31" i="11"/>
  <c r="R218" i="11"/>
  <c r="O86" i="11"/>
  <c r="O60" i="11"/>
  <c r="R27" i="11"/>
  <c r="R167" i="11"/>
  <c r="O80" i="11"/>
  <c r="R34" i="11"/>
  <c r="R279" i="11"/>
  <c r="O268" i="11"/>
  <c r="R247" i="11"/>
  <c r="O236" i="11"/>
  <c r="O220" i="11"/>
  <c r="R199" i="11"/>
  <c r="R183" i="11"/>
  <c r="O281" i="11"/>
  <c r="R260" i="11"/>
  <c r="O249" i="11"/>
  <c r="R228" i="11"/>
  <c r="O217" i="11"/>
  <c r="R196" i="11"/>
  <c r="O185" i="11"/>
  <c r="O287" i="11"/>
  <c r="O274" i="11"/>
  <c r="O255" i="11"/>
  <c r="O242" i="11"/>
  <c r="R230" i="11"/>
  <c r="R217" i="11"/>
  <c r="O191" i="11"/>
  <c r="R179" i="11"/>
  <c r="O167" i="11"/>
  <c r="R178" i="11"/>
  <c r="R226" i="11"/>
  <c r="O178" i="11"/>
  <c r="O164" i="11"/>
  <c r="O144" i="11"/>
  <c r="R123" i="11"/>
  <c r="O112" i="11"/>
  <c r="R213" i="11"/>
  <c r="R140" i="11"/>
  <c r="R124" i="11"/>
  <c r="O113" i="11"/>
  <c r="R92" i="11"/>
  <c r="O81" i="11"/>
  <c r="R60" i="11"/>
  <c r="O49" i="11"/>
  <c r="R28" i="11"/>
  <c r="O17" i="11"/>
  <c r="R221" i="11"/>
  <c r="R157" i="11"/>
  <c r="R146" i="11"/>
  <c r="O135" i="11"/>
  <c r="R114" i="11"/>
  <c r="O103" i="11"/>
  <c r="R82" i="11"/>
  <c r="O187" i="11"/>
  <c r="O63" i="11"/>
  <c r="R156" i="11"/>
  <c r="R22" i="11"/>
  <c r="O114" i="11"/>
  <c r="O51" i="11"/>
  <c r="O26" i="11"/>
  <c r="R49" i="11"/>
  <c r="R109" i="11"/>
  <c r="O71" i="11"/>
  <c r="O44" i="11"/>
  <c r="R113" i="11"/>
  <c r="O58" i="11"/>
  <c r="O87" i="11"/>
  <c r="R29" i="11"/>
  <c r="R17" i="11"/>
  <c r="O176" i="11"/>
  <c r="O16" i="11"/>
  <c r="R81" i="11"/>
  <c r="R35" i="11"/>
  <c r="R11" i="11"/>
  <c r="R202" i="11"/>
  <c r="R137" i="11"/>
  <c r="O100" i="11"/>
  <c r="O64" i="11"/>
  <c r="O94" i="11"/>
  <c r="O235" i="11"/>
  <c r="R79" i="11"/>
  <c r="R117" i="11"/>
  <c r="O90" i="11"/>
  <c r="O102" i="11"/>
  <c r="R39" i="11"/>
  <c r="O267" i="11"/>
  <c r="O154" i="11"/>
  <c r="R91" i="11"/>
  <c r="R58" i="11"/>
  <c r="O34" i="11"/>
  <c r="O283" i="11"/>
  <c r="R141" i="11"/>
  <c r="R85" i="11"/>
  <c r="R161" i="11"/>
  <c r="O67" i="11"/>
  <c r="O119" i="11"/>
  <c r="R98" i="11"/>
  <c r="R69" i="11"/>
  <c r="O146" i="11"/>
  <c r="O43" i="11"/>
  <c r="R50" i="11"/>
  <c r="O134" i="11"/>
  <c r="O54" i="11"/>
  <c r="O20" i="11"/>
  <c r="R87" i="11"/>
  <c r="R5" i="11"/>
  <c r="R7" i="11"/>
  <c r="R6" i="11"/>
  <c r="R8" i="11"/>
  <c r="A26" i="4" l="1"/>
  <c r="Q3" i="11"/>
  <c r="E7" i="13"/>
  <c r="F5" i="12"/>
  <c r="F6" i="8"/>
  <c r="F4" i="9"/>
  <c r="I9" i="2"/>
  <c r="E22" i="1"/>
  <c r="L4" i="11"/>
  <c r="A3" i="15"/>
  <c r="C3" i="15"/>
  <c r="D3" i="15" l="1"/>
  <c r="O4" i="11"/>
  <c r="A27" i="4"/>
  <c r="R3" i="4" s="1"/>
  <c r="O6" i="11"/>
  <c r="O5" i="11"/>
  <c r="O7" i="11"/>
  <c r="O2" i="11"/>
  <c r="O8" i="11"/>
  <c r="V5" i="11"/>
  <c r="V2" i="11"/>
  <c r="V7" i="11"/>
  <c r="V8" i="11"/>
  <c r="V6" i="11"/>
  <c r="X8" i="11"/>
  <c r="X6" i="11"/>
  <c r="X5" i="11"/>
  <c r="X2" i="11"/>
  <c r="X7" i="11"/>
  <c r="T2" i="11"/>
  <c r="T8" i="11"/>
  <c r="T6" i="11"/>
  <c r="T3" i="11"/>
  <c r="T7" i="11"/>
  <c r="T4" i="11"/>
  <c r="T5" i="11"/>
  <c r="L5" i="11"/>
  <c r="L2" i="11"/>
  <c r="L7" i="11"/>
  <c r="L8" i="11"/>
  <c r="L6" i="11"/>
  <c r="U7" i="11"/>
  <c r="U2" i="11"/>
  <c r="U5" i="11"/>
  <c r="U8" i="11"/>
  <c r="U6" i="11"/>
  <c r="Z4" i="11"/>
  <c r="AC4" i="11"/>
  <c r="Y4" i="11"/>
  <c r="AB4" i="11"/>
  <c r="AA4" i="11"/>
  <c r="B3" i="15"/>
  <c r="C4" i="15"/>
  <c r="A4" i="15"/>
  <c r="B4" i="15" l="1"/>
  <c r="D4" i="15"/>
  <c r="AF8" i="11"/>
  <c r="Z8" i="11"/>
  <c r="AA7" i="11"/>
  <c r="AC6" i="11"/>
  <c r="AF5" i="11"/>
  <c r="Z5" i="11"/>
  <c r="Z2" i="11"/>
  <c r="AH5" i="11"/>
  <c r="AH6" i="11" s="1"/>
  <c r="AH7" i="11" s="1"/>
  <c r="AH8" i="11" s="1"/>
  <c r="AH9" i="11" s="1"/>
  <c r="AH10" i="11" s="1"/>
  <c r="AH11" i="11" s="1"/>
  <c r="AH12" i="11" s="1"/>
  <c r="AH13" i="11" s="1"/>
  <c r="AH14" i="11" s="1"/>
  <c r="AH15" i="11" s="1"/>
  <c r="AH16" i="11" s="1"/>
  <c r="AH17" i="11" s="1"/>
  <c r="AH18" i="11" s="1"/>
  <c r="Y8" i="11"/>
  <c r="AA6" i="11"/>
  <c r="AC5" i="11"/>
  <c r="Y2" i="11"/>
  <c r="AC7" i="11"/>
  <c r="Y6" i="11"/>
  <c r="AC8" i="11"/>
  <c r="Z7" i="11"/>
  <c r="Y5" i="11"/>
  <c r="AA8" i="11"/>
  <c r="AF6" i="11"/>
  <c r="AA5" i="11"/>
  <c r="AB8" i="11"/>
  <c r="AF7" i="11"/>
  <c r="Y7" i="11"/>
  <c r="Z6" i="11"/>
  <c r="AB5" i="11"/>
  <c r="AC2" i="11"/>
  <c r="AA2" i="11"/>
  <c r="AB6" i="11"/>
  <c r="AB7" i="11"/>
  <c r="N9" i="2"/>
  <c r="A5" i="15"/>
  <c r="C5" i="15"/>
  <c r="AI4" i="11"/>
  <c r="D5" i="15" l="1"/>
  <c r="B5" i="15"/>
  <c r="Q8" i="11"/>
  <c r="Q7" i="11"/>
  <c r="Q5" i="11"/>
  <c r="Q2" i="11"/>
  <c r="Q6" i="11"/>
  <c r="Q4" i="11"/>
  <c r="A6" i="15"/>
  <c r="C6" i="15"/>
  <c r="D6" i="15" l="1"/>
  <c r="B6" i="15"/>
  <c r="AK3" i="11"/>
  <c r="AK4" i="11"/>
  <c r="C7" i="15"/>
  <c r="A7" i="15"/>
  <c r="B7" i="15" l="1"/>
  <c r="D7" i="15"/>
  <c r="D2" i="15"/>
  <c r="C8" i="15"/>
  <c r="A8" i="15"/>
  <c r="B8" i="15" l="1"/>
  <c r="D8" i="15"/>
  <c r="A9" i="15"/>
  <c r="C9" i="15"/>
  <c r="D9" i="15" l="1"/>
  <c r="B9" i="15"/>
  <c r="A10" i="15"/>
  <c r="C10" i="15"/>
  <c r="D10" i="15" l="1"/>
  <c r="B10" i="15"/>
  <c r="C11" i="15"/>
  <c r="A11" i="15"/>
  <c r="B11" i="15" l="1"/>
  <c r="D11" i="15"/>
  <c r="C12" i="15"/>
  <c r="A12" i="15"/>
  <c r="B12" i="15" l="1"/>
  <c r="D12" i="15"/>
  <c r="A13" i="15"/>
  <c r="C13" i="15"/>
  <c r="D13" i="15" l="1"/>
  <c r="B13" i="15"/>
  <c r="A14" i="15"/>
  <c r="C14" i="15"/>
  <c r="D14" i="15" l="1"/>
  <c r="B14" i="15"/>
  <c r="A15" i="15"/>
  <c r="C15" i="15"/>
  <c r="D15" i="15" l="1"/>
  <c r="B15" i="15"/>
  <c r="C16" i="15"/>
  <c r="A16" i="15"/>
  <c r="B16" i="15" l="1"/>
  <c r="D16" i="15"/>
  <c r="A17" i="15"/>
  <c r="C17" i="15"/>
  <c r="D17" i="15" l="1"/>
  <c r="B17" i="15"/>
  <c r="A18" i="15"/>
  <c r="C18" i="15"/>
  <c r="D18" i="15" l="1"/>
  <c r="B18" i="15"/>
  <c r="C19" i="15"/>
  <c r="A19" i="15"/>
  <c r="B19" i="15" l="1"/>
  <c r="D19" i="15"/>
  <c r="A20" i="15"/>
  <c r="C20" i="15"/>
  <c r="D20" i="15" l="1"/>
  <c r="B20" i="15"/>
  <c r="A21" i="15"/>
  <c r="C21" i="15"/>
  <c r="D21" i="15" l="1"/>
  <c r="B21" i="15"/>
  <c r="A22" i="15"/>
  <c r="C22" i="15"/>
  <c r="D22" i="15" l="1"/>
  <c r="B22" i="15"/>
  <c r="C23" i="15"/>
  <c r="A23" i="15"/>
  <c r="B23" i="15" l="1"/>
  <c r="D23" i="15"/>
  <c r="A24" i="15"/>
  <c r="C24" i="15"/>
  <c r="D24" i="15" l="1"/>
  <c r="B24" i="15"/>
  <c r="A25" i="15"/>
  <c r="C25" i="15"/>
  <c r="D25" i="15" l="1"/>
  <c r="B25" i="15"/>
  <c r="A26" i="15"/>
  <c r="C26" i="15"/>
  <c r="D26" i="15" l="1"/>
  <c r="B26" i="15"/>
  <c r="C27" i="15"/>
  <c r="A27" i="15"/>
  <c r="B27" i="15" l="1"/>
  <c r="D27" i="15"/>
  <c r="A28" i="15"/>
  <c r="C28" i="15"/>
  <c r="D28" i="15" l="1"/>
  <c r="B28" i="15"/>
  <c r="A29" i="15"/>
  <c r="C29" i="15"/>
  <c r="D29" i="15" l="1"/>
  <c r="B29" i="15"/>
  <c r="A30" i="15"/>
  <c r="C30" i="15"/>
  <c r="D30" i="15" l="1"/>
  <c r="B30" i="15"/>
  <c r="C31" i="15"/>
  <c r="A31" i="15"/>
  <c r="B31" i="15" l="1"/>
  <c r="D31" i="15"/>
  <c r="C32" i="15"/>
  <c r="A32" i="15"/>
  <c r="B32" i="15" l="1"/>
  <c r="D32" i="15"/>
  <c r="C33" i="15"/>
  <c r="A33" i="15"/>
  <c r="B33" i="15" l="1"/>
  <c r="D33" i="15"/>
  <c r="A34" i="15"/>
  <c r="C34" i="15"/>
  <c r="D34" i="15" l="1"/>
  <c r="B34" i="15"/>
  <c r="C35" i="15"/>
  <c r="A35" i="15"/>
  <c r="B35" i="15" l="1"/>
  <c r="D35" i="15"/>
  <c r="C36" i="15"/>
  <c r="A36" i="15"/>
  <c r="B36" i="15" l="1"/>
  <c r="D36" i="15"/>
  <c r="C37" i="15"/>
  <c r="A37" i="15"/>
  <c r="B37" i="15" l="1"/>
  <c r="D37" i="15"/>
  <c r="A38" i="15"/>
  <c r="C38" i="15"/>
  <c r="D38" i="15" l="1"/>
  <c r="B38" i="15"/>
  <c r="C39" i="15"/>
  <c r="A39" i="15"/>
  <c r="B39" i="15" l="1"/>
  <c r="D39" i="15"/>
  <c r="A40" i="15"/>
  <c r="C40" i="15"/>
  <c r="D40" i="15" l="1"/>
  <c r="B40" i="15"/>
  <c r="A41" i="15"/>
  <c r="C41" i="15"/>
  <c r="D41" i="15" l="1"/>
  <c r="B41" i="15"/>
  <c r="A42" i="15"/>
  <c r="C42" i="15"/>
  <c r="D42" i="15" l="1"/>
  <c r="B42" i="15"/>
  <c r="C43" i="15"/>
  <c r="A43" i="15"/>
  <c r="B43" i="15" l="1"/>
  <c r="D43" i="15"/>
  <c r="A44" i="15"/>
  <c r="C44" i="15"/>
  <c r="D44" i="15" l="1"/>
  <c r="B44" i="15"/>
  <c r="A45" i="15"/>
  <c r="C45" i="15"/>
  <c r="D45" i="15" l="1"/>
  <c r="B45" i="15"/>
  <c r="A46" i="15"/>
  <c r="C46" i="15"/>
  <c r="D46" i="15" l="1"/>
  <c r="B46" i="15"/>
  <c r="C47" i="15"/>
  <c r="A47" i="15"/>
  <c r="B47" i="15" l="1"/>
  <c r="D47" i="15"/>
  <c r="A48" i="15"/>
  <c r="C48" i="15"/>
  <c r="D48" i="15" l="1"/>
  <c r="B48" i="15"/>
  <c r="A49" i="15"/>
  <c r="C49" i="15"/>
  <c r="D49" i="15" l="1"/>
  <c r="B49" i="15"/>
  <c r="A50" i="15"/>
  <c r="C50" i="15"/>
  <c r="D50" i="15" l="1"/>
  <c r="B50" i="15"/>
  <c r="C51" i="15"/>
  <c r="A51" i="15"/>
  <c r="B51" i="15" l="1"/>
  <c r="D51" i="15"/>
  <c r="A52" i="15"/>
  <c r="C52" i="15"/>
  <c r="D52" i="15" l="1"/>
  <c r="B52" i="15"/>
  <c r="A53" i="15"/>
  <c r="C53" i="15"/>
  <c r="D53" i="15" l="1"/>
  <c r="B53" i="15"/>
  <c r="A54" i="15"/>
  <c r="C54" i="15"/>
  <c r="D54" i="15" l="1"/>
  <c r="B54" i="15"/>
  <c r="C55" i="15"/>
  <c r="A55" i="15"/>
  <c r="B55" i="15" l="1"/>
  <c r="D55" i="15"/>
  <c r="A56" i="15"/>
  <c r="C56" i="15"/>
  <c r="D56" i="15" l="1"/>
  <c r="B56" i="15"/>
  <c r="A57" i="15"/>
  <c r="C57" i="15"/>
  <c r="D57" i="15" l="1"/>
  <c r="B57" i="15"/>
  <c r="A58" i="15"/>
  <c r="C58" i="15"/>
  <c r="D58" i="15" l="1"/>
  <c r="B58" i="15"/>
  <c r="C59" i="15"/>
  <c r="A59" i="15"/>
  <c r="B59" i="15" l="1"/>
  <c r="D59" i="15"/>
  <c r="A60" i="15"/>
  <c r="C60" i="15"/>
  <c r="D60" i="15" l="1"/>
  <c r="B60" i="15"/>
  <c r="A61" i="15"/>
  <c r="C61" i="15"/>
  <c r="D61" i="15" l="1"/>
  <c r="B61" i="15"/>
  <c r="A62" i="15"/>
  <c r="C62" i="15"/>
  <c r="D62" i="15" l="1"/>
  <c r="B62" i="15"/>
  <c r="C63" i="15"/>
  <c r="A63" i="15"/>
  <c r="B63" i="15" l="1"/>
  <c r="D63" i="15"/>
  <c r="A64" i="15"/>
  <c r="C64" i="15"/>
  <c r="D64" i="15" l="1"/>
  <c r="B64" i="15"/>
  <c r="A65" i="15"/>
  <c r="C65" i="15"/>
  <c r="D65" i="15" l="1"/>
  <c r="B65" i="15"/>
  <c r="A66" i="15"/>
  <c r="C66" i="15"/>
  <c r="D66" i="15" l="1"/>
  <c r="B66" i="15"/>
  <c r="C67" i="15"/>
  <c r="A67" i="15"/>
  <c r="B67" i="15" l="1"/>
  <c r="D67" i="15"/>
  <c r="C68" i="15"/>
  <c r="A68" i="15"/>
  <c r="B68" i="15" l="1"/>
  <c r="D68" i="15"/>
  <c r="C69" i="15"/>
  <c r="A69" i="15"/>
  <c r="B69" i="15" l="1"/>
  <c r="D69" i="15"/>
  <c r="C70" i="15"/>
  <c r="A70" i="15"/>
  <c r="B70" i="15" l="1"/>
  <c r="D70" i="15"/>
  <c r="C71" i="15"/>
  <c r="A71" i="15"/>
  <c r="B71" i="15" l="1"/>
  <c r="D71" i="15"/>
  <c r="A72" i="15"/>
  <c r="C72" i="15"/>
  <c r="D72" i="15" l="1"/>
  <c r="B72" i="15"/>
  <c r="A73" i="15"/>
  <c r="C73" i="15"/>
  <c r="D73" i="15" l="1"/>
  <c r="B73" i="15"/>
  <c r="A74" i="15"/>
  <c r="C74" i="15"/>
  <c r="D74" i="15" l="1"/>
  <c r="B74" i="15"/>
  <c r="C75" i="15"/>
  <c r="A75" i="15"/>
  <c r="B75" i="15" l="1"/>
  <c r="D75" i="15"/>
  <c r="A76" i="15"/>
  <c r="C76" i="15"/>
  <c r="D76" i="15" l="1"/>
  <c r="B76" i="15"/>
  <c r="A77" i="15"/>
  <c r="C77" i="15"/>
  <c r="D77" i="15" l="1"/>
  <c r="B77" i="15"/>
  <c r="A78" i="15"/>
  <c r="C78" i="15"/>
  <c r="D78" i="15" l="1"/>
  <c r="B78" i="15"/>
  <c r="C79" i="15"/>
  <c r="A79" i="15"/>
  <c r="B79" i="15" l="1"/>
  <c r="D79" i="15"/>
  <c r="A80" i="15"/>
  <c r="C80" i="15"/>
  <c r="D80" i="15" l="1"/>
  <c r="B80" i="15"/>
  <c r="A81" i="15"/>
  <c r="C81" i="15"/>
  <c r="D81" i="15" l="1"/>
  <c r="B81" i="15"/>
  <c r="A82" i="15"/>
  <c r="C82" i="15"/>
  <c r="D82" i="15" l="1"/>
  <c r="B82" i="15"/>
  <c r="C83" i="15"/>
  <c r="A83" i="15"/>
  <c r="B83" i="15" l="1"/>
  <c r="D83" i="15"/>
  <c r="A84" i="15"/>
  <c r="C84" i="15"/>
  <c r="D84" i="15" l="1"/>
  <c r="B84" i="15"/>
  <c r="A85" i="15"/>
  <c r="C85" i="15"/>
  <c r="D85" i="15" l="1"/>
  <c r="B85" i="15"/>
  <c r="A86" i="15"/>
  <c r="C86" i="15"/>
  <c r="D86" i="15" l="1"/>
  <c r="B86" i="15"/>
  <c r="C87" i="15"/>
  <c r="A87" i="15"/>
  <c r="B87" i="15" l="1"/>
  <c r="D87" i="15"/>
  <c r="A88" i="15"/>
  <c r="C88" i="15"/>
  <c r="D88" i="15" l="1"/>
  <c r="B88" i="15"/>
  <c r="A89" i="15"/>
  <c r="C89" i="15"/>
  <c r="D89" i="15" l="1"/>
  <c r="B89" i="15"/>
  <c r="A90" i="15"/>
  <c r="C90" i="15"/>
  <c r="D90" i="15" l="1"/>
  <c r="B90" i="15"/>
  <c r="C91" i="15"/>
  <c r="A91" i="15"/>
  <c r="B91" i="15" l="1"/>
  <c r="D91" i="15"/>
  <c r="A92" i="15"/>
  <c r="C92" i="15"/>
  <c r="D92" i="15" l="1"/>
  <c r="B92" i="15"/>
  <c r="A93" i="15"/>
  <c r="C93" i="15"/>
  <c r="D93" i="15" l="1"/>
  <c r="B93" i="15"/>
  <c r="A94" i="15"/>
  <c r="C94" i="15"/>
  <c r="D94" i="15" l="1"/>
  <c r="B94" i="15"/>
  <c r="C95" i="15"/>
  <c r="A95" i="15"/>
  <c r="B95" i="15" l="1"/>
  <c r="D95" i="15"/>
  <c r="A96" i="15"/>
  <c r="C96" i="15"/>
  <c r="D96" i="15" l="1"/>
  <c r="B96" i="15"/>
  <c r="A97" i="15"/>
  <c r="C97" i="15"/>
  <c r="D97" i="15" l="1"/>
  <c r="B97" i="15"/>
  <c r="A98" i="15"/>
  <c r="C98" i="15"/>
  <c r="D98" i="15" l="1"/>
  <c r="B98" i="15"/>
  <c r="C99" i="15"/>
  <c r="A99" i="15"/>
  <c r="B99" i="15" l="1"/>
  <c r="D99" i="15"/>
  <c r="A100" i="15"/>
  <c r="C100" i="15"/>
  <c r="D100" i="15" l="1"/>
  <c r="B100" i="15"/>
  <c r="A101" i="15"/>
  <c r="C101" i="15"/>
  <c r="D101" i="15" l="1"/>
  <c r="B101" i="15"/>
  <c r="A102" i="15"/>
  <c r="C102" i="15"/>
  <c r="D102" i="15" l="1"/>
  <c r="B102" i="15"/>
  <c r="C103" i="15"/>
  <c r="A103" i="15"/>
  <c r="B103" i="15" l="1"/>
  <c r="D103" i="15"/>
  <c r="A104" i="15"/>
  <c r="C104" i="15"/>
  <c r="D104" i="15" l="1"/>
  <c r="B104" i="15"/>
  <c r="A105" i="15"/>
  <c r="C105" i="15"/>
  <c r="D105" i="15" l="1"/>
  <c r="B105" i="15"/>
  <c r="A106" i="15"/>
  <c r="C106" i="15"/>
  <c r="D106" i="15" l="1"/>
  <c r="B106" i="15"/>
  <c r="C107" i="15"/>
  <c r="A107" i="15"/>
  <c r="B107" i="15" l="1"/>
  <c r="D107" i="15"/>
  <c r="A108" i="15"/>
  <c r="C108" i="15"/>
  <c r="D108" i="15" l="1"/>
  <c r="B108" i="15"/>
  <c r="A109" i="15"/>
  <c r="C109" i="15"/>
  <c r="D109" i="15" l="1"/>
  <c r="B109" i="15"/>
  <c r="A110" i="15"/>
  <c r="C110" i="15"/>
  <c r="D110" i="15" l="1"/>
  <c r="B110" i="15"/>
  <c r="C111" i="15"/>
  <c r="A111" i="15"/>
  <c r="B111" i="15" l="1"/>
  <c r="D111" i="15"/>
  <c r="A112" i="15"/>
  <c r="C112" i="15"/>
  <c r="D112" i="15" l="1"/>
  <c r="B112" i="15"/>
  <c r="A113" i="15"/>
  <c r="C113" i="15"/>
  <c r="D113" i="15" l="1"/>
  <c r="B113" i="15"/>
  <c r="A114" i="15"/>
  <c r="C114" i="15"/>
  <c r="D114" i="15" l="1"/>
  <c r="B114" i="15"/>
  <c r="C115" i="15"/>
  <c r="A115" i="15"/>
  <c r="B115" i="15" l="1"/>
  <c r="D115" i="15"/>
  <c r="A116" i="15"/>
  <c r="C116" i="15"/>
  <c r="D116" i="15" l="1"/>
  <c r="B116" i="15"/>
  <c r="A117" i="15"/>
  <c r="C117" i="15"/>
  <c r="D117" i="15" l="1"/>
  <c r="B117" i="15"/>
  <c r="A118" i="15"/>
  <c r="C118" i="15"/>
  <c r="D118" i="15" l="1"/>
  <c r="B118" i="15"/>
  <c r="C119" i="15"/>
  <c r="A119" i="15"/>
  <c r="B119" i="15" l="1"/>
  <c r="D119" i="15"/>
  <c r="A120" i="15"/>
  <c r="C120" i="15"/>
  <c r="D120" i="15" l="1"/>
  <c r="B120" i="15"/>
  <c r="A121" i="15"/>
  <c r="C121" i="15"/>
  <c r="D121" i="15" l="1"/>
  <c r="B121" i="15"/>
  <c r="A122" i="15"/>
  <c r="C122" i="15"/>
  <c r="D122" i="15" l="1"/>
  <c r="B122" i="15"/>
  <c r="C123" i="15"/>
  <c r="A123" i="15"/>
  <c r="B123" i="15" l="1"/>
  <c r="D123" i="15"/>
  <c r="A124" i="15"/>
  <c r="C124" i="15"/>
  <c r="D124" i="15" l="1"/>
  <c r="B124" i="15"/>
  <c r="A125" i="15"/>
  <c r="C125" i="15"/>
  <c r="D125" i="15" l="1"/>
  <c r="B125" i="15"/>
  <c r="A126" i="15"/>
  <c r="C126" i="15"/>
  <c r="D126" i="15" l="1"/>
  <c r="B126" i="15"/>
  <c r="C127" i="15"/>
  <c r="A127" i="15"/>
  <c r="B127" i="15" l="1"/>
  <c r="D127" i="15"/>
  <c r="A128" i="15"/>
  <c r="C128" i="15"/>
  <c r="D128" i="15" l="1"/>
  <c r="B128" i="15"/>
  <c r="A129" i="15"/>
  <c r="C129" i="15"/>
  <c r="D129" i="15" l="1"/>
  <c r="B129" i="15"/>
  <c r="A130" i="15"/>
  <c r="C130" i="15"/>
  <c r="D130" i="15" l="1"/>
  <c r="B130" i="15"/>
  <c r="C131" i="15"/>
  <c r="A131" i="15"/>
  <c r="B131" i="15" l="1"/>
  <c r="D131" i="15"/>
  <c r="A132" i="15"/>
  <c r="C132" i="15"/>
  <c r="D132" i="15" l="1"/>
  <c r="B132" i="15"/>
  <c r="A133" i="15"/>
  <c r="C133" i="15"/>
  <c r="D133" i="15" l="1"/>
  <c r="B133" i="15"/>
  <c r="A134" i="15"/>
  <c r="C134" i="15"/>
  <c r="D134" i="15" l="1"/>
  <c r="B134" i="15"/>
  <c r="C135" i="15"/>
  <c r="A135" i="15"/>
  <c r="B135" i="15" l="1"/>
  <c r="D135" i="15"/>
  <c r="A136" i="15"/>
  <c r="C136" i="15"/>
  <c r="D136" i="15" l="1"/>
  <c r="B136" i="15"/>
  <c r="A137" i="15"/>
  <c r="C137" i="15"/>
  <c r="D137" i="15" l="1"/>
  <c r="B137" i="15"/>
  <c r="A138" i="15"/>
  <c r="C138" i="15"/>
  <c r="D138" i="15" l="1"/>
  <c r="B138" i="15"/>
  <c r="C139" i="15"/>
  <c r="A139" i="15"/>
  <c r="B139" i="15" l="1"/>
  <c r="D139" i="15"/>
  <c r="A140" i="15"/>
  <c r="C140" i="15"/>
  <c r="D140" i="15" l="1"/>
  <c r="B140" i="15"/>
  <c r="A141" i="15"/>
  <c r="C141" i="15"/>
  <c r="D141" i="15" l="1"/>
  <c r="B141" i="15"/>
  <c r="A142" i="15"/>
  <c r="C142" i="15"/>
  <c r="D142" i="15" l="1"/>
  <c r="B142" i="15"/>
  <c r="C143" i="15"/>
  <c r="A143" i="15"/>
  <c r="B143" i="15" l="1"/>
  <c r="D143" i="15"/>
  <c r="A144" i="15"/>
  <c r="C144" i="15"/>
  <c r="D144" i="15" l="1"/>
  <c r="B144" i="15"/>
  <c r="A145" i="15"/>
  <c r="C145" i="15"/>
  <c r="D145" i="15" l="1"/>
  <c r="B145" i="15"/>
  <c r="A146" i="15"/>
  <c r="C146" i="15"/>
  <c r="D146" i="15" l="1"/>
  <c r="B146" i="15"/>
  <c r="C147" i="15"/>
  <c r="A147" i="15"/>
  <c r="B147" i="15" l="1"/>
  <c r="D147" i="15"/>
  <c r="A148" i="15"/>
  <c r="C148" i="15"/>
  <c r="D148" i="15" l="1"/>
  <c r="B148" i="15"/>
  <c r="A149" i="15"/>
  <c r="C149" i="15"/>
  <c r="D149" i="15" l="1"/>
  <c r="B149" i="15"/>
  <c r="A150" i="15"/>
  <c r="C150" i="15"/>
  <c r="D150" i="15" l="1"/>
  <c r="B150" i="15"/>
  <c r="C151" i="15"/>
  <c r="A151" i="15"/>
  <c r="B151" i="15" l="1"/>
  <c r="D151" i="15"/>
  <c r="A152" i="15"/>
  <c r="C152" i="15"/>
  <c r="D152" i="15" l="1"/>
  <c r="B152" i="15"/>
  <c r="A153" i="15"/>
  <c r="C153" i="15"/>
  <c r="D153" i="15" l="1"/>
  <c r="B153" i="15"/>
  <c r="A154" i="15"/>
  <c r="C154" i="15"/>
  <c r="D154" i="15" l="1"/>
  <c r="B154" i="15"/>
  <c r="C155" i="15"/>
  <c r="A155" i="15"/>
  <c r="B155" i="15" l="1"/>
  <c r="D155" i="15"/>
  <c r="A156" i="15"/>
  <c r="C156" i="15"/>
  <c r="D156" i="15" l="1"/>
  <c r="B156" i="15"/>
  <c r="A157" i="15"/>
  <c r="C157" i="15"/>
  <c r="D157" i="15" l="1"/>
  <c r="B157" i="15"/>
  <c r="A158" i="15"/>
  <c r="C158" i="15"/>
  <c r="D158" i="15" l="1"/>
  <c r="B158" i="15"/>
  <c r="C159" i="15"/>
  <c r="A159" i="15"/>
  <c r="B159" i="15" l="1"/>
  <c r="D159" i="15"/>
  <c r="A160" i="15"/>
  <c r="C160" i="15"/>
  <c r="D160" i="15" l="1"/>
  <c r="B160" i="15"/>
  <c r="A161" i="15"/>
  <c r="C161" i="15"/>
  <c r="D161" i="15" l="1"/>
  <c r="B161" i="15"/>
  <c r="A162" i="15"/>
  <c r="C162" i="15"/>
  <c r="D162" i="15" l="1"/>
  <c r="B162" i="15"/>
  <c r="C163" i="15"/>
  <c r="A163" i="15"/>
  <c r="B163" i="15" l="1"/>
  <c r="D163" i="15"/>
  <c r="A164" i="15"/>
  <c r="C164" i="15"/>
  <c r="D164" i="15" l="1"/>
  <c r="B164" i="15"/>
  <c r="A165" i="15"/>
  <c r="C165" i="15"/>
  <c r="D165" i="15" l="1"/>
  <c r="B165" i="15"/>
  <c r="A166" i="15"/>
  <c r="C166" i="15"/>
  <c r="D166" i="15" l="1"/>
  <c r="B166" i="15"/>
  <c r="C167" i="15"/>
  <c r="A167" i="15"/>
  <c r="B167" i="15" l="1"/>
  <c r="D167" i="15"/>
  <c r="A168" i="15"/>
  <c r="C168" i="15"/>
  <c r="D168" i="15" l="1"/>
  <c r="B168" i="15"/>
  <c r="A169" i="15"/>
  <c r="C169" i="15"/>
  <c r="D169" i="15" l="1"/>
  <c r="B169" i="15"/>
  <c r="A170" i="15"/>
  <c r="C170" i="15"/>
  <c r="D170" i="15" l="1"/>
  <c r="B170" i="15"/>
  <c r="C171" i="15"/>
  <c r="A171" i="15"/>
  <c r="B171" i="15" l="1"/>
  <c r="D171" i="15"/>
  <c r="A172" i="15"/>
  <c r="C172" i="15"/>
  <c r="D172" i="15" l="1"/>
  <c r="B172" i="15"/>
  <c r="A173" i="15"/>
  <c r="C173" i="15"/>
  <c r="D173" i="15" l="1"/>
  <c r="B173" i="15"/>
  <c r="A174" i="15"/>
  <c r="C174" i="15"/>
  <c r="D174" i="15" l="1"/>
  <c r="B174" i="15"/>
  <c r="C175" i="15"/>
  <c r="A175" i="15"/>
  <c r="B175" i="15" l="1"/>
  <c r="D175" i="15"/>
  <c r="A176" i="15"/>
  <c r="C176" i="15"/>
  <c r="D176" i="15" l="1"/>
  <c r="B176" i="15"/>
  <c r="A177" i="15"/>
  <c r="C177" i="15"/>
  <c r="D177" i="15" l="1"/>
  <c r="B177" i="15"/>
  <c r="A178" i="15"/>
  <c r="C178" i="15"/>
  <c r="D178" i="15" l="1"/>
  <c r="B178" i="15"/>
  <c r="C179" i="15"/>
  <c r="A179" i="15"/>
  <c r="B179" i="15" l="1"/>
  <c r="D179" i="15"/>
  <c r="A180" i="15"/>
  <c r="C180" i="15"/>
  <c r="D180" i="15" l="1"/>
  <c r="B180" i="15"/>
  <c r="A181" i="15"/>
  <c r="C181" i="15"/>
  <c r="D181" i="15" l="1"/>
  <c r="B181" i="15"/>
  <c r="A182" i="15"/>
  <c r="C182" i="15"/>
  <c r="D182" i="15" l="1"/>
  <c r="B182" i="15"/>
  <c r="C183" i="15"/>
  <c r="A183" i="15"/>
  <c r="B183" i="15" l="1"/>
  <c r="D183" i="15"/>
  <c r="A184" i="15"/>
  <c r="C184" i="15"/>
  <c r="D184" i="15" l="1"/>
  <c r="B184" i="15"/>
  <c r="A185" i="15"/>
  <c r="C185" i="15"/>
  <c r="D185" i="15" l="1"/>
  <c r="B185" i="15"/>
  <c r="A186" i="15"/>
  <c r="C186" i="15"/>
  <c r="D186" i="15" l="1"/>
  <c r="B186" i="15"/>
  <c r="C187" i="15"/>
  <c r="A187" i="15"/>
  <c r="B187" i="15" l="1"/>
  <c r="D187" i="15"/>
  <c r="A188" i="15"/>
  <c r="C188" i="15"/>
  <c r="D188" i="15" l="1"/>
  <c r="B188" i="15"/>
  <c r="A189" i="15"/>
  <c r="C189" i="15"/>
  <c r="D189" i="15" l="1"/>
  <c r="B189" i="15"/>
  <c r="A190" i="15"/>
  <c r="C190" i="15"/>
  <c r="D190" i="15" l="1"/>
  <c r="B190" i="15"/>
  <c r="C191" i="15"/>
  <c r="A191" i="15"/>
  <c r="B191" i="15" l="1"/>
  <c r="D191" i="15"/>
  <c r="A192" i="15"/>
  <c r="C192" i="15"/>
  <c r="D192" i="15" l="1"/>
  <c r="B192" i="15"/>
  <c r="A193" i="15"/>
  <c r="C193" i="15"/>
  <c r="D193" i="15" l="1"/>
  <c r="B193" i="15"/>
  <c r="A194" i="15"/>
  <c r="C194" i="15"/>
  <c r="D194" i="15" l="1"/>
  <c r="B194" i="15"/>
  <c r="C195" i="15"/>
  <c r="A195" i="15"/>
  <c r="B195" i="15" l="1"/>
  <c r="D195" i="15"/>
  <c r="C196" i="15"/>
  <c r="A196" i="15"/>
  <c r="B196" i="15" l="1"/>
  <c r="D196" i="15"/>
  <c r="C197" i="15"/>
  <c r="A197" i="15"/>
  <c r="B197" i="15" l="1"/>
  <c r="D197" i="15"/>
  <c r="A198" i="15"/>
  <c r="C198" i="15"/>
  <c r="D198" i="15" l="1"/>
  <c r="B198" i="15"/>
  <c r="C199" i="15"/>
  <c r="A199" i="15"/>
  <c r="B199" i="15" l="1"/>
  <c r="D199" i="15"/>
  <c r="A200" i="15"/>
  <c r="C200" i="15"/>
  <c r="D200" i="15" l="1"/>
  <c r="B200" i="15"/>
  <c r="A201" i="15"/>
  <c r="C201" i="15"/>
  <c r="D201" i="15" l="1"/>
  <c r="B201" i="15"/>
  <c r="A202" i="15"/>
  <c r="C202" i="15"/>
  <c r="D202" i="15" l="1"/>
  <c r="B202" i="15"/>
  <c r="C203" i="15"/>
  <c r="A203" i="15"/>
  <c r="B203" i="15" l="1"/>
  <c r="D203" i="15"/>
  <c r="A204" i="15"/>
  <c r="C204" i="15"/>
  <c r="D204" i="15" l="1"/>
  <c r="B204" i="15"/>
  <c r="A205" i="15"/>
  <c r="C205" i="15"/>
  <c r="D205" i="15" l="1"/>
  <c r="B205" i="15"/>
  <c r="A206" i="15"/>
  <c r="C206" i="15"/>
  <c r="D206" i="15" l="1"/>
  <c r="B206" i="15"/>
  <c r="C207" i="15"/>
  <c r="A207" i="15"/>
  <c r="B207" i="15" l="1"/>
  <c r="D207" i="15"/>
  <c r="A208" i="15"/>
  <c r="C208" i="15"/>
  <c r="D208" i="15" l="1"/>
  <c r="B208" i="15"/>
  <c r="A209" i="15"/>
  <c r="C209" i="15"/>
  <c r="D209" i="15" l="1"/>
  <c r="B209" i="15"/>
  <c r="A210" i="15"/>
  <c r="C210" i="15"/>
  <c r="D210" i="15" l="1"/>
  <c r="B210" i="15"/>
  <c r="C211" i="15"/>
  <c r="A211" i="15"/>
  <c r="B211" i="15" l="1"/>
  <c r="D211" i="15"/>
  <c r="A212" i="15"/>
  <c r="C212" i="15"/>
  <c r="D212" i="15" l="1"/>
  <c r="B212" i="15"/>
  <c r="A213" i="15"/>
  <c r="C213" i="15"/>
  <c r="D213" i="15" l="1"/>
  <c r="B213" i="15"/>
  <c r="A214" i="15"/>
  <c r="C214" i="15"/>
  <c r="D214" i="15" l="1"/>
  <c r="B214" i="15"/>
  <c r="C215" i="15"/>
  <c r="A215" i="15"/>
  <c r="B215" i="15" l="1"/>
  <c r="D215" i="15"/>
  <c r="C216" i="15"/>
  <c r="A216" i="15"/>
  <c r="B216" i="15" l="1"/>
  <c r="D216" i="15"/>
  <c r="C217" i="15"/>
  <c r="A217" i="15"/>
  <c r="B217" i="15" l="1"/>
  <c r="D217" i="15"/>
  <c r="C218" i="15"/>
  <c r="A218" i="15"/>
  <c r="B218" i="15" l="1"/>
  <c r="D218" i="15"/>
  <c r="A219" i="15"/>
  <c r="C219" i="15"/>
  <c r="D219" i="15" l="1"/>
  <c r="B219" i="15"/>
  <c r="C220" i="15"/>
  <c r="A220" i="15"/>
  <c r="B220" i="15" l="1"/>
  <c r="D220" i="15"/>
  <c r="C221" i="15"/>
  <c r="A221" i="15"/>
  <c r="B221" i="15" l="1"/>
  <c r="D221" i="15"/>
  <c r="C222" i="15"/>
  <c r="A222" i="15"/>
  <c r="B222" i="15" l="1"/>
  <c r="D222" i="15"/>
  <c r="C223" i="15"/>
  <c r="A223" i="15"/>
  <c r="B223" i="15" l="1"/>
  <c r="D223" i="15"/>
  <c r="A224" i="15"/>
  <c r="C224" i="15"/>
  <c r="D224" i="15" l="1"/>
  <c r="B224" i="15"/>
  <c r="A225" i="15"/>
  <c r="C225" i="15"/>
  <c r="D225" i="15" l="1"/>
  <c r="B225" i="15"/>
  <c r="A226" i="15"/>
  <c r="C226" i="15"/>
  <c r="D226" i="15" l="1"/>
  <c r="B226" i="15"/>
  <c r="C227" i="15"/>
  <c r="A227" i="15"/>
  <c r="B227" i="15" l="1"/>
  <c r="D227" i="15"/>
  <c r="A228" i="15"/>
  <c r="C228" i="15"/>
  <c r="D228" i="15" l="1"/>
  <c r="B228" i="15"/>
  <c r="A229" i="15"/>
  <c r="C229" i="15"/>
  <c r="D229" i="15" l="1"/>
  <c r="B229" i="15"/>
  <c r="A230" i="15"/>
  <c r="C230" i="15"/>
  <c r="D230" i="15" l="1"/>
  <c r="B230" i="15"/>
  <c r="C231" i="15"/>
  <c r="A231" i="15"/>
  <c r="B231" i="15" l="1"/>
  <c r="D231" i="15"/>
  <c r="A232" i="15"/>
  <c r="C232" i="15"/>
  <c r="D232" i="15" l="1"/>
  <c r="B232" i="15"/>
  <c r="A233" i="15"/>
  <c r="C233" i="15"/>
  <c r="D233" i="15" l="1"/>
  <c r="B233" i="15"/>
  <c r="A234" i="15"/>
  <c r="C234" i="15"/>
  <c r="D234" i="15" l="1"/>
  <c r="B234" i="15"/>
  <c r="C235" i="15"/>
  <c r="A235" i="15"/>
  <c r="B235" i="15" l="1"/>
  <c r="D235" i="15"/>
  <c r="A236" i="15"/>
  <c r="C236" i="15"/>
  <c r="D236" i="15" l="1"/>
  <c r="B236" i="15"/>
  <c r="A237" i="15"/>
  <c r="C237" i="15"/>
  <c r="D237" i="15" l="1"/>
  <c r="B237" i="15"/>
  <c r="A238" i="15"/>
  <c r="C238" i="15"/>
  <c r="D238" i="15" l="1"/>
  <c r="B238" i="15"/>
  <c r="C239" i="15"/>
  <c r="A239" i="15"/>
  <c r="B239" i="15" l="1"/>
  <c r="D239" i="15"/>
  <c r="A240" i="15"/>
  <c r="C240" i="15"/>
  <c r="D240" i="15" l="1"/>
  <c r="B240" i="15"/>
  <c r="A241" i="15"/>
  <c r="C241" i="15"/>
  <c r="D241" i="15" l="1"/>
  <c r="B241" i="15"/>
  <c r="A242" i="15"/>
  <c r="C242" i="15"/>
  <c r="D242" i="15" l="1"/>
  <c r="B242" i="15"/>
  <c r="C243" i="15"/>
  <c r="A243" i="15"/>
  <c r="B243" i="15" l="1"/>
  <c r="D243" i="15"/>
  <c r="A244" i="15"/>
  <c r="C244" i="15"/>
  <c r="D244" i="15" l="1"/>
  <c r="B244" i="15"/>
  <c r="A245" i="15"/>
  <c r="C245" i="15"/>
  <c r="D245" i="15" l="1"/>
  <c r="B245" i="15"/>
  <c r="A246" i="15"/>
  <c r="C246" i="15"/>
  <c r="D246" i="15" l="1"/>
  <c r="B246" i="15"/>
  <c r="C247" i="15"/>
  <c r="A247" i="15"/>
  <c r="B247" i="15" l="1"/>
  <c r="D247" i="15"/>
  <c r="A248" i="15"/>
  <c r="C248" i="15"/>
  <c r="D248" i="15" l="1"/>
  <c r="B248" i="15"/>
  <c r="A249" i="15"/>
  <c r="C249" i="15"/>
  <c r="D249" i="15" l="1"/>
  <c r="B249" i="15"/>
  <c r="A250" i="15"/>
  <c r="C250" i="15"/>
  <c r="D250" i="15" l="1"/>
  <c r="B250" i="15"/>
  <c r="C251" i="15"/>
  <c r="A251" i="15"/>
  <c r="B251" i="15" l="1"/>
  <c r="D251" i="15"/>
  <c r="A252" i="15"/>
  <c r="C252" i="15"/>
  <c r="D252" i="15" l="1"/>
  <c r="B252" i="15"/>
  <c r="A253" i="15"/>
  <c r="C253" i="15"/>
  <c r="D253" i="15" l="1"/>
  <c r="B253" i="15"/>
  <c r="A254" i="15"/>
  <c r="C254" i="15"/>
  <c r="D254" i="15" l="1"/>
  <c r="B254" i="15"/>
  <c r="C255" i="15"/>
  <c r="A255" i="15"/>
  <c r="B255" i="15" l="1"/>
  <c r="D255" i="15"/>
  <c r="A256" i="15"/>
  <c r="C256" i="15"/>
  <c r="D256" i="15" l="1"/>
  <c r="B256" i="15"/>
  <c r="A257" i="15"/>
  <c r="C257" i="15"/>
  <c r="D257" i="15" l="1"/>
  <c r="B257" i="15"/>
  <c r="A258" i="15"/>
  <c r="C258" i="15"/>
  <c r="D258" i="15" l="1"/>
  <c r="B258" i="15"/>
  <c r="C259" i="15"/>
  <c r="A259" i="15"/>
  <c r="B259" i="15" l="1"/>
  <c r="D259" i="15"/>
  <c r="C260" i="15"/>
  <c r="A260" i="15"/>
  <c r="B260" i="15" l="1"/>
  <c r="D260" i="15"/>
  <c r="C261" i="15"/>
  <c r="A261" i="15"/>
  <c r="B261" i="15" l="1"/>
  <c r="D261" i="15"/>
  <c r="C262" i="15"/>
  <c r="A262" i="15"/>
  <c r="B262" i="15" l="1"/>
  <c r="D262" i="15"/>
  <c r="A263" i="15"/>
  <c r="C263" i="15"/>
  <c r="D263" i="15" l="1"/>
  <c r="B263" i="15"/>
  <c r="C264" i="15"/>
  <c r="A264" i="15"/>
  <c r="B264" i="15" l="1"/>
  <c r="D264" i="15"/>
  <c r="C265" i="15"/>
  <c r="A265" i="15"/>
  <c r="B265" i="15" l="1"/>
  <c r="D265" i="15"/>
  <c r="A266" i="15"/>
  <c r="C266" i="15"/>
  <c r="D266" i="15" l="1"/>
  <c r="B266" i="15"/>
  <c r="C267" i="15"/>
  <c r="A267" i="15"/>
  <c r="B267" i="15" l="1"/>
  <c r="D267" i="15"/>
  <c r="A268" i="15"/>
  <c r="C268" i="15"/>
  <c r="D268" i="15" l="1"/>
  <c r="B268" i="15"/>
  <c r="A269" i="15"/>
  <c r="C269" i="15"/>
  <c r="D269" i="15" l="1"/>
  <c r="B269" i="15"/>
  <c r="A270" i="15"/>
  <c r="C270" i="15"/>
  <c r="D270" i="15" l="1"/>
  <c r="B270" i="15"/>
  <c r="C271" i="15"/>
  <c r="A271" i="15"/>
  <c r="B271" i="15" l="1"/>
  <c r="D271" i="15"/>
  <c r="A272" i="15"/>
  <c r="C272" i="15"/>
  <c r="D272" i="15" l="1"/>
  <c r="B272" i="15"/>
  <c r="A273" i="15"/>
  <c r="C273" i="15"/>
  <c r="D273" i="15" l="1"/>
  <c r="B273" i="15"/>
  <c r="A274" i="15"/>
  <c r="C274" i="15"/>
  <c r="D274" i="15" l="1"/>
  <c r="B274" i="15"/>
  <c r="C275" i="15"/>
  <c r="A275" i="15"/>
  <c r="B275" i="15" l="1"/>
  <c r="D275" i="15"/>
  <c r="A276" i="15"/>
  <c r="C276" i="15"/>
  <c r="D276" i="15" l="1"/>
  <c r="B276" i="15"/>
  <c r="A277" i="15"/>
  <c r="C277" i="15"/>
  <c r="D277" i="15" l="1"/>
  <c r="B277" i="15"/>
  <c r="A278" i="15"/>
  <c r="C278" i="15"/>
  <c r="D278" i="15" l="1"/>
  <c r="B278" i="15"/>
  <c r="C279" i="15"/>
  <c r="A279" i="15"/>
  <c r="B279" i="15" l="1"/>
  <c r="D279" i="15"/>
  <c r="C280" i="15"/>
  <c r="A280" i="15"/>
  <c r="B280" i="15" l="1"/>
  <c r="D280" i="15"/>
  <c r="C281" i="15"/>
  <c r="A281" i="15"/>
  <c r="B281" i="15" l="1"/>
  <c r="D281" i="15"/>
  <c r="A282" i="15"/>
  <c r="C282" i="15"/>
  <c r="D282" i="15" l="1"/>
  <c r="B282" i="15"/>
  <c r="C283" i="15"/>
  <c r="A283" i="15"/>
  <c r="B283" i="15" l="1"/>
  <c r="D283" i="15"/>
  <c r="A284" i="15"/>
  <c r="C284" i="15"/>
  <c r="D284" i="15" l="1"/>
  <c r="B284" i="15"/>
  <c r="A285" i="15"/>
  <c r="C285" i="15"/>
  <c r="D285" i="15" l="1"/>
  <c r="B285" i="15"/>
  <c r="A286" i="15"/>
  <c r="C286" i="15"/>
  <c r="D286" i="15" l="1"/>
  <c r="B286" i="15"/>
  <c r="C287" i="15"/>
  <c r="A287" i="15"/>
  <c r="B287" i="15" l="1"/>
  <c r="D287" i="15"/>
  <c r="A288" i="15"/>
  <c r="C288" i="15"/>
  <c r="D288" i="15" l="1"/>
  <c r="B288" i="15"/>
  <c r="A289" i="15"/>
  <c r="C289" i="15"/>
  <c r="D289" i="15" l="1"/>
  <c r="B289" i="15"/>
  <c r="A290" i="15"/>
  <c r="C290" i="15"/>
  <c r="D290" i="15" l="1"/>
  <c r="B290" i="15"/>
  <c r="C291" i="15"/>
  <c r="A291" i="15"/>
  <c r="B291" i="15" l="1"/>
  <c r="D291" i="15"/>
  <c r="A292" i="15"/>
  <c r="C292" i="15"/>
  <c r="D292" i="15" l="1"/>
  <c r="B292" i="15"/>
  <c r="A293" i="15"/>
  <c r="C293" i="15"/>
  <c r="D293" i="15" l="1"/>
  <c r="B293" i="15"/>
  <c r="A294" i="15"/>
  <c r="C294" i="15"/>
  <c r="D294" i="15" l="1"/>
  <c r="B294" i="15"/>
  <c r="C295" i="15"/>
  <c r="A295" i="15"/>
  <c r="B295" i="15" l="1"/>
  <c r="D295" i="15"/>
  <c r="C296" i="15"/>
  <c r="A296" i="15"/>
  <c r="B296" i="15" l="1"/>
  <c r="D296" i="15"/>
  <c r="C297" i="15"/>
  <c r="A297" i="15"/>
  <c r="B297" i="15" l="1"/>
  <c r="D297" i="15"/>
  <c r="A298" i="15"/>
  <c r="C298" i="15"/>
  <c r="D298" i="15" l="1"/>
  <c r="B298" i="15"/>
  <c r="C299" i="15"/>
  <c r="A299" i="15"/>
  <c r="B299" i="15" l="1"/>
  <c r="D299" i="15"/>
  <c r="A300" i="15"/>
  <c r="C300" i="15"/>
  <c r="D300" i="15" l="1"/>
  <c r="B300" i="15"/>
  <c r="A301" i="15"/>
  <c r="C301" i="15"/>
  <c r="D301" i="15" l="1"/>
  <c r="B301" i="15"/>
  <c r="C302" i="15"/>
  <c r="A302" i="15"/>
  <c r="B302" i="15" l="1"/>
  <c r="D302" i="15"/>
  <c r="A303" i="15"/>
  <c r="C303" i="15"/>
  <c r="D303" i="15" l="1"/>
  <c r="B303" i="15"/>
  <c r="C304" i="15"/>
  <c r="A304" i="15"/>
  <c r="B304" i="15" l="1"/>
  <c r="D304" i="15"/>
  <c r="C305" i="15"/>
  <c r="A305" i="15"/>
  <c r="B305" i="15" l="1"/>
  <c r="D305" i="15"/>
  <c r="A306" i="15"/>
  <c r="C306" i="15"/>
  <c r="D306" i="15" l="1"/>
  <c r="B306" i="15"/>
  <c r="C307" i="15"/>
  <c r="A307" i="15"/>
  <c r="B307" i="15" l="1"/>
  <c r="D307" i="15"/>
  <c r="C308" i="15"/>
  <c r="A308" i="15"/>
  <c r="B308" i="15" l="1"/>
  <c r="D308" i="15"/>
  <c r="A309" i="15"/>
  <c r="C309" i="15"/>
  <c r="D309" i="15" l="1"/>
  <c r="B309" i="15"/>
  <c r="A310" i="15"/>
  <c r="C310" i="15"/>
  <c r="D310" i="15" l="1"/>
  <c r="B310" i="15"/>
  <c r="C311" i="15"/>
  <c r="A311" i="15"/>
  <c r="B311" i="15" l="1"/>
  <c r="D311" i="15"/>
  <c r="C312" i="15"/>
  <c r="A312" i="15"/>
  <c r="B312" i="15" l="1"/>
  <c r="D312" i="15"/>
  <c r="C313" i="15"/>
  <c r="A313" i="15"/>
  <c r="B313" i="15" l="1"/>
  <c r="D313" i="15"/>
  <c r="C314" i="15"/>
  <c r="A314" i="15"/>
  <c r="B314" i="15" l="1"/>
  <c r="D314" i="15"/>
  <c r="A315" i="15"/>
  <c r="C315" i="15"/>
  <c r="D315" i="15" l="1"/>
  <c r="B315" i="15"/>
  <c r="C316" i="15"/>
  <c r="A316" i="15"/>
  <c r="B316" i="15" l="1"/>
  <c r="D316" i="15"/>
  <c r="C317" i="15"/>
  <c r="A317" i="15"/>
  <c r="B317" i="15" l="1"/>
  <c r="D317" i="15"/>
  <c r="A318" i="15"/>
  <c r="C318" i="15"/>
  <c r="D318" i="15" l="1"/>
  <c r="B318" i="15"/>
  <c r="C319" i="15"/>
  <c r="A319" i="15"/>
  <c r="B319" i="15" l="1"/>
  <c r="D319" i="15"/>
  <c r="A320" i="15"/>
  <c r="C320" i="15"/>
  <c r="D320" i="15" l="1"/>
  <c r="B320" i="15"/>
  <c r="A321" i="15"/>
  <c r="C321" i="15"/>
  <c r="D321" i="15" l="1"/>
  <c r="B321" i="15"/>
  <c r="C322" i="15"/>
  <c r="A322" i="15"/>
  <c r="B322" i="15" l="1"/>
  <c r="D322" i="15"/>
  <c r="A323" i="15"/>
  <c r="C323" i="15"/>
  <c r="D323" i="15" l="1"/>
  <c r="B323" i="15"/>
  <c r="A324" i="15"/>
  <c r="C324" i="15"/>
  <c r="D324" i="15" l="1"/>
  <c r="B324" i="15"/>
  <c r="A325" i="15"/>
  <c r="C325" i="15"/>
  <c r="D325" i="15" l="1"/>
  <c r="B325" i="15"/>
  <c r="A326" i="15"/>
  <c r="C326" i="15"/>
  <c r="D326" i="15" l="1"/>
  <c r="B326" i="15"/>
  <c r="C327" i="15"/>
  <c r="A327" i="15"/>
  <c r="B327" i="15" l="1"/>
  <c r="D327" i="15"/>
  <c r="A328" i="15"/>
  <c r="C328" i="15"/>
  <c r="D328" i="15" l="1"/>
  <c r="B328" i="15"/>
  <c r="A329" i="15"/>
  <c r="C329" i="15"/>
  <c r="D329" i="15" l="1"/>
  <c r="B329" i="15"/>
  <c r="A330" i="15"/>
  <c r="C330" i="15"/>
  <c r="D330" i="15" l="1"/>
  <c r="B330" i="15"/>
  <c r="C331" i="15"/>
  <c r="A331" i="15"/>
  <c r="B331" i="15" l="1"/>
  <c r="D331" i="15"/>
  <c r="A332" i="15"/>
  <c r="C332" i="15"/>
  <c r="D332" i="15" l="1"/>
  <c r="B332" i="15"/>
  <c r="A333" i="15"/>
  <c r="C333" i="15"/>
  <c r="D333" i="15" l="1"/>
  <c r="B333" i="15"/>
  <c r="C334" i="15"/>
  <c r="A334" i="15"/>
  <c r="B334" i="15" l="1"/>
  <c r="D334" i="15"/>
  <c r="A335" i="15"/>
  <c r="C335" i="15"/>
  <c r="D335" i="15" l="1"/>
  <c r="B335" i="15"/>
  <c r="C336" i="15"/>
  <c r="A336" i="15"/>
  <c r="B336" i="15" l="1"/>
  <c r="D336" i="15"/>
  <c r="C337" i="15"/>
  <c r="A337" i="15"/>
  <c r="B337" i="15" l="1"/>
  <c r="D337" i="15"/>
  <c r="A338" i="15"/>
  <c r="C338" i="15"/>
  <c r="D338" i="15" l="1"/>
  <c r="B338" i="15"/>
  <c r="C339" i="15"/>
  <c r="A339" i="15"/>
  <c r="B339" i="15" l="1"/>
  <c r="D339" i="15"/>
  <c r="C340" i="15"/>
  <c r="A340" i="15"/>
  <c r="B340" i="15" l="1"/>
  <c r="D340" i="15"/>
  <c r="C341" i="15"/>
  <c r="A341" i="15"/>
  <c r="B341" i="15" l="1"/>
  <c r="D341" i="15"/>
  <c r="A342" i="15"/>
  <c r="C342" i="15"/>
  <c r="D342" i="15" l="1"/>
  <c r="B342" i="15"/>
  <c r="C343" i="15"/>
  <c r="A343" i="15"/>
  <c r="B343" i="15" l="1"/>
  <c r="D343" i="15"/>
  <c r="A344" i="15"/>
  <c r="C344" i="15"/>
  <c r="D344" i="15" l="1"/>
  <c r="B344" i="15"/>
  <c r="A345" i="15"/>
  <c r="C345" i="15"/>
  <c r="D345" i="15" l="1"/>
  <c r="B345" i="15"/>
  <c r="A346" i="15"/>
  <c r="C346" i="15"/>
  <c r="D346" i="15" l="1"/>
  <c r="B346" i="15"/>
  <c r="C347" i="15"/>
  <c r="A347" i="15"/>
  <c r="B347" i="15" l="1"/>
  <c r="D347" i="15"/>
  <c r="A348" i="15"/>
  <c r="C348" i="15"/>
  <c r="D348" i="15" l="1"/>
  <c r="B348" i="15"/>
  <c r="A349" i="15"/>
  <c r="C349" i="15"/>
  <c r="D349" i="15" l="1"/>
  <c r="B349" i="15"/>
  <c r="C350" i="15"/>
  <c r="A350" i="15"/>
  <c r="B350" i="15" l="1"/>
  <c r="D350" i="15"/>
  <c r="A351" i="15"/>
  <c r="C351" i="15"/>
  <c r="D351" i="15" l="1"/>
  <c r="B351" i="15"/>
  <c r="C352" i="15"/>
  <c r="A352" i="15"/>
  <c r="B352" i="15" l="1"/>
  <c r="D352" i="15"/>
  <c r="C353" i="15"/>
  <c r="A353" i="15"/>
  <c r="B353" i="15" l="1"/>
  <c r="D353" i="15"/>
  <c r="A354" i="15"/>
  <c r="C354" i="15"/>
  <c r="D354" i="15" l="1"/>
  <c r="B354" i="15"/>
  <c r="C355" i="15"/>
  <c r="A355" i="15"/>
  <c r="B355" i="15" l="1"/>
  <c r="D355" i="15"/>
  <c r="C356" i="15"/>
  <c r="A356" i="15"/>
  <c r="B356" i="15" l="1"/>
  <c r="D356" i="15"/>
  <c r="A357" i="15"/>
  <c r="C357" i="15"/>
  <c r="D357" i="15" l="1"/>
  <c r="B357" i="15"/>
  <c r="A358" i="15"/>
  <c r="C358" i="15"/>
  <c r="D358" i="15" l="1"/>
  <c r="B358" i="15"/>
  <c r="C359" i="15"/>
  <c r="A359" i="15"/>
  <c r="B359" i="15" l="1"/>
  <c r="D359" i="15"/>
  <c r="C360" i="15"/>
  <c r="A360" i="15"/>
  <c r="B360" i="15" l="1"/>
  <c r="D360" i="15"/>
  <c r="A361" i="15"/>
  <c r="C361" i="15"/>
  <c r="D361" i="15" l="1"/>
  <c r="B361" i="15"/>
  <c r="A362" i="15"/>
  <c r="C362" i="15"/>
  <c r="D362" i="15" l="1"/>
  <c r="B362" i="15"/>
  <c r="C363" i="15"/>
  <c r="A363" i="15"/>
  <c r="B363" i="15" l="1"/>
  <c r="D363" i="15"/>
  <c r="C364" i="15"/>
  <c r="A364" i="15"/>
  <c r="B364" i="15" l="1"/>
  <c r="D364" i="15"/>
  <c r="C365" i="15"/>
  <c r="A365" i="15"/>
  <c r="B365" i="15" l="1"/>
  <c r="D365" i="15"/>
  <c r="C366" i="15"/>
  <c r="A366" i="15"/>
  <c r="B366" i="15" l="1"/>
  <c r="D366" i="15"/>
  <c r="A367" i="15"/>
  <c r="C367" i="15"/>
  <c r="D367" i="15" l="1"/>
  <c r="B367" i="15"/>
  <c r="C368" i="15"/>
  <c r="A368" i="15"/>
  <c r="B368" i="15" l="1"/>
  <c r="D368" i="15"/>
  <c r="C369" i="15"/>
  <c r="A369" i="15"/>
  <c r="B369" i="15" l="1"/>
  <c r="D369" i="15"/>
  <c r="A370" i="15"/>
  <c r="C370" i="15"/>
  <c r="D370" i="15" l="1"/>
  <c r="B370" i="15"/>
  <c r="C371" i="15"/>
  <c r="A371" i="15"/>
  <c r="B371" i="15" l="1"/>
  <c r="D371" i="15"/>
  <c r="C372" i="15"/>
  <c r="A372" i="15"/>
  <c r="B372" i="15" l="1"/>
  <c r="D372" i="15"/>
  <c r="A373" i="15"/>
  <c r="C373" i="15"/>
  <c r="D373" i="15" l="1"/>
  <c r="B373" i="15"/>
  <c r="A374" i="15"/>
  <c r="C374" i="15"/>
  <c r="D374" i="15" l="1"/>
  <c r="B374" i="15"/>
  <c r="C375" i="15"/>
  <c r="A375" i="15"/>
  <c r="B375" i="15" l="1"/>
  <c r="D375" i="15"/>
  <c r="C376" i="15"/>
  <c r="A376" i="15"/>
  <c r="B376" i="15" l="1"/>
  <c r="D376" i="15"/>
  <c r="C377" i="15"/>
  <c r="A377" i="15"/>
  <c r="B377" i="15" l="1"/>
  <c r="D377" i="15"/>
  <c r="A378" i="15"/>
  <c r="C378" i="15"/>
  <c r="D378" i="15" l="1"/>
  <c r="B378" i="15"/>
  <c r="C379" i="15"/>
  <c r="A379" i="15"/>
  <c r="B379" i="15" l="1"/>
  <c r="D379" i="15"/>
  <c r="A380" i="15"/>
  <c r="C380" i="15"/>
  <c r="D380" i="15" l="1"/>
  <c r="B380" i="15"/>
  <c r="A381" i="15"/>
  <c r="C381" i="15"/>
  <c r="D381" i="15" l="1"/>
  <c r="B381" i="15"/>
  <c r="C382" i="15"/>
  <c r="A382" i="15"/>
  <c r="B382" i="15" l="1"/>
  <c r="D382" i="15"/>
  <c r="A383" i="15"/>
  <c r="C383" i="15"/>
  <c r="D383" i="15" l="1"/>
  <c r="B383" i="15"/>
  <c r="C384" i="15"/>
  <c r="A384" i="15"/>
  <c r="B384" i="15" l="1"/>
  <c r="D384" i="15"/>
  <c r="C385" i="15"/>
  <c r="A385" i="15"/>
  <c r="B385" i="15" l="1"/>
  <c r="D385" i="15"/>
  <c r="A386" i="15"/>
  <c r="C386" i="15"/>
  <c r="D386" i="15" l="1"/>
  <c r="B386" i="15"/>
  <c r="C387" i="15"/>
  <c r="A387" i="15"/>
  <c r="B387" i="15" l="1"/>
  <c r="D387" i="15"/>
  <c r="A388" i="15"/>
  <c r="C388" i="15"/>
  <c r="D388" i="15" l="1"/>
  <c r="B388" i="15"/>
  <c r="A389" i="15"/>
  <c r="C389" i="15"/>
  <c r="D389" i="15" l="1"/>
  <c r="B389" i="15"/>
  <c r="A390" i="15"/>
  <c r="C390" i="15"/>
  <c r="D390" i="15" l="1"/>
  <c r="B390" i="15"/>
  <c r="A391" i="15"/>
  <c r="C391" i="15"/>
  <c r="D391" i="15" l="1"/>
  <c r="B391" i="15"/>
  <c r="C392" i="15"/>
  <c r="A392" i="15"/>
  <c r="B392" i="15" l="1"/>
  <c r="D392" i="15"/>
  <c r="C393" i="15"/>
  <c r="A393" i="15"/>
  <c r="B393" i="15" l="1"/>
  <c r="D393" i="15"/>
  <c r="A394" i="15"/>
  <c r="C394" i="15"/>
  <c r="D394" i="15" l="1"/>
  <c r="B394" i="15"/>
  <c r="A395" i="15"/>
  <c r="C395" i="15"/>
  <c r="D395" i="15" l="1"/>
  <c r="B395" i="15"/>
  <c r="C396" i="15"/>
  <c r="A396" i="15"/>
  <c r="B396" i="15" l="1"/>
  <c r="D396" i="15"/>
  <c r="A397" i="15"/>
  <c r="C397" i="15"/>
  <c r="D397" i="15" l="1"/>
  <c r="B397" i="15"/>
  <c r="A398" i="15"/>
  <c r="C398" i="15"/>
  <c r="D398" i="15" l="1"/>
  <c r="B398" i="15"/>
  <c r="A399" i="15"/>
  <c r="C399" i="15"/>
  <c r="D399" i="15" l="1"/>
  <c r="B399" i="15"/>
  <c r="C400" i="15"/>
  <c r="A400" i="15"/>
  <c r="B400" i="15" l="1"/>
  <c r="D400" i="15"/>
  <c r="A401" i="15"/>
  <c r="C401" i="15"/>
  <c r="D401" i="15" l="1"/>
  <c r="B401" i="15"/>
  <c r="A402" i="15"/>
  <c r="C402" i="15"/>
  <c r="D402" i="15" l="1"/>
  <c r="B402" i="15"/>
  <c r="A403" i="15"/>
  <c r="C403" i="15"/>
  <c r="D403" i="15" l="1"/>
  <c r="B403" i="15"/>
  <c r="C404" i="15"/>
  <c r="A404" i="15"/>
  <c r="B404" i="15" l="1"/>
  <c r="D404" i="15"/>
  <c r="A405" i="15"/>
  <c r="C405" i="15"/>
  <c r="D405" i="15" l="1"/>
  <c r="B405" i="15"/>
  <c r="A406" i="15"/>
  <c r="C406" i="15"/>
  <c r="D406" i="15" l="1"/>
  <c r="B406" i="15"/>
  <c r="A407" i="15"/>
  <c r="C407" i="15"/>
  <c r="D407" i="15" l="1"/>
  <c r="B407" i="15"/>
  <c r="C408" i="15"/>
  <c r="A408" i="15"/>
  <c r="B408" i="15" l="1"/>
  <c r="D408" i="15"/>
  <c r="A409" i="15"/>
  <c r="C409" i="15"/>
  <c r="D409" i="15" l="1"/>
  <c r="B409" i="15"/>
  <c r="A410" i="15"/>
  <c r="C410" i="15"/>
  <c r="D410" i="15" l="1"/>
  <c r="B410" i="15"/>
  <c r="A411" i="15"/>
  <c r="C411" i="15"/>
  <c r="D411" i="15" l="1"/>
  <c r="B411" i="15"/>
  <c r="C412" i="15"/>
  <c r="A412" i="15"/>
  <c r="B412" i="15" l="1"/>
  <c r="D412" i="15"/>
  <c r="A413" i="15"/>
  <c r="C413" i="15"/>
  <c r="D413" i="15" l="1"/>
  <c r="B413" i="15"/>
  <c r="A414" i="15"/>
  <c r="C414" i="15"/>
  <c r="D414" i="15" l="1"/>
  <c r="B414" i="15"/>
  <c r="A415" i="15"/>
  <c r="C415" i="15"/>
  <c r="D415" i="15" l="1"/>
  <c r="B415" i="15"/>
  <c r="C416" i="15"/>
  <c r="A416" i="15"/>
  <c r="B416" i="15" l="1"/>
  <c r="D416" i="15"/>
  <c r="C417" i="15"/>
  <c r="A417" i="15"/>
  <c r="B417" i="15" l="1"/>
  <c r="D417" i="15"/>
  <c r="C418" i="15"/>
  <c r="A418" i="15"/>
  <c r="B418" i="15" l="1"/>
  <c r="D418" i="15"/>
  <c r="C419" i="15"/>
  <c r="A419" i="15"/>
  <c r="B419" i="15" l="1"/>
  <c r="D419" i="15"/>
  <c r="A420" i="15"/>
  <c r="C420" i="15"/>
  <c r="D420" i="15" l="1"/>
  <c r="B420" i="15"/>
  <c r="C421" i="15"/>
  <c r="A421" i="15"/>
  <c r="B421" i="15" l="1"/>
  <c r="D421" i="15"/>
  <c r="C422" i="15"/>
  <c r="A422" i="15"/>
  <c r="B422" i="15" l="1"/>
  <c r="D422" i="15"/>
  <c r="C423" i="15"/>
  <c r="A423" i="15"/>
  <c r="B423" i="15" l="1"/>
  <c r="D423" i="15"/>
  <c r="A424" i="15"/>
  <c r="C424" i="15"/>
  <c r="D424" i="15" l="1"/>
  <c r="B424" i="15"/>
  <c r="C425" i="15"/>
  <c r="A425" i="15"/>
  <c r="B425" i="15" l="1"/>
  <c r="D425" i="15"/>
  <c r="C426" i="15"/>
  <c r="A426" i="15"/>
  <c r="B426" i="15" l="1"/>
  <c r="D426" i="15"/>
  <c r="A427" i="15"/>
  <c r="C427" i="15"/>
  <c r="D427" i="15" l="1"/>
  <c r="B427" i="15"/>
  <c r="C428" i="15"/>
  <c r="A428" i="15"/>
  <c r="B428" i="15" l="1"/>
  <c r="D428" i="15"/>
  <c r="A429" i="15"/>
  <c r="C429" i="15"/>
  <c r="D429" i="15" l="1"/>
  <c r="B429" i="15"/>
  <c r="A430" i="15"/>
  <c r="C430" i="15"/>
  <c r="D430" i="15" l="1"/>
  <c r="B430" i="15"/>
  <c r="A431" i="15"/>
  <c r="C431" i="15"/>
  <c r="D431" i="15" l="1"/>
  <c r="B431" i="15"/>
  <c r="C432" i="15"/>
  <c r="A432" i="15"/>
  <c r="B432" i="15" l="1"/>
  <c r="D432" i="15"/>
  <c r="A433" i="15"/>
  <c r="C433" i="15"/>
  <c r="D433" i="15" l="1"/>
  <c r="B433" i="15"/>
  <c r="A434" i="15"/>
  <c r="C434" i="15"/>
  <c r="D434" i="15" l="1"/>
  <c r="B434" i="15"/>
  <c r="A435" i="15"/>
  <c r="C435" i="15"/>
  <c r="D435" i="15" l="1"/>
  <c r="B435" i="15"/>
  <c r="C436" i="15"/>
  <c r="A436" i="15"/>
  <c r="B436" i="15" l="1"/>
  <c r="D436" i="15"/>
  <c r="A437" i="15"/>
  <c r="C437" i="15"/>
  <c r="D437" i="15" l="1"/>
  <c r="B437" i="15"/>
  <c r="A438" i="15"/>
  <c r="C438" i="15"/>
  <c r="D438" i="15" l="1"/>
  <c r="B438" i="15"/>
  <c r="A439" i="15"/>
  <c r="C439" i="15"/>
  <c r="D439" i="15" l="1"/>
  <c r="B439" i="15"/>
  <c r="C440" i="15"/>
  <c r="A440" i="15"/>
  <c r="B440" i="15" l="1"/>
  <c r="D440" i="15"/>
  <c r="C441" i="15"/>
  <c r="A441" i="15"/>
  <c r="B441" i="15" l="1"/>
  <c r="D441" i="15"/>
  <c r="C442" i="15"/>
  <c r="A442" i="15"/>
  <c r="B442" i="15" l="1"/>
  <c r="D442" i="15"/>
  <c r="A443" i="15"/>
  <c r="C443" i="15"/>
  <c r="D443" i="15" l="1"/>
  <c r="B443" i="15"/>
  <c r="C444" i="15"/>
  <c r="A444" i="15"/>
  <c r="B444" i="15" l="1"/>
  <c r="D444" i="15"/>
  <c r="C445" i="15"/>
  <c r="A445" i="15"/>
  <c r="B445" i="15" l="1"/>
  <c r="D445" i="15"/>
  <c r="C446" i="15"/>
  <c r="A446" i="15"/>
  <c r="B446" i="15" l="1"/>
  <c r="D446" i="15"/>
  <c r="C447" i="15"/>
  <c r="A447" i="15"/>
  <c r="B447" i="15" l="1"/>
  <c r="D447" i="15"/>
  <c r="C448" i="15"/>
  <c r="A448" i="15"/>
  <c r="B448" i="15" l="1"/>
  <c r="D448" i="15"/>
  <c r="A449" i="15"/>
  <c r="C449" i="15"/>
  <c r="D449" i="15" l="1"/>
  <c r="B449" i="15"/>
  <c r="A450" i="15"/>
  <c r="C450" i="15"/>
  <c r="D450" i="15" l="1"/>
  <c r="B450" i="15"/>
  <c r="A451" i="15"/>
  <c r="C451" i="15"/>
  <c r="D451" i="15" l="1"/>
  <c r="B451" i="15"/>
  <c r="C452" i="15"/>
  <c r="A452" i="15"/>
  <c r="B452" i="15" l="1"/>
  <c r="D452" i="15"/>
  <c r="A453" i="15"/>
  <c r="C453" i="15"/>
  <c r="D453" i="15" l="1"/>
  <c r="B453" i="15"/>
  <c r="A454" i="15"/>
  <c r="C454" i="15"/>
  <c r="D454" i="15" l="1"/>
  <c r="B454" i="15"/>
  <c r="A455" i="15"/>
  <c r="C455" i="15"/>
  <c r="D455" i="15" l="1"/>
  <c r="B455" i="15"/>
  <c r="C456" i="15"/>
  <c r="A456" i="15"/>
  <c r="B456" i="15" l="1"/>
  <c r="D456" i="15"/>
  <c r="C457" i="15"/>
  <c r="A457" i="15"/>
  <c r="B457" i="15" l="1"/>
  <c r="D457" i="15"/>
  <c r="C458" i="15"/>
  <c r="A458" i="15"/>
  <c r="B458" i="15" l="1"/>
  <c r="D458" i="15"/>
  <c r="A459" i="15"/>
  <c r="C459" i="15"/>
  <c r="D459" i="15" l="1"/>
  <c r="B459" i="15"/>
  <c r="C460" i="15"/>
  <c r="A460" i="15"/>
  <c r="B460" i="15" l="1"/>
  <c r="D460" i="15"/>
  <c r="A461" i="15"/>
  <c r="C461" i="15"/>
  <c r="D461" i="15" l="1"/>
  <c r="B461" i="15"/>
  <c r="A462" i="15"/>
  <c r="C462" i="15"/>
  <c r="D462" i="15" l="1"/>
  <c r="B462" i="15"/>
  <c r="A463" i="15"/>
  <c r="C463" i="15"/>
  <c r="D463" i="15" l="1"/>
  <c r="B463" i="15"/>
  <c r="C464" i="15"/>
  <c r="A464" i="15"/>
  <c r="B464" i="15" l="1"/>
  <c r="D464" i="15"/>
  <c r="C465" i="15"/>
  <c r="A465" i="15"/>
  <c r="B465" i="15" l="1"/>
  <c r="D465" i="15"/>
  <c r="C466" i="15"/>
  <c r="A466" i="15"/>
  <c r="B466" i="15" l="1"/>
  <c r="D466" i="15"/>
  <c r="A467" i="15"/>
  <c r="C467" i="15"/>
  <c r="D467" i="15" l="1"/>
  <c r="B467" i="15"/>
  <c r="C468" i="15"/>
  <c r="A468" i="15"/>
  <c r="B468" i="15" l="1"/>
  <c r="D468" i="15"/>
  <c r="A469" i="15"/>
  <c r="C469" i="15"/>
  <c r="D469" i="15" l="1"/>
  <c r="B469" i="15"/>
  <c r="A470" i="15"/>
  <c r="C470" i="15"/>
  <c r="D470" i="15" l="1"/>
  <c r="B470" i="15"/>
  <c r="A471" i="15"/>
  <c r="C471" i="15"/>
  <c r="D471" i="15" l="1"/>
  <c r="B471" i="15"/>
  <c r="C472" i="15"/>
  <c r="A472" i="15"/>
  <c r="B472" i="15" l="1"/>
  <c r="D472" i="15"/>
  <c r="A473" i="15"/>
  <c r="C473" i="15"/>
  <c r="D473" i="15" l="1"/>
  <c r="B473" i="15"/>
  <c r="A474" i="15"/>
  <c r="C474" i="15"/>
  <c r="D474" i="15" l="1"/>
  <c r="B474" i="15"/>
  <c r="A475" i="15"/>
  <c r="C475" i="15"/>
  <c r="D475" i="15" l="1"/>
  <c r="B475" i="15"/>
  <c r="C476" i="15"/>
  <c r="A476" i="15"/>
  <c r="B476" i="15" l="1"/>
  <c r="D476" i="15"/>
  <c r="C477" i="15"/>
  <c r="A477" i="15"/>
  <c r="B477" i="15" l="1"/>
  <c r="D477" i="15"/>
  <c r="C478" i="15"/>
  <c r="A478" i="15"/>
  <c r="B478" i="15" l="1"/>
  <c r="D478" i="15"/>
  <c r="A479" i="15"/>
  <c r="C479" i="15"/>
  <c r="D479" i="15" l="1"/>
  <c r="B479" i="15"/>
  <c r="C480" i="15"/>
  <c r="A480" i="15"/>
  <c r="B480" i="15" l="1"/>
  <c r="D480" i="15"/>
  <c r="A481" i="15"/>
  <c r="C481" i="15"/>
  <c r="D481" i="15" l="1"/>
  <c r="B481" i="15"/>
  <c r="A482" i="15"/>
  <c r="C482" i="15"/>
  <c r="D482" i="15" l="1"/>
  <c r="B482" i="15"/>
  <c r="A483" i="15"/>
  <c r="C483" i="15"/>
  <c r="D483" i="15" l="1"/>
  <c r="B483" i="15"/>
  <c r="C484" i="15"/>
  <c r="A484" i="15"/>
  <c r="B484" i="15" l="1"/>
  <c r="D484" i="15"/>
  <c r="A485" i="15"/>
  <c r="C485" i="15"/>
  <c r="D485" i="15" l="1"/>
  <c r="B485" i="15"/>
  <c r="A486" i="15"/>
  <c r="C486" i="15"/>
  <c r="D486" i="15" l="1"/>
  <c r="B486" i="15"/>
  <c r="A487" i="15"/>
  <c r="C487" i="15"/>
  <c r="D487" i="15" l="1"/>
  <c r="B487" i="15"/>
  <c r="C488" i="15"/>
  <c r="A488" i="15"/>
  <c r="B488" i="15" l="1"/>
  <c r="D488" i="15"/>
  <c r="C489" i="15"/>
  <c r="A489" i="15"/>
  <c r="B489" i="15" l="1"/>
  <c r="D489" i="15"/>
  <c r="C490" i="15"/>
  <c r="A490" i="15"/>
  <c r="B490" i="15" l="1"/>
  <c r="D490" i="15"/>
  <c r="C491" i="15"/>
  <c r="A491" i="15"/>
  <c r="B491" i="15" l="1"/>
  <c r="D491" i="15"/>
  <c r="A492" i="15"/>
  <c r="C492" i="15"/>
  <c r="D492" i="15" l="1"/>
  <c r="B492" i="15"/>
  <c r="C493" i="15"/>
  <c r="A493" i="15"/>
  <c r="B493" i="15" l="1"/>
  <c r="D493" i="15"/>
  <c r="C494" i="15"/>
  <c r="A494" i="15"/>
  <c r="B494" i="15" l="1"/>
  <c r="D494" i="15"/>
  <c r="A495" i="15"/>
  <c r="C495" i="15"/>
  <c r="D495" i="15" l="1"/>
  <c r="B495" i="15"/>
  <c r="C496" i="15"/>
  <c r="A496" i="15"/>
  <c r="B496" i="15" l="1"/>
  <c r="D496" i="15"/>
  <c r="C497" i="15"/>
  <c r="A497" i="15"/>
  <c r="B497" i="15" l="1"/>
  <c r="D497" i="15"/>
  <c r="C498" i="15"/>
  <c r="A498" i="15"/>
  <c r="B498" i="15" l="1"/>
  <c r="D498" i="15"/>
  <c r="A499" i="15"/>
  <c r="C499" i="15"/>
  <c r="D499" i="15" l="1"/>
  <c r="B499" i="15"/>
  <c r="C500" i="15"/>
  <c r="A500" i="15"/>
  <c r="B500" i="15" l="1"/>
  <c r="D500" i="15"/>
  <c r="C501" i="15"/>
  <c r="A501" i="15"/>
  <c r="B501" i="15" l="1"/>
  <c r="D501" i="15"/>
  <c r="C502" i="15"/>
  <c r="A502" i="15"/>
  <c r="B502" i="15" l="1"/>
  <c r="D502" i="15"/>
  <c r="C503" i="15"/>
  <c r="A503" i="15"/>
  <c r="B503" i="15" l="1"/>
  <c r="D503" i="15"/>
  <c r="A504" i="15"/>
  <c r="C504" i="15"/>
  <c r="D504" i="15" l="1"/>
  <c r="B504" i="15"/>
  <c r="C505" i="15"/>
  <c r="A505" i="15"/>
  <c r="B505" i="15" l="1"/>
  <c r="D505" i="15"/>
  <c r="C506" i="15"/>
  <c r="A506" i="15"/>
  <c r="B506" i="15" l="1"/>
  <c r="D506" i="15"/>
  <c r="A507" i="15"/>
  <c r="C507" i="15"/>
  <c r="D507" i="15" l="1"/>
  <c r="B507" i="15"/>
  <c r="C508" i="15"/>
  <c r="A508" i="15"/>
  <c r="B508" i="15" l="1"/>
  <c r="D508" i="15"/>
  <c r="A509" i="15"/>
  <c r="C509" i="15"/>
  <c r="D509" i="15" l="1"/>
  <c r="B509" i="15"/>
  <c r="A510" i="15"/>
  <c r="C510" i="15"/>
  <c r="D510" i="15" l="1"/>
  <c r="B510" i="15"/>
  <c r="A511" i="15"/>
  <c r="C511" i="15"/>
  <c r="D511" i="15" l="1"/>
  <c r="B511" i="15"/>
  <c r="C512" i="15"/>
  <c r="A512" i="15"/>
  <c r="B512" i="15" l="1"/>
  <c r="D512" i="15"/>
  <c r="C513" i="15"/>
  <c r="A513" i="15"/>
  <c r="B513" i="15" l="1"/>
  <c r="D513" i="15"/>
  <c r="C514" i="15"/>
  <c r="A514" i="15"/>
  <c r="B514" i="15" l="1"/>
  <c r="D514" i="15"/>
  <c r="C515" i="15"/>
  <c r="A515" i="15"/>
  <c r="B515" i="15" l="1"/>
  <c r="D515" i="15"/>
  <c r="C516" i="15"/>
  <c r="A516" i="15"/>
  <c r="B516" i="15" l="1"/>
  <c r="D516" i="15"/>
  <c r="A517" i="15"/>
  <c r="C517" i="15"/>
  <c r="D517" i="15" l="1"/>
  <c r="B517" i="15"/>
  <c r="A518" i="15"/>
  <c r="C518" i="15"/>
  <c r="D518" i="15" l="1"/>
  <c r="B518" i="15"/>
  <c r="A519" i="15"/>
  <c r="C519" i="15"/>
  <c r="D519" i="15" l="1"/>
  <c r="B519" i="15"/>
  <c r="C520" i="15"/>
  <c r="A520" i="15"/>
  <c r="B520" i="15" l="1"/>
  <c r="D520" i="15"/>
  <c r="A521" i="15"/>
  <c r="C521" i="15"/>
  <c r="D521" i="15" l="1"/>
  <c r="B521" i="15"/>
  <c r="A522" i="15"/>
  <c r="C522" i="15"/>
  <c r="D522" i="15" l="1"/>
  <c r="B522" i="15"/>
  <c r="A523" i="15"/>
  <c r="C523" i="15"/>
  <c r="D523" i="15" l="1"/>
  <c r="B523" i="15"/>
  <c r="C524" i="15"/>
  <c r="A524" i="15"/>
  <c r="B524" i="15" l="1"/>
  <c r="D524" i="15"/>
  <c r="C525" i="15"/>
  <c r="A525" i="15"/>
  <c r="B525" i="15" l="1"/>
  <c r="D525" i="15"/>
  <c r="C526" i="15"/>
  <c r="A526" i="15"/>
  <c r="B526" i="15" l="1"/>
  <c r="D526" i="15"/>
  <c r="C527" i="15"/>
  <c r="A527" i="15"/>
  <c r="B527" i="15" l="1"/>
  <c r="D527" i="15"/>
  <c r="A528" i="15"/>
  <c r="C528" i="15"/>
  <c r="D528" i="15" l="1"/>
  <c r="B528" i="15"/>
  <c r="C529" i="15"/>
  <c r="A529" i="15"/>
  <c r="B529" i="15" l="1"/>
  <c r="D529" i="15"/>
  <c r="C530" i="15"/>
  <c r="A530" i="15"/>
  <c r="B530" i="15" l="1"/>
  <c r="D530" i="15"/>
  <c r="C531" i="15"/>
  <c r="A531" i="15"/>
  <c r="B531" i="15" l="1"/>
  <c r="D531" i="15"/>
  <c r="A532" i="15"/>
  <c r="C532" i="15"/>
  <c r="D532" i="15" l="1"/>
  <c r="B532" i="15"/>
  <c r="C533" i="15"/>
  <c r="A533" i="15"/>
  <c r="B533" i="15" l="1"/>
  <c r="D533" i="15"/>
  <c r="C534" i="15"/>
  <c r="A534" i="15"/>
  <c r="B534" i="15" l="1"/>
  <c r="D534" i="15"/>
  <c r="A535" i="15"/>
  <c r="C535" i="15"/>
  <c r="D535" i="15" l="1"/>
  <c r="B535" i="15"/>
  <c r="C536" i="15"/>
  <c r="A536" i="15"/>
  <c r="B536" i="15" l="1"/>
  <c r="D536" i="15"/>
  <c r="A537" i="15"/>
  <c r="C537" i="15"/>
  <c r="D537" i="15" l="1"/>
  <c r="B537" i="15"/>
  <c r="A538" i="15"/>
  <c r="C538" i="15"/>
  <c r="D538" i="15" l="1"/>
  <c r="B538" i="15"/>
  <c r="A539" i="15"/>
  <c r="C539" i="15"/>
  <c r="D539" i="15" l="1"/>
  <c r="B539" i="15"/>
  <c r="C540" i="15"/>
  <c r="A540" i="15"/>
  <c r="B540" i="15" l="1"/>
  <c r="D540" i="15"/>
  <c r="C541" i="15"/>
  <c r="A541" i="15"/>
  <c r="B541" i="15" l="1"/>
  <c r="D541" i="15"/>
  <c r="C542" i="15"/>
  <c r="A542" i="15"/>
  <c r="B542" i="15" l="1"/>
  <c r="D542" i="15"/>
  <c r="A543" i="15"/>
  <c r="C543" i="15"/>
  <c r="D543" i="15" l="1"/>
  <c r="B543" i="15"/>
  <c r="C544" i="15"/>
  <c r="A544" i="15"/>
  <c r="B544" i="15" l="1"/>
  <c r="D544" i="15"/>
  <c r="A545" i="15"/>
  <c r="C545" i="15"/>
  <c r="D545" i="15" l="1"/>
  <c r="B545" i="15"/>
  <c r="A546" i="15"/>
  <c r="C546" i="15"/>
  <c r="D546" i="15" l="1"/>
  <c r="B546" i="15"/>
  <c r="A547" i="15"/>
  <c r="C547" i="15"/>
  <c r="D547" i="15" l="1"/>
  <c r="B547" i="15"/>
  <c r="C548" i="15"/>
  <c r="A548" i="15"/>
  <c r="B548" i="15" l="1"/>
  <c r="D548" i="15"/>
  <c r="A549" i="15"/>
  <c r="C549" i="15"/>
  <c r="D549" i="15" l="1"/>
  <c r="B549" i="15"/>
  <c r="A550" i="15"/>
  <c r="C550" i="15"/>
  <c r="D550" i="15" l="1"/>
  <c r="B550" i="15"/>
  <c r="A551" i="15"/>
  <c r="C551" i="15"/>
  <c r="D551" i="15" l="1"/>
  <c r="B551" i="15"/>
  <c r="C552" i="15"/>
  <c r="A552" i="15"/>
  <c r="B552" i="15" l="1"/>
  <c r="D552" i="15"/>
  <c r="C553" i="15"/>
  <c r="A553" i="15"/>
  <c r="B553" i="15" l="1"/>
  <c r="D553" i="15"/>
  <c r="C554" i="15"/>
  <c r="A554" i="15"/>
  <c r="B554" i="15" l="1"/>
  <c r="D554" i="15"/>
  <c r="C555" i="15"/>
  <c r="A555" i="15"/>
  <c r="B555" i="15" l="1"/>
  <c r="D555" i="15"/>
  <c r="A556" i="15"/>
  <c r="C556" i="15"/>
  <c r="D556" i="15" l="1"/>
  <c r="B556" i="15"/>
  <c r="C557" i="15"/>
  <c r="A557" i="15"/>
  <c r="B557" i="15" l="1"/>
  <c r="D557" i="15"/>
  <c r="C558" i="15"/>
  <c r="A558" i="15"/>
  <c r="B558" i="15" l="1"/>
  <c r="D558" i="15"/>
  <c r="C559" i="15"/>
  <c r="A559" i="15"/>
  <c r="B559" i="15" l="1"/>
  <c r="D559" i="15"/>
  <c r="A560" i="15"/>
  <c r="C560" i="15"/>
  <c r="D560" i="15" l="1"/>
  <c r="B560" i="15"/>
  <c r="C561" i="15"/>
  <c r="A561" i="15"/>
  <c r="B561" i="15" l="1"/>
  <c r="D561" i="15"/>
  <c r="A562" i="15"/>
  <c r="C562" i="15"/>
  <c r="D562" i="15" l="1"/>
  <c r="B562" i="15"/>
  <c r="A563" i="15"/>
  <c r="C563" i="15"/>
  <c r="D563" i="15" l="1"/>
  <c r="B563" i="15"/>
  <c r="C564" i="15"/>
  <c r="A564" i="15"/>
  <c r="B564" i="15" l="1"/>
  <c r="D564" i="15"/>
  <c r="C565" i="15"/>
  <c r="A565" i="15"/>
  <c r="B565" i="15" l="1"/>
  <c r="D565" i="15"/>
  <c r="C566" i="15"/>
  <c r="A566" i="15"/>
  <c r="B566" i="15" l="1"/>
  <c r="D566" i="15"/>
  <c r="C567" i="15"/>
  <c r="A567" i="15"/>
  <c r="B567" i="15" l="1"/>
  <c r="D567" i="15"/>
  <c r="C568" i="15"/>
  <c r="A568" i="15"/>
  <c r="B568" i="15" l="1"/>
  <c r="D568" i="15"/>
  <c r="A569" i="15"/>
  <c r="C569" i="15"/>
  <c r="D569" i="15" l="1"/>
  <c r="B569" i="15"/>
  <c r="A570" i="15"/>
  <c r="C570" i="15"/>
  <c r="D570" i="15" l="1"/>
  <c r="B570" i="15"/>
  <c r="C571" i="15"/>
  <c r="A571" i="15"/>
  <c r="B571" i="15" l="1"/>
  <c r="D571" i="15"/>
  <c r="C572" i="15"/>
  <c r="A572" i="15"/>
  <c r="B572" i="15" l="1"/>
  <c r="D572" i="15"/>
  <c r="A573" i="15"/>
  <c r="C573" i="15"/>
  <c r="D573" i="15" l="1"/>
  <c r="B573" i="15"/>
  <c r="A574" i="15"/>
  <c r="C574" i="15"/>
  <c r="D574" i="15" l="1"/>
  <c r="B574" i="15"/>
  <c r="C575" i="15"/>
  <c r="A575" i="15"/>
  <c r="B575" i="15" l="1"/>
  <c r="D575" i="15"/>
  <c r="A576" i="15"/>
  <c r="C576" i="15"/>
  <c r="D576" i="15" l="1"/>
  <c r="B576" i="15"/>
  <c r="A577" i="15"/>
  <c r="C577" i="15"/>
  <c r="D577" i="15" l="1"/>
  <c r="B577" i="15"/>
  <c r="A578" i="15"/>
  <c r="C578" i="15"/>
  <c r="D578" i="15" l="1"/>
  <c r="B578" i="15"/>
  <c r="A579" i="15"/>
  <c r="C579" i="15"/>
  <c r="D579" i="15" l="1"/>
  <c r="B579" i="15"/>
  <c r="C580" i="15"/>
  <c r="A580" i="15"/>
  <c r="B580" i="15" l="1"/>
  <c r="D580" i="15"/>
  <c r="C581" i="15"/>
  <c r="A581" i="15"/>
  <c r="B581" i="15" l="1"/>
  <c r="D581" i="15"/>
  <c r="A582" i="15"/>
  <c r="C582" i="15"/>
  <c r="D582" i="15" l="1"/>
  <c r="B582" i="15"/>
  <c r="A583" i="15"/>
  <c r="C583" i="15"/>
  <c r="D583" i="15" l="1"/>
  <c r="B583" i="15"/>
  <c r="C584" i="15"/>
  <c r="A584" i="15"/>
  <c r="B584" i="15" l="1"/>
  <c r="D584" i="15"/>
  <c r="A585" i="15"/>
  <c r="C585" i="15"/>
  <c r="D585" i="15" l="1"/>
  <c r="B585" i="15"/>
  <c r="A586" i="15"/>
  <c r="C586" i="15"/>
  <c r="D586" i="15" l="1"/>
  <c r="B586" i="15"/>
  <c r="C587" i="15"/>
  <c r="A587" i="15"/>
  <c r="B587" i="15" l="1"/>
  <c r="D587" i="15"/>
  <c r="A588" i="15"/>
  <c r="C588" i="15"/>
  <c r="D588" i="15" l="1"/>
  <c r="B588" i="15"/>
  <c r="C589" i="15"/>
  <c r="A589" i="15"/>
  <c r="B589" i="15" l="1"/>
  <c r="D589" i="15"/>
  <c r="C590" i="15"/>
  <c r="A590" i="15"/>
  <c r="B590" i="15" l="1"/>
  <c r="D590" i="15"/>
  <c r="C591" i="15"/>
  <c r="A591" i="15"/>
  <c r="B591" i="15" l="1"/>
  <c r="D591" i="15"/>
  <c r="A592" i="15"/>
  <c r="C592" i="15"/>
  <c r="D592" i="15" l="1"/>
  <c r="B592" i="15"/>
  <c r="A593" i="15"/>
  <c r="C593" i="15"/>
  <c r="D593" i="15" l="1"/>
  <c r="B593" i="15"/>
  <c r="A594" i="15"/>
  <c r="C594" i="15"/>
  <c r="D594" i="15" l="1"/>
  <c r="B594" i="15"/>
  <c r="A595" i="15"/>
  <c r="C595" i="15"/>
  <c r="D595" i="15" l="1"/>
  <c r="B595" i="15"/>
  <c r="C596" i="15"/>
  <c r="A596" i="15"/>
  <c r="B596" i="15" l="1"/>
  <c r="D596" i="15"/>
  <c r="C597" i="15"/>
  <c r="A597" i="15"/>
  <c r="B597" i="15" l="1"/>
  <c r="D597" i="15"/>
  <c r="A598" i="15"/>
  <c r="C598" i="15"/>
  <c r="D598" i="15" l="1"/>
  <c r="B598" i="15"/>
  <c r="A599" i="15"/>
  <c r="C599" i="15"/>
  <c r="D599" i="15" l="1"/>
  <c r="B599" i="15"/>
  <c r="C600" i="15"/>
  <c r="A600" i="15"/>
  <c r="B600" i="15" l="1"/>
  <c r="D600" i="15"/>
  <c r="A601" i="15"/>
  <c r="C601" i="15"/>
  <c r="D601" i="15" l="1"/>
  <c r="B601" i="15"/>
  <c r="A602" i="15"/>
  <c r="C602" i="15"/>
  <c r="D602" i="15" l="1"/>
  <c r="B602" i="15"/>
  <c r="C603" i="15"/>
  <c r="A603" i="15"/>
  <c r="B603" i="15" l="1"/>
  <c r="D603" i="15"/>
  <c r="A604" i="15"/>
  <c r="C604" i="15"/>
  <c r="D604" i="15" l="1"/>
  <c r="B604" i="15"/>
  <c r="C605" i="15"/>
  <c r="A605" i="15"/>
  <c r="B605" i="15" l="1"/>
  <c r="D605" i="15"/>
  <c r="A606" i="15"/>
  <c r="C606" i="15"/>
  <c r="D606" i="15" l="1"/>
  <c r="B606" i="15"/>
  <c r="C607" i="15"/>
  <c r="A607" i="15"/>
  <c r="B607" i="15" l="1"/>
  <c r="D607" i="15"/>
  <c r="A608" i="15"/>
  <c r="C608" i="15"/>
  <c r="D608" i="15" l="1"/>
  <c r="B608" i="15"/>
  <c r="A609" i="15"/>
  <c r="C609" i="15"/>
  <c r="D609" i="15" l="1"/>
  <c r="B609" i="15"/>
  <c r="A610" i="15"/>
  <c r="C610" i="15"/>
  <c r="D610" i="15" l="1"/>
  <c r="B610" i="15"/>
  <c r="A611" i="15"/>
  <c r="C611" i="15"/>
  <c r="D611" i="15" l="1"/>
  <c r="B611" i="15"/>
  <c r="C612" i="15"/>
  <c r="A612" i="15"/>
  <c r="B612" i="15" l="1"/>
  <c r="D612" i="15"/>
  <c r="C613" i="15"/>
  <c r="A613" i="15"/>
  <c r="B613" i="15" l="1"/>
  <c r="D613" i="15"/>
  <c r="C614" i="15"/>
  <c r="A614" i="15"/>
  <c r="B614" i="15" l="1"/>
  <c r="D614" i="15"/>
  <c r="A615" i="15"/>
  <c r="C615" i="15"/>
  <c r="D615" i="15" l="1"/>
  <c r="B615" i="15"/>
  <c r="C616" i="15"/>
  <c r="A616" i="15"/>
  <c r="B616" i="15" l="1"/>
  <c r="D616" i="15"/>
  <c r="C617" i="15"/>
  <c r="A617" i="15"/>
  <c r="B617" i="15" l="1"/>
  <c r="D617" i="15"/>
  <c r="A618" i="15"/>
  <c r="C618" i="15"/>
  <c r="D618" i="15" l="1"/>
  <c r="B618" i="15"/>
  <c r="C619" i="15"/>
  <c r="A619" i="15"/>
  <c r="B619" i="15" l="1"/>
  <c r="D619" i="15"/>
  <c r="C620" i="15"/>
  <c r="A620" i="15"/>
  <c r="B620" i="15" l="1"/>
  <c r="D620" i="15"/>
  <c r="A621" i="15"/>
  <c r="C621" i="15"/>
  <c r="D621" i="15" l="1"/>
  <c r="B621" i="15"/>
  <c r="A622" i="15"/>
  <c r="C622" i="15"/>
  <c r="D622" i="15" l="1"/>
  <c r="B622" i="15"/>
  <c r="C623" i="15"/>
  <c r="A623" i="15"/>
  <c r="B623" i="15" l="1"/>
  <c r="D623" i="15"/>
  <c r="A624" i="15"/>
  <c r="C624" i="15"/>
  <c r="D624" i="15" l="1"/>
  <c r="B624" i="15"/>
  <c r="C625" i="15"/>
  <c r="A625" i="15"/>
  <c r="B625" i="15" l="1"/>
  <c r="D625" i="15"/>
  <c r="C626" i="15"/>
  <c r="A626" i="15"/>
  <c r="B626" i="15" l="1"/>
  <c r="D626" i="15"/>
  <c r="A627" i="15"/>
  <c r="C627" i="15"/>
  <c r="D627" i="15" l="1"/>
  <c r="B627" i="15"/>
  <c r="C628" i="15"/>
  <c r="A628" i="15"/>
  <c r="B628" i="15" l="1"/>
  <c r="D628" i="15"/>
  <c r="A629" i="15"/>
  <c r="C629" i="15"/>
  <c r="D629" i="15" l="1"/>
  <c r="B629" i="15"/>
  <c r="A630" i="15"/>
  <c r="C630" i="15"/>
  <c r="D630" i="15" l="1"/>
  <c r="B630" i="15"/>
  <c r="A631" i="15"/>
  <c r="C631" i="15"/>
  <c r="D631" i="15" l="1"/>
  <c r="B631" i="15"/>
  <c r="C632" i="15"/>
  <c r="A632" i="15"/>
  <c r="B632" i="15" l="1"/>
  <c r="D632" i="15"/>
  <c r="C633" i="15"/>
  <c r="A633" i="15"/>
  <c r="B633" i="15" l="1"/>
  <c r="D633" i="15"/>
  <c r="A634" i="15"/>
  <c r="C634" i="15"/>
  <c r="D634" i="15" l="1"/>
  <c r="B634" i="15"/>
  <c r="C635" i="15"/>
  <c r="A635" i="15"/>
  <c r="B635" i="15" l="1"/>
  <c r="D635" i="15"/>
  <c r="A636" i="15"/>
  <c r="C636" i="15"/>
  <c r="D636" i="15" l="1"/>
  <c r="B636" i="15"/>
  <c r="C637" i="15"/>
  <c r="A637" i="15"/>
  <c r="B637" i="15" l="1"/>
  <c r="D637" i="15"/>
  <c r="C638" i="15"/>
  <c r="A638" i="15"/>
  <c r="B638" i="15" l="1"/>
  <c r="D638" i="15"/>
  <c r="A639" i="15"/>
  <c r="C639" i="15"/>
  <c r="D639" i="15" l="1"/>
  <c r="B639" i="15"/>
  <c r="C640" i="15"/>
  <c r="A640" i="15"/>
  <c r="B640" i="15" l="1"/>
  <c r="D640" i="15"/>
  <c r="A641" i="15"/>
  <c r="C641" i="15"/>
  <c r="D641" i="15" l="1"/>
  <c r="B641" i="15"/>
  <c r="A642" i="15"/>
  <c r="C642" i="15"/>
  <c r="D642" i="15" l="1"/>
  <c r="B642" i="15"/>
  <c r="C643" i="15"/>
  <c r="A643" i="15"/>
  <c r="B643" i="15" l="1"/>
  <c r="D643" i="15"/>
  <c r="C644" i="15"/>
  <c r="A644" i="15"/>
  <c r="B644" i="15" l="1"/>
  <c r="D644" i="15"/>
  <c r="C645" i="15"/>
  <c r="A645" i="15"/>
  <c r="B645" i="15" l="1"/>
  <c r="D645" i="15"/>
  <c r="A646" i="15"/>
  <c r="C646" i="15"/>
  <c r="D646" i="15" l="1"/>
  <c r="B646" i="15"/>
  <c r="A647" i="15"/>
  <c r="C647" i="15"/>
  <c r="D647" i="15" l="1"/>
  <c r="B647" i="15"/>
  <c r="C648" i="15"/>
  <c r="A648" i="15"/>
  <c r="B648" i="15" l="1"/>
  <c r="D648" i="15"/>
  <c r="C649" i="15"/>
  <c r="A649" i="15"/>
  <c r="B649" i="15" l="1"/>
  <c r="D649" i="15"/>
  <c r="A650" i="15"/>
  <c r="C650" i="15"/>
  <c r="D650" i="15" l="1"/>
  <c r="B650" i="15"/>
  <c r="C651" i="15"/>
  <c r="A651" i="15"/>
  <c r="B651" i="15" l="1"/>
  <c r="D651" i="15"/>
  <c r="A652" i="15"/>
  <c r="C652" i="15"/>
  <c r="D652" i="15" l="1"/>
  <c r="B652" i="15"/>
  <c r="C653" i="15"/>
  <c r="A653" i="15"/>
  <c r="B653" i="15" l="1"/>
  <c r="D653" i="15"/>
  <c r="C654" i="15"/>
  <c r="A654" i="15"/>
  <c r="B654" i="15" l="1"/>
  <c r="D654" i="15"/>
  <c r="C655" i="15"/>
  <c r="A655" i="15"/>
  <c r="B655" i="15" l="1"/>
  <c r="D655" i="15"/>
  <c r="A656" i="15"/>
  <c r="C656" i="15"/>
  <c r="D656" i="15" l="1"/>
  <c r="B656" i="15"/>
  <c r="C657" i="15"/>
  <c r="A657" i="15"/>
  <c r="B657" i="15" l="1"/>
  <c r="D657" i="15"/>
  <c r="C658" i="15"/>
  <c r="A658" i="15"/>
  <c r="B658" i="15" l="1"/>
  <c r="D658" i="15"/>
  <c r="C659" i="15"/>
  <c r="A659" i="15"/>
  <c r="B659" i="15" l="1"/>
  <c r="D659" i="15"/>
  <c r="A660" i="15"/>
  <c r="C660" i="15"/>
  <c r="D660" i="15" l="1"/>
  <c r="B660" i="15"/>
  <c r="A661" i="15"/>
  <c r="C661" i="15"/>
  <c r="D661" i="15" l="1"/>
  <c r="B661" i="15"/>
  <c r="A662" i="15"/>
  <c r="C662" i="15"/>
  <c r="D662" i="15" l="1"/>
  <c r="B662" i="15"/>
  <c r="A663" i="15"/>
  <c r="C663" i="15"/>
  <c r="D663" i="15" l="1"/>
  <c r="B663" i="15"/>
  <c r="C664" i="15"/>
  <c r="A664" i="15"/>
  <c r="B664" i="15" l="1"/>
  <c r="D664" i="15"/>
  <c r="A665" i="15"/>
  <c r="C665" i="15"/>
  <c r="D665" i="15" l="1"/>
  <c r="B665" i="15"/>
  <c r="A666" i="15"/>
  <c r="C666" i="15"/>
  <c r="D666" i="15" l="1"/>
  <c r="B666" i="15"/>
  <c r="C667" i="15"/>
  <c r="A667" i="15"/>
  <c r="B667" i="15" l="1"/>
  <c r="D667" i="15"/>
  <c r="A668" i="15"/>
  <c r="C668" i="15"/>
  <c r="D668" i="15" l="1"/>
  <c r="B668" i="15"/>
  <c r="C669" i="15"/>
  <c r="A669" i="15"/>
  <c r="B669" i="15" l="1"/>
  <c r="D669" i="15"/>
  <c r="A670" i="15"/>
  <c r="C670" i="15"/>
  <c r="D670" i="15" l="1"/>
  <c r="B670" i="15"/>
  <c r="C671" i="15"/>
  <c r="A671" i="15"/>
  <c r="B671" i="15" l="1"/>
  <c r="D671" i="15"/>
  <c r="C672" i="15"/>
  <c r="A672" i="15"/>
  <c r="B672" i="15" l="1"/>
  <c r="D672" i="15"/>
  <c r="A673" i="15"/>
  <c r="C673" i="15"/>
  <c r="D673" i="15" l="1"/>
  <c r="B673" i="15"/>
  <c r="A674" i="15"/>
  <c r="C674" i="15"/>
  <c r="D674" i="15" l="1"/>
  <c r="B674" i="15"/>
  <c r="C675" i="15"/>
  <c r="A675" i="15"/>
  <c r="B675" i="15" l="1"/>
  <c r="D675" i="15"/>
  <c r="C676" i="15"/>
  <c r="A676" i="15"/>
  <c r="B676" i="15" l="1"/>
  <c r="D676" i="15"/>
  <c r="A677" i="15"/>
  <c r="C677" i="15"/>
  <c r="D677" i="15" l="1"/>
  <c r="B677" i="15"/>
  <c r="A678" i="15"/>
  <c r="C678" i="15"/>
  <c r="D678" i="15" l="1"/>
  <c r="B678" i="15"/>
  <c r="C679" i="15"/>
  <c r="A679" i="15"/>
  <c r="B679" i="15" l="1"/>
  <c r="D679" i="15"/>
  <c r="C680" i="15"/>
  <c r="A680" i="15"/>
  <c r="B680" i="15" l="1"/>
  <c r="D680" i="15"/>
  <c r="A681" i="15"/>
  <c r="C681" i="15"/>
  <c r="D681" i="15" l="1"/>
  <c r="B681" i="15"/>
  <c r="C682" i="15"/>
  <c r="A682" i="15"/>
  <c r="B682" i="15" l="1"/>
  <c r="D682" i="15"/>
  <c r="A683" i="15"/>
  <c r="C683" i="15"/>
  <c r="D683" i="15" l="1"/>
  <c r="B683" i="15"/>
  <c r="C684" i="15"/>
  <c r="A684" i="15"/>
  <c r="B684" i="15" l="1"/>
  <c r="D684" i="15"/>
  <c r="A685" i="15"/>
  <c r="C685" i="15"/>
  <c r="D685" i="15" l="1"/>
  <c r="B685" i="15"/>
  <c r="A686" i="15"/>
  <c r="C686" i="15"/>
  <c r="D686" i="15" l="1"/>
  <c r="B686" i="15"/>
  <c r="C687" i="15"/>
  <c r="A687" i="15"/>
  <c r="B687" i="15" l="1"/>
  <c r="D687" i="15"/>
  <c r="A688" i="15"/>
  <c r="C688" i="15"/>
  <c r="D688" i="15" l="1"/>
  <c r="B688" i="15"/>
  <c r="A689" i="15"/>
  <c r="C689" i="15"/>
  <c r="D689" i="15" l="1"/>
  <c r="B689" i="15"/>
  <c r="A690" i="15"/>
  <c r="C690" i="15"/>
  <c r="D690" i="15" l="1"/>
  <c r="B690" i="15"/>
  <c r="C691" i="15"/>
  <c r="A691" i="15"/>
  <c r="B691" i="15" l="1"/>
  <c r="D691" i="15"/>
  <c r="C692" i="15"/>
  <c r="A692" i="15"/>
  <c r="B692" i="15" l="1"/>
  <c r="D692" i="15"/>
  <c r="C693" i="15"/>
  <c r="A693" i="15"/>
  <c r="B693" i="15" l="1"/>
  <c r="D693" i="15"/>
  <c r="A694" i="15"/>
  <c r="C694" i="15"/>
  <c r="D694" i="15" l="1"/>
  <c r="B694" i="15"/>
  <c r="C695" i="15"/>
  <c r="A695" i="15"/>
  <c r="B695" i="15" l="1"/>
  <c r="D695" i="15"/>
  <c r="A696" i="15"/>
  <c r="C696" i="15"/>
  <c r="D696" i="15" l="1"/>
  <c r="B696" i="15"/>
  <c r="A697" i="15"/>
  <c r="C697" i="15"/>
  <c r="D697" i="15" l="1"/>
  <c r="B697" i="15"/>
  <c r="C698" i="15"/>
  <c r="A698" i="15"/>
  <c r="B698" i="15" l="1"/>
  <c r="D698" i="15"/>
  <c r="C699" i="15"/>
  <c r="A699" i="15"/>
  <c r="B699" i="15" l="1"/>
  <c r="D699" i="15"/>
  <c r="A700" i="15"/>
  <c r="C700" i="15"/>
  <c r="D700" i="15" l="1"/>
  <c r="B700" i="15"/>
  <c r="A701" i="15"/>
  <c r="C701" i="15"/>
  <c r="D701" i="15" l="1"/>
  <c r="B701" i="15"/>
  <c r="A702" i="15"/>
  <c r="C702" i="15"/>
  <c r="D702" i="15" l="1"/>
  <c r="B702" i="15"/>
  <c r="C703" i="15"/>
  <c r="A703" i="15"/>
  <c r="B703" i="15" l="1"/>
  <c r="D703" i="15"/>
  <c r="A704" i="15"/>
  <c r="C704" i="15"/>
  <c r="D704" i="15" l="1"/>
  <c r="B704" i="15"/>
  <c r="A705" i="15"/>
  <c r="C705" i="15"/>
  <c r="D705" i="15" l="1"/>
  <c r="B705" i="15"/>
  <c r="C706" i="15"/>
  <c r="A706" i="15"/>
  <c r="B706" i="15" l="1"/>
  <c r="D706" i="15"/>
  <c r="A707" i="15"/>
  <c r="C707" i="15"/>
  <c r="D707" i="15" l="1"/>
  <c r="B707" i="15"/>
  <c r="C708" i="15"/>
  <c r="A708" i="15"/>
  <c r="B708" i="15" l="1"/>
  <c r="D708" i="15"/>
  <c r="C709" i="15"/>
  <c r="A709" i="15"/>
  <c r="B709" i="15" l="1"/>
  <c r="D709" i="15"/>
  <c r="C710" i="15"/>
  <c r="A710" i="15"/>
  <c r="B710" i="15" l="1"/>
  <c r="D710" i="15"/>
  <c r="A711" i="15"/>
  <c r="C711" i="15"/>
  <c r="D711" i="15" l="1"/>
  <c r="B711" i="15"/>
  <c r="C712" i="15"/>
  <c r="A712" i="15"/>
  <c r="B712" i="15" l="1"/>
  <c r="D71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L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O12" authorId="0">
      <text>
        <r>
          <rPr>
            <sz val="9"/>
            <color indexed="81"/>
            <rFont val="Tahoma"/>
            <family val="2"/>
          </rPr>
          <t>This is the person who actually deployed the sensor or collected the data in the collumn.</t>
        </r>
      </text>
    </comment>
    <comment ref="P12" authorId="0">
      <text>
        <r>
          <rPr>
            <sz val="9"/>
            <color indexed="81"/>
            <rFont val="Tahoma"/>
            <family val="2"/>
          </rPr>
          <t>These must first be entered in the methods worksheet.  If they still don't appear on this drop down list, make sure you don't have any blank rows between methods in the table.</t>
        </r>
      </text>
    </comment>
    <comment ref="Q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<sst xmlns="http://schemas.openxmlformats.org/spreadsheetml/2006/main" count="3779" uniqueCount="2486">
  <si>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</si>
  <si>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</si>
  <si>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</si>
  <si>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</si>
  <si>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</si>
  <si>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</si>
  <si>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</si>
  <si>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</si>
  <si>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</si>
  <si>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</si>
  <si>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</si>
  <si>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</si>
  <si>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</si>
  <si>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</si>
  <si>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</si>
  <si>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</si>
  <si>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</si>
  <si>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</si>
  <si>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</si>
  <si>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</si>
  <si>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</si>
  <si>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</si>
  <si>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</si>
  <si>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</si>
  <si>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</si>
  <si>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</si>
  <si>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</si>
  <si>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</si>
  <si>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</si>
  <si>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</si>
  <si>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</si>
  <si>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</si>
  <si>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</si>
  <si>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</si>
  <si>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</si>
  <si>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</si>
  <si>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</si>
  <si>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</si>
  <si>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</si>
  <si>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</si>
  <si>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</si>
  <si>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</si>
  <si>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</si>
  <si>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</si>
  <si>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</si>
  <si>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</si>
  <si>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</si>
  <si>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</si>
  <si>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</si>
  <si>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</si>
  <si>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</si>
  <si>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</si>
  <si>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</si>
  <si>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</si>
  <si>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</si>
  <si>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</si>
  <si>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</si>
  <si>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</si>
  <si>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</si>
  <si>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</si>
  <si>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</si>
  <si>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</si>
  <si>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</si>
  <si>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</si>
  <si>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</si>
  <si>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</si>
  <si>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</si>
  <si>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</si>
  <si>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</si>
  <si>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</si>
  <si>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</si>
  <si>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</si>
  <si>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</si>
  <si>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</si>
  <si>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</si>
  <si>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</si>
  <si>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</si>
  <si>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</si>
  <si>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</si>
  <si>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</si>
  <si>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</si>
  <si>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</si>
  <si>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</si>
  <si>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</si>
  <si>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</si>
  <si>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</si>
  <si>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</si>
  <si>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</si>
  <si>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</si>
  <si>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</si>
  <si>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</si>
  <si>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</si>
  <si>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</si>
  <si>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</si>
  <si>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</si>
  <si>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</si>
  <si>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</si>
  <si>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</si>
  <si>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</si>
  <si>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</si>
  <si>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</si>
  <si>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</si>
  <si>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</si>
  <si>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</si>
  <si>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</si>
  <si>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</si>
  <si>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</si>
  <si>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</si>
  <si>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</si>
  <si>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</si>
  <si>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</si>
  <si>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</si>
  <si>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</si>
  <si>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</si>
  <si>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</si>
  <si>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</si>
  <si>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</si>
  <si>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</si>
  <si>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</si>
  <si>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</si>
  <si>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</si>
  <si>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</si>
  <si>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</si>
  <si>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</si>
  <si>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</si>
  <si>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</si>
  <si>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</si>
  <si>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</si>
  <si>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</si>
  <si>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</si>
  <si>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</si>
  <si>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</si>
  <si>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</si>
  <si>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</si>
  <si>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</si>
  <si>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</si>
  <si>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</si>
  <si>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</si>
  <si>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</si>
  <si>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</si>
  <si>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</si>
  <si>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</si>
  <si>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</si>
  <si>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</si>
  <si>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</si>
  <si>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</si>
  <si>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</si>
  <si>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</si>
  <si>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</si>
  <si>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</si>
  <si>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</si>
  <si>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</si>
  <si>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</si>
  <si>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</si>
  <si>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</si>
  <si>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</si>
  <si>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</si>
  <si>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</si>
  <si>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</si>
  <si>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</si>
  <si>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</si>
  <si>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</si>
  <si>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</si>
  <si>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</si>
  <si>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</si>
  <si>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</si>
  <si>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</si>
  <si>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</si>
  <si>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</si>
  <si>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</si>
  <si>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</si>
  <si>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</si>
  <si>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</si>
  <si>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</si>
  <si>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</si>
  <si>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</si>
  <si>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</si>
  <si>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</si>
  <si>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</si>
  <si>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</si>
  <si>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</si>
  <si>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</si>
  <si>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</si>
  <si>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</si>
  <si>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</si>
  <si>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</si>
  <si>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</si>
  <si>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</si>
  <si>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</si>
  <si>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</si>
  <si>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</si>
  <si>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</si>
  <si>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</si>
  <si>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</si>
  <si>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</si>
  <si>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</si>
  <si>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</si>
  <si>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</si>
  <si>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</si>
  <si>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</si>
  <si>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</si>
  <si>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</si>
  <si>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</si>
  <si>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</si>
  <si>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</si>
  <si>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</si>
  <si>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</si>
  <si>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</si>
  <si>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</si>
  <si>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</si>
  <si>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</si>
  <si>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</si>
  <si>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</si>
  <si>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</si>
  <si>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</si>
  <si>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</si>
  <si>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</si>
  <si>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</si>
  <si>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</si>
  <si>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</si>
  <si>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</si>
  <si>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</si>
  <si>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</si>
  <si>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</si>
  <si>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</si>
  <si>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</si>
  <si>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</si>
  <si>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</si>
  <si>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</si>
  <si>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</si>
  <si>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</si>
  <si>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</si>
  <si>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</si>
  <si>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</si>
  <si>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</si>
  <si>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</si>
  <si>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</si>
  <si>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</si>
  <si>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</si>
  <si>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</si>
  <si>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</si>
  <si>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</si>
  <si>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</si>
  <si>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</si>
  <si>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</si>
  <si>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</si>
  <si>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</si>
  <si>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</si>
  <si>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</si>
  <si>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</si>
  <si>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</si>
  <si>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</si>
  <si>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</si>
  <si>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</si>
  <si>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</si>
  <si>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</si>
  <si>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</si>
  <si>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</si>
  <si>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</si>
  <si>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</si>
  <si>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</si>
  <si>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</si>
  <si>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</si>
  <si>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</si>
  <si>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</si>
  <si>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</si>
  <si>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</si>
  <si>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</si>
  <si>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</si>
  <si>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</si>
  <si>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</si>
  <si>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</si>
  <si>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</si>
  <si>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</si>
  <si>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</si>
  <si>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</si>
  <si>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</si>
  <si>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</si>
  <si>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</si>
  <si>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</si>
  <si>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</si>
  <si>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</si>
  <si>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</si>
  <si>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</si>
  <si>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</si>
  <si>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</si>
  <si>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</si>
  <si>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</si>
  <si>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</si>
  <si>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</si>
  <si>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</si>
  <si>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</si>
  <si>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</si>
  <si>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</si>
  <si>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</si>
  <si>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</si>
  <si>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</si>
  <si>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</si>
  <si>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</si>
  <si>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</si>
  <si>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</si>
  <si>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</si>
  <si>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</si>
  <si>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</si>
  <si>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</si>
  <si>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</si>
  <si>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</si>
  <si>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</si>
  <si>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</si>
  <si>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</si>
  <si>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</si>
  <si>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</si>
  <si>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</si>
  <si>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</si>
  <si>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</si>
  <si>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</si>
  <si>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</si>
  <si>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</si>
  <si>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</si>
  <si>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</si>
  <si>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</si>
  <si>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</si>
  <si>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</si>
  <si>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</si>
  <si>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</si>
  <si>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</si>
  <si>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</si>
  <si>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</si>
  <si>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</si>
  <si>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</si>
  <si>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</si>
  <si>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</si>
  <si>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</si>
  <si>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</si>
  <si>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</si>
  <si>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</si>
  <si>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</si>
  <si>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</si>
  <si>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</si>
  <si>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</si>
  <si>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</si>
  <si>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</si>
  <si>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</si>
  <si>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</si>
  <si>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</si>
  <si>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</si>
  <si>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</si>
  <si>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</si>
  <si>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</si>
  <si>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</si>
  <si>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</si>
  <si>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</si>
  <si>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</si>
  <si>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</si>
  <si>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</si>
  <si>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</si>
  <si>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</si>
  <si>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</si>
  <si>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</si>
  <si>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</si>
  <si>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</si>
  <si>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</si>
  <si>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</si>
  <si>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</si>
  <si>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</si>
  <si>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</si>
  <si>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</si>
  <si>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</si>
  <si>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</si>
  <si>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</si>
  <si>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</si>
  <si>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</si>
  <si>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</si>
  <si>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</si>
  <si>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</si>
  <si>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</si>
  <si>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</si>
  <si>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</si>
  <si>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</si>
  <si>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</si>
  <si>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</si>
  <si>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</si>
  <si>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</si>
  <si>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</si>
  <si>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</si>
  <si>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</si>
  <si>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</si>
  <si>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</si>
  <si>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</si>
  <si>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</si>
  <si>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</si>
  <si>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</si>
  <si>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</si>
  <si>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</si>
  <si>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</si>
  <si>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</si>
  <si>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</si>
  <si>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</si>
  <si>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</si>
  <si>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</si>
  <si>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</si>
  <si>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</si>
  <si>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</si>
  <si>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</si>
  <si>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</si>
  <si>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</si>
  <si>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</si>
  <si>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</si>
  <si>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</si>
  <si>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</si>
  <si>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</si>
  <si>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</si>
  <si>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</si>
  <si>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</si>
  <si>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</si>
  <si>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</si>
  <si>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</si>
  <si>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</si>
  <si>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</si>
  <si>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</si>
  <si>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</si>
  <si>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</si>
  <si>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</si>
  <si>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</si>
  <si>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</si>
  <si>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</si>
  <si>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</si>
  <si>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</si>
  <si>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</si>
  <si>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</si>
  <si>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</si>
  <si>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</si>
  <si>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</si>
  <si>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</si>
  <si>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</si>
  <si>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</si>
  <si>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</si>
  <si>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</si>
  <si>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</si>
  <si>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</si>
  <si>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</si>
  <si>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</si>
  <si>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</si>
  <si>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</si>
  <si>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</si>
  <si>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</si>
  <si>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</si>
  <si>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</si>
  <si>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</si>
  <si>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</si>
  <si>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</si>
  <si>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</si>
  <si>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</si>
  <si>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</si>
  <si>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</si>
  <si>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</si>
  <si>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</si>
  <si>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</si>
  <si>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</si>
  <si>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</si>
  <si>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</si>
  <si>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</si>
  <si>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</si>
  <si>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</si>
  <si>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</si>
  <si>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</si>
  <si>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</si>
  <si>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</si>
  <si>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</si>
  <si>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</si>
  <si>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</si>
  <si>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</si>
  <si>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</si>
  <si>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</si>
  <si>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</si>
  <si>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</si>
  <si>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</si>
  <si>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</si>
  <si>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</si>
  <si>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</si>
  <si>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</si>
  <si>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</si>
  <si>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</si>
  <si>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</si>
  <si>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</si>
  <si>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</si>
  <si>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</si>
  <si>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</si>
  <si>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</si>
  <si>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</si>
  <si>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</si>
  <si>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</si>
  <si>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</si>
  <si>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</si>
  <si>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</si>
  <si>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</si>
  <si>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</si>
  <si>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</si>
  <si>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</si>
  <si>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</si>
  <si>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</si>
  <si>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</si>
  <si>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</si>
  <si>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</si>
  <si>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</si>
  <si>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</si>
  <si>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</si>
  <si>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</si>
  <si>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</si>
  <si>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</si>
  <si>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</si>
  <si>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</si>
  <si>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</si>
  <si>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</si>
  <si>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</si>
  <si>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</si>
  <si>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</si>
  <si>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</si>
  <si>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</si>
  <si>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</si>
  <si>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</si>
  <si>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</si>
  <si>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</si>
  <si>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</si>
  <si>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</si>
  <si>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</si>
  <si>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</si>
  <si>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</si>
  <si>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</si>
  <si>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</si>
  <si>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</si>
  <si>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</si>
  <si>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</si>
  <si>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</si>
  <si>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</si>
  <si>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</si>
  <si>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</si>
  <si>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</si>
  <si>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</si>
  <si>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</si>
  <si>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</si>
  <si>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</si>
  <si>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</si>
  <si>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</si>
  <si>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</si>
  <si>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</si>
  <si>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</si>
  <si>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</si>
  <si>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</si>
  <si>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</si>
  <si>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</si>
  <si>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</si>
  <si>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</si>
  <si>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</si>
  <si>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</si>
  <si>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</si>
  <si>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</si>
  <si>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</si>
  <si>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</si>
  <si>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</si>
  <si>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</si>
  <si>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</si>
  <si>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</si>
  <si>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</si>
  <si>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</si>
  <si>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</si>
  <si>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</si>
  <si>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</si>
  <si>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</si>
  <si>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</si>
  <si>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</si>
  <si>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</si>
  <si>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</si>
  <si>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</si>
  <si>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</si>
  <si>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</si>
  <si>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</si>
  <si>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</si>
  <si>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</si>
  <si>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</si>
  <si>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</si>
  <si>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</si>
  <si>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</si>
  <si>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</si>
  <si>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</si>
  <si>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</si>
  <si>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</si>
  <si>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</si>
  <si>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</si>
  <si>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</si>
  <si>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</si>
  <si>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</si>
  <si>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</si>
  <si>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</si>
  <si>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</si>
  <si>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</si>
  <si>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</si>
  <si>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</si>
  <si>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</si>
  <si>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</si>
  <si>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</si>
  <si>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</si>
  <si>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</si>
  <si>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</si>
  <si>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</si>
  <si>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</si>
  <si>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</si>
  <si>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</si>
  <si>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</si>
  <si>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</si>
  <si>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</si>
  <si>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</si>
  <si>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</si>
  <si>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</si>
  <si>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</si>
  <si>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</si>
  <si>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</si>
  <si>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</si>
  <si>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</si>
  <si>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</si>
  <si>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</si>
  <si>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</si>
  <si>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</si>
  <si>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</si>
  <si>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</si>
  <si>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</si>
  <si>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</si>
  <si>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</si>
  <si>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</si>
  <si>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</si>
  <si>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</si>
  <si>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</si>
  <si>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</si>
  <si>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</si>
  <si>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</si>
  <si>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</si>
  <si>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</si>
  <si>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</si>
  <si>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</si>
  <si>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</si>
  <si>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</si>
  <si>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</si>
  <si>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</si>
  <si>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</si>
  <si>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</si>
  <si>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</si>
  <si>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</si>
  <si>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</si>
  <si>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</si>
  <si>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</si>
  <si>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</si>
  <si>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</si>
  <si>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</si>
  <si>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</si>
  <si>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</si>
  <si>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</si>
  <si>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</si>
  <si>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</si>
  <si>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</si>
  <si>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</si>
  <si>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</si>
  <si>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</si>
  <si>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</si>
  <si>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</si>
  <si>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</si>
  <si>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</si>
  <si>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</si>
  <si>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</si>
  <si>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</si>
  <si>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</si>
  <si>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</si>
  <si>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</si>
  <si>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</si>
  <si>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</si>
  <si>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</si>
  <si>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</si>
  <si>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</si>
  <si>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</si>
  <si>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</si>
  <si>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</si>
  <si>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</si>
  <si>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</si>
  <si>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</si>
  <si>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</si>
  <si>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</si>
  <si>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</si>
  <si>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</si>
  <si>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</si>
  <si>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</si>
  <si>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</si>
  <si>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</si>
  <si>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</si>
  <si>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</si>
  <si>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</si>
  <si>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</si>
  <si>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</si>
  <si>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</si>
  <si>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</si>
  <si>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</si>
  <si>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</si>
  <si>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</si>
  <si>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</si>
  <si>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</si>
  <si>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</si>
  <si>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</si>
  <si>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</si>
  <si>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</si>
  <si>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</si>
  <si>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</si>
  <si>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</si>
  <si>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</si>
  <si>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</si>
  <si>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</si>
  <si>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</si>
  <si>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</si>
  <si>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</si>
  <si>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</si>
  <si>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</si>
  <si>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</si>
  <si>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</si>
  <si>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</si>
  <si>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</si>
  <si>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</si>
  <si>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</si>
  <si>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</si>
  <si>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</si>
  <si>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</si>
  <si>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</si>
  <si>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</si>
  <si>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</si>
  <si>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</si>
  <si>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</si>
  <si>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</si>
  <si>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</si>
  <si>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</si>
  <si>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</si>
  <si>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</si>
  <si>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</si>
  <si>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</si>
  <si>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</si>
  <si>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</si>
  <si>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</si>
  <si>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</si>
  <si>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</si>
  <si>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</si>
  <si>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</si>
  <si>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</si>
  <si>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</si>
  <si>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</si>
  <si>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</si>
  <si>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</si>
  <si>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</si>
  <si>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</si>
  <si>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</si>
  <si>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</si>
  <si>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</si>
  <si>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</si>
  <si>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</si>
  <si>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</si>
  <si>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</si>
  <si>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</si>
  <si>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</si>
  <si>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</si>
  <si>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</si>
  <si>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</si>
  <si>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</si>
  <si>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</si>
  <si>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</si>
  <si>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</si>
  <si>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</si>
  <si>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</si>
  <si>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</si>
  <si>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</si>
  <si>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</si>
  <si>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</si>
  <si>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</si>
  <si>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</si>
  <si>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</si>
  <si>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</si>
  <si>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</si>
  <si>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</si>
  <si>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</si>
  <si>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</si>
  <si>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</si>
  <si>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</si>
  <si>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</si>
  <si>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</si>
  <si>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</si>
  <si>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</si>
  <si>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</si>
  <si>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</si>
  <si>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</si>
  <si>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</si>
  <si>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</si>
  <si>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</si>
  <si>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</si>
  <si>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</si>
  <si>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</si>
  <si>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</si>
  <si>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</si>
  <si>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</si>
  <si>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</si>
  <si>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</si>
  <si>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</si>
  <si>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</si>
  <si>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</si>
  <si>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</si>
  <si>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</si>
  <si>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</si>
  <si>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</si>
  <si>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</si>
  <si>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</si>
  <si>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</si>
  <si>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</si>
  <si>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</si>
  <si>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</si>
  <si>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</si>
  <si>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</si>
  <si>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</si>
  <si>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</si>
  <si>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</si>
  <si>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</si>
  <si>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</si>
  <si>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</si>
  <si>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</si>
  <si>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</si>
  <si>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</si>
  <si>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</si>
  <si>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</si>
  <si>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</si>
  <si>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</si>
  <si>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</si>
  <si>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</si>
  <si>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</si>
  <si>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</si>
  <si>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</si>
  <si>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</si>
  <si>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</si>
  <si>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</si>
  <si>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</si>
  <si>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</si>
  <si>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</si>
  <si>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</si>
  <si>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</si>
  <si>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</si>
  <si>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</si>
  <si>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</si>
  <si>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</si>
  <si>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</si>
  <si>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</si>
  <si>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</si>
  <si>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</si>
  <si>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</si>
  <si>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</si>
  <si>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</si>
  <si>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</si>
  <si>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</si>
  <si>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</si>
  <si>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</si>
  <si>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</si>
  <si>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</si>
  <si>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</si>
  <si>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</si>
  <si>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</si>
  <si>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</si>
  <si>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</si>
  <si>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</si>
  <si>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</si>
  <si>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</si>
  <si>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</si>
  <si>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</si>
  <si>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</si>
  <si>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</si>
  <si>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</si>
  <si>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</si>
  <si>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</si>
  <si>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</si>
  <si>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</si>
  <si>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</si>
  <si>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</si>
  <si>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</si>
  <si>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</si>
  <si>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</si>
  <si>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</si>
  <si>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</si>
  <si>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</si>
  <si>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</si>
  <si>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</si>
  <si>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</si>
  <si>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</si>
  <si>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</si>
  <si>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</si>
  <si>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</si>
  <si>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</si>
  <si>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</si>
  <si>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</si>
  <si>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</si>
  <si>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</si>
  <si>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</si>
  <si>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</si>
  <si>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</si>
  <si>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</si>
  <si>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</si>
  <si>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</si>
  <si>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</si>
  <si>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</si>
  <si>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</si>
  <si>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</si>
  <si>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</si>
  <si>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</si>
  <si>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</si>
  <si>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</si>
  <si>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</si>
  <si>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</si>
  <si>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</si>
  <si>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</si>
  <si>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</si>
  <si>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</si>
  <si>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</si>
  <si>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</si>
  <si>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</si>
  <si>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</si>
  <si>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</si>
  <si>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</si>
  <si>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</si>
  <si>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</si>
  <si>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</si>
  <si>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</si>
  <si>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</si>
  <si>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</si>
  <si>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</si>
  <si>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</si>
  <si>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</si>
  <si>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</si>
  <si>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</si>
  <si>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</si>
  <si>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</si>
  <si>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</si>
  <si>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</si>
  <si>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</si>
  <si>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</si>
  <si>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</si>
  <si>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</si>
  <si>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</si>
  <si>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</si>
  <si>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</si>
  <si>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</si>
  <si>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</si>
  <si>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</si>
  <si>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</si>
  <si>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</si>
  <si>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</si>
  <si>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</si>
  <si>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</si>
  <si>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</si>
  <si>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</si>
  <si>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</si>
  <si>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</si>
  <si>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</si>
  <si>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</si>
  <si>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</si>
  <si>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</si>
  <si>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</si>
  <si>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</si>
  <si>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</si>
  <si>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</si>
  <si>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</si>
  <si>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</si>
  <si>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</si>
  <si>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</si>
  <si>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</si>
  <si>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</si>
  <si>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</si>
  <si>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</si>
  <si>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</si>
  <si>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</si>
  <si>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</si>
  <si>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</si>
  <si>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</si>
  <si>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</si>
  <si>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</si>
  <si>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</si>
  <si>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</si>
  <si>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</si>
  <si>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</si>
  <si>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</si>
  <si>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</si>
  <si>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</si>
  <si>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</si>
  <si>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</si>
  <si>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</si>
  <si>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</si>
  <si>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</si>
  <si>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</si>
  <si>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</si>
  <si>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</si>
  <si>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</si>
  <si>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</si>
  <si>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</si>
  <si>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</si>
  <si>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</si>
  <si>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</si>
  <si>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</si>
  <si>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</si>
  <si>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</si>
  <si>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</si>
  <si>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</si>
  <si>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</si>
  <si>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</si>
  <si>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</si>
  <si>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</si>
  <si>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</si>
  <si>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</si>
  <si>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</si>
  <si>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</si>
  <si>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</si>
  <si>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</si>
  <si>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</si>
  <si>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</si>
  <si>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</si>
  <si>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</si>
  <si>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</si>
  <si>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</si>
  <si>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</si>
  <si>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</si>
  <si>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</si>
  <si>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</si>
  <si>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</si>
  <si>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</si>
  <si>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</si>
  <si>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</si>
  <si>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</si>
  <si>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</si>
  <si>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</si>
  <si>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</si>
  <si>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</si>
  <si>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</si>
  <si>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</si>
  <si>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</si>
  <si>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</si>
  <si>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</si>
  <si>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</si>
  <si>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</si>
  <si>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</si>
  <si>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</si>
  <si>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</si>
  <si>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</si>
  <si>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</si>
  <si>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</si>
  <si>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</si>
  <si>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</si>
  <si>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</si>
  <si>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</si>
  <si>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</si>
  <si>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</si>
  <si>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</si>
  <si>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</si>
  <si>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</si>
  <si>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</si>
  <si>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</si>
  <si>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</si>
  <si>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</si>
  <si>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</si>
  <si>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</si>
  <si>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</si>
  <si>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</si>
  <si>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</si>
  <si>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</si>
  <si>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</si>
  <si>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</si>
  <si>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</si>
  <si>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</si>
  <si>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</si>
  <si>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</si>
  <si>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</si>
  <si>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</si>
  <si>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</si>
  <si>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</si>
  <si>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</si>
  <si>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</si>
  <si>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</si>
  <si>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</si>
  <si>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</si>
  <si>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</si>
  <si>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</si>
  <si>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</si>
  <si>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</si>
  <si>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</si>
  <si>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</si>
  <si>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</si>
  <si>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</si>
  <si>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</si>
  <si>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</si>
  <si>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</si>
  <si>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</si>
  <si>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</si>
  <si>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</si>
  <si>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</si>
  <si>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</si>
  <si>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</si>
  <si>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</si>
  <si>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</si>
  <si>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</si>
  <si>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</si>
  <si>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</si>
  <si>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</si>
  <si>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</si>
  <si>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</si>
  <si>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</si>
  <si>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</si>
  <si>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</si>
  <si>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</si>
  <si>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</si>
  <si>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</si>
  <si>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</si>
  <si>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</si>
  <si>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</si>
  <si>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</si>
  <si>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</si>
  <si>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</si>
  <si>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</si>
  <si>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</si>
  <si>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</si>
  <si>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</si>
  <si>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</si>
  <si>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</si>
  <si>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</si>
  <si>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</si>
  <si>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</si>
  <si>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</si>
  <si>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</si>
  <si>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</si>
  <si>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</si>
  <si>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</si>
  <si>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</si>
  <si>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</si>
  <si>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</si>
  <si>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</si>
  <si>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</si>
  <si>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</si>
  <si>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</si>
  <si>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Temporal observation</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</si>
  <si>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</si>
  <si>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</si>
  <si>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</si>
  <si>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</si>
  <si>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</si>
  <si>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</si>
  <si>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</si>
  <si>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</si>
  <si>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</si>
  <si>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</si>
  <si>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</si>
  <si>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</si>
  <si>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</si>
  <si>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</si>
  <si>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</si>
  <si>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</si>
  <si>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</si>
  <si>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</si>
  <si>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</si>
  <si>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</si>
  <si>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</si>
  <si>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</si>
  <si>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</si>
  <si>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</si>
  <si>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</si>
  <si>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</si>
  <si>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</si>
  <si>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</si>
  <si>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</si>
  <si>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</si>
  <si>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</si>
  <si>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</si>
  <si>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</si>
  <si>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</si>
  <si>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</si>
  <si>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</si>
  <si>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</si>
  <si>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</si>
  <si>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</si>
  <si>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</si>
  <si>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</si>
  <si>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t>Actions</t>
  </si>
  <si>
    <t>Feature Actions</t>
  </si>
  <si>
    <t>Feature IGSN</t>
  </si>
  <si>
    <t>Actions:</t>
  </si>
  <si>
    <t>ActionTypeCV</t>
  </si>
  <si>
    <t>FeatureActions:</t>
  </si>
  <si>
    <t>Results</t>
  </si>
  <si>
    <t>Results:</t>
  </si>
  <si>
    <t>TimeSeriesResults:</t>
  </si>
  <si>
    <t>Time Series Results</t>
  </si>
  <si>
    <t>Time Series Result Values</t>
  </si>
  <si>
    <t>Measurement Results</t>
  </si>
  <si>
    <t>Measurement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</si>
  <si>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</si>
  <si>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</si>
  <si>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</si>
  <si>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</si>
  <si>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</si>
  <si>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</si>
  <si>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</si>
  <si>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</si>
  <si>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</si>
  <si>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</si>
  <si>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</si>
  <si>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</si>
  <si>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</si>
  <si>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</si>
  <si>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</si>
  <si>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</si>
  <si>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</si>
  <si>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</si>
  <si>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</si>
  <si>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</si>
  <si>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</si>
  <si>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</si>
  <si>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</si>
  <si>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</si>
  <si>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</si>
  <si>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</si>
  <si>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</si>
  <si>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</si>
  <si>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</si>
  <si>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</si>
  <si>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</si>
  <si>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</si>
  <si>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</si>
  <si>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</si>
  <si>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</si>
  <si>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</si>
  <si>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</si>
  <si>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</si>
  <si>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</si>
  <si>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</si>
  <si>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</si>
  <si>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</si>
  <si>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</si>
  <si>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</si>
  <si>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</si>
  <si>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</si>
  <si>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</si>
  <si>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</si>
  <si>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</si>
  <si>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</si>
  <si>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</si>
  <si>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</si>
  <si>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</si>
  <si>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</si>
  <si>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</si>
  <si>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</si>
  <si>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</si>
  <si>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</si>
  <si>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</si>
  <si>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</si>
  <si>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</si>
  <si>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</si>
  <si>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</si>
  <si>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</si>
  <si>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</si>
  <si>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</si>
  <si>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</si>
  <si>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</si>
  <si>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</si>
  <si>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</si>
  <si>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</si>
  <si>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</si>
  <si>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</si>
  <si>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</si>
  <si>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</si>
  <si>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</si>
  <si>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</si>
  <si>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</si>
  <si>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</si>
  <si>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</si>
  <si>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</si>
  <si>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</si>
  <si>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</si>
  <si>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</si>
  <si>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</si>
  <si>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</si>
  <si>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</si>
  <si>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</si>
  <si>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</si>
  <si>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</si>
  <si>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</si>
  <si>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</si>
  <si>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</si>
  <si>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</si>
  <si>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</si>
  <si>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</si>
  <si>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</si>
  <si>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</si>
  <si>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</si>
  <si>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</si>
  <si>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</si>
  <si>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</si>
  <si>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</si>
  <si>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</si>
  <si>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</si>
  <si>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</si>
  <si>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</si>
  <si>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</si>
  <si>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</si>
  <si>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</si>
  <si>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</si>
  <si>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</si>
  <si>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</si>
  <si>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</si>
  <si>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</si>
  <si>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</si>
  <si>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</si>
  <si>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</si>
  <si>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</si>
  <si>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</si>
  <si>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</si>
  <si>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</si>
  <si>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</si>
  <si>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</si>
  <si>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</si>
  <si>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</si>
  <si>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</si>
  <si>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</si>
  <si>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</si>
  <si>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</si>
  <si>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</si>
  <si>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</si>
  <si>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</si>
  <si>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</si>
  <si>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</si>
  <si>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</si>
  <si>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</si>
  <si>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</si>
  <si>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</si>
  <si>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Template version:</t>
  </si>
  <si>
    <t>1.0.0</t>
  </si>
  <si>
    <t>Template Profile:</t>
  </si>
  <si>
    <t>SpecimenTimeSeries</t>
  </si>
  <si>
    <t>YODA Specification Version:</t>
  </si>
  <si>
    <t>Datasets</t>
  </si>
  <si>
    <t>Action By</t>
  </si>
  <si>
    <t>DataSets Results</t>
  </si>
  <si>
    <t>ActionBy:</t>
  </si>
  <si>
    <t>YODA:</t>
  </si>
  <si>
    <t>datetime</t>
  </si>
  <si>
    <t>sampno</t>
  </si>
  <si>
    <t>site</t>
  </si>
  <si>
    <t>samplemethod</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</si>
  <si>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</si>
  <si>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</si>
  <si>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</si>
  <si>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</si>
  <si>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</si>
  <si>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</si>
  <si>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</si>
  <si>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</si>
  <si>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</si>
  <si>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</si>
  <si>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</si>
  <si>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</si>
  <si>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</si>
  <si>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</si>
  <si>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</si>
  <si>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</si>
  <si>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</si>
  <si>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</si>
  <si>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</si>
  <si>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</si>
  <si>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</si>
  <si>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</si>
  <si>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</si>
  <si>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</si>
  <si>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</si>
  <si>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</si>
  <si>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</si>
  <si>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</si>
  <si>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</si>
  <si>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</si>
  <si>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</si>
  <si>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</si>
  <si>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</si>
  <si>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</si>
  <si>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</si>
  <si>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</si>
  <si>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</si>
  <si>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</si>
  <si>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</si>
  <si>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</si>
  <si>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</si>
  <si>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</si>
  <si>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</si>
  <si>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</si>
  <si>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</si>
  <si>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</si>
  <si>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</si>
  <si>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</si>
  <si>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</si>
  <si>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</si>
  <si>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</si>
  <si>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</si>
  <si>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</si>
  <si>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</si>
  <si>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</si>
  <si>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</si>
  <si>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</si>
  <si>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</si>
  <si>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</si>
  <si>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DataValue</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</si>
  <si>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</si>
  <si>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</si>
  <si>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</si>
  <si>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</si>
  <si>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</si>
  <si>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</si>
  <si>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</si>
  <si>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</si>
  <si>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</si>
  <si>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</si>
  <si>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</si>
  <si>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</si>
  <si>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</si>
  <si>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</si>
  <si>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</si>
  <si>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</si>
  <si>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</si>
  <si>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</si>
  <si>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</si>
  <si>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</si>
  <si>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</si>
  <si>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</si>
  <si>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</si>
  <si>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does not allow for inputs of details about Actions and Feature actions.  All actions will be coded as an "Observations" at the given sampling feature.  To include more details, you must generate your YODA file in some other way.</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</si>
  <si>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</si>
  <si>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</si>
  <si>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</si>
  <si>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</si>
  <si>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</si>
  <si>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</si>
  <si>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</si>
  <si>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</si>
  <si>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</si>
  <si>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</si>
  <si>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</si>
  <si>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</si>
  <si>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</si>
  <si>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</si>
  <si>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</si>
  <si>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</si>
  <si>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</si>
  <si>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MeasurementResultValues:</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</si>
  <si>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</si>
  <si>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</si>
  <si>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</si>
  <si>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</si>
  <si>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</si>
  <si>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</si>
  <si>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</si>
  <si>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</si>
  <si>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</si>
  <si>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</si>
  <si>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</si>
  <si>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</si>
  <si>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External Citation Information</t>
  </si>
  <si>
    <t>IsAllOf</t>
  </si>
  <si>
    <t>iUTAH Modeling and Data Federation</t>
  </si>
  <si>
    <t>http://repository.iutahepscor.org/dataset/iutah-gamut-network-raw-data-at-tw-daniels-forest-climate-site-lr-twdef-c</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</si>
  <si>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</si>
  <si>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</si>
  <si>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</si>
  <si>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</si>
  <si>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</si>
  <si>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</si>
  <si>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</si>
  <si>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</si>
  <si>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</si>
  <si>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</si>
  <si>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</si>
  <si>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</si>
  <si>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</si>
  <si>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</si>
  <si>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</si>
  <si>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</si>
  <si>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</si>
  <si>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</si>
  <si>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</si>
  <si>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</si>
  <si>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</si>
  <si>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</si>
  <si>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</si>
  <si>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</si>
  <si>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</si>
  <si>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</si>
  <si>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</si>
  <si>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</si>
  <si>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SamplingFeaturesExternalIdentifiers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</si>
  <si>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</si>
  <si>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</si>
  <si>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</si>
  <si>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</si>
  <si>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</si>
  <si>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</si>
  <si>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</si>
  <si>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</si>
  <si>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</si>
  <si>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</si>
  <si>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</si>
  <si>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</si>
  <si>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</si>
  <si>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</si>
  <si>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MethodCode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</si>
  <si>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</si>
  <si>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</si>
  <si>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</si>
  <si>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</si>
  <si>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</si>
  <si>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</si>
  <si>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</si>
  <si>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</si>
  <si>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</si>
  <si>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</si>
  <si>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</si>
  <si>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</si>
  <si>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Field Sample</t>
  </si>
  <si>
    <t>Spatial Offset Code</t>
  </si>
  <si>
    <t>Only include relationships between the parent sampling features to those listed in the data values table!  DO NOT include any sampling features listed in the data values table!</t>
  </si>
  <si>
    <r>
      <rPr>
        <b/>
        <i/>
        <u/>
        <sz val="11"/>
        <color theme="1"/>
        <rFont val="Calibri"/>
        <family val="2"/>
        <scheme val="minor"/>
      </rPr>
      <t>Instructions:</t>
    </r>
    <r>
      <rPr>
        <sz val="11"/>
        <color theme="1"/>
        <rFont val="Calibri"/>
        <family val="2"/>
        <scheme val="minor"/>
      </rPr>
      <t xml:space="preserve">  In the yellow boxes, enter the metadata for all of the PARENT sampling features (sites, specimens, etc) included in this dataset.  Darker yellow columns are mandatory; paler yellow is optional.</t>
    </r>
  </si>
  <si>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</si>
  <si>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</si>
  <si>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</si>
  <si>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</si>
  <si>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</si>
  <si>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</si>
  <si>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</si>
  <si>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</si>
  <si>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</si>
  <si>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</si>
  <si>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</si>
  <si>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 xml:space="preserve">  - {Version: "1.0.0", Profile: "SpecimenTimeSeries", CreationTool: "Excel Template v1.0.0", DateCreated: "2015-03-23", DateUpdated: "2015-03-23"}</t>
  </si>
  <si>
    <t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</si>
  <si>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</si>
  <si>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</si>
  <si>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</si>
  <si>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</si>
  <si>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</si>
  <si>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</si>
  <si>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</si>
  <si>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"Sara", PersonMiddleName:  "Geleskie", PersonLastName:  "Damiano"}</t>
  </si>
  <si>
    <t xml:space="preserve">  - &amp;PersonID0002 {PersonFirstName:  "Michael", PersonMiddleName:  "D", PersonLastName:  "Gentile"}</t>
  </si>
  <si>
    <t xml:space="preserve">  - &amp;PersonID0003 {PersonFirstName:  "J", PersonMiddleName:  "Denis", PersonLastName:  "Newbold"}</t>
  </si>
  <si>
    <t xml:space="preserve">  - &amp;PersonID0004 {PersonFirstName:  "Diana", PersonMiddleName:  "L", PersonLastName:  "Karwan"}</t>
  </si>
  <si>
    <t xml:space="preserve">  - &amp;PersonID0005 {PersonFirstName:  "Sherman", PersonMiddleName:  "L", PersonLastName:  "Roberts"}</t>
  </si>
  <si>
    <t xml:space="preserve">  - &amp;PersonID0006 {PersonFirstName:  "Jennifer", PersonMiddleName:  "R", PersonLastName:  "Matkov"}</t>
  </si>
  <si>
    <t>PersonExternalIdentifiers:</t>
  </si>
  <si>
    <t xml:space="preserve">  - {PersonObj:  *PersonID0001,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</si>
  <si>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</si>
  <si>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&amp;AffiliationID0002 {PersonObj: *PersonID0002, OrganizationObj: *OrganizationID0001,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</si>
  <si>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&amp;AffiliationID0003 {PersonObj: *PersonID0003, OrganizationObj: *OrganizationID0001,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</si>
  <si>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&amp;AffiliationID0004 {PersonObj: *PersonID0004, OrganizationObj: *OrganizationID0002, IsPrimaryOrganizationContact: NULL, AffiliationStartDate: NULL, AffiliationEndDate: NULL, PrimaryPhone: NULL, PrimaryEmail: "dlkarwan@umn.edu", PrimaryAddress: "301G Green Hall, 1530 Cleveland Avenue North, St. Paul, MN 55108", PersonLink: NULL}</t>
  </si>
  <si>
    <t xml:space="preserve">  - &amp;AffiliationID0005 {PersonObj: *PersonID0005, OrganizationObj: *OrganizationID0001,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</si>
  <si>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&amp;AffiliationID0006 {PersonObj: *PersonID0006, OrganizationObj: *OrganizationID0001, IsPrimaryOrganizationContact: NULL, AffiliationStartDate: NULL, AffiliationEndDate: NULL, PrimaryPhone: NULL, PrimaryEmail: "jmatkov@stroudcenter.org",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</si>
  <si>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</si>
  <si>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</si>
  <si>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</si>
  <si>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</si>
  <si>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</si>
  <si>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</si>
  <si>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</si>
  <si>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</si>
  <si>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39.86347, Longitude:  -75.78473, SpatialReferenceObj:  *SRSID0001}</t>
  </si>
  <si>
    <t xml:space="preserve">  - {SamplingFeatureObj:  *SamplingFeatureID0002, SiteTypeCV:  "Stream", Latitude:  39.86217, Longitude:  -75.77877, SpatialReferenceObj:  *SRSID0001}</t>
  </si>
  <si>
    <t xml:space="preserve">  - {SamplingFeatureObj:  *SamplingFeatureID0003, SiteTypeCV:  "Stream", Latitude:  39.8615016666666, Longitude:  -75.78305, SpatialReferenceObj:  *SRSID0001}</t>
  </si>
  <si>
    <t xml:space="preserve">  - {SamplingFeatureObj:  *SamplingFeatureID0004, SiteTypeCV:  "Stream", Latitude:  39.86066, Longitude:  -75.783855, SpatialReferenceObj:  *SRSID0001}</t>
  </si>
  <si>
    <t xml:space="preserve">  - {SamplingFeatureObj:  *SamplingFeatureID0005, SiteTypeCV:  "Stream", Latitude:  39.864087, Longitude:  -75.785841, SpatialReferenceObj:  *SRSID0001}</t>
  </si>
  <si>
    <t xml:space="preserve">  - {SamplingFeatureObj:  *SamplingFeatureID0006, SiteTypeCV:  "Stream", Latitude:  39.8594, Longitude:  -75.78381, SpatialReferenceObj:  *SRSID0001}</t>
  </si>
  <si>
    <t xml:space="preserve">  - {SamplingFeatureObj:  *SamplingFeatureID0007, SiteTypeCV:  "Stream", Latitude:  39.855431, Longitude:  -75.783973, SpatialReferenceObj:  *SRSID0001}</t>
  </si>
  <si>
    <t>Specimens: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</si>
  <si>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</si>
  <si>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</si>
  <si>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</si>
  <si>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</si>
  <si>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</si>
  <si>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 METHOD FOR EACH DATA COLUMN</t>
  </si>
  <si>
    <t xml:space="preserve">  - &amp;ActionID0007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</si>
  <si>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&amp;ActionID0008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</si>
  <si>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&amp;ActionID0009 {ActionTypeCV:  "Observation", MethodObj: *MethodID0002, BeginDateTime:  NULL, BeginDateTimeUTCOffset:  NULL, EndDateTime:  NULL, EndDateTimeUTCOffset:  NULL, ActionDescription:  "Generic observation action generated by YODA TimeSeries Template", ActionFileLink:  NULL}</t>
  </si>
  <si>
    <t xml:space="preserve">  - &amp;ActionID0010 {ActionTypeCV:  "Observation", MethodObj: *MethodID0003, BeginDateTime:  NULL, BeginDateTimeUTCOffset:  NULL, EndDateTime:  NULL, EndDateTimeUTCOffset:  NULL, ActionDescription:  "Generic observation action generated by YODA TimeSeries Template", ActionFileLink:  NULL}</t>
  </si>
  <si>
    <t xml:space="preserve">  - &amp;ActionID0011 {ActionTypeCV:  "Observation", MethodObj: *MethodID0004, BeginDateTime:  NULL, BeginDateTimeUTCOffset:  NULL, EndDateTime:  NULL, EndDateTimeUTCOffset:  NULL, ActionDescription:  "Generic observation action generated by YODA TimeSeries Template", ActionFileLink:  NULL}</t>
  </si>
  <si>
    <t xml:space="preserve">  - &amp;ActionID0012 {ActionTypeCV:  "Observation", MethodObj: *MethodID0005, BeginDateTime:  NULL, BeginDateTimeUTCOffset:  NULL, EndDateTime:  NULL, EndDateTimeUTCOffset:  NULL, ActionDescription:  "Generic observation action generated by YODA TimeSeries Template", ActionFileLink:  NULL}</t>
  </si>
  <si>
    <t>PLEASE FILL IN A SAMPLING FEATURE FOR EACH DATA COLUMN</t>
  </si>
  <si>
    <t>PLEASE FILL IN A PERSON RESPONSIBLE FOR EACH DATA COLUMN</t>
  </si>
  <si>
    <t xml:space="preserve">  - {DataSetObj: *DataSetID0001, ResultObj: *ResultID0001}</t>
  </si>
  <si>
    <t xml:space="preserve">  - {DataSetObj: *DataSetID0001, ResultObj: *ResultID0002}</t>
  </si>
  <si>
    <t xml:space="preserve">  - {DataSetObj: *DataSetID0001, ResultObj: *ResultID0003}</t>
  </si>
  <si>
    <t xml:space="preserve">  - {DataSetObj: *DataSetID0001, ResultObj: *ResultID0004}</t>
  </si>
  <si>
    <t xml:space="preserve">  - {DataSetObj: *DataSetID0001, ResultObj: *ResultID0005}</t>
  </si>
  <si>
    <t xml:space="preserve">  - {DataSetObj: *DataSetID0001, ResultObj: *ResultID0006}</t>
  </si>
  <si>
    <t xml:space="preserve">  - {DataSetObj: *DataSetID0001, ResultObj: *ResultID0007}</t>
  </si>
  <si>
    <t xml:space="preserve">  - {DataSetObj: *DataSetID0001, ResultObj: *ResultID0008}</t>
  </si>
  <si>
    <t xml:space="preserve">  - {DataSetObj: *DataSetID0001, ResultObj: *ResultID0009}</t>
  </si>
  <si>
    <t xml:space="preserve">  - {DataSetObj: *DataSetID0001, ResultObj: *ResultID0010}</t>
  </si>
  <si>
    <t xml:space="preserve">  - {DataSetObj: *DataSetID0001, ResultObj: *ResultID0011}</t>
  </si>
  <si>
    <t xml:space="preserve">  - {DataSetObj: *DataSetID0001, ResultObj: *ResultID0012}</t>
  </si>
  <si>
    <t xml:space="preserve">  - {DataSetObj: *DataSetID0001, ResultObj: *ResultID0013}</t>
  </si>
  <si>
    <t xml:space="preserve">  - {DataSetObj: *DataSetID0001, ResultObj: *ResultID0014}</t>
  </si>
  <si>
    <t xml:space="preserve">  - {DataSetObj: *DataSetID0001, ResultObj: *ResultID0015}</t>
  </si>
  <si>
    <t>ValueDateTime, ValueDateTimeUTCOffset, datetime, UTC Offset, sampno, site, samplemethod, Field Sample, Person Name, pH, conductivity, mndoc, alknewgran_ueql, Dionex_Nitrate_N_ppm, icp_ca, dt2, utc2 ],[</t>
  </si>
  <si>
    <t>"2011-01-05 15:36:00", -5, 1100003, STA2, Grab, TRUE, Sara Geleskie Damiano, 6.93, 222, 1.034, 1327.533422, 3.9202, 1/21/2011 4:58, -7 ],[</t>
  </si>
  <si>
    <t>"2011-01-14 13:23:00", -5, 1100072, WLYATSPENCER, Grab, TRUE, Sara Geleskie Damiano, 6.75, 717, 3.0611, 1/30/2011 3:45, -7 ],[</t>
  </si>
  <si>
    <t>"2011-02-02 14:54:00", -5, 1100185, STA2, Grab, TRUE, Sara Geleskie Damiano, 6.16, 161.2, 7.27, 570.7267648, 1.3999, 2/20/2011 13:30, -7 ],[</t>
  </si>
  <si>
    <t>"2011-02-14 16:49:00", -5, 1100230, WLYMOUTH, Grab, TRUE, Sara Geleskie Damiano, 6.94, 277, 3.3207, 3/5/2011 12:46, -7 ],[</t>
  </si>
  <si>
    <t>"2011-02-25 02:00:00", -5, 1100285, WCCPH, Automated, TRUE, Michael D Gentile, 8.01, 251, 2.083, 1048.060799, 3.3733, 3/14/2011 23:20, -7 ],[</t>
  </si>
  <si>
    <t>"2011-02-25 05:00:00", -5, 1100286, WCCPH, Automated, TRUE, Michael D Gentile, 8.06, 208, 5, 876.4265676, 2.5248, 3/5/2011 5:52, -7 ],[</t>
  </si>
  <si>
    <t>"2011-02-25 09:00:00", -5, 1100288, WCCPH, Automated, TRUE, Michael D Gentile, 7.58,  , 8.493, 557.0374162, 1.3195, 3/9/2011 17:32, -7 ],[</t>
  </si>
  <si>
    <t>"2011-02-25 12:00:00", -5, 1100290, WCCPH, Automated, TRUE, Michael D Gentile, 7.47, 116.2, 8.573, 502.0246935, 1.2861, 3/5/2011 4:54, -7 ],[</t>
  </si>
  <si>
    <t>"2011-02-25 14:00:00", -5, 1100291, WCCPH, Automated, TRUE, Michael D Gentile, 7.88, 226, 8.04, 548.4328977, 1.4149, 3/9/2011 7:15, -7 ],[</t>
  </si>
  <si>
    <t>"2011-02-25 16:00:00", -5, 1100292, WCCPH, Automated, TRUE, Michael D Gentile, 7.62, 135.5, 8.373, 586.1183522, 1.5512, 3/12/2011 11:17, -7 ],[</t>
  </si>
  <si>
    <t>"2011-02-25 23:00:00", -5, 1100293, WCCPH, Automated, TRUE, Michael D Gentile, 7.72, 183.5, 2.583, 813.3572851, 2.3633, 3/1/2011 1:53, -7 ],[</t>
  </si>
  <si>
    <t>"2011-02-26 14:00:00", -5, 1100294, WCCPH, Automated, TRUE, Michael D Gentile, 7.61, 129.2, 1.055, 983.3986094, 3.1939, 3/16/2011 9:37, -7 ],[</t>
  </si>
  <si>
    <t>"2011-03-02 13:04:00", -5, 1100338, STA2, Grab, TRUE, Sara Geleskie Damiano, 6.91, 209, 1.413, 1242.057823, 3.4064, 3/12/2011 1:06, -7 ],[</t>
  </si>
  <si>
    <t>"2011-03-06 10:00:00", -5, 1100356, WCCPH, Automated, TRUE, Michael D Gentile, 7.6, 218, 2.354, 3.8839, 3/22/2011 9:15, -7 ],[</t>
  </si>
  <si>
    <t>"2011-03-06 13:00:00", -5, 1100357, WCCPH, Automated, TRUE, Michael D Gentile, 7.38, 212, 3.019, 3.6582, 3/24/2011 0:28, -7 ],[</t>
  </si>
  <si>
    <t>"2011-03-06 17:30:00", -5, 1100358, WCCPH, Automated, TRUE, Michael D Gentile, 7.39, 168.3, 6.088, 2.7576, 3/21/2011 23:49, -7 ],[</t>
  </si>
  <si>
    <t>"2011-03-06 19:00:00", -5, 1100359, WCCPH, Automated, TRUE, Michael D Gentile, 7.31, 129.8, 8.408, 1.9297, 3/13/2011 21:12, -7 ],[</t>
  </si>
  <si>
    <t>"2011-03-06 20:30:00", -5, 1100360, WCCPH, Automated, TRUE, Michael D Gentile, 7.08, 105.5, 9.792, 1.9088, 3/21/2011 10:48, -7 ],[</t>
  </si>
  <si>
    <t>"2011-03-06 22:00:00", -5, 1100361, WCCPH, Automated, TRUE, Michael D Gentile, 7.24, 96.3, 9.52, 0.9955, 3/24/2011 22:48, -7 ],[</t>
  </si>
  <si>
    <t>"2011-03-06 23:30:00", -5, 1100362, WCCPH, Automated, TRUE, Michael D Gentile, 7.22, 97.6, 9.336, 1.0399, 3/16/2011 16:38, -7 ],[</t>
  </si>
  <si>
    <t>"2011-03-07 02:30:00", -5, 1100363, WCCPH, Automated, TRUE, Michael D Gentile, 7.25, 98.9, 8.952, 1.0529, 3/24/2011 18:49, -7 ],[</t>
  </si>
  <si>
    <t>"2011-03-07 04:00:00", -4, 1100364, WCCPH, Automated, TRUE, Michael D Gentile, 7.02, 106.4, 8.496, 1.1631, 3/20/2011 11:52, -7 ],[</t>
  </si>
  <si>
    <t>"2011-03-07 05:30:00", -5, 1100365, WCCPH, Automated, TRUE, Michael D Gentile, 7.28, 117.5, 7.896, 1.3868, 3/21/2011 10:56, -7 ],[</t>
  </si>
  <si>
    <t>"2011-03-07 07:00:00", -5, 1100366, WCCPH, Automated, TRUE, Michael D Gentile, 7.34, 129.1, 7.576, 1.6222, 3/21/2011 22:34, -7 ],[</t>
  </si>
  <si>
    <t>"2011-03-07 11:30:00", -5, 1100367, WCCPH, Automated, TRUE, Michael D Gentile, 7.43, 162.7, 5.704, 2.1259, 3/7/2011 13:55, -7 ],[</t>
  </si>
  <si>
    <t>"2011-03-14 16:48:00", -4, 1100429, WLYATSPENCER, Grab, TRUE, Sara Geleskie Damiano, 6.73, 480, 6.6342, 3/30/2011 1:00, -7 ],[</t>
  </si>
  <si>
    <t>"2011-03-14 17:11:00", -4, 1100430, WLYMOUTH, Grab, TRUE, Sara Geleskie Damiano, 7.14, 346, 9.3012, 3/22/2011 20:09, -7 ],[</t>
  </si>
  <si>
    <t>"2011-04-06 15:04:00", -4, 1100553, STA2, Grab, TRUE, Sara Geleskie Damiano, 6.99, 202, 1.497, 1208.046491, 3.2324, 4/16/2011 17:55, -7 ],[</t>
  </si>
  <si>
    <t>"2011-04-11 14:25:00", -4, 1100563, WLYATSPENCER, Grab, TRUE, Sara Geleskie Damiano, 6.92, 291, 2.7702, 4/17/2011 17:23, -7 ],[</t>
  </si>
  <si>
    <t>"2011-04-11 16:21:00", -4, 1100564, WLYMOUTH, Grab, TRUE, Sara Geleskie Damiano, 7.48, 369, 8.9139, 4/12/2011 10:21, -7 ],[</t>
  </si>
  <si>
    <t>"2011-04-13 00:00:00", -4, 1100585, WCCPH, Automated, TRUE, Michael D Gentile, 7.32, 150, 7.92, 1.5914, 4/28/2011 8:01, -7 ],[</t>
  </si>
  <si>
    <t>"2011-04-13 01:00:00", -4, 1100586, WCCPH, Automated, TRUE, Michael D Gentile, 7.09, 144.6, 7.313, 1.4037, 4/21/2011 18:38, -7 ],[</t>
  </si>
  <si>
    <t>"2011-04-13 02:00:00", -4, 1100587, WCCPH, Automated, TRUE, Michael D Gentile, 7.23, 128.7, 8.61, 1.15, 4/16/2011 22:54, -7 ],[</t>
  </si>
  <si>
    <t>"2011-04-16 14:00:00", -4, 1100604, WCCPH, Automated, TRUE, Michael D Gentile, 7.81, 215, 2.54, 1073.61656, 3.0603, 5/6/2011 0:05, -7 ],[</t>
  </si>
  <si>
    <t>"2011-04-16 17:00:00", -4, 1100605, WCCPH, Automated, TRUE, Michael D Gentile, 7.61, 145.5, 6.68, 784.6809348, 1.4239, 5/6/2011 14:29, -7 ],[</t>
  </si>
  <si>
    <t>"2011-04-16 19:00:00", -4, 1100606, WCCPH, Automated, TRUE, Michael D Gentile, 7.39, 121.2, 7.88, 634.0302408, 0.9761, 4/20/2011 15:25, -7 ],[</t>
  </si>
  <si>
    <t>"2011-04-16 20:00:00", -4, 1100607, WCCPH, Automated, TRUE, Michael D Gentile, 7.38, 107.1, 7.973, 564.2048987, 0.8714, 5/2/2011 6:51, -7 ],[</t>
  </si>
  <si>
    <t>"2011-04-16 21:00:00", -4, 1100608, WCCPH, Automated, TRUE, Michael D Gentile, 7.38, 91.8, 8.347, 495.1921279, 0.6794, 4/30/2011 5:30, -7 ],[</t>
  </si>
  <si>
    <t>"2011-04-16 22:00:00", -4, 1100609, WCCPH, Automated, TRUE, Michael D Gentile, 7.47, 98.1, 8.04, 552.5075184, 0.8334, 4/19/2011 0:34, -7 ],[</t>
  </si>
  <si>
    <t>"2011-04-17 01:00:00", -4, 1100610, WCCPH, Automated, TRUE, Michael D Gentile, 7.52, 106.8, 8.333, 621.7713318, 0.9403, 4/21/2011 9:29, -7 ],[</t>
  </si>
  <si>
    <t>"2011-04-17 05:00:00", -4, 1100611, WCCPH, Automated, TRUE, Michael D Gentile, 7.66, 137.7, 7.147, 763.095916, 1.471, 4/17/2011 7:51, -7 ],[</t>
  </si>
  <si>
    <t>"2011-04-17 09:00:00", -4, 1100612, WCCPH, Automated, TRUE, Michael D Gentile, 7.75, 163.4, 5.32, 876.8804881, 1.9767, 4/30/2011 1:34, -7 ],[</t>
  </si>
  <si>
    <t>"2011-04-17 13:00:00", -4, 1100613, WCCPH, Automated, TRUE, Michael D Gentile, 7.79, 180.7, 4.08, 944.6625475, 2.3449, 5/3/2011 5:16, -7 ],[</t>
  </si>
  <si>
    <t>"2011-05-04 15:20:00", -4, 1100741, STA2, Grab, TRUE, Sara Geleskie Damiano, 6.56, 172.15, 6.028, 1095.494036, 2.0329, 5/22/2011 15:29, -7 ],[</t>
  </si>
  <si>
    <t>"2011-06-01 14:03:00", -4, 1101233, STA2, Grab, TRUE, Sara Geleskie Damiano, 6.62, 225, 1.736, 1322.034792, 3.6877, 6/12/2011 18:42, -7 ],[</t>
  </si>
  <si>
    <t>"2011-06-13 17:07:00", -4, 1101468, WLYMOUTH, Grab, TRUE, Sara Geleskie Damiano, 7.34, 406, 10.9327, 6/30/2011 23:15, -7 ],[</t>
  </si>
  <si>
    <t>"2011-06-24 12:45:00", -4, 1101579, WCCPH, Automated, TRUE, J Denis Newbold, 7.29, 200.75, 5.703, 977.139724, 3.6281, 6/28/2011 8:33, -7 ],[</t>
  </si>
  <si>
    <t>"2011-06-24 13:36:00", -4, 1101580, WCCPH, Grab, TRUE, J Denis Newbold, 7.11, 205, 5.746, 1035.325953, 3.629, 7/7/2011 16:18, -7 ],[</t>
  </si>
  <si>
    <t>"2011-06-24 14:06:00", -4, 1101581, WCCPH, Automated, TRUE, Sara Geleskie Damiano, 7.45, 212, 6/25/2011 15:04, -7 ],[</t>
  </si>
  <si>
    <t>"2011-06-24 14:36:00", -4, 1101582, WCCPH, Automated, TRUE, Sara Geleskie Damiano, 7.45, 208, 7/4/2011 13:53, -7 ],[</t>
  </si>
  <si>
    <t>"2011-06-24 15:06:00", -4, 1101583, WCCPH, Automated, TRUE, Sara Geleskie Damiano, 7.47, 211, 6/30/2011 16:08, -7 ],[</t>
  </si>
  <si>
    <t>"2011-06-24 15:36:00", -4, 1101584, WCCPH, Automated, TRUE, Sara Geleskie Damiano, 7.44, 212, 4.844, 1074.04729, 3.3656, 6/25/2011 12:08, -7 ],[</t>
  </si>
  <si>
    <t>"2011-06-24 16:06:00", -4, 1101585, WCCPH, Automated, TRUE, Sara Geleskie Damiano, 7.47, 217, 6/26/2011 2:49, -7 ],[</t>
  </si>
  <si>
    <t>"2011-06-24 16:36:00", -4, 1101586, WCCPH, Automated, TRUE, Sara Geleskie Damiano, 7.49, 219, 7/12/2011 21:41, -7 ],[</t>
  </si>
  <si>
    <t>"2011-06-24 17:06:00", -4, 1101587, WCCPH, Automated, TRUE, Sara Geleskie Damiano, 7.47, 221, 6/26/2011 4:56, -7 ],[</t>
  </si>
  <si>
    <t>"2011-06-24 17:30:00", -4, 1101589, WCCPH, Automated, TRUE, Sara Geleskie Damiano, 7.72, 223, 7/9/2011 7:51, -7 ],[</t>
  </si>
  <si>
    <t>"2011-06-24 19:00:00", -4, 1101590, WCCPH, Automated, TRUE, Sara Geleskie Damiano, 7.66, 226, 7/13/2011 13:25, -7 ],[</t>
  </si>
  <si>
    <t>"2011-06-24 20:30:00", -4, 1101591, WCCPH, Automated, TRUE, Sara Geleskie Damiano, 7.65, 225, 7/3/2011 8:39, -7 ],[</t>
  </si>
  <si>
    <t>"2011-06-24 22:00:00", -4, 1101592, WCCPH, Automated, TRUE, Sara Geleskie Damiano, 7.65, 220, 4.574, 1127.968352, 3.4697, 6/26/2011 10:54, -7 ],[</t>
  </si>
  <si>
    <t>"2011-06-24 23:30:00", -4, 1101593, WCCPH, Automated, TRUE, Sara Geleskie Damiano, 7.67, 226, 7/8/2011 2:39, -7 ],[</t>
  </si>
  <si>
    <t>"2011-06-25 01:00:00", -4, 1101594, WCCPH, Automated, TRUE, Sara Geleskie Damiano, 7.7, 229, 7/7/2011 7:37, -7 ],[</t>
  </si>
  <si>
    <t>"2011-06-25 02:30:00", -4, 1101595, WCCPH, Automated, TRUE, Sara Geleskie Damiano, 7.68, 230, 6/27/2011 20:07, -7 ],[</t>
  </si>
  <si>
    <t>"2011-06-25 04:00:00", -4, 1101596, WCCPH, Automated, TRUE, Sara Geleskie Damiano, 7.71, 231, 6/30/2011 13:15, -7 ],[</t>
  </si>
  <si>
    <t>"2011-06-25 05:30:00", -4, 1101597, WCCPH, Automated, TRUE, Sara Geleskie Damiano, 7.5, 234, 6/28/2011 17:01, -7 ],[</t>
  </si>
  <si>
    <t>"2011-06-25 07:00:00", -4, 1101598, WCCPH, Automated, TRUE, Sara Geleskie Damiano, 7.7, 233, 7/6/2011 2:20, -7 ],[</t>
  </si>
  <si>
    <t>"2011-06-25 08:30:00", -4, 1101599, WCCPH, Automated, TRUE, Sara Geleskie Damiano, 7.71, 233, 7/8/2011 3:22, -7 ],[</t>
  </si>
  <si>
    <t>"2011-06-25 10:00:00", -4, 1101600, WCCPH, Automated, TRUE, Sara Geleskie Damiano, 7.61, 231, 7/6/2011 21:04, -7 ],[</t>
  </si>
  <si>
    <t>"2011-07-07 17:21:00", -4, 1101773, STA2, Grab, TRUE, Sara Geleskie Damiano, 6.19, 228.5, 1.43, 1357.882645, 3.6748, 7/12/2011 5:24, -7 ],[</t>
  </si>
  <si>
    <t>"2011-08-03 10:27:00", -4, 1102196, WCD478, Grab, TRUE, Sara Geleskie Damiano, 6.75, 236.5, 1.58, 1344.553305, 3.6771, 8/3/2011 10:37, -7 ],[</t>
  </si>
  <si>
    <t>"2011-08-03 11:00:00", -4, 1102197, WCCLAB, Grab, TRUE, Sara Geleskie Damiano, 7.23, 227.5, 1.446, 1235.967273, 3.9413, 8/11/2011 14:31, -7 ],[</t>
  </si>
  <si>
    <t>"2011-08-03 12:37:00", -4, 1102198, STA2, Grab, TRUE, Sara Geleskie Damiano, 7.28, 227.5, 1.342, 1350.323926, 3.7028, 8/20/2011 19:37, -7 ],[</t>
  </si>
  <si>
    <t>"2011-09-14 13:37:00", -4, 1103088, WCD478, Grab, TRUE, Sara Geleskie Damiano, 6.98, 251, 1.88, 1265.243235, 3.8039, 9/26/2011 23:25, -7 ],[</t>
  </si>
  <si>
    <t>"2011-09-14 14:31:00", -4, 1103090, STA2, Grab, TRUE, Sara Geleskie Damiano, 6.92, 240, 1.838, 1256.912717, 3.5762, 10/1/2011 7:09, -7 ],[</t>
  </si>
  <si>
    <t>"2011-09-14 15:30:00", -4, 1103089, WCCLAB, Grab, TRUE, Sara Geleskie Damiano, 6.89, 250, 1.892, 1128.35035, 3.807, 9/16/2011 1:00, -7 ],[</t>
  </si>
  <si>
    <t>"2011-10-05 10:47:00", -4, 1103341, WCD478, Grab, TRUE, Sara Geleskie Damiano, 7.708, 226, 1.714, 1291.301309, 3.7261, 10/10/2011 6:06, -7 ],[</t>
  </si>
  <si>
    <t>"2011-10-05 11:48:00", -4, 1103343, STA2, Grab, TRUE, Sara Geleskie Damiano, 7.62, 218.5, 1.712, 1288.421588, 3.5302, 10/24/2011 22:51, -7 ],[</t>
  </si>
  <si>
    <t>"2011-10-05 16:24:00", -4, 1103342, WCCLAB, Grab, TRUE, J Denis Newbold, 7.63, 220, 1.77, 1231.934299, 3.7629, 10/10/2011 17:03, -7 ],[</t>
  </si>
  <si>
    <t>"2011-10-11 18:44:00", -4, 1103386, WLYATSPENCER, Grab, TRUE, Sara Geleskie Damiano, 6.976, 293, 1.4884, 10/30/2011 22:15, -7 ],[</t>
  </si>
  <si>
    <t>"2011-10-11 19:11:00", -4, 1103387, WLYMOUTH, Grab, TRUE, Sara Geleskie Damiano, 7.458, 356, 9.7346, 10/28/2011 5:42, -7 ],[</t>
  </si>
  <si>
    <t>"2011-11-02 12:17:00", -4, 1103685, WCD478, Grab, TRUE, Sara Geleskie Damiano, 7.694, 190.1, 1.808, 1267.870137, 3.7192, 11/15/2011 0:16, -7 ],[</t>
  </si>
  <si>
    <t>"2011-11-02 13:27:00", -4, 1103687, STA2, Grab, TRUE, Sara Geleskie Damiano, 7.675, 199.3, 1.781, 3.5465, 11/11/2011 15:54, -7 ],[</t>
  </si>
  <si>
    <t>"2011-11-02 14:11:00", -4, 1103686, WCCLAB, Grab, TRUE, Sara Geleskie Damiano, 7.711, 199.1, 1.857, 1193.079986, 3.7437, 11/17/2011 18:04, -7 ],[</t>
  </si>
  <si>
    <t>"2011-11-22 12:00:00", -5, 1104011, WCCPH, Automated, TRUE, Sara Geleskie Damiano, 7.567, 202, 2.812, 958.1705012, 3.5222, 12/6/2011 3:41, -7 ],[</t>
  </si>
  <si>
    <t>"2011-11-22 18:00:00", -5, 1104012, WCCPH, Automated, TRUE, Sara Geleskie Damiano, 7.44, 181.7, 6.014, 884.3030977, 2.3818, 12/1/2011 23:46, -7 ],[</t>
  </si>
  <si>
    <t>"2011-11-22 20:00:00", -5, 1104013, WCCPH, Automated, TRUE, Sara Geleskie Damiano, 7.275, 140.6, 9.306, 824.3210082, 1.5264, 12/10/2011 12:58, -7 ],[</t>
  </si>
  <si>
    <t>"2011-11-22 22:00:00", -5, 1104014, WCCPH, Automated, TRUE, Sara Geleskie Damiano, 7.189, 106.2, 10.924, 625.9038129, 1.0838, 11/24/2011 0:16, -7 ],[</t>
  </si>
  <si>
    <t>"2011-11-23 04:00:00", -5, 1104015, WCCPH, Automated, TRUE, Sara Geleskie Damiano, 7.178, 106.4, 9.332, 632.7262113, 1.2443, 11/27/2011 7:57, -7 ],[</t>
  </si>
  <si>
    <t>"2011-11-23 05:00:00", -5, 1104016, WCCPH, Automated, TRUE, Sara Geleskie Damiano, 7.051, 85.8, 9.42, 502.6257961, 0.9683, 12/10/2011 8:59, -7 ],[</t>
  </si>
  <si>
    <t>"2011-11-23 06:00:00", -5, 1104017, WCCPH, Automated, TRUE, Sara Geleskie Damiano, 7.064, 70.8, 9.672, 449.2878742, 0.7692, 12/3/2011 1:41, -7 ],[</t>
  </si>
  <si>
    <t>"2011-11-23 07:00:00", -5, 1104018, WCCPH, Automated, TRUE, Sara Geleskie Damiano, 7.105, 76.5, 10.052, 475.5877575, 0.7991, 12/8/2011 16:10, -7 ],[</t>
  </si>
  <si>
    <t>"2011-11-23 11:00:00", -5, 1104019, WCCPH, Automated, TRUE, Sara Geleskie Damiano, 7.19, 111.7, 8.532, 698.1123458, 1.5231, 12/7/2011 23:59, -7 ],[</t>
  </si>
  <si>
    <t>"2011-11-23 15:00:00", -5, 1104020, WCCPH, Automated, TRUE, Sara Geleskie Damiano, 7.315, 130, 8.088, 809.6893027, 1.6701, 12/11/2011 11:19, -7 ],[</t>
  </si>
  <si>
    <t>"2011-12-14 11:59:00", -5, 1104171, STA2, Grab, TRUE, Sara Geleskie Damiano, 7.46, 184.5, 1.294, 1199.483215, 3.7983, 1/2/2012 16:45, -7 ],[</t>
  </si>
  <si>
    <t>"2011-12-14 12:32:00", -5, 1104169, WCD478, Grab, TRUE, Sara Geleskie Damiano, 7.501, 184.7, 1.216, 1186.81862, 4.109, 1/2/2012 23:11, -7 ],[</t>
  </si>
  <si>
    <t>"2011-12-14 12:50:00", -5, 1104170, WCCLAB, Grab, TRUE, Sara Geleskie Damiano, 7.452, 189.8, 1.294, 1117.783055, 4.025, 12/23/2011 12:43, -7 ],[</t>
  </si>
  <si>
    <t>"2012-01-04 13:36:00", -5, 1200024, STA2, Grab, TRUE, Sara Geleskie Damiano, 7.473, 192.1, 0.802, 1189.75084, 4.1292, 1/6/2012 11:23, -7 ],[</t>
  </si>
  <si>
    <t>"2012-01-04 14:18:00", -5, 1200023, WCCLAB, Grab, TRUE, Sara Geleskie Damiano, 7.268, 194.6, 0.798, 1112.500548, 4.4061, 1/9/2012 9:29, -7 ],[</t>
  </si>
  <si>
    <t>"2012-01-04 14:43:00", -5, 1200022, WCD478, Grab, TRUE, Sara Geleskie Damiano, 7.459, 204, 0.782, 1178.485531, 3.6818, 1/11/2012 23:12, -7 ],[</t>
  </si>
  <si>
    <t>"2012-01-11 19:00:00", -5, 1200045, BOULTON_PATH, Automated, TRUE, Diana L Karwan, 7.356, 153.4, 1.008, 501.3690704, 3.4653, 1/23/2012 10:59, -7 ],[</t>
  </si>
  <si>
    <t>"2012-01-11 20:00:00", -5, 1200030, WCCPH, Automated, TRUE, Michael D Gentile, 7.605, 228, 1.144, 1059.032604, 4.0959, 1/28/2012 22:23, -7 ],[</t>
  </si>
  <si>
    <t>"2012-01-12 00:00:00", -5, 1200046, BOULTON_PATH, Automated, TRUE, Diana L Karwan, 7.264, 132, 2.576, 390.2634418, 3.1014, 1/22/2012 2:52, -7 ],[</t>
  </si>
  <si>
    <t>"2012-01-12 01:00:00", -5, 1200031, WCCPH, Automated, TRUE, Michael D Gentile, 7.493, 193.3, 2.411, 850.9793138, 3.4398, 1/18/2012 18:50, -7 ],[</t>
  </si>
  <si>
    <t>"2012-01-12 03:00:00", -5, 1200032, WCCPH, Automated, TRUE, Michael D Gentile, 7.419, 166.4, 4.707, 771.7780808, 2.3197, 1/24/2012 4:14, -7 ],[</t>
  </si>
  <si>
    <t>"2012-01-12 04:00:00", -5, 1200047, BOULTON_PATH, Automated, TRUE, Diana L Karwan, 6.945, 118.6, 3.288, 323.9633189, 3.2843, 1/27/2012 7:26, -7 ],[</t>
  </si>
  <si>
    <t>"2012-01-12 05:00:00", -5, 1200033, WCCPH, Automated, TRUE, Michael D Gentile, 7.19, 131.1, 6.053, 634.3742899, 1.6394, 1/19/2012 7:25, -7 ],[</t>
  </si>
  <si>
    <t>"2012-01-12 05:00:00", -5, 1200048, BOULTON_PATH, Automated, TRUE, Diana L Karwan, 6.941, 74.8, 3.375, 195.8759784, 2.1496, 1/12/2012 19:10, -7 ],[</t>
  </si>
  <si>
    <t>"2012-01-12 06:00:00", -5, 1200034, WCCPH, Automated, TRUE, Michael D Gentile, 7.065, 86.3, 5.893, 416.6658325, 0.9234, 1/21/2012 5:54, -7 ],[</t>
  </si>
  <si>
    <t>"2012-01-12 07:00:00", -5, 1200035, WCCPH, Automated, TRUE, Michael D Gentile, 7.069, 65.8, 6.44, 338.7387402, 0.6632, 1/13/2012 17:06, -7 ],[</t>
  </si>
  <si>
    <t>"2012-01-12 08:00:00", -5, 1200036, WCCPH, Automated, TRUE, Michael D Gentile, 7.106, 70.8, 6.56, 394.5595921, 0.7129, 1/22/2012 16:38, -7 ],[</t>
  </si>
  <si>
    <t>"2012-01-12 09:00:00", -5, 1200037, WCCPH, Automated, TRUE, Michael D Gentile, 7.179, 86.3, 6.493, 473.1762211, 0.9414, 1/14/2012 12:00, -7 ],[</t>
  </si>
  <si>
    <t>"2012-01-12 10:00:00", -5, 1200049, BOULTON_PATH, Automated, TRUE, Diana L Karwan, 7.027, 80.1, 4.627, 202.5184964, 2.8592, 1/22/2012 1:35, -7 ],[</t>
  </si>
  <si>
    <t>"2012-01-12 13:00:00", -5, 1200038, WCCPH, Automated, TRUE, Sara Geleskie Damiano, 7.388, 119.9, 5.187, 670.6142664, 1.7061, 1/19/2012 0:36, -7 ],[</t>
  </si>
  <si>
    <t>"2012-01-12 14:00:00", -5, 1200050, BOULTON_PATH, Automated, TRUE, Diana L Karwan, 7.254, 84.6, 2.999, 241.3465531, 3.3077, 1/17/2012 6:24, -7 ],[</t>
  </si>
  <si>
    <t>"2012-01-12 19:00:00", -5, 1200039, WCCPH, Automated, TRUE, Sara Geleskie Damiano, 7.448, 156.7, 3.439, 853.703363, 2.4734, 1/29/2012 15:49, -7 ],[</t>
  </si>
  <si>
    <t>"2012-01-26 12:13:00", -5, 1200090, WLYATSPENCER, Grab, TRUE, Sara Geleskie Damiano, 6.844, 268, 1.97, 4.6278, 2/2/2012 19:45, -7 ],[</t>
  </si>
  <si>
    <t>"2012-01-26 12:57:00", -5, 1200091, WLYMOUTH, Grab, TRUE, Sara Geleskie Damiano, 7.342, 321, 1.413, 9.2428, 1/30/2012 3:38, -7 ],[</t>
  </si>
  <si>
    <t>"2012-02-01 12:57:00", -5, 1200138, STA2, Grab, TRUE, Sara Geleskie Damiano, 7.522, 178.8, 0.933, 1159.093252, 3.7629, 2/18/2012 5:54, -7 ],[</t>
  </si>
  <si>
    <t>"2012-02-01 14:19:00", -5, 1200136, WCD478, Grab, TRUE, Sara Geleskie Damiano, 7.68, 181.2, 0.946, 1132.152979, 4.0262, 2/3/2012 22:39, -7 ],[</t>
  </si>
  <si>
    <t>"2012-02-01 14:38:00", -5, 1200137, WCCLAB, Grab, TRUE, Sara Geleskie Damiano, 7.507, 183.6, 0.966, 1078.067419, 4.0162, 2/14/2012 23:27, -7 ],[</t>
  </si>
  <si>
    <t>"2012-02-29 14:00:00", -5, 1200292, WCCPH, Automated, TRUE, Diana L Karwan, 7.475, 135.2, 4.483, 3/17/2012 14:52, -7 ],[</t>
  </si>
  <si>
    <t>"2012-02-29 22:00:00", -5, 1200293, WCCPH, Automated, TRUE, Diana L Karwan, 7.311, 115.4, 5.423, 3/5/2012 10:05, -7 ],[</t>
  </si>
  <si>
    <t>"2012-03-01 09:00:00", -5, 1200294, WCCPH, Automated, TRUE, Diana L Karwan, 7.448, 154.2, 3.083, 3/20/2012 16:28, -7 ],[</t>
  </si>
  <si>
    <t>"2012-03-07 13:39:00", -5, 1200346, STA2, Grab, TRUE, Sara Geleskie Damiano, 7.582, 184.6, 1.047, 1198.798924, 3.7881, 3/12/2012 17:36, -7 ],[</t>
  </si>
  <si>
    <t>"2012-03-07 15:30:00", -5, 1200345, WCCLAB, Grab, TRUE, Sara Geleskie Damiano, 7.54, 176.8, 1.15, 1128.434324, 4.0792, 3/18/2012 13:20, -7 ],[</t>
  </si>
  <si>
    <t>"2012-03-07 15:47:00", -5, 1200344, WCD478, Grab, TRUE, Sara Geleskie Damiano, 7.543, 180.7, 1.093, 1182.589456, 4.0665, 3/9/2012 21:13, -7 ],[</t>
  </si>
  <si>
    <t>"2012-04-04 15:52:00", -4, 1200517, STA2, Grab, TRUE, Sara Geleskie Damiano, 7.505, 184.8, 1.353, 1261.674928, 3.396, 4/10/2012 5:38, -7 ],[</t>
  </si>
  <si>
    <t>"2012-04-04 16:40:00", -4, 1200516, WCCLAB, Grab, TRUE, Sara Geleskie Damiano, 7.705, 192.8, 1.31, 1186.18696, 3.7467, 4/13/2012 14:11, -7 ],[</t>
  </si>
  <si>
    <t>"2012-04-04 17:05:00", -4, 1200515, WCD478, Grab, TRUE, Sara Geleskie Damiano, 7.79, 181.3, 1.31, 1252.236197, 3.7239, 4/18/2012 23:19, -7 ],[</t>
  </si>
  <si>
    <t>"2012-04-10 17:59:00", -4, 1200529, WLYATSPENCER, Grab, TRUE, Sara Geleskie Damiano, 7.022, 379, 2.55, 3.5766, 4/24/2012 5:06, -7 ],[</t>
  </si>
  <si>
    <t>"2012-04-10 18:21:00", -4, 1200530, WLYMOUTH, Grab, TRUE, Sara Geleskie Damiano, 7.585, 401, 1.327, 11.1021, 4/12/2012 21:33, -7 ],[</t>
  </si>
  <si>
    <t>"2012-04-21 14:00:00", -4, 1200779, WCCPH, Automated, TRUE, Diana L Karwan, 7.632, 209, 2.664, 1259.376144, 3.4027, 5/7/2012 9:00, -7 ],[</t>
  </si>
  <si>
    <t>"2012-04-22 11:00:00", -4, 1200780, WCCPH, Automated, TRUE, Diana L Karwan, 7.766, 211, 2.397, 1227.988686, 3.4157, 4/27/2012 23:51, -7 ],[</t>
  </si>
  <si>
    <t>"2012-04-22 16:00:00", -4, 1200781, WCCPH, Automated, TRUE, Diana L Karwan, 7.614, 190.5, 3.632, 1129.308161, 2.7587, 5/8/2012 20:58, -7 ],[</t>
  </si>
  <si>
    <t>"2012-04-22 20:00:00", -4, 1200782, WCCPH, Automated, TRUE, Diana L Karwan, 7.462, 148.3, 7.92, 834.0399702, 1.5793, 4/27/2012 15:38, -7 ],[</t>
  </si>
  <si>
    <t>"2012-04-22 21:00:00", -4, 1200783, WCCPH, Automated, TRUE, Diana L Karwan, 7.335, 120.2, 9.24, 682.6668804, 1.1954, 5/9/2012 5:19, -7 ],[</t>
  </si>
  <si>
    <t>"2012-04-22 22:00:00", -4, 1200784, WCCPH, Automated, TRUE, Diana L Karwan, 7.336, 100.8, 10.027, 580.3083011, 0.9674, 4/26/2012 19:23, -7 ],[</t>
  </si>
  <si>
    <t>"2012-04-22 23:00:00", -4, 1200785, WCCPH, Automated, TRUE, Diana L Karwan, 7.262, 93.1, 10.227, 550.007748, 0.8905, 5/7/2012 3:57, -7 ],[</t>
  </si>
  <si>
    <t>"2012-04-23 03:00:00", -4, 1200789, WCCPH, Automated, TRUE, Diana L Karwan, 7.321, 108.1, 9.427, 632.6677443, 1.0879, 4/26/2012 16:24, -7 ],[</t>
  </si>
  <si>
    <t>"2012-04-23 10:00:00", -4, 1200790, WCCPH, Automated, TRUE, Diana L Karwan, 7.488, 153.5, 6.4, 883.4998332, 1.8666, 5/9/2012 0:59, -7 ],[</t>
  </si>
  <si>
    <t>"2012-04-24 03:00:00", -4, 1200791, WCCPH, Automated, TRUE, Diana L Karwan, 7.519, 167.8, 2.735, 1125.15437, 3.0978, 4/25/2012 6:24, -7 ],[</t>
  </si>
  <si>
    <t>"2012-05-02 13:21:00", -4, 1200881, STA2, Grab, TRUE, Sara Geleskie Damiano, 7.453, 181.6, 1.92, 1300.434976, 3.0327, 5/3/2012 20:12, -7 ],[</t>
  </si>
  <si>
    <t>"2012-05-02 14:17:00", -4, 1200879, WCD478, Grab, TRUE, Sara Geleskie Damiano, 7.74, 189.6, 1.65, 1257.854549, 3.5011, 5/17/2012 11:02, -7 ],[</t>
  </si>
  <si>
    <t>"2012-05-02 15:03:00", -4, 1200880, WCCLAB, Grab, TRUE, Sara Geleskie Damiano, 7.592, 192.2, 1.87, 1222.423251, 3.3414, 5/10/2012 2:52, -7 ],[</t>
  </si>
  <si>
    <t>"2012-06-06 15:38:00", -4, 1201280, STA2, Grab, TRUE, Sara Geleskie Damiano, 7.505, 213, 1.334, 1392.592455, 3.4992, 6/8/2012 12:15, -7 ],[</t>
  </si>
  <si>
    <t>"2012-06-06 16:09:00", -4, 1201278, WCD478, Grab, TRUE, Sara Geleskie Damiano, 7.663, 207, 1.402, 1378.652258, 3.6892, 6/15/2012 22:36, -7 ],[</t>
  </si>
  <si>
    <t>"2012-06-06 16:31:00", -4, 1201279, WCCLAB, Grab, TRUE, Sara Geleskie Damiano, 7.546, 223, 1.378, 1297.24692, 3.7732, 6/26/2012 12:45, -7 ],[</t>
  </si>
  <si>
    <t>"2012-06-22 18:48:00", -4, 1201403, WLYMOUTH, Grab, TRUE, Sara Geleskie Damiano, 7.546, 424, 1.643, 11.8854, 7/12/2012 4:28, -7 ],[</t>
  </si>
  <si>
    <t>"2012-07-11 16:53:00", -4, 1201706, STA2, Grab, TRUE, Sara Geleskie Damiano, 7.659, 203, 1.213, 1403.677439, 3.7189, 7/21/2012 20:29, -7 ],[</t>
  </si>
  <si>
    <t>"2012-07-11 17:28:00", -4, 1201704, WCD478, Grab, TRUE, Sara Geleskie Damiano, 7.987, 189.9, 1.28, 1411.204515, 3.8707, 7/27/2012 16:19, -7 ],[</t>
  </si>
  <si>
    <t>"2012-07-11 18:07:00", -4, 1201705, WCCLAB, Grab, TRUE, Sara Geleskie Damiano, 7.722, 201, 1.25, 1346.024666, 4.0084, 7/16/2012 10:35, -7 ],[</t>
  </si>
  <si>
    <t>"2012-07-18 16:31:00", -4, 1201756, WLYMOUTH, Grab, TRUE, Sara Geleskie Damiano, 7.464, 451, 2.023, 12.4695, 8/6/2012 1:45, -7 ],[</t>
  </si>
  <si>
    <t>"2012-08-08 15:50:00", -4, 1202111, WCD478, Grab, TRUE, Sara Geleskie Damiano, 7.69, 219, 1.514, 1434.712499, 3.5637, 8/14/2012 19:03, -7 ],[</t>
  </si>
  <si>
    <t>"2012-08-08 16:41:00", -4, 1202112, WCCLAB, Grab, TRUE, Sara Geleskie Damiano, 7.604, 211, 1.408, 1376.144837, 3.8052, 8/22/2012 16:54, -7 ],[</t>
  </si>
  <si>
    <t>"2012-08-08 17:18:00", -4, 1202113, STA2, Grab, TRUE, Sara Geleskie Damiano, 7.563, 204, 1.338, 1436.712583, 3.5631, 8/17/2012 11:53, -7 ],[</t>
  </si>
  <si>
    <t>"2012-08-16 13:49:00", -4, 1202219, WLYMOUTH, Grab, TRUE, Sara Geleskie Damiano, 7.827, 474, 2.036, 12.4665, 8/19/2012 1:08, -7 ],[</t>
  </si>
  <si>
    <t>"2012-09-05 11:02:00", -4, 1202392, STA2, Grab, TRUE, Sara Geleskie Damiano, 7.445, 211, 2.377, 1466.212761, 3.3224, 9/14/2012 14:58, -7 ],[</t>
  </si>
  <si>
    <t>"2012-09-05 12:23:00", -4, 1202391, WCCLAB, Grab, TRUE, Sara Geleskie Damiano, 7.429, 207, 2.42, 1385.410815, 3.5831, 9/7/2012 17:35, -7 ],[</t>
  </si>
  <si>
    <t>"2012-09-05 12:58:00", -4, 1202390, WCD478, Grab, TRUE, Sara Geleskie Damiano, 7.69, 213, 2.53, 1431.521502, 2.5915, 9/8/2012 3:00, -7 ],[</t>
  </si>
  <si>
    <t>"2012-09-18 01:00:00", -4, 1202621, WCCPH, Automated, TRUE, Michael D Gentile, 9/25/2012 19:55, -7 ],[</t>
  </si>
  <si>
    <t>"2012-09-18 07:00:00", -4, 1202622, WCCPH, Automated, TRUE, Michael D Gentile, 10/2/2012 11:23, -7 ],[</t>
  </si>
  <si>
    <t>"2012-09-18 16:00:00", -4, 1202623, WCCPH, Automated, TRUE, Michael D Gentile, 8.027, 215, 5.273, 1168.943399, 2.8032, 9/22/2012 5:12, -7 ],[</t>
  </si>
  <si>
    <t>"2012-09-18 17:00:00", -4, 1202624, WCCPH, Automated, TRUE, Michael D Gentile, 7.903, 204, 5.047, 1112.017077, 2.6474, 9/22/2012 5:22, -7 ],[</t>
  </si>
  <si>
    <t>"2012-09-18 18:00:00", -4, 1202625, WCCPH, Automated, TRUE, Michael D Gentile, 7.611, 152.3, 8.04, 724.361044, 1.8281, 10/6/2012 10:52, -7 ],[</t>
  </si>
  <si>
    <t>"2012-09-18 19:00:00", -4, 1202626, WCCPH, Automated, TRUE, Michael D Gentile, 7.619, 166.4, 7.677, 851.6735086, 0.0207, 9/28/2012 17:51, -7 ],[</t>
  </si>
  <si>
    <t>"2012-09-18 20:00:00", -4, 1202627, WCCPH, Automated, TRUE, Michael D Gentile, 7.976, 158.1, 8.483, 737.6610234, 1.8071, 9/19/2012 21:06, -7 ],[</t>
  </si>
  <si>
    <t>"2012-09-18 21:00:00", -4, 1202628, WCCPH, Automated, TRUE, Michael D Gentile, 7.818, 160.8, 9.117, 714.5746506, 1.7418, 9/19/2012 19:55, -7 ],[</t>
  </si>
  <si>
    <t>"2012-09-18 23:00:00", -4, 1202629, WCCPH, Automated, TRUE, Michael D Gentile, 7.932, 204, 9.287, 767.9636951, 1.6595, 9/29/2012 17:55, -7 ],[</t>
  </si>
  <si>
    <t>"2012-09-19 01:00:00", -4, 1202630, WCCPH, Automated, TRUE, Michael D Gentile, 7.893, 195.4, 8.777, 886.2544054, 1.9222, 9/27/2012 3:42, -7 ],[</t>
  </si>
  <si>
    <t>"2012-09-19 04:00:00", -4, 1202631, WCCPH, Automated, TRUE, Michael D Gentile, 7.91, 202, 8.423, 946.4797264, 2.1573, 9/22/2012 14:38, -7 ],[</t>
  </si>
  <si>
    <t>"2012-09-19 10:00:00", -4, 1202632, WCCPH, Automated, TRUE, Michael D Gentile, 8.001, 225, 5.803, 1125.896183, 2.6024, 9/25/2012 16:43, -7 ],[</t>
  </si>
  <si>
    <t>"2012-10-03 16:00:00", -4, 1202872, STA2, Grab, TRUE, Sara Geleskie Damiano, 7.417, 197.1, 3.293, 1347.68812, 2.7824, 10/10/2012 8:14, -7 ],[</t>
  </si>
  <si>
    <t>"2012-10-03 16:42:00", -4, 1202870, WCD478, Grab, TRUE, Sara Geleskie Damiano, 7.552, 209, 3.74, 1294.142931, 2.7064, 10/22/2012 4:21, -7 ],[</t>
  </si>
  <si>
    <t>"2012-10-03 17:15:00", -4, 1202871, WCCLAB, Grab, TRUE, Sara Geleskie Damiano, 7.471, 199.4, 3.513, 1246.021896, 2.9111, 10/4/2012 1:58, -7 ],[</t>
  </si>
  <si>
    <t>"2012-10-11 14:56:00", -4, 1202965, WLYMOUTH, Grab, TRUE, Sara Geleskie Damiano, 7.495, 416, 1.91, 11.2152, 10/17/2012 19:55, -7 ],[</t>
  </si>
  <si>
    <t>"2012-11-14 17:01:00", -5, 1204026, WCD478, Grab, TRUE, Jennifer R Matkov, 7.6, 212, 1.702, 1329.700781, 3.618, 11/16/2012 0:08, -7 ],[</t>
  </si>
  <si>
    <t>"2012-11-14 17:10:00", -5, 1204028, STA2, Grab, TRUE, Sara Geleskie Damiano, 7.496, 189.1, 1.662, 1359.325544, 3.4056, 11/25/2012 14:20, -7 ],[</t>
  </si>
  <si>
    <t>"2012-11-14 17:33:00", -5, 1204027, WCCLAB, Grab, TRUE, Sara Geleskie Damiano, 7.526, 200, 1.666, 1276.139157, 3.6707, 11/28/2012 20:31, -7 ],[</t>
  </si>
  <si>
    <t>"2012-11-28 13:08:00", -5, 1204430, WLYATSPENCER, Grab, TRUE, Sara Geleskie Damiano, 6.995, 398, 4.64, 2.518, 12/4/2012 2:19, -7 ],[</t>
  </si>
  <si>
    <t>"2012-11-28 13:32:00", -5, 1204431, WLYMOUTH, Grab, TRUE, Sara Geleskie Damiano, 7.473, 400, 1.883, 10.5049, 12/4/2012 22:24, -7 ],[</t>
  </si>
  <si>
    <t>"2012-12-05 13:15:00", -5, 1204593, STA2, Grab, TRUE, Sara Geleskie Damiano, 7.862, 200, 1.343, 1381.888225, 3.2168, 12/9/2012 15:15, -7 ],[</t>
  </si>
  <si>
    <t>"2012-12-05 14:12:00", -5, 1204592, WCCLAB, Grab, TRUE, Sara Geleskie Damiano, 8.519, 202, 1.407, 1292.620838, 3.8312, 12/17/2012 21:25, -7 ],[</t>
  </si>
  <si>
    <t>"2012-12-05 14:40:00", -5, 1204591, WCD478, Grab, TRUE, Sara Geleskie Damiano, 8.486, 199.4, 1.413, 1352.872562, 3.7852, 12/9/2012 15:01, -7 ],[</t>
  </si>
  <si>
    <t>"2012-12-12 16:23:00", -5, 1204683, WLYATSPENCER, Grab, TRUE, Sara Geleskie Damiano, 6.866, 378, 2.83, 3.0767, 12/14/2012 4:46, -7 ],[</t>
  </si>
  <si>
    <t>"2012-12-12 16:44:00", -5, 1204684, WLYMOUTH, Grab, TRUE, Sara Geleskie Damiano, 7.451, 364, 1.593, 10.9716, 12/16/2012 8:40, -7 ],[</t>
  </si>
  <si>
    <t>"2013-01-03 13:46:00", -5, 1300003, STA2, Grab, TRUE, Sara Geleskie Damiano, 7.581, 209, 1.07, 1344.574748, 3.7624, 1/20/2013 15:28, -7 ],[</t>
  </si>
  <si>
    <t>"2013-01-03 14:34:00", -5, 1300001, WCD478, Grab, TRUE, Sara Geleskie Damiano, 7.633, 206, 1.073, 1322.239578, 4.3122, 1/14/2013 22:32, -7 ],[</t>
  </si>
  <si>
    <t>"2013-01-03 14:57:00", -5, 1300002, WCCLAB, Grab, TRUE, Sara Geleskie Damiano, 7.526, 203, 1.12, 1250.395659, 4.3432, 1/11/2013 1:14, -7 ],[</t>
  </si>
  <si>
    <t>"2013-01-17 14:00:00", -5, 1300176, WLYATSPENCER, Grab, TRUE, Sara Geleskie Damiano, 6.852, 240, 8.003, 1.5004, 1/23/2013 14:57, -7 ],[</t>
  </si>
  <si>
    <t>"2013-01-17 14:39:00", -5, 1300177, WLYMOUTH, Grab, TRUE, Sara Geleskie Damiano, 7.317, 310, 2.697, 8.3204, 1/25/2013 13:16, -7 ],[</t>
  </si>
  <si>
    <t>"2013-02-13 16:31:00", -5, 1300428, STA2, Grab, TRUE, Sara Geleskie Damiano, 7.626, 213, 1.189, 3.4665, 24.745, 2/17/2013 12:02, -7 ],[</t>
  </si>
  <si>
    <t>"2013-02-13 16:35:00", -5, 1300426, WCD478, Grab, TRUE, Jennifer R Matkov, 7.629, 224, 1.234, 1263.915352, 3.7302, 24.384, 2/16/2013 2:08, -7 ],[</t>
  </si>
  <si>
    <t>"2013-02-13 16:49:00", -5, 1300427, WCCLAB, Grab, TRUE, Sara Geleskie Damiano, 7.442, 206, 1.193, 1198.98817, 3.748, 22.865, 2/15/2013 9:06, -7 ],[</t>
  </si>
  <si>
    <t>"2013-03-06 15:46:00", -5, 1300554, STA2, Grab, TRUE, Sara Geleskie Damiano, 7.669, 213, 1.67, 1261.869196, 3.2923, 24.236, 3/12/2013 0:48, -7 ],[</t>
  </si>
  <si>
    <t>"2013-03-06 16:15:00", -5, 1300552, WCD478, Grab, TRUE, Sara Geleskie Damiano, 7.571, 204, 1.53, 1250.794995, 3.6176, 23.332, 3/15/2013 15:12, -7 ],[</t>
  </si>
  <si>
    <t>"2013-03-06 16:33:00", -5, 1300553, WCCLAB, Grab, TRUE, Sara Geleskie Damiano, 7.597, 206, 1.617, 1180.209209, 3.5536, 23.449, 3/19/2013 4:23, -7 ],[</t>
  </si>
  <si>
    <t>"2013-04-03 15:04:00", -4, 1300760, STA2, Grab, TRUE, Sara Geleskie Damiano, 7.53, 207, 1.19, 3.4446, 24.002, 4/9/2013 7:02, -7 ],[</t>
  </si>
  <si>
    <t>"2013-04-03 15:34:00", -4, 1300758, WCD478, Grab, TRUE, Sara Geleskie Damiano, 7.808, 216, 1.2, 3.7097, 24.966, 4/21/2013 4:47, -7 ],[</t>
  </si>
  <si>
    <t>"2013-04-03 15:54:00", -4, 1300759, WCCLAB, Grab, TRUE, Sara Geleskie Damiano, 7.619, 213, 1.21, 3.7281, 23.614, 4/18/2013 3:24, -7 ],[</t>
  </si>
  <si>
    <t>"2013-04-09 14:04:00", -4, 1300773, WLYATSPENCER, Grab, TRUE, Sara Geleskie Damiano, 6.865, 374, 1.8416, 41.084, 4/11/2013 10:29, -7 ],[</t>
  </si>
  <si>
    <t>"2013-04-09 14:45:00", -4, 1300774, WLYMOUTH, Grab, TRUE, Sara Geleskie Damiano, 7.951, 409, 1.85, 9.5555, 38.443, 4/20/2013 15:25, -7 ],[</t>
  </si>
  <si>
    <t>"2013-04-12 05:00:00", -4, 1300790, WCCPH, Automated, TRUE, Sherman L Roberts, 7.724, 216, 1.87, 3.3751, 26.1, 4/12/2013 9:54, -7 ],[</t>
  </si>
  <si>
    <t>"2013-04-12 09:00:00", -4, 1300791, WCCPH, Automated, TRUE, Sherman L Roberts, 7.784, 204, 2.673, 3.2637, 23.9, 4/20/2013 21:54, -7 ],[</t>
  </si>
  <si>
    <t>"2013-04-12 11:00:00", -4, 1300793, WCCPH, Automated, TRUE, Sherman L Roberts, 7.661, 198.8, 4.307, 1137.14964, 2.8711, 21.948, 4/19/2013 22:50, -7 ],[</t>
  </si>
  <si>
    <t>"2013-04-12 12:00:00", -4, 1300794, WCCPH, Automated, TRUE, Sherman L Roberts, 7.601, 191.6, 4.403, 2.8606, 20.984, 4/16/2013 7:29, -7 ],[</t>
  </si>
  <si>
    <t>"2013-04-12 15:00:00", -4, 1300796, WCCPH, Automated, TRUE, Sherman L Roberts, 7.66, 189.3, 6.427, 2.248, 20.205, 4/21/2013 14:42, -7 ],[</t>
  </si>
  <si>
    <t>"2013-04-12 21:00:00", -4, 1300797, WCCPH, Automated, TRUE, Sherman L Roberts, 7.654, 201, 4.697, 2.5742, 21.397, 4/29/2013 15:35, -7 ],[</t>
  </si>
  <si>
    <t>"2013-04-12 23:00:00", -4, 1300798, WCCPH, Automated, TRUE, Sherman L Roberts, 7.639, 197.9, 4.38, 2.5, 20.559, 5/2/2013 16:17, -7 ],[</t>
  </si>
  <si>
    <t>"2013-04-13 01:00:00", -4, 1300799, WCCPH, Automated, TRUE, Sherman L Roberts, 7.649, 173.1, 6.31, 1.9328, 15.921, 4/16/2013 20:22, -7 ],[</t>
  </si>
  <si>
    <t>"2013-04-13 07:00:00", -4, 1300800, WCCPH, Automated, TRUE, Sherman L Roberts, 7.548, 188.3, 6.14, 1062.790944, 2.3155, 17.197, 4/24/2013 18:54, -7 ],[</t>
  </si>
  <si>
    <t>"2013-04-14 07:00:00", -4, 1300801, WCCPH, Automated, TRUE, Sherman L Roberts, 7.635, 223, 2.133, 3.2156, 20.713, 4/28/2013 16:50, -7 ],[</t>
  </si>
  <si>
    <t>"2013-05-01 16:56:00", -4, 1301020, STA2, Grab, TRUE, Sara Geleskie Damiano, 7.803, 204, 1.697, 3.0982, 21.475, 5/11/2013 11:31, -7 ],[</t>
  </si>
  <si>
    <t>"2013-05-01 17:25:00", -4, 1301018, WCD478, Grab, TRUE, Sara Geleskie Damiano, 8.064, 194.2, 1.69, 3.3305, 21.611, 5/16/2013 12:12, -7 ],[</t>
  </si>
  <si>
    <t>"2013-05-01 17:48:00", -4, 1301019, WCCLAB, Grab, TRUE, Sara Geleskie Damiano, 7.835, 198.7, 1.657, 3.3799, 21.835, 5/8/2013 8:45, -7 ],[</t>
  </si>
  <si>
    <t>"2013-06-06 11:03:00", -4, 1301208, STA2, Grab, TRUE, Sara Geleskie Damiano, 7.614, 209, 1.357, 1431.840801, 3.4248, 23.745, 6/8/2013 20:04, -7 ],[</t>
  </si>
  <si>
    <t>"2013-06-06 11:25:00", -4, 1301207, WCCLAB, Grab, TRUE, Sara Geleskie Damiano, 7.662, 207, 1.41, 1336.4446, 3.6887, 22.12, 6/22/2013 11:25, -7 ],[</t>
  </si>
  <si>
    <t>"2013-06-06 11:56:00", -4, 1301206, WCD478, Grab, TRUE, Sara Geleskie Damiano, 7.894, 214, 1.47, 1406.258676, 3.5849, 22.628, 6/8/2013 3:23, -7 ],[</t>
  </si>
  <si>
    <t>"2013-06-06 19:00:00", -4, 1301235, WCCPH, Automated, TRUE, Michael D Gentile, 7.971, 223, 2.201, 1333.151728, 3.5997, 21.72, 6/17/2013 21:15, -7 ],[</t>
  </si>
  <si>
    <t>"2013-06-07 06:00:00", -4, 1301236, WCCPH, Automated, TRUE, Michael D Gentile, 7.543, 171.3, 8.747, 1054.154583, 1.8902, 17.933, 6/13/2013 7:29, -7 ],[</t>
  </si>
  <si>
    <t>"2013-06-07 09:00:00", -4, 1301237, WCCPH, Automated, TRUE, Michael D Gentile, 7.601, 169.5, 13.027, 708.3089095, 2.3528, 12.269, 6/14/2013 22:07, -7 ],[</t>
  </si>
  <si>
    <t>"2013-06-07 12:00:00", -4, 1301238, WCCPH, Automated, TRUE, Michael D Gentile, 7.392, 131, 13.227, 698.5806851, 2.6923, 11.375, 6/15/2013 23:41, -7 ],[</t>
  </si>
  <si>
    <t>"2013-06-07 15:00:00", -4, 1301239, WCCPH, Automated, TRUE, Michael D Gentile, 7.211, 141.3, 668.2429253, 4.4364, 13.464, 6/23/2013 20:51, -7 ],[</t>
  </si>
  <si>
    <t>"2013-06-07 15:00:00", -4, 1301239, WCCPH, Automated, TRUE, Michael D Gentile, 7.211, 141.3, 668.2429253, 4.4364, 13.464, 6/23/2013 2:55, -7 ],[</t>
  </si>
  <si>
    <t>"2013-06-07 17:00:00", -4, 1301240, WCCPH, Automated, TRUE, Michael D Gentile, 7.033, 110.5, 13.173, 482.8325881, 4.0946, 9.943, 6/19/2013 5:55, -7 ],[</t>
  </si>
  <si>
    <t>"2013-06-07 19:00:00", -4, 1301241, WCCPH, Automated, TRUE, Michael D Gentile, 7.086, 99.9, 12.307, 536.045681, 2.751, 9.183, 6/21/2013 6:05, -7 ],[</t>
  </si>
  <si>
    <t>"2013-06-08 00:00:00", -4, 1301242, WCCPH, Automated, TRUE, Michael D Gentile, 7.261, 119.8, 12.187, 722.8506051, 2.2509, 10.645, 6/20/2013 16:37, -7 ],[</t>
  </si>
  <si>
    <t>"2013-06-08 04:00:00", -4, 1301243, WCCPH, Automated, TRUE, Michael D Gentile, 7.39, 143.7, 10.547, 857.7579578, 2.6513, 14.629, 6/19/2013 7:58, -7 ],[</t>
  </si>
  <si>
    <t>"2013-06-08 14:00:00", -4, 1301244, WCCPH, Automated, TRUE, Michael D Gentile, 7.544, 177.2, 6.267, 1071.912788, 2.6074, 17.486, 6/11/2013 20:23, -7 ],[</t>
  </si>
  <si>
    <t>"2013-06-10 19:00:00", -4, 1301251, WCCPH, Automated, TRUE, Sherman L Roberts, 7.495, 128.6, 12.733, 1.7795, 6/23/2013 4:15, -7 ],[</t>
  </si>
  <si>
    <t>"2013-06-11 00:00:00", -4, 1301252, WCCPH, Automated, TRUE, Sherman L Roberts, 7.349, 124.8, 14.253, 1.5599, 6/23/2013 14:29, -7 ],[</t>
  </si>
  <si>
    <t>"2013-06-11 01:00:00", -4, 1301253, WCCPH, Automated, TRUE, Sherman L Roberts, 7.306, 29.1, 13.6, 1.3868, 6/13/2013 16:35, -7 ],[</t>
  </si>
  <si>
    <t>"2013-07-10 14:35:00", -4, 1301419, STA2, Grab, TRUE, Sara Geleskie Damiano, 8.208, 231, 2.73, 2.9634, 21.628, 7/13/2013 16:44, -7 ],[</t>
  </si>
  <si>
    <t>"2013-07-10 15:25:00", -4, 1301417, WCD478, Grab, TRUE, Sara Geleskie Damiano, 8.264, 244, 2.803, 3.1842, 22.908, 7/19/2013 20:23, -7 ],[</t>
  </si>
  <si>
    <t>"2013-07-10 15:43:00", -4, 1301418, WCCLAB, Grab, TRUE, Sara Geleskie Damiano, 8.198, 237, 2.767, 3.2264, 20.644, 7/12/2013 13:36, -7 ],[</t>
  </si>
  <si>
    <t>"2013-08-06 14:52:00", -4, 1301708, WLYATSPENCER, Grab, TRUE, Jennifer R Matkov, 7.226, 251, 5.933, 1.0343, 26.115, 8/23/2013 21:38, -7 ],[</t>
  </si>
  <si>
    <t>"2013-08-06 17:00:00", -4, 1301709, WLYMOUTH, Grab, TRUE, Sara Geleskie Damiano, 7.409, 416, 2.06, 9.3663, 35.563, 8/14/2013 2:06, -7 ],[</t>
  </si>
  <si>
    <t>"2013-08-07 16:11:00", -4, 1301736, STA2, Grab, TRUE, Sara Geleskie Damiano, 8.109, 223, 1.597, 3.3509, 22.686, 8/9/2013 13:33, -7 ],[</t>
  </si>
  <si>
    <t>"2013-08-07 16:36:00", -4, 1301734, WCD478, Grab, TRUE, Sara Geleskie Damiano, 7.867, 254, 1.593, 3.5965, 21.987, 8/23/2013 6:53, -7 ],[</t>
  </si>
  <si>
    <t>"2013-08-07 16:56:00", -4, 1301735, WCCLAB, Grab, TRUE, Sara Geleskie Damiano, 7.751, 217, 1.597, 3.6477, 21.925, 8/11/2013 16:38, -7 ],[</t>
  </si>
  <si>
    <t>"2013-09-04 15:50:00", -4, 1302002, STA2, Grab, TRUE, Sara Geleskie Damiano, 7.536, 229, 1.46, 3.4495, 21.396, 9/19/2013 6:32, -7 ],[</t>
  </si>
  <si>
    <t>"2013-09-04 16:23:00", -4, 1302000, WCD478, Grab, TRUE, Sara Geleskie Damiano, 7.908, 218, 1.537, 3.5738, 23.481, 9/14/2013 18:20, -7 ],[</t>
  </si>
  <si>
    <t>"2013-09-04 16:49:00", -4, 1302001, WCCLAB, Grab, TRUE, Sara Geleskie Damiano, 7.806, 224, 1.523, 3.6761, 20.806, 9/15/2013 18:54, -7 ],[</t>
  </si>
  <si>
    <t>"2013-10-02 13:44:00", -4, 1302171, STA2, Grab, TRUE, Sara Geleskie Damiano, 7.624, 207, 1.333, 3.4622, 21.499, 10/14/2013 17:55, -7 ],[</t>
  </si>
  <si>
    <t>"2013-10-02 14:05:00", -4, 1302170, WCCLAB, Grab, TRUE, Sara Geleskie Damiano, 7.586, 211, 1.433, 3.7339, 20.984, 10/14/2013 14:12, -7 ],[</t>
  </si>
  <si>
    <t>"2013-10-02 15:25:00", -4, 1302169, WCD478, Grab, TRUE, Jennifer R Matkov, 7.767, 228, 1.423, 3.6772, 22.969, 10/8/2013 10:37, -7 ],[</t>
  </si>
  <si>
    <t>"2013-10-07 12:00:00", -4, 1302244, WCCPH, Automated, TRUE, Sherman L Roberts, 7.98, 232, 2.237, 10/20/2013 22:32, -7 ],[</t>
  </si>
  <si>
    <t>"2013-10-07 14:00:00", -4, 1302245, WCCPH, Automated, TRUE, Sherman L Roberts, 7.747, 219, 3.48, 10/26/2013 10:50, -7 ],[</t>
  </si>
  <si>
    <t>"2013-10-07 15:00:00", -4, 1302246, WCCPH, Automated, TRUE, Sherman L Roberts, 7.53, 198.1, 6.807, 10/11/2013 5:04, -7 ],[</t>
  </si>
  <si>
    <t>"2013-10-07 16:00:00", -4, 1302247, WCCPH, Automated, TRUE, Sherman L Roberts, 7.567, 202, 7.36, 10/16/2013 15:35, -7 ],[</t>
  </si>
  <si>
    <t>"2013-10-07 17:00:00", -4, 1302248, WCCPH, Automated, TRUE, Sherman L Roberts, 7.571, 203, 10.367, 10/19/2013 5:46, -7 ],[</t>
  </si>
  <si>
    <t>"2013-10-07 18:00:00", -4, 1302249, WCCPH, Automated, TRUE, Sherman L Roberts, 7.459, 192.3, 13.167, 10/23/2013 18:25, -7 ],[</t>
  </si>
  <si>
    <t>"2013-10-07 20:00:00", -4, 1302250, WCCPH, Automated, TRUE, Sherman L Roberts, 7.505, 195.8, 13.967, 10/13/2013 2:21, -7 ],[</t>
  </si>
  <si>
    <t>"2013-10-07 23:00:00", -4, 1302251, WCCPH, Automated, TRUE, Sherman L Roberts, 7.591, 209, 11.867, 10/15/2013 20:12, -7 ],[</t>
  </si>
  <si>
    <t>"2013-10-08 04:00:00", -4, 1302252, WCCPH, Automated, TRUE, Sherman L Roberts, 7.673, 226, 8.153, 10/9/2013 17:16, -7 ],[</t>
  </si>
  <si>
    <t>"2013-10-08 08:00:00", -4, 1302253, WCCPH, Automated, TRUE, Sherman L Roberts, 7.665, 232, 5.81, 10/8/2013 20:15, -7 ],[</t>
  </si>
  <si>
    <t>"2013-10-09 22:00:00", -4, 1302316, WCCPH, Automated, TRUE, Sherman L Roberts, 239, 2.387, 10/16/2013 22:01, -7 ],[</t>
  </si>
  <si>
    <t>"2013-10-10 14:00:00", -4, 1302317, WCCPH, Automated, TRUE, Sherman L Roberts, 226, 3.423, 10/19/2013 13:17, -7 ],[</t>
  </si>
  <si>
    <t>"2013-10-10 18:00:00", -4, 1302318, WCCPH, Automated, TRUE, Sherman L Roberts, 207, 8.437, 10/25/2013 22:13, -7 ],[</t>
  </si>
  <si>
    <t>"2013-10-11 02:00:00", -4, 1302320, WCCPH, Automated, TRUE, Sherman L Roberts, 126.4, 12.4, 10/12/2013 2:25, -7 ],[</t>
  </si>
  <si>
    <t>"2013-10-11 08:00:00", -4, 1302321, WCCPH, Automated, TRUE, Sherman L Roberts, 87.9, 12.033, 10/28/2013 15:38, -7 ],[</t>
  </si>
  <si>
    <t>"2013-10-11 10:00:00", -4, 1302322, WCCPH, Automated, TRUE, Sherman L Roberts, 86.6, 11.733, 10/20/2013 18:56, -7 ],[</t>
  </si>
  <si>
    <t>"2013-10-11 16:00:00", -4, 1302323, WCCPH, Automated, TRUE, Sherman L Roberts, 120, 11.633, 10/31/2013 10:42, -7 ],[</t>
  </si>
  <si>
    <t>"2013-10-11 22:00:00", -4, 1302324, WCCPH, Automated, TRUE, Sherman L Roberts, 151.1, 10.533, 10/21/2013 4:50, -7 ],[</t>
  </si>
  <si>
    <t>"2013-10-12 00:00:00", -4, 1302319, WCCPH, Automated, TRUE, Sherman L Roberts, 197.5, 9.23, 10/27/2013 6:54, -7 ],[</t>
  </si>
  <si>
    <t>"2013-10-12 14:00:00", -4, 1302325, WCCPH, Automated, TRUE, Sherman L Roberts, 202, 5.317, 10/29/2013 0:57, -7 ],[</t>
  </si>
  <si>
    <t>"2013-10-13 14:00:00", -4, 1302326, WCCPH, Automated, TRUE, Sherman L Roberts, 227, 2.553, 10/31/2013 10:06, -7 ],[</t>
  </si>
  <si>
    <t>"2013-10-16 12:15:00", -4, 1302331, WLYATSPENCER, Grab, TRUE, Jennifer R Matkov, 6.934, 283, 8.67, 1.2412, 18.505, 10/22/2013 20:57, -7 ],[</t>
  </si>
  <si>
    <t>"2013-10-16 14:00:00", -4, 1302332, WLYMOUTH, Grab, TRUE, Jennifer R Matkov, 7.187, 382, 2.147, 10.2527, 30.967, 10/27/2013 10:37, -7 ],[</t>
  </si>
  <si>
    <t>"2013-11-06 11:30:00", -4, 1302520, STA2, Grab, TRUE, Jennifer R Matkov, 7.658, 228, 1.603, 3.457, 20.305, 11/18/2013 9:54, -7 ],[</t>
  </si>
  <si>
    <t>"2013-11-06 13:25:00", -4, 1302519, WCCLAB, Grab, TRUE, Jennifer R Matkov, 7.825, 229, 1.67, 3.7268, 23.713, 11/23/2013 2:32, -7 ],[</t>
  </si>
  <si>
    <t>"2013-11-06 14:09:00", -4, 1302518, WCD478, Grab, TRUE, Jennifer R Matkov, 7.998, 240, 1.627, 3.6615, 21.629, 11/17/2013 0:25, -7 ],[</t>
  </si>
  <si>
    <t>"2013-12-12 10:11:00", -5, 1302790, STA2, Grab, TRUE, Jennifer R Matkov, 7.596, 215, 1.457, 3.5085, 21.396, 12/21/2013 22:14, -7 ],[</t>
  </si>
  <si>
    <t>"2013-12-12 13:40:00", -5, 1302789, WCCLAB, Grab, TRUE, Jennifer R Matkov, 7.6, 215, 1.497, 3.8081, 12.435, 12/26/2013 20:22, -7 ],[</t>
  </si>
  <si>
    <t>"2013-12-12 14:10:00", -5, 1302788, WCD478, Grab, TRUE, Jennifer R Matkov, 7.611, 231, 1.563, 3.7841, 14.281, 12/14/2013 21:19, -7 ],[</t>
  </si>
  <si>
    <t>]]</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</si>
  <si>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</si>
  <si>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&amp;OrganizationID0002 {OrganizationTypeCV:  "University", OrganizationCode:  "UMN", OrganizationName:  "University of Minnesota", OrganizationDescription:  NULL, OrganizationLink:  NULL}</t>
  </si>
  <si>
    <t xml:space="preserve">  - &amp;SamplingFeatureID0001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</si>
  <si>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</si>
  <si>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</si>
  <si>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</si>
  <si>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</si>
  <si>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</si>
  <si>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</si>
  <si>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&amp;SamplingFeatureID0233 {SamplingFeatureUUID:  NULL, SamplingFeatureTypeCV:  "Specimen", SamplingFeatureCode:  "1301239", SamplingFeatureName:  NULL, SamplingFeatureDescription:  NULL, SamplingFeatureGeotypeCV:  Point, FeatureGeometry:  NULL, Elevation_m:  NULL, ElevationDatumCV:  NULL}</t>
  </si>
  <si>
    <t xml:space="preserve">  - &amp;MethodID0001 {MethodTypeCV:  "Observation", MethodCode:  "Mettler", MethodName:  "Mettler", MethodDescription:  "Measured with a mettler combined pH/Conductivity meter", MethodLink:  NULL, OrganizationObj: *OrganizationID0001}</t>
  </si>
  <si>
    <t xml:space="preserve">  - &amp;MethodID0002 {MethodTypeCV:  "Observation", MethodCode:  "Sievers", MethodName:  "DOC_Siev", MethodDescription:  "Measured with a Sievers 900", MethodLink:  NULL, OrganizationObj: *OrganizationID0001}</t>
  </si>
  <si>
    <t xml:space="preserve">  - &amp;MethodID0003 {MethodTypeCV:  "Observation", MethodCode:  "Mettler_ALK", MethodName:  "Alkalinity by Autotitration", MethodDescription:  "Alkalinity measured by Autotitration", MethodLink:  NULL, OrganizationObj: *OrganizationID0001}</t>
  </si>
  <si>
    <t xml:space="preserve">  - &amp;MethodID0004 {MethodTypeCV:  "Observation", MethodCode:  "Dionex", MethodName:  "Dionex", MethodDescription:  "Measured with a Dionex Ion Chromatograph", MethodLink:  NULL, OrganizationObj: *OrganizationID0001}</t>
  </si>
  <si>
    <t xml:space="preserve">  - &amp;MethodID0005 {MethodTypeCV:  "Observation", MethodCode:  "ICP-OES", MethodName:  "ICP-OES", MethodDescription:  "Measured via an ICP-OES", MethodLink:  NULL, OrganizationObj: *OrganizationID0001}</t>
  </si>
  <si>
    <t xml:space="preserve">  - &amp;VariableID0001 {VariableTypeCV:  "Water quality", VariableCode:  "pH_mettler", VariableNameCV:  "pH", VariableDefinition:  NULL, SpecciationCV:  NULL, NoDataValue:  "NULL"}</t>
  </si>
  <si>
    <t xml:space="preserve">  - &amp;VariableID0002 {VariableTypeCV:  "Water quality", VariableCode:  "cond_mettler", VariableNameCV:  "Specific conductance", VariableDefinition:  NULL, SpecciationCV:  NULL, NoDataValue:  "NULL"}</t>
  </si>
  <si>
    <t xml:space="preserve">  - &amp;VariableID0003 {VariableTypeCV:  "Chemistry", VariableCode:  "mndoc", VariableNameCV:  "Carbon, dissolved organic", VariableDefinition:  NULL, SpecciationCV:  NULL, NoDataValue:  "NULL"}</t>
  </si>
  <si>
    <t xml:space="preserve">  - &amp;VariableID0004 {VariableTypeCV:  "Chemistry", VariableCode:  "alk_auto", VariableNameCV:  "Alkalinity, total", VariableDefinition:  NULL, SpecciationCV:  NULL, NoDataValue:  "NULL"}</t>
  </si>
  <si>
    <t xml:space="preserve">  - &amp;VariableID0005 {VariableTypeCV:  "Chemistry", VariableCode:  "dionex_no3", VariableNameCV:  "Nitrogen, nitrate (NO3)", VariableDefinition:  NULL, SpecciationCV:  NULL, NoDataValue:  "NULL"}</t>
  </si>
  <si>
    <t xml:space="preserve">  - &amp;VariableID0006 {VariableTypeCV:  "Chemistry", VariableCode:  "icp_ca", VariableNameCV:  "Calcium, dissolved", VariableDefinition:  NULL, SpecciationCV:  NULL, NoDataValue:  "NULL"}</t>
  </si>
  <si>
    <t xml:space="preserve">  - {SamplingFeatureObj:  *SamplingFeatureID0233, SpecimenTypeCV:  "Automated", SpecimenMediumCV:  "668.2429253", IsFieldSpecimen:  "TRUE"}</t>
  </si>
  <si>
    <t>SamplingFeatureCode</t>
  </si>
  <si>
    <t>ParentSamplingFeatureCode</t>
  </si>
  <si>
    <t>Result</t>
  </si>
  <si>
    <t>SpatialOffsetCode</t>
  </si>
  <si>
    <t>Related Features</t>
  </si>
  <si>
    <t>OffsetCodes</t>
  </si>
  <si>
    <t>HI5</t>
  </si>
  <si>
    <t xml:space="preserve">  - {SamplingFeatureObj:  *SamplingFeatureID0008, SpecimenTypeCV:  "Core section", SpecimenMediumCV:  Mineral, IsFieldSpecimen:  "FALSE"}</t>
  </si>
  <si>
    <t xml:space="preserve">  - {SamplingFeatureObj:  *SamplingFeatureID0010, SpecimenTypeCV:  "Grab", SpecimenMediumCV:  "PLEASE PUT A SPECIMEN MEDIUM IN ROW 3", IsFieldSpecimen:  "TRUE"}</t>
  </si>
  <si>
    <t xml:space="preserve">  - {SamplingFeatureObj:  *SamplingFeatureID0011, SpecimenTypeCV:  "Grab", SpecimenMediumCV:  "PLEASE PUT A SPECIMEN MEDIUM IN ROW 4", IsFieldSpecimen:  "TRUE"}</t>
  </si>
  <si>
    <t xml:space="preserve">  - {SamplingFeatureObj:  *SamplingFeatureID0012, SpecimenTypeCV:  "Grab", SpecimenMediumCV:  "570.7267648", IsFieldSpecimen:  "TRUE"}</t>
  </si>
  <si>
    <t xml:space="preserve">  - {SamplingFeatureObj:  *SamplingFeatureID0013, SpecimenTypeCV:  "Grab", SpecimenMediumCV:  "PLEASE PUT A SPECIMEN MEDIUM IN ROW 6", IsFieldSpecimen:  "TRUE"}</t>
  </si>
  <si>
    <t xml:space="preserve">  - {SamplingFeatureObj:  *SamplingFeatureID0014, SpecimenTypeCV:  "Grab", SpecimenMediumCV:  "PLEASE PUT A SPECIMEN MEDIUM IN ROW 7", IsFieldSpecimen:  "TRUE"}</t>
  </si>
  <si>
    <t xml:space="preserve">  - {SamplingFeatureObj:  *SamplingFeatureID0015, SpecimenTypeCV:  "Automated", SpecimenMediumCV:  "1048.060799", IsFieldSpecimen:  "TRUE"}</t>
  </si>
  <si>
    <t xml:space="preserve">  - {SamplingFeatureObj:  *SamplingFeatureID0016, SpecimenTypeCV:  "Automated", SpecimenMediumCV:  "876.4265676", IsFieldSpecimen:  "TRUE"}</t>
  </si>
  <si>
    <t xml:space="preserve">  - {SamplingFeatureObj:  *SamplingFeatureID0017, SpecimenTypeCV:  "Automated", SpecimenMediumCV:  "662.4052443", IsFieldSpecimen:  "TRUE"}</t>
  </si>
  <si>
    <t xml:space="preserve">  - {SamplingFeatureObj:  *SamplingFeatureID0018, SpecimenTypeCV:  "Automated", SpecimenMediumCV:  "557.0374162", IsFieldSpecimen:  "TRUE"}</t>
  </si>
  <si>
    <t xml:space="preserve">  - {SamplingFeatureObj:  *SamplingFeatureID0019, SpecimenTypeCV:  "Automated", SpecimenMediumCV:  "511.9874337", IsFieldSpecimen:  "TRUE"}</t>
  </si>
  <si>
    <t xml:space="preserve">  - {SamplingFeatureObj:  *SamplingFeatureID0020, SpecimenTypeCV:  "Automated", SpecimenMediumCV:  "502.0246935", IsFieldSpecimen:  "TRUE"}</t>
  </si>
  <si>
    <t xml:space="preserve">  - {SamplingFeatureObj:  *SamplingFeatureID0021, SpecimenTypeCV:  "Automated", SpecimenMediumCV:  "548.4328977", IsFieldSpecimen:  "TRUE"}</t>
  </si>
  <si>
    <t xml:space="preserve">  - {SamplingFeatureObj:  *SamplingFeatureID0022, SpecimenTypeCV:  "Automated", SpecimenMediumCV:  "586.1183522", IsFieldSpecimen:  "TRUE"}</t>
  </si>
  <si>
    <t xml:space="preserve">  - {SamplingFeatureObj:  *SamplingFeatureID0023, SpecimenTypeCV:  "Automated", SpecimenMediumCV:  "813.3572851", IsFieldSpecimen:  "TRUE"}</t>
  </si>
  <si>
    <t xml:space="preserve">  - {SamplingFeatureObj:  *SamplingFeatureID0024, SpecimenTypeCV:  "Automated", SpecimenMediumCV:  "983.3986094", IsFieldSpecimen:  "TRUE"}</t>
  </si>
  <si>
    <t xml:space="preserve">  - {SamplingFeatureObj:  *SamplingFeatureID0025, SpecimenTypeCV:  "Grab", SpecimenMediumCV:  "1242.057823", IsFieldSpecimen:  "TRUE"}</t>
  </si>
  <si>
    <t xml:space="preserve">  - {SamplingFeatureObj:  *SamplingFeatureID0026, SpecimenTypeCV:  "Automated", SpecimenMediumCV:  "PLEASE PUT A SPECIMEN MEDIUM IN ROW 19", IsFieldSpecimen:  "TRUE"}</t>
  </si>
  <si>
    <t xml:space="preserve">  - {SamplingFeatureObj:  *SamplingFeatureID0027, SpecimenTypeCV:  "Automated", SpecimenMediumCV:  "PLEASE PUT A SPECIMEN MEDIUM IN ROW 20", IsFieldSpecimen:  "TRUE"}</t>
  </si>
  <si>
    <t xml:space="preserve">  - {SamplingFeatureObj:  *SamplingFeatureID0028, SpecimenTypeCV:  "Automated", SpecimenMediumCV:  "PLEASE PUT A SPECIMEN MEDIUM IN ROW 21", IsFieldSpecimen:  "TRUE"}</t>
  </si>
  <si>
    <t xml:space="preserve">  - {SamplingFeatureObj:  *SamplingFeatureID0029, SpecimenTypeCV:  "Automated", SpecimenMediumCV:  "PLEASE PUT A SPECIMEN MEDIUM IN ROW 22", IsFieldSpecimen:  "TRUE"}</t>
  </si>
  <si>
    <t xml:space="preserve">  - {SamplingFeatureObj:  *SamplingFeatureID0030, SpecimenTypeCV:  "Automated", SpecimenMediumCV:  "PLEASE PUT A SPECIMEN MEDIUM IN ROW 23", IsFieldSpecimen:  "TRUE"}</t>
  </si>
  <si>
    <t xml:space="preserve">  - {SamplingFeatureObj:  *SamplingFeatureID0031, SpecimenTypeCV:  "Automated", SpecimenMediumCV:  "PLEASE PUT A SPECIMEN MEDIUM IN ROW 24", IsFieldSpecimen:  "TRUE"}</t>
  </si>
  <si>
    <t xml:space="preserve">  - {SamplingFeatureObj:  *SamplingFeatureID0032, SpecimenTypeCV:  "Automated", SpecimenMediumCV:  "PLEASE PUT A SPECIMEN MEDIUM IN ROW 25", IsFieldSpecimen:  "TRUE"}</t>
  </si>
  <si>
    <t xml:space="preserve">  - {SamplingFeatureObj:  *SamplingFeatureID0033, SpecimenTypeCV:  "Automated", SpecimenMediumCV:  "PLEASE PUT A SPECIMEN MEDIUM IN ROW 26", IsFieldSpecimen:  "TRUE"}</t>
  </si>
  <si>
    <t xml:space="preserve">  - {SamplingFeatureObj:  *SamplingFeatureID0034, SpecimenTypeCV:  "Automated", SpecimenMediumCV:  "PLEASE PUT A SPECIMEN MEDIUM IN ROW 27", IsFieldSpecimen:  "TRUE"}</t>
  </si>
  <si>
    <t xml:space="preserve">  - {SamplingFeatureObj:  *SamplingFeatureID0035, SpecimenTypeCV:  "Automated", SpecimenMediumCV:  "PLEASE PUT A SPECIMEN MEDIUM IN ROW 28", IsFieldSpecimen:  "TRUE"}</t>
  </si>
  <si>
    <t xml:space="preserve">  - {SamplingFeatureObj:  *SamplingFeatureID0036, SpecimenTypeCV:  "Automated", SpecimenMediumCV:  "PLEASE PUT A SPECIMEN MEDIUM IN ROW 29", IsFieldSpecimen:  "TRUE"}</t>
  </si>
  <si>
    <t xml:space="preserve">  - {SamplingFeatureObj:  *SamplingFeatureID0037, SpecimenTypeCV:  "Automated", SpecimenMediumCV:  "PLEASE PUT A SPECIMEN MEDIUM IN ROW 30", IsFieldSpecimen:  "TRUE"}</t>
  </si>
  <si>
    <t xml:space="preserve">  - {SamplingFeatureObj:  *SamplingFeatureID0038, SpecimenTypeCV:  "Grab", SpecimenMediumCV:  "PLEASE PUT A SPECIMEN MEDIUM IN ROW 31", IsFieldSpecimen:  "TRUE"}</t>
  </si>
  <si>
    <t xml:space="preserve">  - {SamplingFeatureObj:  *SamplingFeatureID0039, SpecimenTypeCV:  "Grab", SpecimenMediumCV:  "PLEASE PUT A SPECIMEN MEDIUM IN ROW 32", IsFieldSpecimen:  "TRUE"}</t>
  </si>
  <si>
    <t xml:space="preserve">  - {SamplingFeatureObj:  *SamplingFeatureID0040, SpecimenTypeCV:  "Grab", SpecimenMediumCV:  "1208.046491", IsFieldSpecimen:  "TRUE"}</t>
  </si>
  <si>
    <t xml:space="preserve">  - {SamplingFeatureObj:  *SamplingFeatureID0041, SpecimenTypeCV:  "Grab", SpecimenMediumCV:  "PLEASE PUT A SPECIMEN MEDIUM IN ROW 34", IsFieldSpecimen:  "TRUE"}</t>
  </si>
  <si>
    <t xml:space="preserve">  - {SamplingFeatureObj:  *SamplingFeatureID0042, SpecimenTypeCV:  "Grab", SpecimenMediumCV:  "PLEASE PUT A SPECIMEN MEDIUM IN ROW 35", IsFieldSpecimen:  "TRUE"}</t>
  </si>
  <si>
    <t xml:space="preserve">  - {SamplingFeatureObj:  *SamplingFeatureID0043, SpecimenTypeCV:  "Automated", SpecimenMediumCV:  "PLEASE PUT A SPECIMEN MEDIUM IN ROW 36", IsFieldSpecimen:  "TRUE"}</t>
  </si>
  <si>
    <t xml:space="preserve">  - {SamplingFeatureObj:  *SamplingFeatureID0044, SpecimenTypeCV:  "Automated", SpecimenMediumCV:  "PLEASE PUT A SPECIMEN MEDIUM IN ROW 37", IsFieldSpecimen:  "TRUE"}</t>
  </si>
  <si>
    <t xml:space="preserve">  - {SamplingFeatureObj:  *SamplingFeatureID0045, SpecimenTypeCV:  "Automated", SpecimenMediumCV:  "PLEASE PUT A SPECIMEN MEDIUM IN ROW 38", IsFieldSpecimen:  "TRUE"}</t>
  </si>
  <si>
    <t xml:space="preserve">  - {SamplingFeatureObj:  *SamplingFeatureID0046, SpecimenTypeCV:  "Automated", SpecimenMediumCV:  "1073.61656", IsFieldSpecimen:  "TRUE"}</t>
  </si>
  <si>
    <t xml:space="preserve">  - {SamplingFeatureObj:  *SamplingFeatureID0047, SpecimenTypeCV:  "Automated", SpecimenMediumCV:  "784.6809348", IsFieldSpecimen:  "TRUE"}</t>
  </si>
  <si>
    <t xml:space="preserve">  - {SamplingFeatureObj:  *SamplingFeatureID0048, SpecimenTypeCV:  "Automated", SpecimenMediumCV:  "634.0302408", IsFieldSpecimen:  "TRUE"}</t>
  </si>
  <si>
    <t xml:space="preserve">  - {SamplingFeatureObj:  *SamplingFeatureID0049, SpecimenTypeCV:  "Automated", SpecimenMediumCV:  "564.2048987", IsFieldSpecimen:  "TRUE"}</t>
  </si>
  <si>
    <t xml:space="preserve">  - {SamplingFeatureObj:  *SamplingFeatureID0050, SpecimenTypeCV:  "Automated", SpecimenMediumCV:  "495.1921279", IsFieldSpecimen:  "TRUE"}</t>
  </si>
  <si>
    <t xml:space="preserve">  - {SamplingFeatureObj:  *SamplingFeatureID0051, SpecimenTypeCV:  "Automated", SpecimenMediumCV:  "552.5075184", IsFieldSpecimen:  "TRUE"}</t>
  </si>
  <si>
    <t xml:space="preserve">  - {SamplingFeatureObj:  *SamplingFeatureID0052, SpecimenTypeCV:  "Automated", SpecimenMediumCV:  "621.7713318", IsFieldSpecimen:  "TRUE"}</t>
  </si>
  <si>
    <t xml:space="preserve">  - {SamplingFeatureObj:  *SamplingFeatureID0053, SpecimenTypeCV:  "Automated", SpecimenMediumCV:  "763.095916", IsFieldSpecimen:  "TRUE"}</t>
  </si>
  <si>
    <t xml:space="preserve">  - {SamplingFeatureObj:  *SamplingFeatureID0054, SpecimenTypeCV:  "Automated", SpecimenMediumCV:  "876.8804881", IsFieldSpecimen:  "TRUE"}</t>
  </si>
  <si>
    <t xml:space="preserve">  - {SamplingFeatureObj:  *SamplingFeatureID0055, SpecimenTypeCV:  "Automated", SpecimenMediumCV:  "944.6625475", IsFieldSpecimen:  "TRUE"}</t>
  </si>
  <si>
    <t xml:space="preserve">  - {SamplingFeatureObj:  *SamplingFeatureID0056, SpecimenTypeCV:  "Grab", SpecimenMediumCV:  "1095.494036", IsFieldSpecimen:  "TRUE"}</t>
  </si>
  <si>
    <t xml:space="preserve">  - {SamplingFeatureObj:  *SamplingFeatureID0057, SpecimenTypeCV:  "Grab", SpecimenMediumCV:  "1322.034792", IsFieldSpecimen:  "TRUE"}</t>
  </si>
  <si>
    <t xml:space="preserve">  - {SamplingFeatureObj:  *SamplingFeatureID0058, SpecimenTypeCV:  "Grab", SpecimenMediumCV:  "PLEASE PUT A SPECIMEN MEDIUM IN ROW 51", IsFieldSpecimen:  "TRUE"}</t>
  </si>
  <si>
    <t xml:space="preserve">  - {SamplingFeatureObj:  *SamplingFeatureID0059, SpecimenTypeCV:  "Automated", SpecimenMediumCV:  "977.139724", IsFieldSpecimen:  "TRUE"}</t>
  </si>
  <si>
    <t xml:space="preserve">  - {SamplingFeatureObj:  *SamplingFeatureID0060, SpecimenTypeCV:  "Grab", SpecimenMediumCV:  "1035.325953", IsFieldSpecimen:  "TRUE"}</t>
  </si>
  <si>
    <t xml:space="preserve">  - {SamplingFeatureObj:  *SamplingFeatureID0061, SpecimenTypeCV:  "Automated", SpecimenMediumCV:  "PLEASE PUT A SPECIMEN MEDIUM IN ROW 54", IsFieldSpecimen:  "TRUE"}</t>
  </si>
  <si>
    <t xml:space="preserve">  - {SamplingFeatureObj:  *SamplingFeatureID0062, SpecimenTypeCV:  "Automated", SpecimenMediumCV:  "PLEASE PUT A SPECIMEN MEDIUM IN ROW 55", IsFieldSpecimen:  "TRUE"}</t>
  </si>
  <si>
    <t xml:space="preserve">  - {SamplingFeatureObj:  *SamplingFeatureID0063, SpecimenTypeCV:  "Automated", SpecimenMediumCV:  "PLEASE PUT A SPECIMEN MEDIUM IN ROW 56", IsFieldSpecimen:  "TRUE"}</t>
  </si>
  <si>
    <t xml:space="preserve">  - {SamplingFeatureObj:  *SamplingFeatureID0064, SpecimenTypeCV:  "Automated", SpecimenMediumCV:  "1074.04729", IsFieldSpecimen:  "TRUE"}</t>
  </si>
  <si>
    <t xml:space="preserve">  - {SamplingFeatureObj:  *SamplingFeatureID0065, SpecimenTypeCV:  "Automated", SpecimenMediumCV:  "PLEASE PUT A SPECIMEN MEDIUM IN ROW 58", IsFieldSpecimen:  "TRUE"}</t>
  </si>
  <si>
    <t xml:space="preserve">  - {SamplingFeatureObj:  *SamplingFeatureID0066, SpecimenTypeCV:  "Automated", SpecimenMediumCV:  "PLEASE PUT A SPECIMEN MEDIUM IN ROW 59", IsFieldSpecimen:  "TRUE"}</t>
  </si>
  <si>
    <t xml:space="preserve">  - {SamplingFeatureObj:  *SamplingFeatureID0067, SpecimenTypeCV:  "Automated", SpecimenMediumCV:  "PLEASE PUT A SPECIMEN MEDIUM IN ROW 60", IsFieldSpecimen:  "TRUE"}</t>
  </si>
  <si>
    <t xml:space="preserve">  - {SamplingFeatureObj:  *SamplingFeatureID0068, SpecimenTypeCV:  "Automated", SpecimenMediumCV:  "PLEASE PUT A SPECIMEN MEDIUM IN ROW 61", IsFieldSpecimen:  "TRUE"}</t>
  </si>
  <si>
    <t xml:space="preserve">  - {SamplingFeatureObj:  *SamplingFeatureID0069, SpecimenTypeCV:  "Automated", SpecimenMediumCV:  "PLEASE PUT A SPECIMEN MEDIUM IN ROW 62", IsFieldSpecimen:  "TRUE"}</t>
  </si>
  <si>
    <t xml:space="preserve">  - {SamplingFeatureObj:  *SamplingFeatureID0070, SpecimenTypeCV:  "Automated", SpecimenMediumCV:  "PLEASE PUT A SPECIMEN MEDIUM IN ROW 63", IsFieldSpecimen:  "TRUE"}</t>
  </si>
  <si>
    <t xml:space="preserve">  - {SamplingFeatureObj:  *SamplingFeatureID0071, SpecimenTypeCV:  "Automated", SpecimenMediumCV:  "1127.968352", IsFieldSpecimen:  "TRUE"}</t>
  </si>
  <si>
    <t xml:space="preserve">  - {SamplingFeatureObj:  *SamplingFeatureID0072, SpecimenTypeCV:  "Automated", SpecimenMediumCV:  "PLEASE PUT A SPECIMEN MEDIUM IN ROW 65", IsFieldSpecimen:  "TRUE"}</t>
  </si>
  <si>
    <t xml:space="preserve">  - {SamplingFeatureObj:  *SamplingFeatureID0073, SpecimenTypeCV:  "Automated", SpecimenMediumCV:  "PLEASE PUT A SPECIMEN MEDIUM IN ROW 66", IsFieldSpecimen:  "TRUE"}</t>
  </si>
  <si>
    <t xml:space="preserve">  - {SamplingFeatureObj:  *SamplingFeatureID0074, SpecimenTypeCV:  "Automated", SpecimenMediumCV:  "PLEASE PUT A SPECIMEN MEDIUM IN ROW 67", IsFieldSpecimen:  "TRUE"}</t>
  </si>
  <si>
    <t xml:space="preserve">  - {SamplingFeatureObj:  *SamplingFeatureID0075, SpecimenTypeCV:  "Automated", SpecimenMediumCV:  "PLEASE PUT A SPECIMEN MEDIUM IN ROW 68", IsFieldSpecimen:  "TRUE"}</t>
  </si>
  <si>
    <t xml:space="preserve">  - {SamplingFeatureObj:  *SamplingFeatureID0076, SpecimenTypeCV:  "Automated", SpecimenMediumCV:  "PLEASE PUT A SPECIMEN MEDIUM IN ROW 69", IsFieldSpecimen:  "TRUE"}</t>
  </si>
  <si>
    <t xml:space="preserve">  - {SamplingFeatureObj:  *SamplingFeatureID0077, SpecimenTypeCV:  "Automated", SpecimenMediumCV:  "PLEASE PUT A SPECIMEN MEDIUM IN ROW 70", IsFieldSpecimen:  "TRUE"}</t>
  </si>
  <si>
    <t xml:space="preserve">  - {SamplingFeatureObj:  *SamplingFeatureID0078, SpecimenTypeCV:  "Automated", SpecimenMediumCV:  "PLEASE PUT A SPECIMEN MEDIUM IN ROW 71", IsFieldSpecimen:  "TRUE"}</t>
  </si>
  <si>
    <t xml:space="preserve">  - {SamplingFeatureObj:  *SamplingFeatureID0079, SpecimenTypeCV:  "Automated", SpecimenMediumCV:  "PLEASE PUT A SPECIMEN MEDIUM IN ROW 72", IsFieldSpecimen:  "TRUE"}</t>
  </si>
  <si>
    <t xml:space="preserve">  - {SamplingFeatureObj:  *SamplingFeatureID0080, SpecimenTypeCV:  "Grab", SpecimenMediumCV:  "1357.882645", IsFieldSpecimen:  "TRUE"}</t>
  </si>
  <si>
    <t xml:space="preserve">  - {SamplingFeatureObj:  *SamplingFeatureID0081, SpecimenTypeCV:  "Grab", SpecimenMediumCV:  "1344.553305", IsFieldSpecimen:  "TRUE"}</t>
  </si>
  <si>
    <t xml:space="preserve">  - {SamplingFeatureObj:  *SamplingFeatureID0082, SpecimenTypeCV:  "Grab", SpecimenMediumCV:  "1235.967273", IsFieldSpecimen:  "TRUE"}</t>
  </si>
  <si>
    <t xml:space="preserve">  - {SamplingFeatureObj:  *SamplingFeatureID0083, SpecimenTypeCV:  "Grab", SpecimenMediumCV:  "1350.323926", IsFieldSpecimen:  "TRUE"}</t>
  </si>
  <si>
    <t xml:space="preserve">  - {SamplingFeatureObj:  *SamplingFeatureID0084, SpecimenTypeCV:  "Grab", SpecimenMediumCV:  "1265.243235", IsFieldSpecimen:  "TRUE"}</t>
  </si>
  <si>
    <t xml:space="preserve">  - {SamplingFeatureObj:  *SamplingFeatureID0085, SpecimenTypeCV:  "Grab", SpecimenMediumCV:  "1256.912717", IsFieldSpecimen:  "TRUE"}</t>
  </si>
  <si>
    <t xml:space="preserve">  - {SamplingFeatureObj:  *SamplingFeatureID0086, SpecimenTypeCV:  "Grab", SpecimenMediumCV:  "1128.35035", IsFieldSpecimen:  "TRUE"}</t>
  </si>
  <si>
    <t xml:space="preserve">  - {SamplingFeatureObj:  *SamplingFeatureID0087, SpecimenTypeCV:  "Grab", SpecimenMediumCV:  "1291.301309", IsFieldSpecimen:  "TRUE"}</t>
  </si>
  <si>
    <t xml:space="preserve">  - {SamplingFeatureObj:  *SamplingFeatureID0088, SpecimenTypeCV:  "Grab", SpecimenMediumCV:  "1288.421588", IsFieldSpecimen:  "TRUE"}</t>
  </si>
  <si>
    <t xml:space="preserve">  - {SamplingFeatureObj:  *SamplingFeatureID0089, SpecimenTypeCV:  "Grab", SpecimenMediumCV:  "1231.934299", IsFieldSpecimen:  "TRUE"}</t>
  </si>
  <si>
    <t xml:space="preserve">  - {SamplingFeatureObj:  *SamplingFeatureID0090, SpecimenTypeCV:  "Grab", SpecimenMediumCV:  "PLEASE PUT A SPECIMEN MEDIUM IN ROW 83", IsFieldSpecimen:  "TRUE"}</t>
  </si>
  <si>
    <t xml:space="preserve">  - {SamplingFeatureObj:  *SamplingFeatureID0091, SpecimenTypeCV:  "Grab", SpecimenMediumCV:  "PLEASE PUT A SPECIMEN MEDIUM IN ROW 84", IsFieldSpecimen:  "TRUE"}</t>
  </si>
  <si>
    <t xml:space="preserve">  - {SamplingFeatureObj:  *SamplingFeatureID0092, SpecimenTypeCV:  "Grab", SpecimenMediumCV:  "1267.870137", IsFieldSpecimen:  "TRUE"}</t>
  </si>
  <si>
    <t xml:space="preserve">  - {SamplingFeatureObj:  *SamplingFeatureID0093, SpecimenTypeCV:  "Grab", SpecimenMediumCV:  "PLEASE PUT A SPECIMEN MEDIUM IN ROW 86", IsFieldSpecimen:  "TRUE"}</t>
  </si>
  <si>
    <t xml:space="preserve">  - {SamplingFeatureObj:  *SamplingFeatureID0094, SpecimenTypeCV:  "Grab", SpecimenMediumCV:  "1193.079986", IsFieldSpecimen:  "TRUE"}</t>
  </si>
  <si>
    <t xml:space="preserve">  - {SamplingFeatureObj:  *SamplingFeatureID0095, SpecimenTypeCV:  "Automated", SpecimenMediumCV:  "958.1705012", IsFieldSpecimen:  "TRUE"}</t>
  </si>
  <si>
    <t xml:space="preserve">  - {SamplingFeatureObj:  *SamplingFeatureID0096, SpecimenTypeCV:  "Automated", SpecimenMediumCV:  "884.3030977", IsFieldSpecimen:  "TRUE"}</t>
  </si>
  <si>
    <t xml:space="preserve">  - {SamplingFeatureObj:  *SamplingFeatureID0097, SpecimenTypeCV:  "Automated", SpecimenMediumCV:  "824.3210082", IsFieldSpecimen:  "TRUE"}</t>
  </si>
  <si>
    <t xml:space="preserve">  - {SamplingFeatureObj:  *SamplingFeatureID0098, SpecimenTypeCV:  "Automated", SpecimenMediumCV:  "625.9038129", IsFieldSpecimen:  "TRUE"}</t>
  </si>
  <si>
    <t xml:space="preserve">  - {SamplingFeatureObj:  *SamplingFeatureID0099, SpecimenTypeCV:  "Automated", SpecimenMediumCV:  "632.7262113", IsFieldSpecimen:  "TRUE"}</t>
  </si>
  <si>
    <t xml:space="preserve">  - {SamplingFeatureObj:  *SamplingFeatureID0100, SpecimenTypeCV:  "Automated", SpecimenMediumCV:  "502.6257961", IsFieldSpecimen:  "TRUE"}</t>
  </si>
  <si>
    <t xml:space="preserve">  - {SamplingFeatureObj:  *SamplingFeatureID0101, SpecimenTypeCV:  "Automated", SpecimenMediumCV:  "449.2878742", IsFieldSpecimen:  "TRUE"}</t>
  </si>
  <si>
    <t xml:space="preserve">  - {SamplingFeatureObj:  *SamplingFeatureID0102, SpecimenTypeCV:  "Automated", SpecimenMediumCV:  "475.5877575", IsFieldSpecimen:  "TRUE"}</t>
  </si>
  <si>
    <t xml:space="preserve">  - {SamplingFeatureObj:  *SamplingFeatureID0103, SpecimenTypeCV:  "Automated", SpecimenMediumCV:  "698.1123458", IsFieldSpecimen:  "TRUE"}</t>
  </si>
  <si>
    <t xml:space="preserve">  - {SamplingFeatureObj:  *SamplingFeatureID0104, SpecimenTypeCV:  "Automated", SpecimenMediumCV:  "809.6893027", IsFieldSpecimen:  "TRUE"}</t>
  </si>
  <si>
    <t xml:space="preserve">  - {SamplingFeatureObj:  *SamplingFeatureID0105, SpecimenTypeCV:  "Grab", SpecimenMediumCV:  "1199.483215", IsFieldSpecimen:  "TRUE"}</t>
  </si>
  <si>
    <t xml:space="preserve">  - {SamplingFeatureObj:  *SamplingFeatureID0106, SpecimenTypeCV:  "Grab", SpecimenMediumCV:  "1186.81862", IsFieldSpecimen:  "TRUE"}</t>
  </si>
  <si>
    <t xml:space="preserve">  - {SamplingFeatureObj:  *SamplingFeatureID0107, SpecimenTypeCV:  "Grab", SpecimenMediumCV:  "1117.783055", IsFieldSpecimen:  "TRUE"}</t>
  </si>
  <si>
    <t xml:space="preserve">  - {SamplingFeatureObj:  *SamplingFeatureID0108, SpecimenTypeCV:  "Grab", SpecimenMediumCV:  "1189.75084", IsFieldSpecimen:  "TRUE"}</t>
  </si>
  <si>
    <t xml:space="preserve">  - {SamplingFeatureObj:  *SamplingFeatureID0109, SpecimenTypeCV:  "Grab", SpecimenMediumCV:  "1112.500548", IsFieldSpecimen:  "TRUE"}</t>
  </si>
  <si>
    <t xml:space="preserve">  - {SamplingFeatureObj:  *SamplingFeatureID0110, SpecimenTypeCV:  "Grab", SpecimenMediumCV:  "1178.485531", IsFieldSpecimen:  "TRUE"}</t>
  </si>
  <si>
    <t xml:space="preserve">  - {SamplingFeatureObj:  *SamplingFeatureID0111, SpecimenTypeCV:  "Automated", SpecimenMediumCV:  "501.3690704", IsFieldSpecimen:  "TRUE"}</t>
  </si>
  <si>
    <t xml:space="preserve">  - {SamplingFeatureObj:  *SamplingFeatureID0112, SpecimenTypeCV:  "Automated", SpecimenMediumCV:  "1059.032604", IsFieldSpecimen:  "TRUE"}</t>
  </si>
  <si>
    <t xml:space="preserve">  - {SamplingFeatureObj:  *SamplingFeatureID0113, SpecimenTypeCV:  "Automated", SpecimenMediumCV:  "390.2634418", IsFieldSpecimen:  "TRUE"}</t>
  </si>
  <si>
    <t xml:space="preserve">  - {SamplingFeatureObj:  *SamplingFeatureID0114, SpecimenTypeCV:  "Automated", SpecimenMediumCV:  "850.9793138", IsFieldSpecimen:  "TRUE"}</t>
  </si>
  <si>
    <t xml:space="preserve">  - {SamplingFeatureObj:  *SamplingFeatureID0115, SpecimenTypeCV:  "Automated", SpecimenMediumCV:  "771.7780808", IsFieldSpecimen:  "TRUE"}</t>
  </si>
  <si>
    <t xml:space="preserve">  - {SamplingFeatureObj:  *SamplingFeatureID0116, SpecimenTypeCV:  "Automated", SpecimenMediumCV:  "323.9633189", IsFieldSpecimen:  "TRUE"}</t>
  </si>
  <si>
    <t xml:space="preserve">  - {SamplingFeatureObj:  *SamplingFeatureID0117, SpecimenTypeCV:  "Automated", SpecimenMediumCV:  "634.3742899", IsFieldSpecimen:  "TRUE"}</t>
  </si>
  <si>
    <t xml:space="preserve">  - {SamplingFeatureObj:  *SamplingFeatureID0118, SpecimenTypeCV:  "Automated", SpecimenMediumCV:  "195.8759784", IsFieldSpecimen:  "TRUE"}</t>
  </si>
  <si>
    <t xml:space="preserve">  - {SamplingFeatureObj:  *SamplingFeatureID0119, SpecimenTypeCV:  "Automated", SpecimenMediumCV:  "416.6658325", IsFieldSpecimen:  "TRUE"}</t>
  </si>
  <si>
    <t xml:space="preserve">  - {SamplingFeatureObj:  *SamplingFeatureID0120, SpecimenTypeCV:  "Automated", SpecimenMediumCV:  "338.7387402", IsFieldSpecimen:  "TRUE"}</t>
  </si>
  <si>
    <t xml:space="preserve">  - {SamplingFeatureObj:  *SamplingFeatureID0121, SpecimenTypeCV:  "Automated", SpecimenMediumCV:  "394.5595921", IsFieldSpecimen:  "TRUE"}</t>
  </si>
  <si>
    <t xml:space="preserve">  - {SamplingFeatureObj:  *SamplingFeatureID0122, SpecimenTypeCV:  "Automated", SpecimenMediumCV:  "473.1762211", IsFieldSpecimen:  "TRUE"}</t>
  </si>
  <si>
    <t xml:space="preserve">  - {SamplingFeatureObj:  *SamplingFeatureID0123, SpecimenTypeCV:  "Automated", SpecimenMediumCV:  "202.5184964", IsFieldSpecimen:  "TRUE"}</t>
  </si>
  <si>
    <t xml:space="preserve">  - {SamplingFeatureObj:  *SamplingFeatureID0124, SpecimenTypeCV:  "Automated", SpecimenMediumCV:  "670.6142664", IsFieldSpecimen:  "TRUE"}</t>
  </si>
  <si>
    <t xml:space="preserve">  - {SamplingFeatureObj:  *SamplingFeatureID0125, SpecimenTypeCV:  "Automated", SpecimenMediumCV:  "241.3465531", IsFieldSpecimen:  "TRUE"}</t>
  </si>
  <si>
    <t xml:space="preserve">  - {SamplingFeatureObj:  *SamplingFeatureID0126, SpecimenTypeCV:  "Automated", SpecimenMediumCV:  "853.703363", IsFieldSpecimen:  "TRUE"}</t>
  </si>
  <si>
    <t xml:space="preserve">  - {SamplingFeatureObj:  *SamplingFeatureID0127, SpecimenTypeCV:  "Grab", SpecimenMediumCV:  "PLEASE PUT A SPECIMEN MEDIUM IN ROW 120", IsFieldSpecimen:  "TRUE"}</t>
  </si>
  <si>
    <t xml:space="preserve">  - {SamplingFeatureObj:  *SamplingFeatureID0128, SpecimenTypeCV:  "Grab", SpecimenMediumCV:  "PLEASE PUT A SPECIMEN MEDIUM IN ROW 121", IsFieldSpecimen:  "TRUE"}</t>
  </si>
  <si>
    <t xml:space="preserve">  - {SamplingFeatureObj:  *SamplingFeatureID0129, SpecimenTypeCV:  "Grab", SpecimenMediumCV:  "1159.093252", IsFieldSpecimen:  "TRUE"}</t>
  </si>
  <si>
    <t xml:space="preserve">  - {SamplingFeatureObj:  *SamplingFeatureID0130, SpecimenTypeCV:  "Grab", SpecimenMediumCV:  "1132.152979", IsFieldSpecimen:  "TRUE"}</t>
  </si>
  <si>
    <t xml:space="preserve">  - {SamplingFeatureObj:  *SamplingFeatureID0131, SpecimenTypeCV:  "Grab", SpecimenMediumCV:  "1078.067419", IsFieldSpecimen:  "TRUE"}</t>
  </si>
  <si>
    <t xml:space="preserve">  - {SamplingFeatureObj:  *SamplingFeatureID0132, SpecimenTypeCV:  "Automated", SpecimenMediumCV:  "PLEASE PUT A SPECIMEN MEDIUM IN ROW 125", IsFieldSpecimen:  "TRUE"}</t>
  </si>
  <si>
    <t xml:space="preserve">  - {SamplingFeatureObj:  *SamplingFeatureID0133, SpecimenTypeCV:  "Automated", SpecimenMediumCV:  "PLEASE PUT A SPECIMEN MEDIUM IN ROW 126", IsFieldSpecimen:  "TRUE"}</t>
  </si>
  <si>
    <t xml:space="preserve">  - {SamplingFeatureObj:  *SamplingFeatureID0134, SpecimenTypeCV:  "Automated", SpecimenMediumCV:  "PLEASE PUT A SPECIMEN MEDIUM IN ROW 127", IsFieldSpecimen:  "TRUE"}</t>
  </si>
  <si>
    <t xml:space="preserve">  - {SamplingFeatureObj:  *SamplingFeatureID0135, SpecimenTypeCV:  "Grab", SpecimenMediumCV:  "1198.798924", IsFieldSpecimen:  "TRUE"}</t>
  </si>
  <si>
    <t xml:space="preserve">  - {SamplingFeatureObj:  *SamplingFeatureID0136, SpecimenTypeCV:  "Grab", SpecimenMediumCV:  "1128.434324", IsFieldSpecimen:  "TRUE"}</t>
  </si>
  <si>
    <t xml:space="preserve">  - {SamplingFeatureObj:  *SamplingFeatureID0137, SpecimenTypeCV:  "Grab", SpecimenMediumCV:  "1182.589456", IsFieldSpecimen:  "TRUE"}</t>
  </si>
  <si>
    <t xml:space="preserve">  - {SamplingFeatureObj:  *SamplingFeatureID0138, SpecimenTypeCV:  "Grab", SpecimenMediumCV:  "1261.674928", IsFieldSpecimen:  "TRUE"}</t>
  </si>
  <si>
    <t xml:space="preserve">  - {SamplingFeatureObj:  *SamplingFeatureID0139, SpecimenTypeCV:  "Grab", SpecimenMediumCV:  "1186.18696", IsFieldSpecimen:  "TRUE"}</t>
  </si>
  <si>
    <t xml:space="preserve">  - {SamplingFeatureObj:  *SamplingFeatureID0140, SpecimenTypeCV:  "Grab", SpecimenMediumCV:  "1252.236197", IsFieldSpecimen:  "TRUE"}</t>
  </si>
  <si>
    <t xml:space="preserve">  - {SamplingFeatureObj:  *SamplingFeatureID0141, SpecimenTypeCV:  "Grab", SpecimenMediumCV:  "PLEASE PUT A SPECIMEN MEDIUM IN ROW 134", IsFieldSpecimen:  "TRUE"}</t>
  </si>
  <si>
    <t xml:space="preserve">  - {SamplingFeatureObj:  *SamplingFeatureID0142, SpecimenTypeCV:  "Grab", SpecimenMediumCV:  "PLEASE PUT A SPECIMEN MEDIUM IN ROW 135", IsFieldSpecimen:  "TRUE"}</t>
  </si>
  <si>
    <t xml:space="preserve">  - {SamplingFeatureObj:  *SamplingFeatureID0143, SpecimenTypeCV:  "Automated", SpecimenMediumCV:  "1259.376144", IsFieldSpecimen:  "TRUE"}</t>
  </si>
  <si>
    <t xml:space="preserve">  - {SamplingFeatureObj:  *SamplingFeatureID0144, SpecimenTypeCV:  "Automated", SpecimenMediumCV:  "1227.988686", IsFieldSpecimen:  "TRUE"}</t>
  </si>
  <si>
    <t xml:space="preserve">  - {SamplingFeatureObj:  *SamplingFeatureID0145, SpecimenTypeCV:  "Automated", SpecimenMediumCV:  "1129.308161", IsFieldSpecimen:  "TRUE"}</t>
  </si>
  <si>
    <t xml:space="preserve">  - {SamplingFeatureObj:  *SamplingFeatureID0146, SpecimenTypeCV:  "Automated", SpecimenMediumCV:  "834.0399702", IsFieldSpecimen:  "TRUE"}</t>
  </si>
  <si>
    <t xml:space="preserve">  - {SamplingFeatureObj:  *SamplingFeatureID0147, SpecimenTypeCV:  "Automated", SpecimenMediumCV:  "682.6668804", IsFieldSpecimen:  "TRUE"}</t>
  </si>
  <si>
    <t xml:space="preserve">  - {SamplingFeatureObj:  *SamplingFeatureID0148, SpecimenTypeCV:  "Automated", SpecimenMediumCV:  "580.3083011", IsFieldSpecimen:  "TRUE"}</t>
  </si>
  <si>
    <t xml:space="preserve">  - {SamplingFeatureObj:  *SamplingFeatureID0149, SpecimenTypeCV:  "Automated", SpecimenMediumCV:  "550.007748", IsFieldSpecimen:  "TRUE"}</t>
  </si>
  <si>
    <t xml:space="preserve">  - {SamplingFeatureObj:  *SamplingFeatureID0150, SpecimenTypeCV:  "Automated", SpecimenMediumCV:  "632.6677443", IsFieldSpecimen:  "TRUE"}</t>
  </si>
  <si>
    <t xml:space="preserve">  - {SamplingFeatureObj:  *SamplingFeatureID0151, SpecimenTypeCV:  "Automated", SpecimenMediumCV:  "883.4998332", IsFieldSpecimen:  "TRUE"}</t>
  </si>
  <si>
    <t xml:space="preserve">  - {SamplingFeatureObj:  *SamplingFeatureID0152, SpecimenTypeCV:  "Automated", SpecimenMediumCV:  "1125.15437", IsFieldSpecimen:  "TRUE"}</t>
  </si>
  <si>
    <t xml:space="preserve">  - {SamplingFeatureObj:  *SamplingFeatureID0153, SpecimenTypeCV:  "Grab", SpecimenMediumCV:  "1300.434976", IsFieldSpecimen:  "TRUE"}</t>
  </si>
  <si>
    <t xml:space="preserve">  - {SamplingFeatureObj:  *SamplingFeatureID0154, SpecimenTypeCV:  "Grab", SpecimenMediumCV:  "1257.854549", IsFieldSpecimen:  "TRUE"}</t>
  </si>
  <si>
    <t xml:space="preserve">  - {SamplingFeatureObj:  *SamplingFeatureID0155, SpecimenTypeCV:  "Grab", SpecimenMediumCV:  "1222.423251", IsFieldSpecimen:  "TRUE"}</t>
  </si>
  <si>
    <t xml:space="preserve">  - {SamplingFeatureObj:  *SamplingFeatureID0156, SpecimenTypeCV:  "Grab", SpecimenMediumCV:  "1392.592455", IsFieldSpecimen:  "TRUE"}</t>
  </si>
  <si>
    <t xml:space="preserve">  - {SamplingFeatureObj:  *SamplingFeatureID0157, SpecimenTypeCV:  "Grab", SpecimenMediumCV:  "1378.652258", IsFieldSpecimen:  "TRUE"}</t>
  </si>
  <si>
    <t xml:space="preserve">  - {SamplingFeatureObj:  *SamplingFeatureID0158, SpecimenTypeCV:  "Grab", SpecimenMediumCV:  "1297.24692", IsFieldSpecimen:  "TRUE"}</t>
  </si>
  <si>
    <t xml:space="preserve">  - {SamplingFeatureObj:  *SamplingFeatureID0159, SpecimenTypeCV:  "Grab", SpecimenMediumCV:  "PLEASE PUT A SPECIMEN MEDIUM IN ROW 152", IsFieldSpecimen:  "TRUE"}</t>
  </si>
  <si>
    <t xml:space="preserve">  - {SamplingFeatureObj:  *SamplingFeatureID0160, SpecimenTypeCV:  "Grab", SpecimenMediumCV:  "1403.677439", IsFieldSpecimen:  "TRUE"}</t>
  </si>
  <si>
    <t xml:space="preserve">  - {SamplingFeatureObj:  *SamplingFeatureID0161, SpecimenTypeCV:  "Grab", SpecimenMediumCV:  "1411.204515", IsFieldSpecimen:  "TRUE"}</t>
  </si>
  <si>
    <t xml:space="preserve">  - {SamplingFeatureObj:  *SamplingFeatureID0162, SpecimenTypeCV:  "Grab", SpecimenMediumCV:  "1346.024666", IsFieldSpecimen:  "TRUE"}</t>
  </si>
  <si>
    <t xml:space="preserve">  - {SamplingFeatureObj:  *SamplingFeatureID0163, SpecimenTypeCV:  "Grab", SpecimenMediumCV:  "PLEASE PUT A SPECIMEN MEDIUM IN ROW 156", IsFieldSpecimen:  "TRUE"}</t>
  </si>
  <si>
    <t xml:space="preserve">  - {SamplingFeatureObj:  *SamplingFeatureID0164, SpecimenTypeCV:  "Grab", SpecimenMediumCV:  "1434.712499", IsFieldSpecimen:  "TRUE"}</t>
  </si>
  <si>
    <t xml:space="preserve">  - {SamplingFeatureObj:  *SamplingFeatureID0165, SpecimenTypeCV:  "Grab", SpecimenMediumCV:  "1376.144837", IsFieldSpecimen:  "TRUE"}</t>
  </si>
  <si>
    <t xml:space="preserve">  - {SamplingFeatureObj:  *SamplingFeatureID0166, SpecimenTypeCV:  "Grab", SpecimenMediumCV:  "1436.712583", IsFieldSpecimen:  "TRUE"}</t>
  </si>
  <si>
    <t xml:space="preserve">  - {SamplingFeatureObj:  *SamplingFeatureID0167, SpecimenTypeCV:  "Grab", SpecimenMediumCV:  "PLEASE PUT A SPECIMEN MEDIUM IN ROW 160", IsFieldSpecimen:  "TRUE"}</t>
  </si>
  <si>
    <t xml:space="preserve">  - {SamplingFeatureObj:  *SamplingFeatureID0168, SpecimenTypeCV:  "Grab", SpecimenMediumCV:  "1466.212761", IsFieldSpecimen:  "TRUE"}</t>
  </si>
  <si>
    <t xml:space="preserve">  - {SamplingFeatureObj:  *SamplingFeatureID0169, SpecimenTypeCV:  "Grab", SpecimenMediumCV:  "1385.410815", IsFieldSpecimen:  "TRUE"}</t>
  </si>
  <si>
    <t xml:space="preserve">  - {SamplingFeatureObj:  *SamplingFeatureID0170, SpecimenTypeCV:  "Grab", SpecimenMediumCV:  "1431.521502", IsFieldSpecimen:  "TRUE"}</t>
  </si>
  <si>
    <t xml:space="preserve">  - {SamplingFeatureObj:  *SamplingFeatureID0171, SpecimenTypeCV:  "Automated", SpecimenMediumCV:  "PLEASE PUT A SPECIMEN MEDIUM IN ROW 164", IsFieldSpecimen:  "TRUE"}</t>
  </si>
  <si>
    <t xml:space="preserve">  - {SamplingFeatureObj:  *SamplingFeatureID0172, SpecimenTypeCV:  "Automated", SpecimenMediumCV:  "PLEASE PUT A SPECIMEN MEDIUM IN ROW 165", IsFieldSpecimen:  "TRUE"}</t>
  </si>
  <si>
    <t xml:space="preserve">  - {SamplingFeatureObj:  *SamplingFeatureID0173, SpecimenTypeCV:  "Automated", SpecimenMediumCV:  "1168.943399", IsFieldSpecimen:  "TRUE"}</t>
  </si>
  <si>
    <t xml:space="preserve">  - {SamplingFeatureObj:  *SamplingFeatureID0174, SpecimenTypeCV:  "Automated", SpecimenMediumCV:  "1112.017077", IsFieldSpecimen:  "TRUE"}</t>
  </si>
  <si>
    <t xml:space="preserve">  - {SamplingFeatureObj:  *SamplingFeatureID0175, SpecimenTypeCV:  "Automated", SpecimenMediumCV:  "724.361044", IsFieldSpecimen:  "TRUE"}</t>
  </si>
  <si>
    <t xml:space="preserve">  - {SamplingFeatureObj:  *SamplingFeatureID0176, SpecimenTypeCV:  "Automated", SpecimenMediumCV:  "851.6735086", IsFieldSpecimen:  "TRUE"}</t>
  </si>
  <si>
    <t xml:space="preserve">  - {SamplingFeatureObj:  *SamplingFeatureID0177, SpecimenTypeCV:  "Automated", SpecimenMediumCV:  "737.6610234", IsFieldSpecimen:  "TRUE"}</t>
  </si>
  <si>
    <t xml:space="preserve">  - {SamplingFeatureObj:  *SamplingFeatureID0178, SpecimenTypeCV:  "Automated", SpecimenMediumCV:  "714.5746506", IsFieldSpecimen:  "TRUE"}</t>
  </si>
  <si>
    <t xml:space="preserve">  - {SamplingFeatureObj:  *SamplingFeatureID0179, SpecimenTypeCV:  "Automated", SpecimenMediumCV:  "767.9636951", IsFieldSpecimen:  "TRUE"}</t>
  </si>
  <si>
    <t xml:space="preserve">  - {SamplingFeatureObj:  *SamplingFeatureID0180, SpecimenTypeCV:  "Automated", SpecimenMediumCV:  "886.2544054", IsFieldSpecimen:  "TRUE"}</t>
  </si>
  <si>
    <t xml:space="preserve">  - {SamplingFeatureObj:  *SamplingFeatureID0181, SpecimenTypeCV:  "Automated", SpecimenMediumCV:  "946.4797264", IsFieldSpecimen:  "TRUE"}</t>
  </si>
  <si>
    <t xml:space="preserve">  - {SamplingFeatureObj:  *SamplingFeatureID0182, SpecimenTypeCV:  "Automated", SpecimenMediumCV:  "1125.896183", IsFieldSpecimen:  "TRUE"}</t>
  </si>
  <si>
    <t xml:space="preserve">  - {SamplingFeatureObj:  *SamplingFeatureID0183, SpecimenTypeCV:  "Grab", SpecimenMediumCV:  "1347.68812", IsFieldSpecimen:  "TRUE"}</t>
  </si>
  <si>
    <t xml:space="preserve">  - {SamplingFeatureObj:  *SamplingFeatureID0184, SpecimenTypeCV:  "Grab", SpecimenMediumCV:  "1294.142931", IsFieldSpecimen:  "TRUE"}</t>
  </si>
  <si>
    <t xml:space="preserve">  - {SamplingFeatureObj:  *SamplingFeatureID0185, SpecimenTypeCV:  "Grab", SpecimenMediumCV:  "1246.021896", IsFieldSpecimen:  "TRUE"}</t>
  </si>
  <si>
    <t xml:space="preserve">  - {SamplingFeatureObj:  *SamplingFeatureID0186, SpecimenTypeCV:  "Grab", SpecimenMediumCV:  "PLEASE PUT A SPECIMEN MEDIUM IN ROW 179", IsFieldSpecimen:  "TRUE"}</t>
  </si>
  <si>
    <t xml:space="preserve">  - {SamplingFeatureObj:  *SamplingFeatureID0187, SpecimenTypeCV:  "Grab", SpecimenMediumCV:  "1329.700781", IsFieldSpecimen:  "TRUE"}</t>
  </si>
  <si>
    <t xml:space="preserve">  - {SamplingFeatureObj:  *SamplingFeatureID0188, SpecimenTypeCV:  "Grab", SpecimenMediumCV:  "1359.325544", IsFieldSpecimen:  "TRUE"}</t>
  </si>
  <si>
    <t xml:space="preserve">  - {SamplingFeatureObj:  *SamplingFeatureID0189, SpecimenTypeCV:  "Grab", SpecimenMediumCV:  "1276.139157", IsFieldSpecimen:  "TRUE"}</t>
  </si>
  <si>
    <t xml:space="preserve">  - {SamplingFeatureObj:  *SamplingFeatureID0190, SpecimenTypeCV:  "Grab", SpecimenMediumCV:  "PLEASE PUT A SPECIMEN MEDIUM IN ROW 183", IsFieldSpecimen:  "TRUE"}</t>
  </si>
  <si>
    <t xml:space="preserve">  - {SamplingFeatureObj:  *SamplingFeatureID0191, SpecimenTypeCV:  "Grab", SpecimenMediumCV:  "PLEASE PUT A SPECIMEN MEDIUM IN ROW 184", IsFieldSpecimen:  "TRUE"}</t>
  </si>
  <si>
    <t xml:space="preserve">  - {SamplingFeatureObj:  *SamplingFeatureID0192, SpecimenTypeCV:  "Grab", SpecimenMediumCV:  "1381.888225", IsFieldSpecimen:  "TRUE"}</t>
  </si>
  <si>
    <t xml:space="preserve">  - {SamplingFeatureObj:  *SamplingFeatureID0193, SpecimenTypeCV:  "Grab", SpecimenMediumCV:  "1292.620838", IsFieldSpecimen:  "TRUE"}</t>
  </si>
  <si>
    <t xml:space="preserve">  - {SamplingFeatureObj:  *SamplingFeatureID0194, SpecimenTypeCV:  "Grab", SpecimenMediumCV:  "1352.872562", IsFieldSpecimen:  "TRUE"}</t>
  </si>
  <si>
    <t xml:space="preserve">  - {SamplingFeatureObj:  *SamplingFeatureID0195, SpecimenTypeCV:  "Grab", SpecimenMediumCV:  "PLEASE PUT A SPECIMEN MEDIUM IN ROW 188", IsFieldSpecimen:  "TRUE"}</t>
  </si>
  <si>
    <t xml:space="preserve">  - {SamplingFeatureObj:  *SamplingFeatureID0196, SpecimenTypeCV:  "Grab", SpecimenMediumCV:  "PLEASE PUT A SPECIMEN MEDIUM IN ROW 189", IsFieldSpecimen:  "TRUE"}</t>
  </si>
  <si>
    <t xml:space="preserve">  - {SamplingFeatureObj:  *SamplingFeatureID0197, SpecimenTypeCV:  "Grab", SpecimenMediumCV:  "1344.574748", IsFieldSpecimen:  "TRUE"}</t>
  </si>
  <si>
    <t xml:space="preserve">  - {SamplingFeatureObj:  *SamplingFeatureID0198, SpecimenTypeCV:  "Grab", SpecimenMediumCV:  "1322.239578", IsFieldSpecimen:  "TRUE"}</t>
  </si>
  <si>
    <t xml:space="preserve">  - {SamplingFeatureObj:  *SamplingFeatureID0199, SpecimenTypeCV:  "Grab", SpecimenMediumCV:  "1250.395659", IsFieldSpecimen:  "TRUE"}</t>
  </si>
  <si>
    <t xml:space="preserve">  - {SamplingFeatureObj:  *SamplingFeatureID0200, SpecimenTypeCV:  "Grab", SpecimenMediumCV:  "PLEASE PUT A SPECIMEN MEDIUM IN ROW 193", IsFieldSpecimen:  "TRUE"}</t>
  </si>
  <si>
    <t xml:space="preserve">  - {SamplingFeatureObj:  *SamplingFeatureID0201, SpecimenTypeCV:  "Grab", SpecimenMediumCV:  "PLEASE PUT A SPECIMEN MEDIUM IN ROW 194", IsFieldSpecimen:  "TRUE"}</t>
  </si>
  <si>
    <t xml:space="preserve">  - {SamplingFeatureObj:  *SamplingFeatureID0202, SpecimenTypeCV:  "Grab", SpecimenMediumCV:  "PLEASE PUT A SPECIMEN MEDIUM IN ROW 195", IsFieldSpecimen:  "TRUE"}</t>
  </si>
  <si>
    <t xml:space="preserve">  - {SamplingFeatureObj:  *SamplingFeatureID0203, SpecimenTypeCV:  "Grab", SpecimenMediumCV:  "1263.915352", IsFieldSpecimen:  "TRUE"}</t>
  </si>
  <si>
    <t xml:space="preserve">  - {SamplingFeatureObj:  *SamplingFeatureID0204, SpecimenTypeCV:  "Grab", SpecimenMediumCV:  "1198.98817", IsFieldSpecimen:  "TRUE"}</t>
  </si>
  <si>
    <t xml:space="preserve">  - {SamplingFeatureObj:  *SamplingFeatureID0205, SpecimenTypeCV:  "Grab", SpecimenMediumCV:  "1261.869196", IsFieldSpecimen:  "TRUE"}</t>
  </si>
  <si>
    <t xml:space="preserve">  - {SamplingFeatureObj:  *SamplingFeatureID0206, SpecimenTypeCV:  "Grab", SpecimenMediumCV:  "1250.794995", IsFieldSpecimen:  "TRUE"}</t>
  </si>
  <si>
    <t xml:space="preserve">  - {SamplingFeatureObj:  *SamplingFeatureID0207, SpecimenTypeCV:  "Grab", SpecimenMediumCV:  "1180.209209", IsFieldSpecimen:  "TRUE"}</t>
  </si>
  <si>
    <t xml:space="preserve">  - {SamplingFeatureObj:  *SamplingFeatureID0208, SpecimenTypeCV:  "Grab", SpecimenMediumCV:  "PLEASE PUT A SPECIMEN MEDIUM IN ROW 201", IsFieldSpecimen:  "TRUE"}</t>
  </si>
  <si>
    <t xml:space="preserve">  - {SamplingFeatureObj:  *SamplingFeatureID0209, SpecimenTypeCV:  "Grab", SpecimenMediumCV:  "PLEASE PUT A SPECIMEN MEDIUM IN ROW 202", IsFieldSpecimen:  "TRUE"}</t>
  </si>
  <si>
    <t xml:space="preserve">  - {SamplingFeatureObj:  *SamplingFeatureID0210, SpecimenTypeCV:  "Grab", SpecimenMediumCV:  "PLEASE PUT A SPECIMEN MEDIUM IN ROW 203", IsFieldSpecimen:  "TRUE"}</t>
  </si>
  <si>
    <t xml:space="preserve">  - {SamplingFeatureObj:  *SamplingFeatureID0211, SpecimenTypeCV:  "Grab", SpecimenMediumCV:  "PLEASE PUT A SPECIMEN MEDIUM IN ROW 204", IsFieldSpecimen:  "TRUE"}</t>
  </si>
  <si>
    <t xml:space="preserve">  - {SamplingFeatureObj:  *SamplingFeatureID0212, SpecimenTypeCV:  "Grab", SpecimenMediumCV:  "PLEASE PUT A SPECIMEN MEDIUM IN ROW 205", IsFieldSpecimen:  "TRUE"}</t>
  </si>
  <si>
    <t xml:space="preserve">  - {SamplingFeatureObj:  *SamplingFeatureID0213, SpecimenTypeCV:  "Automated", SpecimenMediumCV:  "PLEASE PUT A SPECIMEN MEDIUM IN ROW 206", IsFieldSpecimen:  "TRUE"}</t>
  </si>
  <si>
    <t xml:space="preserve">  - {SamplingFeatureObj:  *SamplingFeatureID0214, SpecimenTypeCV:  "Automated", SpecimenMediumCV:  "PLEASE PUT A SPECIMEN MEDIUM IN ROW 207", IsFieldSpecimen:  "TRUE"}</t>
  </si>
  <si>
    <t xml:space="preserve">  - {SamplingFeatureObj:  *SamplingFeatureID0215, SpecimenTypeCV:  "Automated", SpecimenMediumCV:  "1137.14964", IsFieldSpecimen:  "TRUE"}</t>
  </si>
  <si>
    <t xml:space="preserve">  - {SamplingFeatureObj:  *SamplingFeatureID0216, SpecimenTypeCV:  "Automated", SpecimenMediumCV:  "PLEASE PUT A SPECIMEN MEDIUM IN ROW 209", IsFieldSpecimen:  "TRUE"}</t>
  </si>
  <si>
    <t xml:space="preserve">  - {SamplingFeatureObj:  *SamplingFeatureID0217, SpecimenTypeCV:  "Automated", SpecimenMediumCV:  "PLEASE PUT A SPECIMEN MEDIUM IN ROW 210", IsFieldSpecimen:  "TRUE"}</t>
  </si>
  <si>
    <t xml:space="preserve">  - {SamplingFeatureObj:  *SamplingFeatureID0218, SpecimenTypeCV:  "Automated", SpecimenMediumCV:  "PLEASE PUT A SPECIMEN MEDIUM IN ROW 211", IsFieldSpecimen:  "TRUE"}</t>
  </si>
  <si>
    <t xml:space="preserve">  - {SamplingFeatureObj:  *SamplingFeatureID0219, SpecimenTypeCV:  "Automated", SpecimenMediumCV:  "PLEASE PUT A SPECIMEN MEDIUM IN ROW 212", IsFieldSpecimen:  "TRUE"}</t>
  </si>
  <si>
    <t xml:space="preserve">  - {SamplingFeatureObj:  *SamplingFeatureID0220, SpecimenTypeCV:  "Automated", SpecimenMediumCV:  "PLEASE PUT A SPECIMEN MEDIUM IN ROW 213", IsFieldSpecimen:  "TRUE"}</t>
  </si>
  <si>
    <t xml:space="preserve">  - {SamplingFeatureObj:  *SamplingFeatureID0221, SpecimenTypeCV:  "Automated", SpecimenMediumCV:  "1062.790944", IsFieldSpecimen:  "TRUE"}</t>
  </si>
  <si>
    <t xml:space="preserve">  - {SamplingFeatureObj:  *SamplingFeatureID0222, SpecimenTypeCV:  "Automated", SpecimenMediumCV:  "PLEASE PUT A SPECIMEN MEDIUM IN ROW 215", IsFieldSpecimen:  "TRUE"}</t>
  </si>
  <si>
    <t xml:space="preserve">  - {SamplingFeatureObj:  *SamplingFeatureID0223, SpecimenTypeCV:  "Grab", SpecimenMediumCV:  "PLEASE PUT A SPECIMEN MEDIUM IN ROW 216", IsFieldSpecimen:  "TRUE"}</t>
  </si>
  <si>
    <t xml:space="preserve">  - {SamplingFeatureObj:  *SamplingFeatureID0224, SpecimenTypeCV:  "Grab", SpecimenMediumCV:  "PLEASE PUT A SPECIMEN MEDIUM IN ROW 217", IsFieldSpecimen:  "TRUE"}</t>
  </si>
  <si>
    <t xml:space="preserve">  - {SamplingFeatureObj:  *SamplingFeatureID0225, SpecimenTypeCV:  "Grab", SpecimenMediumCV:  "PLEASE PUT A SPECIMEN MEDIUM IN ROW 218", IsFieldSpecimen:  "TRUE"}</t>
  </si>
  <si>
    <t xml:space="preserve">  - {SamplingFeatureObj:  *SamplingFeatureID0226, SpecimenTypeCV:  "Grab", SpecimenMediumCV:  "1431.840801", IsFieldSpecimen:  "TRUE"}</t>
  </si>
  <si>
    <t xml:space="preserve">  - {SamplingFeatureObj:  *SamplingFeatureID0227, SpecimenTypeCV:  "Grab", SpecimenMediumCV:  "1336.4446", IsFieldSpecimen:  "TRUE"}</t>
  </si>
  <si>
    <t xml:space="preserve">  - {SamplingFeatureObj:  *SamplingFeatureID0228, SpecimenTypeCV:  "Grab", SpecimenMediumCV:  "1406.258676", IsFieldSpecimen:  "TRUE"}</t>
  </si>
  <si>
    <t xml:space="preserve">  - {SamplingFeatureObj:  *SamplingFeatureID0229, SpecimenTypeCV:  "Automated", SpecimenMediumCV:  "1333.151728", IsFieldSpecimen:  "TRUE"}</t>
  </si>
  <si>
    <t xml:space="preserve">  - {SamplingFeatureObj:  *SamplingFeatureID0230, SpecimenTypeCV:  "Automated", SpecimenMediumCV:  "1054.154583", IsFieldSpecimen:  "TRUE"}</t>
  </si>
  <si>
    <t xml:space="preserve">  - {SamplingFeatureObj:  *SamplingFeatureID0231, SpecimenTypeCV:  "Automated", SpecimenMediumCV:  "708.3089095", IsFieldSpecimen:  "TRUE"}</t>
  </si>
  <si>
    <t xml:space="preserve">  - {SamplingFeatureObj:  *SamplingFeatureID0232, SpecimenTypeCV:  "Automated", SpecimenMediumCV:  "698.5806851", IsFieldSpecimen:  "TRUE"}</t>
  </si>
  <si>
    <t xml:space="preserve">  - {SamplingFeatureObj:  *SamplingFeatureID0234, SpecimenTypeCV:  "Automated", SpecimenMediumCV:  "668.2429253", IsFieldSpecimen:  "TRUE"}</t>
  </si>
  <si>
    <t xml:space="preserve">  - {SamplingFeatureObj:  *SamplingFeatureID0235, SpecimenTypeCV:  "Automated", SpecimenMediumCV:  "482.8325881", IsFieldSpecimen:  "TRUE"}</t>
  </si>
  <si>
    <t xml:space="preserve">  - {SamplingFeatureObj:  *SamplingFeatureID0236, SpecimenTypeCV:  "Automated", SpecimenMediumCV:  "536.045681", IsFieldSpecimen:  "TRUE"}</t>
  </si>
  <si>
    <t xml:space="preserve">  - {SamplingFeatureObj:  *SamplingFeatureID0237, SpecimenTypeCV:  "Automated", SpecimenMediumCV:  "722.8506051", IsFieldSpecimen:  "TRUE"}</t>
  </si>
  <si>
    <t xml:space="preserve">  - {SamplingFeatureObj:  *SamplingFeatureID0238, SpecimenTypeCV:  "Automated", SpecimenMediumCV:  "857.7579578", IsFieldSpecimen:  "TRUE"}</t>
  </si>
  <si>
    <t xml:space="preserve">  - {SamplingFeatureObj:  *SamplingFeatureID0239, SpecimenTypeCV:  "Automated", SpecimenMediumCV:  "1071.912788", IsFieldSpecimen:  "TRUE"}</t>
  </si>
  <si>
    <t xml:space="preserve">  - {SamplingFeatureObj:  *SamplingFeatureID0240, SpecimenTypeCV:  "Automated", SpecimenMediumCV:  "PLEASE PUT A SPECIMEN MEDIUM IN ROW 233", IsFieldSpecimen:  "TRUE"}</t>
  </si>
  <si>
    <t xml:space="preserve">  - {SamplingFeatureObj:  *SamplingFeatureID0241, SpecimenTypeCV:  "Automated", SpecimenMediumCV:  "PLEASE PUT A SPECIMEN MEDIUM IN ROW 234", IsFieldSpecimen:  "TRUE"}</t>
  </si>
  <si>
    <t xml:space="preserve">  - {SamplingFeatureObj:  *SamplingFeatureID0242, SpecimenTypeCV:  "Automated", SpecimenMediumCV:  "PLEASE PUT A SPECIMEN MEDIUM IN ROW 235", IsFieldSpecimen:  "TRUE"}</t>
  </si>
  <si>
    <t xml:space="preserve">  - {SamplingFeatureObj:  *SamplingFeatureID0243, SpecimenTypeCV:  "Grab", SpecimenMediumCV:  "PLEASE PUT A SPECIMEN MEDIUM IN ROW 236", IsFieldSpecimen:  "TRUE"}</t>
  </si>
  <si>
    <t xml:space="preserve">  - {SamplingFeatureObj:  *SamplingFeatureID0244, SpecimenTypeCV:  "Grab", SpecimenMediumCV:  "PLEASE PUT A SPECIMEN MEDIUM IN ROW 237", IsFieldSpecimen:  "TRUE"}</t>
  </si>
  <si>
    <t xml:space="preserve">  - {SamplingFeatureObj:  *SamplingFeatureID0245, SpecimenTypeCV:  "Grab", SpecimenMediumCV:  "PLEASE PUT A SPECIMEN MEDIUM IN ROW 238", IsFieldSpecimen:  "TRUE"}</t>
  </si>
  <si>
    <t xml:space="preserve">  - {SamplingFeatureObj:  *SamplingFeatureID0246, SpecimenTypeCV:  "Grab", SpecimenMediumCV:  "PLEASE PUT A SPECIMEN MEDIUM IN ROW 239", IsFieldSpecimen:  "TRUE"}</t>
  </si>
  <si>
    <t xml:space="preserve">  - {SamplingFeatureObj:  *SamplingFeatureID0247, SpecimenTypeCV:  "Grab", SpecimenMediumCV:  "PLEASE PUT A SPECIMEN MEDIUM IN ROW 240", IsFieldSpecimen:  "TRUE"}</t>
  </si>
  <si>
    <t xml:space="preserve">  - {SamplingFeatureObj:  *SamplingFeatureID0248, SpecimenTypeCV:  "Grab", SpecimenMediumCV:  "PLEASE PUT A SPECIMEN MEDIUM IN ROW 241", IsFieldSpecimen:  "TRUE"}</t>
  </si>
  <si>
    <t xml:space="preserve">  - {SamplingFeatureObj:  *SamplingFeatureID0249, SpecimenTypeCV:  "Grab", SpecimenMediumCV:  "PLEASE PUT A SPECIMEN MEDIUM IN ROW 242", IsFieldSpecimen:  "TRUE"}</t>
  </si>
  <si>
    <t xml:space="preserve">  - {SamplingFeatureObj:  *SamplingFeatureID0250, SpecimenTypeCV:  "Grab", SpecimenMediumCV:  "PLEASE PUT A SPECIMEN MEDIUM IN ROW 243", IsFieldSpecimen:  "TRUE"}</t>
  </si>
  <si>
    <t xml:space="preserve">  - {SamplingFeatureObj:  *SamplingFeatureID0251, SpecimenTypeCV:  "Grab", SpecimenMediumCV:  "PLEASE PUT A SPECIMEN MEDIUM IN ROW 244", IsFieldSpecimen:  "TRUE"}</t>
  </si>
  <si>
    <t xml:space="preserve">  - {SamplingFeatureObj:  *SamplingFeatureID0252, SpecimenTypeCV:  "Grab", SpecimenMediumCV:  "PLEASE PUT A SPECIMEN MEDIUM IN ROW 245", IsFieldSpecimen:  "TRUE"}</t>
  </si>
  <si>
    <t xml:space="preserve">  - {SamplingFeatureObj:  *SamplingFeatureID0253, SpecimenTypeCV:  "Grab", SpecimenMediumCV:  "PLEASE PUT A SPECIMEN MEDIUM IN ROW 246", IsFieldSpecimen:  "TRUE"}</t>
  </si>
  <si>
    <t xml:space="preserve">  - {SamplingFeatureObj:  *SamplingFeatureID0254, SpecimenTypeCV:  "Grab", SpecimenMediumCV:  "PLEASE PUT A SPECIMEN MEDIUM IN ROW 247", IsFieldSpecimen:  "TRUE"}</t>
  </si>
  <si>
    <t xml:space="preserve">  - {SamplingFeatureObj:  *SamplingFeatureID0255, SpecimenTypeCV:  "Grab", SpecimenMediumCV:  "PLEASE PUT A SPECIMEN MEDIUM IN ROW 248", IsFieldSpecimen:  "TRUE"}</t>
  </si>
  <si>
    <t xml:space="preserve">  - {SamplingFeatureObj:  *SamplingFeatureID0256, SpecimenTypeCV:  "Grab", SpecimenMediumCV:  "PLEASE PUT A SPECIMEN MEDIUM IN ROW 249", IsFieldSpecimen:  "TRUE"}</t>
  </si>
  <si>
    <t xml:space="preserve">  - {SamplingFeatureObj:  *SamplingFeatureID0257, SpecimenTypeCV:  "Automated", SpecimenMediumCV:  "PLEASE PUT A SPECIMEN MEDIUM IN ROW 250", IsFieldSpecimen:  "TRUE"}</t>
  </si>
  <si>
    <t xml:space="preserve">  - {SamplingFeatureObj:  *SamplingFeatureID0258, SpecimenTypeCV:  "Automated", SpecimenMediumCV:  "PLEASE PUT A SPECIMEN MEDIUM IN ROW 251", IsFieldSpecimen:  "TRUE"}</t>
  </si>
  <si>
    <t xml:space="preserve">  - {SamplingFeatureObj:  *SamplingFeatureID0259, SpecimenTypeCV:  "Automated", SpecimenMediumCV:  "PLEASE PUT A SPECIMEN MEDIUM IN ROW 252", IsFieldSpecimen:  "TRUE"}</t>
  </si>
  <si>
    <t xml:space="preserve">  - {SamplingFeatureObj:  *SamplingFeatureID0260, SpecimenTypeCV:  "Automated", SpecimenMediumCV:  "PLEASE PUT A SPECIMEN MEDIUM IN ROW 253", IsFieldSpecimen:  "TRUE"}</t>
  </si>
  <si>
    <t xml:space="preserve">  - {SamplingFeatureObj:  *SamplingFeatureID0261, SpecimenTypeCV:  "Automated", SpecimenMediumCV:  "PLEASE PUT A SPECIMEN MEDIUM IN ROW 254", IsFieldSpecimen:  "TRUE"}</t>
  </si>
  <si>
    <t xml:space="preserve">  - {SamplingFeatureObj:  *SamplingFeatureID0262, SpecimenTypeCV:  "Automated", SpecimenMediumCV:  "PLEASE PUT A SPECIMEN MEDIUM IN ROW 255", IsFieldSpecimen:  "TRUE"}</t>
  </si>
  <si>
    <t xml:space="preserve">  - {SamplingFeatureObj:  *SamplingFeatureID0263, SpecimenTypeCV:  "Automated", SpecimenMediumCV:  "PLEASE PUT A SPECIMEN MEDIUM IN ROW 256", IsFieldSpecimen:  "TRUE"}</t>
  </si>
  <si>
    <t xml:space="preserve">  - {SamplingFeatureObj:  *SamplingFeatureID0264, SpecimenTypeCV:  "Automated", SpecimenMediumCV:  "PLEASE PUT A SPECIMEN MEDIUM IN ROW 257", IsFieldSpecimen:  "TRUE"}</t>
  </si>
  <si>
    <t xml:space="preserve">  - {SamplingFeatureObj:  *SamplingFeatureID0265, SpecimenTypeCV:  "Automated", SpecimenMediumCV:  "PLEASE PUT A SPECIMEN MEDIUM IN ROW 258", IsFieldSpecimen:  "TRUE"}</t>
  </si>
  <si>
    <t xml:space="preserve">  - {SamplingFeatureObj:  *SamplingFeatureID0266, SpecimenTypeCV:  "Automated", SpecimenMediumCV:  "PLEASE PUT A SPECIMEN MEDIUM IN ROW 259", IsFieldSpecimen:  "TRUE"}</t>
  </si>
  <si>
    <t xml:space="preserve">  - {SamplingFeatureObj:  *SamplingFeatureID0267, SpecimenTypeCV:  "Automated", SpecimenMediumCV:  "PLEASE PUT A SPECIMEN MEDIUM IN ROW 260", IsFieldSpecimen:  "TRUE"}</t>
  </si>
  <si>
    <t xml:space="preserve">  - {SamplingFeatureObj:  *SamplingFeatureID0268, SpecimenTypeCV:  "Automated", SpecimenMediumCV:  "PLEASE PUT A SPECIMEN MEDIUM IN ROW 261", IsFieldSpecimen:  "TRUE"}</t>
  </si>
  <si>
    <t xml:space="preserve">  - {SamplingFeatureObj:  *SamplingFeatureID0269, SpecimenTypeCV:  "Automated", SpecimenMediumCV:  "PLEASE PUT A SPECIMEN MEDIUM IN ROW 262", IsFieldSpecimen:  "TRUE"}</t>
  </si>
  <si>
    <t xml:space="preserve">  - {SamplingFeatureObj:  *SamplingFeatureID0270, SpecimenTypeCV:  "Automated", SpecimenMediumCV:  "PLEASE PUT A SPECIMEN MEDIUM IN ROW 263", IsFieldSpecimen:  "TRUE"}</t>
  </si>
  <si>
    <t xml:space="preserve">  - {SamplingFeatureObj:  *SamplingFeatureID0271, SpecimenTypeCV:  "Automated", SpecimenMediumCV:  "PLEASE PUT A SPECIMEN MEDIUM IN ROW 264", IsFieldSpecimen:  "TRUE"}</t>
  </si>
  <si>
    <t xml:space="preserve">  - {SamplingFeatureObj:  *SamplingFeatureID0272, SpecimenTypeCV:  "Automated", SpecimenMediumCV:  "PLEASE PUT A SPECIMEN MEDIUM IN ROW 265", IsFieldSpecimen:  "TRUE"}</t>
  </si>
  <si>
    <t xml:space="preserve">  - {SamplingFeatureObj:  *SamplingFeatureID0273, SpecimenTypeCV:  "Automated", SpecimenMediumCV:  "PLEASE PUT A SPECIMEN MEDIUM IN ROW 266", IsFieldSpecimen:  "TRUE"}</t>
  </si>
  <si>
    <t xml:space="preserve">  - {SamplingFeatureObj:  *SamplingFeatureID0274, SpecimenTypeCV:  "Automated", SpecimenMediumCV:  "PLEASE PUT A SPECIMEN MEDIUM IN ROW 267", IsFieldSpecimen:  "TRUE"}</t>
  </si>
  <si>
    <t xml:space="preserve">  - {SamplingFeatureObj:  *SamplingFeatureID0275, SpecimenTypeCV:  "Automated", SpecimenMediumCV:  "PLEASE PUT A SPECIMEN MEDIUM IN ROW 268", IsFieldSpecimen:  "TRUE"}</t>
  </si>
  <si>
    <t xml:space="preserve">  - {SamplingFeatureObj:  *SamplingFeatureID0276, SpecimenTypeCV:  "Automated", SpecimenMediumCV:  "PLEASE PUT A SPECIMEN MEDIUM IN ROW 269", IsFieldSpecimen:  "TRUE"}</t>
  </si>
  <si>
    <t xml:space="preserve">  - {SamplingFeatureObj:  *SamplingFeatureID0277, SpecimenTypeCV:  "Automated", SpecimenMediumCV:  "PLEASE PUT A SPECIMEN MEDIUM IN ROW 270", IsFieldSpecimen:  "TRUE"}</t>
  </si>
  <si>
    <t xml:space="preserve">  - {SamplingFeatureObj:  *SamplingFeatureID0278, SpecimenTypeCV:  "Grab", SpecimenMediumCV:  "PLEASE PUT A SPECIMEN MEDIUM IN ROW 271", IsFieldSpecimen:  "TRUE"}</t>
  </si>
  <si>
    <t xml:space="preserve">  - {SamplingFeatureObj:  *SamplingFeatureID0279, SpecimenTypeCV:  "Grab", SpecimenMediumCV:  "PLEASE PUT A SPECIMEN MEDIUM IN ROW 272", IsFieldSpecimen:  "TRUE"}</t>
  </si>
  <si>
    <t xml:space="preserve">  - {SamplingFeatureObj:  *SamplingFeatureID0280, SpecimenTypeCV:  "Grab", SpecimenMediumCV:  "PLEASE PUT A SPECIMEN MEDIUM IN ROW 273", IsFieldSpecimen:  "TRUE"}</t>
  </si>
  <si>
    <t xml:space="preserve">  - {SamplingFeatureObj:  *SamplingFeatureID0281, SpecimenTypeCV:  "Grab", SpecimenMediumCV:  "PLEASE PUT A SPECIMEN MEDIUM IN ROW 274", IsFieldSpecimen:  "TRUE"}</t>
  </si>
  <si>
    <t xml:space="preserve">  - {SamplingFeatureObj:  *SamplingFeatureID0282, SpecimenTypeCV:  "Grab", SpecimenMediumCV:  "PLEASE PUT A SPECIMEN MEDIUM IN ROW 275", IsFieldSpecimen:  "TRUE"}</t>
  </si>
  <si>
    <t xml:space="preserve">  - {SamplingFeatureObj:  *SamplingFeatureID0283, SpecimenTypeCV:  "Grab", SpecimenMediumCV:  "PLEASE PUT A SPECIMEN MEDIUM IN ROW 276", IsFieldSpecimen:  "TRUE"}</t>
  </si>
  <si>
    <t xml:space="preserve">  - {SamplingFeatureObj:  *SamplingFeatureID0284, SpecimenTypeCV:  "Grab", SpecimenMediumCV:  "PLEASE PUT A SPECIMEN MEDIUM IN ROW 277", IsFieldSpecimen:  "TRUE"}</t>
  </si>
  <si>
    <t xml:space="preserve">  - {SamplingFeatureObj:  *SamplingFeatureID0285, SpecimenTypeCV:  "Grab", SpecimenMediumCV:  "PLEASE PUT A SPECIMEN MEDIUM IN ROW 278", IsFieldSpecimen:  "TRUE"}</t>
  </si>
  <si>
    <t>"2011-01-14 14:45:00", -5, 1100073, WLYMOUTH, Grab, TRUE, Sara Geleskie Damiano, 7.29, 421, 12.2859, 1/20/2011 22:25, -7 ],[</t>
  </si>
  <si>
    <t>"2011-02-14 15:28:00", -5, 1100229, WLYATSPENCER, Grab, TRUE, Sara Geleskie Damiano, 6.73, 268, 1.1673, 2/24/2011 11:53, -7 ],[</t>
  </si>
  <si>
    <t>"2011-02-25 07:00:00", -5, 1100287, WCCPH, Automated, TRUE, Michael D Gentile, 7.66, 164.4, 7.36, 662.4052443, 1.7346, 3/2/2011 7:13, -7 ],[</t>
  </si>
  <si>
    <t>"2011-02-25 10:00:00", -5, 1100289, WCCPH, Automated, TRUE, Michael D Gentile, 7.58, 119.9, 8.507, 511.9874337, 1.32, 3/10/2011 12:26, -7 ],[</t>
  </si>
  <si>
    <t xml:space="preserve">  - &amp;SamplingFeatureID0008 {SamplingFeatureUUID:  NULL, SamplingFeatureTypeCV:  "Specimen", SamplingFeatureCode:  "HI5", SamplingFeatureName:  NULL, SamplingFeatureDescription:  NULL, SamplingFeatureGeotypeCV:  "Point", FeatureGeometry:  NULL, Elevation_m:  NULL, ElevationDatumCV:  "MSL"}</t>
  </si>
  <si>
    <t xml:space="preserve">  - &amp;SamplingFeatureID0009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</si>
  <si>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&amp;SamplingFeatureID0010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</si>
  <si>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&amp;SamplingFeatureID0011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</si>
  <si>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&amp;SamplingFeatureID0012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</si>
  <si>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&amp;SamplingFeatureID0013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</si>
  <si>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&amp;SamplingFeatureID0014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</si>
  <si>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&amp;SamplingFeatureID0015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</si>
  <si>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&amp;SamplingFeatureID0016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</si>
  <si>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&amp;SamplingFeatureID0017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</si>
  <si>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&amp;SamplingFeatureID0018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</si>
  <si>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&amp;SamplingFeatureID0019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</si>
  <si>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&amp;SamplingFeatureID0020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</si>
  <si>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&amp;SamplingFeatureID0021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</si>
  <si>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&amp;SamplingFeatureID0022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</si>
  <si>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&amp;SamplingFeatureID0023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</si>
  <si>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&amp;SamplingFeatureID0024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</si>
  <si>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&amp;SamplingFeatureID0025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</si>
  <si>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&amp;SamplingFeatureID0026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</si>
  <si>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&amp;SamplingFeatureID0027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</si>
  <si>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&amp;SamplingFeatureID0028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</si>
  <si>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&amp;SamplingFeatureID0029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</si>
  <si>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&amp;SamplingFeatureID0030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</si>
  <si>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&amp;SamplingFeatureID0031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</si>
  <si>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&amp;SamplingFeatureID0032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</si>
  <si>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&amp;SamplingFeatureID0033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</si>
  <si>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&amp;SamplingFeatureID0034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</si>
  <si>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&amp;SamplingFeatureID0035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</si>
  <si>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&amp;SamplingFeatureID0036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</si>
  <si>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&amp;SamplingFeatureID0037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</si>
  <si>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&amp;SamplingFeatureID0038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</si>
  <si>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&amp;SamplingFeatureID0039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</si>
  <si>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&amp;SamplingFeatureID0040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</si>
  <si>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&amp;SamplingFeatureID0041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</si>
  <si>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&amp;SamplingFeatureID0042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</si>
  <si>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&amp;SamplingFeatureID0043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</si>
  <si>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&amp;SamplingFeatureID0044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</si>
  <si>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&amp;SamplingFeatureID0045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</si>
  <si>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&amp;SamplingFeatureID0046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</si>
  <si>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&amp;SamplingFeatureID0047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</si>
  <si>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&amp;SamplingFeatureID0048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</si>
  <si>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&amp;SamplingFeatureID0049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</si>
  <si>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&amp;SamplingFeatureID0050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</si>
  <si>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&amp;SamplingFeatureID0051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</si>
  <si>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&amp;SamplingFeatureID0052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</si>
  <si>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&amp;SamplingFeatureID0053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</si>
  <si>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&amp;SamplingFeatureID0054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</si>
  <si>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&amp;SamplingFeatureID0055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</si>
  <si>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&amp;SamplingFeatureID0056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</si>
  <si>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&amp;SamplingFeatureID0057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</si>
  <si>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&amp;SamplingFeatureID0058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</si>
  <si>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&amp;SamplingFeatureID0059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</si>
  <si>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&amp;SamplingFeatureID0060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</si>
  <si>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&amp;SamplingFeatureID0061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</si>
  <si>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&amp;SamplingFeatureID0062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</si>
  <si>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&amp;SamplingFeatureID0063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</si>
  <si>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&amp;SamplingFeatureID0064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</si>
  <si>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&amp;SamplingFeatureID0065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</si>
  <si>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&amp;SamplingFeatureID0066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</si>
  <si>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&amp;SamplingFeatureID0067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</si>
  <si>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&amp;SamplingFeatureID0068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</si>
  <si>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&amp;SamplingFeatureID0069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</si>
  <si>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&amp;SamplingFeatureID0070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</si>
  <si>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&amp;SamplingFeatureID0071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</si>
  <si>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&amp;SamplingFeatureID0072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</si>
  <si>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&amp;SamplingFeatureID0073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</si>
  <si>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&amp;SamplingFeatureID0074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</si>
  <si>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&amp;SamplingFeatureID0075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</si>
  <si>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&amp;SamplingFeatureID0076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</si>
  <si>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&amp;SamplingFeatureID0077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</si>
  <si>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&amp;SamplingFeatureID0078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</si>
  <si>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&amp;SamplingFeatureID0079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</si>
  <si>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&amp;SamplingFeatureID0080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</si>
  <si>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&amp;SamplingFeatureID0081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</si>
  <si>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&amp;SamplingFeatureID0082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</si>
  <si>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&amp;SamplingFeatureID0083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</si>
  <si>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&amp;SamplingFeatureID0084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</si>
  <si>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&amp;SamplingFeatureID0085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</si>
  <si>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&amp;SamplingFeatureID0086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</si>
  <si>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&amp;SamplingFeatureID0087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</si>
  <si>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&amp;SamplingFeatureID0088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</si>
  <si>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&amp;SamplingFeatureID0089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</si>
  <si>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&amp;SamplingFeatureID0090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</si>
  <si>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&amp;SamplingFeatureID0091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</si>
  <si>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&amp;SamplingFeatureID0092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</si>
  <si>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&amp;SamplingFeatureID0093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</si>
  <si>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&amp;SamplingFeatureID0094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</si>
  <si>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&amp;SamplingFeatureID0095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</si>
  <si>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&amp;SamplingFeatureID0096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</si>
  <si>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&amp;SamplingFeatureID0097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</si>
  <si>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&amp;SamplingFeatureID0098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</si>
  <si>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&amp;SamplingFeatureID0099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</si>
  <si>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&amp;SamplingFeatureID0100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</si>
  <si>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&amp;SamplingFeatureID0101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</si>
  <si>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&amp;SamplingFeatureID0102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</si>
  <si>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&amp;SamplingFeatureID0103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</si>
  <si>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&amp;SamplingFeatureID0104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</si>
  <si>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&amp;SamplingFeatureID0105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</si>
  <si>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&amp;SamplingFeatureID0106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</si>
  <si>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&amp;SamplingFeatureID0107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</si>
  <si>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&amp;SamplingFeatureID0108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</si>
  <si>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&amp;SamplingFeatureID0109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</si>
  <si>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&amp;SamplingFeatureID0110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</si>
  <si>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&amp;SamplingFeatureID0111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</si>
  <si>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&amp;SamplingFeatureID0112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</si>
  <si>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&amp;SamplingFeatureID0113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</si>
  <si>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&amp;SamplingFeatureID0114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</si>
  <si>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&amp;SamplingFeatureID0115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</si>
  <si>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&amp;SamplingFeatureID0116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</si>
  <si>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&amp;SamplingFeatureID0117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</si>
  <si>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&amp;SamplingFeatureID0118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</si>
  <si>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&amp;SamplingFeatureID0119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</si>
  <si>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&amp;SamplingFeatureID0120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</si>
  <si>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&amp;SamplingFeatureID0121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</si>
  <si>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&amp;SamplingFeatureID0122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</si>
  <si>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&amp;SamplingFeatureID0123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</si>
  <si>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&amp;SamplingFeatureID0124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</si>
  <si>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&amp;SamplingFeatureID0125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</si>
  <si>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&amp;SamplingFeatureID0126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</si>
  <si>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&amp;SamplingFeatureID0127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</si>
  <si>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&amp;SamplingFeatureID0128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</si>
  <si>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&amp;SamplingFeatureID0129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</si>
  <si>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&amp;SamplingFeatureID0130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</si>
  <si>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&amp;SamplingFeatureID0131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</si>
  <si>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&amp;SamplingFeatureID0132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</si>
  <si>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&amp;SamplingFeatureID0133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</si>
  <si>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&amp;SamplingFeatureID0134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</si>
  <si>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&amp;SamplingFeatureID0135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</si>
  <si>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&amp;SamplingFeatureID0136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</si>
  <si>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&amp;SamplingFeatureID0137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</si>
  <si>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&amp;SamplingFeatureID0138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</si>
  <si>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&amp;SamplingFeatureID0139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</si>
  <si>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&amp;SamplingFeatureID0140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</si>
  <si>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&amp;SamplingFeatureID0141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</si>
  <si>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&amp;SamplingFeatureID0142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</si>
  <si>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&amp;SamplingFeatureID0143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</si>
  <si>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&amp;SamplingFeatureID0144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</si>
  <si>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&amp;SamplingFeatureID0145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</si>
  <si>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&amp;SamplingFeatureID0146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</si>
  <si>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&amp;SamplingFeatureID0147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</si>
  <si>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&amp;SamplingFeatureID0148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</si>
  <si>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&amp;SamplingFeatureID0149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</si>
  <si>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&amp;SamplingFeatureID0150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</si>
  <si>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&amp;SamplingFeatureID0151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</si>
  <si>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&amp;SamplingFeatureID0152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</si>
  <si>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&amp;SamplingFeatureID0153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</si>
  <si>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&amp;SamplingFeatureID0154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</si>
  <si>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&amp;SamplingFeatureID0155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</si>
  <si>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&amp;SamplingFeatureID0156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</si>
  <si>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&amp;SamplingFeatureID0157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</si>
  <si>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&amp;SamplingFeatureID0158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</si>
  <si>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&amp;SamplingFeatureID0159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</si>
  <si>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&amp;SamplingFeatureID0160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</si>
  <si>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&amp;SamplingFeatureID0161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</si>
  <si>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&amp;SamplingFeatureID0162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</si>
  <si>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&amp;SamplingFeatureID0163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</si>
  <si>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&amp;SamplingFeatureID0164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</si>
  <si>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&amp;SamplingFeatureID0165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</si>
  <si>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&amp;SamplingFeatureID0166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</si>
  <si>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&amp;SamplingFeatureID0167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</si>
  <si>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&amp;SamplingFeatureID0168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</si>
  <si>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&amp;SamplingFeatureID0169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</si>
  <si>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&amp;SamplingFeatureID0170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</si>
  <si>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&amp;SamplingFeatureID0171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</si>
  <si>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&amp;SamplingFeatureID0172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</si>
  <si>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&amp;SamplingFeatureID0173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</si>
  <si>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&amp;SamplingFeatureID0174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</si>
  <si>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&amp;SamplingFeatureID0175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</si>
  <si>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&amp;SamplingFeatureID0176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</si>
  <si>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&amp;SamplingFeatureID0177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</si>
  <si>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&amp;SamplingFeatureID0178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</si>
  <si>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&amp;SamplingFeatureID0179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</si>
  <si>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&amp;SamplingFeatureID0180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</si>
  <si>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&amp;SamplingFeatureID0181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</si>
  <si>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&amp;SamplingFeatureID0182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</si>
  <si>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&amp;SamplingFeatureID0183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</si>
  <si>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&amp;SamplingFeatureID0184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</si>
  <si>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&amp;SamplingFeatureID0185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</si>
  <si>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&amp;SamplingFeatureID0186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</si>
  <si>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&amp;SamplingFeatureID0187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</si>
  <si>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&amp;SamplingFeatureID0188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</si>
  <si>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&amp;SamplingFeatureID0189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</si>
  <si>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&amp;SamplingFeatureID0190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</si>
  <si>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&amp;SamplingFeatureID0191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</si>
  <si>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&amp;SamplingFeatureID0192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</si>
  <si>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&amp;SamplingFeatureID0193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</si>
  <si>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&amp;SamplingFeatureID0194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</si>
  <si>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&amp;SamplingFeatureID0195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</si>
  <si>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&amp;SamplingFeatureID0196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</si>
  <si>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&amp;SamplingFeatureID0197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</si>
  <si>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&amp;SamplingFeatureID0198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</si>
  <si>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&amp;SamplingFeatureID0199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</si>
  <si>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&amp;SamplingFeatureID0200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</si>
  <si>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&amp;SamplingFeatureID0201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</si>
  <si>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&amp;SamplingFeatureID0202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</si>
  <si>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&amp;SamplingFeatureID0203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</si>
  <si>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&amp;SamplingFeatureID0204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</si>
  <si>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&amp;SamplingFeatureID0205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</si>
  <si>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&amp;SamplingFeatureID0206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</si>
  <si>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&amp;SamplingFeatureID0207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</si>
  <si>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&amp;SamplingFeatureID0208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</si>
  <si>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&amp;SamplingFeatureID0209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</si>
  <si>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&amp;SamplingFeatureID0210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</si>
  <si>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&amp;SamplingFeatureID0211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</si>
  <si>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&amp;SamplingFeatureID0212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</si>
  <si>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&amp;SamplingFeatureID0213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</si>
  <si>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&amp;SamplingFeatureID0214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</si>
  <si>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&amp;SamplingFeatureID0215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</si>
  <si>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&amp;SamplingFeatureID0216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</si>
  <si>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&amp;SamplingFeatureID0217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</si>
  <si>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&amp;SamplingFeatureID0218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</si>
  <si>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&amp;SamplingFeatureID0219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</si>
  <si>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&amp;SamplingFeatureID0220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</si>
  <si>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&amp;SamplingFeatureID0221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</si>
  <si>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&amp;SamplingFeatureID0222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</si>
  <si>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&amp;SamplingFeatureID0223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</si>
  <si>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&amp;SamplingFeatureID0224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</si>
  <si>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&amp;SamplingFeatureID0225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</si>
  <si>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&amp;SamplingFeatureID0226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</si>
  <si>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&amp;SamplingFeatureID0227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</si>
  <si>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&amp;SamplingFeatureID0228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</si>
  <si>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&amp;SamplingFeatureID0229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</si>
  <si>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&amp;SamplingFeatureID0230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</si>
  <si>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&amp;SamplingFeatureID0231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</si>
  <si>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&amp;SamplingFeatureID0232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</si>
  <si>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&amp;SamplingFeatureID0234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</si>
  <si>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&amp;SamplingFeatureID0235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</si>
  <si>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&amp;SamplingFeatureID0236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</si>
  <si>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&amp;SamplingFeatureID0237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</si>
  <si>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&amp;SamplingFeatureID0238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</si>
  <si>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&amp;SamplingFeatureID0239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</si>
  <si>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&amp;SamplingFeatureID0240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</si>
  <si>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&amp;SamplingFeatureID0241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</si>
  <si>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&amp;SamplingFeatureID0242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</si>
  <si>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&amp;SamplingFeatureID0243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</si>
  <si>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&amp;SamplingFeatureID0244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</si>
  <si>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&amp;SamplingFeatureID0245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</si>
  <si>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&amp;SamplingFeatureID0246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</si>
  <si>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&amp;SamplingFeatureID0247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</si>
  <si>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&amp;SamplingFeatureID0248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</si>
  <si>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&amp;SamplingFeatureID0249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</si>
  <si>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&amp;SamplingFeatureID0250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</si>
  <si>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&amp;SamplingFeatureID0251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</si>
  <si>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&amp;SamplingFeatureID0252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</si>
  <si>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&amp;SamplingFeatureID0253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</si>
  <si>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&amp;SamplingFeatureID0254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</si>
  <si>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&amp;SamplingFeatureID0255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</si>
  <si>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&amp;SamplingFeatureID0256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</si>
  <si>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&amp;SamplingFeatureID0257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</si>
  <si>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&amp;SamplingFeatureID0258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</si>
  <si>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&amp;SamplingFeatureID0259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</si>
  <si>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&amp;SamplingFeatureID0260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</si>
  <si>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&amp;SamplingFeatureID0261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</si>
  <si>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&amp;SamplingFeatureID0262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</si>
  <si>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&amp;SamplingFeatureID0263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</si>
  <si>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&amp;SamplingFeatureID0264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</si>
  <si>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&amp;SamplingFeatureID0265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</si>
  <si>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&amp;SamplingFeatureID0266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</si>
  <si>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&amp;SamplingFeatureID0267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</si>
  <si>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&amp;SamplingFeatureID0268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</si>
  <si>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&amp;SamplingFeatureID0269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</si>
  <si>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&amp;SamplingFeatureID0270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</si>
  <si>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&amp;SamplingFeatureID0271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</si>
  <si>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&amp;SamplingFeatureID0272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</si>
  <si>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&amp;SamplingFeatureID0273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</si>
  <si>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&amp;SamplingFeatureID0274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</si>
  <si>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&amp;SamplingFeatureID0275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</si>
  <si>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&amp;SamplingFeatureID0276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</si>
  <si>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&amp;SamplingFeatureID0277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</si>
  <si>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&amp;SamplingFeatureID0278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</si>
  <si>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&amp;SamplingFeatureID0279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</si>
  <si>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&amp;SamplingFeatureID0280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</si>
  <si>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&amp;SamplingFeatureID0281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</si>
  <si>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&amp;SamplingFeatureID0282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</si>
  <si>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&amp;SamplingFeatureID0283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</si>
  <si>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&amp;SamplingFeatureID0284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</si>
  <si>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&amp;SamplingFeatureID0285 {SamplingFeatureUUID:  NULL, SamplingFeatureTypeCV:  "Specimen", SamplingFeatureCode:  "1302788", SamplingFeatureName:  NULL, SamplingFeatureDescription:  NULL, SamplingFeatureGeotypeCV:  Point, FeatureGeometry:  NULL, Elevation_m:  NULL, ElevationDatumCV:  NULL}</t>
  </si>
  <si>
    <t>ERA</t>
  </si>
  <si>
    <t>AWER</t>
  </si>
  <si>
    <t>SamplingFeaturesExternalIdentifiers:</t>
  </si>
  <si>
    <t xml:space="preserve">  - {SamplingFeatureObj:  *SamplingFeatureID0003, ExternalIdentifierSystemObj:  *ExternalIdentifierSystemID0003, SamplingFeatureExternalIdentifier:  "ERA", SamplingFeatureExternalIdentifierURI:  "http://app.geosamples.org/sample/igsn/ERA"}</t>
  </si>
  <si>
    <t xml:space="preserve">  - {SamplingFeatureObj:  *SamplingFeatureID0008, ExternalIdentifierSystemObj:  *ExternalIdentifierSystemID0003, SamplingFeatureExternalIdentifier:  "AWER", SamplingFeatureExternalIdentifierURI:  "http://app.geosamples.org/sample/igsn/AWER"}</t>
  </si>
  <si>
    <t xml:space="preserve">  - {SamplingFeatureObj:  *SamplingFeatureID0009, SpecimenTypeCV:  "Grab", SpecimenMediumCV:  "1327.533422", IsFieldSpecimen:  "TRUE"}</t>
  </si>
  <si>
    <t>Number Values</t>
  </si>
  <si>
    <t>Column1</t>
  </si>
  <si>
    <t>Numer Values Required</t>
  </si>
  <si>
    <t>Error?</t>
  </si>
  <si>
    <t>VBV or Column</t>
  </si>
  <si>
    <t>Specimen or Result</t>
  </si>
  <si>
    <t>ODM Table</t>
  </si>
  <si>
    <t>Column2</t>
  </si>
  <si>
    <t>Data Columns Input Column</t>
  </si>
  <si>
    <t>Actions, MeasurementResults</t>
  </si>
  <si>
    <t>Column3</t>
  </si>
  <si>
    <t>Column4</t>
  </si>
  <si>
    <t>Column5</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</si>
</sst>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1">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36">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0" fillId="2" borderId="10" xfId="0" applyFill="1" applyBorder="1"/>
    <xf numFmtId="0" fontId="0" fillId="3" borderId="10" xfId="0" applyFill="1" applyBorder="1"/>
    <xf numFmtId="0" fontId="0" fillId="3" borderId="9" xfId="0" applyFill="1" applyBorder="1"/>
    <xf numFmtId="0" fontId="0" fillId="2" borderId="22" xfId="0" applyFill="1" applyBorder="1"/>
    <xf numFmtId="0" fontId="0" fillId="3" borderId="20" xfId="0" applyFill="1" applyBorder="1"/>
    <xf numFmtId="0" fontId="0" fillId="3" borderId="21" xfId="0" applyFill="1" applyBorder="1"/>
    <xf numFmtId="0" fontId="12" fillId="0" borderId="25" xfId="0" applyFont="1" applyBorder="1"/>
    <xf numFmtId="0" fontId="12" fillId="0" borderId="26" xfId="0" applyFont="1" applyBorder="1"/>
    <xf numFmtId="0" fontId="0" fillId="3" borderId="15" xfId="0" applyFill="1" applyBorder="1"/>
    <xf numFmtId="0" fontId="0" fillId="3" borderId="28" xfId="0" applyFill="1" applyBorder="1"/>
    <xf numFmtId="0" fontId="0" fillId="2" borderId="54" xfId="0" applyFill="1" applyBorder="1" applyProtection="1">
      <protection locked="0"/>
    </xf>
    <xf numFmtId="0" fontId="16" fillId="0" borderId="11" xfId="0" applyFont="1" applyBorder="1" applyAlignment="1" applyProtection="1">
      <alignment horizontal="center"/>
      <protection locked="0"/>
    </xf>
    <xf numFmtId="0" fontId="16" fillId="0" borderId="0" xfId="0" applyFont="1" applyBorder="1" applyAlignment="1" applyProtection="1">
      <alignment horizontal="center"/>
      <protection locked="0"/>
    </xf>
    <xf numFmtId="0" fontId="16" fillId="0" borderId="0" xfId="0" applyFont="1" applyProtection="1">
      <protection locked="0"/>
    </xf>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69" xfId="0" applyFont="1" applyFill="1" applyBorder="1"/>
    <xf numFmtId="0" fontId="0" fillId="3" borderId="69" xfId="0" applyFont="1" applyFill="1" applyBorder="1"/>
    <xf numFmtId="0" fontId="0" fillId="2" borderId="29" xfId="0" applyFill="1" applyBorder="1" applyProtection="1">
      <protection locked="0"/>
    </xf>
    <xf numFmtId="0" fontId="0" fillId="2" borderId="70" xfId="0" applyFill="1" applyBorder="1" applyProtection="1">
      <protection locked="0"/>
    </xf>
    <xf numFmtId="0" fontId="16" fillId="0" borderId="63" xfId="0" applyFont="1" applyBorder="1" applyAlignment="1" applyProtection="1">
      <alignment horizontal="center"/>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2" borderId="75" xfId="0" applyFont="1" applyFill="1" applyBorder="1"/>
    <xf numFmtId="0" fontId="0" fillId="2" borderId="76" xfId="0" applyFont="1" applyFill="1" applyBorder="1"/>
    <xf numFmtId="0" fontId="0" fillId="3" borderId="77" xfId="0" applyFont="1" applyFill="1" applyBorder="1"/>
    <xf numFmtId="0" fontId="0" fillId="0" borderId="24" xfId="0" applyBorder="1"/>
    <xf numFmtId="0" fontId="17" fillId="4" borderId="25" xfId="0" applyFont="1" applyFill="1" applyBorder="1"/>
    <xf numFmtId="0" fontId="17" fillId="4" borderId="26" xfId="0" applyFont="1" applyFill="1" applyBorder="1"/>
    <xf numFmtId="0" fontId="0" fillId="2" borderId="78" xfId="0" applyFont="1" applyFill="1" applyBorder="1"/>
    <xf numFmtId="0" fontId="0" fillId="2" borderId="79" xfId="0" applyFont="1" applyFill="1" applyBorder="1"/>
    <xf numFmtId="0" fontId="0" fillId="3" borderId="79" xfId="0" applyFont="1" applyFill="1" applyBorder="1"/>
    <xf numFmtId="0" fontId="0" fillId="3" borderId="80" xfId="0" applyFont="1" applyFill="1" applyBorder="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16" fillId="0" borderId="0" xfId="0" applyFont="1" applyBorder="1" applyProtection="1">
      <protection locked="0"/>
    </xf>
    <xf numFmtId="0" fontId="18" fillId="0" borderId="0" xfId="0" applyFont="1" applyBorder="1" applyProtection="1">
      <protection locked="0"/>
    </xf>
    <xf numFmtId="0" fontId="18" fillId="0" borderId="63" xfId="0" applyFont="1" applyBorder="1" applyProtection="1">
      <protection locked="0"/>
    </xf>
  </cellXfs>
  <cellStyles count="4">
    <cellStyle name="Followed Hyperlink" xfId="2" builtinId="9" hidden="1"/>
    <cellStyle name="Hyperlink" xfId="1" builtinId="8" hidden="1"/>
    <cellStyle name="Hyperlink" xfId="3" builtinId="8"/>
    <cellStyle name="Normal" xfId="0" builtinId="0"/>
  </cellStyles>
  <dxfs count="258">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FFFF66"/>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ont>
        <b/>
        <i/>
        <color rgb="FFFF0000"/>
      </font>
      <fill>
        <patternFill>
          <bgColor rgb="FFFFC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dxf>
    <dxf>
      <numFmt numFmtId="0" formatCode="General"/>
    </dxf>
    <dxf>
      <numFmt numFmtId="0" formatCode="General"/>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auto="1"/>
        </left>
        <right style="thin">
          <color auto="1"/>
        </right>
        <top/>
        <bottom/>
      </border>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502754</xdr:colOff>
          <xdr:row>2</xdr:row>
          <xdr:rowOff>38100</xdr:rowOff>
        </xdr:from>
        <xdr:to>
          <xdr:col>11</xdr:col>
          <xdr:colOff>694911</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57" dataDxfId="256" tableBorderDxfId="255">
  <tableColumns count="5">
    <tableColumn id="1" name="Organization Type [CV]" dataDxfId="254"/>
    <tableColumn id="2" name="Organization Code" dataDxfId="253"/>
    <tableColumn id="3" name="Organization Name" dataDxfId="252"/>
    <tableColumn id="4" name="Organization Description" dataDxfId="251"/>
    <tableColumn id="5" name="Organization Link" dataDxfId="25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49" dataDxfId="247" headerRowBorderDxfId="248" tableBorderDxfId="246">
  <tableColumns count="9">
    <tableColumn id="1" name="First Name" dataDxfId="245"/>
    <tableColumn id="2" name="Middle Name" dataDxfId="244"/>
    <tableColumn id="3" name="Last Name" dataDxfId="243"/>
    <tableColumn id="5" name="Organization Name" dataDxfId="242"/>
    <tableColumn id="6" name="Primary Email" dataDxfId="241"/>
    <tableColumn id="7" name="Primary Address" dataDxfId="240"/>
    <tableColumn id="10" name="Person OrcID" dataDxfId="239"/>
    <tableColumn id="8" name="Full Name" dataDxfId="238">
      <calculatedColumnFormula>CONCATENATE(People[[#This Row],[First Name]],IF(People[[#This Row],[Middle Name]]="",""," "),People[[#This Row],[Middle Name]]," ",People[[#This Row],[Last Name]])</calculatedColumnFormula>
    </tableColumn>
    <tableColumn id="9" name="ExternalIDNum" dataDxfId="237">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36" dataDxfId="234" headerRowBorderDxfId="235" tableBorderDxfId="233">
  <tableColumns count="2">
    <tableColumn id="1" name="Author Number" dataDxfId="232"/>
    <tableColumn id="2" name="Author Name" dataDxfId="23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30" dataDxfId="228" headerRowBorderDxfId="229" tableBorderDxfId="227">
  <tableColumns count="10">
    <tableColumn id="1" name="Sampling Feature UUID" dataDxfId="226"/>
    <tableColumn id="2" name="Sampling Feature Type" dataDxfId="225"/>
    <tableColumn id="3" name="Feature Geo Type" dataDxfId="224"/>
    <tableColumn id="4" name="Feature Code" dataDxfId="223"/>
    <tableColumn id="5" name="Feature Name" dataDxfId="222"/>
    <tableColumn id="6" name="Feature Description" dataDxfId="221"/>
    <tableColumn id="7" name="Feature Geometry" dataDxfId="220"/>
    <tableColumn id="8" name="Elevation_m" dataDxfId="219"/>
    <tableColumn id="9" name="Feature IGSN" dataDxfId="218"/>
    <tableColumn id="10" name="IGSNID" dataDxfId="217">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16" dataDxfId="214" headerRowBorderDxfId="215" tableBorderDxfId="213">
  <tableColumns count="4">
    <tableColumn id="4" name="SiteID" dataDxfId="212">
      <calculatedColumnFormula>IF(SamplingFeatures[[#This Row],[Sampling Feature Type]]="Site",MAX(L$12:L12)+1,"")</calculatedColumnFormula>
    </tableColumn>
    <tableColumn id="1" name="Site Type" dataDxfId="211"/>
    <tableColumn id="2" name="Latitude" dataDxfId="210"/>
    <tableColumn id="3" name="Longitude" dataDxfId="209"/>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08" dataDxfId="206" headerRowBorderDxfId="207" tableBorderDxfId="205">
  <tableColumns count="4">
    <tableColumn id="4" name="SpecimenID" dataDxfId="204"/>
    <tableColumn id="1" name="Specimen Type" dataDxfId="203"/>
    <tableColumn id="2" name="Specimen Medium" dataDxfId="202"/>
    <tableColumn id="3" name="Is Field Specimen?" dataDxfId="201"/>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00" dataDxfId="198" headerRowBorderDxfId="199" tableBorderDxfId="197">
  <tableColumns count="8">
    <tableColumn id="1" name="Spatial Offset Code" dataDxfId="196"/>
    <tableColumn id="2" name="Spatial Offset Type" dataDxfId="195"/>
    <tableColumn id="3" name="Offset 1 Value" dataDxfId="194"/>
    <tableColumn id="4" name="Offset 1 Unit" dataDxfId="193"/>
    <tableColumn id="5" name="Offset 2 Value" dataDxfId="192"/>
    <tableColumn id="6" name="Offset 2 Unit" dataDxfId="191"/>
    <tableColumn id="7" name="Offset 3 Value" dataDxfId="190"/>
    <tableColumn id="8" name="Offset 3 Unit" dataDxfId="18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188" dataDxfId="186" headerRowBorderDxfId="187" tableBorderDxfId="185">
  <tableColumns count="4">
    <tableColumn id="1" name="First Sampling Feature Code" dataDxfId="184"/>
    <tableColumn id="2" name="Relationship Type" dataDxfId="183"/>
    <tableColumn id="3" name="Second Sampling Feature Code" dataDxfId="182"/>
    <tableColumn id="5" name="Spatial Offset Code" dataDxfId="18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180" dataDxfId="178" headerRowBorderDxfId="179" tableBorderDxfId="177">
  <tableColumns count="6">
    <tableColumn id="1" name="Method Type" dataDxfId="176"/>
    <tableColumn id="2" name="Method Code" dataDxfId="175"/>
    <tableColumn id="3" name="Method Name" dataDxfId="174"/>
    <tableColumn id="4" name="Method Description" dataDxfId="173"/>
    <tableColumn id="5" name="Method Link" dataDxfId="172"/>
    <tableColumn id="6" name="Organization Name" dataDxfId="17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70" dataDxfId="168" headerRowBorderDxfId="169" tableBorderDxfId="167">
  <tableColumns count="6">
    <tableColumn id="1" name="Variable Type" dataDxfId="166"/>
    <tableColumn id="2" name="Variable Code" dataDxfId="165"/>
    <tableColumn id="3" name="Variable Name" dataDxfId="164"/>
    <tableColumn id="4" name="Variable Definition" dataDxfId="163"/>
    <tableColumn id="5" name="Speciation" dataDxfId="162"/>
    <tableColumn id="6" name="No Data Value" dataDxfId="161"/>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60" dataDxfId="158" headerRowBorderDxfId="159" tableBorderDxfId="157">
  <tableColumns count="3">
    <tableColumn id="1" name="Processing Level Code" dataDxfId="156"/>
    <tableColumn id="2" name="Definition" dataDxfId="155"/>
    <tableColumn id="3" name="Explanation" dataDxfId="154"/>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6:D25" totalsRowShown="0" headerRowBorderDxfId="153" tableBorderDxfId="152">
  <tableColumns count="4">
    <tableColumn id="1" name="Taxonomic Classifier Type" dataDxfId="151"/>
    <tableColumn id="2" name="Taxonomic Classifier Name" dataDxfId="150"/>
    <tableColumn id="3" name="Taxonomic Classifier Common Name" dataDxfId="149"/>
    <tableColumn id="4" name="Taxonomic Classifier Description" dataDxfId="148"/>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W99" headerRowDxfId="147" dataDxfId="145" headerRowBorderDxfId="146" tableBorderDxfId="144">
  <tableColumns count="23">
    <tableColumn id="1" name="Col#" totalsRowLabel="Total" dataDxfId="143" totalsRowDxfId="142">
      <calculatedColumnFormula>IF(COUNTA(DataColumns[[#This Row],[ColumnLabel]:[QualityCodeCV]])&gt;0,IF(MAX(A$12:A12)=0,1,MAX(A$12:A12)+1),"")</calculatedColumnFormula>
    </tableColumn>
    <tableColumn id="2" name="ColumnLabel" dataDxfId="141" totalsRowDxfId="140"/>
    <tableColumn id="17" name="ColumnType" dataDxfId="139" totalsRowDxfId="138"/>
    <tableColumn id="22" name="AppliesToColumn" dataDxfId="137" totalsRowDxfId="136"/>
    <tableColumn id="18" name="ParentSamplingFeatureCode" dataDxfId="86" totalsRowDxfId="135"/>
    <tableColumn id="3" name="SpecimenCollector" dataDxfId="134" totalsRowDxfId="133"/>
    <tableColumn id="20" name="SpecimenMediumCV" dataDxfId="132" totalsRowDxfId="131"/>
    <tableColumn id="21" name="SpecimenTypeCV" dataDxfId="130" totalsRowDxfId="129"/>
    <tableColumn id="4" name="IsFieldSpecimen" dataDxfId="128" totalsRowDxfId="127"/>
    <tableColumn id="23" name="SpatialOffsetCode" dataDxfId="85" totalsRowDxfId="126"/>
    <tableColumn id="6" name="ResultTypeCV" dataDxfId="18" totalsRowDxfId="125"/>
    <tableColumn id="7" name="VariableCode" dataDxfId="17" totalsRowDxfId="124"/>
    <tableColumn id="8" name="UnitName" dataDxfId="16" totalsRowDxfId="123"/>
    <tableColumn id="11" name="SampledMediumCV" dataDxfId="15" totalsRowDxfId="122"/>
    <tableColumn id="10" name="ResultAnalyst" dataDxfId="14" totalsRowDxfId="121"/>
    <tableColumn id="5" name="MethodCode" dataDxfId="13" totalsRowDxfId="120"/>
    <tableColumn id="9" name="ProcessingLevelCode" dataDxfId="12" totalsRowDxfId="119"/>
    <tableColumn id="15" name="CensorCodeCV" dataDxfId="11" totalsRowDxfId="118"/>
    <tableColumn id="16" name="QualityCodeCV" dataDxfId="10" totalsRowDxfId="117"/>
    <tableColumn id="19" name="TaxonomicClassifierName" dataDxfId="9" totalsRowDxfId="116"/>
    <tableColumn id="12" name="TimeAggregationInterval" dataDxfId="8" totalsRowDxfId="115"/>
    <tableColumn id="13" name="TimeAggregationIntervalUnitCode" dataDxfId="7" totalsRowDxfId="114"/>
    <tableColumn id="14" name="AggregationStatisticCV" totalsRowFunction="count" dataDxfId="6" totalsRowDxfId="113"/>
  </tableColumns>
  <tableStyleInfo name="TableStyleMedium2" showFirstColumn="0" showLastColumn="0" showRowStripes="1" showColumnStripes="0"/>
</table>
</file>

<file path=xl/tables/table14.xml><?xml version="1.0" encoding="utf-8"?>
<table xmlns="http://schemas.openxmlformats.org/spreadsheetml/2006/main" id="7" name="ColumnFinder" displayName="ColumnFinder" ref="A1:P32" totalsRowShown="0" headerRowDxfId="112">
  <autoFilter ref="A1:P32"/>
  <sortState ref="A2:P32">
    <sortCondition ref="G1:G32"/>
  </sortState>
  <tableColumns count="16">
    <tableColumn id="1" name="DataType"/>
    <tableColumn id="2" name="ODM Table"/>
    <tableColumn id="5" name="CV Name"/>
    <tableColumn id="8" name="Specimen or Result"/>
    <tableColumn id="3" name="REQUIRED"/>
    <tableColumn id="4" name="VBV or Column"/>
    <tableColumn id="12" name="Data Columns Input Column" dataDxfId="82">
      <calculatedColumnFormula>MATCH(ColumnFinder[[#This Row],[DataType]],DataColumns[#Headers],0)</calculatedColumnFormula>
    </tableColumn>
    <tableColumn id="6" name="Data Values Column Number" dataDxfId="111">
      <calculatedColumnFormula>MATCH(ColumnFinder[[#This Row],[DataType]],DataColumns[ColumnType],0)</calculatedColumnFormula>
    </tableColumn>
    <tableColumn id="7" name="Number Values" dataDxfId="2">
      <calculatedColumnFormula>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calculatedColumnFormula>
    </tableColumn>
    <tableColumn id="9" name="Numer Values Required" dataDxfId="84">
      <calculatedColumnFormula>IF(ColumnFinder[[#This Row],[REQUIRED]]="Optional",0,
IF(ColumnFinder[[#This Row],[VBV or Column]]="Value-By-Value",NumSpecimens,
IF(ColumnFinder[[#This Row],[Specimen or Result]]="Result",NumDataColumns,
1)))</calculatedColumnFormula>
    </tableColumn>
    <tableColumn id="10" name="Error?" dataDxfId="83">
      <calculatedColumnFormula>IF(AND(ColumnFinder[[#This Row],[Number Values]]&lt;ColumnFinder[[#This Row],[Numer Values Required]],ColumnFinder[[#This Row],[DataType]]&lt;&gt;"DataValue"),
"Required field is missing values",
"OK")</calculatedColumnFormula>
    </tableColumn>
    <tableColumn id="11" name="Column1" dataDxfId="5">
      <calculatedColumnFormula>CONCATENATE("DataColumns[",ColumnFinder[[#This Row],[DataType]],"]")</calculatedColumnFormula>
    </tableColumn>
    <tableColumn id="13" name="Column2" dataDxfId="4">
      <calculatedColumnFormula>COUNTA(INDIRECT(ColumnFinder[[#This Row],[Column1]]))</calculatedColumnFormula>
    </tableColumn>
    <tableColumn id="14" name="Column3" dataDxfId="3">
      <calculatedColumnFormula>COUNTA(INDIRECT(CONCATENATE("DataColumns[",ColumnFinder[[#This Row],[DataType]],"]")))</calculatedColumnFormula>
    </tableColumn>
    <tableColumn id="15" name="Column4" dataDxfId="1">
      <calculatedColumnFormula>IF(ISERROR(INDIRECT(ColumnFinder[[#This Row],[Column1]])),
"ERROR",
COUNTA(INDIRECT(CONCATENATE("DataColumns[",ColumnFinder[[#This Row],[DataType]],"]"))))</calculatedColumnFormula>
    </tableColumn>
    <tableColumn id="16" name="Column5" dataDxfId="0">
      <calculatedColumnFormula>INDIRECT("DataColumns[SampledMediumCV]")</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W793" totalsRowShown="0" headerRowDxfId="110">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109" headerRowBorderDxfId="108" tableBorderDxfId="107">
  <autoFilter ref="A4:D8"/>
  <tableColumns count="4">
    <tableColumn id="1" name="SRSCode" dataDxfId="106"/>
    <tableColumn id="2" name="SRSName" dataDxfId="105"/>
    <tableColumn id="3" name="SRSDescription" dataDxfId="104"/>
    <tableColumn id="4" name="SRSLink" dataDxfId="103"/>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102" headerRowBorderDxfId="101" tableBorderDxfId="100">
  <autoFilter ref="A17:E20"/>
  <tableColumns count="5">
    <tableColumn id="1" name="External Identifier System Name" dataDxfId="99"/>
    <tableColumn id="2" name="Identifier System Organization Name" dataDxfId="98"/>
    <tableColumn id="3" name="External Identifier System Descrption" dataDxfId="97"/>
    <tableColumn id="4" name="External Identifier System URL" dataDxfId="96" dataCellStyle="Hyperlink"/>
    <tableColumn id="5" name="URI Structure" dataDxfId="95"/>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94" headerRowBorderDxfId="93" tableBorderDxfId="92">
  <autoFilter ref="A4:E7"/>
  <tableColumns count="5">
    <tableColumn id="1" name="Organization Type [CV]" dataDxfId="91"/>
    <tableColumn id="2" name="Organization Code" dataDxfId="90"/>
    <tableColumn id="3" name="Organization Name" dataDxfId="89"/>
    <tableColumn id="4" name="Organization Description" dataDxfId="88"/>
    <tableColumn id="5" name="Organization Link" dataDxfId="87"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4" sqref="A4"/>
    </sheetView>
  </sheetViews>
  <sheetFormatPr defaultRowHeight="15" x14ac:dyDescent="0.25"/>
  <sheetData>
    <row r="1" spans="1:1" s="5" customFormat="1" ht="18.75" x14ac:dyDescent="0.3">
      <c r="A1" s="6" t="s">
        <v>1339</v>
      </c>
    </row>
    <row r="2" spans="1:1" s="5" customFormat="1" ht="18.75" x14ac:dyDescent="0.3">
      <c r="A2" s="154" t="s">
        <v>1336</v>
      </c>
    </row>
    <row r="3" spans="1:1" s="5" customFormat="1" ht="18.75" x14ac:dyDescent="0.3">
      <c r="A3" s="6" t="s">
        <v>1337</v>
      </c>
    </row>
    <row r="4" spans="1:1" s="5" customFormat="1" ht="18.75" x14ac:dyDescent="0.3">
      <c r="A4" s="154" t="s">
        <v>1338</v>
      </c>
    </row>
    <row r="5" spans="1:1" s="5" customFormat="1" ht="18.75" x14ac:dyDescent="0.3">
      <c r="A5" s="6" t="s">
        <v>1335</v>
      </c>
    </row>
    <row r="6" spans="1:1" s="5" customFormat="1" ht="18.75" x14ac:dyDescent="0.3">
      <c r="A6" s="154" t="s">
        <v>1336</v>
      </c>
    </row>
    <row r="7" spans="1:1" s="5" customFormat="1" x14ac:dyDescent="0.25"/>
    <row r="8" spans="1:1" ht="18.75" x14ac:dyDescent="0.3">
      <c r="A8" s="6" t="s">
        <v>1200</v>
      </c>
    </row>
    <row r="9" spans="1:1" s="5" customFormat="1" x14ac:dyDescent="0.25">
      <c r="A9" s="5" t="s">
        <v>1222</v>
      </c>
    </row>
    <row r="10" spans="1:1" s="5" customFormat="1" x14ac:dyDescent="0.25"/>
    <row r="11" spans="1:1" ht="18.75" x14ac:dyDescent="0.3">
      <c r="A11" s="6" t="s">
        <v>1199</v>
      </c>
    </row>
    <row r="12" spans="1:1" s="5" customFormat="1" x14ac:dyDescent="0.25">
      <c r="A12" s="5" t="s">
        <v>1246</v>
      </c>
    </row>
    <row r="13" spans="1:1" s="5" customFormat="1" x14ac:dyDescent="0.25">
      <c r="A13" s="5" t="s">
        <v>1331</v>
      </c>
    </row>
    <row r="14" spans="1:1" s="5" customFormat="1" x14ac:dyDescent="0.25">
      <c r="A14" s="5" t="s">
        <v>1332</v>
      </c>
    </row>
    <row r="15" spans="1:1" s="5" customFormat="1" x14ac:dyDescent="0.25">
      <c r="A15" s="5" t="s">
        <v>1333</v>
      </c>
    </row>
    <row r="16" spans="1:1" s="5" customFormat="1" x14ac:dyDescent="0.25">
      <c r="A16" s="5" t="s">
        <v>1254</v>
      </c>
    </row>
    <row r="17" spans="1:1" s="5" customFormat="1" x14ac:dyDescent="0.25">
      <c r="A17" s="5" t="s">
        <v>1235</v>
      </c>
    </row>
    <row r="18" spans="1:1" s="5" customFormat="1" x14ac:dyDescent="0.25">
      <c r="A18" s="5" t="s">
        <v>1226</v>
      </c>
    </row>
    <row r="19" spans="1:1" s="5" customFormat="1" x14ac:dyDescent="0.25">
      <c r="A19" s="5" t="s">
        <v>1225</v>
      </c>
    </row>
    <row r="20" spans="1:1" s="5" customFormat="1" x14ac:dyDescent="0.25">
      <c r="A20" s="5" t="s">
        <v>1227</v>
      </c>
    </row>
    <row r="21" spans="1:1" s="5" customFormat="1" x14ac:dyDescent="0.25">
      <c r="A21" s="5" t="s">
        <v>1245</v>
      </c>
    </row>
    <row r="22" spans="1:1" s="5" customFormat="1" x14ac:dyDescent="0.25">
      <c r="A22" s="5" t="s">
        <v>1243</v>
      </c>
    </row>
    <row r="23" spans="1:1" s="5" customFormat="1" x14ac:dyDescent="0.25">
      <c r="A23" s="5" t="s">
        <v>1228</v>
      </c>
    </row>
    <row r="24" spans="1:1" s="5" customFormat="1" x14ac:dyDescent="0.25">
      <c r="A24" s="5" t="s">
        <v>1229</v>
      </c>
    </row>
    <row r="25" spans="1:1" s="5" customFormat="1" x14ac:dyDescent="0.25">
      <c r="A25" s="5" t="s">
        <v>1242</v>
      </c>
    </row>
    <row r="26" spans="1:1" s="5" customFormat="1" x14ac:dyDescent="0.25">
      <c r="A26" s="5" t="s">
        <v>1244</v>
      </c>
    </row>
    <row r="27" spans="1:1" s="5" customFormat="1" x14ac:dyDescent="0.25">
      <c r="A27" s="5" t="s">
        <v>1250</v>
      </c>
    </row>
    <row r="28" spans="1:1" s="5" customFormat="1" x14ac:dyDescent="0.25">
      <c r="A28" s="5" t="s">
        <v>1247</v>
      </c>
    </row>
    <row r="29" spans="1:1" s="5" customFormat="1" x14ac:dyDescent="0.25">
      <c r="A29" s="5" t="s">
        <v>1249</v>
      </c>
    </row>
    <row r="30" spans="1:1" s="5" customFormat="1" x14ac:dyDescent="0.25">
      <c r="A30" s="5" t="s">
        <v>1252</v>
      </c>
    </row>
    <row r="31" spans="1:1" s="5" customFormat="1" x14ac:dyDescent="0.25">
      <c r="A31" s="5" t="s">
        <v>1253</v>
      </c>
    </row>
    <row r="32" spans="1:1" s="5" customFormat="1" x14ac:dyDescent="0.25">
      <c r="A32" s="5" t="s">
        <v>1255</v>
      </c>
    </row>
    <row r="33" spans="1:1" s="5" customFormat="1" x14ac:dyDescent="0.25">
      <c r="A33" s="5" t="s">
        <v>1256</v>
      </c>
    </row>
    <row r="34" spans="1:1" x14ac:dyDescent="0.25">
      <c r="A34" s="5" t="s">
        <v>1257</v>
      </c>
    </row>
    <row r="35" spans="1:1" s="5" customFormat="1" x14ac:dyDescent="0.25"/>
    <row r="36" spans="1:1" ht="18.75" x14ac:dyDescent="0.3">
      <c r="A36" s="6" t="s">
        <v>1201</v>
      </c>
    </row>
    <row r="37" spans="1:1" x14ac:dyDescent="0.25">
      <c r="A37" s="5" t="s">
        <v>1248</v>
      </c>
    </row>
    <row r="38" spans="1:1" s="5" customFormat="1" x14ac:dyDescent="0.25">
      <c r="A38" s="5" t="s">
        <v>1231</v>
      </c>
    </row>
    <row r="39" spans="1:1" s="5" customFormat="1" x14ac:dyDescent="0.25">
      <c r="A39" s="5" t="s">
        <v>1232</v>
      </c>
    </row>
    <row r="40" spans="1:1" x14ac:dyDescent="0.25">
      <c r="A40" s="5" t="s">
        <v>1233</v>
      </c>
    </row>
    <row r="41" spans="1:1" x14ac:dyDescent="0.25">
      <c r="A41" s="5" t="s">
        <v>1261</v>
      </c>
    </row>
    <row r="42" spans="1:1" x14ac:dyDescent="0.25">
      <c r="A42" s="5" t="s">
        <v>1230</v>
      </c>
    </row>
    <row r="43" spans="1:1" x14ac:dyDescent="0.25">
      <c r="A43" s="5" t="s">
        <v>1234</v>
      </c>
    </row>
    <row r="44" spans="1:1" x14ac:dyDescent="0.25">
      <c r="A44" s="5" t="s">
        <v>1236</v>
      </c>
    </row>
    <row r="45" spans="1:1" x14ac:dyDescent="0.25">
      <c r="A45" s="5" t="s">
        <v>1237</v>
      </c>
    </row>
    <row r="46" spans="1:1" x14ac:dyDescent="0.25">
      <c r="A46" s="5" t="s">
        <v>1238</v>
      </c>
    </row>
    <row r="47" spans="1:1" x14ac:dyDescent="0.25">
      <c r="A47" s="5" t="s">
        <v>1239</v>
      </c>
    </row>
    <row r="48" spans="1:1" x14ac:dyDescent="0.25">
      <c r="A48" s="5" t="s">
        <v>1240</v>
      </c>
    </row>
    <row r="49" spans="1:1" x14ac:dyDescent="0.25">
      <c r="A49" s="5" t="s">
        <v>1241</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3" zoomScaleNormal="100" zoomScalePageLayoutView="150" workbookViewId="0">
      <selection activeCell="H25" sqref="H2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1452</v>
      </c>
    </row>
    <row r="2" spans="1:9" x14ac:dyDescent="0.25">
      <c r="A2" s="7" t="s">
        <v>1453</v>
      </c>
    </row>
    <row r="3" spans="1:9" ht="15.75" thickBot="1" x14ac:dyDescent="0.3">
      <c r="A3" s="27" t="s">
        <v>1454</v>
      </c>
    </row>
    <row r="4" spans="1:9" ht="15.75" thickBot="1" x14ac:dyDescent="0.3">
      <c r="A4" s="27" t="s">
        <v>1455</v>
      </c>
      <c r="G4" s="28" t="s">
        <v>1214</v>
      </c>
      <c r="H4" s="61">
        <f>COUNTA(OrganizationNames)</f>
        <v>2</v>
      </c>
    </row>
    <row r="5" spans="1:9" ht="15.75" thickBot="1" x14ac:dyDescent="0.3">
      <c r="A5" s="27" t="s">
        <v>280</v>
      </c>
      <c r="G5" s="28" t="s">
        <v>1215</v>
      </c>
      <c r="H5" s="61">
        <f>COUNTA(People[Last Name])</f>
        <v>6</v>
      </c>
    </row>
    <row r="6" spans="1:9" ht="15.75" thickBot="1" x14ac:dyDescent="0.3">
      <c r="G6" s="28" t="s">
        <v>1309</v>
      </c>
      <c r="H6" s="61">
        <f>MAX(People[ExternalIDNum])</f>
        <v>1</v>
      </c>
    </row>
    <row r="7" spans="1:9" ht="15.75" thickBot="1" x14ac:dyDescent="0.3">
      <c r="A7" s="199" t="s">
        <v>142</v>
      </c>
      <c r="B7" s="200"/>
      <c r="C7" s="200"/>
      <c r="D7" s="200"/>
      <c r="E7" s="201"/>
    </row>
    <row r="8" spans="1:9" ht="15.75" thickBot="1" x14ac:dyDescent="0.3">
      <c r="A8" s="140" t="s">
        <v>143</v>
      </c>
      <c r="B8" s="141" t="s">
        <v>144</v>
      </c>
      <c r="C8" s="141" t="s">
        <v>19</v>
      </c>
      <c r="D8" s="142" t="s">
        <v>145</v>
      </c>
      <c r="E8" s="143" t="s">
        <v>146</v>
      </c>
      <c r="I8" s="7"/>
    </row>
    <row r="9" spans="1:9" ht="60.75" thickTop="1" x14ac:dyDescent="0.25">
      <c r="A9" s="144" t="s">
        <v>148</v>
      </c>
      <c r="B9" s="8" t="s">
        <v>1320</v>
      </c>
      <c r="C9" s="8" t="s">
        <v>1321</v>
      </c>
      <c r="D9" s="9" t="s">
        <v>1322</v>
      </c>
      <c r="E9" s="148" t="s">
        <v>1323</v>
      </c>
      <c r="I9" s="7"/>
    </row>
    <row r="10" spans="1:9" x14ac:dyDescent="0.25">
      <c r="A10" s="116" t="s">
        <v>147</v>
      </c>
      <c r="B10" s="11" t="s">
        <v>1380</v>
      </c>
      <c r="C10" s="11" t="s">
        <v>1381</v>
      </c>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02" t="s">
        <v>141</v>
      </c>
      <c r="B22" s="203"/>
      <c r="C22" s="203"/>
      <c r="D22" s="203"/>
      <c r="E22" s="203"/>
      <c r="F22" s="203"/>
      <c r="G22" s="203"/>
      <c r="H22" s="203"/>
      <c r="I22" s="204"/>
    </row>
    <row r="23" spans="1:9" ht="15.75" thickBot="1" x14ac:dyDescent="0.3">
      <c r="A23" s="70" t="s">
        <v>15</v>
      </c>
      <c r="B23" s="72" t="s">
        <v>16</v>
      </c>
      <c r="C23" s="65" t="s">
        <v>17</v>
      </c>
      <c r="D23" s="65" t="s">
        <v>19</v>
      </c>
      <c r="E23" s="65" t="s">
        <v>18</v>
      </c>
      <c r="F23" s="68" t="s">
        <v>176</v>
      </c>
      <c r="G23" s="73" t="s">
        <v>1286</v>
      </c>
      <c r="H23" s="30" t="s">
        <v>278</v>
      </c>
      <c r="I23" s="30" t="s">
        <v>1307</v>
      </c>
    </row>
    <row r="24" spans="1:9" ht="30.75" thickTop="1" x14ac:dyDescent="0.25">
      <c r="A24" s="18" t="s">
        <v>1324</v>
      </c>
      <c r="B24" s="20" t="s">
        <v>1325</v>
      </c>
      <c r="C24" s="19" t="s">
        <v>1326</v>
      </c>
      <c r="D24" s="19" t="s">
        <v>1321</v>
      </c>
      <c r="E24" s="21" t="s">
        <v>1327</v>
      </c>
      <c r="F24" s="147" t="s">
        <v>1328</v>
      </c>
      <c r="G24" s="20" t="s">
        <v>1329</v>
      </c>
      <c r="H24" s="134" t="str">
        <f>CONCATENATE(People[[#This Row],[First Name]],IF(People[[#This Row],[Middle Name]]="",""," "),People[[#This Row],[Middle Name]]," ",People[[#This Row],[Last Name]])</f>
        <v>Sara Geleskie Damiano</v>
      </c>
      <c r="I24" s="137">
        <f>IF(People[[#This Row],[Person OrcID]]&lt;&gt;"",MAX(I$23:I23)+1,"")</f>
        <v>1</v>
      </c>
    </row>
    <row r="25" spans="1:9" ht="30" x14ac:dyDescent="0.25">
      <c r="A25" s="10" t="s">
        <v>1370</v>
      </c>
      <c r="B25" s="22" t="s">
        <v>1371</v>
      </c>
      <c r="C25" s="11" t="s">
        <v>1372</v>
      </c>
      <c r="D25" s="19" t="s">
        <v>1321</v>
      </c>
      <c r="E25" s="23" t="s">
        <v>1373</v>
      </c>
      <c r="F25" s="147" t="s">
        <v>1328</v>
      </c>
      <c r="G25" s="22"/>
      <c r="H25" s="133" t="str">
        <f>CONCATENATE(People[[#This Row],[First Name]],IF(People[[#This Row],[Middle Name]]="",""," "),People[[#This Row],[Middle Name]]," ",People[[#This Row],[Last Name]])</f>
        <v>Michael D Gentile</v>
      </c>
      <c r="I25" s="138" t="str">
        <f>IF(People[[#This Row],[Person OrcID]]&lt;&gt;"",MAX(I$23:I24)+1,"")</f>
        <v/>
      </c>
    </row>
    <row r="26" spans="1:9" ht="30" x14ac:dyDescent="0.25">
      <c r="A26" s="10" t="s">
        <v>1438</v>
      </c>
      <c r="B26" s="22" t="s">
        <v>1374</v>
      </c>
      <c r="C26" s="11" t="s">
        <v>1375</v>
      </c>
      <c r="D26" s="19" t="s">
        <v>1321</v>
      </c>
      <c r="E26" s="23" t="s">
        <v>1376</v>
      </c>
      <c r="F26" s="147" t="s">
        <v>1328</v>
      </c>
      <c r="G26" s="22"/>
      <c r="H26" s="133" t="str">
        <f>CONCATENATE(People[[#This Row],[First Name]],IF(People[[#This Row],[Middle Name]]="",""," "),People[[#This Row],[Middle Name]]," ",People[[#This Row],[Last Name]])</f>
        <v>J Denis Newbold</v>
      </c>
      <c r="I26" s="138" t="str">
        <f>IF(People[[#This Row],[Person OrcID]]&lt;&gt;"",MAX(I$23:I25)+1,"")</f>
        <v/>
      </c>
    </row>
    <row r="27" spans="1:9" ht="30" x14ac:dyDescent="0.25">
      <c r="A27" s="10" t="s">
        <v>1377</v>
      </c>
      <c r="B27" s="22" t="s">
        <v>1378</v>
      </c>
      <c r="C27" s="11" t="s">
        <v>1379</v>
      </c>
      <c r="D27" s="11" t="s">
        <v>1381</v>
      </c>
      <c r="E27" s="23" t="s">
        <v>1382</v>
      </c>
      <c r="F27" s="132" t="s">
        <v>1383</v>
      </c>
      <c r="G27" s="22"/>
      <c r="H27" s="133" t="str">
        <f>CONCATENATE(People[[#This Row],[First Name]],IF(People[[#This Row],[Middle Name]]="",""," "),People[[#This Row],[Middle Name]]," ",People[[#This Row],[Last Name]])</f>
        <v>Diana L Karwan</v>
      </c>
      <c r="I27" s="138" t="str">
        <f>IF(People[[#This Row],[Person OrcID]]&lt;&gt;"",MAX(I$23:I26)+1,"")</f>
        <v/>
      </c>
    </row>
    <row r="28" spans="1:9" ht="30" x14ac:dyDescent="0.25">
      <c r="A28" s="10" t="s">
        <v>1384</v>
      </c>
      <c r="B28" s="22" t="s">
        <v>1378</v>
      </c>
      <c r="C28" s="11" t="s">
        <v>1385</v>
      </c>
      <c r="D28" s="11" t="s">
        <v>1321</v>
      </c>
      <c r="E28" s="23" t="s">
        <v>1386</v>
      </c>
      <c r="F28" s="147" t="s">
        <v>1328</v>
      </c>
      <c r="G28" s="22"/>
      <c r="H28" s="133" t="str">
        <f>CONCATENATE(People[[#This Row],[First Name]],IF(People[[#This Row],[Middle Name]]="",""," "),People[[#This Row],[Middle Name]]," ",People[[#This Row],[Last Name]])</f>
        <v>Sherman L Roberts</v>
      </c>
      <c r="I28" s="138" t="str">
        <f>IF(People[[#This Row],[Person OrcID]]&lt;&gt;"",MAX(I$23:I27)+1,"")</f>
        <v/>
      </c>
    </row>
    <row r="29" spans="1:9" ht="30" x14ac:dyDescent="0.25">
      <c r="A29" s="10" t="s">
        <v>1387</v>
      </c>
      <c r="B29" s="22" t="s">
        <v>1388</v>
      </c>
      <c r="C29" s="11" t="s">
        <v>1389</v>
      </c>
      <c r="D29" s="11" t="s">
        <v>1321</v>
      </c>
      <c r="E29" s="23" t="s">
        <v>1390</v>
      </c>
      <c r="F29" s="147" t="s">
        <v>1328</v>
      </c>
      <c r="G29" s="22"/>
      <c r="H29" s="133" t="str">
        <f>CONCATENATE(People[[#This Row],[First Name]],IF(People[[#This Row],[Middle Name]]="",""," "),People[[#This Row],[Middle Name]]," ",People[[#This Row],[Last Name]])</f>
        <v>Jennifer R Matkov</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81" priority="8">
      <formula>AND(COUNTIF(OrganizationTypeCV,$A9)=0,$A9&lt;&gt;"")</formula>
    </cfRule>
  </conditionalFormatting>
  <conditionalFormatting sqref="A9:C18">
    <cfRule type="expression" dxfId="80" priority="7">
      <formula>AND(COUNTA($A9:$E9)&gt;0,A9="")</formula>
    </cfRule>
  </conditionalFormatting>
  <conditionalFormatting sqref="A10:E18">
    <cfRule type="expression" dxfId="79" priority="6">
      <formula>AND(COUNTA($A9:$E9)=0,A10&lt;&gt;"")</formula>
    </cfRule>
  </conditionalFormatting>
  <conditionalFormatting sqref="C9:C18">
    <cfRule type="duplicateValues" dxfId="78" priority="5"/>
  </conditionalFormatting>
  <conditionalFormatting sqref="D24:D33">
    <cfRule type="expression" dxfId="77" priority="4">
      <formula>AND(COUNTIF(OrganizationNames,$D24)=0,$D24&lt;&gt;"")</formula>
    </cfRule>
  </conditionalFormatting>
  <conditionalFormatting sqref="A24:A33 C24:E33">
    <cfRule type="expression" dxfId="76" priority="3">
      <formula>AND(COUNTA($A24:$G24)&gt;0,A24="")</formula>
    </cfRule>
  </conditionalFormatting>
  <conditionalFormatting sqref="A25:G33">
    <cfRule type="expression" dxfId="75" priority="2">
      <formula>AND(COUNTA($A24:$G24)=0,A25&lt;&gt;"")</formula>
    </cfRule>
  </conditionalFormatting>
  <conditionalFormatting sqref="G24:G33">
    <cfRule type="duplicateValues" dxfId="74"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4" sqref="B4"/>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1456</v>
      </c>
    </row>
    <row r="2" spans="1:4" x14ac:dyDescent="0.25">
      <c r="A2" s="27" t="s">
        <v>1454</v>
      </c>
    </row>
    <row r="3" spans="1:4" x14ac:dyDescent="0.25">
      <c r="A3" s="27" t="s">
        <v>1457</v>
      </c>
    </row>
    <row r="4" spans="1:4" x14ac:dyDescent="0.25">
      <c r="A4" s="27" t="s">
        <v>1458</v>
      </c>
    </row>
    <row r="5" spans="1:4" ht="15.75" thickBot="1" x14ac:dyDescent="0.3"/>
    <row r="6" spans="1:4" ht="15.75" thickBot="1" x14ac:dyDescent="0.3">
      <c r="A6" s="207" t="s">
        <v>1459</v>
      </c>
      <c r="B6" s="208"/>
    </row>
    <row r="7" spans="1:4" ht="15.75" thickTop="1" x14ac:dyDescent="0.25">
      <c r="A7" s="43" t="s">
        <v>0</v>
      </c>
      <c r="B7" s="173"/>
    </row>
    <row r="8" spans="1:4" x14ac:dyDescent="0.25">
      <c r="A8" s="44" t="s">
        <v>3</v>
      </c>
      <c r="B8" s="32" t="s">
        <v>1086</v>
      </c>
    </row>
    <row r="9" spans="1:4" x14ac:dyDescent="0.25">
      <c r="A9" s="44" t="s">
        <v>2</v>
      </c>
      <c r="B9" s="32" t="s">
        <v>1460</v>
      </c>
    </row>
    <row r="10" spans="1:4" x14ac:dyDescent="0.25">
      <c r="A10" s="44" t="s">
        <v>1</v>
      </c>
      <c r="B10" s="32" t="s">
        <v>1461</v>
      </c>
      <c r="D10" s="33"/>
    </row>
    <row r="11" spans="1:4" ht="60.75" thickBot="1" x14ac:dyDescent="0.3">
      <c r="A11" s="46" t="s">
        <v>4</v>
      </c>
      <c r="B11" s="174" t="s">
        <v>1462</v>
      </c>
    </row>
    <row r="12" spans="1:4" ht="15.75" thickBot="1" x14ac:dyDescent="0.3">
      <c r="A12" s="5"/>
      <c r="B12" s="5"/>
    </row>
    <row r="13" spans="1:4" ht="15.75" thickBot="1" x14ac:dyDescent="0.3">
      <c r="A13" s="209" t="s">
        <v>1463</v>
      </c>
      <c r="B13" s="210"/>
    </row>
    <row r="14" spans="1:4" ht="15.75" thickTop="1" x14ac:dyDescent="0.25">
      <c r="A14" s="43" t="s">
        <v>180</v>
      </c>
      <c r="B14" s="173" t="s">
        <v>1464</v>
      </c>
      <c r="D14" s="33"/>
    </row>
    <row r="15" spans="1:4" x14ac:dyDescent="0.25">
      <c r="A15" s="45" t="s">
        <v>173</v>
      </c>
      <c r="B15" s="145" t="s">
        <v>1461</v>
      </c>
      <c r="D15" s="33"/>
    </row>
    <row r="16" spans="1:4" x14ac:dyDescent="0.25">
      <c r="A16" s="45" t="s">
        <v>168</v>
      </c>
      <c r="B16" s="145" t="s">
        <v>1465</v>
      </c>
      <c r="D16" s="33"/>
    </row>
    <row r="17" spans="1:5" x14ac:dyDescent="0.25">
      <c r="A17" s="45" t="s">
        <v>6</v>
      </c>
      <c r="B17" s="145">
        <v>2015</v>
      </c>
      <c r="D17" s="33"/>
    </row>
    <row r="18" spans="1:5" x14ac:dyDescent="0.25">
      <c r="A18" s="45" t="s">
        <v>179</v>
      </c>
      <c r="B18" s="145"/>
      <c r="D18" s="33"/>
    </row>
    <row r="19" spans="1:5" ht="15.75" thickBot="1" x14ac:dyDescent="0.3">
      <c r="A19" s="46" t="s">
        <v>5</v>
      </c>
      <c r="B19" s="121" t="s">
        <v>1466</v>
      </c>
      <c r="D19" s="33"/>
    </row>
    <row r="20" spans="1:5" ht="15.75" thickBot="1" x14ac:dyDescent="0.3"/>
    <row r="21" spans="1:5" ht="15.75" thickBot="1" x14ac:dyDescent="0.3">
      <c r="A21" s="205" t="s">
        <v>1467</v>
      </c>
      <c r="B21" s="206"/>
      <c r="C21" s="35"/>
      <c r="D21" s="36"/>
      <c r="E21" s="36"/>
    </row>
    <row r="22" spans="1:5" ht="15.75" thickBot="1" x14ac:dyDescent="0.3">
      <c r="A22" s="70" t="s">
        <v>172</v>
      </c>
      <c r="B22" s="71" t="s">
        <v>279</v>
      </c>
      <c r="D22" s="28" t="s">
        <v>1213</v>
      </c>
      <c r="E22" s="29">
        <f>COUNTA(AuthorList[Author Name])</f>
        <v>1</v>
      </c>
    </row>
    <row r="23" spans="1:5" ht="15.75" thickTop="1" x14ac:dyDescent="0.25">
      <c r="A23" s="37">
        <v>1</v>
      </c>
      <c r="B23" s="53" t="s">
        <v>1330</v>
      </c>
    </row>
    <row r="24" spans="1:5" x14ac:dyDescent="0.25">
      <c r="A24" s="39">
        <v>2</v>
      </c>
      <c r="B24" s="13"/>
    </row>
    <row r="25" spans="1:5" x14ac:dyDescent="0.25">
      <c r="A25" s="39">
        <v>3</v>
      </c>
      <c r="B25" s="13"/>
    </row>
    <row r="26" spans="1:5" x14ac:dyDescent="0.25">
      <c r="A26" s="39">
        <v>4</v>
      </c>
      <c r="B26" s="13"/>
    </row>
    <row r="27" spans="1:5" x14ac:dyDescent="0.25">
      <c r="A27" s="39">
        <v>5</v>
      </c>
      <c r="B27" s="13"/>
    </row>
    <row r="28" spans="1:5" x14ac:dyDescent="0.25">
      <c r="A28" s="39">
        <v>6</v>
      </c>
      <c r="B28" s="13"/>
    </row>
    <row r="29" spans="1:5" x14ac:dyDescent="0.25">
      <c r="A29" s="39">
        <v>7</v>
      </c>
      <c r="B29" s="13"/>
    </row>
    <row r="30" spans="1:5" x14ac:dyDescent="0.25">
      <c r="A30" s="39">
        <v>8</v>
      </c>
      <c r="B30" s="13"/>
    </row>
    <row r="31" spans="1:5" x14ac:dyDescent="0.25">
      <c r="A31" s="39">
        <v>9</v>
      </c>
      <c r="B31" s="13"/>
    </row>
    <row r="32" spans="1:5" x14ac:dyDescent="0.25">
      <c r="A32" s="41">
        <v>10</v>
      </c>
      <c r="B32" s="17"/>
    </row>
  </sheetData>
  <sheetProtection formatColumns="0" formatRows="0" insertRows="0" insertHyperlinks="0" deleteRows="0" sort="0" autoFilter="0"/>
  <mergeCells count="3">
    <mergeCell ref="A21:B21"/>
    <mergeCell ref="A6:B6"/>
    <mergeCell ref="A13:B13"/>
  </mergeCells>
  <conditionalFormatting sqref="A14:A17 A23">
    <cfRule type="expression" dxfId="73" priority="6">
      <formula>COUNTA(CitationInformation)&gt;0</formula>
    </cfRule>
  </conditionalFormatting>
  <conditionalFormatting sqref="B8:B10">
    <cfRule type="expression" dxfId="72" priority="4">
      <formula>AND(COUNTA($B$7:$B$11)&gt;0,$B8="")</formula>
    </cfRule>
  </conditionalFormatting>
  <conditionalFormatting sqref="B8">
    <cfRule type="expression" dxfId="71" priority="3">
      <formula>AND(COUNTIF(DataSetTypeCV,$B$8)=0,$B$8&lt;&gt;"")</formula>
    </cfRule>
  </conditionalFormatting>
  <conditionalFormatting sqref="B23:B32">
    <cfRule type="expression" dxfId="70" priority="1">
      <formula>AND(COUNTIF(PeopleNames,$B23)=0,$B23&lt;&gt;"")</formula>
    </cfRule>
  </conditionalFormatting>
  <conditionalFormatting sqref="B14:B17 B23">
    <cfRule type="expression" dxfId="69" priority="5">
      <formula>AND(COUNTA(CitationInformation)&gt;0,$B14="")</formula>
    </cfRule>
    <cfRule type="expression" dxfId="68"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topLeftCell="E1" zoomScaleNormal="100" zoomScalePageLayoutView="150" workbookViewId="0">
      <selection activeCell="S9" sqref="S9"/>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1526</v>
      </c>
    </row>
    <row r="2" spans="1:20" x14ac:dyDescent="0.25">
      <c r="A2" s="27" t="s">
        <v>1528</v>
      </c>
      <c r="J2" s="5"/>
    </row>
    <row r="3" spans="1:20" x14ac:dyDescent="0.25">
      <c r="A3" s="7" t="s">
        <v>1527</v>
      </c>
    </row>
    <row r="4" spans="1:20" x14ac:dyDescent="0.25">
      <c r="A4" s="27" t="s">
        <v>1454</v>
      </c>
    </row>
    <row r="5" spans="1:20" x14ac:dyDescent="0.25">
      <c r="A5" s="27" t="s">
        <v>1469</v>
      </c>
      <c r="J5" s="5"/>
    </row>
    <row r="6" spans="1:20" x14ac:dyDescent="0.25">
      <c r="A6" s="27" t="s">
        <v>276</v>
      </c>
    </row>
    <row r="7" spans="1:20" ht="15.75" thickBot="1" x14ac:dyDescent="0.3"/>
    <row r="8" spans="1:20" ht="15.75" thickBot="1" x14ac:dyDescent="0.3">
      <c r="A8" s="207" t="s">
        <v>127</v>
      </c>
      <c r="B8" s="208"/>
    </row>
    <row r="9" spans="1:20" ht="16.5" thickTop="1" thickBot="1" x14ac:dyDescent="0.3">
      <c r="A9" s="62" t="s">
        <v>25</v>
      </c>
      <c r="B9" s="31" t="s">
        <v>131</v>
      </c>
      <c r="D9" s="27" t="s">
        <v>275</v>
      </c>
      <c r="H9" s="28" t="s">
        <v>1212</v>
      </c>
      <c r="I9" s="61">
        <f>COUNTA(SamplingFeatures[Feature Code])</f>
        <v>8</v>
      </c>
      <c r="M9" s="28" t="s">
        <v>1210</v>
      </c>
      <c r="N9" s="61">
        <f>MAX(Sites[SiteID])</f>
        <v>7</v>
      </c>
      <c r="R9" s="28" t="s">
        <v>1529</v>
      </c>
      <c r="S9" s="29">
        <f>MAX(Specimens[SpecimenID])</f>
        <v>1</v>
      </c>
    </row>
    <row r="10" spans="1:20" ht="15.75" thickBot="1" x14ac:dyDescent="0.3">
      <c r="A10" s="63" t="s">
        <v>126</v>
      </c>
      <c r="B10" s="34" t="s">
        <v>130</v>
      </c>
      <c r="D10" s="27" t="s">
        <v>1311</v>
      </c>
      <c r="H10" s="28" t="s">
        <v>1310</v>
      </c>
      <c r="I10" s="61">
        <f>MAX(SamplingFeatures[IGSNID])</f>
        <v>2</v>
      </c>
    </row>
    <row r="11" spans="1:20" ht="15.75" thickBot="1" x14ac:dyDescent="0.3">
      <c r="K11" s="175"/>
      <c r="L11" s="211" t="s">
        <v>1468</v>
      </c>
      <c r="M11" s="211"/>
      <c r="N11" s="211"/>
      <c r="O11" s="211"/>
      <c r="Q11" s="211" t="s">
        <v>1530</v>
      </c>
      <c r="R11" s="211"/>
      <c r="S11" s="211"/>
      <c r="T11" s="211"/>
    </row>
    <row r="12" spans="1:20" ht="15.75" thickBot="1" x14ac:dyDescent="0.3">
      <c r="A12" s="64" t="s">
        <v>20</v>
      </c>
      <c r="B12" s="65" t="s">
        <v>21</v>
      </c>
      <c r="C12" s="65" t="s">
        <v>125</v>
      </c>
      <c r="D12" s="65" t="s">
        <v>191</v>
      </c>
      <c r="E12" s="66" t="s">
        <v>189</v>
      </c>
      <c r="F12" s="67" t="s">
        <v>190</v>
      </c>
      <c r="G12" s="68" t="s">
        <v>192</v>
      </c>
      <c r="H12" s="68" t="s">
        <v>24</v>
      </c>
      <c r="I12" s="69" t="s">
        <v>1185</v>
      </c>
      <c r="J12" s="136" t="s">
        <v>1308</v>
      </c>
      <c r="K12" s="50"/>
      <c r="L12" s="59" t="s">
        <v>1137</v>
      </c>
      <c r="M12" s="70" t="s">
        <v>187</v>
      </c>
      <c r="N12" s="65" t="s">
        <v>22</v>
      </c>
      <c r="O12" s="71" t="s">
        <v>23</v>
      </c>
      <c r="Q12" s="59" t="s">
        <v>1531</v>
      </c>
      <c r="R12" s="70" t="s">
        <v>1532</v>
      </c>
      <c r="S12" s="65" t="s">
        <v>1533</v>
      </c>
      <c r="T12" s="71" t="s">
        <v>1534</v>
      </c>
    </row>
    <row r="13" spans="1:20" ht="15.75" thickTop="1" x14ac:dyDescent="0.25">
      <c r="A13" s="150"/>
      <c r="B13" s="19" t="s">
        <v>27</v>
      </c>
      <c r="C13" s="19" t="s">
        <v>48</v>
      </c>
      <c r="D13" s="19" t="s">
        <v>1354</v>
      </c>
      <c r="E13" s="51" t="s">
        <v>1363</v>
      </c>
      <c r="F13" s="52"/>
      <c r="G13" s="53"/>
      <c r="H13" s="53"/>
      <c r="I13" s="53"/>
      <c r="J13" s="138" t="str">
        <f>IF(SamplingFeatures[[#This Row],[Feature IGSN]]&lt;&gt;"",MAX(J$12:J12)+1,"")</f>
        <v/>
      </c>
      <c r="K13" s="49"/>
      <c r="L13" s="56">
        <f>IF(SamplingFeatures[[#This Row],[Sampling Feature Type]]="Site",MAX(L$12:L12)+1,"")</f>
        <v>1</v>
      </c>
      <c r="M13" s="18" t="s">
        <v>90</v>
      </c>
      <c r="N13" s="19">
        <v>39.86347</v>
      </c>
      <c r="O13" s="38">
        <v>-75.784729999999996</v>
      </c>
      <c r="Q13" s="56" t="str">
        <f>IF(SamplingFeatures[[#This Row],[Sampling Feature Type]]="Specimen",MAX(Q$12:Q12)+1,"")</f>
        <v/>
      </c>
      <c r="R13" s="10"/>
      <c r="S13" s="19"/>
      <c r="T13" s="38"/>
    </row>
    <row r="14" spans="1:20" x14ac:dyDescent="0.25">
      <c r="A14" s="151"/>
      <c r="B14" s="19" t="s">
        <v>27</v>
      </c>
      <c r="C14" s="19" t="s">
        <v>48</v>
      </c>
      <c r="D14" s="11" t="s">
        <v>1355</v>
      </c>
      <c r="E14" s="12" t="s">
        <v>1367</v>
      </c>
      <c r="F14" s="54"/>
      <c r="G14" s="13"/>
      <c r="H14" s="13"/>
      <c r="I14" s="13"/>
      <c r="J14" s="138" t="str">
        <f>IF(SamplingFeatures[[#This Row],[Feature IGSN]]&lt;&gt;"",MAX(J$12:J13)+1,"")</f>
        <v/>
      </c>
      <c r="K14" s="49"/>
      <c r="L14" s="57">
        <f>IF(SamplingFeatures[[#This Row],[Sampling Feature Type]]="Site",MAX(L$12:L13)+1,"")</f>
        <v>2</v>
      </c>
      <c r="M14" s="18" t="s">
        <v>90</v>
      </c>
      <c r="N14" s="11">
        <v>39.862169999999999</v>
      </c>
      <c r="O14" s="40">
        <v>-75.778769999999994</v>
      </c>
      <c r="Q14" s="58" t="str">
        <f>IF(SamplingFeatures[[#This Row],[Sampling Feature Type]]="Specimen",MAX(Q$12:Q13)+1,"")</f>
        <v/>
      </c>
      <c r="R14" s="10"/>
      <c r="S14" s="11"/>
      <c r="T14" s="40"/>
    </row>
    <row r="15" spans="1:20" x14ac:dyDescent="0.25">
      <c r="A15" s="151"/>
      <c r="B15" s="19" t="s">
        <v>27</v>
      </c>
      <c r="C15" s="19" t="s">
        <v>48</v>
      </c>
      <c r="D15" s="11" t="s">
        <v>1356</v>
      </c>
      <c r="E15" s="12" t="s">
        <v>1368</v>
      </c>
      <c r="F15" s="54"/>
      <c r="G15" s="13"/>
      <c r="H15" s="13"/>
      <c r="I15" s="13" t="s">
        <v>2467</v>
      </c>
      <c r="J15" s="138">
        <f>IF(SamplingFeatures[[#This Row],[Feature IGSN]]&lt;&gt;"",MAX(J$12:J14)+1,"")</f>
        <v>1</v>
      </c>
      <c r="K15" s="49"/>
      <c r="L15" s="58">
        <f>IF(SamplingFeatures[[#This Row],[Sampling Feature Type]]="Site",MAX(L$12:L14)+1,"")</f>
        <v>3</v>
      </c>
      <c r="M15" s="18" t="s">
        <v>90</v>
      </c>
      <c r="N15" s="11">
        <v>39.861501666666598</v>
      </c>
      <c r="O15" s="40">
        <v>-75.783050000000003</v>
      </c>
      <c r="Q15" s="58" t="str">
        <f>IF(SamplingFeatures[[#This Row],[Sampling Feature Type]]="Specimen",MAX(Q$12:Q14)+1,"")</f>
        <v/>
      </c>
      <c r="R15" s="10"/>
      <c r="S15" s="11"/>
      <c r="T15" s="40"/>
    </row>
    <row r="16" spans="1:20" ht="15" customHeight="1" x14ac:dyDescent="0.25">
      <c r="A16" s="151"/>
      <c r="B16" s="19" t="s">
        <v>27</v>
      </c>
      <c r="C16" s="19" t="s">
        <v>48</v>
      </c>
      <c r="D16" s="11" t="s">
        <v>1357</v>
      </c>
      <c r="E16" s="12" t="s">
        <v>1365</v>
      </c>
      <c r="F16" s="54"/>
      <c r="G16" s="13"/>
      <c r="H16" s="13"/>
      <c r="I16" s="13"/>
      <c r="J16" s="138" t="str">
        <f>IF(SamplingFeatures[[#This Row],[Feature IGSN]]&lt;&gt;"",MAX(J$12:J15)+1,"")</f>
        <v/>
      </c>
      <c r="K16" s="49"/>
      <c r="L16" s="58">
        <f>IF(SamplingFeatures[[#This Row],[Sampling Feature Type]]="Site",MAX(L$12:L15)+1,"")</f>
        <v>4</v>
      </c>
      <c r="M16" s="18" t="s">
        <v>90</v>
      </c>
      <c r="N16" s="11">
        <v>39.860660000000003</v>
      </c>
      <c r="O16" s="40">
        <v>-75.783855000000003</v>
      </c>
      <c r="Q16" s="58" t="str">
        <f>IF(SamplingFeatures[[#This Row],[Sampling Feature Type]]="Specimen",MAX(Q$12:Q15)+1,"")</f>
        <v/>
      </c>
      <c r="R16" s="10"/>
      <c r="S16" s="11"/>
      <c r="T16" s="40"/>
    </row>
    <row r="17" spans="1:20" x14ac:dyDescent="0.25">
      <c r="A17" s="151"/>
      <c r="B17" s="19" t="s">
        <v>27</v>
      </c>
      <c r="C17" s="19" t="s">
        <v>48</v>
      </c>
      <c r="D17" s="11" t="s">
        <v>1362</v>
      </c>
      <c r="E17" s="12" t="s">
        <v>1369</v>
      </c>
      <c r="F17" s="54"/>
      <c r="G17" s="13"/>
      <c r="H17" s="13"/>
      <c r="I17" s="13"/>
      <c r="J17" s="138" t="str">
        <f>IF(SamplingFeatures[[#This Row],[Feature IGSN]]&lt;&gt;"",MAX(J$12:J16)+1,"")</f>
        <v/>
      </c>
      <c r="K17" s="49"/>
      <c r="L17" s="58">
        <f>IF(SamplingFeatures[[#This Row],[Sampling Feature Type]]="Site",MAX(L$12:L16)+1,"")</f>
        <v>5</v>
      </c>
      <c r="M17" s="18" t="s">
        <v>90</v>
      </c>
      <c r="N17" s="11">
        <v>39.864086999999998</v>
      </c>
      <c r="O17" s="40">
        <v>-75.785841000000005</v>
      </c>
      <c r="Q17" s="58" t="str">
        <f>IF(SamplingFeatures[[#This Row],[Sampling Feature Type]]="Specimen",MAX(Q$12:Q16)+1,"")</f>
        <v/>
      </c>
      <c r="R17" s="10"/>
      <c r="S17" s="11"/>
      <c r="T17" s="40"/>
    </row>
    <row r="18" spans="1:20" ht="15" customHeight="1" x14ac:dyDescent="0.25">
      <c r="A18" s="151"/>
      <c r="B18" s="19" t="s">
        <v>27</v>
      </c>
      <c r="C18" s="19" t="s">
        <v>48</v>
      </c>
      <c r="D18" s="11" t="s">
        <v>1359</v>
      </c>
      <c r="E18" s="12" t="s">
        <v>1366</v>
      </c>
      <c r="F18" s="54"/>
      <c r="G18" s="13"/>
      <c r="H18" s="13"/>
      <c r="I18" s="13"/>
      <c r="J18" s="138" t="str">
        <f>IF(SamplingFeatures[[#This Row],[Feature IGSN]]&lt;&gt;"",MAX(J$12:J17)+1,"")</f>
        <v/>
      </c>
      <c r="K18" s="49"/>
      <c r="L18" s="58">
        <f>IF(SamplingFeatures[[#This Row],[Sampling Feature Type]]="Site",MAX(L$12:L17)+1,"")</f>
        <v>6</v>
      </c>
      <c r="M18" s="18" t="s">
        <v>90</v>
      </c>
      <c r="N18" s="11">
        <v>39.859400000000001</v>
      </c>
      <c r="O18" s="40">
        <v>-75.783810000000003</v>
      </c>
      <c r="Q18" s="58" t="str">
        <f>IF(SamplingFeatures[[#This Row],[Sampling Feature Type]]="Specimen",MAX(Q$12:Q17)+1,"")</f>
        <v/>
      </c>
      <c r="R18" s="10"/>
      <c r="S18" s="11"/>
      <c r="T18" s="40"/>
    </row>
    <row r="19" spans="1:20" ht="15" customHeight="1" x14ac:dyDescent="0.25">
      <c r="A19" s="151"/>
      <c r="B19" s="19" t="s">
        <v>27</v>
      </c>
      <c r="C19" s="19" t="s">
        <v>48</v>
      </c>
      <c r="D19" s="11" t="s">
        <v>1360</v>
      </c>
      <c r="E19" s="12" t="s">
        <v>1364</v>
      </c>
      <c r="F19" s="54"/>
      <c r="G19" s="13"/>
      <c r="H19" s="13"/>
      <c r="I19" s="13"/>
      <c r="J19" s="138" t="str">
        <f>IF(SamplingFeatures[[#This Row],[Feature IGSN]]&lt;&gt;"",MAX(J$12:J18)+1,"")</f>
        <v/>
      </c>
      <c r="K19" s="49"/>
      <c r="L19" s="58">
        <f>IF(SamplingFeatures[[#This Row],[Sampling Feature Type]]="Site",MAX(L$12:L18)+1,"")</f>
        <v>7</v>
      </c>
      <c r="M19" s="18" t="s">
        <v>90</v>
      </c>
      <c r="N19" s="11">
        <v>39.855431000000003</v>
      </c>
      <c r="O19" s="40">
        <v>-75.783973000000003</v>
      </c>
      <c r="Q19" s="58" t="str">
        <f>IF(SamplingFeatures[[#This Row],[Sampling Feature Type]]="Specimen",MAX(Q$12:Q18)+1,"")</f>
        <v/>
      </c>
      <c r="R19" s="10"/>
      <c r="S19" s="11"/>
      <c r="T19" s="40"/>
    </row>
    <row r="20" spans="1:20" x14ac:dyDescent="0.25">
      <c r="A20" s="151"/>
      <c r="B20" s="19" t="s">
        <v>26</v>
      </c>
      <c r="C20" s="19" t="s">
        <v>48</v>
      </c>
      <c r="D20" s="11" t="s">
        <v>1909</v>
      </c>
      <c r="E20" s="12"/>
      <c r="F20" s="54"/>
      <c r="G20" s="13"/>
      <c r="H20" s="13"/>
      <c r="I20" s="13" t="s">
        <v>2468</v>
      </c>
      <c r="J20" s="138">
        <f>IF(SamplingFeatures[[#This Row],[Feature IGSN]]&lt;&gt;"",MAX(J$12:J19)+1,"")</f>
        <v>2</v>
      </c>
      <c r="K20" s="49"/>
      <c r="L20" s="58" t="str">
        <f>IF(SamplingFeatures[[#This Row],[Sampling Feature Type]]="Site",MAX(L$12:L19)+1,"")</f>
        <v/>
      </c>
      <c r="M20" s="18"/>
      <c r="N20" s="11"/>
      <c r="O20" s="40"/>
      <c r="Q20" s="58">
        <f>IF(SamplingFeatures[[#This Row],[Sampling Feature Type]]="Specimen",MAX(Q$12:Q19)+1,"")</f>
        <v>1</v>
      </c>
      <c r="R20" s="10" t="s">
        <v>1093</v>
      </c>
      <c r="S20" s="11" t="s">
        <v>206</v>
      </c>
      <c r="T20" s="40" t="b">
        <v>0</v>
      </c>
    </row>
    <row r="21" spans="1:20" x14ac:dyDescent="0.25">
      <c r="A21" s="151"/>
      <c r="B21" s="19"/>
      <c r="C21" s="11"/>
      <c r="D21" s="11"/>
      <c r="E21" s="12"/>
      <c r="F21" s="54"/>
      <c r="G21" s="13"/>
      <c r="H21" s="13"/>
      <c r="I21" s="13"/>
      <c r="J21" s="138" t="str">
        <f>IF(SamplingFeatures[[#This Row],[Feature IGSN]]&lt;&gt;"",MAX(J$12:J20)+1,"")</f>
        <v/>
      </c>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1"/>
      <c r="D22" s="11"/>
      <c r="E22" s="12"/>
      <c r="F22" s="54"/>
      <c r="G22" s="13"/>
      <c r="H22" s="13"/>
      <c r="I22" s="13"/>
      <c r="J22" s="138" t="str">
        <f>IF(SamplingFeatures[[#This Row],[Feature IGSN]]&lt;&gt;"",MAX(J$12:J21)+1,"")</f>
        <v/>
      </c>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formatColumns="0" formatRows="0" insertRows="0" insertHyperlinks="0" deleteRows="0"/>
  <mergeCells count="3">
    <mergeCell ref="A8:B8"/>
    <mergeCell ref="L11:O11"/>
    <mergeCell ref="Q11:T11"/>
  </mergeCells>
  <conditionalFormatting sqref="B9">
    <cfRule type="expression" dxfId="67" priority="19">
      <formula>AND(COUNTIF(ElevationDatumCV,$B$9)=0,$B$9&lt;&gt;"")</formula>
    </cfRule>
  </conditionalFormatting>
  <conditionalFormatting sqref="B10">
    <cfRule type="expression" dxfId="66" priority="18">
      <formula>AND(COUNTIF(LatLonDatumNames,$B$10)=0,$B$10&lt;&gt;"")</formula>
    </cfRule>
  </conditionalFormatting>
  <conditionalFormatting sqref="B13:B62">
    <cfRule type="expression" dxfId="65" priority="17">
      <formula>AND(COUNTIF(SamplingFeatureTypeCV,$B13)=0,$B13&lt;&gt;"")</formula>
    </cfRule>
  </conditionalFormatting>
  <conditionalFormatting sqref="C13:C62">
    <cfRule type="expression" dxfId="64" priority="16">
      <formula>AND(COUNTIF(SamplingFeatureGeotypeCV,$C13)=0,$C13&lt;&gt;"")</formula>
    </cfRule>
  </conditionalFormatting>
  <conditionalFormatting sqref="B13:D62">
    <cfRule type="expression" dxfId="63" priority="15">
      <formula>AND(COUNTA($A13:$I13)&gt;0,B13="")</formula>
    </cfRule>
  </conditionalFormatting>
  <conditionalFormatting sqref="A14:I62">
    <cfRule type="expression" dxfId="62" priority="14">
      <formula>AND(COUNTA($A13:$I13)=0,A14&lt;&gt;"")</formula>
    </cfRule>
  </conditionalFormatting>
  <conditionalFormatting sqref="H13:H62">
    <cfRule type="expression" dxfId="61" priority="13">
      <formula>ISTEXT($H13)</formula>
    </cfRule>
  </conditionalFormatting>
  <conditionalFormatting sqref="D13:D62">
    <cfRule type="duplicateValues" dxfId="60" priority="12"/>
  </conditionalFormatting>
  <conditionalFormatting sqref="I13:I62">
    <cfRule type="duplicateValues" dxfId="59" priority="11"/>
  </conditionalFormatting>
  <conditionalFormatting sqref="A13:A62">
    <cfRule type="duplicateValues" dxfId="58" priority="10"/>
  </conditionalFormatting>
  <conditionalFormatting sqref="N13:O62">
    <cfRule type="expression" dxfId="57" priority="9">
      <formula>ISTEXT(N13)</formula>
    </cfRule>
  </conditionalFormatting>
  <conditionalFormatting sqref="M13:M62">
    <cfRule type="expression" dxfId="56" priority="8">
      <formula>AND(COUNTIF(SiteTypeCV,$M13)=0,$M13&lt;&gt;"")</formula>
    </cfRule>
  </conditionalFormatting>
  <conditionalFormatting sqref="M13:O62">
    <cfRule type="expression" dxfId="55" priority="6">
      <formula>AND($B13&lt;&gt;"Site",M13&lt;&gt;"")</formula>
    </cfRule>
    <cfRule type="expression" dxfId="54" priority="7">
      <formula>AND($B13="Site",M13="")</formula>
    </cfRule>
  </conditionalFormatting>
  <conditionalFormatting sqref="R13:R62">
    <cfRule type="expression" dxfId="53" priority="3">
      <formula>AND(COUNTIF(SpecimenTypeCV,$R13)=0,$R13&lt;&gt;"")</formula>
    </cfRule>
  </conditionalFormatting>
  <conditionalFormatting sqref="S13:S62">
    <cfRule type="expression" dxfId="52" priority="2">
      <formula>AND(COUNTIF(SampledMediumCV,$S13)=0,$S13&lt;&gt;"")</formula>
    </cfRule>
  </conditionalFormatting>
  <conditionalFormatting sqref="T13:T62">
    <cfRule type="expression" dxfId="51" priority="1">
      <formula>AND(COUNTIF(Boolean,$T13)=0,$T13&lt;&gt;"")</formula>
    </cfRule>
  </conditionalFormatting>
  <conditionalFormatting sqref="R13:T62">
    <cfRule type="expression" dxfId="50" priority="47">
      <formula>AND($B13&lt;&gt;"Specimen",R13&lt;&gt;"")</formula>
    </cfRule>
    <cfRule type="expression" dxfId="49"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J10" sqref="J10"/>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x14ac:dyDescent="0.25">
      <c r="A1" s="27" t="s">
        <v>1535</v>
      </c>
    </row>
    <row r="2" spans="1:8" x14ac:dyDescent="0.25">
      <c r="A2" s="7" t="s">
        <v>1453</v>
      </c>
    </row>
    <row r="3" spans="1:8" s="5" customFormat="1" x14ac:dyDescent="0.25">
      <c r="A3" s="27" t="s">
        <v>1454</v>
      </c>
    </row>
    <row r="4" spans="1:8" x14ac:dyDescent="0.25">
      <c r="A4" s="27" t="s">
        <v>1537</v>
      </c>
    </row>
    <row r="5" spans="1:8" x14ac:dyDescent="0.25">
      <c r="A5" s="27" t="s">
        <v>1536</v>
      </c>
    </row>
    <row r="7" spans="1:8" ht="15.75" thickBot="1" x14ac:dyDescent="0.3">
      <c r="A7" s="192" t="s">
        <v>1524</v>
      </c>
      <c r="B7" s="193" t="s">
        <v>228</v>
      </c>
      <c r="C7" s="193" t="s">
        <v>229</v>
      </c>
      <c r="D7" s="193" t="s">
        <v>230</v>
      </c>
      <c r="E7" s="193" t="s">
        <v>231</v>
      </c>
      <c r="F7" s="193" t="s">
        <v>232</v>
      </c>
      <c r="G7" s="193" t="s">
        <v>233</v>
      </c>
      <c r="H7" s="194" t="s">
        <v>234</v>
      </c>
    </row>
    <row r="8" spans="1:8" ht="15.75" thickTop="1" x14ac:dyDescent="0.25">
      <c r="A8" s="189"/>
      <c r="B8" s="178"/>
      <c r="C8" s="178"/>
      <c r="D8" s="178"/>
      <c r="E8" s="179"/>
      <c r="F8" s="179"/>
      <c r="G8" s="179"/>
      <c r="H8" s="191"/>
    </row>
    <row r="9" spans="1:8" x14ac:dyDescent="0.25">
      <c r="A9" s="190"/>
      <c r="B9" s="178"/>
      <c r="C9" s="178"/>
      <c r="D9" s="178"/>
      <c r="E9" s="179"/>
      <c r="F9" s="179"/>
      <c r="G9" s="179"/>
      <c r="H9" s="191"/>
    </row>
    <row r="10" spans="1:8" x14ac:dyDescent="0.25">
      <c r="A10" s="190"/>
      <c r="B10" s="178"/>
      <c r="C10" s="178"/>
      <c r="D10" s="178"/>
      <c r="E10" s="179"/>
      <c r="F10" s="179"/>
      <c r="G10" s="179"/>
      <c r="H10" s="191"/>
    </row>
    <row r="11" spans="1:8" x14ac:dyDescent="0.25">
      <c r="A11" s="190"/>
      <c r="B11" s="178"/>
      <c r="C11" s="178"/>
      <c r="D11" s="178"/>
      <c r="E11" s="179"/>
      <c r="F11" s="179"/>
      <c r="G11" s="179"/>
      <c r="H11" s="191"/>
    </row>
    <row r="12" spans="1:8" x14ac:dyDescent="0.25">
      <c r="A12" s="190"/>
      <c r="B12" s="178"/>
      <c r="C12" s="178"/>
      <c r="D12" s="178"/>
      <c r="E12" s="179"/>
      <c r="F12" s="179"/>
      <c r="G12" s="179"/>
      <c r="H12" s="191"/>
    </row>
    <row r="13" spans="1:8" x14ac:dyDescent="0.25">
      <c r="A13" s="190"/>
      <c r="B13" s="178"/>
      <c r="C13" s="178"/>
      <c r="D13" s="178"/>
      <c r="E13" s="179"/>
      <c r="F13" s="179"/>
      <c r="G13" s="179"/>
      <c r="H13" s="191"/>
    </row>
    <row r="14" spans="1:8" x14ac:dyDescent="0.25">
      <c r="A14" s="190"/>
      <c r="B14" s="178"/>
      <c r="C14" s="178"/>
      <c r="D14" s="178"/>
      <c r="E14" s="179"/>
      <c r="F14" s="179"/>
      <c r="G14" s="179"/>
      <c r="H14" s="191"/>
    </row>
    <row r="15" spans="1:8" x14ac:dyDescent="0.25">
      <c r="A15" s="190"/>
      <c r="B15" s="178"/>
      <c r="C15" s="178"/>
      <c r="D15" s="178"/>
      <c r="E15" s="179"/>
      <c r="F15" s="179"/>
      <c r="G15" s="179"/>
      <c r="H15" s="191"/>
    </row>
    <row r="16" spans="1:8" x14ac:dyDescent="0.25">
      <c r="A16" s="190"/>
      <c r="B16" s="178"/>
      <c r="C16" s="178"/>
      <c r="D16" s="178"/>
      <c r="E16" s="179"/>
      <c r="F16" s="179"/>
      <c r="G16" s="179"/>
      <c r="H16" s="191"/>
    </row>
    <row r="17" spans="1:8" x14ac:dyDescent="0.25">
      <c r="A17" s="190"/>
      <c r="B17" s="178"/>
      <c r="C17" s="178"/>
      <c r="D17" s="178"/>
      <c r="E17" s="179"/>
      <c r="F17" s="179"/>
      <c r="G17" s="179"/>
      <c r="H17" s="191"/>
    </row>
    <row r="18" spans="1:8" x14ac:dyDescent="0.25">
      <c r="A18" s="190"/>
      <c r="B18" s="178"/>
      <c r="C18" s="178"/>
      <c r="D18" s="178"/>
      <c r="E18" s="179"/>
      <c r="F18" s="179"/>
      <c r="G18" s="179"/>
      <c r="H18" s="191"/>
    </row>
    <row r="19" spans="1:8" x14ac:dyDescent="0.25">
      <c r="A19" s="190"/>
      <c r="B19" s="178"/>
      <c r="C19" s="178"/>
      <c r="D19" s="178"/>
      <c r="E19" s="179"/>
      <c r="F19" s="179"/>
      <c r="G19" s="179"/>
      <c r="H19" s="191"/>
    </row>
    <row r="20" spans="1:8" x14ac:dyDescent="0.25">
      <c r="A20" s="190"/>
      <c r="B20" s="178"/>
      <c r="C20" s="178"/>
      <c r="D20" s="178"/>
      <c r="E20" s="179"/>
      <c r="F20" s="179"/>
      <c r="G20" s="179"/>
      <c r="H20" s="191"/>
    </row>
    <row r="21" spans="1:8" x14ac:dyDescent="0.25">
      <c r="A21" s="190"/>
      <c r="B21" s="178"/>
      <c r="C21" s="178"/>
      <c r="D21" s="178"/>
      <c r="E21" s="179"/>
      <c r="F21" s="179"/>
      <c r="G21" s="179"/>
      <c r="H21" s="191"/>
    </row>
    <row r="22" spans="1:8" x14ac:dyDescent="0.25">
      <c r="A22" s="190"/>
      <c r="B22" s="178"/>
      <c r="C22" s="178"/>
      <c r="D22" s="178"/>
      <c r="E22" s="179"/>
      <c r="F22" s="179"/>
      <c r="G22" s="179"/>
      <c r="H22" s="191"/>
    </row>
    <row r="23" spans="1:8" x14ac:dyDescent="0.25">
      <c r="A23" s="190"/>
      <c r="B23" s="178"/>
      <c r="C23" s="178"/>
      <c r="D23" s="178"/>
      <c r="E23" s="179"/>
      <c r="F23" s="179"/>
      <c r="G23" s="179"/>
      <c r="H23" s="191"/>
    </row>
    <row r="24" spans="1:8" x14ac:dyDescent="0.25">
      <c r="A24" s="190"/>
      <c r="B24" s="178"/>
      <c r="C24" s="178"/>
      <c r="D24" s="178"/>
      <c r="E24" s="179"/>
      <c r="F24" s="179"/>
      <c r="G24" s="179"/>
      <c r="H24" s="191"/>
    </row>
    <row r="25" spans="1:8" x14ac:dyDescent="0.25">
      <c r="A25" s="190"/>
      <c r="B25" s="178"/>
      <c r="C25" s="178"/>
      <c r="D25" s="178"/>
      <c r="E25" s="179"/>
      <c r="F25" s="179"/>
      <c r="G25" s="179"/>
      <c r="H25" s="191"/>
    </row>
    <row r="26" spans="1:8" x14ac:dyDescent="0.25">
      <c r="A26" s="190"/>
      <c r="B26" s="178"/>
      <c r="C26" s="178"/>
      <c r="D26" s="178"/>
      <c r="E26" s="179"/>
      <c r="F26" s="179"/>
      <c r="G26" s="179"/>
      <c r="H26" s="191"/>
    </row>
    <row r="27" spans="1:8" x14ac:dyDescent="0.25">
      <c r="A27" s="190"/>
      <c r="B27" s="178"/>
      <c r="C27" s="178"/>
      <c r="D27" s="178"/>
      <c r="E27" s="179"/>
      <c r="F27" s="179"/>
      <c r="G27" s="179"/>
      <c r="H27" s="191"/>
    </row>
    <row r="28" spans="1:8" x14ac:dyDescent="0.25">
      <c r="A28" s="190"/>
      <c r="B28" s="178"/>
      <c r="C28" s="178"/>
      <c r="D28" s="178"/>
      <c r="E28" s="179"/>
      <c r="F28" s="179"/>
      <c r="G28" s="179"/>
      <c r="H28" s="191"/>
    </row>
    <row r="29" spans="1:8" x14ac:dyDescent="0.25">
      <c r="A29" s="190"/>
      <c r="B29" s="178"/>
      <c r="C29" s="178"/>
      <c r="D29" s="178"/>
      <c r="E29" s="179"/>
      <c r="F29" s="179"/>
      <c r="G29" s="179"/>
      <c r="H29" s="191"/>
    </row>
    <row r="30" spans="1:8" x14ac:dyDescent="0.25">
      <c r="A30" s="190"/>
      <c r="B30" s="178"/>
      <c r="C30" s="178"/>
      <c r="D30" s="178"/>
      <c r="E30" s="179"/>
      <c r="F30" s="179"/>
      <c r="G30" s="179"/>
      <c r="H30" s="191"/>
    </row>
    <row r="31" spans="1:8" x14ac:dyDescent="0.25">
      <c r="A31" s="190"/>
      <c r="B31" s="178"/>
      <c r="C31" s="178"/>
      <c r="D31" s="178"/>
      <c r="E31" s="179"/>
      <c r="F31" s="179"/>
      <c r="G31" s="179"/>
      <c r="H31" s="191"/>
    </row>
    <row r="32" spans="1:8" x14ac:dyDescent="0.25">
      <c r="A32" s="190"/>
      <c r="B32" s="178"/>
      <c r="C32" s="178"/>
      <c r="D32" s="178"/>
      <c r="E32" s="179"/>
      <c r="F32" s="179"/>
      <c r="G32" s="179"/>
      <c r="H32" s="191"/>
    </row>
    <row r="33" spans="1:8" x14ac:dyDescent="0.25">
      <c r="A33" s="190"/>
      <c r="B33" s="178"/>
      <c r="C33" s="178"/>
      <c r="D33" s="178"/>
      <c r="E33" s="179"/>
      <c r="F33" s="179"/>
      <c r="G33" s="179"/>
      <c r="H33" s="191"/>
    </row>
    <row r="34" spans="1:8" x14ac:dyDescent="0.25">
      <c r="A34" s="190"/>
      <c r="B34" s="178"/>
      <c r="C34" s="178"/>
      <c r="D34" s="178"/>
      <c r="E34" s="179"/>
      <c r="F34" s="179"/>
      <c r="G34" s="179"/>
      <c r="H34" s="191"/>
    </row>
    <row r="35" spans="1:8" x14ac:dyDescent="0.25">
      <c r="A35" s="190"/>
      <c r="B35" s="178"/>
      <c r="C35" s="178"/>
      <c r="D35" s="178"/>
      <c r="E35" s="179"/>
      <c r="F35" s="179"/>
      <c r="G35" s="179"/>
      <c r="H35" s="191"/>
    </row>
    <row r="36" spans="1:8" x14ac:dyDescent="0.25">
      <c r="A36" s="190"/>
      <c r="B36" s="178"/>
      <c r="C36" s="178"/>
      <c r="D36" s="178"/>
      <c r="E36" s="179"/>
      <c r="F36" s="179"/>
      <c r="G36" s="179"/>
      <c r="H36" s="191"/>
    </row>
    <row r="37" spans="1:8" x14ac:dyDescent="0.25">
      <c r="A37" s="190"/>
      <c r="B37" s="178"/>
      <c r="C37" s="178"/>
      <c r="D37" s="178"/>
      <c r="E37" s="179"/>
      <c r="F37" s="179"/>
      <c r="G37" s="179"/>
      <c r="H37" s="191"/>
    </row>
    <row r="38" spans="1:8" x14ac:dyDescent="0.25">
      <c r="A38" s="190"/>
      <c r="B38" s="178"/>
      <c r="C38" s="178"/>
      <c r="D38" s="178"/>
      <c r="E38" s="179"/>
      <c r="F38" s="179"/>
      <c r="G38" s="179"/>
      <c r="H38" s="191"/>
    </row>
    <row r="39" spans="1:8" x14ac:dyDescent="0.25">
      <c r="A39" s="195"/>
      <c r="B39" s="196"/>
      <c r="C39" s="196"/>
      <c r="D39" s="196"/>
      <c r="E39" s="197"/>
      <c r="F39" s="197"/>
      <c r="G39" s="197"/>
      <c r="H39" s="198"/>
    </row>
  </sheetData>
  <conditionalFormatting sqref="A8:D39">
    <cfRule type="expression" dxfId="48" priority="8">
      <formula>AND(COUNTA($A8:$H8)&gt;0,XFD8="")</formula>
    </cfRule>
  </conditionalFormatting>
  <conditionalFormatting sqref="B8:B39">
    <cfRule type="expression" dxfId="47" priority="3">
      <formula>AND(COUNTIF(SpatialOffsetTypeCV,$B8)=0,$B8&lt;&gt;"")</formula>
    </cfRule>
  </conditionalFormatting>
  <conditionalFormatting sqref="C8:C39 E8:E39 G8:G39">
    <cfRule type="expression" dxfId="46" priority="5">
      <formula>ISTEXT(C8)</formula>
    </cfRule>
  </conditionalFormatting>
  <conditionalFormatting sqref="A9:H39">
    <cfRule type="expression" dxfId="45" priority="2">
      <formula>AND(COUNTA($A8:$H8)=0,A9&lt;&gt;"")</formula>
    </cfRule>
  </conditionalFormatting>
  <conditionalFormatting sqref="A8:A39">
    <cfRule type="duplicateValues" dxfId="44"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5" sqref="E15"/>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1470</v>
      </c>
    </row>
    <row r="2" spans="1:7" x14ac:dyDescent="0.25">
      <c r="A2" s="27" t="s">
        <v>1525</v>
      </c>
    </row>
    <row r="3" spans="1:7" ht="15.75" thickBot="1" x14ac:dyDescent="0.3">
      <c r="A3" s="7" t="s">
        <v>1453</v>
      </c>
    </row>
    <row r="4" spans="1:7" ht="15.75" thickBot="1" x14ac:dyDescent="0.3">
      <c r="A4" s="27" t="s">
        <v>1454</v>
      </c>
      <c r="E4" s="28" t="s">
        <v>1211</v>
      </c>
      <c r="F4" s="29">
        <f>COUNTA(RelatedFeatures[First Sampling Feature Code])</f>
        <v>0</v>
      </c>
    </row>
    <row r="5" spans="1:7" x14ac:dyDescent="0.25">
      <c r="A5" s="27" t="s">
        <v>1471</v>
      </c>
      <c r="E5" s="176"/>
      <c r="F5" s="176"/>
    </row>
    <row r="6" spans="1:7" ht="15.75" thickBot="1" x14ac:dyDescent="0.3">
      <c r="E6"/>
      <c r="F6"/>
      <c r="G6"/>
    </row>
    <row r="7" spans="1:7" x14ac:dyDescent="0.25">
      <c r="A7" s="205" t="s">
        <v>243</v>
      </c>
      <c r="B7" s="212"/>
      <c r="C7" s="212"/>
      <c r="D7" s="206"/>
      <c r="E7"/>
      <c r="F7"/>
      <c r="G7"/>
    </row>
    <row r="8" spans="1:7" ht="15.75" thickBot="1" x14ac:dyDescent="0.3">
      <c r="A8" s="81" t="s">
        <v>240</v>
      </c>
      <c r="B8" s="65" t="s">
        <v>241</v>
      </c>
      <c r="C8" s="65" t="s">
        <v>242</v>
      </c>
      <c r="D8" s="82" t="s">
        <v>1524</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formatColumns="0" formatRows="0" insertRows="0" insertHyperlinks="0" deleteRows="0"/>
  <mergeCells count="1">
    <mergeCell ref="A7:D7"/>
  </mergeCells>
  <conditionalFormatting sqref="A9:A40 C9:C40">
    <cfRule type="expression" dxfId="43" priority="7">
      <formula>AND(COUNTIF(FeatureCodes,$A9)=0,$A9&lt;&gt;"")</formula>
    </cfRule>
  </conditionalFormatting>
  <conditionalFormatting sqref="B9:B40">
    <cfRule type="expression" dxfId="42" priority="6">
      <formula>AND(COUNTIF(RelationshipTypeCV,$B9)=0,$B9&lt;&gt;"")</formula>
    </cfRule>
  </conditionalFormatting>
  <conditionalFormatting sqref="D9:D40">
    <cfRule type="expression" dxfId="41" priority="4">
      <formula>AND(COUNTIF(SpatialOffsetTypeCV,$D9)=0,$D9&lt;&gt;"")</formula>
    </cfRule>
  </conditionalFormatting>
  <conditionalFormatting sqref="D9:D40">
    <cfRule type="expression" dxfId="40" priority="42">
      <formula>AND(COUNTA($D9:$D9)&gt;0,D9="")</formula>
    </cfRule>
  </conditionalFormatting>
  <conditionalFormatting sqref="A9:C40">
    <cfRule type="expression" dxfId="39" priority="43">
      <formula>AND(COUNTA($A9:$D9)&gt;0,A9="")</formula>
    </cfRule>
  </conditionalFormatting>
  <conditionalFormatting sqref="A10:D40">
    <cfRule type="expression" dxfId="38"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D17" sqref="D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1472</v>
      </c>
    </row>
    <row r="2" spans="1:6" x14ac:dyDescent="0.25">
      <c r="A2" s="7" t="s">
        <v>1453</v>
      </c>
    </row>
    <row r="3" spans="1:6" x14ac:dyDescent="0.25">
      <c r="A3" s="27" t="s">
        <v>1454</v>
      </c>
    </row>
    <row r="4" spans="1:6" x14ac:dyDescent="0.25">
      <c r="A4" s="27" t="s">
        <v>1473</v>
      </c>
    </row>
    <row r="5" spans="1:6" ht="15.75" thickBot="1" x14ac:dyDescent="0.3">
      <c r="A5" s="7" t="s">
        <v>1474</v>
      </c>
    </row>
    <row r="6" spans="1:6" ht="15.75" thickBot="1" x14ac:dyDescent="0.3">
      <c r="A6" s="27" t="s">
        <v>277</v>
      </c>
      <c r="E6" s="28" t="s">
        <v>1216</v>
      </c>
      <c r="F6" s="29">
        <f>COUNTA(MethodCodes)</f>
        <v>5</v>
      </c>
    </row>
    <row r="7" spans="1:6" ht="15.75" thickBot="1" x14ac:dyDescent="0.3"/>
    <row r="8" spans="1:6" x14ac:dyDescent="0.25">
      <c r="A8" s="213" t="s">
        <v>250</v>
      </c>
      <c r="B8" s="214"/>
      <c r="C8" s="214"/>
      <c r="D8" s="214"/>
      <c r="E8" s="214"/>
      <c r="F8" s="215"/>
    </row>
    <row r="9" spans="1:6" ht="15.75" thickBot="1" x14ac:dyDescent="0.3">
      <c r="A9" s="70" t="s">
        <v>247</v>
      </c>
      <c r="B9" s="65" t="s">
        <v>139</v>
      </c>
      <c r="C9" s="65" t="s">
        <v>138</v>
      </c>
      <c r="D9" s="72" t="s">
        <v>140</v>
      </c>
      <c r="E9" s="72" t="s">
        <v>248</v>
      </c>
      <c r="F9" s="68" t="s">
        <v>19</v>
      </c>
    </row>
    <row r="10" spans="1:6" ht="30.75" thickTop="1" x14ac:dyDescent="0.25">
      <c r="A10" s="83" t="s">
        <v>265</v>
      </c>
      <c r="B10" s="75" t="s">
        <v>1361</v>
      </c>
      <c r="C10" s="84" t="s">
        <v>1361</v>
      </c>
      <c r="D10" s="85" t="s">
        <v>1391</v>
      </c>
      <c r="E10" s="86"/>
      <c r="F10" s="87" t="s">
        <v>1321</v>
      </c>
    </row>
    <row r="11" spans="1:6" x14ac:dyDescent="0.25">
      <c r="A11" s="83" t="s">
        <v>265</v>
      </c>
      <c r="B11" s="75" t="s">
        <v>1392</v>
      </c>
      <c r="C11" s="84" t="s">
        <v>1393</v>
      </c>
      <c r="D11" s="85" t="s">
        <v>1394</v>
      </c>
      <c r="E11" s="86"/>
      <c r="F11" s="87" t="s">
        <v>1321</v>
      </c>
    </row>
    <row r="12" spans="1:6" x14ac:dyDescent="0.25">
      <c r="A12" s="83" t="s">
        <v>265</v>
      </c>
      <c r="B12" s="75" t="s">
        <v>1395</v>
      </c>
      <c r="C12" s="84" t="s">
        <v>1396</v>
      </c>
      <c r="D12" s="85" t="s">
        <v>1397</v>
      </c>
      <c r="E12" s="86"/>
      <c r="F12" s="87" t="s">
        <v>1321</v>
      </c>
    </row>
    <row r="13" spans="1:6" x14ac:dyDescent="0.25">
      <c r="A13" s="83" t="s">
        <v>265</v>
      </c>
      <c r="B13" s="75" t="s">
        <v>1398</v>
      </c>
      <c r="C13" s="84" t="s">
        <v>1398</v>
      </c>
      <c r="D13" s="85" t="s">
        <v>1399</v>
      </c>
      <c r="E13" s="86"/>
      <c r="F13" s="87" t="s">
        <v>1321</v>
      </c>
    </row>
    <row r="14" spans="1:6" x14ac:dyDescent="0.25">
      <c r="A14" s="83" t="s">
        <v>265</v>
      </c>
      <c r="B14" s="75" t="s">
        <v>1401</v>
      </c>
      <c r="C14" s="75" t="s">
        <v>1401</v>
      </c>
      <c r="D14" s="85" t="s">
        <v>1400</v>
      </c>
      <c r="E14" s="86"/>
      <c r="F14" s="87" t="s">
        <v>1321</v>
      </c>
    </row>
    <row r="15" spans="1:6" x14ac:dyDescent="0.25">
      <c r="A15" s="83"/>
      <c r="B15" s="75"/>
      <c r="C15" s="75"/>
      <c r="D15" s="85"/>
      <c r="E15" s="76"/>
      <c r="F15" s="87"/>
    </row>
    <row r="16" spans="1:6" x14ac:dyDescent="0.25">
      <c r="A16" s="83"/>
      <c r="B16" s="75"/>
      <c r="C16" s="84"/>
      <c r="D16" s="85"/>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formatColumns="0" formatRows="0" insertRows="0" insertHyperlinks="0" deleteRows="0"/>
  <mergeCells count="1">
    <mergeCell ref="A8:F8"/>
  </mergeCells>
  <conditionalFormatting sqref="A10:A30">
    <cfRule type="expression" dxfId="37" priority="4">
      <formula>AND(COUNTIF(MethodTypeCV,A10)=0,A10&lt;&gt;"")</formula>
    </cfRule>
  </conditionalFormatting>
  <conditionalFormatting sqref="A10:C30">
    <cfRule type="expression" dxfId="36" priority="3">
      <formula>AND(COUNTA($A10:$F10)&gt;0,A10="")</formula>
    </cfRule>
  </conditionalFormatting>
  <conditionalFormatting sqref="A11:F30">
    <cfRule type="expression" dxfId="35" priority="2">
      <formula>AND(COUNTA($A10:$F10)=0,A11&lt;&gt;"")</formula>
    </cfRule>
  </conditionalFormatting>
  <conditionalFormatting sqref="B10:B30">
    <cfRule type="duplicateValues" dxfId="34"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9" sqref="D19"/>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1475</v>
      </c>
    </row>
    <row r="2" spans="1:6" x14ac:dyDescent="0.25">
      <c r="A2" s="7" t="s">
        <v>1453</v>
      </c>
    </row>
    <row r="3" spans="1:6" x14ac:dyDescent="0.25">
      <c r="A3" s="27" t="s">
        <v>1454</v>
      </c>
    </row>
    <row r="4" spans="1:6" ht="15.75" thickBot="1" x14ac:dyDescent="0.3">
      <c r="A4" s="27" t="s">
        <v>1476</v>
      </c>
    </row>
    <row r="5" spans="1:6" ht="15.75" thickBot="1" x14ac:dyDescent="0.3">
      <c r="A5" s="27" t="s">
        <v>281</v>
      </c>
      <c r="E5" s="28" t="s">
        <v>1217</v>
      </c>
      <c r="F5" s="29">
        <f>COUNTA(VariableCodes)</f>
        <v>6</v>
      </c>
    </row>
    <row r="6" spans="1:6" ht="15.75" thickBot="1" x14ac:dyDescent="0.3"/>
    <row r="7" spans="1:6" x14ac:dyDescent="0.25">
      <c r="A7" s="213" t="s">
        <v>286</v>
      </c>
      <c r="B7" s="214"/>
      <c r="C7" s="214"/>
      <c r="D7" s="214"/>
      <c r="E7" s="214"/>
      <c r="F7" s="215"/>
    </row>
    <row r="8" spans="1:6" ht="15.75" thickBot="1" x14ac:dyDescent="0.3">
      <c r="A8" s="70" t="s">
        <v>282</v>
      </c>
      <c r="B8" s="65" t="s">
        <v>137</v>
      </c>
      <c r="C8" s="65" t="s">
        <v>136</v>
      </c>
      <c r="D8" s="72" t="s">
        <v>283</v>
      </c>
      <c r="E8" s="72" t="s">
        <v>284</v>
      </c>
      <c r="F8" s="71" t="s">
        <v>285</v>
      </c>
    </row>
    <row r="9" spans="1:6" ht="15.75" thickTop="1" x14ac:dyDescent="0.25">
      <c r="A9" s="83" t="s">
        <v>288</v>
      </c>
      <c r="B9" s="75" t="s">
        <v>1402</v>
      </c>
      <c r="C9" s="75" t="s">
        <v>833</v>
      </c>
      <c r="D9" s="76"/>
      <c r="E9" s="76"/>
      <c r="F9" s="88" t="s">
        <v>1406</v>
      </c>
    </row>
    <row r="10" spans="1:6" x14ac:dyDescent="0.25">
      <c r="A10" s="83" t="s">
        <v>288</v>
      </c>
      <c r="B10" s="75" t="s">
        <v>1403</v>
      </c>
      <c r="C10" s="75" t="s">
        <v>951</v>
      </c>
      <c r="D10" s="76"/>
      <c r="E10" s="76"/>
      <c r="F10" s="88" t="s">
        <v>1406</v>
      </c>
    </row>
    <row r="11" spans="1:6" x14ac:dyDescent="0.25">
      <c r="A11" s="83" t="s">
        <v>8</v>
      </c>
      <c r="B11" s="75" t="s">
        <v>1350</v>
      </c>
      <c r="C11" s="75" t="s">
        <v>508</v>
      </c>
      <c r="D11" s="76"/>
      <c r="E11" s="76"/>
      <c r="F11" s="88" t="s">
        <v>1406</v>
      </c>
    </row>
    <row r="12" spans="1:6" x14ac:dyDescent="0.25">
      <c r="A12" s="83" t="s">
        <v>8</v>
      </c>
      <c r="B12" s="75" t="s">
        <v>1404</v>
      </c>
      <c r="C12" s="75" t="s">
        <v>398</v>
      </c>
      <c r="D12" s="76"/>
      <c r="E12" s="76"/>
      <c r="F12" s="88" t="s">
        <v>1406</v>
      </c>
    </row>
    <row r="13" spans="1:6" x14ac:dyDescent="0.25">
      <c r="A13" s="83" t="s">
        <v>8</v>
      </c>
      <c r="B13" s="75" t="s">
        <v>1405</v>
      </c>
      <c r="C13" s="75" t="s">
        <v>785</v>
      </c>
      <c r="D13" s="76"/>
      <c r="E13" s="76"/>
      <c r="F13" s="88" t="s">
        <v>1406</v>
      </c>
    </row>
    <row r="14" spans="1:6" x14ac:dyDescent="0.25">
      <c r="A14" s="83" t="s">
        <v>8</v>
      </c>
      <c r="B14" s="75" t="s">
        <v>1353</v>
      </c>
      <c r="C14" s="75" t="s">
        <v>492</v>
      </c>
      <c r="D14" s="76"/>
      <c r="E14" s="76"/>
      <c r="F14" s="88" t="s">
        <v>1406</v>
      </c>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formatColumns="0" formatRows="0" insertRows="0" insertHyperlinks="0" deleteRows="0"/>
  <mergeCells count="1">
    <mergeCell ref="A7:F7"/>
  </mergeCells>
  <conditionalFormatting sqref="A9:A27">
    <cfRule type="expression" dxfId="33" priority="4">
      <formula>AND(COUNTIF(VariableTypeCV,$A11)=0,$A11&lt;&gt;"")</formula>
    </cfRule>
  </conditionalFormatting>
  <conditionalFormatting sqref="C9:C27">
    <cfRule type="expression" dxfId="32" priority="3">
      <formula>AND(COUNTIF(VariableNameCV,$C11)=0,$C11&lt;&gt;"")</formula>
    </cfRule>
  </conditionalFormatting>
  <conditionalFormatting sqref="A9:C27 F9:F27">
    <cfRule type="expression" dxfId="31" priority="2">
      <formula>AND(COUNTA($A11:$F11)&gt;0,$A11="")</formula>
    </cfRule>
  </conditionalFormatting>
  <conditionalFormatting sqref="A10:F27">
    <cfRule type="expression" dxfId="30"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13" sqref="C13"/>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1477</v>
      </c>
    </row>
    <row r="2" spans="1:5" x14ac:dyDescent="0.25">
      <c r="A2" s="7" t="s">
        <v>1453</v>
      </c>
    </row>
    <row r="3" spans="1:5" x14ac:dyDescent="0.25">
      <c r="A3" s="27" t="s">
        <v>1454</v>
      </c>
    </row>
    <row r="4" spans="1:5" x14ac:dyDescent="0.25">
      <c r="A4" s="27" t="s">
        <v>1478</v>
      </c>
    </row>
    <row r="5" spans="1:5" x14ac:dyDescent="0.25">
      <c r="A5" s="27" t="s">
        <v>1176</v>
      </c>
    </row>
    <row r="6" spans="1:5" ht="15.75" thickBot="1" x14ac:dyDescent="0.3">
      <c r="A6" s="27" t="s">
        <v>1480</v>
      </c>
    </row>
    <row r="7" spans="1:5" ht="15.75" thickBot="1" x14ac:dyDescent="0.3">
      <c r="A7" s="27" t="s">
        <v>1479</v>
      </c>
      <c r="D7" s="28" t="s">
        <v>1218</v>
      </c>
      <c r="E7" s="29">
        <f>COUNTA(ProcessingLevelCodes)</f>
        <v>5</v>
      </c>
    </row>
    <row r="8" spans="1:5" ht="15.75" thickBot="1" x14ac:dyDescent="0.3"/>
    <row r="9" spans="1:5" x14ac:dyDescent="0.25">
      <c r="A9" s="205" t="s">
        <v>1179</v>
      </c>
      <c r="B9" s="212"/>
      <c r="C9" s="206"/>
    </row>
    <row r="10" spans="1:5" ht="15.75" thickBot="1" x14ac:dyDescent="0.3">
      <c r="A10" s="70" t="s">
        <v>1177</v>
      </c>
      <c r="B10" s="65" t="s">
        <v>1178</v>
      </c>
      <c r="C10" s="94" t="s">
        <v>1180</v>
      </c>
    </row>
    <row r="11" spans="1:5" ht="90.75" thickTop="1" x14ac:dyDescent="0.25">
      <c r="A11" s="90">
        <v>0</v>
      </c>
      <c r="B11" s="91" t="s">
        <v>1258</v>
      </c>
      <c r="C11" s="92" t="s">
        <v>1259</v>
      </c>
    </row>
    <row r="12" spans="1:5" ht="75" x14ac:dyDescent="0.25">
      <c r="A12" s="83">
        <v>1</v>
      </c>
      <c r="B12" s="76" t="s">
        <v>1260</v>
      </c>
      <c r="C12" s="93" t="s">
        <v>1317</v>
      </c>
    </row>
    <row r="13" spans="1:5" ht="60" x14ac:dyDescent="0.25">
      <c r="A13" s="83">
        <v>2</v>
      </c>
      <c r="B13" s="76" t="s">
        <v>1313</v>
      </c>
      <c r="C13" s="93" t="s">
        <v>1316</v>
      </c>
    </row>
    <row r="14" spans="1:5" ht="60" x14ac:dyDescent="0.25">
      <c r="A14" s="83">
        <v>3</v>
      </c>
      <c r="B14" s="76" t="s">
        <v>1314</v>
      </c>
      <c r="C14" s="93" t="s">
        <v>1318</v>
      </c>
    </row>
    <row r="15" spans="1:5" ht="75" x14ac:dyDescent="0.25">
      <c r="A15" s="83">
        <v>4</v>
      </c>
      <c r="B15" s="76" t="s">
        <v>1315</v>
      </c>
      <c r="C15" s="93" t="s">
        <v>1319</v>
      </c>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formatColumns="0" formatRows="0" insertRows="0" insertHyperlinks="0" deleteRows="0"/>
  <mergeCells count="1">
    <mergeCell ref="A9:C9"/>
  </mergeCells>
  <conditionalFormatting sqref="A11:A28">
    <cfRule type="duplicateValues" dxfId="29" priority="1"/>
    <cfRule type="expression" dxfId="28" priority="3">
      <formula>AND(COUNTA($A11:$C11)&gt;0,$A11="")</formula>
    </cfRule>
  </conditionalFormatting>
  <conditionalFormatting sqref="A12:C28">
    <cfRule type="expression" dxfId="27"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5"/>
  <sheetViews>
    <sheetView workbookViewId="0">
      <selection activeCell="H6" sqref="H6"/>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1412</v>
      </c>
      <c r="C1" s="89"/>
    </row>
    <row r="2" spans="1:5" s="7" customFormat="1" ht="15.75" thickBot="1" x14ac:dyDescent="0.3">
      <c r="A2" s="27" t="s">
        <v>1413</v>
      </c>
      <c r="C2" s="89"/>
    </row>
    <row r="3" spans="1:5" s="7" customFormat="1" ht="15.75" thickBot="1" x14ac:dyDescent="0.3">
      <c r="A3" s="27" t="s">
        <v>1414</v>
      </c>
      <c r="C3" s="89"/>
      <c r="D3" s="28" t="s">
        <v>1415</v>
      </c>
      <c r="E3" s="29">
        <f>COUNTA(TaxClassifiers)</f>
        <v>0</v>
      </c>
    </row>
    <row r="4" spans="1:5" ht="15.75" thickBot="1" x14ac:dyDescent="0.3"/>
    <row r="5" spans="1:5" x14ac:dyDescent="0.25">
      <c r="A5" s="216" t="s">
        <v>1420</v>
      </c>
      <c r="B5" s="217"/>
      <c r="C5" s="217"/>
      <c r="D5" s="218"/>
    </row>
    <row r="6" spans="1:5" ht="15.75" thickBot="1" x14ac:dyDescent="0.3">
      <c r="A6" s="98" t="s">
        <v>1416</v>
      </c>
      <c r="B6" s="99" t="s">
        <v>1417</v>
      </c>
      <c r="C6" s="164" t="s">
        <v>1418</v>
      </c>
      <c r="D6" s="165" t="s">
        <v>1419</v>
      </c>
    </row>
    <row r="7" spans="1:5" ht="15.75" thickTop="1" x14ac:dyDescent="0.25">
      <c r="A7" s="161"/>
      <c r="B7" s="158"/>
      <c r="C7" s="159"/>
      <c r="D7" s="162"/>
    </row>
    <row r="8" spans="1:5" x14ac:dyDescent="0.25">
      <c r="A8" s="125"/>
      <c r="B8" s="103"/>
      <c r="C8" s="160"/>
      <c r="D8" s="163"/>
    </row>
    <row r="9" spans="1:5" x14ac:dyDescent="0.25">
      <c r="A9" s="125"/>
      <c r="B9" s="103"/>
      <c r="C9" s="160"/>
      <c r="D9" s="163"/>
    </row>
    <row r="10" spans="1:5" x14ac:dyDescent="0.25">
      <c r="A10" s="125"/>
      <c r="B10" s="103"/>
      <c r="C10" s="160"/>
      <c r="D10" s="163"/>
    </row>
    <row r="11" spans="1:5" x14ac:dyDescent="0.25">
      <c r="A11" s="125"/>
      <c r="B11" s="103"/>
      <c r="C11" s="160"/>
      <c r="D11" s="163"/>
    </row>
    <row r="12" spans="1:5" x14ac:dyDescent="0.25">
      <c r="A12" s="125"/>
      <c r="B12" s="103"/>
      <c r="C12" s="160"/>
      <c r="D12" s="163"/>
    </row>
    <row r="13" spans="1:5" x14ac:dyDescent="0.25">
      <c r="A13" s="125"/>
      <c r="B13" s="103"/>
      <c r="C13" s="160"/>
      <c r="D13" s="163"/>
    </row>
    <row r="14" spans="1:5" x14ac:dyDescent="0.25">
      <c r="A14" s="125"/>
      <c r="B14" s="103"/>
      <c r="C14" s="160"/>
      <c r="D14" s="163"/>
    </row>
    <row r="15" spans="1:5" x14ac:dyDescent="0.25">
      <c r="A15" s="125"/>
      <c r="B15" s="103"/>
      <c r="C15" s="160"/>
      <c r="D15" s="163"/>
    </row>
    <row r="16" spans="1:5" x14ac:dyDescent="0.25">
      <c r="A16" s="125"/>
      <c r="B16" s="103"/>
      <c r="C16" s="160"/>
      <c r="D16" s="163"/>
    </row>
    <row r="17" spans="1:4" x14ac:dyDescent="0.25">
      <c r="A17" s="125"/>
      <c r="B17" s="103"/>
      <c r="C17" s="160"/>
      <c r="D17" s="163"/>
    </row>
    <row r="18" spans="1:4" x14ac:dyDescent="0.25">
      <c r="A18" s="125"/>
      <c r="B18" s="103"/>
      <c r="C18" s="160"/>
      <c r="D18" s="163"/>
    </row>
    <row r="19" spans="1:4" x14ac:dyDescent="0.25">
      <c r="A19" s="125"/>
      <c r="B19" s="103"/>
      <c r="C19" s="160"/>
      <c r="D19" s="163"/>
    </row>
    <row r="20" spans="1:4" x14ac:dyDescent="0.25">
      <c r="A20" s="125"/>
      <c r="B20" s="103"/>
      <c r="C20" s="160"/>
      <c r="D20" s="163"/>
    </row>
    <row r="21" spans="1:4" x14ac:dyDescent="0.25">
      <c r="A21" s="125"/>
      <c r="B21" s="103"/>
      <c r="C21" s="160"/>
      <c r="D21" s="163"/>
    </row>
    <row r="22" spans="1:4" x14ac:dyDescent="0.25">
      <c r="A22" s="125"/>
      <c r="B22" s="103"/>
      <c r="C22" s="160"/>
      <c r="D22" s="163"/>
    </row>
    <row r="23" spans="1:4" x14ac:dyDescent="0.25">
      <c r="A23" s="125"/>
      <c r="B23" s="103"/>
      <c r="C23" s="160"/>
      <c r="D23" s="163"/>
    </row>
    <row r="24" spans="1:4" x14ac:dyDescent="0.25">
      <c r="A24" s="125"/>
      <c r="B24" s="103"/>
      <c r="C24" s="160"/>
      <c r="D24" s="163"/>
    </row>
    <row r="25" spans="1:4" x14ac:dyDescent="0.25">
      <c r="A25" s="128"/>
      <c r="B25" s="105"/>
      <c r="C25" s="166"/>
      <c r="D25" s="167"/>
    </row>
  </sheetData>
  <mergeCells count="1">
    <mergeCell ref="A5:D5"/>
  </mergeCells>
  <conditionalFormatting sqref="A7:A25">
    <cfRule type="expression" dxfId="26" priority="4">
      <formula>AND(COUNTIF(TaxonomicClassifierTypeCV,$A7)=0,$A7&lt;&gt;"")</formula>
    </cfRule>
  </conditionalFormatting>
  <conditionalFormatting sqref="A7:B25">
    <cfRule type="expression" dxfId="25" priority="3">
      <formula>AND(COUNTA($A7:$D7)&gt;0,A7&lt;&gt;"")</formula>
    </cfRule>
  </conditionalFormatting>
  <conditionalFormatting sqref="A8:D25">
    <cfRule type="expression" dxfId="24" priority="2">
      <formula>AND(COUNTA($A7:$D7)=0,A8&lt;&gt;"")</formula>
    </cfRule>
  </conditionalFormatting>
  <conditionalFormatting sqref="B7:B25">
    <cfRule type="duplicateValues" dxfId="23" priority="1"/>
  </conditionalFormatting>
  <dataValidations disablePrompts="1" count="1">
    <dataValidation type="list" allowBlank="1" showInputMessage="1" showErrorMessage="1" sqref="A7:A25">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K99"/>
  <sheetViews>
    <sheetView topLeftCell="H4" zoomScale="115" zoomScaleNormal="115" zoomScalePageLayoutView="150" workbookViewId="0">
      <selection activeCell="O12" sqref="O12"/>
    </sheetView>
  </sheetViews>
  <sheetFormatPr defaultColWidth="8.85546875" defaultRowHeight="15" x14ac:dyDescent="0.25"/>
  <cols>
    <col min="1" max="1" width="6" style="7" customWidth="1"/>
    <col min="2" max="2" width="22.42578125" style="7" bestFit="1" customWidth="1"/>
    <col min="3" max="3" width="28.140625" style="7" bestFit="1" customWidth="1"/>
    <col min="4" max="4" width="16.85546875" style="7" bestFit="1" customWidth="1"/>
    <col min="5" max="5" width="10.7109375" style="7" customWidth="1"/>
    <col min="6" max="6" width="10.7109375" customWidth="1"/>
    <col min="7" max="7" width="20" bestFit="1" customWidth="1"/>
    <col min="8" max="8" width="10.7109375" style="7" customWidth="1"/>
    <col min="9" max="9" width="10.7109375" customWidth="1"/>
    <col min="10" max="10" width="17.42578125" style="5" bestFit="1" customWidth="1"/>
    <col min="11" max="11" width="13.5703125" style="7" bestFit="1" customWidth="1"/>
    <col min="12" max="12" width="13.140625" bestFit="1" customWidth="1"/>
    <col min="13" max="13" width="10.140625" style="7" bestFit="1" customWidth="1"/>
    <col min="14" max="14" width="19" style="5" bestFit="1" customWidth="1"/>
    <col min="15" max="15" width="13.28515625" bestFit="1" customWidth="1"/>
    <col min="16" max="16" width="12.7109375" bestFit="1" customWidth="1"/>
    <col min="17" max="17" width="20" bestFit="1" customWidth="1"/>
    <col min="18" max="18" width="14.28515625" bestFit="1" customWidth="1"/>
    <col min="19" max="19" width="14.5703125" bestFit="1" customWidth="1"/>
    <col min="20" max="20" width="24.42578125" bestFit="1" customWidth="1"/>
    <col min="21" max="21" width="23.42578125" style="7" bestFit="1" customWidth="1"/>
    <col min="22" max="22" width="32.140625" bestFit="1" customWidth="1"/>
    <col min="23" max="23" width="21.5703125" bestFit="1" customWidth="1"/>
    <col min="24" max="28" width="12.140625" customWidth="1"/>
    <col min="29" max="32" width="12.140625" style="7" customWidth="1"/>
    <col min="33" max="34" width="12.140625" customWidth="1"/>
    <col min="35" max="52" width="12.140625" style="7" customWidth="1"/>
    <col min="53" max="16384" width="8.85546875" style="7"/>
  </cols>
  <sheetData>
    <row r="1" spans="1:34" x14ac:dyDescent="0.25">
      <c r="A1" s="27" t="s">
        <v>135</v>
      </c>
      <c r="F1" s="7"/>
      <c r="G1" s="7"/>
      <c r="I1" s="7"/>
      <c r="J1" s="7"/>
      <c r="L1" s="7"/>
      <c r="N1" s="7"/>
      <c r="O1" s="7"/>
      <c r="P1" s="7"/>
      <c r="Q1" s="7"/>
      <c r="R1" s="7"/>
      <c r="S1" s="7"/>
      <c r="T1" s="7"/>
      <c r="V1" s="7"/>
      <c r="W1" s="7"/>
      <c r="X1" s="7"/>
      <c r="Y1" s="7"/>
      <c r="Z1" s="7"/>
      <c r="AA1" s="7"/>
      <c r="AB1" s="7"/>
      <c r="AG1" s="7"/>
      <c r="AH1" s="7"/>
    </row>
    <row r="2" spans="1:34" ht="15.75" thickBot="1" x14ac:dyDescent="0.3">
      <c r="A2" s="27" t="s">
        <v>1434</v>
      </c>
      <c r="F2" s="7"/>
      <c r="G2" s="7"/>
      <c r="I2" s="7"/>
      <c r="J2" s="7"/>
      <c r="L2" s="7"/>
      <c r="N2" s="7"/>
      <c r="O2" s="7"/>
      <c r="P2" s="7"/>
      <c r="Q2" s="7"/>
      <c r="R2" s="7"/>
      <c r="S2" s="7"/>
      <c r="T2" s="7"/>
      <c r="V2" s="7"/>
      <c r="W2" s="7"/>
      <c r="X2" s="7"/>
      <c r="Y2" s="7"/>
      <c r="Z2" s="7"/>
      <c r="AA2" s="7"/>
      <c r="AB2" s="7"/>
      <c r="AG2" s="7"/>
      <c r="AH2" s="7"/>
    </row>
    <row r="3" spans="1:34" ht="15.75" thickBot="1" x14ac:dyDescent="0.3">
      <c r="A3" s="27" t="s">
        <v>1207</v>
      </c>
      <c r="F3" s="7"/>
      <c r="G3" s="7"/>
      <c r="I3" s="7"/>
      <c r="J3" s="7"/>
      <c r="K3" s="89"/>
      <c r="L3" s="7"/>
      <c r="N3" s="7"/>
      <c r="O3" s="7"/>
      <c r="P3" s="7"/>
      <c r="Q3" s="96" t="s">
        <v>1209</v>
      </c>
      <c r="R3" s="29">
        <f>MAX(DataColumns[Col'#])</f>
        <v>15</v>
      </c>
      <c r="S3" s="7"/>
      <c r="T3" s="7"/>
      <c r="V3" s="7"/>
      <c r="W3" s="7"/>
      <c r="X3" s="7"/>
      <c r="Y3" s="7"/>
      <c r="Z3" s="7"/>
      <c r="AA3" s="7"/>
      <c r="AB3" s="7"/>
      <c r="AG3" s="7"/>
      <c r="AH3" s="7"/>
    </row>
    <row r="4" spans="1:34" ht="15.75" thickBot="1" x14ac:dyDescent="0.3">
      <c r="A4" s="27" t="s">
        <v>1251</v>
      </c>
      <c r="F4" s="7"/>
      <c r="G4" s="7"/>
      <c r="I4" s="7"/>
      <c r="J4" s="7"/>
      <c r="K4" s="89"/>
      <c r="L4" s="7"/>
      <c r="N4" s="7"/>
      <c r="O4" s="7"/>
      <c r="P4" s="7"/>
      <c r="Q4" s="96" t="s">
        <v>1447</v>
      </c>
      <c r="R4" s="29">
        <f>INDEX(DataColumns[Col'#],MATCH("SamplingFeatureCode",DataColumns[ColumnType],0))</f>
        <v>3</v>
      </c>
      <c r="S4" s="7"/>
      <c r="T4" s="7"/>
      <c r="V4" s="7"/>
      <c r="W4" s="7"/>
      <c r="X4" s="7"/>
      <c r="Y4" s="7"/>
      <c r="Z4" s="7"/>
      <c r="AA4" s="7"/>
      <c r="AB4" s="7"/>
      <c r="AG4" s="7"/>
      <c r="AH4" s="7"/>
    </row>
    <row r="5" spans="1:34" ht="15.75" thickBot="1" x14ac:dyDescent="0.3">
      <c r="A5" s="27" t="s">
        <v>1208</v>
      </c>
      <c r="F5" s="7"/>
      <c r="G5" s="7"/>
      <c r="I5" s="7"/>
      <c r="J5" s="7"/>
      <c r="K5" s="89"/>
      <c r="L5" s="7"/>
      <c r="N5" s="7"/>
      <c r="O5" s="7"/>
      <c r="P5" s="7"/>
      <c r="Q5" s="96" t="s">
        <v>1446</v>
      </c>
      <c r="R5" s="29">
        <f ca="1">COUNTA(INDIRECT(CONCATENATE("'Data Values'!R2C",SpecimenColumnNumber,":R96129C",SpecimenColumnNumber),FALSE))</f>
        <v>277</v>
      </c>
      <c r="S5" s="7"/>
      <c r="T5" s="7"/>
      <c r="V5" s="7"/>
      <c r="W5" s="7"/>
      <c r="X5" s="7"/>
      <c r="Y5" s="7"/>
      <c r="Z5" s="7"/>
      <c r="AA5" s="7"/>
      <c r="AB5" s="7"/>
      <c r="AG5" s="7"/>
      <c r="AH5" s="7"/>
    </row>
    <row r="6" spans="1:34" ht="15.75" thickBot="1" x14ac:dyDescent="0.3">
      <c r="A6" s="27" t="s">
        <v>1432</v>
      </c>
      <c r="F6" s="7"/>
      <c r="G6" s="7"/>
      <c r="I6" s="7"/>
      <c r="J6" s="7"/>
      <c r="K6" s="89"/>
      <c r="L6" s="7"/>
      <c r="N6" s="7"/>
      <c r="O6" s="7"/>
      <c r="P6" s="7"/>
      <c r="Q6" s="96" t="s">
        <v>1451</v>
      </c>
      <c r="R6" s="29">
        <f>COUNTIF(DataColumns[ColumnType],"DataValue")</f>
        <v>6</v>
      </c>
      <c r="S6" s="7"/>
      <c r="T6" s="7"/>
      <c r="V6" s="7"/>
      <c r="W6" s="7"/>
      <c r="X6" s="7"/>
      <c r="Y6" s="7"/>
      <c r="Z6" s="7"/>
      <c r="AA6" s="7"/>
      <c r="AB6" s="7"/>
      <c r="AG6" s="7"/>
      <c r="AH6" s="7"/>
    </row>
    <row r="7" spans="1:34" x14ac:dyDescent="0.25">
      <c r="A7" s="27" t="s">
        <v>1433</v>
      </c>
      <c r="F7" s="7"/>
      <c r="G7" s="7"/>
      <c r="I7" s="7"/>
      <c r="J7" s="7"/>
      <c r="K7" s="89"/>
      <c r="L7" s="7"/>
      <c r="N7" s="7"/>
      <c r="O7" s="7"/>
      <c r="P7" s="7"/>
      <c r="Q7" s="7"/>
      <c r="R7" s="7"/>
      <c r="S7" s="7"/>
      <c r="T7" s="7"/>
      <c r="V7" s="7"/>
      <c r="W7" s="7"/>
      <c r="X7" s="7"/>
      <c r="Y7" s="7"/>
      <c r="Z7" s="7"/>
      <c r="AA7" s="7"/>
      <c r="AB7" s="7"/>
      <c r="AG7" s="7"/>
      <c r="AH7" s="7"/>
    </row>
    <row r="8" spans="1:34" x14ac:dyDescent="0.25">
      <c r="A8" s="27" t="s">
        <v>1430</v>
      </c>
      <c r="F8" s="7"/>
      <c r="G8" s="7"/>
      <c r="I8" s="7"/>
      <c r="J8" s="7"/>
      <c r="K8" s="89"/>
      <c r="L8" s="7"/>
      <c r="N8" s="7"/>
      <c r="O8" s="7"/>
      <c r="P8" s="7"/>
      <c r="Q8" s="7"/>
      <c r="R8" s="7"/>
      <c r="S8" s="7"/>
      <c r="T8" s="7"/>
      <c r="V8" s="7"/>
      <c r="W8" s="7"/>
      <c r="X8" s="7"/>
      <c r="Y8" s="7"/>
      <c r="Z8" s="7"/>
      <c r="AA8" s="7"/>
      <c r="AB8" s="7"/>
      <c r="AG8" s="7"/>
      <c r="AH8" s="7"/>
    </row>
    <row r="9" spans="1:34" ht="15.75" thickBot="1" x14ac:dyDescent="0.3">
      <c r="G9" s="7"/>
      <c r="H9"/>
      <c r="I9" s="5"/>
      <c r="L9" s="7"/>
      <c r="N9" s="7"/>
      <c r="O9" s="7"/>
      <c r="P9" s="7"/>
      <c r="Q9" s="7"/>
      <c r="R9" s="7"/>
      <c r="S9" s="7"/>
      <c r="T9" s="7"/>
      <c r="V9" s="7"/>
      <c r="W9" s="7"/>
      <c r="X9" s="7"/>
      <c r="Y9" s="7"/>
      <c r="Z9" s="7"/>
      <c r="AA9" s="7"/>
      <c r="AB9" s="7"/>
      <c r="AG9" s="7"/>
      <c r="AH9" s="7"/>
    </row>
    <row r="10" spans="1:34" x14ac:dyDescent="0.25">
      <c r="A10" s="219" t="s">
        <v>1518</v>
      </c>
      <c r="B10" s="220"/>
      <c r="C10" s="220"/>
      <c r="D10" s="221"/>
      <c r="E10" s="219" t="s">
        <v>1519</v>
      </c>
      <c r="F10" s="220"/>
      <c r="G10" s="220"/>
      <c r="H10" s="220"/>
      <c r="I10" s="220"/>
      <c r="J10" s="221"/>
      <c r="K10" s="219" t="s">
        <v>1520</v>
      </c>
      <c r="L10" s="220"/>
      <c r="M10" s="220"/>
      <c r="N10" s="220"/>
      <c r="O10" s="220"/>
      <c r="P10" s="220"/>
      <c r="Q10" s="220"/>
      <c r="R10" s="220"/>
      <c r="S10" s="220"/>
      <c r="T10" s="220"/>
      <c r="U10" s="220"/>
      <c r="V10" s="220"/>
      <c r="W10" s="221"/>
      <c r="X10" s="7"/>
      <c r="Y10" s="7"/>
      <c r="Z10" s="7"/>
      <c r="AA10" s="7"/>
      <c r="AB10" s="7"/>
      <c r="AG10" s="7"/>
      <c r="AH10" s="7"/>
    </row>
    <row r="11" spans="1:34" s="171" customFormat="1" ht="12.75" x14ac:dyDescent="0.2">
      <c r="A11" s="169"/>
      <c r="B11" s="170" t="s">
        <v>1429</v>
      </c>
      <c r="C11" s="170" t="s">
        <v>1429</v>
      </c>
      <c r="D11" s="182" t="s">
        <v>1429</v>
      </c>
      <c r="E11" s="169">
        <f ca="1">IF(ISERROR(MATCH(INDIRECT(CONCATENATE("R",ROW()+1,"C",COLUMN()),FALSE),DataColumns[ColumnType],0)),INDEX(ColumnFinder[REQUIRED],MATCH(INDIRECT(CONCATENATE("R",ROW()+1,"C",COLUMN()),FALSE),ColumnFinder[DataType],0)),10)</f>
        <v>10</v>
      </c>
      <c r="F11" s="170">
        <f ca="1">IF(ISERROR(MATCH(INDIRECT(CONCATENATE("R",ROW()+1,"C",COLUMN()),FALSE),DataColumns[ColumnType],0)),INDEX(ColumnFinder[REQUIRED],MATCH(INDIRECT(CONCATENATE("R",ROW()+1,"C",COLUMN()),FALSE),ColumnFinder[DataType],0)),10)</f>
        <v>10</v>
      </c>
      <c r="G11" s="170" t="str">
        <f ca="1">IF(ISERROR(MATCH(INDIRECT(CONCATENATE("R",ROW()+1,"C",COLUMN()),FALSE),DataColumns[ColumnType],0)),INDEX(ColumnFinder[REQUIRED],MATCH(INDIRECT(CONCATENATE("R",ROW()+1,"C",COLUMN()),FALSE),ColumnFinder[DataType],0)),10)</f>
        <v>REQUIRED</v>
      </c>
      <c r="H11" s="170">
        <f ca="1">IF(ISERROR(MATCH(INDIRECT(CONCATENATE("R",ROW()+1,"C",COLUMN()),FALSE),DataColumns[ColumnType],0)),INDEX(ColumnFinder[REQUIRED],MATCH(INDIRECT(CONCATENATE("R",ROW()+1,"C",COLUMN()),FALSE),ColumnFinder[DataType],0)),10)</f>
        <v>10</v>
      </c>
      <c r="I11" s="170">
        <f ca="1">IF(ISERROR(MATCH(INDIRECT(CONCATENATE("R",ROW()+1,"C",COLUMN()),FALSE),DataColumns[ColumnType],0)),INDEX(ColumnFinder[REQUIRED],MATCH(INDIRECT(CONCATENATE("R",ROW()+1,"C",COLUMN()),FALSE),ColumnFinder[DataType],0)),10)</f>
        <v>10</v>
      </c>
      <c r="J11" s="182" t="str">
        <f ca="1">IF(ISERROR(MATCH(INDIRECT(CONCATENATE("R",ROW()+1,"C",COLUMN()),FALSE),DataColumns[ColumnType],0)),INDEX(ColumnFinder[REQUIRED],MATCH(INDIRECT(CONCATENATE("R",ROW()+1,"C",COLUMN()),FALSE),ColumnFinder[DataType],0)),10)</f>
        <v>Optional</v>
      </c>
      <c r="K11" s="169" t="str">
        <f ca="1">IF(ISERROR(MATCH(INDIRECT(CONCATENATE("R",ROW()+1,"C",COLUMN()),FALSE),DataColumns[ColumnType],0)),INDEX(ColumnFinder[REQUIRED],MATCH(INDIRECT(CONCATENATE("R",ROW()+1,"C",COLUMN()),FALSE),ColumnFinder[DataType],0)),10)</f>
        <v>REQUIRED</v>
      </c>
      <c r="L11" s="170" t="str">
        <f ca="1">IF(ISERROR(MATCH(INDIRECT(CONCATENATE("R",ROW()+1,"C",COLUMN()),FALSE),DataColumns[ColumnType],0)),INDEX(ColumnFinder[REQUIRED],MATCH(INDIRECT(CONCATENATE("R",ROW()+1,"C",COLUMN()),FALSE),ColumnFinder[DataType],0)),10)</f>
        <v>REQUIRED</v>
      </c>
      <c r="M11" s="170" t="str">
        <f ca="1">IF(ISERROR(MATCH(INDIRECT(CONCATENATE("R",ROW()+1,"C",COLUMN()),FALSE),DataColumns[ColumnType],0)),INDEX(ColumnFinder[REQUIRED],MATCH(INDIRECT(CONCATENATE("R",ROW()+1,"C",COLUMN()),FALSE),ColumnFinder[DataType],0)),10)</f>
        <v>REQUIRED</v>
      </c>
      <c r="N11" s="170" t="str">
        <f ca="1">IF(ISERROR(MATCH(INDIRECT(CONCATENATE("R",ROW()+1,"C",COLUMN()),FALSE),DataColumns[ColumnType],0)),INDEX(ColumnFinder[REQUIRED],MATCH(INDIRECT(CONCATENATE("R",ROW()+1,"C",COLUMN()),FALSE),ColumnFinder[DataType],0)),10)</f>
        <v>REQUIRED</v>
      </c>
      <c r="O11" s="170" t="str">
        <f ca="1">IF(ISERROR(MATCH(INDIRECT(CONCATENATE("R",ROW()+1,"C",COLUMN()),FALSE),DataColumns[ColumnType],0)),INDEX(ColumnFinder[REQUIRED],MATCH(INDIRECT(CONCATENATE("R",ROW()+1,"C",COLUMN()),FALSE),ColumnFinder[DataType],0)),10)</f>
        <v>Optional</v>
      </c>
      <c r="P11" s="170" t="str">
        <f ca="1">IF(ISERROR(MATCH(INDIRECT(CONCATENATE("R",ROW()+1,"C",COLUMN()),FALSE),DataColumns[ColumnType],0)),INDEX(ColumnFinder[REQUIRED],MATCH(INDIRECT(CONCATENATE("R",ROW()+1,"C",COLUMN()),FALSE),ColumnFinder[DataType],0)),10)</f>
        <v>REQUIRED</v>
      </c>
      <c r="Q11" s="170" t="str">
        <f ca="1">IF(ISERROR(MATCH(INDIRECT(CONCATENATE("R",ROW()+1,"C",COLUMN()),FALSE),DataColumns[ColumnType],0)),INDEX(ColumnFinder[REQUIRED],MATCH(INDIRECT(CONCATENATE("R",ROW()+1,"C",COLUMN()),FALSE),ColumnFinder[DataType],0)),10)</f>
        <v>REQUIRED</v>
      </c>
      <c r="R11" s="170" t="str">
        <f ca="1">IF(ISERROR(MATCH(INDIRECT(CONCATENATE("R",ROW()+1,"C",COLUMN()),FALSE),DataColumns[ColumnType],0)),INDEX(ColumnFinder[REQUIRED],MATCH(INDIRECT(CONCATENATE("R",ROW()+1,"C",COLUMN()),FALSE),ColumnFinder[DataType],0)),10)</f>
        <v>REQUIRED</v>
      </c>
      <c r="S11" s="170" t="str">
        <f ca="1">IF(ISERROR(MATCH(INDIRECT(CONCATENATE("R",ROW()+1,"C",COLUMN()),FALSE),DataColumns[ColumnType],0)),INDEX(ColumnFinder[REQUIRED],MATCH(INDIRECT(CONCATENATE("R",ROW()+1,"C",COLUMN()),FALSE),ColumnFinder[DataType],0)),10)</f>
        <v>REQUIRED</v>
      </c>
      <c r="T11" s="170" t="str">
        <f ca="1">IF(ISERROR(MATCH(INDIRECT(CONCATENATE("R",ROW()+1,"C",COLUMN()),FALSE),DataColumns[ColumnType],0)),INDEX(ColumnFinder[REQUIRED],MATCH(INDIRECT(CONCATENATE("R",ROW()+1,"C",COLUMN()),FALSE),ColumnFinder[DataType],0)),10)</f>
        <v>Optional</v>
      </c>
      <c r="U11" s="233" t="str">
        <f ca="1">IF(ISERROR(MATCH(INDIRECT(CONCATENATE("R",ROW()+1,"C",COLUMN()),FALSE),DataColumns[ColumnType],0)),INDEX(ColumnFinder[REQUIRED],MATCH(INDIRECT(CONCATENATE("R",ROW()+1,"C",COLUMN()),FALSE),ColumnFinder[DataType],0)),10)</f>
        <v>REQUIRED</v>
      </c>
      <c r="V11" s="234" t="str">
        <f ca="1">IF(ISERROR(MATCH(INDIRECT(CONCATENATE("R",ROW()+1,"C",COLUMN()),FALSE),DataColumns[ColumnType],0)),INDEX(ColumnFinder[REQUIRED],MATCH(INDIRECT(CONCATENATE("R",ROW()+1,"C",COLUMN()),FALSE),ColumnFinder[DataType],0)),10)</f>
        <v>REQUIRED</v>
      </c>
      <c r="W11" s="235" t="str">
        <f ca="1">IF(ISERROR(MATCH(INDIRECT(CONCATENATE("R",ROW()+1,"C",COLUMN()),FALSE),DataColumns[ColumnType],0)),INDEX(ColumnFinder[REQUIRED],MATCH(INDIRECT(CONCATENATE("R",ROW()+1,"C",COLUMN()),FALSE),ColumnFinder[DataType],0)),10)</f>
        <v>REQUIRED</v>
      </c>
    </row>
    <row r="12" spans="1:34" ht="15.75" thickBot="1" x14ac:dyDescent="0.3">
      <c r="A12" s="95" t="s">
        <v>1512</v>
      </c>
      <c r="B12" s="70" t="s">
        <v>1513</v>
      </c>
      <c r="C12" s="70" t="s">
        <v>1514</v>
      </c>
      <c r="D12" s="183" t="s">
        <v>1517</v>
      </c>
      <c r="E12" s="81" t="s">
        <v>1904</v>
      </c>
      <c r="F12" s="65" t="s">
        <v>1521</v>
      </c>
      <c r="G12" s="65" t="s">
        <v>1431</v>
      </c>
      <c r="H12" s="71" t="s">
        <v>197</v>
      </c>
      <c r="I12" s="65" t="s">
        <v>1516</v>
      </c>
      <c r="J12" s="155" t="s">
        <v>1906</v>
      </c>
      <c r="K12" s="81" t="s">
        <v>1139</v>
      </c>
      <c r="L12" s="70" t="s">
        <v>1509</v>
      </c>
      <c r="M12" s="65" t="s">
        <v>1508</v>
      </c>
      <c r="N12" s="65" t="s">
        <v>202</v>
      </c>
      <c r="O12" s="65" t="s">
        <v>1522</v>
      </c>
      <c r="P12" s="65" t="s">
        <v>1510</v>
      </c>
      <c r="Q12" s="65" t="s">
        <v>1411</v>
      </c>
      <c r="R12" s="65" t="s">
        <v>1145</v>
      </c>
      <c r="S12" s="65" t="s">
        <v>1146</v>
      </c>
      <c r="T12" s="65" t="s">
        <v>1428</v>
      </c>
      <c r="U12" s="65" t="s">
        <v>1409</v>
      </c>
      <c r="V12" s="65" t="s">
        <v>1410</v>
      </c>
      <c r="W12" s="155" t="s">
        <v>1156</v>
      </c>
      <c r="X12" s="7"/>
      <c r="Y12" s="7"/>
      <c r="Z12" s="7"/>
      <c r="AA12" s="7"/>
      <c r="AB12" s="7"/>
      <c r="AG12" s="7"/>
      <c r="AH12" s="7"/>
    </row>
    <row r="13" spans="1:34" ht="15.75" thickTop="1" x14ac:dyDescent="0.25">
      <c r="A13" s="57">
        <f>IF(COUNTA(DataColumns[[#This Row],[ColumnLabel]:[QualityCodeCV]])&gt;0,IF(MAX(A$12:A12)=0,1,MAX(A$12:A12)+1),"")</f>
        <v>1</v>
      </c>
      <c r="B13" s="144" t="s">
        <v>1345</v>
      </c>
      <c r="C13" s="8" t="s">
        <v>1484</v>
      </c>
      <c r="D13" s="184"/>
      <c r="E13" s="229"/>
      <c r="F13" s="8"/>
      <c r="G13" s="8"/>
      <c r="H13" s="187"/>
      <c r="I13" s="8"/>
      <c r="J13" s="232"/>
      <c r="K13" s="144"/>
      <c r="L13" s="180"/>
      <c r="M13" s="8"/>
      <c r="N13" s="8"/>
      <c r="O13" s="8"/>
      <c r="P13" s="8"/>
      <c r="Q13" s="8"/>
      <c r="R13" s="8"/>
      <c r="S13" s="8"/>
      <c r="T13" s="172"/>
      <c r="U13" s="8"/>
      <c r="V13" s="8"/>
      <c r="W13" s="168"/>
      <c r="X13" s="7"/>
      <c r="Y13" s="7"/>
      <c r="Z13" s="7"/>
      <c r="AA13" s="7"/>
      <c r="AB13" s="7"/>
      <c r="AG13" s="7"/>
      <c r="AH13" s="7"/>
    </row>
    <row r="14" spans="1:34" x14ac:dyDescent="0.25">
      <c r="A14" s="58">
        <f>IF(COUNTA(DataColumns[[#This Row],[ColumnLabel]:[QualityCodeCV]])&gt;0,IF(MAX(A$12:A13)=0,1,MAX(A$12:A13)+1),"")</f>
        <v>2</v>
      </c>
      <c r="B14" s="116" t="s">
        <v>1171</v>
      </c>
      <c r="C14" s="11" t="s">
        <v>1485</v>
      </c>
      <c r="D14" s="185"/>
      <c r="E14" s="230"/>
      <c r="F14" s="11"/>
      <c r="G14" s="11"/>
      <c r="H14" s="40"/>
      <c r="I14" s="11"/>
      <c r="J14" s="145"/>
      <c r="K14" s="116"/>
      <c r="L14" s="10"/>
      <c r="M14" s="11"/>
      <c r="N14" s="11"/>
      <c r="O14" s="11"/>
      <c r="P14" s="11"/>
      <c r="Q14" s="11"/>
      <c r="R14" s="11"/>
      <c r="S14" s="11"/>
      <c r="T14" s="22"/>
      <c r="U14" s="11"/>
      <c r="V14" s="11"/>
      <c r="W14" s="32"/>
      <c r="X14" s="7"/>
      <c r="Y14" s="7"/>
      <c r="Z14" s="7"/>
      <c r="AA14" s="7"/>
      <c r="AB14" s="7"/>
      <c r="AG14" s="7"/>
      <c r="AH14" s="7"/>
    </row>
    <row r="15" spans="1:34" x14ac:dyDescent="0.25">
      <c r="A15" s="58">
        <f>IF(COUNTA(DataColumns[[#This Row],[ColumnLabel]:[QualityCodeCV]])&gt;0,IF(MAX(A$12:A14)=0,1,MAX(A$12:A14)+1),"")</f>
        <v>3</v>
      </c>
      <c r="B15" s="116" t="s">
        <v>1346</v>
      </c>
      <c r="C15" s="11" t="s">
        <v>1903</v>
      </c>
      <c r="D15" s="185"/>
      <c r="E15" s="230"/>
      <c r="F15" s="11"/>
      <c r="G15" s="11"/>
      <c r="H15" s="40"/>
      <c r="I15" s="11"/>
      <c r="J15" s="145"/>
      <c r="K15" s="116"/>
      <c r="L15" s="10"/>
      <c r="M15" s="11"/>
      <c r="N15" s="11"/>
      <c r="O15" s="11"/>
      <c r="P15" s="11"/>
      <c r="Q15" s="11"/>
      <c r="R15" s="11"/>
      <c r="S15" s="11"/>
      <c r="T15" s="22"/>
      <c r="U15" s="11"/>
      <c r="V15" s="11"/>
      <c r="W15" s="32"/>
      <c r="X15" s="7"/>
      <c r="Y15" s="7"/>
      <c r="Z15" s="7"/>
      <c r="AA15" s="7"/>
      <c r="AB15" s="7"/>
      <c r="AG15" s="7"/>
      <c r="AH15" s="7"/>
    </row>
    <row r="16" spans="1:34" x14ac:dyDescent="0.25">
      <c r="A16" s="58">
        <f>IF(COUNTA(DataColumns[[#This Row],[ColumnLabel]:[QualityCodeCV]])&gt;0,IF(MAX(A$12:A15)=0,1,MAX(A$12:A15)+1),"")</f>
        <v>4</v>
      </c>
      <c r="B16" s="116" t="s">
        <v>1347</v>
      </c>
      <c r="C16" s="11" t="s">
        <v>1904</v>
      </c>
      <c r="D16" s="185"/>
      <c r="E16" s="230"/>
      <c r="F16" s="11"/>
      <c r="G16" s="11"/>
      <c r="H16" s="40"/>
      <c r="I16" s="11"/>
      <c r="J16" s="145"/>
      <c r="K16" s="116"/>
      <c r="L16" s="10"/>
      <c r="M16" s="11"/>
      <c r="N16" s="11"/>
      <c r="O16" s="11"/>
      <c r="P16" s="11"/>
      <c r="Q16" s="11"/>
      <c r="R16" s="11"/>
      <c r="S16" s="11"/>
      <c r="T16" s="22"/>
      <c r="U16" s="11"/>
      <c r="V16" s="11"/>
      <c r="W16" s="32"/>
      <c r="X16" s="7"/>
      <c r="Y16" s="7"/>
      <c r="Z16" s="7"/>
      <c r="AA16" s="7"/>
      <c r="AB16" s="7"/>
      <c r="AG16" s="7"/>
      <c r="AH16" s="7"/>
    </row>
    <row r="17" spans="1:34" x14ac:dyDescent="0.25">
      <c r="A17" s="58">
        <f>IF(COUNTA(DataColumns[[#This Row],[ColumnLabel]:[QualityCodeCV]])&gt;0,IF(MAX(A$12:A16)=0,1,MAX(A$12:A16)+1),"")</f>
        <v>5</v>
      </c>
      <c r="B17" s="116" t="s">
        <v>1348</v>
      </c>
      <c r="C17" s="11" t="s">
        <v>197</v>
      </c>
      <c r="D17" s="185"/>
      <c r="E17" s="230"/>
      <c r="F17" s="11"/>
      <c r="G17" s="11"/>
      <c r="H17" s="40"/>
      <c r="I17" s="11"/>
      <c r="J17" s="145"/>
      <c r="K17" s="116"/>
      <c r="L17" s="10"/>
      <c r="M17" s="11"/>
      <c r="N17" s="11"/>
      <c r="O17" s="11"/>
      <c r="P17" s="11"/>
      <c r="Q17" s="11"/>
      <c r="R17" s="11"/>
      <c r="S17" s="11"/>
      <c r="T17" s="22"/>
      <c r="U17" s="11"/>
      <c r="V17" s="11"/>
      <c r="W17" s="32"/>
      <c r="X17" s="7"/>
      <c r="Y17" s="7"/>
      <c r="Z17" s="7"/>
      <c r="AA17" s="7"/>
      <c r="AB17" s="7"/>
      <c r="AG17" s="7"/>
      <c r="AH17" s="7"/>
    </row>
    <row r="18" spans="1:34" x14ac:dyDescent="0.25">
      <c r="A18" s="58">
        <f>IF(COUNTA(DataColumns[[#This Row],[ColumnLabel]:[QualityCodeCV]])&gt;0,IF(MAX(A$12:A17)=0,1,MAX(A$12:A17)+1),"")</f>
        <v>6</v>
      </c>
      <c r="B18" s="116" t="s">
        <v>1523</v>
      </c>
      <c r="C18" s="11" t="s">
        <v>1516</v>
      </c>
      <c r="D18" s="185"/>
      <c r="E18" s="230"/>
      <c r="F18" s="11"/>
      <c r="G18" s="11"/>
      <c r="H18" s="40"/>
      <c r="I18" s="11"/>
      <c r="J18" s="145"/>
      <c r="K18" s="116"/>
      <c r="L18" s="10"/>
      <c r="M18" s="11"/>
      <c r="N18" s="11"/>
      <c r="O18" s="11"/>
      <c r="P18" s="11"/>
      <c r="Q18" s="11"/>
      <c r="R18" s="11"/>
      <c r="S18" s="11"/>
      <c r="T18" s="22"/>
      <c r="U18" s="11"/>
      <c r="V18" s="11"/>
      <c r="W18" s="32"/>
      <c r="X18" s="7"/>
      <c r="Y18" s="7"/>
      <c r="Z18" s="7"/>
      <c r="AA18" s="7"/>
      <c r="AB18" s="7"/>
      <c r="AG18" s="7"/>
      <c r="AH18" s="7"/>
    </row>
    <row r="19" spans="1:34" x14ac:dyDescent="0.25">
      <c r="A19" s="58">
        <f>IF(COUNTA(DataColumns[[#This Row],[ColumnLabel]:[QualityCodeCV]])&gt;0,IF(MAX(A$12:A18)=0,1,MAX(A$12:A18)+1),"")</f>
        <v>7</v>
      </c>
      <c r="B19" s="116" t="s">
        <v>1441</v>
      </c>
      <c r="C19" s="11" t="s">
        <v>1521</v>
      </c>
      <c r="D19" s="185"/>
      <c r="E19" s="230"/>
      <c r="F19" s="11"/>
      <c r="G19" s="11"/>
      <c r="H19" s="40"/>
      <c r="I19" s="11"/>
      <c r="J19" s="145"/>
      <c r="K19" s="116"/>
      <c r="L19" s="10"/>
      <c r="M19" s="11"/>
      <c r="N19" s="11"/>
      <c r="O19" s="11"/>
      <c r="P19" s="11"/>
      <c r="Q19" s="11"/>
      <c r="R19" s="11"/>
      <c r="S19" s="11"/>
      <c r="T19" s="22"/>
      <c r="U19" s="11"/>
      <c r="V19" s="11"/>
      <c r="W19" s="32"/>
      <c r="X19" s="7"/>
      <c r="Y19" s="7"/>
      <c r="Z19" s="7"/>
      <c r="AA19" s="7"/>
      <c r="AB19" s="7"/>
      <c r="AG19" s="7"/>
      <c r="AH19" s="7"/>
    </row>
    <row r="20" spans="1:34" x14ac:dyDescent="0.25">
      <c r="A20" s="58">
        <f>IF(COUNTA(DataColumns[[#This Row],[ColumnLabel]:[QualityCodeCV]])&gt;0,IF(MAX(A$12:A19)=0,1,MAX(A$12:A19)+1),"")</f>
        <v>8</v>
      </c>
      <c r="B20" s="116" t="s">
        <v>833</v>
      </c>
      <c r="C20" s="11" t="s">
        <v>1408</v>
      </c>
      <c r="D20" s="185"/>
      <c r="E20" s="230"/>
      <c r="F20" s="11"/>
      <c r="G20" s="11"/>
      <c r="H20" s="40"/>
      <c r="I20" s="11"/>
      <c r="J20" s="145"/>
      <c r="K20" s="116" t="s">
        <v>1140</v>
      </c>
      <c r="L20" s="10" t="s">
        <v>1402</v>
      </c>
      <c r="M20" s="11" t="s">
        <v>833</v>
      </c>
      <c r="N20" s="11" t="s">
        <v>204</v>
      </c>
      <c r="O20" s="11"/>
      <c r="P20" s="11" t="s">
        <v>1361</v>
      </c>
      <c r="Q20" s="11">
        <v>1</v>
      </c>
      <c r="R20" s="11" t="s">
        <v>1149</v>
      </c>
      <c r="S20" s="11" t="s">
        <v>1153</v>
      </c>
      <c r="T20" s="22"/>
      <c r="U20" s="11">
        <v>0</v>
      </c>
      <c r="V20" s="11" t="s">
        <v>1445</v>
      </c>
      <c r="W20" s="32" t="s">
        <v>1157</v>
      </c>
      <c r="X20" s="7"/>
      <c r="Y20" s="7"/>
      <c r="Z20" s="7"/>
      <c r="AA20" s="7"/>
      <c r="AB20" s="7"/>
      <c r="AG20" s="7"/>
      <c r="AH20" s="7"/>
    </row>
    <row r="21" spans="1:34" x14ac:dyDescent="0.25">
      <c r="A21" s="58">
        <f>IF(COUNTA(DataColumns[[#This Row],[ColumnLabel]:[QualityCodeCV]])&gt;0,IF(MAX(A$12:A20)=0,1,MAX(A$12:A20)+1),"")</f>
        <v>9</v>
      </c>
      <c r="B21" s="116" t="s">
        <v>1349</v>
      </c>
      <c r="C21" s="11" t="s">
        <v>1408</v>
      </c>
      <c r="D21" s="185"/>
      <c r="E21" s="230"/>
      <c r="F21" s="11"/>
      <c r="G21" s="11"/>
      <c r="H21" s="40"/>
      <c r="I21" s="11"/>
      <c r="J21" s="145"/>
      <c r="K21" s="116" t="s">
        <v>1140</v>
      </c>
      <c r="L21" s="10" t="s">
        <v>1403</v>
      </c>
      <c r="M21" s="11" t="s">
        <v>1442</v>
      </c>
      <c r="N21" s="11" t="s">
        <v>204</v>
      </c>
      <c r="O21" s="11"/>
      <c r="P21" s="11" t="s">
        <v>1361</v>
      </c>
      <c r="Q21" s="11">
        <v>1</v>
      </c>
      <c r="R21" s="11" t="s">
        <v>1149</v>
      </c>
      <c r="S21" s="11" t="s">
        <v>1153</v>
      </c>
      <c r="T21" s="22"/>
      <c r="U21" s="11">
        <v>0</v>
      </c>
      <c r="V21" s="11" t="s">
        <v>1445</v>
      </c>
      <c r="W21" s="32" t="s">
        <v>1157</v>
      </c>
      <c r="X21" s="7"/>
      <c r="Y21" s="7"/>
      <c r="Z21" s="7"/>
      <c r="AA21" s="7"/>
      <c r="AB21" s="7"/>
      <c r="AG21" s="7"/>
      <c r="AH21" s="7"/>
    </row>
    <row r="22" spans="1:34" x14ac:dyDescent="0.25">
      <c r="A22" s="58">
        <f>IF(COUNTA(DataColumns[[#This Row],[ColumnLabel]:[QualityCodeCV]])&gt;0,IF(MAX(A$12:A21)=0,1,MAX(A$12:A21)+1),"")</f>
        <v>10</v>
      </c>
      <c r="B22" s="116" t="s">
        <v>1350</v>
      </c>
      <c r="C22" s="11" t="s">
        <v>1408</v>
      </c>
      <c r="D22" s="185"/>
      <c r="E22" s="230"/>
      <c r="F22" s="11"/>
      <c r="G22" s="11"/>
      <c r="H22" s="40"/>
      <c r="I22" s="11"/>
      <c r="J22" s="145"/>
      <c r="K22" s="116" t="s">
        <v>1140</v>
      </c>
      <c r="L22" s="10" t="s">
        <v>1350</v>
      </c>
      <c r="M22" s="11" t="s">
        <v>1443</v>
      </c>
      <c r="N22" s="11" t="s">
        <v>204</v>
      </c>
      <c r="O22" s="11"/>
      <c r="P22" s="11" t="s">
        <v>1392</v>
      </c>
      <c r="Q22" s="11">
        <v>1</v>
      </c>
      <c r="R22" s="11" t="s">
        <v>1149</v>
      </c>
      <c r="S22" s="11" t="s">
        <v>1153</v>
      </c>
      <c r="T22" s="22"/>
      <c r="U22" s="11">
        <v>0</v>
      </c>
      <c r="V22" s="11" t="s">
        <v>1445</v>
      </c>
      <c r="W22" s="32" t="s">
        <v>1157</v>
      </c>
      <c r="X22" s="7"/>
      <c r="Y22" s="7"/>
      <c r="Z22" s="7"/>
      <c r="AA22" s="7"/>
      <c r="AB22" s="7"/>
      <c r="AG22" s="7"/>
      <c r="AH22" s="7"/>
    </row>
    <row r="23" spans="1:34" x14ac:dyDescent="0.25">
      <c r="A23" s="58">
        <f>IF(COUNTA(DataColumns[[#This Row],[ColumnLabel]:[QualityCodeCV]])&gt;0,IF(MAX(A$12:A22)=0,1,MAX(A$12:A22)+1),"")</f>
        <v>11</v>
      </c>
      <c r="B23" s="116" t="s">
        <v>1351</v>
      </c>
      <c r="C23" s="11" t="s">
        <v>1408</v>
      </c>
      <c r="D23" s="185"/>
      <c r="E23" s="230"/>
      <c r="F23" s="11"/>
      <c r="G23" s="11"/>
      <c r="H23" s="40"/>
      <c r="I23" s="11"/>
      <c r="J23" s="145"/>
      <c r="K23" s="116" t="s">
        <v>1140</v>
      </c>
      <c r="L23" s="10" t="s">
        <v>1404</v>
      </c>
      <c r="M23" s="11" t="s">
        <v>1444</v>
      </c>
      <c r="N23" s="11" t="s">
        <v>204</v>
      </c>
      <c r="O23" s="11"/>
      <c r="P23" s="11" t="s">
        <v>1395</v>
      </c>
      <c r="Q23" s="11">
        <v>1</v>
      </c>
      <c r="R23" s="11" t="s">
        <v>1149</v>
      </c>
      <c r="S23" s="11" t="s">
        <v>1153</v>
      </c>
      <c r="T23" s="22"/>
      <c r="U23" s="11">
        <v>0</v>
      </c>
      <c r="V23" s="11" t="s">
        <v>1445</v>
      </c>
      <c r="W23" s="32" t="s">
        <v>1157</v>
      </c>
      <c r="X23" s="7"/>
      <c r="Y23" s="7"/>
      <c r="Z23" s="7"/>
      <c r="AA23" s="7"/>
      <c r="AB23" s="7"/>
      <c r="AG23" s="7"/>
      <c r="AH23" s="7"/>
    </row>
    <row r="24" spans="1:34" x14ac:dyDescent="0.25">
      <c r="A24" s="58">
        <f>IF(COUNTA(DataColumns[[#This Row],[ColumnLabel]:[QualityCodeCV]])&gt;0,IF(MAX(A$12:A23)=0,1,MAX(A$12:A23)+1),"")</f>
        <v>12</v>
      </c>
      <c r="B24" s="116" t="s">
        <v>1352</v>
      </c>
      <c r="C24" s="11" t="s">
        <v>1408</v>
      </c>
      <c r="D24" s="185"/>
      <c r="E24" s="230"/>
      <c r="F24" s="11"/>
      <c r="G24" s="11"/>
      <c r="H24" s="40"/>
      <c r="I24" s="11"/>
      <c r="J24" s="145"/>
      <c r="K24" s="116" t="s">
        <v>1140</v>
      </c>
      <c r="L24" s="10" t="s">
        <v>1405</v>
      </c>
      <c r="M24" s="11" t="s">
        <v>1443</v>
      </c>
      <c r="N24" s="11" t="s">
        <v>204</v>
      </c>
      <c r="O24" s="11"/>
      <c r="P24" s="11" t="s">
        <v>1398</v>
      </c>
      <c r="Q24" s="11">
        <v>1</v>
      </c>
      <c r="R24" s="11" t="s">
        <v>1149</v>
      </c>
      <c r="S24" s="11" t="s">
        <v>1153</v>
      </c>
      <c r="T24" s="22"/>
      <c r="U24" s="11">
        <v>0</v>
      </c>
      <c r="V24" s="11" t="s">
        <v>1445</v>
      </c>
      <c r="W24" s="32" t="s">
        <v>1157</v>
      </c>
      <c r="X24" s="7"/>
      <c r="Y24" s="7"/>
      <c r="Z24" s="7"/>
      <c r="AA24" s="7"/>
      <c r="AB24" s="7"/>
      <c r="AG24" s="7"/>
      <c r="AH24" s="7"/>
    </row>
    <row r="25" spans="1:34" x14ac:dyDescent="0.25">
      <c r="A25" s="58">
        <f>IF(COUNTA(DataColumns[[#This Row],[ColumnLabel]:[QualityCodeCV]])&gt;0,IF(MAX(A$12:A24)=0,1,MAX(A$12:A24)+1),"")</f>
        <v>13</v>
      </c>
      <c r="B25" s="116" t="s">
        <v>1353</v>
      </c>
      <c r="C25" s="11" t="s">
        <v>1408</v>
      </c>
      <c r="D25" s="185"/>
      <c r="E25" s="230"/>
      <c r="F25" s="11"/>
      <c r="G25" s="11"/>
      <c r="H25" s="40"/>
      <c r="I25" s="11"/>
      <c r="J25" s="145"/>
      <c r="K25" s="116" t="s">
        <v>1140</v>
      </c>
      <c r="L25" s="10" t="s">
        <v>1353</v>
      </c>
      <c r="M25" s="11" t="s">
        <v>1443</v>
      </c>
      <c r="N25" s="11" t="s">
        <v>204</v>
      </c>
      <c r="O25" s="11"/>
      <c r="P25" s="11" t="s">
        <v>1401</v>
      </c>
      <c r="Q25" s="11">
        <v>1</v>
      </c>
      <c r="R25" s="11" t="s">
        <v>1149</v>
      </c>
      <c r="S25" s="11" t="s">
        <v>1153</v>
      </c>
      <c r="T25" s="22"/>
      <c r="U25" s="11">
        <v>0</v>
      </c>
      <c r="V25" s="11" t="s">
        <v>1445</v>
      </c>
      <c r="W25" s="32" t="s">
        <v>1157</v>
      </c>
      <c r="X25" s="7"/>
      <c r="Y25" s="7"/>
      <c r="Z25" s="7"/>
      <c r="AA25" s="7"/>
      <c r="AB25" s="7"/>
      <c r="AG25" s="7"/>
      <c r="AH25" s="7"/>
    </row>
    <row r="26" spans="1:34" x14ac:dyDescent="0.25">
      <c r="A26" s="58">
        <f>IF(COUNTA(DataColumns[[#This Row],[ColumnLabel]:[QualityCodeCV]])&gt;0,IF(MAX(A$12:A25)=0,1,MAX(A$12:A25)+1),"")</f>
        <v>14</v>
      </c>
      <c r="B26" s="116" t="s">
        <v>1505</v>
      </c>
      <c r="C26" s="11" t="s">
        <v>1486</v>
      </c>
      <c r="D26" s="185"/>
      <c r="E26" s="230"/>
      <c r="F26" s="11"/>
      <c r="G26" s="11"/>
      <c r="H26" s="40"/>
      <c r="I26" s="11"/>
      <c r="J26" s="145"/>
      <c r="K26" s="116"/>
      <c r="L26" s="10"/>
      <c r="M26" s="11"/>
      <c r="N26" s="11"/>
      <c r="O26" s="11"/>
      <c r="P26" s="11"/>
      <c r="Q26" s="11"/>
      <c r="R26" s="11"/>
      <c r="S26" s="11"/>
      <c r="T26" s="22"/>
      <c r="U26" s="11"/>
      <c r="V26" s="11"/>
      <c r="W26" s="32"/>
      <c r="X26" s="7"/>
      <c r="Y26" s="7"/>
      <c r="Z26" s="7"/>
      <c r="AA26" s="7"/>
      <c r="AB26" s="7"/>
      <c r="AG26" s="7"/>
      <c r="AH26" s="7"/>
    </row>
    <row r="27" spans="1:34" x14ac:dyDescent="0.25">
      <c r="A27" s="58">
        <f>IF(COUNTA(DataColumns[[#This Row],[ColumnLabel]:[QualityCodeCV]])&gt;0,IF(MAX(A$12:A26)=0,1,MAX(A$12:A26)+1),"")</f>
        <v>15</v>
      </c>
      <c r="B27" s="116" t="s">
        <v>1507</v>
      </c>
      <c r="C27" s="11" t="s">
        <v>1487</v>
      </c>
      <c r="D27" s="185"/>
      <c r="E27" s="230"/>
      <c r="F27" s="11"/>
      <c r="G27" s="11"/>
      <c r="H27" s="40"/>
      <c r="I27" s="11"/>
      <c r="J27" s="145"/>
      <c r="K27" s="116"/>
      <c r="L27" s="10"/>
      <c r="M27" s="11"/>
      <c r="N27" s="11"/>
      <c r="O27" s="11"/>
      <c r="P27" s="11"/>
      <c r="Q27" s="11"/>
      <c r="R27" s="11"/>
      <c r="S27" s="11"/>
      <c r="T27" s="22"/>
      <c r="U27" s="11"/>
      <c r="V27" s="11"/>
      <c r="W27" s="32"/>
      <c r="X27" s="7"/>
      <c r="Y27" s="7"/>
      <c r="Z27" s="7"/>
      <c r="AA27" s="7"/>
      <c r="AB27" s="7"/>
      <c r="AG27" s="7"/>
      <c r="AH27" s="7"/>
    </row>
    <row r="28" spans="1:34" x14ac:dyDescent="0.25">
      <c r="A28" s="58" t="str">
        <f>IF(COUNTA(DataColumns[[#This Row],[ColumnLabel]:[QualityCodeCV]])&gt;0,IF(MAX(A$12:A27)=0,1,MAX(A$12:A27)+1),"")</f>
        <v/>
      </c>
      <c r="B28" s="116"/>
      <c r="C28" s="11"/>
      <c r="D28" s="185"/>
      <c r="E28" s="230"/>
      <c r="F28" s="11"/>
      <c r="G28" s="11"/>
      <c r="H28" s="40"/>
      <c r="I28" s="11"/>
      <c r="J28" s="145"/>
      <c r="K28" s="116"/>
      <c r="L28" s="10"/>
      <c r="M28" s="11"/>
      <c r="N28" s="11"/>
      <c r="O28" s="11"/>
      <c r="P28" s="11"/>
      <c r="Q28" s="11"/>
      <c r="R28" s="11"/>
      <c r="S28" s="11"/>
      <c r="T28" s="22"/>
      <c r="U28" s="11"/>
      <c r="V28" s="11"/>
      <c r="W28" s="32"/>
      <c r="X28" s="7"/>
      <c r="Y28" s="7"/>
      <c r="Z28" s="7"/>
      <c r="AA28" s="7"/>
      <c r="AB28" s="7"/>
      <c r="AG28" s="7"/>
      <c r="AH28" s="7"/>
    </row>
    <row r="29" spans="1:34" x14ac:dyDescent="0.25">
      <c r="A29" s="58" t="str">
        <f>IF(COUNTA(DataColumns[[#This Row],[ColumnLabel]:[QualityCodeCV]])&gt;0,IF(MAX(A$12:A28)=0,1,MAX(A$12:A28)+1),"")</f>
        <v/>
      </c>
      <c r="B29" s="116"/>
      <c r="C29" s="11"/>
      <c r="D29" s="185"/>
      <c r="E29" s="230"/>
      <c r="F29" s="11"/>
      <c r="G29" s="11"/>
      <c r="H29" s="40"/>
      <c r="I29" s="11"/>
      <c r="J29" s="145"/>
      <c r="K29" s="116"/>
      <c r="L29" s="10"/>
      <c r="M29" s="11"/>
      <c r="N29" s="11"/>
      <c r="O29" s="11"/>
      <c r="P29" s="11"/>
      <c r="Q29" s="11"/>
      <c r="R29" s="11"/>
      <c r="S29" s="11"/>
      <c r="T29" s="22"/>
      <c r="U29" s="11"/>
      <c r="V29" s="11"/>
      <c r="W29" s="32"/>
      <c r="X29" s="7"/>
      <c r="Y29" s="7"/>
      <c r="Z29" s="7"/>
      <c r="AA29" s="7"/>
      <c r="AB29" s="7"/>
      <c r="AG29" s="7"/>
      <c r="AH29" s="7"/>
    </row>
    <row r="30" spans="1:34" x14ac:dyDescent="0.25">
      <c r="A30" s="58" t="str">
        <f>IF(COUNTA(DataColumns[[#This Row],[ColumnLabel]:[QualityCodeCV]])&gt;0,IF(MAX(A$12:A29)=0,1,MAX(A$12:A29)+1),"")</f>
        <v/>
      </c>
      <c r="B30" s="116"/>
      <c r="C30" s="11"/>
      <c r="D30" s="185"/>
      <c r="E30" s="230"/>
      <c r="F30" s="11"/>
      <c r="G30" s="11"/>
      <c r="H30" s="40"/>
      <c r="I30" s="11"/>
      <c r="J30" s="145"/>
      <c r="K30" s="116"/>
      <c r="L30" s="10"/>
      <c r="M30" s="11"/>
      <c r="N30" s="11"/>
      <c r="O30" s="11"/>
      <c r="P30" s="11"/>
      <c r="Q30" s="11"/>
      <c r="R30" s="11"/>
      <c r="S30" s="11"/>
      <c r="T30" s="22"/>
      <c r="U30" s="11"/>
      <c r="V30" s="11"/>
      <c r="W30" s="32"/>
      <c r="X30" s="7"/>
      <c r="Y30" s="7"/>
      <c r="Z30" s="7"/>
      <c r="AA30" s="7"/>
      <c r="AB30" s="7"/>
      <c r="AG30" s="7"/>
      <c r="AH30" s="7"/>
    </row>
    <row r="31" spans="1:34" x14ac:dyDescent="0.25">
      <c r="A31" s="58" t="str">
        <f>IF(COUNTA(DataColumns[[#This Row],[ColumnLabel]:[QualityCodeCV]])&gt;0,IF(MAX(A$12:A30)=0,1,MAX(A$12:A30)+1),"")</f>
        <v/>
      </c>
      <c r="B31" s="116"/>
      <c r="C31" s="11"/>
      <c r="D31" s="185"/>
      <c r="E31" s="230"/>
      <c r="F31" s="11"/>
      <c r="G31" s="11"/>
      <c r="H31" s="40"/>
      <c r="I31" s="11"/>
      <c r="J31" s="145"/>
      <c r="K31" s="116"/>
      <c r="L31" s="10"/>
      <c r="M31" s="11"/>
      <c r="N31" s="11"/>
      <c r="O31" s="11"/>
      <c r="P31" s="11"/>
      <c r="Q31" s="11"/>
      <c r="R31" s="11"/>
      <c r="S31" s="11"/>
      <c r="T31" s="22"/>
      <c r="U31" s="11"/>
      <c r="V31" s="11"/>
      <c r="W31" s="32"/>
      <c r="X31" s="7"/>
      <c r="Y31" s="7"/>
      <c r="Z31" s="7"/>
      <c r="AA31" s="7"/>
      <c r="AB31" s="7"/>
      <c r="AG31" s="7"/>
      <c r="AH31" s="7"/>
    </row>
    <row r="32" spans="1:34" x14ac:dyDescent="0.25">
      <c r="A32" s="58" t="str">
        <f>IF(COUNTA(DataColumns[[#This Row],[ColumnLabel]:[QualityCodeCV]])&gt;0,IF(MAX(A$12:A31)=0,1,MAX(A$12:A31)+1),"")</f>
        <v/>
      </c>
      <c r="B32" s="116"/>
      <c r="C32" s="11"/>
      <c r="D32" s="185"/>
      <c r="E32" s="230"/>
      <c r="F32" s="11"/>
      <c r="G32" s="11"/>
      <c r="H32" s="40"/>
      <c r="I32" s="11"/>
      <c r="J32" s="145"/>
      <c r="K32" s="116"/>
      <c r="L32" s="10"/>
      <c r="M32" s="11"/>
      <c r="N32" s="11"/>
      <c r="O32" s="11"/>
      <c r="P32" s="11"/>
      <c r="Q32" s="11"/>
      <c r="R32" s="11"/>
      <c r="S32" s="11"/>
      <c r="T32" s="22"/>
      <c r="U32" s="11"/>
      <c r="V32" s="11"/>
      <c r="W32" s="32"/>
      <c r="X32" s="7"/>
      <c r="Y32" s="7"/>
      <c r="Z32" s="7"/>
      <c r="AA32" s="7"/>
      <c r="AB32" s="7"/>
      <c r="AG32" s="7"/>
      <c r="AH32" s="7"/>
    </row>
    <row r="33" spans="1:34" x14ac:dyDescent="0.25">
      <c r="A33" s="58" t="str">
        <f>IF(COUNTA(DataColumns[[#This Row],[ColumnLabel]:[QualityCodeCV]])&gt;0,IF(MAX(A$12:A32)=0,1,MAX(A$12:A32)+1),"")</f>
        <v/>
      </c>
      <c r="B33" s="116"/>
      <c r="C33" s="11"/>
      <c r="D33" s="185"/>
      <c r="E33" s="230"/>
      <c r="F33" s="11"/>
      <c r="G33" s="11"/>
      <c r="H33" s="40"/>
      <c r="I33" s="11"/>
      <c r="J33" s="145"/>
      <c r="K33" s="116"/>
      <c r="L33" s="10"/>
      <c r="M33" s="11"/>
      <c r="N33" s="11"/>
      <c r="O33" s="11"/>
      <c r="P33" s="11"/>
      <c r="Q33" s="11"/>
      <c r="R33" s="11"/>
      <c r="S33" s="11"/>
      <c r="T33" s="22"/>
      <c r="U33" s="11"/>
      <c r="V33" s="11"/>
      <c r="W33" s="32"/>
      <c r="X33" s="7"/>
      <c r="Y33" s="7"/>
      <c r="Z33" s="7"/>
      <c r="AA33" s="7"/>
      <c r="AB33" s="7"/>
      <c r="AG33" s="7"/>
      <c r="AH33" s="7"/>
    </row>
    <row r="34" spans="1:34" x14ac:dyDescent="0.25">
      <c r="A34" s="58" t="str">
        <f>IF(COUNTA(DataColumns[[#This Row],[ColumnLabel]:[QualityCodeCV]])&gt;0,IF(MAX(A$12:A33)=0,1,MAX(A$12:A33)+1),"")</f>
        <v/>
      </c>
      <c r="B34" s="116"/>
      <c r="C34" s="11"/>
      <c r="D34" s="185"/>
      <c r="E34" s="230"/>
      <c r="F34" s="11"/>
      <c r="G34" s="11"/>
      <c r="H34" s="40"/>
      <c r="I34" s="11"/>
      <c r="J34" s="145"/>
      <c r="K34" s="116"/>
      <c r="L34" s="10"/>
      <c r="M34" s="11"/>
      <c r="N34" s="11"/>
      <c r="O34" s="11"/>
      <c r="P34" s="11"/>
      <c r="Q34" s="11"/>
      <c r="R34" s="11"/>
      <c r="S34" s="11"/>
      <c r="T34" s="22"/>
      <c r="U34" s="11"/>
      <c r="V34" s="11"/>
      <c r="W34" s="32"/>
      <c r="X34" s="7"/>
      <c r="Y34" s="7"/>
      <c r="Z34" s="7"/>
      <c r="AA34" s="7"/>
      <c r="AB34" s="7"/>
      <c r="AG34" s="7"/>
      <c r="AH34" s="7"/>
    </row>
    <row r="35" spans="1:34" x14ac:dyDescent="0.25">
      <c r="A35" s="58" t="str">
        <f>IF(COUNTA(DataColumns[[#This Row],[ColumnLabel]:[QualityCodeCV]])&gt;0,IF(MAX(A$12:A34)=0,1,MAX(A$12:A34)+1),"")</f>
        <v/>
      </c>
      <c r="B35" s="116"/>
      <c r="C35" s="11"/>
      <c r="D35" s="185"/>
      <c r="E35" s="230"/>
      <c r="F35" s="11"/>
      <c r="G35" s="11"/>
      <c r="H35" s="40"/>
      <c r="I35" s="11"/>
      <c r="J35" s="145"/>
      <c r="K35" s="116"/>
      <c r="L35" s="10"/>
      <c r="M35" s="11"/>
      <c r="N35" s="11"/>
      <c r="O35" s="11"/>
      <c r="P35" s="11"/>
      <c r="Q35" s="11"/>
      <c r="R35" s="11"/>
      <c r="S35" s="11"/>
      <c r="T35" s="22"/>
      <c r="U35" s="11"/>
      <c r="V35" s="11"/>
      <c r="W35" s="32"/>
      <c r="X35" s="7"/>
      <c r="Y35" s="7"/>
      <c r="Z35" s="7"/>
      <c r="AA35" s="7"/>
      <c r="AB35" s="7"/>
      <c r="AG35" s="7"/>
      <c r="AH35" s="7"/>
    </row>
    <row r="36" spans="1:34" x14ac:dyDescent="0.25">
      <c r="A36" s="58" t="str">
        <f>IF(COUNTA(DataColumns[[#This Row],[ColumnLabel]:[QualityCodeCV]])&gt;0,IF(MAX(A$12:A35)=0,1,MAX(A$12:A35)+1),"")</f>
        <v/>
      </c>
      <c r="B36" s="116"/>
      <c r="C36" s="11"/>
      <c r="D36" s="185"/>
      <c r="E36" s="230"/>
      <c r="F36" s="11"/>
      <c r="G36" s="11"/>
      <c r="H36" s="40"/>
      <c r="I36" s="11"/>
      <c r="J36" s="145"/>
      <c r="K36" s="116"/>
      <c r="L36" s="10"/>
      <c r="M36" s="11"/>
      <c r="N36" s="11"/>
      <c r="O36" s="11"/>
      <c r="P36" s="11"/>
      <c r="Q36" s="11"/>
      <c r="R36" s="11"/>
      <c r="S36" s="11"/>
      <c r="T36" s="22"/>
      <c r="U36" s="11"/>
      <c r="V36" s="11"/>
      <c r="W36" s="32"/>
      <c r="X36" s="7"/>
      <c r="Y36" s="7"/>
      <c r="Z36" s="7"/>
      <c r="AA36" s="7"/>
      <c r="AB36" s="7"/>
      <c r="AG36" s="7"/>
      <c r="AH36" s="7"/>
    </row>
    <row r="37" spans="1:34" x14ac:dyDescent="0.25">
      <c r="A37" s="58" t="str">
        <f>IF(COUNTA(DataColumns[[#This Row],[ColumnLabel]:[QualityCodeCV]])&gt;0,IF(MAX(A$12:A36)=0,1,MAX(A$12:A36)+1),"")</f>
        <v/>
      </c>
      <c r="B37" s="116"/>
      <c r="C37" s="11"/>
      <c r="D37" s="185"/>
      <c r="E37" s="230"/>
      <c r="F37" s="11"/>
      <c r="G37" s="11"/>
      <c r="H37" s="40"/>
      <c r="I37" s="11"/>
      <c r="J37" s="145"/>
      <c r="K37" s="116"/>
      <c r="L37" s="10"/>
      <c r="M37" s="11"/>
      <c r="N37" s="11"/>
      <c r="O37" s="11"/>
      <c r="P37" s="11"/>
      <c r="Q37" s="11"/>
      <c r="R37" s="11"/>
      <c r="S37" s="11"/>
      <c r="T37" s="22"/>
      <c r="U37" s="11"/>
      <c r="V37" s="11"/>
      <c r="W37" s="32"/>
      <c r="X37" s="7"/>
      <c r="Y37" s="7"/>
      <c r="Z37" s="7"/>
      <c r="AA37" s="7"/>
      <c r="AB37" s="7"/>
      <c r="AG37" s="7"/>
      <c r="AH37" s="7"/>
    </row>
    <row r="38" spans="1:34" x14ac:dyDescent="0.25">
      <c r="A38" s="58" t="str">
        <f>IF(COUNTA(DataColumns[[#This Row],[ColumnLabel]:[QualityCodeCV]])&gt;0,IF(MAX(A$12:A37)=0,1,MAX(A$12:A37)+1),"")</f>
        <v/>
      </c>
      <c r="B38" s="116"/>
      <c r="C38" s="11"/>
      <c r="D38" s="185"/>
      <c r="E38" s="230"/>
      <c r="F38" s="11"/>
      <c r="G38" s="11"/>
      <c r="H38" s="40"/>
      <c r="I38" s="11"/>
      <c r="J38" s="145"/>
      <c r="K38" s="116"/>
      <c r="L38" s="10"/>
      <c r="M38" s="11"/>
      <c r="N38" s="11"/>
      <c r="O38" s="11"/>
      <c r="P38" s="11"/>
      <c r="Q38" s="11"/>
      <c r="R38" s="11"/>
      <c r="S38" s="11"/>
      <c r="T38" s="22"/>
      <c r="U38" s="11"/>
      <c r="V38" s="11"/>
      <c r="W38" s="32"/>
      <c r="X38" s="7"/>
      <c r="Y38" s="7"/>
      <c r="Z38" s="7"/>
      <c r="AA38" s="7"/>
      <c r="AB38" s="7"/>
      <c r="AG38" s="7"/>
      <c r="AH38" s="7"/>
    </row>
    <row r="39" spans="1:34" x14ac:dyDescent="0.25">
      <c r="A39" s="58" t="str">
        <f>IF(COUNTA(DataColumns[[#This Row],[ColumnLabel]:[QualityCodeCV]])&gt;0,IF(MAX(A$12:A38)=0,1,MAX(A$12:A38)+1),"")</f>
        <v/>
      </c>
      <c r="B39" s="116"/>
      <c r="C39" s="11"/>
      <c r="D39" s="185"/>
      <c r="E39" s="230"/>
      <c r="F39" s="11"/>
      <c r="G39" s="11"/>
      <c r="H39" s="40"/>
      <c r="I39" s="11"/>
      <c r="J39" s="145"/>
      <c r="K39" s="116"/>
      <c r="L39" s="10"/>
      <c r="M39" s="11"/>
      <c r="N39" s="11"/>
      <c r="O39" s="11"/>
      <c r="P39" s="11"/>
      <c r="Q39" s="11"/>
      <c r="R39" s="11"/>
      <c r="S39" s="11"/>
      <c r="T39" s="22"/>
      <c r="U39" s="11"/>
      <c r="V39" s="11"/>
      <c r="W39" s="32"/>
      <c r="X39" s="7"/>
      <c r="Y39" s="7"/>
      <c r="Z39" s="7"/>
      <c r="AA39" s="7"/>
      <c r="AB39" s="7"/>
      <c r="AG39" s="7"/>
      <c r="AH39" s="7"/>
    </row>
    <row r="40" spans="1:34" x14ac:dyDescent="0.25">
      <c r="A40" s="58" t="str">
        <f>IF(COUNTA(DataColumns[[#This Row],[ColumnLabel]:[QualityCodeCV]])&gt;0,IF(MAX(A$12:A39)=0,1,MAX(A$12:A39)+1),"")</f>
        <v/>
      </c>
      <c r="B40" s="116"/>
      <c r="C40" s="11"/>
      <c r="D40" s="185"/>
      <c r="E40" s="230"/>
      <c r="F40" s="11"/>
      <c r="G40" s="11"/>
      <c r="H40" s="40"/>
      <c r="I40" s="11"/>
      <c r="J40" s="145"/>
      <c r="K40" s="116"/>
      <c r="L40" s="10"/>
      <c r="M40" s="11"/>
      <c r="N40" s="11"/>
      <c r="O40" s="11"/>
      <c r="P40" s="11"/>
      <c r="Q40" s="11"/>
      <c r="R40" s="11"/>
      <c r="S40" s="11"/>
      <c r="T40" s="22"/>
      <c r="U40" s="11"/>
      <c r="V40" s="11"/>
      <c r="W40" s="32"/>
      <c r="X40" s="7"/>
      <c r="Y40" s="7"/>
      <c r="Z40" s="7"/>
      <c r="AA40" s="7"/>
      <c r="AB40" s="7"/>
      <c r="AG40" s="7"/>
      <c r="AH40" s="7"/>
    </row>
    <row r="41" spans="1:34" x14ac:dyDescent="0.25">
      <c r="A41" s="58" t="str">
        <f>IF(COUNTA(DataColumns[[#This Row],[ColumnLabel]:[QualityCodeCV]])&gt;0,IF(MAX(A$12:A40)=0,1,MAX(A$12:A40)+1),"")</f>
        <v/>
      </c>
      <c r="B41" s="116"/>
      <c r="C41" s="11"/>
      <c r="D41" s="185"/>
      <c r="E41" s="230"/>
      <c r="F41" s="11"/>
      <c r="G41" s="11"/>
      <c r="H41" s="40"/>
      <c r="I41" s="11"/>
      <c r="J41" s="145"/>
      <c r="K41" s="116"/>
      <c r="L41" s="10"/>
      <c r="M41" s="11"/>
      <c r="N41" s="11"/>
      <c r="O41" s="11"/>
      <c r="P41" s="11"/>
      <c r="Q41" s="11"/>
      <c r="R41" s="11"/>
      <c r="S41" s="11"/>
      <c r="T41" s="22"/>
      <c r="U41" s="11"/>
      <c r="V41" s="11"/>
      <c r="W41" s="32"/>
      <c r="X41" s="7"/>
      <c r="Y41" s="7"/>
      <c r="Z41" s="7"/>
      <c r="AA41" s="7"/>
      <c r="AB41" s="7"/>
      <c r="AG41" s="7"/>
      <c r="AH41" s="7"/>
    </row>
    <row r="42" spans="1:34" x14ac:dyDescent="0.25">
      <c r="A42" s="58" t="str">
        <f>IF(COUNTA(DataColumns[[#This Row],[ColumnLabel]:[QualityCodeCV]])&gt;0,IF(MAX(A$12:A41)=0,1,MAX(A$12:A41)+1),"")</f>
        <v/>
      </c>
      <c r="B42" s="116"/>
      <c r="C42" s="11"/>
      <c r="D42" s="185"/>
      <c r="E42" s="230"/>
      <c r="F42" s="11"/>
      <c r="G42" s="11"/>
      <c r="H42" s="40"/>
      <c r="I42" s="11"/>
      <c r="J42" s="145"/>
      <c r="K42" s="116"/>
      <c r="L42" s="10"/>
      <c r="M42" s="11"/>
      <c r="N42" s="11"/>
      <c r="O42" s="11"/>
      <c r="P42" s="11"/>
      <c r="Q42" s="11"/>
      <c r="R42" s="11"/>
      <c r="S42" s="11"/>
      <c r="T42" s="22"/>
      <c r="U42" s="11"/>
      <c r="V42" s="11"/>
      <c r="W42" s="32"/>
      <c r="X42" s="7"/>
      <c r="Y42" s="7"/>
      <c r="Z42" s="7"/>
      <c r="AA42" s="7"/>
      <c r="AB42" s="7"/>
      <c r="AG42" s="7"/>
      <c r="AH42" s="7"/>
    </row>
    <row r="43" spans="1:34" x14ac:dyDescent="0.25">
      <c r="A43" s="58" t="str">
        <f>IF(COUNTA(DataColumns[[#This Row],[ColumnLabel]:[QualityCodeCV]])&gt;0,IF(MAX(A$12:A42)=0,1,MAX(A$12:A42)+1),"")</f>
        <v/>
      </c>
      <c r="B43" s="116"/>
      <c r="C43" s="11"/>
      <c r="D43" s="185"/>
      <c r="E43" s="230"/>
      <c r="F43" s="11"/>
      <c r="G43" s="11"/>
      <c r="H43" s="40"/>
      <c r="I43" s="11"/>
      <c r="J43" s="145"/>
      <c r="K43" s="116"/>
      <c r="L43" s="10"/>
      <c r="M43" s="11"/>
      <c r="N43" s="11"/>
      <c r="O43" s="11"/>
      <c r="P43" s="11"/>
      <c r="Q43" s="11"/>
      <c r="R43" s="11"/>
      <c r="S43" s="11"/>
      <c r="T43" s="22"/>
      <c r="U43" s="11"/>
      <c r="V43" s="11"/>
      <c r="W43" s="32"/>
      <c r="X43" s="7"/>
      <c r="Y43" s="7"/>
      <c r="Z43" s="7"/>
      <c r="AA43" s="7"/>
      <c r="AB43" s="7"/>
      <c r="AG43" s="7"/>
      <c r="AH43" s="7"/>
    </row>
    <row r="44" spans="1:34" x14ac:dyDescent="0.25">
      <c r="A44" s="58" t="str">
        <f>IF(COUNTA(DataColumns[[#This Row],[ColumnLabel]:[QualityCodeCV]])&gt;0,IF(MAX(A$12:A43)=0,1,MAX(A$12:A43)+1),"")</f>
        <v/>
      </c>
      <c r="B44" s="116"/>
      <c r="C44" s="11"/>
      <c r="D44" s="185"/>
      <c r="E44" s="230"/>
      <c r="F44" s="11"/>
      <c r="G44" s="11"/>
      <c r="H44" s="40"/>
      <c r="I44" s="11"/>
      <c r="J44" s="145"/>
      <c r="K44" s="116"/>
      <c r="L44" s="10"/>
      <c r="M44" s="11"/>
      <c r="N44" s="11"/>
      <c r="O44" s="11"/>
      <c r="P44" s="11"/>
      <c r="Q44" s="11"/>
      <c r="R44" s="11"/>
      <c r="S44" s="11"/>
      <c r="T44" s="22"/>
      <c r="U44" s="11"/>
      <c r="V44" s="11"/>
      <c r="W44" s="32"/>
      <c r="X44" s="7"/>
      <c r="Y44" s="7"/>
      <c r="Z44" s="7"/>
      <c r="AA44" s="7"/>
      <c r="AB44" s="7"/>
      <c r="AG44" s="7"/>
      <c r="AH44" s="7"/>
    </row>
    <row r="45" spans="1:34" x14ac:dyDescent="0.25">
      <c r="A45" s="58" t="str">
        <f>IF(COUNTA(DataColumns[[#This Row],[ColumnLabel]:[QualityCodeCV]])&gt;0,IF(MAX(A$12:A44)=0,1,MAX(A$12:A44)+1),"")</f>
        <v/>
      </c>
      <c r="B45" s="116"/>
      <c r="C45" s="11"/>
      <c r="D45" s="185"/>
      <c r="E45" s="230"/>
      <c r="F45" s="11"/>
      <c r="G45" s="11"/>
      <c r="H45" s="40"/>
      <c r="I45" s="11"/>
      <c r="J45" s="145"/>
      <c r="K45" s="116"/>
      <c r="L45" s="10"/>
      <c r="M45" s="11"/>
      <c r="N45" s="11"/>
      <c r="O45" s="11"/>
      <c r="P45" s="11"/>
      <c r="Q45" s="11"/>
      <c r="R45" s="11"/>
      <c r="S45" s="11"/>
      <c r="T45" s="22"/>
      <c r="U45" s="11"/>
      <c r="V45" s="11"/>
      <c r="W45" s="32"/>
      <c r="X45" s="7"/>
      <c r="Y45" s="7"/>
      <c r="Z45" s="7"/>
      <c r="AA45" s="7"/>
      <c r="AB45" s="7"/>
      <c r="AG45" s="7"/>
      <c r="AH45" s="7"/>
    </row>
    <row r="46" spans="1:34" x14ac:dyDescent="0.25">
      <c r="A46" s="58" t="str">
        <f>IF(COUNTA(DataColumns[[#This Row],[ColumnLabel]:[QualityCodeCV]])&gt;0,IF(MAX(A$12:A45)=0,1,MAX(A$12:A45)+1),"")</f>
        <v/>
      </c>
      <c r="B46" s="116"/>
      <c r="C46" s="11"/>
      <c r="D46" s="185"/>
      <c r="E46" s="230"/>
      <c r="F46" s="11"/>
      <c r="G46" s="11"/>
      <c r="H46" s="40"/>
      <c r="I46" s="11"/>
      <c r="J46" s="145"/>
      <c r="K46" s="116"/>
      <c r="L46" s="10"/>
      <c r="M46" s="11"/>
      <c r="N46" s="11"/>
      <c r="O46" s="11"/>
      <c r="P46" s="11"/>
      <c r="Q46" s="11"/>
      <c r="R46" s="11"/>
      <c r="S46" s="11"/>
      <c r="T46" s="22"/>
      <c r="U46" s="11"/>
      <c r="V46" s="11"/>
      <c r="W46" s="32"/>
      <c r="X46" s="7"/>
      <c r="Y46" s="7"/>
      <c r="Z46" s="7"/>
      <c r="AA46" s="7"/>
      <c r="AB46" s="7"/>
      <c r="AG46" s="7"/>
      <c r="AH46" s="7"/>
    </row>
    <row r="47" spans="1:34" x14ac:dyDescent="0.25">
      <c r="A47" s="58" t="str">
        <f>IF(COUNTA(DataColumns[[#This Row],[ColumnLabel]:[QualityCodeCV]])&gt;0,IF(MAX(A$12:A46)=0,1,MAX(A$12:A46)+1),"")</f>
        <v/>
      </c>
      <c r="B47" s="116"/>
      <c r="C47" s="11"/>
      <c r="D47" s="185"/>
      <c r="E47" s="230"/>
      <c r="F47" s="11"/>
      <c r="G47" s="11"/>
      <c r="H47" s="40"/>
      <c r="I47" s="11"/>
      <c r="J47" s="145"/>
      <c r="K47" s="116"/>
      <c r="L47" s="10"/>
      <c r="M47" s="11"/>
      <c r="N47" s="11"/>
      <c r="O47" s="11"/>
      <c r="P47" s="11"/>
      <c r="Q47" s="11"/>
      <c r="R47" s="11"/>
      <c r="S47" s="11"/>
      <c r="T47" s="22"/>
      <c r="U47" s="11"/>
      <c r="V47" s="11"/>
      <c r="W47" s="32"/>
      <c r="X47" s="7"/>
      <c r="Y47" s="7"/>
      <c r="Z47" s="7"/>
      <c r="AA47" s="7"/>
      <c r="AB47" s="7"/>
      <c r="AG47" s="7"/>
      <c r="AH47" s="7"/>
    </row>
    <row r="48" spans="1:34" x14ac:dyDescent="0.25">
      <c r="A48" s="58" t="str">
        <f>IF(COUNTA(DataColumns[[#This Row],[ColumnLabel]:[QualityCodeCV]])&gt;0,IF(MAX(A$12:A47)=0,1,MAX(A$12:A47)+1),"")</f>
        <v/>
      </c>
      <c r="B48" s="116"/>
      <c r="C48" s="11"/>
      <c r="D48" s="185"/>
      <c r="E48" s="230"/>
      <c r="F48" s="11"/>
      <c r="G48" s="11"/>
      <c r="H48" s="40"/>
      <c r="I48" s="11"/>
      <c r="J48" s="145"/>
      <c r="K48" s="116"/>
      <c r="L48" s="10"/>
      <c r="M48" s="11"/>
      <c r="N48" s="11"/>
      <c r="O48" s="11"/>
      <c r="P48" s="11"/>
      <c r="Q48" s="11"/>
      <c r="R48" s="11"/>
      <c r="S48" s="11"/>
      <c r="T48" s="22"/>
      <c r="U48" s="11"/>
      <c r="V48" s="11"/>
      <c r="W48" s="32"/>
      <c r="X48" s="7"/>
      <c r="Y48" s="7"/>
      <c r="Z48" s="7"/>
      <c r="AA48" s="7"/>
      <c r="AB48" s="7"/>
      <c r="AG48" s="7"/>
      <c r="AH48" s="7"/>
    </row>
    <row r="49" spans="1:34" x14ac:dyDescent="0.25">
      <c r="A49" s="58" t="str">
        <f>IF(COUNTA(DataColumns[[#This Row],[ColumnLabel]:[QualityCodeCV]])&gt;0,IF(MAX(A$12:A48)=0,1,MAX(A$12:A48)+1),"")</f>
        <v/>
      </c>
      <c r="B49" s="116"/>
      <c r="C49" s="11"/>
      <c r="D49" s="185"/>
      <c r="E49" s="230"/>
      <c r="F49" s="11"/>
      <c r="G49" s="11"/>
      <c r="H49" s="40"/>
      <c r="I49" s="11"/>
      <c r="J49" s="145"/>
      <c r="K49" s="116"/>
      <c r="L49" s="10"/>
      <c r="M49" s="11"/>
      <c r="N49" s="11"/>
      <c r="O49" s="11"/>
      <c r="P49" s="11"/>
      <c r="Q49" s="11"/>
      <c r="R49" s="11"/>
      <c r="S49" s="11"/>
      <c r="T49" s="22"/>
      <c r="U49" s="11"/>
      <c r="V49" s="11"/>
      <c r="W49" s="32"/>
      <c r="X49" s="7"/>
      <c r="Y49" s="7"/>
      <c r="Z49" s="7"/>
      <c r="AA49" s="7"/>
      <c r="AB49" s="7"/>
      <c r="AG49" s="7"/>
      <c r="AH49" s="7"/>
    </row>
    <row r="50" spans="1:34" x14ac:dyDescent="0.25">
      <c r="A50" s="58" t="str">
        <f>IF(COUNTA(DataColumns[[#This Row],[ColumnLabel]:[QualityCodeCV]])&gt;0,IF(MAX(A$12:A49)=0,1,MAX(A$12:A49)+1),"")</f>
        <v/>
      </c>
      <c r="B50" s="116"/>
      <c r="C50" s="11"/>
      <c r="D50" s="185"/>
      <c r="E50" s="230"/>
      <c r="F50" s="11"/>
      <c r="G50" s="11"/>
      <c r="H50" s="40"/>
      <c r="I50" s="11"/>
      <c r="J50" s="145"/>
      <c r="K50" s="116"/>
      <c r="L50" s="10"/>
      <c r="M50" s="11"/>
      <c r="N50" s="11"/>
      <c r="O50" s="11"/>
      <c r="P50" s="11"/>
      <c r="Q50" s="11"/>
      <c r="R50" s="11"/>
      <c r="S50" s="11"/>
      <c r="T50" s="22"/>
      <c r="U50" s="11"/>
      <c r="V50" s="11"/>
      <c r="W50" s="32"/>
      <c r="X50" s="7"/>
      <c r="Y50" s="7"/>
      <c r="Z50" s="7"/>
      <c r="AA50" s="7"/>
      <c r="AB50" s="7"/>
      <c r="AG50" s="7"/>
      <c r="AH50" s="7"/>
    </row>
    <row r="51" spans="1:34" x14ac:dyDescent="0.25">
      <c r="A51" s="58" t="str">
        <f>IF(COUNTA(DataColumns[[#This Row],[ColumnLabel]:[QualityCodeCV]])&gt;0,IF(MAX(A$12:A50)=0,1,MAX(A$12:A50)+1),"")</f>
        <v/>
      </c>
      <c r="B51" s="116"/>
      <c r="C51" s="11"/>
      <c r="D51" s="185"/>
      <c r="E51" s="230"/>
      <c r="F51" s="11"/>
      <c r="G51" s="11"/>
      <c r="H51" s="40"/>
      <c r="I51" s="11"/>
      <c r="J51" s="145"/>
      <c r="K51" s="116"/>
      <c r="L51" s="10"/>
      <c r="M51" s="11"/>
      <c r="N51" s="11"/>
      <c r="O51" s="11"/>
      <c r="P51" s="11"/>
      <c r="Q51" s="11"/>
      <c r="R51" s="11"/>
      <c r="S51" s="11"/>
      <c r="T51" s="22"/>
      <c r="U51" s="11"/>
      <c r="V51" s="11"/>
      <c r="W51" s="32"/>
      <c r="X51" s="7"/>
      <c r="Y51" s="7"/>
      <c r="Z51" s="7"/>
      <c r="AA51" s="7"/>
      <c r="AB51" s="7"/>
      <c r="AG51" s="7"/>
      <c r="AH51" s="7"/>
    </row>
    <row r="52" spans="1:34" x14ac:dyDescent="0.25">
      <c r="A52" s="58" t="str">
        <f>IF(COUNTA(DataColumns[[#This Row],[ColumnLabel]:[QualityCodeCV]])&gt;0,IF(MAX(A$12:A51)=0,1,MAX(A$12:A51)+1),"")</f>
        <v/>
      </c>
      <c r="B52" s="116"/>
      <c r="C52" s="11"/>
      <c r="D52" s="185"/>
      <c r="E52" s="230"/>
      <c r="F52" s="11"/>
      <c r="G52" s="11"/>
      <c r="H52" s="40"/>
      <c r="I52" s="11"/>
      <c r="J52" s="145"/>
      <c r="K52" s="116"/>
      <c r="L52" s="10"/>
      <c r="M52" s="11"/>
      <c r="N52" s="11"/>
      <c r="O52" s="11"/>
      <c r="P52" s="11"/>
      <c r="Q52" s="11"/>
      <c r="R52" s="11"/>
      <c r="S52" s="11"/>
      <c r="T52" s="22"/>
      <c r="U52" s="11"/>
      <c r="V52" s="11"/>
      <c r="W52" s="32"/>
      <c r="X52" s="7"/>
      <c r="Y52" s="7"/>
      <c r="Z52" s="7"/>
      <c r="AA52" s="7"/>
      <c r="AB52" s="7"/>
      <c r="AG52" s="7"/>
      <c r="AH52" s="7"/>
    </row>
    <row r="53" spans="1:34" x14ac:dyDescent="0.25">
      <c r="A53" s="58" t="str">
        <f>IF(COUNTA(DataColumns[[#This Row],[ColumnLabel]:[QualityCodeCV]])&gt;0,IF(MAX(A$12:A52)=0,1,MAX(A$12:A52)+1),"")</f>
        <v/>
      </c>
      <c r="B53" s="116"/>
      <c r="C53" s="11"/>
      <c r="D53" s="185"/>
      <c r="E53" s="230"/>
      <c r="F53" s="11"/>
      <c r="G53" s="11"/>
      <c r="H53" s="40"/>
      <c r="I53" s="11"/>
      <c r="J53" s="145"/>
      <c r="K53" s="116"/>
      <c r="L53" s="10"/>
      <c r="M53" s="11"/>
      <c r="N53" s="11"/>
      <c r="O53" s="11"/>
      <c r="P53" s="11"/>
      <c r="Q53" s="11"/>
      <c r="R53" s="11"/>
      <c r="S53" s="11"/>
      <c r="T53" s="22"/>
      <c r="U53" s="11"/>
      <c r="V53" s="11"/>
      <c r="W53" s="32"/>
      <c r="X53" s="7"/>
      <c r="Y53" s="7"/>
      <c r="Z53" s="7"/>
      <c r="AA53" s="7"/>
      <c r="AB53" s="7"/>
      <c r="AG53" s="7"/>
      <c r="AH53" s="7"/>
    </row>
    <row r="54" spans="1:34" x14ac:dyDescent="0.25">
      <c r="A54" s="58" t="str">
        <f>IF(COUNTA(DataColumns[[#This Row],[ColumnLabel]:[QualityCodeCV]])&gt;0,IF(MAX(A$12:A53)=0,1,MAX(A$12:A53)+1),"")</f>
        <v/>
      </c>
      <c r="B54" s="116"/>
      <c r="C54" s="11"/>
      <c r="D54" s="185"/>
      <c r="E54" s="230"/>
      <c r="F54" s="11"/>
      <c r="G54" s="11"/>
      <c r="H54" s="40"/>
      <c r="I54" s="11"/>
      <c r="J54" s="145"/>
      <c r="K54" s="116"/>
      <c r="L54" s="10"/>
      <c r="M54" s="11"/>
      <c r="N54" s="11"/>
      <c r="O54" s="11"/>
      <c r="P54" s="11"/>
      <c r="Q54" s="11"/>
      <c r="R54" s="11"/>
      <c r="S54" s="11"/>
      <c r="T54" s="22"/>
      <c r="U54" s="11"/>
      <c r="V54" s="11"/>
      <c r="W54" s="32"/>
      <c r="X54" s="7"/>
      <c r="Y54" s="7"/>
      <c r="Z54" s="7"/>
      <c r="AA54" s="7"/>
      <c r="AB54" s="7"/>
      <c r="AG54" s="7"/>
      <c r="AH54" s="7"/>
    </row>
    <row r="55" spans="1:34" x14ac:dyDescent="0.25">
      <c r="A55" s="58" t="str">
        <f>IF(COUNTA(DataColumns[[#This Row],[ColumnLabel]:[QualityCodeCV]])&gt;0,IF(MAX(A$12:A54)=0,1,MAX(A$12:A54)+1),"")</f>
        <v/>
      </c>
      <c r="B55" s="116"/>
      <c r="C55" s="11"/>
      <c r="D55" s="185"/>
      <c r="E55" s="230"/>
      <c r="F55" s="11"/>
      <c r="G55" s="11"/>
      <c r="H55" s="40"/>
      <c r="I55" s="11"/>
      <c r="J55" s="145"/>
      <c r="K55" s="116"/>
      <c r="L55" s="10"/>
      <c r="M55" s="11"/>
      <c r="N55" s="11"/>
      <c r="O55" s="11"/>
      <c r="P55" s="11"/>
      <c r="Q55" s="11"/>
      <c r="R55" s="11"/>
      <c r="S55" s="11"/>
      <c r="T55" s="22"/>
      <c r="U55" s="11"/>
      <c r="V55" s="11"/>
      <c r="W55" s="32"/>
      <c r="X55" s="7"/>
      <c r="Y55" s="7"/>
      <c r="Z55" s="7"/>
      <c r="AA55" s="7"/>
      <c r="AB55" s="7"/>
      <c r="AG55" s="7"/>
      <c r="AH55" s="7"/>
    </row>
    <row r="56" spans="1:34" x14ac:dyDescent="0.25">
      <c r="A56" s="58" t="str">
        <f>IF(COUNTA(DataColumns[[#This Row],[ColumnLabel]:[QualityCodeCV]])&gt;0,IF(MAX(A$12:A55)=0,1,MAX(A$12:A55)+1),"")</f>
        <v/>
      </c>
      <c r="B56" s="116"/>
      <c r="C56" s="11"/>
      <c r="D56" s="185"/>
      <c r="E56" s="230"/>
      <c r="F56" s="11"/>
      <c r="G56" s="11"/>
      <c r="H56" s="40"/>
      <c r="I56" s="11"/>
      <c r="J56" s="145"/>
      <c r="K56" s="116"/>
      <c r="L56" s="10"/>
      <c r="M56" s="11"/>
      <c r="N56" s="11"/>
      <c r="O56" s="11"/>
      <c r="P56" s="11"/>
      <c r="Q56" s="11"/>
      <c r="R56" s="11"/>
      <c r="S56" s="11"/>
      <c r="T56" s="22"/>
      <c r="U56" s="11"/>
      <c r="V56" s="11"/>
      <c r="W56" s="32"/>
      <c r="X56" s="7"/>
      <c r="Y56" s="7"/>
      <c r="Z56" s="7"/>
      <c r="AA56" s="7"/>
      <c r="AB56" s="7"/>
      <c r="AG56" s="7"/>
      <c r="AH56" s="7"/>
    </row>
    <row r="57" spans="1:34" x14ac:dyDescent="0.25">
      <c r="A57" s="58" t="str">
        <f>IF(COUNTA(DataColumns[[#This Row],[ColumnLabel]:[QualityCodeCV]])&gt;0,IF(MAX(A$12:A56)=0,1,MAX(A$12:A56)+1),"")</f>
        <v/>
      </c>
      <c r="B57" s="116"/>
      <c r="C57" s="11"/>
      <c r="D57" s="185"/>
      <c r="E57" s="230"/>
      <c r="F57" s="11"/>
      <c r="G57" s="11"/>
      <c r="H57" s="40"/>
      <c r="I57" s="11"/>
      <c r="J57" s="145"/>
      <c r="K57" s="116"/>
      <c r="L57" s="10"/>
      <c r="M57" s="11"/>
      <c r="N57" s="11"/>
      <c r="O57" s="11"/>
      <c r="P57" s="11"/>
      <c r="Q57" s="11"/>
      <c r="R57" s="11"/>
      <c r="S57" s="11"/>
      <c r="T57" s="22"/>
      <c r="U57" s="11"/>
      <c r="V57" s="11"/>
      <c r="W57" s="32"/>
      <c r="X57" s="7"/>
      <c r="Y57" s="7"/>
      <c r="Z57" s="7"/>
      <c r="AA57" s="7"/>
      <c r="AB57" s="7"/>
      <c r="AG57" s="7"/>
      <c r="AH57" s="7"/>
    </row>
    <row r="58" spans="1:34" x14ac:dyDescent="0.25">
      <c r="A58" s="58" t="str">
        <f>IF(COUNTA(DataColumns[[#This Row],[ColumnLabel]:[QualityCodeCV]])&gt;0,IF(MAX(A$12:A57)=0,1,MAX(A$12:A57)+1),"")</f>
        <v/>
      </c>
      <c r="B58" s="116"/>
      <c r="C58" s="11"/>
      <c r="D58" s="185"/>
      <c r="E58" s="230"/>
      <c r="F58" s="11"/>
      <c r="G58" s="11"/>
      <c r="H58" s="40"/>
      <c r="I58" s="11"/>
      <c r="J58" s="145"/>
      <c r="K58" s="116"/>
      <c r="L58" s="10"/>
      <c r="M58" s="11"/>
      <c r="N58" s="11"/>
      <c r="O58" s="11"/>
      <c r="P58" s="11"/>
      <c r="Q58" s="11"/>
      <c r="R58" s="11"/>
      <c r="S58" s="11"/>
      <c r="T58" s="22"/>
      <c r="U58" s="11"/>
      <c r="V58" s="11"/>
      <c r="W58" s="32"/>
      <c r="X58" s="7"/>
      <c r="Y58" s="7"/>
      <c r="Z58" s="7"/>
      <c r="AA58" s="7"/>
      <c r="AB58" s="7"/>
      <c r="AG58" s="7"/>
      <c r="AH58" s="7"/>
    </row>
    <row r="59" spans="1:34" x14ac:dyDescent="0.25">
      <c r="A59" s="58" t="str">
        <f>IF(COUNTA(DataColumns[[#This Row],[ColumnLabel]:[QualityCodeCV]])&gt;0,IF(MAX(A$12:A58)=0,1,MAX(A$12:A58)+1),"")</f>
        <v/>
      </c>
      <c r="B59" s="116"/>
      <c r="C59" s="11"/>
      <c r="D59" s="185"/>
      <c r="E59" s="230"/>
      <c r="F59" s="11"/>
      <c r="G59" s="11"/>
      <c r="H59" s="40"/>
      <c r="I59" s="11"/>
      <c r="J59" s="145"/>
      <c r="K59" s="116"/>
      <c r="L59" s="10"/>
      <c r="M59" s="11"/>
      <c r="N59" s="11"/>
      <c r="O59" s="11"/>
      <c r="P59" s="11"/>
      <c r="Q59" s="11"/>
      <c r="R59" s="11"/>
      <c r="S59" s="11"/>
      <c r="T59" s="22"/>
      <c r="U59" s="11"/>
      <c r="V59" s="11"/>
      <c r="W59" s="32"/>
      <c r="X59" s="7"/>
      <c r="Y59" s="7"/>
      <c r="Z59" s="7"/>
      <c r="AA59" s="7"/>
      <c r="AB59" s="7"/>
      <c r="AG59" s="7"/>
      <c r="AH59" s="7"/>
    </row>
    <row r="60" spans="1:34" x14ac:dyDescent="0.25">
      <c r="A60" s="58" t="str">
        <f>IF(COUNTA(DataColumns[[#This Row],[ColumnLabel]:[QualityCodeCV]])&gt;0,IF(MAX(A$12:A59)=0,1,MAX(A$12:A59)+1),"")</f>
        <v/>
      </c>
      <c r="B60" s="116"/>
      <c r="C60" s="11"/>
      <c r="D60" s="185"/>
      <c r="E60" s="230"/>
      <c r="F60" s="11"/>
      <c r="G60" s="11"/>
      <c r="H60" s="40"/>
      <c r="I60" s="11"/>
      <c r="J60" s="145"/>
      <c r="K60" s="116"/>
      <c r="L60" s="10"/>
      <c r="M60" s="11"/>
      <c r="N60" s="11"/>
      <c r="O60" s="11"/>
      <c r="P60" s="11"/>
      <c r="Q60" s="11"/>
      <c r="R60" s="11"/>
      <c r="S60" s="11"/>
      <c r="T60" s="22"/>
      <c r="U60" s="11"/>
      <c r="V60" s="11"/>
      <c r="W60" s="32"/>
      <c r="X60" s="7"/>
      <c r="Y60" s="7"/>
      <c r="Z60" s="7"/>
      <c r="AA60" s="7"/>
      <c r="AB60" s="7"/>
      <c r="AG60" s="7"/>
      <c r="AH60" s="7"/>
    </row>
    <row r="61" spans="1:34" x14ac:dyDescent="0.25">
      <c r="A61" s="58" t="str">
        <f>IF(COUNTA(DataColumns[[#This Row],[ColumnLabel]:[QualityCodeCV]])&gt;0,IF(MAX(A$12:A60)=0,1,MAX(A$12:A60)+1),"")</f>
        <v/>
      </c>
      <c r="B61" s="116"/>
      <c r="C61" s="11"/>
      <c r="D61" s="185"/>
      <c r="E61" s="230"/>
      <c r="F61" s="11"/>
      <c r="G61" s="11"/>
      <c r="H61" s="40"/>
      <c r="I61" s="11"/>
      <c r="J61" s="145"/>
      <c r="K61" s="116"/>
      <c r="L61" s="10"/>
      <c r="M61" s="11"/>
      <c r="N61" s="11"/>
      <c r="O61" s="11"/>
      <c r="P61" s="11"/>
      <c r="Q61" s="11"/>
      <c r="R61" s="11"/>
      <c r="S61" s="11"/>
      <c r="T61" s="22"/>
      <c r="U61" s="11"/>
      <c r="V61" s="11"/>
      <c r="W61" s="32"/>
      <c r="X61" s="7"/>
      <c r="Y61" s="7"/>
      <c r="Z61" s="7"/>
      <c r="AA61" s="7"/>
      <c r="AB61" s="7"/>
      <c r="AG61" s="7"/>
      <c r="AH61" s="7"/>
    </row>
    <row r="62" spans="1:34" x14ac:dyDescent="0.25">
      <c r="A62" s="58" t="str">
        <f>IF(COUNTA(DataColumns[[#This Row],[ColumnLabel]:[QualityCodeCV]])&gt;0,IF(MAX(A$12:A61)=0,1,MAX(A$12:A61)+1),"")</f>
        <v/>
      </c>
      <c r="B62" s="116"/>
      <c r="C62" s="11"/>
      <c r="D62" s="185"/>
      <c r="E62" s="230"/>
      <c r="F62" s="11"/>
      <c r="G62" s="11"/>
      <c r="H62" s="40"/>
      <c r="I62" s="11"/>
      <c r="J62" s="145"/>
      <c r="K62" s="116"/>
      <c r="L62" s="10"/>
      <c r="M62" s="11"/>
      <c r="N62" s="11"/>
      <c r="O62" s="11"/>
      <c r="P62" s="11"/>
      <c r="Q62" s="11"/>
      <c r="R62" s="11"/>
      <c r="S62" s="11"/>
      <c r="T62" s="22"/>
      <c r="U62" s="11"/>
      <c r="V62" s="11"/>
      <c r="W62" s="32"/>
      <c r="X62" s="7"/>
      <c r="Y62" s="7"/>
      <c r="Z62" s="7"/>
      <c r="AA62" s="7"/>
      <c r="AB62" s="7"/>
      <c r="AG62" s="7"/>
      <c r="AH62" s="7"/>
    </row>
    <row r="63" spans="1:34" x14ac:dyDescent="0.25">
      <c r="A63" s="58" t="str">
        <f>IF(COUNTA(DataColumns[[#This Row],[ColumnLabel]:[QualityCodeCV]])&gt;0,IF(MAX(A$12:A62)=0,1,MAX(A$12:A62)+1),"")</f>
        <v/>
      </c>
      <c r="B63" s="116"/>
      <c r="C63" s="11"/>
      <c r="D63" s="185"/>
      <c r="E63" s="230"/>
      <c r="F63" s="11"/>
      <c r="G63" s="11"/>
      <c r="H63" s="40"/>
      <c r="I63" s="11"/>
      <c r="J63" s="145"/>
      <c r="K63" s="116"/>
      <c r="L63" s="10"/>
      <c r="M63" s="11"/>
      <c r="N63" s="11"/>
      <c r="O63" s="11"/>
      <c r="P63" s="11"/>
      <c r="Q63" s="11"/>
      <c r="R63" s="11"/>
      <c r="S63" s="11"/>
      <c r="T63" s="22"/>
      <c r="U63" s="11"/>
      <c r="V63" s="11"/>
      <c r="W63" s="32"/>
      <c r="X63" s="7"/>
      <c r="Y63" s="7"/>
      <c r="Z63" s="7"/>
      <c r="AA63" s="7"/>
      <c r="AB63" s="7"/>
      <c r="AG63" s="7"/>
      <c r="AH63" s="7"/>
    </row>
    <row r="64" spans="1:34" x14ac:dyDescent="0.25">
      <c r="A64" s="58" t="str">
        <f>IF(COUNTA(DataColumns[[#This Row],[ColumnLabel]:[QualityCodeCV]])&gt;0,IF(MAX(A$12:A63)=0,1,MAX(A$12:A63)+1),"")</f>
        <v/>
      </c>
      <c r="B64" s="116"/>
      <c r="C64" s="11"/>
      <c r="D64" s="185"/>
      <c r="E64" s="230"/>
      <c r="F64" s="11"/>
      <c r="G64" s="11"/>
      <c r="H64" s="40"/>
      <c r="I64" s="11"/>
      <c r="J64" s="145"/>
      <c r="K64" s="116"/>
      <c r="L64" s="10"/>
      <c r="M64" s="11"/>
      <c r="N64" s="11"/>
      <c r="O64" s="11"/>
      <c r="P64" s="11"/>
      <c r="Q64" s="11"/>
      <c r="R64" s="11"/>
      <c r="S64" s="11"/>
      <c r="T64" s="22"/>
      <c r="U64" s="11"/>
      <c r="V64" s="11"/>
      <c r="W64" s="32"/>
      <c r="X64" s="7"/>
      <c r="Y64" s="7"/>
      <c r="Z64" s="7"/>
      <c r="AA64" s="7"/>
      <c r="AB64" s="7"/>
      <c r="AG64" s="7"/>
      <c r="AH64" s="7"/>
    </row>
    <row r="65" spans="1:34" x14ac:dyDescent="0.25">
      <c r="A65" s="58" t="str">
        <f>IF(COUNTA(DataColumns[[#This Row],[ColumnLabel]:[QualityCodeCV]])&gt;0,IF(MAX(A$12:A64)=0,1,MAX(A$12:A64)+1),"")</f>
        <v/>
      </c>
      <c r="B65" s="116"/>
      <c r="C65" s="11"/>
      <c r="D65" s="185"/>
      <c r="E65" s="230"/>
      <c r="F65" s="11"/>
      <c r="G65" s="11"/>
      <c r="H65" s="40"/>
      <c r="I65" s="11"/>
      <c r="J65" s="145"/>
      <c r="K65" s="116"/>
      <c r="L65" s="10"/>
      <c r="M65" s="11"/>
      <c r="N65" s="11"/>
      <c r="O65" s="11"/>
      <c r="P65" s="11"/>
      <c r="Q65" s="11"/>
      <c r="R65" s="11"/>
      <c r="S65" s="11"/>
      <c r="T65" s="22"/>
      <c r="U65" s="11"/>
      <c r="V65" s="11"/>
      <c r="W65" s="32"/>
      <c r="X65" s="7"/>
      <c r="Y65" s="7"/>
      <c r="Z65" s="7"/>
      <c r="AA65" s="7"/>
      <c r="AB65" s="7"/>
      <c r="AG65" s="7"/>
      <c r="AH65" s="7"/>
    </row>
    <row r="66" spans="1:34" x14ac:dyDescent="0.25">
      <c r="A66" s="58" t="str">
        <f>IF(COUNTA(DataColumns[[#This Row],[ColumnLabel]:[QualityCodeCV]])&gt;0,IF(MAX(A$12:A65)=0,1,MAX(A$12:A65)+1),"")</f>
        <v/>
      </c>
      <c r="B66" s="116"/>
      <c r="C66" s="11"/>
      <c r="D66" s="185"/>
      <c r="E66" s="230"/>
      <c r="F66" s="11"/>
      <c r="G66" s="11"/>
      <c r="H66" s="40"/>
      <c r="I66" s="11"/>
      <c r="J66" s="145"/>
      <c r="K66" s="116"/>
      <c r="L66" s="10"/>
      <c r="M66" s="11"/>
      <c r="N66" s="11"/>
      <c r="O66" s="11"/>
      <c r="P66" s="11"/>
      <c r="Q66" s="11"/>
      <c r="R66" s="11"/>
      <c r="S66" s="11"/>
      <c r="T66" s="22"/>
      <c r="U66" s="11"/>
      <c r="V66" s="11"/>
      <c r="W66" s="32"/>
      <c r="X66" s="7"/>
      <c r="Y66" s="7"/>
      <c r="Z66" s="7"/>
      <c r="AA66" s="7"/>
      <c r="AB66" s="7"/>
      <c r="AG66" s="7"/>
      <c r="AH66" s="7"/>
    </row>
    <row r="67" spans="1:34" x14ac:dyDescent="0.25">
      <c r="A67" s="58" t="str">
        <f>IF(COUNTA(DataColumns[[#This Row],[ColumnLabel]:[QualityCodeCV]])&gt;0,IF(MAX(A$12:A66)=0,1,MAX(A$12:A66)+1),"")</f>
        <v/>
      </c>
      <c r="B67" s="116"/>
      <c r="C67" s="11"/>
      <c r="D67" s="185"/>
      <c r="E67" s="230"/>
      <c r="F67" s="11"/>
      <c r="G67" s="11"/>
      <c r="H67" s="40"/>
      <c r="I67" s="11"/>
      <c r="J67" s="145"/>
      <c r="K67" s="116"/>
      <c r="L67" s="10"/>
      <c r="M67" s="11"/>
      <c r="N67" s="11"/>
      <c r="O67" s="11"/>
      <c r="P67" s="11"/>
      <c r="Q67" s="11"/>
      <c r="R67" s="11"/>
      <c r="S67" s="11"/>
      <c r="T67" s="22"/>
      <c r="U67" s="11"/>
      <c r="V67" s="11"/>
      <c r="W67" s="32"/>
      <c r="X67" s="7"/>
      <c r="Y67" s="7"/>
      <c r="Z67" s="7"/>
      <c r="AA67" s="7"/>
      <c r="AB67" s="7"/>
      <c r="AG67" s="7"/>
      <c r="AH67" s="7"/>
    </row>
    <row r="68" spans="1:34" x14ac:dyDescent="0.25">
      <c r="A68" s="58" t="str">
        <f>IF(COUNTA(DataColumns[[#This Row],[ColumnLabel]:[QualityCodeCV]])&gt;0,IF(MAX(A$12:A67)=0,1,MAX(A$12:A67)+1),"")</f>
        <v/>
      </c>
      <c r="B68" s="116"/>
      <c r="C68" s="11"/>
      <c r="D68" s="185"/>
      <c r="E68" s="230"/>
      <c r="F68" s="11"/>
      <c r="G68" s="11"/>
      <c r="H68" s="40"/>
      <c r="I68" s="11"/>
      <c r="J68" s="145"/>
      <c r="K68" s="116"/>
      <c r="L68" s="10"/>
      <c r="M68" s="11"/>
      <c r="N68" s="11"/>
      <c r="O68" s="11"/>
      <c r="P68" s="11"/>
      <c r="Q68" s="11"/>
      <c r="R68" s="11"/>
      <c r="S68" s="11"/>
      <c r="T68" s="22"/>
      <c r="U68" s="11"/>
      <c r="V68" s="11"/>
      <c r="W68" s="32"/>
      <c r="X68" s="7"/>
      <c r="Y68" s="7"/>
      <c r="Z68" s="7"/>
      <c r="AA68" s="7"/>
      <c r="AB68" s="7"/>
      <c r="AG68" s="7"/>
      <c r="AH68" s="7"/>
    </row>
    <row r="69" spans="1:34" x14ac:dyDescent="0.25">
      <c r="A69" s="58" t="str">
        <f>IF(COUNTA(DataColumns[[#This Row],[ColumnLabel]:[QualityCodeCV]])&gt;0,IF(MAX(A$12:A68)=0,1,MAX(A$12:A68)+1),"")</f>
        <v/>
      </c>
      <c r="B69" s="116"/>
      <c r="C69" s="11"/>
      <c r="D69" s="185"/>
      <c r="E69" s="230"/>
      <c r="F69" s="11"/>
      <c r="G69" s="11"/>
      <c r="H69" s="40"/>
      <c r="I69" s="11"/>
      <c r="J69" s="145"/>
      <c r="K69" s="116"/>
      <c r="L69" s="10"/>
      <c r="M69" s="11"/>
      <c r="N69" s="11"/>
      <c r="O69" s="11"/>
      <c r="P69" s="11"/>
      <c r="Q69" s="11"/>
      <c r="R69" s="11"/>
      <c r="S69" s="11"/>
      <c r="T69" s="22"/>
      <c r="U69" s="11"/>
      <c r="V69" s="11"/>
      <c r="W69" s="32"/>
      <c r="X69" s="7"/>
      <c r="Y69" s="7"/>
      <c r="Z69" s="7"/>
      <c r="AA69" s="7"/>
      <c r="AB69" s="7"/>
      <c r="AG69" s="7"/>
      <c r="AH69" s="7"/>
    </row>
    <row r="70" spans="1:34" x14ac:dyDescent="0.25">
      <c r="A70" s="58" t="str">
        <f>IF(COUNTA(DataColumns[[#This Row],[ColumnLabel]:[QualityCodeCV]])&gt;0,IF(MAX(A$12:A69)=0,1,MAX(A$12:A69)+1),"")</f>
        <v/>
      </c>
      <c r="B70" s="116"/>
      <c r="C70" s="11"/>
      <c r="D70" s="185"/>
      <c r="E70" s="230"/>
      <c r="F70" s="11"/>
      <c r="G70" s="11"/>
      <c r="H70" s="40"/>
      <c r="I70" s="11"/>
      <c r="J70" s="145"/>
      <c r="K70" s="116"/>
      <c r="L70" s="10"/>
      <c r="M70" s="11"/>
      <c r="N70" s="11"/>
      <c r="O70" s="11"/>
      <c r="P70" s="11"/>
      <c r="Q70" s="11"/>
      <c r="R70" s="11"/>
      <c r="S70" s="11"/>
      <c r="T70" s="22"/>
      <c r="U70" s="11"/>
      <c r="V70" s="11"/>
      <c r="W70" s="32"/>
      <c r="X70" s="7"/>
      <c r="Y70" s="7"/>
      <c r="Z70" s="7"/>
      <c r="AA70" s="7"/>
      <c r="AB70" s="7"/>
      <c r="AG70" s="7"/>
      <c r="AH70" s="7"/>
    </row>
    <row r="71" spans="1:34" x14ac:dyDescent="0.25">
      <c r="A71" s="58" t="str">
        <f>IF(COUNTA(DataColumns[[#This Row],[ColumnLabel]:[QualityCodeCV]])&gt;0,IF(MAX(A$12:A70)=0,1,MAX(A$12:A70)+1),"")</f>
        <v/>
      </c>
      <c r="B71" s="116"/>
      <c r="C71" s="11"/>
      <c r="D71" s="185"/>
      <c r="E71" s="230"/>
      <c r="F71" s="11"/>
      <c r="G71" s="11"/>
      <c r="H71" s="40"/>
      <c r="I71" s="11"/>
      <c r="J71" s="145"/>
      <c r="K71" s="116"/>
      <c r="L71" s="10"/>
      <c r="M71" s="11"/>
      <c r="N71" s="11"/>
      <c r="O71" s="11"/>
      <c r="P71" s="11"/>
      <c r="Q71" s="11"/>
      <c r="R71" s="11"/>
      <c r="S71" s="11"/>
      <c r="T71" s="22"/>
      <c r="U71" s="11"/>
      <c r="V71" s="11"/>
      <c r="W71" s="32"/>
      <c r="X71" s="7"/>
      <c r="Y71" s="7"/>
      <c r="Z71" s="7"/>
      <c r="AA71" s="7"/>
      <c r="AB71" s="7"/>
      <c r="AG71" s="7"/>
      <c r="AH71" s="7"/>
    </row>
    <row r="72" spans="1:34" x14ac:dyDescent="0.25">
      <c r="A72" s="58" t="str">
        <f>IF(COUNTA(DataColumns[[#This Row],[ColumnLabel]:[QualityCodeCV]])&gt;0,IF(MAX(A$12:A71)=0,1,MAX(A$12:A71)+1),"")</f>
        <v/>
      </c>
      <c r="B72" s="116"/>
      <c r="C72" s="11"/>
      <c r="D72" s="185"/>
      <c r="E72" s="230"/>
      <c r="F72" s="11"/>
      <c r="G72" s="11"/>
      <c r="H72" s="40"/>
      <c r="I72" s="11"/>
      <c r="J72" s="145"/>
      <c r="K72" s="116"/>
      <c r="L72" s="10"/>
      <c r="M72" s="11"/>
      <c r="N72" s="11"/>
      <c r="O72" s="11"/>
      <c r="P72" s="11"/>
      <c r="Q72" s="11"/>
      <c r="R72" s="11"/>
      <c r="S72" s="11"/>
      <c r="T72" s="22"/>
      <c r="U72" s="11"/>
      <c r="V72" s="11"/>
      <c r="W72" s="32"/>
      <c r="X72" s="7"/>
      <c r="Y72" s="7"/>
      <c r="Z72" s="7"/>
      <c r="AA72" s="7"/>
      <c r="AB72" s="7"/>
      <c r="AG72" s="7"/>
      <c r="AH72" s="7"/>
    </row>
    <row r="73" spans="1:34" x14ac:dyDescent="0.25">
      <c r="A73" s="58" t="str">
        <f>IF(COUNTA(DataColumns[[#This Row],[ColumnLabel]:[QualityCodeCV]])&gt;0,IF(MAX(A$12:A72)=0,1,MAX(A$12:A72)+1),"")</f>
        <v/>
      </c>
      <c r="B73" s="116"/>
      <c r="C73" s="11"/>
      <c r="D73" s="185"/>
      <c r="E73" s="230"/>
      <c r="F73" s="11"/>
      <c r="G73" s="11"/>
      <c r="H73" s="40"/>
      <c r="I73" s="11"/>
      <c r="J73" s="145"/>
      <c r="K73" s="116"/>
      <c r="L73" s="10"/>
      <c r="M73" s="11"/>
      <c r="N73" s="11"/>
      <c r="O73" s="11"/>
      <c r="P73" s="11"/>
      <c r="Q73" s="11"/>
      <c r="R73" s="11"/>
      <c r="S73" s="11"/>
      <c r="T73" s="22"/>
      <c r="U73" s="11"/>
      <c r="V73" s="11"/>
      <c r="W73" s="32"/>
      <c r="X73" s="7"/>
      <c r="Y73" s="7"/>
      <c r="Z73" s="7"/>
      <c r="AA73" s="7"/>
      <c r="AB73" s="7"/>
      <c r="AG73" s="7"/>
      <c r="AH73" s="7"/>
    </row>
    <row r="74" spans="1:34" x14ac:dyDescent="0.25">
      <c r="A74" s="58" t="str">
        <f>IF(COUNTA(DataColumns[[#This Row],[ColumnLabel]:[QualityCodeCV]])&gt;0,IF(MAX(A$12:A73)=0,1,MAX(A$12:A73)+1),"")</f>
        <v/>
      </c>
      <c r="B74" s="116"/>
      <c r="C74" s="11"/>
      <c r="D74" s="185"/>
      <c r="E74" s="230"/>
      <c r="F74" s="11"/>
      <c r="G74" s="11"/>
      <c r="H74" s="40"/>
      <c r="I74" s="11"/>
      <c r="J74" s="145"/>
      <c r="K74" s="116"/>
      <c r="L74" s="10"/>
      <c r="M74" s="11"/>
      <c r="N74" s="11"/>
      <c r="O74" s="11"/>
      <c r="P74" s="11"/>
      <c r="Q74" s="11"/>
      <c r="R74" s="11"/>
      <c r="S74" s="11"/>
      <c r="T74" s="22"/>
      <c r="U74" s="11"/>
      <c r="V74" s="11"/>
      <c r="W74" s="32"/>
      <c r="X74" s="7"/>
      <c r="Y74" s="7"/>
      <c r="Z74" s="7"/>
      <c r="AA74" s="7"/>
      <c r="AB74" s="7"/>
      <c r="AG74" s="7"/>
      <c r="AH74" s="7"/>
    </row>
    <row r="75" spans="1:34" x14ac:dyDescent="0.25">
      <c r="A75" s="58" t="str">
        <f>IF(COUNTA(DataColumns[[#This Row],[ColumnLabel]:[QualityCodeCV]])&gt;0,IF(MAX(A$12:A74)=0,1,MAX(A$12:A74)+1),"")</f>
        <v/>
      </c>
      <c r="B75" s="116"/>
      <c r="C75" s="11"/>
      <c r="D75" s="185"/>
      <c r="E75" s="230"/>
      <c r="F75" s="11"/>
      <c r="G75" s="11"/>
      <c r="H75" s="40"/>
      <c r="I75" s="11"/>
      <c r="J75" s="145"/>
      <c r="K75" s="116"/>
      <c r="L75" s="10"/>
      <c r="M75" s="11"/>
      <c r="N75" s="11"/>
      <c r="O75" s="11"/>
      <c r="P75" s="11"/>
      <c r="Q75" s="11"/>
      <c r="R75" s="11"/>
      <c r="S75" s="11"/>
      <c r="T75" s="22"/>
      <c r="U75" s="11"/>
      <c r="V75" s="11"/>
      <c r="W75" s="32"/>
      <c r="X75" s="7"/>
      <c r="Y75" s="7"/>
      <c r="Z75" s="7"/>
      <c r="AA75" s="7"/>
      <c r="AB75" s="7"/>
      <c r="AG75" s="7"/>
      <c r="AH75" s="7"/>
    </row>
    <row r="76" spans="1:34" x14ac:dyDescent="0.25">
      <c r="A76" s="58" t="str">
        <f>IF(COUNTA(DataColumns[[#This Row],[ColumnLabel]:[QualityCodeCV]])&gt;0,IF(MAX(A$12:A75)=0,1,MAX(A$12:A75)+1),"")</f>
        <v/>
      </c>
      <c r="B76" s="116"/>
      <c r="C76" s="11"/>
      <c r="D76" s="185"/>
      <c r="E76" s="230"/>
      <c r="F76" s="11"/>
      <c r="G76" s="11"/>
      <c r="H76" s="40"/>
      <c r="I76" s="11"/>
      <c r="J76" s="145"/>
      <c r="K76" s="116"/>
      <c r="L76" s="10"/>
      <c r="M76" s="11"/>
      <c r="N76" s="11"/>
      <c r="O76" s="11"/>
      <c r="P76" s="11"/>
      <c r="Q76" s="11"/>
      <c r="R76" s="11"/>
      <c r="S76" s="11"/>
      <c r="T76" s="22"/>
      <c r="U76" s="11"/>
      <c r="V76" s="11"/>
      <c r="W76" s="32"/>
      <c r="X76" s="7"/>
      <c r="Y76" s="7"/>
      <c r="Z76" s="7"/>
      <c r="AA76" s="7"/>
      <c r="AB76" s="7"/>
      <c r="AG76" s="7"/>
      <c r="AH76" s="7"/>
    </row>
    <row r="77" spans="1:34" x14ac:dyDescent="0.25">
      <c r="A77" s="58" t="str">
        <f>IF(COUNTA(DataColumns[[#This Row],[ColumnLabel]:[QualityCodeCV]])&gt;0,IF(MAX(A$12:A76)=0,1,MAX(A$12:A76)+1),"")</f>
        <v/>
      </c>
      <c r="B77" s="116"/>
      <c r="C77" s="11"/>
      <c r="D77" s="185"/>
      <c r="E77" s="230"/>
      <c r="F77" s="11"/>
      <c r="G77" s="11"/>
      <c r="H77" s="40"/>
      <c r="I77" s="11"/>
      <c r="J77" s="145"/>
      <c r="K77" s="116"/>
      <c r="L77" s="10"/>
      <c r="M77" s="11"/>
      <c r="N77" s="11"/>
      <c r="O77" s="11"/>
      <c r="P77" s="11"/>
      <c r="Q77" s="11"/>
      <c r="R77" s="11"/>
      <c r="S77" s="11"/>
      <c r="T77" s="22"/>
      <c r="U77" s="11"/>
      <c r="V77" s="11"/>
      <c r="W77" s="32"/>
      <c r="X77" s="7"/>
      <c r="Y77" s="7"/>
      <c r="Z77" s="7"/>
      <c r="AA77" s="7"/>
      <c r="AB77" s="7"/>
      <c r="AG77" s="7"/>
      <c r="AH77" s="7"/>
    </row>
    <row r="78" spans="1:34" x14ac:dyDescent="0.25">
      <c r="A78" s="58" t="str">
        <f>IF(COUNTA(DataColumns[[#This Row],[ColumnLabel]:[QualityCodeCV]])&gt;0,IF(MAX(A$12:A77)=0,1,MAX(A$12:A77)+1),"")</f>
        <v/>
      </c>
      <c r="B78" s="116"/>
      <c r="C78" s="11"/>
      <c r="D78" s="185"/>
      <c r="E78" s="230"/>
      <c r="F78" s="11"/>
      <c r="G78" s="11"/>
      <c r="H78" s="40"/>
      <c r="I78" s="11"/>
      <c r="J78" s="145"/>
      <c r="K78" s="116"/>
      <c r="L78" s="10"/>
      <c r="M78" s="11"/>
      <c r="N78" s="11"/>
      <c r="O78" s="11"/>
      <c r="P78" s="11"/>
      <c r="Q78" s="11"/>
      <c r="R78" s="11"/>
      <c r="S78" s="11"/>
      <c r="T78" s="22"/>
      <c r="U78" s="11"/>
      <c r="V78" s="11"/>
      <c r="W78" s="32"/>
      <c r="X78" s="7"/>
      <c r="Y78" s="7"/>
      <c r="Z78" s="7"/>
      <c r="AA78" s="7"/>
      <c r="AB78" s="7"/>
      <c r="AG78" s="7"/>
      <c r="AH78" s="7"/>
    </row>
    <row r="79" spans="1:34" x14ac:dyDescent="0.25">
      <c r="A79" s="58" t="str">
        <f>IF(COUNTA(DataColumns[[#This Row],[ColumnLabel]:[QualityCodeCV]])&gt;0,IF(MAX(A$12:A78)=0,1,MAX(A$12:A78)+1),"")</f>
        <v/>
      </c>
      <c r="B79" s="116"/>
      <c r="C79" s="11"/>
      <c r="D79" s="185"/>
      <c r="E79" s="230"/>
      <c r="F79" s="11"/>
      <c r="G79" s="11"/>
      <c r="H79" s="40"/>
      <c r="I79" s="11"/>
      <c r="J79" s="145"/>
      <c r="K79" s="116"/>
      <c r="L79" s="10"/>
      <c r="M79" s="11"/>
      <c r="N79" s="11"/>
      <c r="O79" s="11"/>
      <c r="P79" s="11"/>
      <c r="Q79" s="11"/>
      <c r="R79" s="11"/>
      <c r="S79" s="11"/>
      <c r="T79" s="22"/>
      <c r="U79" s="11"/>
      <c r="V79" s="11"/>
      <c r="W79" s="32"/>
      <c r="X79" s="7"/>
      <c r="Y79" s="7"/>
      <c r="Z79" s="7"/>
      <c r="AA79" s="7"/>
      <c r="AB79" s="7"/>
      <c r="AG79" s="7"/>
      <c r="AH79" s="7"/>
    </row>
    <row r="80" spans="1:34" x14ac:dyDescent="0.25">
      <c r="A80" s="58" t="str">
        <f>IF(COUNTA(DataColumns[[#This Row],[ColumnLabel]:[QualityCodeCV]])&gt;0,IF(MAX(A$12:A79)=0,1,MAX(A$12:A79)+1),"")</f>
        <v/>
      </c>
      <c r="B80" s="116"/>
      <c r="C80" s="11"/>
      <c r="D80" s="185"/>
      <c r="E80" s="230"/>
      <c r="F80" s="11"/>
      <c r="G80" s="11"/>
      <c r="H80" s="40"/>
      <c r="I80" s="11"/>
      <c r="J80" s="145"/>
      <c r="K80" s="116"/>
      <c r="L80" s="10"/>
      <c r="M80" s="11"/>
      <c r="N80" s="11"/>
      <c r="O80" s="11"/>
      <c r="P80" s="11"/>
      <c r="Q80" s="11"/>
      <c r="R80" s="11"/>
      <c r="S80" s="11"/>
      <c r="T80" s="22"/>
      <c r="U80" s="11"/>
      <c r="V80" s="11"/>
      <c r="W80" s="32"/>
      <c r="X80" s="7"/>
      <c r="Y80" s="7"/>
      <c r="Z80" s="7"/>
      <c r="AA80" s="7"/>
      <c r="AB80" s="7"/>
      <c r="AG80" s="7"/>
      <c r="AH80" s="7"/>
    </row>
    <row r="81" spans="1:34" x14ac:dyDescent="0.25">
      <c r="A81" s="58" t="str">
        <f>IF(COUNTA(DataColumns[[#This Row],[ColumnLabel]:[QualityCodeCV]])&gt;0,IF(MAX(A$12:A80)=0,1,MAX(A$12:A80)+1),"")</f>
        <v/>
      </c>
      <c r="B81" s="116"/>
      <c r="C81" s="11"/>
      <c r="D81" s="185"/>
      <c r="E81" s="230"/>
      <c r="F81" s="11"/>
      <c r="G81" s="11"/>
      <c r="H81" s="40"/>
      <c r="I81" s="11"/>
      <c r="J81" s="145"/>
      <c r="K81" s="116"/>
      <c r="L81" s="10"/>
      <c r="M81" s="11"/>
      <c r="N81" s="11"/>
      <c r="O81" s="11"/>
      <c r="P81" s="11"/>
      <c r="Q81" s="11"/>
      <c r="R81" s="11"/>
      <c r="S81" s="11"/>
      <c r="T81" s="22"/>
      <c r="U81" s="11"/>
      <c r="V81" s="11"/>
      <c r="W81" s="32"/>
      <c r="X81" s="7"/>
      <c r="Y81" s="7"/>
      <c r="Z81" s="7"/>
      <c r="AA81" s="7"/>
      <c r="AB81" s="7"/>
      <c r="AG81" s="7"/>
      <c r="AH81" s="7"/>
    </row>
    <row r="82" spans="1:34" x14ac:dyDescent="0.25">
      <c r="A82" s="58" t="str">
        <f>IF(COUNTA(DataColumns[[#This Row],[ColumnLabel]:[QualityCodeCV]])&gt;0,IF(MAX(A$12:A81)=0,1,MAX(A$12:A81)+1),"")</f>
        <v/>
      </c>
      <c r="B82" s="116"/>
      <c r="C82" s="11"/>
      <c r="D82" s="185"/>
      <c r="E82" s="230"/>
      <c r="F82" s="11"/>
      <c r="G82" s="11"/>
      <c r="H82" s="40"/>
      <c r="I82" s="11"/>
      <c r="J82" s="145"/>
      <c r="K82" s="116"/>
      <c r="L82" s="10"/>
      <c r="M82" s="11"/>
      <c r="N82" s="11"/>
      <c r="O82" s="11"/>
      <c r="P82" s="11"/>
      <c r="Q82" s="11"/>
      <c r="R82" s="11"/>
      <c r="S82" s="11"/>
      <c r="T82" s="22"/>
      <c r="U82" s="11"/>
      <c r="V82" s="11"/>
      <c r="W82" s="32"/>
      <c r="X82" s="7"/>
      <c r="Y82" s="7"/>
      <c r="Z82" s="7"/>
      <c r="AA82" s="7"/>
      <c r="AB82" s="7"/>
      <c r="AG82" s="7"/>
      <c r="AH82" s="7"/>
    </row>
    <row r="83" spans="1:34" x14ac:dyDescent="0.25">
      <c r="A83" s="58" t="str">
        <f>IF(COUNTA(DataColumns[[#This Row],[ColumnLabel]:[QualityCodeCV]])&gt;0,IF(MAX(A$12:A82)=0,1,MAX(A$12:A82)+1),"")</f>
        <v/>
      </c>
      <c r="B83" s="116"/>
      <c r="C83" s="11"/>
      <c r="D83" s="185"/>
      <c r="E83" s="230"/>
      <c r="F83" s="11"/>
      <c r="G83" s="11"/>
      <c r="H83" s="40"/>
      <c r="I83" s="11"/>
      <c r="J83" s="145"/>
      <c r="K83" s="116"/>
      <c r="L83" s="10"/>
      <c r="M83" s="11"/>
      <c r="N83" s="11"/>
      <c r="O83" s="11"/>
      <c r="P83" s="11"/>
      <c r="Q83" s="11"/>
      <c r="R83" s="11"/>
      <c r="S83" s="11"/>
      <c r="T83" s="22"/>
      <c r="U83" s="11"/>
      <c r="V83" s="11"/>
      <c r="W83" s="32"/>
      <c r="X83" s="7"/>
      <c r="Y83" s="7"/>
      <c r="Z83" s="7"/>
      <c r="AA83" s="7"/>
      <c r="AB83" s="7"/>
      <c r="AG83" s="7"/>
      <c r="AH83" s="7"/>
    </row>
    <row r="84" spans="1:34" x14ac:dyDescent="0.25">
      <c r="A84" s="58" t="str">
        <f>IF(COUNTA(DataColumns[[#This Row],[ColumnLabel]:[QualityCodeCV]])&gt;0,IF(MAX(A$12:A83)=0,1,MAX(A$12:A83)+1),"")</f>
        <v/>
      </c>
      <c r="B84" s="116"/>
      <c r="C84" s="11"/>
      <c r="D84" s="185"/>
      <c r="E84" s="230"/>
      <c r="F84" s="11"/>
      <c r="G84" s="11"/>
      <c r="H84" s="40"/>
      <c r="I84" s="11"/>
      <c r="J84" s="145"/>
      <c r="K84" s="116"/>
      <c r="L84" s="10"/>
      <c r="M84" s="11"/>
      <c r="N84" s="11"/>
      <c r="O84" s="11"/>
      <c r="P84" s="11"/>
      <c r="Q84" s="11"/>
      <c r="R84" s="11"/>
      <c r="S84" s="11"/>
      <c r="T84" s="22"/>
      <c r="U84" s="11"/>
      <c r="V84" s="11"/>
      <c r="W84" s="32"/>
      <c r="X84" s="7"/>
      <c r="Y84" s="7"/>
      <c r="Z84" s="7"/>
      <c r="AA84" s="7"/>
      <c r="AB84" s="7"/>
      <c r="AG84" s="7"/>
      <c r="AH84" s="7"/>
    </row>
    <row r="85" spans="1:34" x14ac:dyDescent="0.25">
      <c r="A85" s="58" t="str">
        <f>IF(COUNTA(DataColumns[[#This Row],[ColumnLabel]:[QualityCodeCV]])&gt;0,IF(MAX(A$12:A84)=0,1,MAX(A$12:A84)+1),"")</f>
        <v/>
      </c>
      <c r="B85" s="116"/>
      <c r="C85" s="11"/>
      <c r="D85" s="185"/>
      <c r="E85" s="230"/>
      <c r="F85" s="11"/>
      <c r="G85" s="11"/>
      <c r="H85" s="40"/>
      <c r="I85" s="11"/>
      <c r="J85" s="145"/>
      <c r="K85" s="116"/>
      <c r="L85" s="10"/>
      <c r="M85" s="11"/>
      <c r="N85" s="11"/>
      <c r="O85" s="11"/>
      <c r="P85" s="11"/>
      <c r="Q85" s="11"/>
      <c r="R85" s="11"/>
      <c r="S85" s="11"/>
      <c r="T85" s="22"/>
      <c r="U85" s="11"/>
      <c r="V85" s="11"/>
      <c r="W85" s="32"/>
      <c r="X85" s="7"/>
      <c r="Y85" s="7"/>
      <c r="Z85" s="7"/>
      <c r="AA85" s="7"/>
      <c r="AB85" s="7"/>
      <c r="AG85" s="7"/>
      <c r="AH85" s="7"/>
    </row>
    <row r="86" spans="1:34" x14ac:dyDescent="0.25">
      <c r="A86" s="58" t="str">
        <f>IF(COUNTA(DataColumns[[#This Row],[ColumnLabel]:[QualityCodeCV]])&gt;0,IF(MAX(A$12:A85)=0,1,MAX(A$12:A85)+1),"")</f>
        <v/>
      </c>
      <c r="B86" s="116"/>
      <c r="C86" s="11"/>
      <c r="D86" s="185"/>
      <c r="E86" s="230"/>
      <c r="F86" s="11"/>
      <c r="G86" s="11"/>
      <c r="H86" s="40"/>
      <c r="I86" s="11"/>
      <c r="J86" s="145"/>
      <c r="K86" s="116"/>
      <c r="L86" s="10"/>
      <c r="M86" s="11"/>
      <c r="N86" s="11"/>
      <c r="O86" s="11"/>
      <c r="P86" s="11"/>
      <c r="Q86" s="11"/>
      <c r="R86" s="11"/>
      <c r="S86" s="11"/>
      <c r="T86" s="22"/>
      <c r="U86" s="11"/>
      <c r="V86" s="11"/>
      <c r="W86" s="32"/>
      <c r="X86" s="7"/>
      <c r="Y86" s="7"/>
      <c r="Z86" s="7"/>
      <c r="AA86" s="7"/>
      <c r="AB86" s="7"/>
      <c r="AG86" s="7"/>
      <c r="AH86" s="7"/>
    </row>
    <row r="87" spans="1:34" x14ac:dyDescent="0.25">
      <c r="A87" s="58" t="str">
        <f>IF(COUNTA(DataColumns[[#This Row],[ColumnLabel]:[QualityCodeCV]])&gt;0,IF(MAX(A$12:A86)=0,1,MAX(A$12:A86)+1),"")</f>
        <v/>
      </c>
      <c r="B87" s="116"/>
      <c r="C87" s="11"/>
      <c r="D87" s="185"/>
      <c r="E87" s="230"/>
      <c r="F87" s="11"/>
      <c r="G87" s="11"/>
      <c r="H87" s="40"/>
      <c r="I87" s="11"/>
      <c r="J87" s="145"/>
      <c r="K87" s="116"/>
      <c r="L87" s="10"/>
      <c r="M87" s="11"/>
      <c r="N87" s="11"/>
      <c r="O87" s="11"/>
      <c r="P87" s="11"/>
      <c r="Q87" s="11"/>
      <c r="R87" s="11"/>
      <c r="S87" s="11"/>
      <c r="T87" s="22"/>
      <c r="U87" s="11"/>
      <c r="V87" s="11"/>
      <c r="W87" s="32"/>
      <c r="X87" s="7"/>
      <c r="Y87" s="7"/>
      <c r="Z87" s="7"/>
      <c r="AA87" s="7"/>
      <c r="AB87" s="7"/>
      <c r="AG87" s="7"/>
      <c r="AH87" s="7"/>
    </row>
    <row r="88" spans="1:34" x14ac:dyDescent="0.25">
      <c r="A88" s="58" t="str">
        <f>IF(COUNTA(DataColumns[[#This Row],[ColumnLabel]:[QualityCodeCV]])&gt;0,IF(MAX(A$12:A87)=0,1,MAX(A$12:A87)+1),"")</f>
        <v/>
      </c>
      <c r="B88" s="116"/>
      <c r="C88" s="11"/>
      <c r="D88" s="185"/>
      <c r="E88" s="230"/>
      <c r="F88" s="11"/>
      <c r="G88" s="11"/>
      <c r="H88" s="40"/>
      <c r="I88" s="11"/>
      <c r="J88" s="145"/>
      <c r="K88" s="116"/>
      <c r="L88" s="10"/>
      <c r="M88" s="11"/>
      <c r="N88" s="11"/>
      <c r="O88" s="11"/>
      <c r="P88" s="11"/>
      <c r="Q88" s="11"/>
      <c r="R88" s="11"/>
      <c r="S88" s="11"/>
      <c r="T88" s="22"/>
      <c r="U88" s="11"/>
      <c r="V88" s="11"/>
      <c r="W88" s="32"/>
      <c r="X88" s="7"/>
      <c r="Y88" s="7"/>
      <c r="Z88" s="7"/>
      <c r="AA88" s="7"/>
      <c r="AB88" s="7"/>
      <c r="AG88" s="7"/>
      <c r="AH88" s="7"/>
    </row>
    <row r="89" spans="1:34" x14ac:dyDescent="0.25">
      <c r="A89" s="58" t="str">
        <f>IF(COUNTA(DataColumns[[#This Row],[ColumnLabel]:[QualityCodeCV]])&gt;0,IF(MAX(A$12:A88)=0,1,MAX(A$12:A88)+1),"")</f>
        <v/>
      </c>
      <c r="B89" s="116"/>
      <c r="C89" s="11"/>
      <c r="D89" s="185"/>
      <c r="E89" s="230"/>
      <c r="F89" s="11"/>
      <c r="G89" s="11"/>
      <c r="H89" s="40"/>
      <c r="I89" s="11"/>
      <c r="J89" s="145"/>
      <c r="K89" s="116"/>
      <c r="L89" s="10"/>
      <c r="M89" s="11"/>
      <c r="N89" s="11"/>
      <c r="O89" s="11"/>
      <c r="P89" s="11"/>
      <c r="Q89" s="11"/>
      <c r="R89" s="11"/>
      <c r="S89" s="11"/>
      <c r="T89" s="22"/>
      <c r="U89" s="11"/>
      <c r="V89" s="11"/>
      <c r="W89" s="32"/>
      <c r="X89" s="7"/>
      <c r="Y89" s="7"/>
      <c r="Z89" s="7"/>
      <c r="AA89" s="7"/>
      <c r="AB89" s="7"/>
      <c r="AG89" s="7"/>
      <c r="AH89" s="7"/>
    </row>
    <row r="90" spans="1:34" x14ac:dyDescent="0.25">
      <c r="A90" s="58" t="str">
        <f>IF(COUNTA(DataColumns[[#This Row],[ColumnLabel]:[QualityCodeCV]])&gt;0,IF(MAX(A$12:A89)=0,1,MAX(A$12:A89)+1),"")</f>
        <v/>
      </c>
      <c r="B90" s="116"/>
      <c r="C90" s="11"/>
      <c r="D90" s="185"/>
      <c r="E90" s="230"/>
      <c r="F90" s="11"/>
      <c r="G90" s="11"/>
      <c r="H90" s="40"/>
      <c r="I90" s="11"/>
      <c r="J90" s="145"/>
      <c r="K90" s="116"/>
      <c r="L90" s="10"/>
      <c r="M90" s="11"/>
      <c r="N90" s="11"/>
      <c r="O90" s="11"/>
      <c r="P90" s="11"/>
      <c r="Q90" s="11"/>
      <c r="R90" s="11"/>
      <c r="S90" s="11"/>
      <c r="T90" s="22"/>
      <c r="U90" s="11"/>
      <c r="V90" s="11"/>
      <c r="W90" s="32"/>
      <c r="X90" s="7"/>
      <c r="Y90" s="7"/>
      <c r="Z90" s="7"/>
      <c r="AA90" s="7"/>
      <c r="AB90" s="7"/>
      <c r="AG90" s="7"/>
      <c r="AH90" s="7"/>
    </row>
    <row r="91" spans="1:34" x14ac:dyDescent="0.25">
      <c r="A91" s="58" t="str">
        <f>IF(COUNTA(DataColumns[[#This Row],[ColumnLabel]:[QualityCodeCV]])&gt;0,IF(MAX(A$12:A90)=0,1,MAX(A$12:A90)+1),"")</f>
        <v/>
      </c>
      <c r="B91" s="116"/>
      <c r="C91" s="11"/>
      <c r="D91" s="185"/>
      <c r="E91" s="230"/>
      <c r="F91" s="11"/>
      <c r="G91" s="11"/>
      <c r="H91" s="40"/>
      <c r="I91" s="11"/>
      <c r="J91" s="145"/>
      <c r="K91" s="116"/>
      <c r="L91" s="10"/>
      <c r="M91" s="11"/>
      <c r="N91" s="11"/>
      <c r="O91" s="11"/>
      <c r="P91" s="11"/>
      <c r="Q91" s="11"/>
      <c r="R91" s="11"/>
      <c r="S91" s="11"/>
      <c r="T91" s="22"/>
      <c r="U91" s="11"/>
      <c r="V91" s="11"/>
      <c r="W91" s="32"/>
      <c r="X91" s="7"/>
      <c r="Y91" s="7"/>
      <c r="Z91" s="7"/>
      <c r="AA91" s="7"/>
      <c r="AB91" s="7"/>
      <c r="AG91" s="7"/>
      <c r="AH91" s="7"/>
    </row>
    <row r="92" spans="1:34" x14ac:dyDescent="0.25">
      <c r="A92" s="58" t="str">
        <f>IF(COUNTA(DataColumns[[#This Row],[ColumnLabel]:[QualityCodeCV]])&gt;0,IF(MAX(A$12:A91)=0,1,MAX(A$12:A91)+1),"")</f>
        <v/>
      </c>
      <c r="B92" s="116"/>
      <c r="C92" s="11"/>
      <c r="D92" s="185"/>
      <c r="E92" s="230"/>
      <c r="F92" s="11"/>
      <c r="G92" s="11"/>
      <c r="H92" s="40"/>
      <c r="I92" s="11"/>
      <c r="J92" s="145"/>
      <c r="K92" s="116"/>
      <c r="L92" s="10"/>
      <c r="M92" s="11"/>
      <c r="N92" s="11"/>
      <c r="O92" s="11"/>
      <c r="P92" s="11"/>
      <c r="Q92" s="11"/>
      <c r="R92" s="11"/>
      <c r="S92" s="11"/>
      <c r="T92" s="22"/>
      <c r="U92" s="11"/>
      <c r="V92" s="11"/>
      <c r="W92" s="32"/>
      <c r="X92" s="7"/>
      <c r="Y92" s="7"/>
      <c r="Z92" s="7"/>
      <c r="AA92" s="7"/>
      <c r="AB92" s="7"/>
      <c r="AG92" s="7"/>
      <c r="AH92" s="7"/>
    </row>
    <row r="93" spans="1:34" x14ac:dyDescent="0.25">
      <c r="A93" s="58" t="str">
        <f>IF(COUNTA(DataColumns[[#This Row],[ColumnLabel]:[QualityCodeCV]])&gt;0,IF(MAX(A$12:A92)=0,1,MAX(A$12:A92)+1),"")</f>
        <v/>
      </c>
      <c r="B93" s="116"/>
      <c r="C93" s="11"/>
      <c r="D93" s="185"/>
      <c r="E93" s="230"/>
      <c r="F93" s="11"/>
      <c r="G93" s="11"/>
      <c r="H93" s="40"/>
      <c r="I93" s="11"/>
      <c r="J93" s="145"/>
      <c r="K93" s="116"/>
      <c r="L93" s="10"/>
      <c r="M93" s="11"/>
      <c r="N93" s="11"/>
      <c r="O93" s="11"/>
      <c r="P93" s="11"/>
      <c r="Q93" s="11"/>
      <c r="R93" s="11"/>
      <c r="S93" s="11"/>
      <c r="T93" s="22"/>
      <c r="U93" s="11"/>
      <c r="V93" s="11"/>
      <c r="W93" s="32"/>
      <c r="X93" s="7"/>
      <c r="Y93" s="7"/>
      <c r="Z93" s="7"/>
      <c r="AA93" s="7"/>
      <c r="AB93" s="7"/>
      <c r="AG93" s="7"/>
      <c r="AH93" s="7"/>
    </row>
    <row r="94" spans="1:34" x14ac:dyDescent="0.25">
      <c r="A94" s="58" t="str">
        <f>IF(COUNTA(DataColumns[[#This Row],[ColumnLabel]:[QualityCodeCV]])&gt;0,IF(MAX(A$12:A93)=0,1,MAX(A$12:A93)+1),"")</f>
        <v/>
      </c>
      <c r="B94" s="116"/>
      <c r="C94" s="11"/>
      <c r="D94" s="185"/>
      <c r="E94" s="230"/>
      <c r="F94" s="11"/>
      <c r="G94" s="11"/>
      <c r="H94" s="40"/>
      <c r="I94" s="11"/>
      <c r="J94" s="145"/>
      <c r="K94" s="116"/>
      <c r="L94" s="10"/>
      <c r="M94" s="11"/>
      <c r="N94" s="11"/>
      <c r="O94" s="11"/>
      <c r="P94" s="11"/>
      <c r="Q94" s="11"/>
      <c r="R94" s="11"/>
      <c r="S94" s="11"/>
      <c r="T94" s="22"/>
      <c r="U94" s="11"/>
      <c r="V94" s="11"/>
      <c r="W94" s="32"/>
      <c r="X94" s="7"/>
      <c r="Y94" s="7"/>
      <c r="Z94" s="7"/>
      <c r="AA94" s="7"/>
      <c r="AB94" s="7"/>
      <c r="AG94" s="7"/>
      <c r="AH94" s="7"/>
    </row>
    <row r="95" spans="1:34" x14ac:dyDescent="0.25">
      <c r="A95" s="58" t="str">
        <f>IF(COUNTA(DataColumns[[#This Row],[ColumnLabel]:[QualityCodeCV]])&gt;0,IF(MAX(A$12:A94)=0,1,MAX(A$12:A94)+1),"")</f>
        <v/>
      </c>
      <c r="B95" s="116"/>
      <c r="C95" s="11"/>
      <c r="D95" s="185"/>
      <c r="E95" s="230"/>
      <c r="F95" s="11"/>
      <c r="G95" s="11"/>
      <c r="H95" s="40"/>
      <c r="I95" s="11"/>
      <c r="J95" s="145"/>
      <c r="K95" s="116"/>
      <c r="L95" s="10"/>
      <c r="M95" s="11"/>
      <c r="N95" s="11"/>
      <c r="O95" s="11"/>
      <c r="P95" s="11"/>
      <c r="Q95" s="11"/>
      <c r="R95" s="11"/>
      <c r="S95" s="11"/>
      <c r="T95" s="22"/>
      <c r="U95" s="11"/>
      <c r="V95" s="11"/>
      <c r="W95" s="32"/>
      <c r="X95" s="7"/>
      <c r="Y95" s="7"/>
      <c r="Z95" s="7"/>
      <c r="AA95" s="7"/>
      <c r="AB95" s="7"/>
      <c r="AG95" s="7"/>
      <c r="AH95" s="7"/>
    </row>
    <row r="96" spans="1:34" x14ac:dyDescent="0.25">
      <c r="A96" s="58" t="str">
        <f>IF(COUNTA(DataColumns[[#This Row],[ColumnLabel]:[QualityCodeCV]])&gt;0,IF(MAX(A$12:A95)=0,1,MAX(A$12:A95)+1),"")</f>
        <v/>
      </c>
      <c r="B96" s="116"/>
      <c r="C96" s="11"/>
      <c r="D96" s="185"/>
      <c r="E96" s="230"/>
      <c r="F96" s="11"/>
      <c r="G96" s="11"/>
      <c r="H96" s="40"/>
      <c r="I96" s="11"/>
      <c r="J96" s="145"/>
      <c r="K96" s="116"/>
      <c r="L96" s="10"/>
      <c r="M96" s="11"/>
      <c r="N96" s="11"/>
      <c r="O96" s="11"/>
      <c r="P96" s="11"/>
      <c r="Q96" s="11"/>
      <c r="R96" s="11"/>
      <c r="S96" s="11"/>
      <c r="T96" s="22"/>
      <c r="U96" s="11"/>
      <c r="V96" s="11"/>
      <c r="W96" s="32"/>
      <c r="X96" s="7"/>
      <c r="Y96" s="7"/>
      <c r="Z96" s="7"/>
      <c r="AA96" s="7"/>
      <c r="AB96" s="7"/>
      <c r="AG96" s="7"/>
      <c r="AH96" s="7"/>
    </row>
    <row r="97" spans="1:34" x14ac:dyDescent="0.25">
      <c r="A97" s="58" t="str">
        <f>IF(COUNTA(DataColumns[[#This Row],[ColumnLabel]:[QualityCodeCV]])&gt;0,IF(MAX(A$12:A96)=0,1,MAX(A$12:A96)+1),"")</f>
        <v/>
      </c>
      <c r="B97" s="116"/>
      <c r="C97" s="11"/>
      <c r="D97" s="185"/>
      <c r="E97" s="230"/>
      <c r="F97" s="11"/>
      <c r="G97" s="11"/>
      <c r="H97" s="40"/>
      <c r="I97" s="11"/>
      <c r="J97" s="145"/>
      <c r="K97" s="116"/>
      <c r="L97" s="10"/>
      <c r="M97" s="11"/>
      <c r="N97" s="11"/>
      <c r="O97" s="11"/>
      <c r="P97" s="11"/>
      <c r="Q97" s="11"/>
      <c r="R97" s="11"/>
      <c r="S97" s="11"/>
      <c r="T97" s="22"/>
      <c r="U97" s="11"/>
      <c r="V97" s="11"/>
      <c r="W97" s="32"/>
      <c r="X97" s="7"/>
      <c r="Y97" s="7"/>
      <c r="Z97" s="7"/>
      <c r="AA97" s="7"/>
      <c r="AB97" s="7"/>
      <c r="AG97" s="7"/>
      <c r="AH97" s="7"/>
    </row>
    <row r="98" spans="1:34" x14ac:dyDescent="0.25">
      <c r="A98" s="58" t="str">
        <f>IF(COUNTA(DataColumns[[#This Row],[ColumnLabel]:[QualityCodeCV]])&gt;0,IF(MAX(A$12:A97)=0,1,MAX(A$12:A97)+1),"")</f>
        <v/>
      </c>
      <c r="B98" s="116"/>
      <c r="C98" s="11"/>
      <c r="D98" s="185"/>
      <c r="E98" s="230"/>
      <c r="F98" s="11"/>
      <c r="G98" s="11"/>
      <c r="H98" s="40"/>
      <c r="I98" s="11"/>
      <c r="J98" s="145"/>
      <c r="K98" s="116"/>
      <c r="L98" s="10"/>
      <c r="M98" s="11"/>
      <c r="N98" s="11"/>
      <c r="O98" s="11"/>
      <c r="P98" s="11"/>
      <c r="Q98" s="11"/>
      <c r="R98" s="11"/>
      <c r="S98" s="11"/>
      <c r="T98" s="22"/>
      <c r="U98" s="11"/>
      <c r="V98" s="11"/>
      <c r="W98" s="32"/>
      <c r="X98" s="7"/>
      <c r="Y98" s="7"/>
      <c r="Z98" s="7"/>
      <c r="AA98" s="7"/>
      <c r="AB98" s="7"/>
      <c r="AG98" s="7"/>
      <c r="AH98" s="7"/>
    </row>
    <row r="99" spans="1:34" ht="15.75" thickBot="1" x14ac:dyDescent="0.3">
      <c r="A99" s="60" t="str">
        <f>IF(COUNTA(DataColumns[[#This Row],[ColumnLabel]:[QualityCodeCV]])&gt;0,IF(MAX(A$12:A98)=0,1,MAX(A$12:A98)+1),"")</f>
        <v/>
      </c>
      <c r="B99" s="118"/>
      <c r="C99" s="119"/>
      <c r="D99" s="186"/>
      <c r="E99" s="231"/>
      <c r="F99" s="119"/>
      <c r="G99" s="119"/>
      <c r="H99" s="188"/>
      <c r="I99" s="119"/>
      <c r="J99" s="146"/>
      <c r="K99" s="118"/>
      <c r="L99" s="181"/>
      <c r="M99" s="119"/>
      <c r="N99" s="119"/>
      <c r="O99" s="119"/>
      <c r="P99" s="119"/>
      <c r="Q99" s="119"/>
      <c r="R99" s="119"/>
      <c r="S99" s="119"/>
      <c r="T99" s="156"/>
      <c r="U99" s="119"/>
      <c r="V99" s="119"/>
      <c r="W99" s="34"/>
      <c r="X99" s="7"/>
      <c r="Y99" s="7"/>
      <c r="Z99" s="7"/>
      <c r="AA99" s="7"/>
      <c r="AB99" s="7"/>
      <c r="AG99" s="7"/>
      <c r="AH99" s="7"/>
    </row>
  </sheetData>
  <sheetProtection formatColumns="0" formatRows="0" insertRows="0" insertHyperlinks="0" deleteRows="0"/>
  <dataConsolidate/>
  <mergeCells count="3">
    <mergeCell ref="A10:D10"/>
    <mergeCell ref="E10:J10"/>
    <mergeCell ref="K10:W10"/>
  </mergeCells>
  <conditionalFormatting sqref="B11:W11">
    <cfRule type="containsText" dxfId="22" priority="5" operator="containsText" text="REQUIRED">
      <formula>NOT(ISERROR(SEARCH("REQUIRED",B11)))</formula>
    </cfRule>
  </conditionalFormatting>
  <conditionalFormatting sqref="B13:B99">
    <cfRule type="duplicateValues" dxfId="21" priority="1"/>
  </conditionalFormatting>
  <conditionalFormatting sqref="B12:W12">
    <cfRule type="expression" dxfId="20" priority="20">
      <formula>AND(B$11&lt;&gt;"REQUIRED",B$11&lt;&gt;"OPTIONAL")</formula>
    </cfRule>
  </conditionalFormatting>
  <dataValidations count="14">
    <dataValidation type="list" allowBlank="1" showInputMessage="1" showErrorMessage="1" sqref="P13:P99">
      <formula1>MethodCodes</formula1>
    </dataValidation>
    <dataValidation type="list" allowBlank="1" showInputMessage="1" showErrorMessage="1" sqref="K13:K99">
      <formula1>ResultTypeCV</formula1>
    </dataValidation>
    <dataValidation type="list" allowBlank="1" showInputMessage="1" showErrorMessage="1" sqref="L13:L99">
      <formula1>VariableCodes</formula1>
    </dataValidation>
    <dataValidation type="list" allowBlank="1" showInputMessage="1" showErrorMessage="1" sqref="Q13:Q99">
      <formula1>ProcessingLevelCodes</formula1>
    </dataValidation>
    <dataValidation type="list" allowBlank="1" showInputMessage="1" showErrorMessage="1" sqref="W13:W99">
      <formula1>AggregationStatisticCV</formula1>
    </dataValidation>
    <dataValidation type="list" allowBlank="1" showInputMessage="1" showErrorMessage="1" sqref="R13:R99">
      <formula1>CensorCodeCV</formula1>
    </dataValidation>
    <dataValidation type="list" allowBlank="1" showInputMessage="1" showErrorMessage="1" sqref="S13:S99">
      <formula1>QualityCodeCV</formula1>
    </dataValidation>
    <dataValidation type="list" allowBlank="1" showInputMessage="1" showErrorMessage="1" sqref="O13:O99 F13:F99">
      <formula1>PeopleNames</formula1>
    </dataValidation>
    <dataValidation type="list" allowBlank="1" showInputMessage="1" showErrorMessage="1" sqref="C13:D99">
      <formula1>ColumnTypes</formula1>
    </dataValidation>
    <dataValidation type="list" allowBlank="1" showInputMessage="1" showErrorMessage="1" sqref="E13:E99">
      <formula1>FeatureCodes</formula1>
    </dataValidation>
    <dataValidation type="list" allowBlank="1" showInputMessage="1" showErrorMessage="1" sqref="T13:T99">
      <formula1>TaxClassifiers</formula1>
    </dataValidation>
    <dataValidation type="list" allowBlank="1" showInputMessage="1" showErrorMessage="1" sqref="G13:G99 N13:N99">
      <formula1>SampledMediumCV</formula1>
    </dataValidation>
    <dataValidation type="list" allowBlank="1" showInputMessage="1" showErrorMessage="1" sqref="H13:H99">
      <formula1>SpecimenTypeCV</formula1>
    </dataValidation>
    <dataValidation type="list" allowBlank="1" showInputMessage="1" showErrorMessage="1" sqref="I13:J99">
      <formula1>Boolean</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504825</xdr:colOff>
                    <xdr:row>2</xdr:row>
                    <xdr:rowOff>38100</xdr:rowOff>
                  </from>
                  <to>
                    <xdr:col>11</xdr:col>
                    <xdr:colOff>695325</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P32"/>
  <sheetViews>
    <sheetView tabSelected="1" topLeftCell="H1" workbookViewId="0">
      <selection activeCell="R7" sqref="R7"/>
    </sheetView>
  </sheetViews>
  <sheetFormatPr defaultRowHeight="15" x14ac:dyDescent="0.25"/>
  <cols>
    <col min="1" max="1" width="32" bestFit="1" customWidth="1"/>
    <col min="2" max="2" width="36.7109375" style="5" bestFit="1" customWidth="1"/>
    <col min="3" max="3" width="21.5703125" style="5" bestFit="1" customWidth="1"/>
    <col min="4" max="4" width="20.5703125" style="5" bestFit="1" customWidth="1"/>
    <col min="5" max="5" width="11.42578125" style="5" bestFit="1" customWidth="1"/>
    <col min="6" max="6" width="16.7109375" bestFit="1" customWidth="1"/>
    <col min="7" max="7" width="28.42578125" style="5" bestFit="1" customWidth="1"/>
    <col min="8" max="8" width="29.28515625" bestFit="1" customWidth="1"/>
    <col min="9" max="9" width="17.140625" bestFit="1" customWidth="1"/>
    <col min="10" max="10" width="24.85546875" bestFit="1" customWidth="1"/>
    <col min="11" max="11" width="29.42578125" bestFit="1" customWidth="1"/>
    <col min="12" max="12" width="45.5703125" bestFit="1" customWidth="1"/>
  </cols>
  <sheetData>
    <row r="1" spans="1:16" x14ac:dyDescent="0.25">
      <c r="A1" s="1" t="s">
        <v>1511</v>
      </c>
      <c r="B1" s="1" t="s">
        <v>2479</v>
      </c>
      <c r="C1" s="1" t="s">
        <v>1498</v>
      </c>
      <c r="D1" s="1" t="s">
        <v>2478</v>
      </c>
      <c r="E1" s="1" t="s">
        <v>1429</v>
      </c>
      <c r="F1" s="1" t="s">
        <v>2477</v>
      </c>
      <c r="G1" s="1" t="s">
        <v>2481</v>
      </c>
      <c r="H1" s="1" t="s">
        <v>1515</v>
      </c>
      <c r="I1" s="1" t="s">
        <v>2473</v>
      </c>
      <c r="J1" s="1" t="s">
        <v>2475</v>
      </c>
      <c r="K1" s="1" t="s">
        <v>2476</v>
      </c>
      <c r="L1" s="1" t="s">
        <v>2474</v>
      </c>
      <c r="M1" s="1" t="s">
        <v>2480</v>
      </c>
      <c r="N1" s="1" t="s">
        <v>2483</v>
      </c>
      <c r="O1" s="1" t="s">
        <v>2484</v>
      </c>
      <c r="P1" s="1" t="s">
        <v>2485</v>
      </c>
    </row>
    <row r="2" spans="1:16" x14ac:dyDescent="0.25">
      <c r="A2" t="s">
        <v>1904</v>
      </c>
      <c r="B2" s="5" t="s">
        <v>1494</v>
      </c>
      <c r="C2" s="5" t="s">
        <v>1501</v>
      </c>
      <c r="D2" s="5" t="s">
        <v>26</v>
      </c>
      <c r="E2" s="5" t="s">
        <v>1497</v>
      </c>
      <c r="F2" t="s">
        <v>1489</v>
      </c>
      <c r="G2" s="5">
        <f>MATCH(ColumnFinder[[#This Row],[DataType]],DataColumns[#Headers],0)</f>
        <v>5</v>
      </c>
      <c r="H2">
        <f>MATCH(ColumnFinder[[#This Row],[DataType]],DataColumns[ColumnType],0)</f>
        <v>4</v>
      </c>
      <c r="I2">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277</v>
      </c>
      <c r="J2">
        <f>IF(ColumnFinder[[#This Row],[REQUIRED]]="Optional",0,
IF(ColumnFinder[[#This Row],[VBV or Column]]="Value-By-Value",NumSpecimens,
IF(ColumnFinder[[#This Row],[Specimen or Result]]="Result",NumDataColumns,
1)))</f>
        <v>0</v>
      </c>
      <c r="K2" s="228" t="str">
        <f ca="1">IF(AND(ColumnFinder[[#This Row],[Number Values]]&lt;ColumnFinder[[#This Row],[Numer Values Required]],ColumnFinder[[#This Row],[DataType]]&lt;&gt;"DataValue"),
"Required field is missing values",
"OK")</f>
        <v>OK</v>
      </c>
      <c r="L2" s="228" t="str">
        <f>CONCATENATE("DataColumns[",ColumnFinder[[#This Row],[DataType]],"]")</f>
        <v>DataColumns[ParentSamplingFeatureCode]</v>
      </c>
      <c r="M2" s="228">
        <f ca="1">COUNTA(INDIRECT(ColumnFinder[[#This Row],[Column1]]))</f>
        <v>0</v>
      </c>
      <c r="N2" s="228">
        <f ca="1">COUNTA(INDIRECT(CONCATENATE("DataColumns[",ColumnFinder[[#This Row],[DataType]],"]")))</f>
        <v>0</v>
      </c>
      <c r="O2" s="228" t="str">
        <f ca="1">IF(ISERROR(INDIRECT(ColumnFinder[[#This Row],[Column1]])),
"ERROR",
COUNTA(INDIRECT(CONCATENATE("DataColumns[",ColumnFinder[[#This Row],[DataType]],"]"))))</f>
        <v>ERROR</v>
      </c>
      <c r="P2" s="228" t="e">
        <f ca="1">INDIRECT("DataColumns[SampledMediumCV]")</f>
        <v>#VALUE!</v>
      </c>
    </row>
    <row r="3" spans="1:16" x14ac:dyDescent="0.25">
      <c r="A3" t="s">
        <v>1521</v>
      </c>
      <c r="B3" s="5" t="s">
        <v>1491</v>
      </c>
      <c r="C3" s="5" t="s">
        <v>1499</v>
      </c>
      <c r="D3" s="5" t="s">
        <v>26</v>
      </c>
      <c r="E3" s="5" t="s">
        <v>1429</v>
      </c>
      <c r="F3" t="s">
        <v>1489</v>
      </c>
      <c r="G3" s="5">
        <f>MATCH(ColumnFinder[[#This Row],[DataType]],DataColumns[#Headers],0)</f>
        <v>6</v>
      </c>
      <c r="H3" s="5">
        <f>MATCH(ColumnFinder[[#This Row],[DataType]],DataColumns[ColumnType],0)</f>
        <v>7</v>
      </c>
      <c r="I3">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277</v>
      </c>
      <c r="J3">
        <f>IF(ColumnFinder[[#This Row],[REQUIRED]]="Optional",0,
IF(ColumnFinder[[#This Row],[VBV or Column]]="Value-By-Value",NumSpecimens,
IF(ColumnFinder[[#This Row],[Specimen or Result]]="Result",NumDataColumns,
1)))</f>
        <v>1</v>
      </c>
      <c r="K3" s="228" t="str">
        <f ca="1">IF(AND(ColumnFinder[[#This Row],[Number Values]]&lt;ColumnFinder[[#This Row],[Numer Values Required]],ColumnFinder[[#This Row],[DataType]]&lt;&gt;"DataValue"),
"Required field is missing values",
"OK")</f>
        <v>OK</v>
      </c>
      <c r="L3" s="228" t="str">
        <f>CONCATENATE("DataColumns[",ColumnFinder[[#This Row],[DataType]],"]")</f>
        <v>DataColumns[SpecimenCollector]</v>
      </c>
      <c r="M3" s="228">
        <f ca="1">COUNTA(INDIRECT(ColumnFinder[[#This Row],[Column1]]))</f>
        <v>0</v>
      </c>
      <c r="N3" s="228">
        <f ca="1">COUNTA(INDIRECT(CONCATENATE("DataColumns[",ColumnFinder[[#This Row],[DataType]],"]")))</f>
        <v>0</v>
      </c>
      <c r="O3" s="228" t="str">
        <f ca="1">IF(ISERROR(INDIRECT(ColumnFinder[[#This Row],[Column1]])),
"ERROR",
COUNTA(INDIRECT(CONCATENATE("DataColumns[",ColumnFinder[[#This Row],[DataType]],"]"))))</f>
        <v>ERROR</v>
      </c>
      <c r="P3" s="228" t="e">
        <f t="shared" ref="P2:P32" ca="1" si="0">INDIRECT("DataColumns[SampledMediumCV]")</f>
        <v>#VALUE!</v>
      </c>
    </row>
    <row r="4" spans="1:16" x14ac:dyDescent="0.25">
      <c r="A4" t="s">
        <v>1431</v>
      </c>
      <c r="B4" s="5" t="s">
        <v>227</v>
      </c>
      <c r="C4" s="5" t="s">
        <v>202</v>
      </c>
      <c r="D4" s="5" t="s">
        <v>26</v>
      </c>
      <c r="E4" s="5" t="s">
        <v>1429</v>
      </c>
      <c r="F4" s="5" t="s">
        <v>1489</v>
      </c>
      <c r="G4" s="5">
        <f>MATCH(ColumnFinder[[#This Row],[DataType]],DataColumns[#Headers],0)</f>
        <v>7</v>
      </c>
      <c r="H4" s="5" t="e">
        <f>MATCH(ColumnFinder[[#This Row],[DataType]],DataColumns[ColumnType],0)</f>
        <v>#N/A</v>
      </c>
      <c r="I4"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4">
        <f>IF(ColumnFinder[[#This Row],[REQUIRED]]="Optional",0,
IF(ColumnFinder[[#This Row],[VBV or Column]]="Value-By-Value",NumSpecimens,
IF(ColumnFinder[[#This Row],[Specimen or Result]]="Result",NumDataColumns,
1)))</f>
        <v>1</v>
      </c>
      <c r="K4" s="228" t="str">
        <f ca="1">IF(AND(ColumnFinder[[#This Row],[Number Values]]&lt;ColumnFinder[[#This Row],[Numer Values Required]],ColumnFinder[[#This Row],[DataType]]&lt;&gt;"DataValue"),
"Required field is missing values",
"OK")</f>
        <v>OK</v>
      </c>
      <c r="L4" s="228" t="str">
        <f>CONCATENATE("DataColumns[",ColumnFinder[[#This Row],[DataType]],"]")</f>
        <v>DataColumns[SpecimenMediumCV]</v>
      </c>
      <c r="M4" s="228">
        <f ca="1">COUNTA(INDIRECT(ColumnFinder[[#This Row],[Column1]]))</f>
        <v>0</v>
      </c>
      <c r="N4" s="228">
        <f ca="1">COUNTA(INDIRECT(CONCATENATE("DataColumns[",ColumnFinder[[#This Row],[DataType]],"]")))</f>
        <v>0</v>
      </c>
      <c r="O4" s="228" t="str">
        <f ca="1">IF(ISERROR(INDIRECT(ColumnFinder[[#This Row],[Column1]])),
"ERROR",
COUNTA(INDIRECT(CONCATENATE("DataColumns[",ColumnFinder[[#This Row],[DataType]],"]"))))</f>
        <v>ERROR</v>
      </c>
      <c r="P4" s="228" t="e">
        <f t="shared" ca="1" si="0"/>
        <v>#VALUE!</v>
      </c>
    </row>
    <row r="5" spans="1:16" x14ac:dyDescent="0.25">
      <c r="A5" t="s">
        <v>197</v>
      </c>
      <c r="B5" s="5" t="s">
        <v>1494</v>
      </c>
      <c r="D5" s="5" t="s">
        <v>26</v>
      </c>
      <c r="E5" s="5" t="s">
        <v>1429</v>
      </c>
      <c r="F5" t="s">
        <v>1489</v>
      </c>
      <c r="G5" s="5">
        <f>MATCH(ColumnFinder[[#This Row],[DataType]],DataColumns[#Headers],0)</f>
        <v>8</v>
      </c>
      <c r="H5" s="5">
        <f>MATCH(ColumnFinder[[#This Row],[DataType]],DataColumns[ColumnType],0)</f>
        <v>5</v>
      </c>
      <c r="I5" s="5">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277</v>
      </c>
      <c r="J5" s="5">
        <f>IF(ColumnFinder[[#This Row],[REQUIRED]]="Optional",0,
IF(ColumnFinder[[#This Row],[VBV or Column]]="Value-By-Value",NumSpecimens,
IF(ColumnFinder[[#This Row],[Specimen or Result]]="Result",NumDataColumns,
1)))</f>
        <v>1</v>
      </c>
      <c r="K5" s="228" t="str">
        <f ca="1">IF(AND(ColumnFinder[[#This Row],[Number Values]]&lt;ColumnFinder[[#This Row],[Numer Values Required]],ColumnFinder[[#This Row],[DataType]]&lt;&gt;"DataValue"),
"Required field is missing values",
"OK")</f>
        <v>OK</v>
      </c>
      <c r="L5" s="228" t="str">
        <f>CONCATENATE("DataColumns[",ColumnFinder[[#This Row],[DataType]],"]")</f>
        <v>DataColumns[SpecimenTypeCV]</v>
      </c>
      <c r="M5" s="228">
        <f ca="1">COUNTA(INDIRECT(ColumnFinder[[#This Row],[Column1]]))</f>
        <v>0</v>
      </c>
      <c r="N5" s="228">
        <f ca="1">COUNTA(INDIRECT(CONCATENATE("DataColumns[",ColumnFinder[[#This Row],[DataType]],"]")))</f>
        <v>0</v>
      </c>
      <c r="O5" s="228" t="str">
        <f ca="1">IF(ISERROR(INDIRECT(ColumnFinder[[#This Row],[Column1]])),
"ERROR",
COUNTA(INDIRECT(CONCATENATE("DataColumns[",ColumnFinder[[#This Row],[DataType]],"]"))))</f>
        <v>ERROR</v>
      </c>
      <c r="P5" s="228" t="e">
        <f t="shared" ca="1" si="0"/>
        <v>#VALUE!</v>
      </c>
    </row>
    <row r="6" spans="1:16" x14ac:dyDescent="0.25">
      <c r="A6" t="s">
        <v>1516</v>
      </c>
      <c r="B6" s="5" t="s">
        <v>227</v>
      </c>
      <c r="C6" s="5" t="s">
        <v>188</v>
      </c>
      <c r="D6" s="5" t="s">
        <v>26</v>
      </c>
      <c r="E6" s="5" t="s">
        <v>1429</v>
      </c>
      <c r="F6" s="5" t="s">
        <v>1489</v>
      </c>
      <c r="G6" s="5">
        <f>MATCH(ColumnFinder[[#This Row],[DataType]],DataColumns[#Headers],0)</f>
        <v>9</v>
      </c>
      <c r="H6" s="5">
        <f>MATCH(ColumnFinder[[#This Row],[DataType]],DataColumns[ColumnType],0)</f>
        <v>6</v>
      </c>
      <c r="I6">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277</v>
      </c>
      <c r="J6">
        <f>IF(ColumnFinder[[#This Row],[REQUIRED]]="Optional",0,
IF(ColumnFinder[[#This Row],[VBV or Column]]="Value-By-Value",NumSpecimens,
IF(ColumnFinder[[#This Row],[Specimen or Result]]="Result",NumDataColumns,
1)))</f>
        <v>1</v>
      </c>
      <c r="K6" s="228" t="str">
        <f ca="1">IF(AND(ColumnFinder[[#This Row],[Number Values]]&lt;ColumnFinder[[#This Row],[Numer Values Required]],ColumnFinder[[#This Row],[DataType]]&lt;&gt;"DataValue"),
"Required field is missing values",
"OK")</f>
        <v>OK</v>
      </c>
      <c r="L6" s="228" t="str">
        <f>CONCATENATE("DataColumns[",ColumnFinder[[#This Row],[DataType]],"]")</f>
        <v>DataColumns[IsFieldSpecimen]</v>
      </c>
      <c r="M6" s="228">
        <f ca="1">COUNTA(INDIRECT(ColumnFinder[[#This Row],[Column1]]))</f>
        <v>0</v>
      </c>
      <c r="N6" s="228">
        <f ca="1">COUNTA(INDIRECT(CONCATENATE("DataColumns[",ColumnFinder[[#This Row],[DataType]],"]")))</f>
        <v>0</v>
      </c>
      <c r="O6" s="228" t="str">
        <f ca="1">IF(ISERROR(INDIRECT(ColumnFinder[[#This Row],[Column1]])),
"ERROR",
COUNTA(INDIRECT(CONCATENATE("DataColumns[",ColumnFinder[[#This Row],[DataType]],"]"))))</f>
        <v>ERROR</v>
      </c>
      <c r="P6" s="228" t="e">
        <f t="shared" ca="1" si="0"/>
        <v>#VALUE!</v>
      </c>
    </row>
    <row r="7" spans="1:16" x14ac:dyDescent="0.25">
      <c r="A7" s="5" t="s">
        <v>1906</v>
      </c>
      <c r="B7" s="5" t="s">
        <v>1907</v>
      </c>
      <c r="C7" s="5" t="s">
        <v>1908</v>
      </c>
      <c r="D7" s="5" t="s">
        <v>26</v>
      </c>
      <c r="E7" s="5" t="s">
        <v>1497</v>
      </c>
      <c r="F7" s="5" t="s">
        <v>1489</v>
      </c>
      <c r="G7" s="5">
        <f>MATCH(ColumnFinder[[#This Row],[DataType]],DataColumns[#Headers],0)</f>
        <v>10</v>
      </c>
      <c r="H7" s="228" t="e">
        <f>MATCH(ColumnFinder[[#This Row],[DataType]],DataColumns[ColumnType],0)</f>
        <v>#N/A</v>
      </c>
      <c r="I7" s="228"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7" s="228">
        <f>IF(ColumnFinder[[#This Row],[REQUIRED]]="Optional",0,
IF(ColumnFinder[[#This Row],[VBV or Column]]="Value-By-Value",NumSpecimens,
IF(ColumnFinder[[#This Row],[Specimen or Result]]="Result",NumDataColumns,
1)))</f>
        <v>0</v>
      </c>
      <c r="K7" s="228" t="str">
        <f ca="1">IF(AND(ColumnFinder[[#This Row],[Number Values]]&lt;ColumnFinder[[#This Row],[Numer Values Required]],ColumnFinder[[#This Row],[DataType]]&lt;&gt;"DataValue"),
"Required field is missing values",
"OK")</f>
        <v>OK</v>
      </c>
      <c r="L7" s="228" t="str">
        <f>CONCATENATE("DataColumns[",ColumnFinder[[#This Row],[DataType]],"]")</f>
        <v>DataColumns[SpatialOffsetCode]</v>
      </c>
      <c r="M7" s="228">
        <f ca="1">COUNTA(INDIRECT(ColumnFinder[[#This Row],[Column1]]))</f>
        <v>0</v>
      </c>
      <c r="N7" s="228">
        <f ca="1">COUNTA(INDIRECT(CONCATENATE("DataColumns[",ColumnFinder[[#This Row],[DataType]],"]")))</f>
        <v>0</v>
      </c>
      <c r="O7" s="228" t="str">
        <f ca="1">IF(ISERROR(INDIRECT(ColumnFinder[[#This Row],[Column1]])),
"ERROR",
COUNTA(INDIRECT(CONCATENATE("DataColumns[",ColumnFinder[[#This Row],[DataType]],"]"))))</f>
        <v>ERROR</v>
      </c>
      <c r="P7" s="228" t="e">
        <f t="shared" ca="1" si="0"/>
        <v>#VALUE!</v>
      </c>
    </row>
    <row r="8" spans="1:16" x14ac:dyDescent="0.25">
      <c r="A8" t="s">
        <v>1139</v>
      </c>
      <c r="B8" s="5" t="s">
        <v>1189</v>
      </c>
      <c r="C8" s="5" t="s">
        <v>1139</v>
      </c>
      <c r="D8" s="5" t="s">
        <v>1905</v>
      </c>
      <c r="E8" s="5" t="s">
        <v>1429</v>
      </c>
      <c r="F8" s="5" t="s">
        <v>1489</v>
      </c>
      <c r="G8" s="5">
        <f>MATCH(ColumnFinder[[#This Row],[DataType]],DataColumns[#Headers],0)</f>
        <v>11</v>
      </c>
      <c r="H8" s="5" t="e">
        <f>MATCH(ColumnFinder[[#This Row],[DataType]],DataColumns[ColumnType],0)</f>
        <v>#N/A</v>
      </c>
      <c r="I8"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8">
        <f>IF(ColumnFinder[[#This Row],[REQUIRED]]="Optional",0,
IF(ColumnFinder[[#This Row],[VBV or Column]]="Value-By-Value",NumSpecimens,
IF(ColumnFinder[[#This Row],[Specimen or Result]]="Result",NumDataColumns,
1)))</f>
        <v>6</v>
      </c>
      <c r="K8" s="228" t="str">
        <f ca="1">IF(AND(ColumnFinder[[#This Row],[Number Values]]&lt;ColumnFinder[[#This Row],[Numer Values Required]],ColumnFinder[[#This Row],[DataType]]&lt;&gt;"DataValue"),
"Required field is missing values",
"OK")</f>
        <v>OK</v>
      </c>
      <c r="L8" s="228" t="str">
        <f>CONCATENATE("DataColumns[",ColumnFinder[[#This Row],[DataType]],"]")</f>
        <v>DataColumns[ResultTypeCV]</v>
      </c>
      <c r="M8" s="228">
        <f ca="1">COUNTA(INDIRECT(ColumnFinder[[#This Row],[Column1]]))</f>
        <v>6</v>
      </c>
      <c r="N8" s="228">
        <f ca="1">COUNTA(INDIRECT(CONCATENATE("DataColumns[",ColumnFinder[[#This Row],[DataType]],"]")))</f>
        <v>6</v>
      </c>
      <c r="O8" s="228" t="str">
        <f ca="1">IF(ISERROR(INDIRECT(ColumnFinder[[#This Row],[Column1]])),
"ERROR",
COUNTA(INDIRECT(CONCATENATE("DataColumns[",ColumnFinder[[#This Row],[DataType]],"]"))))</f>
        <v>ERROR</v>
      </c>
      <c r="P8" s="228" t="e">
        <f t="shared" ca="1" si="0"/>
        <v>#VALUE!</v>
      </c>
    </row>
    <row r="9" spans="1:16" x14ac:dyDescent="0.25">
      <c r="A9" t="s">
        <v>1509</v>
      </c>
      <c r="B9" s="5" t="s">
        <v>1189</v>
      </c>
      <c r="C9" s="5" t="s">
        <v>1504</v>
      </c>
      <c r="D9" s="5" t="s">
        <v>1905</v>
      </c>
      <c r="E9" s="5" t="s">
        <v>1429</v>
      </c>
      <c r="F9" s="5" t="s">
        <v>1489</v>
      </c>
      <c r="G9" s="5">
        <f>MATCH(ColumnFinder[[#This Row],[DataType]],DataColumns[#Headers],0)</f>
        <v>12</v>
      </c>
      <c r="H9" s="5" t="e">
        <f>MATCH(ColumnFinder[[#This Row],[DataType]],DataColumns[ColumnType],0)</f>
        <v>#N/A</v>
      </c>
      <c r="I9" s="5"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9" s="5">
        <f>IF(ColumnFinder[[#This Row],[REQUIRED]]="Optional",0,
IF(ColumnFinder[[#This Row],[VBV or Column]]="Value-By-Value",NumSpecimens,
IF(ColumnFinder[[#This Row],[Specimen or Result]]="Result",NumDataColumns,
1)))</f>
        <v>6</v>
      </c>
      <c r="K9" s="228" t="str">
        <f ca="1">IF(AND(ColumnFinder[[#This Row],[Number Values]]&lt;ColumnFinder[[#This Row],[Numer Values Required]],ColumnFinder[[#This Row],[DataType]]&lt;&gt;"DataValue"),
"Required field is missing values",
"OK")</f>
        <v>OK</v>
      </c>
      <c r="L9" s="228" t="str">
        <f>CONCATENATE("DataColumns[",ColumnFinder[[#This Row],[DataType]],"]")</f>
        <v>DataColumns[VariableCode]</v>
      </c>
      <c r="M9" s="228">
        <f ca="1">COUNTA(INDIRECT(ColumnFinder[[#This Row],[Column1]]))</f>
        <v>6</v>
      </c>
      <c r="N9" s="228">
        <f ca="1">COUNTA(INDIRECT(CONCATENATE("DataColumns[",ColumnFinder[[#This Row],[DataType]],"]")))</f>
        <v>6</v>
      </c>
      <c r="O9" s="228" t="str">
        <f ca="1">IF(ISERROR(INDIRECT(ColumnFinder[[#This Row],[Column1]])),
"ERROR",
COUNTA(INDIRECT(CONCATENATE("DataColumns[",ColumnFinder[[#This Row],[DataType]],"]"))))</f>
        <v>ERROR</v>
      </c>
      <c r="P9" s="228" t="e">
        <f t="shared" ca="1" si="0"/>
        <v>#VALUE!</v>
      </c>
    </row>
    <row r="10" spans="1:16" x14ac:dyDescent="0.25">
      <c r="A10" t="s">
        <v>1508</v>
      </c>
      <c r="B10" s="5" t="s">
        <v>1189</v>
      </c>
      <c r="D10" s="5" t="s">
        <v>1905</v>
      </c>
      <c r="E10" s="5" t="s">
        <v>1429</v>
      </c>
      <c r="F10" s="5" t="s">
        <v>1489</v>
      </c>
      <c r="G10" s="5">
        <f>MATCH(ColumnFinder[[#This Row],[DataType]],DataColumns[#Headers],0)</f>
        <v>13</v>
      </c>
      <c r="H10" s="5" t="e">
        <f>MATCH(ColumnFinder[[#This Row],[DataType]],DataColumns[ColumnType],0)</f>
        <v>#N/A</v>
      </c>
      <c r="I10" s="5"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10" s="5">
        <f>IF(ColumnFinder[[#This Row],[REQUIRED]]="Optional",0,
IF(ColumnFinder[[#This Row],[VBV or Column]]="Value-By-Value",NumSpecimens,
IF(ColumnFinder[[#This Row],[Specimen or Result]]="Result",NumDataColumns,
1)))</f>
        <v>6</v>
      </c>
      <c r="K10" s="228" t="str">
        <f ca="1">IF(AND(ColumnFinder[[#This Row],[Number Values]]&lt;ColumnFinder[[#This Row],[Numer Values Required]],ColumnFinder[[#This Row],[DataType]]&lt;&gt;"DataValue"),
"Required field is missing values",
"OK")</f>
        <v>OK</v>
      </c>
      <c r="L10" s="228" t="str">
        <f>CONCATENATE("DataColumns[",ColumnFinder[[#This Row],[DataType]],"]")</f>
        <v>DataColumns[UnitName]</v>
      </c>
      <c r="M10" s="228">
        <f ca="1">COUNTA(INDIRECT(ColumnFinder[[#This Row],[Column1]]))</f>
        <v>6</v>
      </c>
      <c r="N10" s="228">
        <f ca="1">COUNTA(INDIRECT(CONCATENATE("DataColumns[",ColumnFinder[[#This Row],[DataType]],"]")))</f>
        <v>6</v>
      </c>
      <c r="O10" s="228" t="str">
        <f ca="1">IF(ISERROR(INDIRECT(ColumnFinder[[#This Row],[Column1]])),
"ERROR",
COUNTA(INDIRECT(CONCATENATE("DataColumns[",ColumnFinder[[#This Row],[DataType]],"]"))))</f>
        <v>ERROR</v>
      </c>
      <c r="P10" s="228" t="e">
        <f t="shared" ca="1" si="0"/>
        <v>#VALUE!</v>
      </c>
    </row>
    <row r="11" spans="1:16" x14ac:dyDescent="0.25">
      <c r="A11" t="s">
        <v>202</v>
      </c>
      <c r="B11" s="5" t="s">
        <v>1189</v>
      </c>
      <c r="C11" s="5" t="s">
        <v>202</v>
      </c>
      <c r="D11" s="5" t="s">
        <v>1905</v>
      </c>
      <c r="E11" s="5" t="s">
        <v>1429</v>
      </c>
      <c r="F11" s="5" t="s">
        <v>1489</v>
      </c>
      <c r="G11" s="5">
        <f>MATCH(ColumnFinder[[#This Row],[DataType]],DataColumns[#Headers],0)</f>
        <v>14</v>
      </c>
      <c r="H11" s="5" t="e">
        <f>MATCH(ColumnFinder[[#This Row],[DataType]],DataColumns[ColumnType],0)</f>
        <v>#N/A</v>
      </c>
      <c r="I11"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11">
        <f>IF(ColumnFinder[[#This Row],[REQUIRED]]="Optional",0,
IF(ColumnFinder[[#This Row],[VBV or Column]]="Value-By-Value",NumSpecimens,
IF(ColumnFinder[[#This Row],[Specimen or Result]]="Result",NumDataColumns,
1)))</f>
        <v>6</v>
      </c>
      <c r="K11" s="228" t="str">
        <f ca="1">IF(AND(ColumnFinder[[#This Row],[Number Values]]&lt;ColumnFinder[[#This Row],[Numer Values Required]],ColumnFinder[[#This Row],[DataType]]&lt;&gt;"DataValue"),
"Required field is missing values",
"OK")</f>
        <v>OK</v>
      </c>
      <c r="L11" s="228" t="str">
        <f>CONCATENATE("DataColumns[",ColumnFinder[[#This Row],[DataType]],"]")</f>
        <v>DataColumns[SampledMediumCV]</v>
      </c>
      <c r="M11" s="228">
        <f ca="1">COUNTA(INDIRECT(ColumnFinder[[#This Row],[Column1]]))</f>
        <v>6</v>
      </c>
      <c r="N11" s="228">
        <f ca="1">COUNTA(INDIRECT(CONCATENATE("DataColumns[",ColumnFinder[[#This Row],[DataType]],"]")))</f>
        <v>6</v>
      </c>
      <c r="O11" s="228" t="str">
        <f ca="1">IF(ISERROR(INDIRECT(ColumnFinder[[#This Row],[Column1]])),
"ERROR",
COUNTA(INDIRECT(CONCATENATE("DataColumns[",ColumnFinder[[#This Row],[DataType]],"]"))))</f>
        <v>ERROR</v>
      </c>
      <c r="P11" s="228" t="e">
        <f t="shared" ca="1" si="0"/>
        <v>#VALUE!</v>
      </c>
    </row>
    <row r="12" spans="1:16" x14ac:dyDescent="0.25">
      <c r="A12" t="s">
        <v>1522</v>
      </c>
      <c r="B12" s="5" t="s">
        <v>1491</v>
      </c>
      <c r="C12" s="5" t="s">
        <v>1499</v>
      </c>
      <c r="D12" s="5" t="s">
        <v>1905</v>
      </c>
      <c r="E12" s="5" t="s">
        <v>1497</v>
      </c>
      <c r="F12" s="5" t="s">
        <v>1489</v>
      </c>
      <c r="G12" s="5">
        <f>MATCH(ColumnFinder[[#This Row],[DataType]],DataColumns[#Headers],0)</f>
        <v>15</v>
      </c>
      <c r="H12" s="5" t="e">
        <f>MATCH(ColumnFinder[[#This Row],[DataType]],DataColumns[ColumnType],0)</f>
        <v>#N/A</v>
      </c>
      <c r="I12"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12">
        <f>IF(ColumnFinder[[#This Row],[REQUIRED]]="Optional",0,
IF(ColumnFinder[[#This Row],[VBV or Column]]="Value-By-Value",NumSpecimens,
IF(ColumnFinder[[#This Row],[Specimen or Result]]="Result",NumDataColumns,
1)))</f>
        <v>0</v>
      </c>
      <c r="K12" s="228" t="str">
        <f ca="1">IF(AND(ColumnFinder[[#This Row],[Number Values]]&lt;ColumnFinder[[#This Row],[Numer Values Required]],ColumnFinder[[#This Row],[DataType]]&lt;&gt;"DataValue"),
"Required field is missing values",
"OK")</f>
        <v>OK</v>
      </c>
      <c r="L12" s="228" t="str">
        <f>CONCATENATE("DataColumns[",ColumnFinder[[#This Row],[DataType]],"]")</f>
        <v>DataColumns[ResultAnalyst]</v>
      </c>
      <c r="M12" s="228">
        <f ca="1">COUNTA(INDIRECT(ColumnFinder[[#This Row],[Column1]]))</f>
        <v>0</v>
      </c>
      <c r="N12" s="228">
        <f ca="1">COUNTA(INDIRECT(CONCATENATE("DataColumns[",ColumnFinder[[#This Row],[DataType]],"]")))</f>
        <v>0</v>
      </c>
      <c r="O12" s="228" t="str">
        <f ca="1">IF(ISERROR(INDIRECT(ColumnFinder[[#This Row],[Column1]])),
"ERROR",
COUNTA(INDIRECT(CONCATENATE("DataColumns[",ColumnFinder[[#This Row],[DataType]],"]"))))</f>
        <v>ERROR</v>
      </c>
      <c r="P12" s="228" t="e">
        <f t="shared" ca="1" si="0"/>
        <v>#VALUE!</v>
      </c>
    </row>
    <row r="13" spans="1:16" x14ac:dyDescent="0.25">
      <c r="A13" t="s">
        <v>1510</v>
      </c>
      <c r="B13" s="5" t="s">
        <v>1183</v>
      </c>
      <c r="C13" s="5" t="s">
        <v>1503</v>
      </c>
      <c r="D13" s="5" t="s">
        <v>1905</v>
      </c>
      <c r="E13" s="5" t="s">
        <v>1429</v>
      </c>
      <c r="F13" s="5" t="s">
        <v>1489</v>
      </c>
      <c r="G13" s="5">
        <f>MATCH(ColumnFinder[[#This Row],[DataType]],DataColumns[#Headers],0)</f>
        <v>16</v>
      </c>
      <c r="H13" s="5" t="e">
        <f>MATCH(ColumnFinder[[#This Row],[DataType]],DataColumns[ColumnType],0)</f>
        <v>#N/A</v>
      </c>
      <c r="I13" s="5">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6</v>
      </c>
      <c r="J13" s="5">
        <f>IF(ColumnFinder[[#This Row],[REQUIRED]]="Optional",0,
IF(ColumnFinder[[#This Row],[VBV or Column]]="Value-By-Value",NumSpecimens,
IF(ColumnFinder[[#This Row],[Specimen or Result]]="Result",NumDataColumns,
1)))</f>
        <v>6</v>
      </c>
      <c r="K13" s="228" t="str">
        <f ca="1">IF(AND(ColumnFinder[[#This Row],[Number Values]]&lt;ColumnFinder[[#This Row],[Numer Values Required]],ColumnFinder[[#This Row],[DataType]]&lt;&gt;"DataValue"),
"Required field is missing values",
"OK")</f>
        <v>OK</v>
      </c>
      <c r="L13" s="228" t="str">
        <f>CONCATENATE("DataColumns[",ColumnFinder[[#This Row],[DataType]],"]")</f>
        <v>DataColumns[MethodCode]</v>
      </c>
      <c r="M13" s="228">
        <f ca="1">COUNTA(INDIRECT(ColumnFinder[[#This Row],[Column1]]))</f>
        <v>6</v>
      </c>
      <c r="N13" s="228">
        <f ca="1">COUNTA(INDIRECT(CONCATENATE("DataColumns[",ColumnFinder[[#This Row],[DataType]],"]")))</f>
        <v>6</v>
      </c>
      <c r="O13" s="228">
        <f ca="1">IF(ISERROR(INDIRECT(ColumnFinder[[#This Row],[Column1]])),
"ERROR",
COUNTA(INDIRECT(CONCATENATE("DataColumns[",ColumnFinder[[#This Row],[DataType]],"]"))))</f>
        <v>6</v>
      </c>
      <c r="P13" s="228">
        <f t="shared" ca="1" si="0"/>
        <v>0</v>
      </c>
    </row>
    <row r="14" spans="1:16" x14ac:dyDescent="0.25">
      <c r="A14" t="s">
        <v>1411</v>
      </c>
      <c r="B14" s="5" t="s">
        <v>1189</v>
      </c>
      <c r="C14" s="5" t="s">
        <v>1500</v>
      </c>
      <c r="D14" s="5" t="s">
        <v>1905</v>
      </c>
      <c r="E14" s="5" t="s">
        <v>1429</v>
      </c>
      <c r="F14" s="5" t="s">
        <v>1489</v>
      </c>
      <c r="G14" s="5">
        <f>MATCH(ColumnFinder[[#This Row],[DataType]],DataColumns[#Headers],0)</f>
        <v>17</v>
      </c>
      <c r="H14" s="5" t="e">
        <f>MATCH(ColumnFinder[[#This Row],[DataType]],DataColumns[ColumnType],0)</f>
        <v>#N/A</v>
      </c>
      <c r="I14">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6</v>
      </c>
      <c r="J14">
        <f>IF(ColumnFinder[[#This Row],[REQUIRED]]="Optional",0,
IF(ColumnFinder[[#This Row],[VBV or Column]]="Value-By-Value",NumSpecimens,
IF(ColumnFinder[[#This Row],[Specimen or Result]]="Result",NumDataColumns,
1)))</f>
        <v>6</v>
      </c>
      <c r="K14" s="228" t="str">
        <f ca="1">IF(AND(ColumnFinder[[#This Row],[Number Values]]&lt;ColumnFinder[[#This Row],[Numer Values Required]],ColumnFinder[[#This Row],[DataType]]&lt;&gt;"DataValue"),
"Required field is missing values",
"OK")</f>
        <v>OK</v>
      </c>
      <c r="L14" s="228" t="str">
        <f>CONCATENATE("DataColumns[",ColumnFinder[[#This Row],[DataType]],"]")</f>
        <v>DataColumns[ProcessingLevelCode]</v>
      </c>
      <c r="M14" s="228">
        <f ca="1">COUNTA(INDIRECT(ColumnFinder[[#This Row],[Column1]]))</f>
        <v>6</v>
      </c>
      <c r="N14" s="228">
        <f ca="1">COUNTA(INDIRECT(CONCATENATE("DataColumns[",ColumnFinder[[#This Row],[DataType]],"]")))</f>
        <v>6</v>
      </c>
      <c r="O14" s="228">
        <f ca="1">IF(ISERROR(INDIRECT(ColumnFinder[[#This Row],[Column1]])),
"ERROR",
COUNTA(INDIRECT(CONCATENATE("DataColumns[",ColumnFinder[[#This Row],[DataType]],"]"))))</f>
        <v>6</v>
      </c>
      <c r="P14" s="228">
        <f t="shared" ca="1" si="0"/>
        <v>0</v>
      </c>
    </row>
    <row r="15" spans="1:16" x14ac:dyDescent="0.25">
      <c r="A15" t="s">
        <v>1145</v>
      </c>
      <c r="B15" s="5" t="s">
        <v>1492</v>
      </c>
      <c r="C15" s="5" t="s">
        <v>1145</v>
      </c>
      <c r="D15" s="5" t="s">
        <v>1905</v>
      </c>
      <c r="E15" s="5" t="s">
        <v>1429</v>
      </c>
      <c r="F15" s="5" t="s">
        <v>1489</v>
      </c>
      <c r="G15" s="5">
        <f>MATCH(ColumnFinder[[#This Row],[DataType]],DataColumns[#Headers],0)</f>
        <v>18</v>
      </c>
      <c r="H15" s="5" t="e">
        <f>MATCH(ColumnFinder[[#This Row],[DataType]],DataColumns[ColumnType],0)</f>
        <v>#N/A</v>
      </c>
      <c r="I15">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6</v>
      </c>
      <c r="J15">
        <f>IF(ColumnFinder[[#This Row],[REQUIRED]]="Optional",0,
IF(ColumnFinder[[#This Row],[VBV or Column]]="Value-By-Value",NumSpecimens,
IF(ColumnFinder[[#This Row],[Specimen or Result]]="Result",NumDataColumns,
1)))</f>
        <v>6</v>
      </c>
      <c r="K15" s="228" t="str">
        <f ca="1">IF(AND(ColumnFinder[[#This Row],[Number Values]]&lt;ColumnFinder[[#This Row],[Numer Values Required]],ColumnFinder[[#This Row],[DataType]]&lt;&gt;"DataValue"),
"Required field is missing values",
"OK")</f>
        <v>OK</v>
      </c>
      <c r="L15" s="228" t="str">
        <f>CONCATENATE("DataColumns[",ColumnFinder[[#This Row],[DataType]],"]")</f>
        <v>DataColumns[CensorCodeCV]</v>
      </c>
      <c r="M15" s="228">
        <f ca="1">COUNTA(INDIRECT(ColumnFinder[[#This Row],[Column1]]))</f>
        <v>6</v>
      </c>
      <c r="N15" s="228">
        <f ca="1">COUNTA(INDIRECT(CONCATENATE("DataColumns[",ColumnFinder[[#This Row],[DataType]],"]")))</f>
        <v>6</v>
      </c>
      <c r="O15" s="228">
        <f ca="1">IF(ISERROR(INDIRECT(ColumnFinder[[#This Row],[Column1]])),
"ERROR",
COUNTA(INDIRECT(CONCATENATE("DataColumns[",ColumnFinder[[#This Row],[DataType]],"]"))))</f>
        <v>6</v>
      </c>
      <c r="P15" s="228">
        <f t="shared" ca="1" si="0"/>
        <v>0</v>
      </c>
    </row>
    <row r="16" spans="1:16" x14ac:dyDescent="0.25">
      <c r="A16" t="s">
        <v>1146</v>
      </c>
      <c r="B16" s="5" t="s">
        <v>1492</v>
      </c>
      <c r="C16" s="5" t="s">
        <v>1146</v>
      </c>
      <c r="D16" s="5" t="s">
        <v>1905</v>
      </c>
      <c r="E16" s="5" t="s">
        <v>1429</v>
      </c>
      <c r="F16" s="5" t="s">
        <v>1489</v>
      </c>
      <c r="G16" s="5">
        <f>MATCH(ColumnFinder[[#This Row],[DataType]],DataColumns[#Headers],0)</f>
        <v>19</v>
      </c>
      <c r="H16" s="5" t="e">
        <f>MATCH(ColumnFinder[[#This Row],[DataType]],DataColumns[ColumnType],0)</f>
        <v>#N/A</v>
      </c>
      <c r="I16">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6</v>
      </c>
      <c r="J16">
        <f>IF(ColumnFinder[[#This Row],[REQUIRED]]="Optional",0,
IF(ColumnFinder[[#This Row],[VBV or Column]]="Value-By-Value",NumSpecimens,
IF(ColumnFinder[[#This Row],[Specimen or Result]]="Result",NumDataColumns,
1)))</f>
        <v>6</v>
      </c>
      <c r="K16" s="228" t="str">
        <f ca="1">IF(AND(ColumnFinder[[#This Row],[Number Values]]&lt;ColumnFinder[[#This Row],[Numer Values Required]],ColumnFinder[[#This Row],[DataType]]&lt;&gt;"DataValue"),
"Required field is missing values",
"OK")</f>
        <v>OK</v>
      </c>
      <c r="L16" s="228" t="str">
        <f>CONCATENATE("DataColumns[",ColumnFinder[[#This Row],[DataType]],"]")</f>
        <v>DataColumns[QualityCodeCV]</v>
      </c>
      <c r="M16" s="228">
        <f ca="1">COUNTA(INDIRECT(ColumnFinder[[#This Row],[Column1]]))</f>
        <v>6</v>
      </c>
      <c r="N16" s="228">
        <f ca="1">COUNTA(INDIRECT(CONCATENATE("DataColumns[",ColumnFinder[[#This Row],[DataType]],"]")))</f>
        <v>6</v>
      </c>
      <c r="O16" s="228">
        <f ca="1">IF(ISERROR(INDIRECT(ColumnFinder[[#This Row],[Column1]])),
"ERROR",
COUNTA(INDIRECT(CONCATENATE("DataColumns[",ColumnFinder[[#This Row],[DataType]],"]"))))</f>
        <v>6</v>
      </c>
      <c r="P16" s="228">
        <f t="shared" ca="1" si="0"/>
        <v>0</v>
      </c>
    </row>
    <row r="17" spans="1:16" x14ac:dyDescent="0.25">
      <c r="A17" t="s">
        <v>1428</v>
      </c>
      <c r="B17" s="5" t="s">
        <v>1189</v>
      </c>
      <c r="C17" s="5" t="s">
        <v>1502</v>
      </c>
      <c r="D17" s="5" t="s">
        <v>1905</v>
      </c>
      <c r="E17" s="5" t="s">
        <v>1497</v>
      </c>
      <c r="F17" s="5" t="s">
        <v>1489</v>
      </c>
      <c r="G17" s="5">
        <f>MATCH(ColumnFinder[[#This Row],[DataType]],DataColumns[#Headers],0)</f>
        <v>20</v>
      </c>
      <c r="H17" s="5" t="e">
        <f>MATCH(ColumnFinder[[#This Row],[DataType]],DataColumns[ColumnType],0)</f>
        <v>#N/A</v>
      </c>
      <c r="I17">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0</v>
      </c>
      <c r="J17">
        <f>IF(ColumnFinder[[#This Row],[REQUIRED]]="Optional",0,
IF(ColumnFinder[[#This Row],[VBV or Column]]="Value-By-Value",NumSpecimens,
IF(ColumnFinder[[#This Row],[Specimen or Result]]="Result",NumDataColumns,
1)))</f>
        <v>0</v>
      </c>
      <c r="K17" s="228" t="str">
        <f ca="1">IF(AND(ColumnFinder[[#This Row],[Number Values]]&lt;ColumnFinder[[#This Row],[Numer Values Required]],ColumnFinder[[#This Row],[DataType]]&lt;&gt;"DataValue"),
"Required field is missing values",
"OK")</f>
        <v>OK</v>
      </c>
      <c r="L17" s="228" t="str">
        <f>CONCATENATE("DataColumns[",ColumnFinder[[#This Row],[DataType]],"]")</f>
        <v>DataColumns[TaxonomicClassifierName]</v>
      </c>
      <c r="M17" s="228">
        <f ca="1">COUNTA(INDIRECT(ColumnFinder[[#This Row],[Column1]]))</f>
        <v>0</v>
      </c>
      <c r="N17" s="228">
        <f ca="1">COUNTA(INDIRECT(CONCATENATE("DataColumns[",ColumnFinder[[#This Row],[DataType]],"]")))</f>
        <v>0</v>
      </c>
      <c r="O17" s="228">
        <f ca="1">IF(ISERROR(INDIRECT(ColumnFinder[[#This Row],[Column1]])),
"ERROR",
COUNTA(INDIRECT(CONCATENATE("DataColumns[",ColumnFinder[[#This Row],[DataType]],"]"))))</f>
        <v>0</v>
      </c>
      <c r="P17" s="228">
        <f t="shared" ca="1" si="0"/>
        <v>0</v>
      </c>
    </row>
    <row r="18" spans="1:16" x14ac:dyDescent="0.25">
      <c r="A18" t="s">
        <v>1409</v>
      </c>
      <c r="B18" s="5" t="s">
        <v>1492</v>
      </c>
      <c r="D18" s="5" t="s">
        <v>1905</v>
      </c>
      <c r="E18" s="5" t="s">
        <v>1429</v>
      </c>
      <c r="F18" s="5" t="s">
        <v>1489</v>
      </c>
      <c r="G18" s="5">
        <f>MATCH(ColumnFinder[[#This Row],[DataType]],DataColumns[#Headers],0)</f>
        <v>21</v>
      </c>
      <c r="H18" s="5" t="e">
        <f>MATCH(ColumnFinder[[#This Row],[DataType]],DataColumns[ColumnType],0)</f>
        <v>#N/A</v>
      </c>
      <c r="I18" s="5">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6</v>
      </c>
      <c r="J18" s="5">
        <f>IF(ColumnFinder[[#This Row],[REQUIRED]]="Optional",0,
IF(ColumnFinder[[#This Row],[VBV or Column]]="Value-By-Value",NumSpecimens,
IF(ColumnFinder[[#This Row],[Specimen or Result]]="Result",NumDataColumns,
1)))</f>
        <v>6</v>
      </c>
      <c r="K18" s="228" t="str">
        <f ca="1">IF(AND(ColumnFinder[[#This Row],[Number Values]]&lt;ColumnFinder[[#This Row],[Numer Values Required]],ColumnFinder[[#This Row],[DataType]]&lt;&gt;"DataValue"),
"Required field is missing values",
"OK")</f>
        <v>OK</v>
      </c>
      <c r="L18" s="228" t="str">
        <f>CONCATENATE("DataColumns[",ColumnFinder[[#This Row],[DataType]],"]")</f>
        <v>DataColumns[TimeAggregationInterval]</v>
      </c>
      <c r="M18" s="228">
        <f ca="1">COUNTA(INDIRECT(ColumnFinder[[#This Row],[Column1]]))</f>
        <v>6</v>
      </c>
      <c r="N18" s="228">
        <f ca="1">COUNTA(INDIRECT(CONCATENATE("DataColumns[",ColumnFinder[[#This Row],[DataType]],"]")))</f>
        <v>6</v>
      </c>
      <c r="O18" s="228">
        <f ca="1">IF(ISERROR(INDIRECT(ColumnFinder[[#This Row],[Column1]])),
"ERROR",
COUNTA(INDIRECT(CONCATENATE("DataColumns[",ColumnFinder[[#This Row],[DataType]],"]"))))</f>
        <v>6</v>
      </c>
      <c r="P18" s="228">
        <f t="shared" ca="1" si="0"/>
        <v>0</v>
      </c>
    </row>
    <row r="19" spans="1:16" x14ac:dyDescent="0.25">
      <c r="A19" t="s">
        <v>1410</v>
      </c>
      <c r="B19" s="5" t="s">
        <v>1492</v>
      </c>
      <c r="D19" s="5" t="s">
        <v>1905</v>
      </c>
      <c r="E19" s="5" t="s">
        <v>1429</v>
      </c>
      <c r="F19" s="5" t="s">
        <v>1489</v>
      </c>
      <c r="G19" s="5">
        <f>MATCH(ColumnFinder[[#This Row],[DataType]],DataColumns[#Headers],0)</f>
        <v>22</v>
      </c>
      <c r="H19" s="5" t="e">
        <f>MATCH(ColumnFinder[[#This Row],[DataType]],DataColumns[ColumnType],0)</f>
        <v>#N/A</v>
      </c>
      <c r="I19" s="5">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6</v>
      </c>
      <c r="J19" s="5">
        <f>IF(ColumnFinder[[#This Row],[REQUIRED]]="Optional",0,
IF(ColumnFinder[[#This Row],[VBV or Column]]="Value-By-Value",NumSpecimens,
IF(ColumnFinder[[#This Row],[Specimen or Result]]="Result",NumDataColumns,
1)))</f>
        <v>6</v>
      </c>
      <c r="K19" s="228" t="str">
        <f ca="1">IF(AND(ColumnFinder[[#This Row],[Number Values]]&lt;ColumnFinder[[#This Row],[Numer Values Required]],ColumnFinder[[#This Row],[DataType]]&lt;&gt;"DataValue"),
"Required field is missing values",
"OK")</f>
        <v>OK</v>
      </c>
      <c r="L19" s="228" t="str">
        <f>CONCATENATE("DataColumns[",ColumnFinder[[#This Row],[DataType]],"]")</f>
        <v>DataColumns[TimeAggregationIntervalUnitCode]</v>
      </c>
      <c r="M19" s="228">
        <f ca="1">COUNTA(INDIRECT(ColumnFinder[[#This Row],[Column1]]))</f>
        <v>6</v>
      </c>
      <c r="N19" s="228">
        <f ca="1">COUNTA(INDIRECT(CONCATENATE("DataColumns[",ColumnFinder[[#This Row],[DataType]],"]")))</f>
        <v>6</v>
      </c>
      <c r="O19" s="228">
        <f ca="1">IF(ISERROR(INDIRECT(ColumnFinder[[#This Row],[Column1]])),
"ERROR",
COUNTA(INDIRECT(CONCATENATE("DataColumns[",ColumnFinder[[#This Row],[DataType]],"]"))))</f>
        <v>6</v>
      </c>
      <c r="P19" s="228">
        <f t="shared" ca="1" si="0"/>
        <v>0</v>
      </c>
    </row>
    <row r="20" spans="1:16" x14ac:dyDescent="0.25">
      <c r="A20" t="s">
        <v>1156</v>
      </c>
      <c r="B20" s="5" t="s">
        <v>1492</v>
      </c>
      <c r="C20" s="5" t="s">
        <v>1156</v>
      </c>
      <c r="D20" s="5" t="s">
        <v>1905</v>
      </c>
      <c r="E20" s="5" t="s">
        <v>1429</v>
      </c>
      <c r="F20" s="5" t="s">
        <v>1489</v>
      </c>
      <c r="G20" s="5">
        <f>MATCH(ColumnFinder[[#This Row],[DataType]],DataColumns[#Headers],0)</f>
        <v>23</v>
      </c>
      <c r="H20" s="5" t="e">
        <f>MATCH(ColumnFinder[[#This Row],[DataType]],DataColumns[ColumnType],0)</f>
        <v>#N/A</v>
      </c>
      <c r="I20">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6</v>
      </c>
      <c r="J20">
        <f>IF(ColumnFinder[[#This Row],[REQUIRED]]="Optional",0,
IF(ColumnFinder[[#This Row],[VBV or Column]]="Value-By-Value",NumSpecimens,
IF(ColumnFinder[[#This Row],[Specimen or Result]]="Result",NumDataColumns,
1)))</f>
        <v>6</v>
      </c>
      <c r="K20" s="228" t="str">
        <f ca="1">IF(AND(ColumnFinder[[#This Row],[Number Values]]&lt;ColumnFinder[[#This Row],[Numer Values Required]],ColumnFinder[[#This Row],[DataType]]&lt;&gt;"DataValue"),
"Required field is missing values",
"OK")</f>
        <v>OK</v>
      </c>
      <c r="L20" s="228" t="str">
        <f>CONCATENATE("DataColumns[",ColumnFinder[[#This Row],[DataType]],"]")</f>
        <v>DataColumns[AggregationStatisticCV]</v>
      </c>
      <c r="M20" s="228">
        <f ca="1">COUNTA(INDIRECT(ColumnFinder[[#This Row],[Column1]]))</f>
        <v>6</v>
      </c>
      <c r="N20" s="228">
        <f ca="1">COUNTA(INDIRECT(CONCATENATE("DataColumns[",ColumnFinder[[#This Row],[DataType]],"]")))</f>
        <v>6</v>
      </c>
      <c r="O20" s="228">
        <f ca="1">IF(ISERROR(INDIRECT(ColumnFinder[[#This Row],[Column1]])),
"ERROR",
COUNTA(INDIRECT(CONCATENATE("DataColumns[",ColumnFinder[[#This Row],[DataType]],"]"))))</f>
        <v>6</v>
      </c>
      <c r="P20" s="228" t="str">
        <f t="shared" ca="1" si="0"/>
        <v>Liquid aqueous</v>
      </c>
    </row>
    <row r="21" spans="1:16" x14ac:dyDescent="0.25">
      <c r="A21" t="s">
        <v>1486</v>
      </c>
      <c r="B21" s="5" t="s">
        <v>1183</v>
      </c>
      <c r="D21" s="5" t="s">
        <v>1905</v>
      </c>
      <c r="E21" s="5" t="s">
        <v>1497</v>
      </c>
      <c r="F21" s="5" t="s">
        <v>1490</v>
      </c>
      <c r="G21" s="5" t="e">
        <f>MATCH(ColumnFinder[[#This Row],[DataType]],DataColumns[#Headers],0)</f>
        <v>#N/A</v>
      </c>
      <c r="H21" s="5">
        <f>MATCH(ColumnFinder[[#This Row],[DataType]],DataColumns[ColumnType],0)</f>
        <v>14</v>
      </c>
      <c r="I21" s="5">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277</v>
      </c>
      <c r="J21" s="5">
        <f>IF(ColumnFinder[[#This Row],[REQUIRED]]="Optional",0,
IF(ColumnFinder[[#This Row],[VBV or Column]]="Value-By-Value",NumSpecimens,
IF(ColumnFinder[[#This Row],[Specimen or Result]]="Result",NumDataColumns,
1)))</f>
        <v>0</v>
      </c>
      <c r="K21" s="228" t="str">
        <f ca="1">IF(AND(ColumnFinder[[#This Row],[Number Values]]&lt;ColumnFinder[[#This Row],[Numer Values Required]],ColumnFinder[[#This Row],[DataType]]&lt;&gt;"DataValue"),
"Required field is missing values",
"OK")</f>
        <v>OK</v>
      </c>
      <c r="L21" s="228" t="str">
        <f>CONCATENATE("DataColumns[",ColumnFinder[[#This Row],[DataType]],"]")</f>
        <v>DataColumns[AnalysisDateTime]</v>
      </c>
      <c r="M21" s="228">
        <f ca="1">COUNTA(INDIRECT(ColumnFinder[[#This Row],[Column1]]))</f>
        <v>1</v>
      </c>
      <c r="N21" s="228">
        <f ca="1">COUNTA(INDIRECT(CONCATENATE("DataColumns[",ColumnFinder[[#This Row],[DataType]],"]")))</f>
        <v>1</v>
      </c>
      <c r="O21" s="228" t="str">
        <f ca="1">IF(ISERROR(INDIRECT(ColumnFinder[[#This Row],[Column1]])),
"ERROR",
COUNTA(INDIRECT(CONCATENATE("DataColumns[",ColumnFinder[[#This Row],[DataType]],"]"))))</f>
        <v>ERROR</v>
      </c>
      <c r="P21" s="228" t="str">
        <f t="shared" ca="1" si="0"/>
        <v>Liquid aqueous</v>
      </c>
    </row>
    <row r="22" spans="1:16" x14ac:dyDescent="0.25">
      <c r="A22" t="s">
        <v>1487</v>
      </c>
      <c r="B22" s="5" t="s">
        <v>1183</v>
      </c>
      <c r="D22" s="5" t="s">
        <v>1905</v>
      </c>
      <c r="E22" s="5" t="s">
        <v>1497</v>
      </c>
      <c r="F22" s="5" t="s">
        <v>1490</v>
      </c>
      <c r="G22" s="5" t="e">
        <f>MATCH(ColumnFinder[[#This Row],[DataType]],DataColumns[#Headers],0)</f>
        <v>#N/A</v>
      </c>
      <c r="H22" s="5">
        <f>MATCH(ColumnFinder[[#This Row],[DataType]],DataColumns[ColumnType],0)</f>
        <v>15</v>
      </c>
      <c r="I22">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277</v>
      </c>
      <c r="J22">
        <f>IF(ColumnFinder[[#This Row],[REQUIRED]]="Optional",0,
IF(ColumnFinder[[#This Row],[VBV or Column]]="Value-By-Value",NumSpecimens,
IF(ColumnFinder[[#This Row],[Specimen or Result]]="Result",NumDataColumns,
1)))</f>
        <v>0</v>
      </c>
      <c r="K22" s="228" t="str">
        <f ca="1">IF(AND(ColumnFinder[[#This Row],[Number Values]]&lt;ColumnFinder[[#This Row],[Numer Values Required]],ColumnFinder[[#This Row],[DataType]]&lt;&gt;"DataValue"),
"Required field is missing values",
"OK")</f>
        <v>OK</v>
      </c>
      <c r="L22" s="228" t="str">
        <f>CONCATENATE("DataColumns[",ColumnFinder[[#This Row],[DataType]],"]")</f>
        <v>DataColumns[AnalysisDateTimeUTCOffset]</v>
      </c>
      <c r="M22" s="228">
        <f ca="1">COUNTA(INDIRECT(ColumnFinder[[#This Row],[Column1]]))</f>
        <v>1</v>
      </c>
      <c r="N22" s="228">
        <f ca="1">COUNTA(INDIRECT(CONCATENATE("DataColumns[",ColumnFinder[[#This Row],[DataType]],"]")))</f>
        <v>1</v>
      </c>
      <c r="O22" s="228" t="str">
        <f ca="1">IF(ISERROR(INDIRECT(ColumnFinder[[#This Row],[Column1]])),
"ERROR",
COUNTA(INDIRECT(CONCATENATE("DataColumns[",ColumnFinder[[#This Row],[DataType]],"]"))))</f>
        <v>ERROR</v>
      </c>
      <c r="P22" s="228" t="str">
        <f t="shared" ca="1" si="0"/>
        <v>Liquid aqueous</v>
      </c>
    </row>
    <row r="23" spans="1:16" x14ac:dyDescent="0.25">
      <c r="A23" t="s">
        <v>1138</v>
      </c>
      <c r="B23" s="5" t="s">
        <v>1189</v>
      </c>
      <c r="D23" s="5" t="s">
        <v>1905</v>
      </c>
      <c r="E23" s="5" t="s">
        <v>1497</v>
      </c>
      <c r="F23" s="5" t="s">
        <v>1490</v>
      </c>
      <c r="G23" s="5" t="e">
        <f>MATCH(ColumnFinder[[#This Row],[DataType]],DataColumns[#Headers],0)</f>
        <v>#N/A</v>
      </c>
      <c r="H23" s="5" t="e">
        <f>MATCH(ColumnFinder[[#This Row],[DataType]],DataColumns[ColumnType],0)</f>
        <v>#N/A</v>
      </c>
      <c r="I23"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23">
        <f>IF(ColumnFinder[[#This Row],[REQUIRED]]="Optional",0,
IF(ColumnFinder[[#This Row],[VBV or Column]]="Value-By-Value",NumSpecimens,
IF(ColumnFinder[[#This Row],[Specimen or Result]]="Result",NumDataColumns,
1)))</f>
        <v>0</v>
      </c>
      <c r="K23" s="228" t="str">
        <f ca="1">IF(AND(ColumnFinder[[#This Row],[Number Values]]&lt;ColumnFinder[[#This Row],[Numer Values Required]],ColumnFinder[[#This Row],[DataType]]&lt;&gt;"DataValue"),
"Required field is missing values",
"OK")</f>
        <v>OK</v>
      </c>
      <c r="L23" s="228" t="str">
        <f>CONCATENATE("DataColumns[",ColumnFinder[[#This Row],[DataType]],"]")</f>
        <v>DataColumns[ResultUUID]</v>
      </c>
      <c r="M23" s="228">
        <f ca="1">COUNTA(INDIRECT(ColumnFinder[[#This Row],[Column1]]))</f>
        <v>1</v>
      </c>
      <c r="N23" s="228">
        <f ca="1">COUNTA(INDIRECT(CONCATENATE("DataColumns[",ColumnFinder[[#This Row],[DataType]],"]")))</f>
        <v>1</v>
      </c>
      <c r="O23" s="228" t="str">
        <f ca="1">IF(ISERROR(INDIRECT(ColumnFinder[[#This Row],[Column1]])),
"ERROR",
COUNTA(INDIRECT(CONCATENATE("DataColumns[",ColumnFinder[[#This Row],[DataType]],"]"))))</f>
        <v>ERROR</v>
      </c>
      <c r="P23" s="228" t="str">
        <f t="shared" ca="1" si="0"/>
        <v>Liquid aqueous</v>
      </c>
    </row>
    <row r="24" spans="1:16" x14ac:dyDescent="0.25">
      <c r="A24" t="s">
        <v>1488</v>
      </c>
      <c r="B24" s="5" t="s">
        <v>1496</v>
      </c>
      <c r="D24" s="5" t="s">
        <v>1905</v>
      </c>
      <c r="E24" s="5" t="s">
        <v>1497</v>
      </c>
      <c r="F24" s="5" t="s">
        <v>1490</v>
      </c>
      <c r="G24" s="5" t="e">
        <f>MATCH(ColumnFinder[[#This Row],[DataType]],DataColumns[#Headers],0)</f>
        <v>#N/A</v>
      </c>
      <c r="H24" s="5" t="e">
        <f>MATCH(ColumnFinder[[#This Row],[DataType]],DataColumns[ColumnType],0)</f>
        <v>#N/A</v>
      </c>
      <c r="I24"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24">
        <f>IF(ColumnFinder[[#This Row],[REQUIRED]]="Optional",0,
IF(ColumnFinder[[#This Row],[VBV or Column]]="Value-By-Value",NumSpecimens,
IF(ColumnFinder[[#This Row],[Specimen or Result]]="Result",NumDataColumns,
1)))</f>
        <v>0</v>
      </c>
      <c r="K24" s="228" t="str">
        <f ca="1">IF(AND(ColumnFinder[[#This Row],[Number Values]]&lt;ColumnFinder[[#This Row],[Numer Values Required]],ColumnFinder[[#This Row],[DataType]]&lt;&gt;"DataValue"),
"Required field is missing values",
"OK")</f>
        <v>OK</v>
      </c>
      <c r="L24" s="228" t="str">
        <f>CONCATENATE("DataColumns[",ColumnFinder[[#This Row],[DataType]],"]")</f>
        <v>DataColumns[ValueAnnotation]</v>
      </c>
      <c r="M24" s="228">
        <f ca="1">COUNTA(INDIRECT(ColumnFinder[[#This Row],[Column1]]))</f>
        <v>1</v>
      </c>
      <c r="N24" s="228">
        <f ca="1">COUNTA(INDIRECT(CONCATENATE("DataColumns[",ColumnFinder[[#This Row],[DataType]],"]")))</f>
        <v>1</v>
      </c>
      <c r="O24" s="228" t="str">
        <f ca="1">IF(ISERROR(INDIRECT(ColumnFinder[[#This Row],[Column1]])),
"ERROR",
COUNTA(INDIRECT(CONCATENATE("DataColumns[",ColumnFinder[[#This Row],[DataType]],"]"))))</f>
        <v>ERROR</v>
      </c>
      <c r="P24" s="228" t="str">
        <f t="shared" ca="1" si="0"/>
        <v>Liquid aqueous</v>
      </c>
    </row>
    <row r="25" spans="1:16" x14ac:dyDescent="0.25">
      <c r="A25" s="5" t="s">
        <v>1483</v>
      </c>
      <c r="B25" s="5" t="s">
        <v>1494</v>
      </c>
      <c r="D25" s="5" t="s">
        <v>26</v>
      </c>
      <c r="E25" s="5" t="s">
        <v>1497</v>
      </c>
      <c r="F25" s="5" t="s">
        <v>1490</v>
      </c>
      <c r="G25" s="228" t="e">
        <f>MATCH(ColumnFinder[[#This Row],[DataType]],DataColumns[#Headers],0)</f>
        <v>#N/A</v>
      </c>
      <c r="H25" s="228" t="e">
        <f>MATCH(ColumnFinder[[#This Row],[DataType]],DataColumns[ColumnType],0)</f>
        <v>#N/A</v>
      </c>
      <c r="I25" s="228"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25" s="228">
        <f>IF(ColumnFinder[[#This Row],[REQUIRED]]="Optional",0,
IF(ColumnFinder[[#This Row],[VBV or Column]]="Value-By-Value",NumSpecimens,
IF(ColumnFinder[[#This Row],[Specimen or Result]]="Result",NumDataColumns,
1)))</f>
        <v>0</v>
      </c>
      <c r="K25" s="228" t="str">
        <f ca="1">IF(AND(ColumnFinder[[#This Row],[Number Values]]&lt;ColumnFinder[[#This Row],[Numer Values Required]],ColumnFinder[[#This Row],[DataType]]&lt;&gt;"DataValue"),
"Required field is missing values",
"OK")</f>
        <v>OK</v>
      </c>
      <c r="L25" s="228" t="str">
        <f>CONCATENATE("DataColumns[",ColumnFinder[[#This Row],[DataType]],"]")</f>
        <v>DataColumns[SpecimenDescription]</v>
      </c>
      <c r="M25" s="228">
        <f ca="1">COUNTA(INDIRECT(ColumnFinder[[#This Row],[Column1]]))</f>
        <v>1</v>
      </c>
      <c r="N25" s="228">
        <f ca="1">COUNTA(INDIRECT(CONCATENATE("DataColumns[",ColumnFinder[[#This Row],[DataType]],"]")))</f>
        <v>1</v>
      </c>
      <c r="O25" s="228" t="str">
        <f ca="1">IF(ISERROR(INDIRECT(ColumnFinder[[#This Row],[Column1]])),
"ERROR",
COUNTA(INDIRECT(CONCATENATE("DataColumns[",ColumnFinder[[#This Row],[DataType]],"]"))))</f>
        <v>ERROR</v>
      </c>
      <c r="P25" s="228" t="str">
        <f t="shared" ca="1" si="0"/>
        <v>Liquid aqueous</v>
      </c>
    </row>
    <row r="26" spans="1:16" x14ac:dyDescent="0.25">
      <c r="A26" t="s">
        <v>1448</v>
      </c>
      <c r="B26" s="5" t="s">
        <v>1495</v>
      </c>
      <c r="D26" s="5" t="s">
        <v>26</v>
      </c>
      <c r="E26" s="5" t="s">
        <v>1497</v>
      </c>
      <c r="F26" s="5" t="s">
        <v>1490</v>
      </c>
      <c r="G26" s="5" t="e">
        <f>MATCH(ColumnFinder[[#This Row],[DataType]],DataColumns[#Headers],0)</f>
        <v>#N/A</v>
      </c>
      <c r="H26" s="5" t="e">
        <f>MATCH(ColumnFinder[[#This Row],[DataType]],DataColumns[ColumnType],0)</f>
        <v>#N/A</v>
      </c>
      <c r="I26"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26">
        <f>IF(ColumnFinder[[#This Row],[REQUIRED]]="Optional",0,
IF(ColumnFinder[[#This Row],[VBV or Column]]="Value-By-Value",NumSpecimens,
IF(ColumnFinder[[#This Row],[Specimen or Result]]="Result",NumDataColumns,
1)))</f>
        <v>0</v>
      </c>
      <c r="K26" s="228" t="str">
        <f ca="1">IF(AND(ColumnFinder[[#This Row],[Number Values]]&lt;ColumnFinder[[#This Row],[Numer Values Required]],ColumnFinder[[#This Row],[DataType]]&lt;&gt;"DataValue"),
"Required field is missing values",
"OK")</f>
        <v>OK</v>
      </c>
      <c r="L26" s="228" t="str">
        <f>CONCATENATE("DataColumns[",ColumnFinder[[#This Row],[DataType]],"]")</f>
        <v>DataColumns[SpecimenIGSN]</v>
      </c>
      <c r="M26" s="228">
        <f ca="1">COUNTA(INDIRECT(ColumnFinder[[#This Row],[Column1]]))</f>
        <v>1</v>
      </c>
      <c r="N26" s="228">
        <f ca="1">COUNTA(INDIRECT(CONCATENATE("DataColumns[",ColumnFinder[[#This Row],[DataType]],"]")))</f>
        <v>1</v>
      </c>
      <c r="O26" s="228" t="str">
        <f ca="1">IF(ISERROR(INDIRECT(ColumnFinder[[#This Row],[Column1]])),
"ERROR",
COUNTA(INDIRECT(CONCATENATE("DataColumns[",ColumnFinder[[#This Row],[DataType]],"]"))))</f>
        <v>ERROR</v>
      </c>
      <c r="P26" s="228">
        <f t="shared" ca="1" si="0"/>
        <v>0</v>
      </c>
    </row>
    <row r="27" spans="1:16" x14ac:dyDescent="0.25">
      <c r="A27" t="s">
        <v>1482</v>
      </c>
      <c r="B27" s="5" t="s">
        <v>1494</v>
      </c>
      <c r="D27" s="5" t="s">
        <v>26</v>
      </c>
      <c r="E27" s="5" t="s">
        <v>1497</v>
      </c>
      <c r="F27" s="5" t="s">
        <v>1490</v>
      </c>
      <c r="G27" s="5" t="e">
        <f>MATCH(ColumnFinder[[#This Row],[DataType]],DataColumns[#Headers],0)</f>
        <v>#N/A</v>
      </c>
      <c r="H27" s="5" t="e">
        <f>MATCH(ColumnFinder[[#This Row],[DataType]],DataColumns[ColumnType],0)</f>
        <v>#N/A</v>
      </c>
      <c r="I27" s="5"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27" s="5">
        <f>IF(ColumnFinder[[#This Row],[REQUIRED]]="Optional",0,
IF(ColumnFinder[[#This Row],[VBV or Column]]="Value-By-Value",NumSpecimens,
IF(ColumnFinder[[#This Row],[Specimen or Result]]="Result",NumDataColumns,
1)))</f>
        <v>0</v>
      </c>
      <c r="K27" s="228" t="str">
        <f ca="1">IF(AND(ColumnFinder[[#This Row],[Number Values]]&lt;ColumnFinder[[#This Row],[Numer Values Required]],ColumnFinder[[#This Row],[DataType]]&lt;&gt;"DataValue"),
"Required field is missing values",
"OK")</f>
        <v>OK</v>
      </c>
      <c r="L27" s="228" t="str">
        <f>CONCATENATE("DataColumns[",ColumnFinder[[#This Row],[DataType]],"]")</f>
        <v>DataColumns[SpecimenName]</v>
      </c>
      <c r="M27" s="228">
        <f ca="1">COUNTA(INDIRECT(ColumnFinder[[#This Row],[Column1]]))</f>
        <v>1</v>
      </c>
      <c r="N27" s="228">
        <f ca="1">COUNTA(INDIRECT(CONCATENATE("DataColumns[",ColumnFinder[[#This Row],[DataType]],"]")))</f>
        <v>1</v>
      </c>
      <c r="O27" s="228" t="str">
        <f ca="1">IF(ISERROR(INDIRECT(ColumnFinder[[#This Row],[Column1]])),
"ERROR",
COUNTA(INDIRECT(CONCATENATE("DataColumns[",ColumnFinder[[#This Row],[DataType]],"]"))))</f>
        <v>ERROR</v>
      </c>
      <c r="P27" s="228">
        <f t="shared" ca="1" si="0"/>
        <v>0</v>
      </c>
    </row>
    <row r="28" spans="1:16" x14ac:dyDescent="0.25">
      <c r="A28" t="s">
        <v>1449</v>
      </c>
      <c r="B28" s="5" t="s">
        <v>1494</v>
      </c>
      <c r="C28" s="5" t="s">
        <v>197</v>
      </c>
      <c r="D28" s="5" t="s">
        <v>26</v>
      </c>
      <c r="E28" s="5" t="s">
        <v>1497</v>
      </c>
      <c r="F28" s="5" t="s">
        <v>1490</v>
      </c>
      <c r="G28" s="5" t="e">
        <f>MATCH(ColumnFinder[[#This Row],[DataType]],DataColumns[#Headers],0)</f>
        <v>#N/A</v>
      </c>
      <c r="H28" t="e">
        <f>MATCH(ColumnFinder[[#This Row],[DataType]],DataColumns[ColumnType],0)</f>
        <v>#N/A</v>
      </c>
      <c r="I28" t="str">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ERROR</v>
      </c>
      <c r="J28">
        <f>IF(ColumnFinder[[#This Row],[REQUIRED]]="Optional",0,
IF(ColumnFinder[[#This Row],[VBV or Column]]="Value-By-Value",NumSpecimens,
IF(ColumnFinder[[#This Row],[Specimen or Result]]="Result",NumDataColumns,
1)))</f>
        <v>0</v>
      </c>
      <c r="K28" s="228" t="str">
        <f ca="1">IF(AND(ColumnFinder[[#This Row],[Number Values]]&lt;ColumnFinder[[#This Row],[Numer Values Required]],ColumnFinder[[#This Row],[DataType]]&lt;&gt;"DataValue"),
"Required field is missing values",
"OK")</f>
        <v>OK</v>
      </c>
      <c r="L28" s="228" t="str">
        <f>CONCATENATE("DataColumns[",ColumnFinder[[#This Row],[DataType]],"]")</f>
        <v>DataColumns[SpecimenUUID]</v>
      </c>
      <c r="M28" s="228">
        <f ca="1">COUNTA(INDIRECT(ColumnFinder[[#This Row],[Column1]]))</f>
        <v>1</v>
      </c>
      <c r="N28" s="228">
        <f ca="1">COUNTA(INDIRECT(CONCATENATE("DataColumns[",ColumnFinder[[#This Row],[DataType]],"]")))</f>
        <v>1</v>
      </c>
      <c r="O28" s="228" t="str">
        <f ca="1">IF(ISERROR(INDIRECT(ColumnFinder[[#This Row],[Column1]])),
"ERROR",
COUNTA(INDIRECT(CONCATENATE("DataColumns[",ColumnFinder[[#This Row],[DataType]],"]"))))</f>
        <v>ERROR</v>
      </c>
      <c r="P28" s="228">
        <f t="shared" ca="1" si="0"/>
        <v>0</v>
      </c>
    </row>
    <row r="29" spans="1:16" x14ac:dyDescent="0.25">
      <c r="A29" t="s">
        <v>1408</v>
      </c>
      <c r="B29" s="5" t="s">
        <v>1493</v>
      </c>
      <c r="D29" s="5" t="s">
        <v>1905</v>
      </c>
      <c r="E29" s="5" t="s">
        <v>1429</v>
      </c>
      <c r="F29" s="5" t="s">
        <v>1490</v>
      </c>
      <c r="G29" s="5" t="e">
        <f>MATCH(ColumnFinder[[#This Row],[DataType]],DataColumns[#Headers],0)</f>
        <v>#N/A</v>
      </c>
      <c r="H29">
        <f>MATCH(ColumnFinder[[#This Row],[DataType]],DataColumns[ColumnType],0)</f>
        <v>8</v>
      </c>
      <c r="I29">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264</v>
      </c>
      <c r="J29">
        <f ca="1">IF(ColumnFinder[[#This Row],[REQUIRED]]="Optional",0,
IF(ColumnFinder[[#This Row],[VBV or Column]]="Value-By-Value",NumSpecimens,
IF(ColumnFinder[[#This Row],[Specimen or Result]]="Result",NumDataColumns,
1)))</f>
        <v>277</v>
      </c>
      <c r="K29" s="228" t="str">
        <f ca="1">IF(AND(ColumnFinder[[#This Row],[Number Values]]&lt;ColumnFinder[[#This Row],[Numer Values Required]],ColumnFinder[[#This Row],[DataType]]&lt;&gt;"DataValue"),
"Required field is missing values",
"OK")</f>
        <v>OK</v>
      </c>
      <c r="L29" s="228" t="str">
        <f>CONCATENATE("DataColumns[",ColumnFinder[[#This Row],[DataType]],"]")</f>
        <v>DataColumns[DataValue]</v>
      </c>
      <c r="M29" s="228">
        <f ca="1">COUNTA(INDIRECT(ColumnFinder[[#This Row],[Column1]]))</f>
        <v>1</v>
      </c>
      <c r="N29" s="228">
        <f ca="1">COUNTA(INDIRECT(CONCATENATE("DataColumns[",ColumnFinder[[#This Row],[DataType]],"]")))</f>
        <v>1</v>
      </c>
      <c r="O29" s="228" t="str">
        <f ca="1">IF(ISERROR(INDIRECT(ColumnFinder[[#This Row],[Column1]])),
"ERROR",
COUNTA(INDIRECT(CONCATENATE("DataColumns[",ColumnFinder[[#This Row],[DataType]],"]"))))</f>
        <v>ERROR</v>
      </c>
      <c r="P29" s="228">
        <f t="shared" ca="1" si="0"/>
        <v>0</v>
      </c>
    </row>
    <row r="30" spans="1:16" x14ac:dyDescent="0.25">
      <c r="A30" t="s">
        <v>1484</v>
      </c>
      <c r="B30" s="5" t="s">
        <v>2482</v>
      </c>
      <c r="D30" s="5" t="s">
        <v>26</v>
      </c>
      <c r="E30" s="5" t="s">
        <v>1429</v>
      </c>
      <c r="F30" s="5" t="s">
        <v>1490</v>
      </c>
      <c r="G30" s="5" t="e">
        <f>MATCH(ColumnFinder[[#This Row],[DataType]],DataColumns[#Headers],0)</f>
        <v>#N/A</v>
      </c>
      <c r="H30">
        <f>MATCH(ColumnFinder[[#This Row],[DataType]],DataColumns[ColumnType],0)</f>
        <v>1</v>
      </c>
      <c r="I30">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277</v>
      </c>
      <c r="J30">
        <f ca="1">IF(ColumnFinder[[#This Row],[REQUIRED]]="Optional",0,
IF(ColumnFinder[[#This Row],[VBV or Column]]="Value-By-Value",NumSpecimens,
IF(ColumnFinder[[#This Row],[Specimen or Result]]="Result",NumDataColumns,
1)))</f>
        <v>277</v>
      </c>
      <c r="K30" s="228" t="str">
        <f ca="1">IF(AND(ColumnFinder[[#This Row],[Number Values]]&lt;ColumnFinder[[#This Row],[Numer Values Required]],ColumnFinder[[#This Row],[DataType]]&lt;&gt;"DataValue"),
"Required field is missing values",
"OK")</f>
        <v>OK</v>
      </c>
      <c r="L30" s="228" t="str">
        <f>CONCATENATE("DataColumns[",ColumnFinder[[#This Row],[DataType]],"]")</f>
        <v>DataColumns[CollectionDateTime]</v>
      </c>
      <c r="M30" s="228">
        <f ca="1">COUNTA(INDIRECT(ColumnFinder[[#This Row],[Column1]]))</f>
        <v>1</v>
      </c>
      <c r="N30" s="228">
        <f ca="1">COUNTA(INDIRECT(CONCATENATE("DataColumns[",ColumnFinder[[#This Row],[DataType]],"]")))</f>
        <v>1</v>
      </c>
      <c r="O30" s="228" t="str">
        <f ca="1">IF(ISERROR(INDIRECT(ColumnFinder[[#This Row],[Column1]])),
"ERROR",
COUNTA(INDIRECT(CONCATENATE("DataColumns[",ColumnFinder[[#This Row],[DataType]],"]"))))</f>
        <v>ERROR</v>
      </c>
      <c r="P30" s="228">
        <f t="shared" ca="1" si="0"/>
        <v>0</v>
      </c>
    </row>
    <row r="31" spans="1:16" x14ac:dyDescent="0.25">
      <c r="A31" t="s">
        <v>1485</v>
      </c>
      <c r="B31" s="5" t="s">
        <v>2482</v>
      </c>
      <c r="D31" s="5" t="s">
        <v>26</v>
      </c>
      <c r="E31" s="5" t="s">
        <v>1429</v>
      </c>
      <c r="F31" s="5" t="s">
        <v>1490</v>
      </c>
      <c r="G31" s="5" t="e">
        <f>MATCH(ColumnFinder[[#This Row],[DataType]],DataColumns[#Headers],0)</f>
        <v>#N/A</v>
      </c>
      <c r="H31" s="5">
        <f>MATCH(ColumnFinder[[#This Row],[DataType]],DataColumns[ColumnType],0)</f>
        <v>2</v>
      </c>
      <c r="I31">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277</v>
      </c>
      <c r="J31">
        <f ca="1">IF(ColumnFinder[[#This Row],[REQUIRED]]="Optional",0,
IF(ColumnFinder[[#This Row],[VBV or Column]]="Value-By-Value",NumSpecimens,
IF(ColumnFinder[[#This Row],[Specimen or Result]]="Result",NumDataColumns,
1)))</f>
        <v>277</v>
      </c>
      <c r="K31" s="228" t="str">
        <f ca="1">IF(AND(ColumnFinder[[#This Row],[Number Values]]&lt;ColumnFinder[[#This Row],[Numer Values Required]],ColumnFinder[[#This Row],[DataType]]&lt;&gt;"DataValue"),
"Required field is missing values",
"OK")</f>
        <v>OK</v>
      </c>
      <c r="L31" s="228" t="str">
        <f>CONCATENATE("DataColumns[",ColumnFinder[[#This Row],[DataType]],"]")</f>
        <v>DataColumns[CollectionDateTimeUTCOffset]</v>
      </c>
      <c r="M31" s="228">
        <f ca="1">COUNTA(INDIRECT(ColumnFinder[[#This Row],[Column1]]))</f>
        <v>1</v>
      </c>
      <c r="N31" s="228">
        <f ca="1">COUNTA(INDIRECT(CONCATENATE("DataColumns[",ColumnFinder[[#This Row],[DataType]],"]")))</f>
        <v>1</v>
      </c>
      <c r="O31" s="228" t="str">
        <f ca="1">IF(ISERROR(INDIRECT(ColumnFinder[[#This Row],[Column1]])),
"ERROR",
COUNTA(INDIRECT(CONCATENATE("DataColumns[",ColumnFinder[[#This Row],[DataType]],"]"))))</f>
        <v>ERROR</v>
      </c>
      <c r="P31" s="228">
        <f t="shared" ca="1" si="0"/>
        <v>0</v>
      </c>
    </row>
    <row r="32" spans="1:16" x14ac:dyDescent="0.25">
      <c r="A32" t="s">
        <v>1903</v>
      </c>
      <c r="B32" s="5" t="s">
        <v>1494</v>
      </c>
      <c r="D32" s="5" t="s">
        <v>26</v>
      </c>
      <c r="E32" s="5" t="s">
        <v>1429</v>
      </c>
      <c r="F32" s="5" t="s">
        <v>1490</v>
      </c>
      <c r="G32" s="5" t="e">
        <f>MATCH(ColumnFinder[[#This Row],[DataType]],DataColumns[#Headers],0)</f>
        <v>#N/A</v>
      </c>
      <c r="H32" s="5">
        <f>MATCH(ColumnFinder[[#This Row],[DataType]],DataColumns[ColumnType],0)</f>
        <v>3</v>
      </c>
      <c r="I32" s="5">
        <f ca="1">IF(ISERROR(ColumnFinder[[#This Row],[Data Values Column Number]]),
IF(ISERROR(INDIRECT(CONCATENATE("DataColumns[",ColumnFinder[[#This Row],[DataType]],"]"))),
"ERROR",
COUNTA(INDIRECT(CONCATENATE("DataColumns[",ColumnFinder[[#This Row],[DataType]],"]")))),
COUNTA(INDIRECT(CONCATENATE("'Data Values'!C",ColumnFinder[[#This Row],[Data Values Column Number]]),FALSE))-1)</f>
        <v>277</v>
      </c>
      <c r="J32" s="5">
        <f ca="1">IF(ColumnFinder[[#This Row],[REQUIRED]]="Optional",0,
IF(ColumnFinder[[#This Row],[VBV or Column]]="Value-By-Value",NumSpecimens,
IF(ColumnFinder[[#This Row],[Specimen or Result]]="Result",NumDataColumns,
1)))</f>
        <v>277</v>
      </c>
      <c r="K32" s="228" t="str">
        <f ca="1">IF(AND(ColumnFinder[[#This Row],[Number Values]]&lt;ColumnFinder[[#This Row],[Numer Values Required]],ColumnFinder[[#This Row],[DataType]]&lt;&gt;"DataValue"),
"Required field is missing values",
"OK")</f>
        <v>OK</v>
      </c>
      <c r="L32" s="228" t="str">
        <f>CONCATENATE("DataColumns[",ColumnFinder[[#This Row],[DataType]],"]")</f>
        <v>DataColumns[SamplingFeatureCode]</v>
      </c>
      <c r="M32" s="228">
        <f ca="1">COUNTA(INDIRECT(ColumnFinder[[#This Row],[Column1]]))</f>
        <v>1</v>
      </c>
      <c r="N32" s="228">
        <f ca="1">COUNTA(INDIRECT(CONCATENATE("DataColumns[",ColumnFinder[[#This Row],[DataType]],"]")))</f>
        <v>1</v>
      </c>
      <c r="O32" s="228" t="str">
        <f ca="1">IF(ISERROR(INDIRECT(ColumnFinder[[#This Row],[Column1]])),
"ERROR",
COUNTA(INDIRECT(CONCATENATE("DataColumns[",ColumnFinder[[#This Row],[DataType]],"]"))))</f>
        <v>ERROR</v>
      </c>
      <c r="P32" s="228">
        <f t="shared" ca="1" si="0"/>
        <v>0</v>
      </c>
    </row>
  </sheetData>
  <sortState ref="A2:A26">
    <sortCondition ref="A2:A26"/>
  </sortState>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8.42578125" style="4" bestFit="1" customWidth="1"/>
    <col min="5" max="5" width="14.5703125" style="4" bestFit="1" customWidth="1"/>
    <col min="6" max="6" width="14.5703125" style="4"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6384" width="8.85546875" style="4"/>
  </cols>
  <sheetData>
    <row r="1" spans="1:15" x14ac:dyDescent="0.25">
      <c r="A1" s="5" t="s">
        <v>1345</v>
      </c>
      <c r="B1" s="5" t="s">
        <v>1171</v>
      </c>
      <c r="C1" s="5" t="s">
        <v>1346</v>
      </c>
      <c r="D1" s="5" t="s">
        <v>1347</v>
      </c>
      <c r="E1" s="5" t="s">
        <v>1348</v>
      </c>
      <c r="F1" s="5" t="s">
        <v>1523</v>
      </c>
      <c r="G1" s="5" t="s">
        <v>1441</v>
      </c>
      <c r="H1" s="5" t="s">
        <v>833</v>
      </c>
      <c r="I1" s="5" t="s">
        <v>1349</v>
      </c>
      <c r="J1" s="5" t="s">
        <v>1350</v>
      </c>
      <c r="K1" s="5" t="s">
        <v>1351</v>
      </c>
      <c r="L1" s="5" t="s">
        <v>1352</v>
      </c>
      <c r="M1" s="5" t="s">
        <v>1353</v>
      </c>
      <c r="N1" s="4" t="s">
        <v>1505</v>
      </c>
      <c r="O1" s="4" t="s">
        <v>1506</v>
      </c>
    </row>
    <row r="2" spans="1:15" x14ac:dyDescent="0.25">
      <c r="A2" s="157">
        <v>40548.65</v>
      </c>
      <c r="B2" s="5">
        <v>-5</v>
      </c>
      <c r="C2" s="5">
        <v>1100003</v>
      </c>
      <c r="D2" s="5" t="s">
        <v>1354</v>
      </c>
      <c r="E2" s="5" t="s">
        <v>110</v>
      </c>
      <c r="F2" s="5" t="b">
        <v>1</v>
      </c>
      <c r="G2" s="5" t="s">
        <v>1330</v>
      </c>
      <c r="H2" s="5">
        <v>6.93</v>
      </c>
      <c r="I2" s="5">
        <v>222</v>
      </c>
      <c r="J2" s="5">
        <v>1.034</v>
      </c>
      <c r="K2" s="5">
        <v>1327.533422</v>
      </c>
      <c r="L2" s="5">
        <v>3.9201999999999999</v>
      </c>
      <c r="M2" s="5"/>
      <c r="N2" s="177">
        <v>40564.206966489699</v>
      </c>
      <c r="O2" s="4">
        <v>-7</v>
      </c>
    </row>
    <row r="3" spans="1:15" x14ac:dyDescent="0.25">
      <c r="A3" s="157">
        <v>40557.557638888888</v>
      </c>
      <c r="B3" s="5">
        <v>-5</v>
      </c>
      <c r="C3" s="5">
        <v>1100072</v>
      </c>
      <c r="D3" s="5" t="s">
        <v>1355</v>
      </c>
      <c r="E3" s="5" t="s">
        <v>110</v>
      </c>
      <c r="F3" s="5" t="b">
        <v>1</v>
      </c>
      <c r="G3" s="5" t="s">
        <v>1330</v>
      </c>
      <c r="H3" s="5">
        <v>6.75</v>
      </c>
      <c r="I3" s="5">
        <v>717</v>
      </c>
      <c r="J3" s="5"/>
      <c r="K3" s="5"/>
      <c r="L3" s="5">
        <v>3.0611000000000002</v>
      </c>
      <c r="M3" s="5"/>
      <c r="N3" s="177">
        <v>40573.156754213276</v>
      </c>
      <c r="O3" s="4">
        <v>-7</v>
      </c>
    </row>
    <row r="4" spans="1:15" x14ac:dyDescent="0.25">
      <c r="A4" s="157">
        <v>40557.614583333336</v>
      </c>
      <c r="B4" s="5">
        <v>-5</v>
      </c>
      <c r="C4" s="5">
        <v>1100073</v>
      </c>
      <c r="D4" s="5" t="s">
        <v>1356</v>
      </c>
      <c r="E4" s="5" t="s">
        <v>110</v>
      </c>
      <c r="F4" s="5" t="b">
        <v>1</v>
      </c>
      <c r="G4" s="5" t="s">
        <v>1330</v>
      </c>
      <c r="H4" s="5">
        <v>7.29</v>
      </c>
      <c r="I4" s="5">
        <v>421</v>
      </c>
      <c r="J4" s="5"/>
      <c r="K4" s="5"/>
      <c r="L4" s="5">
        <v>12.2859</v>
      </c>
      <c r="M4" s="5"/>
      <c r="N4" s="177">
        <v>40563.934488161722</v>
      </c>
      <c r="O4" s="4">
        <v>-7</v>
      </c>
    </row>
    <row r="5" spans="1:15" x14ac:dyDescent="0.25">
      <c r="A5" s="157">
        <v>40576.620833333334</v>
      </c>
      <c r="B5" s="5">
        <v>-5</v>
      </c>
      <c r="C5" s="5">
        <v>1100185</v>
      </c>
      <c r="D5" s="5" t="s">
        <v>1354</v>
      </c>
      <c r="E5" s="5" t="s">
        <v>110</v>
      </c>
      <c r="F5" s="5" t="b">
        <v>1</v>
      </c>
      <c r="G5" s="5" t="s">
        <v>1330</v>
      </c>
      <c r="H5" s="5">
        <v>6.16</v>
      </c>
      <c r="I5" s="5">
        <v>161.19999999999999</v>
      </c>
      <c r="J5" s="5">
        <v>7.27</v>
      </c>
      <c r="K5" s="5">
        <v>570.72676479999996</v>
      </c>
      <c r="L5" s="5">
        <v>1.3998999999999999</v>
      </c>
      <c r="M5" s="5"/>
      <c r="N5" s="177">
        <v>40594.562807228751</v>
      </c>
      <c r="O5" s="4">
        <v>-7</v>
      </c>
    </row>
    <row r="6" spans="1:15" x14ac:dyDescent="0.25">
      <c r="A6" s="157">
        <v>40588.644444444442</v>
      </c>
      <c r="B6" s="5">
        <v>-5</v>
      </c>
      <c r="C6" s="5">
        <v>1100229</v>
      </c>
      <c r="D6" s="5" t="s">
        <v>1355</v>
      </c>
      <c r="E6" s="5" t="s">
        <v>110</v>
      </c>
      <c r="F6" s="5" t="b">
        <v>1</v>
      </c>
      <c r="G6" s="5" t="s">
        <v>1330</v>
      </c>
      <c r="H6" s="5">
        <v>6.73</v>
      </c>
      <c r="I6" s="5">
        <v>268</v>
      </c>
      <c r="J6" s="5"/>
      <c r="K6" s="5"/>
      <c r="L6" s="5">
        <v>1.1673</v>
      </c>
      <c r="M6" s="5"/>
      <c r="N6" s="177">
        <v>40598.495363480004</v>
      </c>
      <c r="O6" s="4">
        <v>-7</v>
      </c>
    </row>
    <row r="7" spans="1:15" x14ac:dyDescent="0.25">
      <c r="A7" s="157">
        <v>40588.700694444444</v>
      </c>
      <c r="B7" s="5">
        <v>-5</v>
      </c>
      <c r="C7" s="5">
        <v>1100230</v>
      </c>
      <c r="D7" s="5" t="s">
        <v>1356</v>
      </c>
      <c r="E7" s="5" t="s">
        <v>110</v>
      </c>
      <c r="F7" s="5" t="b">
        <v>1</v>
      </c>
      <c r="G7" s="5" t="s">
        <v>1330</v>
      </c>
      <c r="H7" s="5">
        <v>6.94</v>
      </c>
      <c r="I7" s="5">
        <v>277</v>
      </c>
      <c r="J7" s="5"/>
      <c r="K7" s="5"/>
      <c r="L7" s="5">
        <v>3.3207</v>
      </c>
      <c r="M7" s="5"/>
      <c r="N7" s="177">
        <v>40607.532261281252</v>
      </c>
      <c r="O7" s="4">
        <v>-7</v>
      </c>
    </row>
    <row r="8" spans="1:15" x14ac:dyDescent="0.25">
      <c r="A8" s="157">
        <v>40599.083333333336</v>
      </c>
      <c r="B8" s="5">
        <v>-5</v>
      </c>
      <c r="C8" s="5">
        <v>1100285</v>
      </c>
      <c r="D8" s="5" t="s">
        <v>1357</v>
      </c>
      <c r="E8" s="5" t="s">
        <v>116</v>
      </c>
      <c r="F8" s="5" t="b">
        <v>1</v>
      </c>
      <c r="G8" s="5" t="s">
        <v>1435</v>
      </c>
      <c r="H8" s="5">
        <v>8.01</v>
      </c>
      <c r="I8" s="5">
        <v>251</v>
      </c>
      <c r="J8" s="5">
        <v>2.0830000000000002</v>
      </c>
      <c r="K8" s="5">
        <v>1048.0607990000001</v>
      </c>
      <c r="L8" s="5">
        <v>3.3733</v>
      </c>
      <c r="M8" s="5"/>
      <c r="N8" s="177">
        <v>40616.972511597436</v>
      </c>
      <c r="O8" s="4">
        <v>-7</v>
      </c>
    </row>
    <row r="9" spans="1:15" x14ac:dyDescent="0.25">
      <c r="A9" s="157">
        <v>40599.208333333336</v>
      </c>
      <c r="B9" s="5">
        <v>-5</v>
      </c>
      <c r="C9" s="5">
        <v>1100286</v>
      </c>
      <c r="D9" s="5" t="s">
        <v>1357</v>
      </c>
      <c r="E9" s="5" t="s">
        <v>116</v>
      </c>
      <c r="F9" s="5" t="b">
        <v>1</v>
      </c>
      <c r="G9" s="5" t="s">
        <v>1435</v>
      </c>
      <c r="H9" s="5">
        <v>8.06</v>
      </c>
      <c r="I9" s="5">
        <v>208</v>
      </c>
      <c r="J9" s="5">
        <v>5</v>
      </c>
      <c r="K9" s="5">
        <v>876.4265676</v>
      </c>
      <c r="L9" s="5">
        <v>2.5247999999999999</v>
      </c>
      <c r="M9" s="5"/>
      <c r="N9" s="177">
        <v>40607.245090963544</v>
      </c>
      <c r="O9" s="4">
        <v>-7</v>
      </c>
    </row>
    <row r="10" spans="1:15" x14ac:dyDescent="0.25">
      <c r="A10" s="157">
        <v>40599.291666666664</v>
      </c>
      <c r="B10" s="5">
        <v>-5</v>
      </c>
      <c r="C10" s="5">
        <v>1100287</v>
      </c>
      <c r="D10" s="5" t="s">
        <v>1357</v>
      </c>
      <c r="E10" s="5" t="s">
        <v>116</v>
      </c>
      <c r="F10" s="5" t="b">
        <v>1</v>
      </c>
      <c r="G10" s="5" t="s">
        <v>1435</v>
      </c>
      <c r="H10" s="5">
        <v>7.66</v>
      </c>
      <c r="I10" s="5">
        <v>164.4</v>
      </c>
      <c r="J10" s="5">
        <v>7.36</v>
      </c>
      <c r="K10" s="5">
        <v>662.40524430000005</v>
      </c>
      <c r="L10" s="5">
        <v>1.7345999999999999</v>
      </c>
      <c r="M10" s="5"/>
      <c r="N10" s="177">
        <v>40604.300779554214</v>
      </c>
      <c r="O10" s="4">
        <v>-7</v>
      </c>
    </row>
    <row r="11" spans="1:15" x14ac:dyDescent="0.25">
      <c r="A11" s="157">
        <v>40599.375</v>
      </c>
      <c r="B11" s="5">
        <v>-5</v>
      </c>
      <c r="C11" s="5">
        <v>1100288</v>
      </c>
      <c r="D11" s="5" t="s">
        <v>1357</v>
      </c>
      <c r="E11" s="5" t="s">
        <v>116</v>
      </c>
      <c r="F11" s="5" t="b">
        <v>1</v>
      </c>
      <c r="G11" s="5" t="s">
        <v>1435</v>
      </c>
      <c r="H11" s="5">
        <v>7.58</v>
      </c>
      <c r="I11" s="5" t="s">
        <v>1358</v>
      </c>
      <c r="J11" s="5">
        <v>8.4930000000000003</v>
      </c>
      <c r="K11" s="5">
        <v>557.03741620000005</v>
      </c>
      <c r="L11" s="5">
        <v>1.3194999999999999</v>
      </c>
      <c r="M11" s="5"/>
      <c r="N11" s="177">
        <v>40611.731221810871</v>
      </c>
      <c r="O11" s="4">
        <v>-7</v>
      </c>
    </row>
    <row r="12" spans="1:15" x14ac:dyDescent="0.25">
      <c r="A12" s="157">
        <v>40599.416666666664</v>
      </c>
      <c r="B12" s="5">
        <v>-5</v>
      </c>
      <c r="C12" s="5">
        <v>1100289</v>
      </c>
      <c r="D12" s="5" t="s">
        <v>1357</v>
      </c>
      <c r="E12" s="5" t="s">
        <v>116</v>
      </c>
      <c r="F12" s="5" t="b">
        <v>1</v>
      </c>
      <c r="G12" s="5" t="s">
        <v>1435</v>
      </c>
      <c r="H12" s="5">
        <v>7.58</v>
      </c>
      <c r="I12" s="5">
        <v>119.9</v>
      </c>
      <c r="J12" s="5">
        <v>8.5069999999999997</v>
      </c>
      <c r="K12" s="5">
        <v>511.9874337</v>
      </c>
      <c r="L12" s="5">
        <v>1.32</v>
      </c>
      <c r="M12" s="5"/>
      <c r="N12" s="177">
        <v>40612.518211079441</v>
      </c>
      <c r="O12" s="4">
        <v>-7</v>
      </c>
    </row>
    <row r="13" spans="1:15" x14ac:dyDescent="0.25">
      <c r="A13" s="157">
        <v>40599.5</v>
      </c>
      <c r="B13" s="5">
        <v>-5</v>
      </c>
      <c r="C13" s="5">
        <v>1100290</v>
      </c>
      <c r="D13" s="5" t="s">
        <v>1357</v>
      </c>
      <c r="E13" s="5" t="s">
        <v>116</v>
      </c>
      <c r="F13" s="5" t="b">
        <v>1</v>
      </c>
      <c r="G13" s="5" t="s">
        <v>1435</v>
      </c>
      <c r="H13" s="5">
        <v>7.47</v>
      </c>
      <c r="I13" s="5">
        <v>116.2</v>
      </c>
      <c r="J13" s="5">
        <v>8.5730000000000004</v>
      </c>
      <c r="K13" s="5">
        <v>502.02469350000001</v>
      </c>
      <c r="L13" s="5">
        <v>1.2861</v>
      </c>
      <c r="M13" s="5"/>
      <c r="N13" s="177">
        <v>40607.204652623506</v>
      </c>
      <c r="O13" s="4">
        <v>-7</v>
      </c>
    </row>
    <row r="14" spans="1:15" x14ac:dyDescent="0.25">
      <c r="A14" s="157">
        <v>40599.583333333336</v>
      </c>
      <c r="B14" s="5">
        <v>-5</v>
      </c>
      <c r="C14" s="5">
        <v>1100291</v>
      </c>
      <c r="D14" s="5" t="s">
        <v>1357</v>
      </c>
      <c r="E14" s="5" t="s">
        <v>116</v>
      </c>
      <c r="F14" s="5" t="b">
        <v>1</v>
      </c>
      <c r="G14" s="5" t="s">
        <v>1435</v>
      </c>
      <c r="H14" s="5">
        <v>7.88</v>
      </c>
      <c r="I14" s="5">
        <v>226</v>
      </c>
      <c r="J14" s="5">
        <v>8.0399999999999991</v>
      </c>
      <c r="K14" s="5">
        <v>548.43289770000001</v>
      </c>
      <c r="L14" s="5">
        <v>1.4149</v>
      </c>
      <c r="M14" s="5"/>
      <c r="N14" s="177">
        <v>40611.302246341998</v>
      </c>
      <c r="O14" s="4">
        <v>-7</v>
      </c>
    </row>
    <row r="15" spans="1:15" x14ac:dyDescent="0.25">
      <c r="A15" s="157">
        <v>40599.666666666664</v>
      </c>
      <c r="B15" s="5">
        <v>-5</v>
      </c>
      <c r="C15" s="5">
        <v>1100292</v>
      </c>
      <c r="D15" s="5" t="s">
        <v>1357</v>
      </c>
      <c r="E15" s="5" t="s">
        <v>116</v>
      </c>
      <c r="F15" s="5" t="b">
        <v>1</v>
      </c>
      <c r="G15" s="5" t="s">
        <v>1435</v>
      </c>
      <c r="H15" s="5">
        <v>7.62</v>
      </c>
      <c r="I15" s="5">
        <v>135.5</v>
      </c>
      <c r="J15" s="5">
        <v>8.3729999999999993</v>
      </c>
      <c r="K15" s="5">
        <v>586.1183522</v>
      </c>
      <c r="L15" s="5">
        <v>1.5511999999999999</v>
      </c>
      <c r="M15" s="5"/>
      <c r="N15" s="177">
        <v>40614.470797868868</v>
      </c>
      <c r="O15" s="4">
        <v>-7</v>
      </c>
    </row>
    <row r="16" spans="1:15" x14ac:dyDescent="0.25">
      <c r="A16" s="157">
        <v>40599.958333333336</v>
      </c>
      <c r="B16" s="5">
        <v>-5</v>
      </c>
      <c r="C16" s="5">
        <v>1100293</v>
      </c>
      <c r="D16" s="5" t="s">
        <v>1357</v>
      </c>
      <c r="E16" s="5" t="s">
        <v>116</v>
      </c>
      <c r="F16" s="5" t="b">
        <v>1</v>
      </c>
      <c r="G16" s="5" t="s">
        <v>1435</v>
      </c>
      <c r="H16" s="5">
        <v>7.72</v>
      </c>
      <c r="I16" s="5">
        <v>183.5</v>
      </c>
      <c r="J16" s="5">
        <v>2.5830000000000002</v>
      </c>
      <c r="K16" s="5">
        <v>813.35728510000001</v>
      </c>
      <c r="L16" s="5">
        <v>2.3633000000000002</v>
      </c>
      <c r="M16" s="5"/>
      <c r="N16" s="177">
        <v>40603.078482270379</v>
      </c>
      <c r="O16" s="4">
        <v>-7</v>
      </c>
    </row>
    <row r="17" spans="1:15" x14ac:dyDescent="0.25">
      <c r="A17" s="157">
        <v>40600.583333333336</v>
      </c>
      <c r="B17" s="5">
        <v>-5</v>
      </c>
      <c r="C17" s="5">
        <v>1100294</v>
      </c>
      <c r="D17" s="5" t="s">
        <v>1357</v>
      </c>
      <c r="E17" s="5" t="s">
        <v>116</v>
      </c>
      <c r="F17" s="5" t="b">
        <v>1</v>
      </c>
      <c r="G17" s="5" t="s">
        <v>1435</v>
      </c>
      <c r="H17" s="5">
        <v>7.61</v>
      </c>
      <c r="I17" s="5">
        <v>129.19999999999999</v>
      </c>
      <c r="J17" s="5">
        <v>1.0549999999999999</v>
      </c>
      <c r="K17" s="5">
        <v>983.39860940000005</v>
      </c>
      <c r="L17" s="5">
        <v>3.1939000000000002</v>
      </c>
      <c r="M17" s="5"/>
      <c r="N17" s="177">
        <v>40618.401041504629</v>
      </c>
      <c r="O17" s="4">
        <v>-7</v>
      </c>
    </row>
    <row r="18" spans="1:15" x14ac:dyDescent="0.25">
      <c r="A18" s="157">
        <v>40604.544444444444</v>
      </c>
      <c r="B18" s="5">
        <v>-5</v>
      </c>
      <c r="C18" s="5">
        <v>1100338</v>
      </c>
      <c r="D18" s="5" t="s">
        <v>1354</v>
      </c>
      <c r="E18" s="5" t="s">
        <v>110</v>
      </c>
      <c r="F18" s="5" t="b">
        <v>1</v>
      </c>
      <c r="G18" s="5" t="s">
        <v>1330</v>
      </c>
      <c r="H18" s="5">
        <v>6.91</v>
      </c>
      <c r="I18" s="5">
        <v>209</v>
      </c>
      <c r="J18" s="5">
        <v>1.413</v>
      </c>
      <c r="K18" s="5">
        <v>1242.0578230000001</v>
      </c>
      <c r="L18" s="5">
        <v>3.4064000000000001</v>
      </c>
      <c r="M18" s="5"/>
      <c r="N18" s="177">
        <v>40614.045845639965</v>
      </c>
      <c r="O18" s="4">
        <v>-7</v>
      </c>
    </row>
    <row r="19" spans="1:15" x14ac:dyDescent="0.25">
      <c r="A19" s="157">
        <v>40608.416666666664</v>
      </c>
      <c r="B19" s="5">
        <v>-5</v>
      </c>
      <c r="C19" s="5">
        <v>1100356</v>
      </c>
      <c r="D19" s="5" t="s">
        <v>1357</v>
      </c>
      <c r="E19" s="5" t="s">
        <v>116</v>
      </c>
      <c r="F19" s="5" t="b">
        <v>1</v>
      </c>
      <c r="G19" s="5" t="s">
        <v>1435</v>
      </c>
      <c r="H19" s="5">
        <v>7.6</v>
      </c>
      <c r="I19" s="5">
        <v>218</v>
      </c>
      <c r="J19" s="5">
        <v>2.3540000000000001</v>
      </c>
      <c r="K19" s="5"/>
      <c r="L19" s="5">
        <v>3.8839000000000001</v>
      </c>
      <c r="M19" s="5"/>
      <c r="N19" s="177">
        <v>40624.385812519162</v>
      </c>
      <c r="O19" s="4">
        <v>-7</v>
      </c>
    </row>
    <row r="20" spans="1:15" x14ac:dyDescent="0.25">
      <c r="A20" s="157">
        <v>40608.541666666664</v>
      </c>
      <c r="B20" s="5">
        <v>-5</v>
      </c>
      <c r="C20" s="5">
        <v>1100357</v>
      </c>
      <c r="D20" s="5" t="s">
        <v>1357</v>
      </c>
      <c r="E20" s="5" t="s">
        <v>116</v>
      </c>
      <c r="F20" s="5" t="b">
        <v>1</v>
      </c>
      <c r="G20" s="5" t="s">
        <v>1435</v>
      </c>
      <c r="H20" s="5">
        <v>7.38</v>
      </c>
      <c r="I20" s="5">
        <v>212</v>
      </c>
      <c r="J20" s="5">
        <v>3.0190000000000001</v>
      </c>
      <c r="K20" s="5"/>
      <c r="L20" s="5">
        <v>3.6581999999999999</v>
      </c>
      <c r="M20" s="5"/>
      <c r="N20" s="177">
        <v>40626.019938927777</v>
      </c>
      <c r="O20" s="4">
        <v>-7</v>
      </c>
    </row>
    <row r="21" spans="1:15" x14ac:dyDescent="0.25">
      <c r="A21" s="157">
        <v>40608.729166666664</v>
      </c>
      <c r="B21" s="5">
        <v>-5</v>
      </c>
      <c r="C21" s="5">
        <v>1100358</v>
      </c>
      <c r="D21" s="5" t="s">
        <v>1357</v>
      </c>
      <c r="E21" s="5" t="s">
        <v>116</v>
      </c>
      <c r="F21" s="5" t="b">
        <v>1</v>
      </c>
      <c r="G21" s="5" t="s">
        <v>1435</v>
      </c>
      <c r="H21" s="5">
        <v>7.39</v>
      </c>
      <c r="I21" s="5">
        <v>168.3</v>
      </c>
      <c r="J21" s="5">
        <v>6.0880000000000001</v>
      </c>
      <c r="K21" s="5"/>
      <c r="L21" s="5">
        <v>2.7576000000000001</v>
      </c>
      <c r="M21" s="5"/>
      <c r="N21" s="177">
        <v>40623.992939931268</v>
      </c>
      <c r="O21" s="4">
        <v>-7</v>
      </c>
    </row>
    <row r="22" spans="1:15" x14ac:dyDescent="0.25">
      <c r="A22" s="157">
        <v>40608.791666666664</v>
      </c>
      <c r="B22" s="5">
        <v>-5</v>
      </c>
      <c r="C22" s="5">
        <v>1100359</v>
      </c>
      <c r="D22" s="5" t="s">
        <v>1357</v>
      </c>
      <c r="E22" s="5" t="s">
        <v>116</v>
      </c>
      <c r="F22" s="5" t="b">
        <v>1</v>
      </c>
      <c r="G22" s="5" t="s">
        <v>1435</v>
      </c>
      <c r="H22" s="5">
        <v>7.31</v>
      </c>
      <c r="I22" s="5">
        <v>129.80000000000001</v>
      </c>
      <c r="J22" s="5">
        <v>8.4079999999999995</v>
      </c>
      <c r="K22" s="5"/>
      <c r="L22" s="5">
        <v>1.9297</v>
      </c>
      <c r="M22" s="5"/>
      <c r="N22" s="177">
        <v>40615.883817576447</v>
      </c>
      <c r="O22" s="4">
        <v>-7</v>
      </c>
    </row>
    <row r="23" spans="1:15" x14ac:dyDescent="0.25">
      <c r="A23" s="157">
        <v>40608.854166666664</v>
      </c>
      <c r="B23" s="5">
        <v>-5</v>
      </c>
      <c r="C23" s="5">
        <v>1100360</v>
      </c>
      <c r="D23" s="5" t="s">
        <v>1357</v>
      </c>
      <c r="E23" s="5" t="s">
        <v>116</v>
      </c>
      <c r="F23" s="5" t="b">
        <v>1</v>
      </c>
      <c r="G23" s="5" t="s">
        <v>1435</v>
      </c>
      <c r="H23" s="5">
        <v>7.08</v>
      </c>
      <c r="I23" s="5">
        <v>105.5</v>
      </c>
      <c r="J23" s="5">
        <v>9.7919999999999998</v>
      </c>
      <c r="K23" s="5"/>
      <c r="L23" s="5">
        <v>1.9088000000000001</v>
      </c>
      <c r="M23" s="5"/>
      <c r="N23" s="177">
        <v>40623.450602882876</v>
      </c>
      <c r="O23" s="4">
        <v>-7</v>
      </c>
    </row>
    <row r="24" spans="1:15" x14ac:dyDescent="0.25">
      <c r="A24" s="157">
        <v>40608.916666666664</v>
      </c>
      <c r="B24" s="5">
        <v>-5</v>
      </c>
      <c r="C24" s="5">
        <v>1100361</v>
      </c>
      <c r="D24" s="5" t="s">
        <v>1357</v>
      </c>
      <c r="E24" s="5" t="s">
        <v>116</v>
      </c>
      <c r="F24" s="5" t="b">
        <v>1</v>
      </c>
      <c r="G24" s="5" t="s">
        <v>1435</v>
      </c>
      <c r="H24" s="5">
        <v>7.24</v>
      </c>
      <c r="I24" s="5">
        <v>96.3</v>
      </c>
      <c r="J24" s="5">
        <v>9.52</v>
      </c>
      <c r="K24" s="5"/>
      <c r="L24" s="5">
        <v>0.99550000000000005</v>
      </c>
      <c r="M24" s="5"/>
      <c r="N24" s="177">
        <v>40626.950431386307</v>
      </c>
      <c r="O24" s="4">
        <v>-7</v>
      </c>
    </row>
    <row r="25" spans="1:15" x14ac:dyDescent="0.25">
      <c r="A25" s="157">
        <v>40608.979166666664</v>
      </c>
      <c r="B25" s="5">
        <v>-5</v>
      </c>
      <c r="C25" s="5">
        <v>1100362</v>
      </c>
      <c r="D25" s="5" t="s">
        <v>1357</v>
      </c>
      <c r="E25" s="5" t="s">
        <v>116</v>
      </c>
      <c r="F25" s="5" t="b">
        <v>1</v>
      </c>
      <c r="G25" s="5" t="s">
        <v>1435</v>
      </c>
      <c r="H25" s="5">
        <v>7.22</v>
      </c>
      <c r="I25" s="5">
        <v>97.6</v>
      </c>
      <c r="J25" s="5">
        <v>9.3360000000000003</v>
      </c>
      <c r="K25" s="5"/>
      <c r="L25" s="5">
        <v>1.0399</v>
      </c>
      <c r="M25" s="5"/>
      <c r="N25" s="177">
        <v>40618.693266176902</v>
      </c>
      <c r="O25" s="4">
        <v>-7</v>
      </c>
    </row>
    <row r="26" spans="1:15" x14ac:dyDescent="0.25">
      <c r="A26" s="157">
        <v>40609.104166666664</v>
      </c>
      <c r="B26" s="5">
        <v>-5</v>
      </c>
      <c r="C26" s="5">
        <v>1100363</v>
      </c>
      <c r="D26" s="5" t="s">
        <v>1357</v>
      </c>
      <c r="E26" s="5" t="s">
        <v>116</v>
      </c>
      <c r="F26" s="5" t="b">
        <v>1</v>
      </c>
      <c r="G26" s="5" t="s">
        <v>1435</v>
      </c>
      <c r="H26" s="5">
        <v>7.25</v>
      </c>
      <c r="I26" s="5">
        <v>98.9</v>
      </c>
      <c r="J26" s="5">
        <v>8.952</v>
      </c>
      <c r="K26" s="5"/>
      <c r="L26" s="5">
        <v>1.0528999999999999</v>
      </c>
      <c r="M26" s="5"/>
      <c r="N26" s="177">
        <v>40626.784457301794</v>
      </c>
      <c r="O26" s="4">
        <v>-7</v>
      </c>
    </row>
    <row r="27" spans="1:15" x14ac:dyDescent="0.25">
      <c r="A27" s="157">
        <v>40609.166666666664</v>
      </c>
      <c r="B27" s="5">
        <v>-4</v>
      </c>
      <c r="C27" s="5">
        <v>1100364</v>
      </c>
      <c r="D27" s="5" t="s">
        <v>1357</v>
      </c>
      <c r="E27" s="5" t="s">
        <v>116</v>
      </c>
      <c r="F27" s="5" t="b">
        <v>1</v>
      </c>
      <c r="G27" s="5" t="s">
        <v>1435</v>
      </c>
      <c r="H27" s="5">
        <v>7.02</v>
      </c>
      <c r="I27" s="5">
        <v>106.4</v>
      </c>
      <c r="J27" s="5">
        <v>8.4960000000000004</v>
      </c>
      <c r="K27" s="5"/>
      <c r="L27" s="5">
        <v>1.1631</v>
      </c>
      <c r="M27" s="5"/>
      <c r="N27" s="177">
        <v>40622.495085836148</v>
      </c>
      <c r="O27" s="4">
        <v>-7</v>
      </c>
    </row>
    <row r="28" spans="1:15" x14ac:dyDescent="0.25">
      <c r="A28" s="157">
        <v>40609.229166666664</v>
      </c>
      <c r="B28" s="5">
        <v>-5</v>
      </c>
      <c r="C28" s="5">
        <v>1100365</v>
      </c>
      <c r="D28" s="5" t="s">
        <v>1357</v>
      </c>
      <c r="E28" s="5" t="s">
        <v>116</v>
      </c>
      <c r="F28" s="5" t="b">
        <v>1</v>
      </c>
      <c r="G28" s="5" t="s">
        <v>1435</v>
      </c>
      <c r="H28" s="5">
        <v>7.28</v>
      </c>
      <c r="I28" s="5">
        <v>117.5</v>
      </c>
      <c r="J28" s="5">
        <v>7.8959999999999999</v>
      </c>
      <c r="K28" s="5"/>
      <c r="L28" s="5">
        <v>1.3868</v>
      </c>
      <c r="M28" s="5"/>
      <c r="N28" s="177">
        <v>40623.455663221474</v>
      </c>
      <c r="O28" s="4">
        <v>-7</v>
      </c>
    </row>
    <row r="29" spans="1:15" x14ac:dyDescent="0.25">
      <c r="A29" s="157">
        <v>40609.291666666664</v>
      </c>
      <c r="B29" s="5">
        <v>-5</v>
      </c>
      <c r="C29" s="5">
        <v>1100366</v>
      </c>
      <c r="D29" s="5" t="s">
        <v>1357</v>
      </c>
      <c r="E29" s="5" t="s">
        <v>116</v>
      </c>
      <c r="F29" s="5" t="b">
        <v>1</v>
      </c>
      <c r="G29" s="5" t="s">
        <v>1435</v>
      </c>
      <c r="H29" s="5">
        <v>7.34</v>
      </c>
      <c r="I29" s="5">
        <v>129.1</v>
      </c>
      <c r="J29" s="5">
        <v>7.5759999999999996</v>
      </c>
      <c r="K29" s="5"/>
      <c r="L29" s="5">
        <v>1.6222000000000001</v>
      </c>
      <c r="M29" s="5"/>
      <c r="N29" s="177">
        <v>40623.940740197475</v>
      </c>
      <c r="O29" s="4">
        <v>-7</v>
      </c>
    </row>
    <row r="30" spans="1:15" x14ac:dyDescent="0.25">
      <c r="A30" s="157">
        <v>40609.479166666664</v>
      </c>
      <c r="B30" s="5">
        <v>-5</v>
      </c>
      <c r="C30" s="5">
        <v>1100367</v>
      </c>
      <c r="D30" s="5" t="s">
        <v>1357</v>
      </c>
      <c r="E30" s="5" t="s">
        <v>116</v>
      </c>
      <c r="F30" s="5" t="b">
        <v>1</v>
      </c>
      <c r="G30" s="5" t="s">
        <v>1435</v>
      </c>
      <c r="H30" s="5">
        <v>7.43</v>
      </c>
      <c r="I30" s="5">
        <v>162.69999999999999</v>
      </c>
      <c r="J30" s="5">
        <v>5.7039999999999997</v>
      </c>
      <c r="K30" s="5"/>
      <c r="L30" s="5">
        <v>2.1259000000000001</v>
      </c>
      <c r="M30" s="5"/>
      <c r="N30" s="177">
        <v>40609.580170653011</v>
      </c>
      <c r="O30" s="4">
        <v>-7</v>
      </c>
    </row>
    <row r="31" spans="1:15" x14ac:dyDescent="0.25">
      <c r="A31" s="157">
        <v>40616.699999999997</v>
      </c>
      <c r="B31" s="5">
        <v>-4</v>
      </c>
      <c r="C31" s="5">
        <v>1100429</v>
      </c>
      <c r="D31" s="5" t="s">
        <v>1355</v>
      </c>
      <c r="E31" s="5" t="s">
        <v>110</v>
      </c>
      <c r="F31" s="5" t="b">
        <v>1</v>
      </c>
      <c r="G31" s="5" t="s">
        <v>1330</v>
      </c>
      <c r="H31" s="5">
        <v>6.73</v>
      </c>
      <c r="I31" s="5">
        <v>480</v>
      </c>
      <c r="J31" s="5"/>
      <c r="K31" s="5"/>
      <c r="L31" s="5">
        <v>6.6341999999999999</v>
      </c>
      <c r="M31" s="5"/>
      <c r="N31" s="177">
        <v>40632.042142604318</v>
      </c>
      <c r="O31" s="4">
        <v>-7</v>
      </c>
    </row>
    <row r="32" spans="1:15" x14ac:dyDescent="0.25">
      <c r="A32" s="157">
        <v>40616.71597222222</v>
      </c>
      <c r="B32" s="5">
        <v>-4</v>
      </c>
      <c r="C32" s="5">
        <v>1100430</v>
      </c>
      <c r="D32" s="5" t="s">
        <v>1356</v>
      </c>
      <c r="E32" s="5" t="s">
        <v>110</v>
      </c>
      <c r="F32" s="5" t="b">
        <v>1</v>
      </c>
      <c r="G32" s="5" t="s">
        <v>1330</v>
      </c>
      <c r="H32" s="5">
        <v>7.14</v>
      </c>
      <c r="I32" s="5">
        <v>346</v>
      </c>
      <c r="J32" s="5"/>
      <c r="K32" s="5"/>
      <c r="L32" s="5">
        <v>9.3011999999999997</v>
      </c>
      <c r="M32" s="5"/>
      <c r="N32" s="177">
        <v>40624.8397050809</v>
      </c>
      <c r="O32" s="4">
        <v>-7</v>
      </c>
    </row>
    <row r="33" spans="1:15" x14ac:dyDescent="0.25">
      <c r="A33" s="157">
        <v>40639.62777777778</v>
      </c>
      <c r="B33" s="5">
        <v>-4</v>
      </c>
      <c r="C33" s="5">
        <v>1100553</v>
      </c>
      <c r="D33" s="5" t="s">
        <v>1354</v>
      </c>
      <c r="E33" s="5" t="s">
        <v>110</v>
      </c>
      <c r="F33" s="5" t="b">
        <v>1</v>
      </c>
      <c r="G33" s="5" t="s">
        <v>1330</v>
      </c>
      <c r="H33" s="5">
        <v>6.99</v>
      </c>
      <c r="I33" s="5">
        <v>202</v>
      </c>
      <c r="J33" s="5">
        <v>1.4970000000000001</v>
      </c>
      <c r="K33" s="5">
        <v>1208.0464910000001</v>
      </c>
      <c r="L33" s="5">
        <v>3.2324000000000002</v>
      </c>
      <c r="M33" s="5"/>
      <c r="N33" s="177">
        <v>40649.747209237968</v>
      </c>
      <c r="O33" s="4">
        <v>-7</v>
      </c>
    </row>
    <row r="34" spans="1:15" x14ac:dyDescent="0.25">
      <c r="A34" s="157">
        <v>40644.600694444445</v>
      </c>
      <c r="B34" s="5">
        <v>-4</v>
      </c>
      <c r="C34" s="5">
        <v>1100563</v>
      </c>
      <c r="D34" s="5" t="s">
        <v>1355</v>
      </c>
      <c r="E34" s="5" t="s">
        <v>110</v>
      </c>
      <c r="F34" s="5" t="b">
        <v>1</v>
      </c>
      <c r="G34" s="5" t="s">
        <v>1330</v>
      </c>
      <c r="H34" s="5">
        <v>6.92</v>
      </c>
      <c r="I34" s="5">
        <v>291</v>
      </c>
      <c r="J34" s="5"/>
      <c r="K34" s="5"/>
      <c r="L34" s="5">
        <v>2.7702</v>
      </c>
      <c r="M34" s="5"/>
      <c r="N34" s="177">
        <v>40650.724767898071</v>
      </c>
      <c r="O34" s="4">
        <v>-7</v>
      </c>
    </row>
    <row r="35" spans="1:15" x14ac:dyDescent="0.25">
      <c r="A35" s="157">
        <v>40644.681250000001</v>
      </c>
      <c r="B35" s="5">
        <v>-4</v>
      </c>
      <c r="C35" s="5">
        <v>1100564</v>
      </c>
      <c r="D35" s="5" t="s">
        <v>1356</v>
      </c>
      <c r="E35" s="5" t="s">
        <v>110</v>
      </c>
      <c r="F35" s="5" t="b">
        <v>1</v>
      </c>
      <c r="G35" s="5" t="s">
        <v>1330</v>
      </c>
      <c r="H35" s="5">
        <v>7.48</v>
      </c>
      <c r="I35" s="5">
        <v>369</v>
      </c>
      <c r="J35" s="5"/>
      <c r="K35" s="5"/>
      <c r="L35" s="5">
        <v>8.9138999999999999</v>
      </c>
      <c r="M35" s="5"/>
      <c r="N35" s="177">
        <v>40645.431481247731</v>
      </c>
      <c r="O35" s="4">
        <v>-7</v>
      </c>
    </row>
    <row r="36" spans="1:15" x14ac:dyDescent="0.25">
      <c r="A36" s="157">
        <v>40646</v>
      </c>
      <c r="B36" s="5">
        <v>-4</v>
      </c>
      <c r="C36" s="5">
        <v>1100585</v>
      </c>
      <c r="D36" s="5" t="s">
        <v>1357</v>
      </c>
      <c r="E36" s="5" t="s">
        <v>116</v>
      </c>
      <c r="F36" s="5" t="b">
        <v>1</v>
      </c>
      <c r="G36" s="5" t="s">
        <v>1435</v>
      </c>
      <c r="H36" s="5">
        <v>7.32</v>
      </c>
      <c r="I36" s="5">
        <v>150</v>
      </c>
      <c r="J36" s="5">
        <v>7.92</v>
      </c>
      <c r="K36" s="5"/>
      <c r="L36" s="5">
        <v>1.5913999999999999</v>
      </c>
      <c r="M36" s="5"/>
      <c r="N36" s="177">
        <v>40661.33402821199</v>
      </c>
      <c r="O36" s="4">
        <v>-7</v>
      </c>
    </row>
    <row r="37" spans="1:15" x14ac:dyDescent="0.25">
      <c r="A37" s="157">
        <v>40646.041666666664</v>
      </c>
      <c r="B37" s="5">
        <v>-4</v>
      </c>
      <c r="C37" s="5">
        <v>1100586</v>
      </c>
      <c r="D37" s="5" t="s">
        <v>1357</v>
      </c>
      <c r="E37" s="5" t="s">
        <v>116</v>
      </c>
      <c r="F37" s="5" t="b">
        <v>1</v>
      </c>
      <c r="G37" s="5" t="s">
        <v>1435</v>
      </c>
      <c r="H37" s="5">
        <v>7.09</v>
      </c>
      <c r="I37" s="5">
        <v>144.6</v>
      </c>
      <c r="J37" s="5">
        <v>7.3129999999999997</v>
      </c>
      <c r="K37" s="5"/>
      <c r="L37" s="5">
        <v>1.4036999999999999</v>
      </c>
      <c r="M37" s="5"/>
      <c r="N37" s="177">
        <v>40654.776613342307</v>
      </c>
      <c r="O37" s="4">
        <v>-7</v>
      </c>
    </row>
    <row r="38" spans="1:15" x14ac:dyDescent="0.25">
      <c r="A38" s="157">
        <v>40646.083333333336</v>
      </c>
      <c r="B38" s="5">
        <v>-4</v>
      </c>
      <c r="C38" s="5">
        <v>1100587</v>
      </c>
      <c r="D38" s="5" t="s">
        <v>1357</v>
      </c>
      <c r="E38" s="5" t="s">
        <v>116</v>
      </c>
      <c r="F38" s="5" t="b">
        <v>1</v>
      </c>
      <c r="G38" s="5" t="s">
        <v>1435</v>
      </c>
      <c r="H38" s="5">
        <v>7.23</v>
      </c>
      <c r="I38" s="5">
        <v>128.69999999999999</v>
      </c>
      <c r="J38" s="5">
        <v>8.61</v>
      </c>
      <c r="K38" s="5"/>
      <c r="L38" s="5">
        <v>1.1499999999999999</v>
      </c>
      <c r="M38" s="5"/>
      <c r="N38" s="177">
        <v>40649.954793010635</v>
      </c>
      <c r="O38" s="4">
        <v>-7</v>
      </c>
    </row>
    <row r="39" spans="1:15" x14ac:dyDescent="0.25">
      <c r="A39" s="157">
        <v>40649.583333333336</v>
      </c>
      <c r="B39" s="5">
        <v>-4</v>
      </c>
      <c r="C39" s="5">
        <v>1100604</v>
      </c>
      <c r="D39" s="5" t="s">
        <v>1357</v>
      </c>
      <c r="E39" s="5" t="s">
        <v>116</v>
      </c>
      <c r="F39" s="5" t="b">
        <v>1</v>
      </c>
      <c r="G39" s="5" t="s">
        <v>1435</v>
      </c>
      <c r="H39" s="5">
        <v>7.81</v>
      </c>
      <c r="I39" s="5">
        <v>215</v>
      </c>
      <c r="J39" s="5">
        <v>2.54</v>
      </c>
      <c r="K39" s="5">
        <v>1073.6165599999999</v>
      </c>
      <c r="L39" s="5">
        <v>3.0602999999999998</v>
      </c>
      <c r="M39" s="5"/>
      <c r="N39" s="177">
        <v>40669.003894740497</v>
      </c>
      <c r="O39" s="4">
        <v>-7</v>
      </c>
    </row>
    <row r="40" spans="1:15" x14ac:dyDescent="0.25">
      <c r="A40" s="157">
        <v>40649.708333333336</v>
      </c>
      <c r="B40" s="5">
        <v>-4</v>
      </c>
      <c r="C40" s="5">
        <v>1100605</v>
      </c>
      <c r="D40" s="5" t="s">
        <v>1357</v>
      </c>
      <c r="E40" s="5" t="s">
        <v>116</v>
      </c>
      <c r="F40" s="5" t="b">
        <v>1</v>
      </c>
      <c r="G40" s="5" t="s">
        <v>1435</v>
      </c>
      <c r="H40" s="5">
        <v>7.61</v>
      </c>
      <c r="I40" s="5">
        <v>145.5</v>
      </c>
      <c r="J40" s="5">
        <v>6.68</v>
      </c>
      <c r="K40" s="5">
        <v>784.68093480000005</v>
      </c>
      <c r="L40" s="5">
        <v>1.4238999999999999</v>
      </c>
      <c r="M40" s="5"/>
      <c r="N40" s="177">
        <v>40669.604099809643</v>
      </c>
      <c r="O40" s="4">
        <v>-7</v>
      </c>
    </row>
    <row r="41" spans="1:15" x14ac:dyDescent="0.25">
      <c r="A41" s="157">
        <v>40649.791666666664</v>
      </c>
      <c r="B41" s="5">
        <v>-4</v>
      </c>
      <c r="C41" s="5">
        <v>1100606</v>
      </c>
      <c r="D41" s="5" t="s">
        <v>1357</v>
      </c>
      <c r="E41" s="5" t="s">
        <v>116</v>
      </c>
      <c r="F41" s="5" t="b">
        <v>1</v>
      </c>
      <c r="G41" s="5" t="s">
        <v>1435</v>
      </c>
      <c r="H41" s="5">
        <v>7.39</v>
      </c>
      <c r="I41" s="5">
        <v>121.2</v>
      </c>
      <c r="J41" s="5">
        <v>7.88</v>
      </c>
      <c r="K41" s="5">
        <v>634.0302408</v>
      </c>
      <c r="L41" s="5">
        <v>0.97609999999999997</v>
      </c>
      <c r="M41" s="5"/>
      <c r="N41" s="177">
        <v>40653.642374759183</v>
      </c>
      <c r="O41" s="4">
        <v>-7</v>
      </c>
    </row>
    <row r="42" spans="1:15" x14ac:dyDescent="0.25">
      <c r="A42" s="157">
        <v>40649.833333333336</v>
      </c>
      <c r="B42" s="5">
        <v>-4</v>
      </c>
      <c r="C42" s="5">
        <v>1100607</v>
      </c>
      <c r="D42" s="5" t="s">
        <v>1357</v>
      </c>
      <c r="E42" s="5" t="s">
        <v>116</v>
      </c>
      <c r="F42" s="5" t="b">
        <v>1</v>
      </c>
      <c r="G42" s="5" t="s">
        <v>1435</v>
      </c>
      <c r="H42" s="5">
        <v>7.38</v>
      </c>
      <c r="I42" s="5">
        <v>107.1</v>
      </c>
      <c r="J42" s="5">
        <v>7.9729999999999999</v>
      </c>
      <c r="K42" s="5">
        <v>564.20489869999994</v>
      </c>
      <c r="L42" s="5">
        <v>0.87139999999999995</v>
      </c>
      <c r="M42" s="5"/>
      <c r="N42" s="177">
        <v>40665.285737468228</v>
      </c>
      <c r="O42" s="4">
        <v>-7</v>
      </c>
    </row>
    <row r="43" spans="1:15" x14ac:dyDescent="0.25">
      <c r="A43" s="157">
        <v>40649.875</v>
      </c>
      <c r="B43" s="5">
        <v>-4</v>
      </c>
      <c r="C43" s="5">
        <v>1100608</v>
      </c>
      <c r="D43" s="5" t="s">
        <v>1357</v>
      </c>
      <c r="E43" s="5" t="s">
        <v>116</v>
      </c>
      <c r="F43" s="5" t="b">
        <v>1</v>
      </c>
      <c r="G43" s="5" t="s">
        <v>1435</v>
      </c>
      <c r="H43" s="5">
        <v>7.38</v>
      </c>
      <c r="I43" s="5">
        <v>91.8</v>
      </c>
      <c r="J43" s="5">
        <v>8.3469999999999995</v>
      </c>
      <c r="K43" s="5">
        <v>495.1921279</v>
      </c>
      <c r="L43" s="5">
        <v>0.6794</v>
      </c>
      <c r="M43" s="5"/>
      <c r="N43" s="177">
        <v>40663.229261495311</v>
      </c>
      <c r="O43" s="4">
        <v>-7</v>
      </c>
    </row>
    <row r="44" spans="1:15" x14ac:dyDescent="0.25">
      <c r="A44" s="157">
        <v>40649.916666666664</v>
      </c>
      <c r="B44" s="5">
        <v>-4</v>
      </c>
      <c r="C44" s="5">
        <v>1100609</v>
      </c>
      <c r="D44" s="5" t="s">
        <v>1357</v>
      </c>
      <c r="E44" s="5" t="s">
        <v>116</v>
      </c>
      <c r="F44" s="5" t="b">
        <v>1</v>
      </c>
      <c r="G44" s="5" t="s">
        <v>1435</v>
      </c>
      <c r="H44" s="5">
        <v>7.47</v>
      </c>
      <c r="I44" s="5">
        <v>98.1</v>
      </c>
      <c r="J44" s="5">
        <v>8.0399999999999991</v>
      </c>
      <c r="K44" s="5">
        <v>552.50751839999998</v>
      </c>
      <c r="L44" s="5">
        <v>0.83340000000000003</v>
      </c>
      <c r="M44" s="5"/>
      <c r="N44" s="177">
        <v>40652.023632691576</v>
      </c>
      <c r="O44" s="4">
        <v>-7</v>
      </c>
    </row>
    <row r="45" spans="1:15" x14ac:dyDescent="0.25">
      <c r="A45" s="157">
        <v>40650.041666666664</v>
      </c>
      <c r="B45" s="5">
        <v>-4</v>
      </c>
      <c r="C45" s="5">
        <v>1100610</v>
      </c>
      <c r="D45" s="5" t="s">
        <v>1357</v>
      </c>
      <c r="E45" s="5" t="s">
        <v>116</v>
      </c>
      <c r="F45" s="5" t="b">
        <v>1</v>
      </c>
      <c r="G45" s="5" t="s">
        <v>1435</v>
      </c>
      <c r="H45" s="5">
        <v>7.52</v>
      </c>
      <c r="I45" s="5">
        <v>106.8</v>
      </c>
      <c r="J45" s="5">
        <v>8.3330000000000002</v>
      </c>
      <c r="K45" s="5">
        <v>621.77133179999998</v>
      </c>
      <c r="L45" s="5">
        <v>0.94030000000000002</v>
      </c>
      <c r="M45" s="5"/>
      <c r="N45" s="177">
        <v>40654.395740116743</v>
      </c>
      <c r="O45" s="4">
        <v>-7</v>
      </c>
    </row>
    <row r="46" spans="1:15" x14ac:dyDescent="0.25">
      <c r="A46" s="157">
        <v>40650.208333333336</v>
      </c>
      <c r="B46" s="5">
        <v>-4</v>
      </c>
      <c r="C46" s="5">
        <v>1100611</v>
      </c>
      <c r="D46" s="5" t="s">
        <v>1357</v>
      </c>
      <c r="E46" s="5" t="s">
        <v>116</v>
      </c>
      <c r="F46" s="5" t="b">
        <v>1</v>
      </c>
      <c r="G46" s="5" t="s">
        <v>1435</v>
      </c>
      <c r="H46" s="5">
        <v>7.66</v>
      </c>
      <c r="I46" s="5">
        <v>137.69999999999999</v>
      </c>
      <c r="J46" s="5">
        <v>7.1470000000000002</v>
      </c>
      <c r="K46" s="5">
        <v>763.09591599999999</v>
      </c>
      <c r="L46" s="5">
        <v>1.4710000000000001</v>
      </c>
      <c r="M46" s="5"/>
      <c r="N46" s="177">
        <v>40650.327486555143</v>
      </c>
      <c r="O46" s="4">
        <v>-7</v>
      </c>
    </row>
    <row r="47" spans="1:15" x14ac:dyDescent="0.25">
      <c r="A47" s="157">
        <v>40650.375</v>
      </c>
      <c r="B47" s="5">
        <v>-4</v>
      </c>
      <c r="C47" s="5">
        <v>1100612</v>
      </c>
      <c r="D47" s="5" t="s">
        <v>1357</v>
      </c>
      <c r="E47" s="5" t="s">
        <v>116</v>
      </c>
      <c r="F47" s="5" t="b">
        <v>1</v>
      </c>
      <c r="G47" s="5" t="s">
        <v>1435</v>
      </c>
      <c r="H47" s="5">
        <v>7.75</v>
      </c>
      <c r="I47" s="5">
        <v>163.4</v>
      </c>
      <c r="J47" s="5">
        <v>5.32</v>
      </c>
      <c r="K47" s="5">
        <v>876.88048809999998</v>
      </c>
      <c r="L47" s="5">
        <v>1.9766999999999999</v>
      </c>
      <c r="M47" s="5"/>
      <c r="N47" s="177">
        <v>40663.065439717335</v>
      </c>
      <c r="O47" s="4">
        <v>-7</v>
      </c>
    </row>
    <row r="48" spans="1:15" x14ac:dyDescent="0.25">
      <c r="A48" s="157">
        <v>40650.541666666664</v>
      </c>
      <c r="B48" s="5">
        <v>-4</v>
      </c>
      <c r="C48" s="5">
        <v>1100613</v>
      </c>
      <c r="D48" s="5" t="s">
        <v>1357</v>
      </c>
      <c r="E48" s="5" t="s">
        <v>116</v>
      </c>
      <c r="F48" s="5" t="b">
        <v>1</v>
      </c>
      <c r="G48" s="5" t="s">
        <v>1435</v>
      </c>
      <c r="H48" s="5">
        <v>7.79</v>
      </c>
      <c r="I48" s="5">
        <v>180.7</v>
      </c>
      <c r="J48" s="5">
        <v>4.08</v>
      </c>
      <c r="K48" s="5">
        <v>944.66254749999996</v>
      </c>
      <c r="L48" s="5">
        <v>2.3449</v>
      </c>
      <c r="M48" s="5"/>
      <c r="N48" s="177">
        <v>40666.220104860171</v>
      </c>
      <c r="O48" s="4">
        <v>-7</v>
      </c>
    </row>
    <row r="49" spans="1:15" x14ac:dyDescent="0.25">
      <c r="A49" s="157">
        <v>40667.638888888891</v>
      </c>
      <c r="B49" s="5">
        <v>-4</v>
      </c>
      <c r="C49" s="5">
        <v>1100741</v>
      </c>
      <c r="D49" s="5" t="s">
        <v>1354</v>
      </c>
      <c r="E49" s="5" t="s">
        <v>110</v>
      </c>
      <c r="F49" s="5" t="b">
        <v>1</v>
      </c>
      <c r="G49" s="5" t="s">
        <v>1330</v>
      </c>
      <c r="H49" s="5">
        <v>6.56</v>
      </c>
      <c r="I49" s="5">
        <v>172.15</v>
      </c>
      <c r="J49" s="5">
        <v>6.0279999999999996</v>
      </c>
      <c r="K49" s="5">
        <v>1095.4940360000001</v>
      </c>
      <c r="L49" s="5">
        <v>2.0329000000000002</v>
      </c>
      <c r="M49" s="5"/>
      <c r="N49" s="177">
        <v>40685.645686282296</v>
      </c>
      <c r="O49" s="4">
        <v>-7</v>
      </c>
    </row>
    <row r="50" spans="1:15" x14ac:dyDescent="0.25">
      <c r="A50" s="157">
        <v>40695.585416666669</v>
      </c>
      <c r="B50" s="5">
        <v>-4</v>
      </c>
      <c r="C50" s="5">
        <v>1101233</v>
      </c>
      <c r="D50" s="5" t="s">
        <v>1354</v>
      </c>
      <c r="E50" s="5" t="s">
        <v>110</v>
      </c>
      <c r="F50" s="5" t="b">
        <v>1</v>
      </c>
      <c r="G50" s="5" t="s">
        <v>1330</v>
      </c>
      <c r="H50" s="5">
        <v>6.62</v>
      </c>
      <c r="I50" s="5">
        <v>225</v>
      </c>
      <c r="J50" s="5">
        <v>1.736</v>
      </c>
      <c r="K50" s="5">
        <v>1322.0347919999999</v>
      </c>
      <c r="L50" s="5">
        <v>3.6877</v>
      </c>
      <c r="M50" s="5"/>
      <c r="N50" s="177">
        <v>40706.779526151826</v>
      </c>
      <c r="O50" s="4">
        <v>-7</v>
      </c>
    </row>
    <row r="51" spans="1:15" x14ac:dyDescent="0.25">
      <c r="A51" s="157">
        <v>40707.713194444441</v>
      </c>
      <c r="B51" s="5">
        <v>-4</v>
      </c>
      <c r="C51" s="5">
        <v>1101468</v>
      </c>
      <c r="D51" s="5" t="s">
        <v>1356</v>
      </c>
      <c r="E51" s="5" t="s">
        <v>110</v>
      </c>
      <c r="F51" s="5" t="b">
        <v>1</v>
      </c>
      <c r="G51" s="5" t="s">
        <v>1330</v>
      </c>
      <c r="H51" s="5">
        <v>7.34</v>
      </c>
      <c r="I51" s="5">
        <v>406</v>
      </c>
      <c r="J51" s="5"/>
      <c r="K51" s="5"/>
      <c r="L51" s="5">
        <v>10.932700000000001</v>
      </c>
      <c r="M51" s="5"/>
      <c r="N51" s="177">
        <v>40724.969370229628</v>
      </c>
      <c r="O51" s="4">
        <v>-7</v>
      </c>
    </row>
    <row r="52" spans="1:15" x14ac:dyDescent="0.25">
      <c r="A52" s="157">
        <v>40718.53125</v>
      </c>
      <c r="B52" s="5">
        <v>-4</v>
      </c>
      <c r="C52" s="5">
        <v>1101579</v>
      </c>
      <c r="D52" s="5" t="s">
        <v>1357</v>
      </c>
      <c r="E52" s="5" t="s">
        <v>116</v>
      </c>
      <c r="F52" s="5" t="b">
        <v>1</v>
      </c>
      <c r="G52" s="5" t="s">
        <v>1437</v>
      </c>
      <c r="H52" s="5">
        <v>7.29</v>
      </c>
      <c r="I52" s="5">
        <v>200.75</v>
      </c>
      <c r="J52" s="5">
        <v>5.7030000000000003</v>
      </c>
      <c r="K52" s="5">
        <v>977.139724</v>
      </c>
      <c r="L52" s="5">
        <v>3.6280999999999999</v>
      </c>
      <c r="M52" s="5"/>
      <c r="N52" s="177">
        <v>40722.356615438337</v>
      </c>
      <c r="O52" s="4">
        <v>-7</v>
      </c>
    </row>
    <row r="53" spans="1:15" x14ac:dyDescent="0.25">
      <c r="A53" s="157">
        <v>40718.566666666666</v>
      </c>
      <c r="B53" s="5">
        <v>-4</v>
      </c>
      <c r="C53" s="5">
        <v>1101580</v>
      </c>
      <c r="D53" s="5" t="s">
        <v>1357</v>
      </c>
      <c r="E53" s="5" t="s">
        <v>110</v>
      </c>
      <c r="F53" s="5" t="b">
        <v>1</v>
      </c>
      <c r="G53" s="5" t="s">
        <v>1437</v>
      </c>
      <c r="H53" s="5">
        <v>7.11</v>
      </c>
      <c r="I53" s="5">
        <v>205</v>
      </c>
      <c r="J53" s="5">
        <v>5.7460000000000004</v>
      </c>
      <c r="K53" s="5">
        <v>1035.325953</v>
      </c>
      <c r="L53" s="5">
        <v>3.629</v>
      </c>
      <c r="M53" s="5"/>
      <c r="N53" s="177">
        <v>40731.679175970239</v>
      </c>
      <c r="O53" s="4">
        <v>-7</v>
      </c>
    </row>
    <row r="54" spans="1:15" x14ac:dyDescent="0.25">
      <c r="A54" s="157">
        <v>40718.587500000001</v>
      </c>
      <c r="B54" s="5">
        <v>-4</v>
      </c>
      <c r="C54" s="5">
        <v>1101581</v>
      </c>
      <c r="D54" s="5" t="s">
        <v>1357</v>
      </c>
      <c r="E54" s="5" t="s">
        <v>116</v>
      </c>
      <c r="F54" s="5" t="b">
        <v>1</v>
      </c>
      <c r="G54" s="5" t="s">
        <v>1330</v>
      </c>
      <c r="H54" s="5">
        <v>7.45</v>
      </c>
      <c r="I54" s="5">
        <v>212</v>
      </c>
      <c r="J54" s="5"/>
      <c r="K54" s="5"/>
      <c r="L54" s="5"/>
      <c r="M54" s="5"/>
      <c r="N54" s="177">
        <v>40719.627932889445</v>
      </c>
      <c r="O54" s="4">
        <v>-7</v>
      </c>
    </row>
    <row r="55" spans="1:15" x14ac:dyDescent="0.25">
      <c r="A55" s="157">
        <v>40718.60833333333</v>
      </c>
      <c r="B55" s="5">
        <v>-4</v>
      </c>
      <c r="C55" s="5">
        <v>1101582</v>
      </c>
      <c r="D55" s="5" t="s">
        <v>1357</v>
      </c>
      <c r="E55" s="5" t="s">
        <v>116</v>
      </c>
      <c r="F55" s="5" t="b">
        <v>1</v>
      </c>
      <c r="G55" s="5" t="s">
        <v>1330</v>
      </c>
      <c r="H55" s="5">
        <v>7.45</v>
      </c>
      <c r="I55" s="5">
        <v>208</v>
      </c>
      <c r="J55" s="5"/>
      <c r="K55" s="5"/>
      <c r="L55" s="5"/>
      <c r="M55" s="5"/>
      <c r="N55" s="177">
        <v>40728.578950906427</v>
      </c>
      <c r="O55" s="4">
        <v>-7</v>
      </c>
    </row>
    <row r="56" spans="1:15" x14ac:dyDescent="0.25">
      <c r="A56" s="157">
        <v>40718.629166666666</v>
      </c>
      <c r="B56" s="5">
        <v>-4</v>
      </c>
      <c r="C56" s="5">
        <v>1101583</v>
      </c>
      <c r="D56" s="5" t="s">
        <v>1357</v>
      </c>
      <c r="E56" s="5" t="s">
        <v>116</v>
      </c>
      <c r="F56" s="5" t="b">
        <v>1</v>
      </c>
      <c r="G56" s="5" t="s">
        <v>1330</v>
      </c>
      <c r="H56" s="5">
        <v>7.47</v>
      </c>
      <c r="I56" s="5">
        <v>211</v>
      </c>
      <c r="J56" s="5"/>
      <c r="K56" s="5"/>
      <c r="L56" s="5"/>
      <c r="M56" s="5"/>
      <c r="N56" s="177">
        <v>40724.672837618069</v>
      </c>
      <c r="O56" s="4">
        <v>-7</v>
      </c>
    </row>
    <row r="57" spans="1:15" x14ac:dyDescent="0.25">
      <c r="A57" s="157">
        <v>40718.65</v>
      </c>
      <c r="B57" s="5">
        <v>-4</v>
      </c>
      <c r="C57" s="5">
        <v>1101584</v>
      </c>
      <c r="D57" s="5" t="s">
        <v>1357</v>
      </c>
      <c r="E57" s="5" t="s">
        <v>116</v>
      </c>
      <c r="F57" s="5" t="b">
        <v>1</v>
      </c>
      <c r="G57" s="5" t="s">
        <v>1330</v>
      </c>
      <c r="H57" s="5">
        <v>7.44</v>
      </c>
      <c r="I57" s="5">
        <v>212</v>
      </c>
      <c r="J57" s="5">
        <v>4.8440000000000003</v>
      </c>
      <c r="K57" s="5">
        <v>1074.04729</v>
      </c>
      <c r="L57" s="5">
        <v>3.3656000000000001</v>
      </c>
      <c r="M57" s="5"/>
      <c r="N57" s="177">
        <v>40719.506138489807</v>
      </c>
      <c r="O57" s="4">
        <v>-7</v>
      </c>
    </row>
    <row r="58" spans="1:15" x14ac:dyDescent="0.25">
      <c r="A58" s="157">
        <v>40718.67083333333</v>
      </c>
      <c r="B58" s="5">
        <v>-4</v>
      </c>
      <c r="C58" s="5">
        <v>1101585</v>
      </c>
      <c r="D58" s="5" t="s">
        <v>1357</v>
      </c>
      <c r="E58" s="5" t="s">
        <v>116</v>
      </c>
      <c r="F58" s="5" t="b">
        <v>1</v>
      </c>
      <c r="G58" s="5" t="s">
        <v>1330</v>
      </c>
      <c r="H58" s="5">
        <v>7.47</v>
      </c>
      <c r="I58" s="5">
        <v>217</v>
      </c>
      <c r="J58" s="5"/>
      <c r="K58" s="5"/>
      <c r="L58" s="5"/>
      <c r="M58" s="5"/>
      <c r="N58" s="177">
        <v>40720.11771872508</v>
      </c>
      <c r="O58" s="4">
        <v>-7</v>
      </c>
    </row>
    <row r="59" spans="1:15" x14ac:dyDescent="0.25">
      <c r="A59" s="157">
        <v>40718.691666666666</v>
      </c>
      <c r="B59" s="5">
        <v>-4</v>
      </c>
      <c r="C59" s="5">
        <v>1101586</v>
      </c>
      <c r="D59" s="5" t="s">
        <v>1357</v>
      </c>
      <c r="E59" s="5" t="s">
        <v>116</v>
      </c>
      <c r="F59" s="5" t="b">
        <v>1</v>
      </c>
      <c r="G59" s="5" t="s">
        <v>1330</v>
      </c>
      <c r="H59" s="5">
        <v>7.49</v>
      </c>
      <c r="I59" s="5">
        <v>219</v>
      </c>
      <c r="J59" s="5"/>
      <c r="K59" s="5"/>
      <c r="L59" s="5"/>
      <c r="M59" s="5"/>
      <c r="N59" s="177">
        <v>40736.903477273801</v>
      </c>
      <c r="O59" s="4">
        <v>-7</v>
      </c>
    </row>
    <row r="60" spans="1:15" x14ac:dyDescent="0.25">
      <c r="A60" s="157">
        <v>40718.712500000001</v>
      </c>
      <c r="B60" s="5">
        <v>-4</v>
      </c>
      <c r="C60" s="5">
        <v>1101587</v>
      </c>
      <c r="D60" s="5" t="s">
        <v>1357</v>
      </c>
      <c r="E60" s="5" t="s">
        <v>116</v>
      </c>
      <c r="F60" s="5" t="b">
        <v>1</v>
      </c>
      <c r="G60" s="5" t="s">
        <v>1330</v>
      </c>
      <c r="H60" s="5">
        <v>7.47</v>
      </c>
      <c r="I60" s="5">
        <v>221</v>
      </c>
      <c r="J60" s="5"/>
      <c r="K60" s="5"/>
      <c r="L60" s="5"/>
      <c r="M60" s="5"/>
      <c r="N60" s="177">
        <v>40720.205877689739</v>
      </c>
      <c r="O60" s="4">
        <v>-7</v>
      </c>
    </row>
    <row r="61" spans="1:15" x14ac:dyDescent="0.25">
      <c r="A61" s="157">
        <v>40718.729166666664</v>
      </c>
      <c r="B61" s="5">
        <v>-4</v>
      </c>
      <c r="C61" s="5">
        <v>1101589</v>
      </c>
      <c r="D61" s="5" t="s">
        <v>1357</v>
      </c>
      <c r="E61" s="5" t="s">
        <v>116</v>
      </c>
      <c r="F61" s="5" t="b">
        <v>1</v>
      </c>
      <c r="G61" s="5" t="s">
        <v>1330</v>
      </c>
      <c r="H61" s="5">
        <v>7.72</v>
      </c>
      <c r="I61" s="5">
        <v>223</v>
      </c>
      <c r="J61" s="5"/>
      <c r="K61" s="5"/>
      <c r="L61" s="5"/>
      <c r="M61" s="5"/>
      <c r="N61" s="177">
        <v>40733.327200151645</v>
      </c>
      <c r="O61" s="4">
        <v>-7</v>
      </c>
    </row>
    <row r="62" spans="1:15" x14ac:dyDescent="0.25">
      <c r="A62" s="157">
        <v>40718.791666666664</v>
      </c>
      <c r="B62" s="5">
        <v>-4</v>
      </c>
      <c r="C62" s="5">
        <v>1101590</v>
      </c>
      <c r="D62" s="5" t="s">
        <v>1357</v>
      </c>
      <c r="E62" s="5" t="s">
        <v>116</v>
      </c>
      <c r="F62" s="5" t="b">
        <v>1</v>
      </c>
      <c r="G62" s="5" t="s">
        <v>1330</v>
      </c>
      <c r="H62" s="5">
        <v>7.66</v>
      </c>
      <c r="I62" s="5">
        <v>226</v>
      </c>
      <c r="J62" s="5"/>
      <c r="K62" s="5"/>
      <c r="L62" s="5"/>
      <c r="M62" s="5"/>
      <c r="N62" s="177">
        <v>40737.559433012459</v>
      </c>
      <c r="O62" s="4">
        <v>-7</v>
      </c>
    </row>
    <row r="63" spans="1:15" x14ac:dyDescent="0.25">
      <c r="A63" s="157">
        <v>40718.854166666664</v>
      </c>
      <c r="B63" s="5">
        <v>-4</v>
      </c>
      <c r="C63" s="5">
        <v>1101591</v>
      </c>
      <c r="D63" s="5" t="s">
        <v>1357</v>
      </c>
      <c r="E63" s="5" t="s">
        <v>116</v>
      </c>
      <c r="F63" s="5" t="b">
        <v>1</v>
      </c>
      <c r="G63" s="5" t="s">
        <v>1330</v>
      </c>
      <c r="H63" s="5">
        <v>7.65</v>
      </c>
      <c r="I63" s="5">
        <v>225</v>
      </c>
      <c r="J63" s="5"/>
      <c r="K63" s="5"/>
      <c r="L63" s="5"/>
      <c r="M63" s="5"/>
      <c r="N63" s="177">
        <v>40727.360594829108</v>
      </c>
      <c r="O63" s="4">
        <v>-7</v>
      </c>
    </row>
    <row r="64" spans="1:15" x14ac:dyDescent="0.25">
      <c r="A64" s="157">
        <v>40718.916666666664</v>
      </c>
      <c r="B64" s="5">
        <v>-4</v>
      </c>
      <c r="C64" s="5">
        <v>1101592</v>
      </c>
      <c r="D64" s="5" t="s">
        <v>1357</v>
      </c>
      <c r="E64" s="5" t="s">
        <v>116</v>
      </c>
      <c r="F64" s="5" t="b">
        <v>1</v>
      </c>
      <c r="G64" s="5" t="s">
        <v>1330</v>
      </c>
      <c r="H64" s="5">
        <v>7.65</v>
      </c>
      <c r="I64" s="5">
        <v>220</v>
      </c>
      <c r="J64" s="5">
        <v>4.5739999999999998</v>
      </c>
      <c r="K64" s="5">
        <v>1127.9683520000001</v>
      </c>
      <c r="L64" s="5">
        <v>3.4697</v>
      </c>
      <c r="M64" s="5"/>
      <c r="N64" s="177">
        <v>40720.454247297632</v>
      </c>
      <c r="O64" s="4">
        <v>-7</v>
      </c>
    </row>
    <row r="65" spans="1:15" x14ac:dyDescent="0.25">
      <c r="A65" s="157">
        <v>40718.979166666664</v>
      </c>
      <c r="B65" s="5">
        <v>-4</v>
      </c>
      <c r="C65" s="5">
        <v>1101593</v>
      </c>
      <c r="D65" s="5" t="s">
        <v>1357</v>
      </c>
      <c r="E65" s="5" t="s">
        <v>116</v>
      </c>
      <c r="F65" s="5" t="b">
        <v>1</v>
      </c>
      <c r="G65" s="5" t="s">
        <v>1330</v>
      </c>
      <c r="H65" s="5">
        <v>7.67</v>
      </c>
      <c r="I65" s="5">
        <v>226</v>
      </c>
      <c r="J65" s="5"/>
      <c r="K65" s="5"/>
      <c r="L65" s="5"/>
      <c r="M65" s="5"/>
      <c r="N65" s="177">
        <v>40732.110520423499</v>
      </c>
      <c r="O65" s="4">
        <v>-7</v>
      </c>
    </row>
    <row r="66" spans="1:15" x14ac:dyDescent="0.25">
      <c r="A66" s="157">
        <v>40719.041666666664</v>
      </c>
      <c r="B66" s="5">
        <v>-4</v>
      </c>
      <c r="C66" s="5">
        <v>1101594</v>
      </c>
      <c r="D66" s="5" t="s">
        <v>1357</v>
      </c>
      <c r="E66" s="5" t="s">
        <v>116</v>
      </c>
      <c r="F66" s="5" t="b">
        <v>1</v>
      </c>
      <c r="G66" s="5" t="s">
        <v>1330</v>
      </c>
      <c r="H66" s="5">
        <v>7.7</v>
      </c>
      <c r="I66" s="5">
        <v>229</v>
      </c>
      <c r="J66" s="5"/>
      <c r="K66" s="5"/>
      <c r="L66" s="5"/>
      <c r="M66" s="5"/>
      <c r="N66" s="177">
        <v>40731.317930746845</v>
      </c>
      <c r="O66" s="4">
        <v>-7</v>
      </c>
    </row>
    <row r="67" spans="1:15" x14ac:dyDescent="0.25">
      <c r="A67" s="157">
        <v>40719.104166666664</v>
      </c>
      <c r="B67" s="5">
        <v>-4</v>
      </c>
      <c r="C67" s="5">
        <v>1101595</v>
      </c>
      <c r="D67" s="5" t="s">
        <v>1357</v>
      </c>
      <c r="E67" s="5" t="s">
        <v>116</v>
      </c>
      <c r="F67" s="5" t="b">
        <v>1</v>
      </c>
      <c r="G67" s="5" t="s">
        <v>1330</v>
      </c>
      <c r="H67" s="5">
        <v>7.68</v>
      </c>
      <c r="I67" s="5">
        <v>230</v>
      </c>
      <c r="J67" s="5"/>
      <c r="K67" s="5"/>
      <c r="L67" s="5"/>
      <c r="M67" s="5"/>
      <c r="N67" s="177">
        <v>40721.838465088811</v>
      </c>
      <c r="O67" s="4">
        <v>-7</v>
      </c>
    </row>
    <row r="68" spans="1:15" x14ac:dyDescent="0.25">
      <c r="A68" s="157">
        <v>40719.166666666664</v>
      </c>
      <c r="B68" s="5">
        <v>-4</v>
      </c>
      <c r="C68" s="5">
        <v>1101596</v>
      </c>
      <c r="D68" s="5" t="s">
        <v>1357</v>
      </c>
      <c r="E68" s="5" t="s">
        <v>116</v>
      </c>
      <c r="F68" s="5" t="b">
        <v>1</v>
      </c>
      <c r="G68" s="5" t="s">
        <v>1330</v>
      </c>
      <c r="H68" s="5">
        <v>7.71</v>
      </c>
      <c r="I68" s="5">
        <v>231</v>
      </c>
      <c r="J68" s="5"/>
      <c r="K68" s="5"/>
      <c r="L68" s="5"/>
      <c r="M68" s="5"/>
      <c r="N68" s="177">
        <v>40724.552657922584</v>
      </c>
      <c r="O68" s="4">
        <v>-7</v>
      </c>
    </row>
    <row r="69" spans="1:15" x14ac:dyDescent="0.25">
      <c r="A69" s="157">
        <v>40719.229166666664</v>
      </c>
      <c r="B69" s="5">
        <v>-4</v>
      </c>
      <c r="C69" s="5">
        <v>1101597</v>
      </c>
      <c r="D69" s="5" t="s">
        <v>1357</v>
      </c>
      <c r="E69" s="5" t="s">
        <v>116</v>
      </c>
      <c r="F69" s="5" t="b">
        <v>1</v>
      </c>
      <c r="G69" s="5" t="s">
        <v>1330</v>
      </c>
      <c r="H69" s="5">
        <v>7.5</v>
      </c>
      <c r="I69" s="5">
        <v>234</v>
      </c>
      <c r="J69" s="5"/>
      <c r="K69" s="5"/>
      <c r="L69" s="5"/>
      <c r="M69" s="5"/>
      <c r="N69" s="177">
        <v>40722.709321474067</v>
      </c>
      <c r="O69" s="4">
        <v>-7</v>
      </c>
    </row>
    <row r="70" spans="1:15" x14ac:dyDescent="0.25">
      <c r="A70" s="157">
        <v>40719.291666666664</v>
      </c>
      <c r="B70" s="5">
        <v>-4</v>
      </c>
      <c r="C70" s="5">
        <v>1101598</v>
      </c>
      <c r="D70" s="5" t="s">
        <v>1357</v>
      </c>
      <c r="E70" s="5" t="s">
        <v>116</v>
      </c>
      <c r="F70" s="5" t="b">
        <v>1</v>
      </c>
      <c r="G70" s="5" t="s">
        <v>1330</v>
      </c>
      <c r="H70" s="5">
        <v>7.7</v>
      </c>
      <c r="I70" s="5">
        <v>233</v>
      </c>
      <c r="J70" s="5"/>
      <c r="K70" s="5"/>
      <c r="L70" s="5"/>
      <c r="M70" s="5"/>
      <c r="N70" s="177">
        <v>40730.097789597057</v>
      </c>
      <c r="O70" s="4">
        <v>-7</v>
      </c>
    </row>
    <row r="71" spans="1:15" x14ac:dyDescent="0.25">
      <c r="A71" s="157">
        <v>40719.354166666664</v>
      </c>
      <c r="B71" s="5">
        <v>-4</v>
      </c>
      <c r="C71" s="5">
        <v>1101599</v>
      </c>
      <c r="D71" s="5" t="s">
        <v>1357</v>
      </c>
      <c r="E71" s="5" t="s">
        <v>116</v>
      </c>
      <c r="F71" s="5" t="b">
        <v>1</v>
      </c>
      <c r="G71" s="5" t="s">
        <v>1330</v>
      </c>
      <c r="H71" s="5">
        <v>7.71</v>
      </c>
      <c r="I71" s="5">
        <v>233</v>
      </c>
      <c r="J71" s="5"/>
      <c r="K71" s="5"/>
      <c r="L71" s="5"/>
      <c r="M71" s="5"/>
      <c r="N71" s="177">
        <v>40732.140875934994</v>
      </c>
      <c r="O71" s="4">
        <v>-7</v>
      </c>
    </row>
    <row r="72" spans="1:15" x14ac:dyDescent="0.25">
      <c r="A72" s="157">
        <v>40719.416666666664</v>
      </c>
      <c r="B72" s="5">
        <v>-4</v>
      </c>
      <c r="C72" s="5">
        <v>1101600</v>
      </c>
      <c r="D72" s="5" t="s">
        <v>1357</v>
      </c>
      <c r="E72" s="5" t="s">
        <v>116</v>
      </c>
      <c r="F72" s="5" t="b">
        <v>1</v>
      </c>
      <c r="G72" s="5" t="s">
        <v>1330</v>
      </c>
      <c r="H72" s="5">
        <v>7.61</v>
      </c>
      <c r="I72" s="5">
        <v>231</v>
      </c>
      <c r="J72" s="5"/>
      <c r="K72" s="5"/>
      <c r="L72" s="5"/>
      <c r="M72" s="5"/>
      <c r="N72" s="177">
        <v>40730.877989360066</v>
      </c>
      <c r="O72" s="4">
        <v>-7</v>
      </c>
    </row>
    <row r="73" spans="1:15" x14ac:dyDescent="0.25">
      <c r="A73" s="157">
        <v>40731.722916666666</v>
      </c>
      <c r="B73" s="5">
        <v>-4</v>
      </c>
      <c r="C73" s="5">
        <v>1101773</v>
      </c>
      <c r="D73" s="5" t="s">
        <v>1354</v>
      </c>
      <c r="E73" s="5" t="s">
        <v>110</v>
      </c>
      <c r="F73" s="5" t="b">
        <v>1</v>
      </c>
      <c r="G73" s="5" t="s">
        <v>1330</v>
      </c>
      <c r="H73" s="5">
        <v>6.19</v>
      </c>
      <c r="I73" s="5">
        <v>228.5</v>
      </c>
      <c r="J73" s="5">
        <v>1.43</v>
      </c>
      <c r="K73" s="5">
        <v>1357.8826449999999</v>
      </c>
      <c r="L73" s="5">
        <v>3.6747999999999998</v>
      </c>
      <c r="M73" s="5"/>
      <c r="N73" s="177">
        <v>40736.225561504092</v>
      </c>
      <c r="O73" s="4">
        <v>-7</v>
      </c>
    </row>
    <row r="74" spans="1:15" x14ac:dyDescent="0.25">
      <c r="A74" s="157">
        <v>40758.435416666667</v>
      </c>
      <c r="B74" s="5">
        <v>-4</v>
      </c>
      <c r="C74" s="5">
        <v>1102196</v>
      </c>
      <c r="D74" s="5" t="s">
        <v>1360</v>
      </c>
      <c r="E74" s="5" t="s">
        <v>110</v>
      </c>
      <c r="F74" s="5" t="b">
        <v>1</v>
      </c>
      <c r="G74" s="5" t="s">
        <v>1330</v>
      </c>
      <c r="H74" s="5">
        <v>6.75</v>
      </c>
      <c r="I74" s="5">
        <v>236.5</v>
      </c>
      <c r="J74" s="5">
        <v>1.58</v>
      </c>
      <c r="K74" s="5">
        <v>1344.5533049999999</v>
      </c>
      <c r="L74" s="5">
        <v>3.6770999999999998</v>
      </c>
      <c r="M74" s="5"/>
      <c r="N74" s="177">
        <v>40758.442399812178</v>
      </c>
      <c r="O74" s="4">
        <v>-7</v>
      </c>
    </row>
    <row r="75" spans="1:15" x14ac:dyDescent="0.25">
      <c r="A75" s="157">
        <v>40758.458333333336</v>
      </c>
      <c r="B75" s="5">
        <v>-4</v>
      </c>
      <c r="C75" s="5">
        <v>1102197</v>
      </c>
      <c r="D75" s="5" t="s">
        <v>1359</v>
      </c>
      <c r="E75" s="5" t="s">
        <v>110</v>
      </c>
      <c r="F75" s="5" t="b">
        <v>1</v>
      </c>
      <c r="G75" s="5" t="s">
        <v>1330</v>
      </c>
      <c r="H75" s="5">
        <v>7.23</v>
      </c>
      <c r="I75" s="5">
        <v>227.5</v>
      </c>
      <c r="J75" s="5">
        <v>1.446</v>
      </c>
      <c r="K75" s="5">
        <v>1235.967273</v>
      </c>
      <c r="L75" s="5">
        <v>3.9413</v>
      </c>
      <c r="M75" s="5"/>
      <c r="N75" s="177">
        <v>40766.604886661051</v>
      </c>
      <c r="O75" s="4">
        <v>-7</v>
      </c>
    </row>
    <row r="76" spans="1:15" x14ac:dyDescent="0.25">
      <c r="A76" s="157">
        <v>40758.525694444441</v>
      </c>
      <c r="B76" s="5">
        <v>-4</v>
      </c>
      <c r="C76" s="5">
        <v>1102198</v>
      </c>
      <c r="D76" s="5" t="s">
        <v>1354</v>
      </c>
      <c r="E76" s="5" t="s">
        <v>110</v>
      </c>
      <c r="F76" s="5" t="b">
        <v>1</v>
      </c>
      <c r="G76" s="5" t="s">
        <v>1330</v>
      </c>
      <c r="H76" s="5">
        <v>7.28</v>
      </c>
      <c r="I76" s="5">
        <v>227.5</v>
      </c>
      <c r="J76" s="5">
        <v>1.3420000000000001</v>
      </c>
      <c r="K76" s="5">
        <v>1350.323926</v>
      </c>
      <c r="L76" s="5">
        <v>3.7027999999999999</v>
      </c>
      <c r="M76" s="5"/>
      <c r="N76" s="177">
        <v>40775.817591433704</v>
      </c>
      <c r="O76" s="4">
        <v>-7</v>
      </c>
    </row>
    <row r="77" spans="1:15" x14ac:dyDescent="0.25">
      <c r="A77" s="157">
        <v>40800.567361111112</v>
      </c>
      <c r="B77" s="5">
        <v>-4</v>
      </c>
      <c r="C77" s="5">
        <v>1103088</v>
      </c>
      <c r="D77" s="5" t="s">
        <v>1360</v>
      </c>
      <c r="E77" s="5" t="s">
        <v>110</v>
      </c>
      <c r="F77" s="5" t="b">
        <v>1</v>
      </c>
      <c r="G77" s="5" t="s">
        <v>1330</v>
      </c>
      <c r="H77" s="5">
        <v>6.98</v>
      </c>
      <c r="I77" s="5">
        <v>251</v>
      </c>
      <c r="J77" s="5">
        <v>1.88</v>
      </c>
      <c r="K77" s="5">
        <v>1265.2432349999999</v>
      </c>
      <c r="L77" s="5">
        <v>3.8039000000000001</v>
      </c>
      <c r="M77" s="5"/>
      <c r="N77" s="177">
        <v>40812.9758316562</v>
      </c>
      <c r="O77" s="4">
        <v>-7</v>
      </c>
    </row>
    <row r="78" spans="1:15" x14ac:dyDescent="0.25">
      <c r="A78" s="157">
        <v>40800.604861111111</v>
      </c>
      <c r="B78" s="5">
        <v>-4</v>
      </c>
      <c r="C78" s="5">
        <v>1103090</v>
      </c>
      <c r="D78" s="5" t="s">
        <v>1354</v>
      </c>
      <c r="E78" s="5" t="s">
        <v>110</v>
      </c>
      <c r="F78" s="5" t="b">
        <v>1</v>
      </c>
      <c r="G78" s="5" t="s">
        <v>1330</v>
      </c>
      <c r="H78" s="5">
        <v>6.92</v>
      </c>
      <c r="I78" s="5">
        <v>240</v>
      </c>
      <c r="J78" s="5">
        <v>1.8380000000000001</v>
      </c>
      <c r="K78" s="5">
        <v>1256.9127169999999</v>
      </c>
      <c r="L78" s="5">
        <v>3.5762</v>
      </c>
      <c r="M78" s="5"/>
      <c r="N78" s="177">
        <v>40817.298350057892</v>
      </c>
      <c r="O78" s="4">
        <v>-7</v>
      </c>
    </row>
    <row r="79" spans="1:15" x14ac:dyDescent="0.25">
      <c r="A79" s="157">
        <v>40800.645833333336</v>
      </c>
      <c r="B79" s="5">
        <v>-4</v>
      </c>
      <c r="C79" s="5">
        <v>1103089</v>
      </c>
      <c r="D79" s="5" t="s">
        <v>1359</v>
      </c>
      <c r="E79" s="5" t="s">
        <v>110</v>
      </c>
      <c r="F79" s="5" t="b">
        <v>1</v>
      </c>
      <c r="G79" s="5" t="s">
        <v>1330</v>
      </c>
      <c r="H79" s="5">
        <v>6.89</v>
      </c>
      <c r="I79" s="5">
        <v>250</v>
      </c>
      <c r="J79" s="5">
        <v>1.8919999999999999</v>
      </c>
      <c r="K79" s="5">
        <v>1128.3503499999999</v>
      </c>
      <c r="L79" s="5">
        <v>3.8069999999999999</v>
      </c>
      <c r="M79" s="5"/>
      <c r="N79" s="177">
        <v>40802.042081372092</v>
      </c>
      <c r="O79" s="4">
        <v>-7</v>
      </c>
    </row>
    <row r="80" spans="1:15" x14ac:dyDescent="0.25">
      <c r="A80" s="157">
        <v>40821.449305555558</v>
      </c>
      <c r="B80" s="5">
        <v>-4</v>
      </c>
      <c r="C80" s="5">
        <v>1103341</v>
      </c>
      <c r="D80" s="5" t="s">
        <v>1360</v>
      </c>
      <c r="E80" s="5" t="s">
        <v>110</v>
      </c>
      <c r="F80" s="5" t="b">
        <v>1</v>
      </c>
      <c r="G80" s="5" t="s">
        <v>1330</v>
      </c>
      <c r="H80" s="5">
        <v>7.7080000000000002</v>
      </c>
      <c r="I80" s="5">
        <v>226</v>
      </c>
      <c r="J80" s="5">
        <v>1.714</v>
      </c>
      <c r="K80" s="5">
        <v>1291.3013089999999</v>
      </c>
      <c r="L80" s="5">
        <v>3.7261000000000002</v>
      </c>
      <c r="M80" s="5"/>
      <c r="N80" s="177">
        <v>40826.254417618031</v>
      </c>
      <c r="O80" s="4">
        <v>-7</v>
      </c>
    </row>
    <row r="81" spans="1:15" x14ac:dyDescent="0.25">
      <c r="A81" s="157">
        <v>40821.491666666669</v>
      </c>
      <c r="B81" s="5">
        <v>-4</v>
      </c>
      <c r="C81" s="5">
        <v>1103343</v>
      </c>
      <c r="D81" s="5" t="s">
        <v>1354</v>
      </c>
      <c r="E81" s="5" t="s">
        <v>110</v>
      </c>
      <c r="F81" s="5" t="b">
        <v>1</v>
      </c>
      <c r="G81" s="5" t="s">
        <v>1330</v>
      </c>
      <c r="H81" s="5">
        <v>7.62</v>
      </c>
      <c r="I81" s="5">
        <v>218.5</v>
      </c>
      <c r="J81" s="5">
        <v>1.712</v>
      </c>
      <c r="K81" s="5">
        <v>1288.4215879999999</v>
      </c>
      <c r="L81" s="5">
        <v>3.5301999999999998</v>
      </c>
      <c r="M81" s="5"/>
      <c r="N81" s="177">
        <v>40840.952279318859</v>
      </c>
      <c r="O81" s="4">
        <v>-7</v>
      </c>
    </row>
    <row r="82" spans="1:15" x14ac:dyDescent="0.25">
      <c r="A82" s="157">
        <v>40821.683333333334</v>
      </c>
      <c r="B82" s="5">
        <v>-4</v>
      </c>
      <c r="C82" s="5">
        <v>1103342</v>
      </c>
      <c r="D82" s="5" t="s">
        <v>1359</v>
      </c>
      <c r="E82" s="5" t="s">
        <v>110</v>
      </c>
      <c r="F82" s="5" t="b">
        <v>1</v>
      </c>
      <c r="G82" s="5" t="s">
        <v>1437</v>
      </c>
      <c r="H82" s="5">
        <v>7.63</v>
      </c>
      <c r="I82" s="5">
        <v>220</v>
      </c>
      <c r="J82" s="5">
        <v>1.77</v>
      </c>
      <c r="K82" s="5">
        <v>1231.934299</v>
      </c>
      <c r="L82" s="5">
        <v>3.7629000000000001</v>
      </c>
      <c r="M82" s="5"/>
      <c r="N82" s="177">
        <v>40826.710881154191</v>
      </c>
      <c r="O82" s="4">
        <v>-7</v>
      </c>
    </row>
    <row r="83" spans="1:15" x14ac:dyDescent="0.25">
      <c r="A83" s="157">
        <v>40827.780555555553</v>
      </c>
      <c r="B83" s="5">
        <v>-4</v>
      </c>
      <c r="C83" s="5">
        <v>1103386</v>
      </c>
      <c r="D83" s="5" t="s">
        <v>1355</v>
      </c>
      <c r="E83" s="5" t="s">
        <v>110</v>
      </c>
      <c r="F83" s="5" t="b">
        <v>1</v>
      </c>
      <c r="G83" s="5" t="s">
        <v>1330</v>
      </c>
      <c r="H83" s="5">
        <v>6.976</v>
      </c>
      <c r="I83" s="5">
        <v>293</v>
      </c>
      <c r="J83" s="5"/>
      <c r="K83" s="5"/>
      <c r="L83" s="5">
        <v>1.4883999999999999</v>
      </c>
      <c r="M83" s="5"/>
      <c r="N83" s="177">
        <v>40846.927720080588</v>
      </c>
      <c r="O83" s="4">
        <v>-7</v>
      </c>
    </row>
    <row r="84" spans="1:15" x14ac:dyDescent="0.25">
      <c r="A84" s="157">
        <v>40827.799305555556</v>
      </c>
      <c r="B84" s="5">
        <v>-4</v>
      </c>
      <c r="C84" s="5">
        <v>1103387</v>
      </c>
      <c r="D84" s="5" t="s">
        <v>1356</v>
      </c>
      <c r="E84" s="5" t="s">
        <v>110</v>
      </c>
      <c r="F84" s="5" t="b">
        <v>1</v>
      </c>
      <c r="G84" s="5" t="s">
        <v>1330</v>
      </c>
      <c r="H84" s="5">
        <v>7.4580000000000002</v>
      </c>
      <c r="I84" s="5">
        <v>356</v>
      </c>
      <c r="J84" s="5"/>
      <c r="K84" s="5"/>
      <c r="L84" s="5">
        <v>9.7346000000000004</v>
      </c>
      <c r="M84" s="5"/>
      <c r="N84" s="177">
        <v>40844.237868700438</v>
      </c>
      <c r="O84" s="4">
        <v>-7</v>
      </c>
    </row>
    <row r="85" spans="1:15" x14ac:dyDescent="0.25">
      <c r="A85" s="157">
        <v>40849.511805555558</v>
      </c>
      <c r="B85" s="5">
        <v>-4</v>
      </c>
      <c r="C85" s="5">
        <v>1103685</v>
      </c>
      <c r="D85" s="5" t="s">
        <v>1360</v>
      </c>
      <c r="E85" s="5" t="s">
        <v>110</v>
      </c>
      <c r="F85" s="5" t="b">
        <v>1</v>
      </c>
      <c r="G85" s="5" t="s">
        <v>1330</v>
      </c>
      <c r="H85" s="5">
        <v>7.694</v>
      </c>
      <c r="I85" s="5">
        <v>190.1</v>
      </c>
      <c r="J85" s="5">
        <v>1.8080000000000001</v>
      </c>
      <c r="K85" s="5">
        <v>1267.8701370000001</v>
      </c>
      <c r="L85" s="5">
        <v>3.7191999999999998</v>
      </c>
      <c r="M85" s="5"/>
      <c r="N85" s="177">
        <v>40862.011118783608</v>
      </c>
      <c r="O85" s="4">
        <v>-7</v>
      </c>
    </row>
    <row r="86" spans="1:15" x14ac:dyDescent="0.25">
      <c r="A86" s="157">
        <v>40849.560416666667</v>
      </c>
      <c r="B86" s="5">
        <v>-4</v>
      </c>
      <c r="C86" s="5">
        <v>1103687</v>
      </c>
      <c r="D86" s="5" t="s">
        <v>1354</v>
      </c>
      <c r="E86" s="5" t="s">
        <v>110</v>
      </c>
      <c r="F86" s="5" t="b">
        <v>1</v>
      </c>
      <c r="G86" s="5" t="s">
        <v>1330</v>
      </c>
      <c r="H86" s="5">
        <v>7.6749999999999998</v>
      </c>
      <c r="I86" s="5">
        <v>199.3</v>
      </c>
      <c r="J86" s="5">
        <v>1.7809999999999999</v>
      </c>
      <c r="K86" s="5"/>
      <c r="L86" s="5">
        <v>3.5465</v>
      </c>
      <c r="M86" s="5"/>
      <c r="N86" s="177">
        <v>40858.662611699037</v>
      </c>
      <c r="O86" s="4">
        <v>-7</v>
      </c>
    </row>
    <row r="87" spans="1:15" x14ac:dyDescent="0.25">
      <c r="A87" s="157">
        <v>40849.59097222222</v>
      </c>
      <c r="B87" s="5">
        <v>-4</v>
      </c>
      <c r="C87" s="5">
        <v>1103686</v>
      </c>
      <c r="D87" s="5" t="s">
        <v>1359</v>
      </c>
      <c r="E87" s="5" t="s">
        <v>110</v>
      </c>
      <c r="F87" s="5" t="b">
        <v>1</v>
      </c>
      <c r="G87" s="5" t="s">
        <v>1330</v>
      </c>
      <c r="H87" s="5">
        <v>7.7110000000000003</v>
      </c>
      <c r="I87" s="5">
        <v>199.1</v>
      </c>
      <c r="J87" s="5">
        <v>1.857</v>
      </c>
      <c r="K87" s="5">
        <v>1193.079986</v>
      </c>
      <c r="L87" s="5">
        <v>3.7437</v>
      </c>
      <c r="M87" s="5"/>
      <c r="N87" s="177">
        <v>40864.75342365593</v>
      </c>
      <c r="O87" s="4">
        <v>-7</v>
      </c>
    </row>
    <row r="88" spans="1:15" x14ac:dyDescent="0.25">
      <c r="A88" s="157">
        <v>40869.5</v>
      </c>
      <c r="B88" s="5">
        <v>-5</v>
      </c>
      <c r="C88" s="5">
        <v>1104011</v>
      </c>
      <c r="D88" s="5" t="s">
        <v>1357</v>
      </c>
      <c r="E88" s="5" t="s">
        <v>116</v>
      </c>
      <c r="F88" s="5" t="b">
        <v>1</v>
      </c>
      <c r="G88" s="5" t="s">
        <v>1330</v>
      </c>
      <c r="H88" s="5">
        <v>7.5670000000000002</v>
      </c>
      <c r="I88" s="5">
        <v>202</v>
      </c>
      <c r="J88" s="5">
        <v>2.8119999999999998</v>
      </c>
      <c r="K88" s="5">
        <v>958.17050119999999</v>
      </c>
      <c r="L88" s="5">
        <v>3.5222000000000002</v>
      </c>
      <c r="M88" s="5"/>
      <c r="N88" s="177">
        <v>40883.153562470099</v>
      </c>
      <c r="O88" s="4">
        <v>-7</v>
      </c>
    </row>
    <row r="89" spans="1:15" x14ac:dyDescent="0.25">
      <c r="A89" s="157">
        <v>40869.75</v>
      </c>
      <c r="B89" s="5">
        <v>-5</v>
      </c>
      <c r="C89" s="5">
        <v>1104012</v>
      </c>
      <c r="D89" s="5" t="s">
        <v>1357</v>
      </c>
      <c r="E89" s="5" t="s">
        <v>116</v>
      </c>
      <c r="F89" s="5" t="b">
        <v>1</v>
      </c>
      <c r="G89" s="5" t="s">
        <v>1330</v>
      </c>
      <c r="H89" s="5">
        <v>7.44</v>
      </c>
      <c r="I89" s="5">
        <v>181.7</v>
      </c>
      <c r="J89" s="5">
        <v>6.0140000000000002</v>
      </c>
      <c r="K89" s="5">
        <v>884.30309769999997</v>
      </c>
      <c r="L89" s="5">
        <v>2.3818000000000001</v>
      </c>
      <c r="M89" s="5"/>
      <c r="N89" s="177">
        <v>40878.990539991675</v>
      </c>
      <c r="O89" s="4">
        <v>-7</v>
      </c>
    </row>
    <row r="90" spans="1:15" x14ac:dyDescent="0.25">
      <c r="A90" s="157">
        <v>40869.833333333336</v>
      </c>
      <c r="B90" s="5">
        <v>-5</v>
      </c>
      <c r="C90" s="5">
        <v>1104013</v>
      </c>
      <c r="D90" s="5" t="s">
        <v>1357</v>
      </c>
      <c r="E90" s="5" t="s">
        <v>116</v>
      </c>
      <c r="F90" s="5" t="b">
        <v>1</v>
      </c>
      <c r="G90" s="5" t="s">
        <v>1330</v>
      </c>
      <c r="H90" s="5">
        <v>7.2750000000000004</v>
      </c>
      <c r="I90" s="5">
        <v>140.6</v>
      </c>
      <c r="J90" s="5">
        <v>9.3059999999999992</v>
      </c>
      <c r="K90" s="5">
        <v>824.32100820000005</v>
      </c>
      <c r="L90" s="5">
        <v>1.5264</v>
      </c>
      <c r="M90" s="5"/>
      <c r="N90" s="177">
        <v>40887.540511449173</v>
      </c>
      <c r="O90" s="4">
        <v>-7</v>
      </c>
    </row>
    <row r="91" spans="1:15" x14ac:dyDescent="0.25">
      <c r="A91" s="157">
        <v>40869.916666666664</v>
      </c>
      <c r="B91" s="5">
        <v>-5</v>
      </c>
      <c r="C91" s="5">
        <v>1104014</v>
      </c>
      <c r="D91" s="5" t="s">
        <v>1357</v>
      </c>
      <c r="E91" s="5" t="s">
        <v>116</v>
      </c>
      <c r="F91" s="5" t="b">
        <v>1</v>
      </c>
      <c r="G91" s="5" t="s">
        <v>1330</v>
      </c>
      <c r="H91" s="5">
        <v>7.1890000000000001</v>
      </c>
      <c r="I91" s="5">
        <v>106.2</v>
      </c>
      <c r="J91" s="5">
        <v>10.923999999999999</v>
      </c>
      <c r="K91" s="5">
        <v>625.90381290000005</v>
      </c>
      <c r="L91" s="5">
        <v>1.0838000000000001</v>
      </c>
      <c r="M91" s="5"/>
      <c r="N91" s="177">
        <v>40871.011666905033</v>
      </c>
      <c r="O91" s="4">
        <v>-7</v>
      </c>
    </row>
    <row r="92" spans="1:15" x14ac:dyDescent="0.25">
      <c r="A92" s="157">
        <v>40870.166666666664</v>
      </c>
      <c r="B92" s="5">
        <v>-5</v>
      </c>
      <c r="C92" s="5">
        <v>1104015</v>
      </c>
      <c r="D92" s="5" t="s">
        <v>1357</v>
      </c>
      <c r="E92" s="5" t="s">
        <v>116</v>
      </c>
      <c r="F92" s="5" t="b">
        <v>1</v>
      </c>
      <c r="G92" s="5" t="s">
        <v>1330</v>
      </c>
      <c r="H92" s="5">
        <v>7.1779999999999999</v>
      </c>
      <c r="I92" s="5">
        <v>106.4</v>
      </c>
      <c r="J92" s="5">
        <v>9.3320000000000007</v>
      </c>
      <c r="K92" s="5">
        <v>632.72621130000005</v>
      </c>
      <c r="L92" s="5">
        <v>1.2443</v>
      </c>
      <c r="M92" s="5"/>
      <c r="N92" s="177">
        <v>40874.331449059013</v>
      </c>
      <c r="O92" s="4">
        <v>-7</v>
      </c>
    </row>
    <row r="93" spans="1:15" x14ac:dyDescent="0.25">
      <c r="A93" s="157">
        <v>40870.208333333336</v>
      </c>
      <c r="B93" s="5">
        <v>-5</v>
      </c>
      <c r="C93" s="5">
        <v>1104016</v>
      </c>
      <c r="D93" s="5" t="s">
        <v>1357</v>
      </c>
      <c r="E93" s="5" t="s">
        <v>116</v>
      </c>
      <c r="F93" s="5" t="b">
        <v>1</v>
      </c>
      <c r="G93" s="5" t="s">
        <v>1330</v>
      </c>
      <c r="H93" s="5">
        <v>7.0510000000000002</v>
      </c>
      <c r="I93" s="5">
        <v>85.8</v>
      </c>
      <c r="J93" s="5">
        <v>9.42</v>
      </c>
      <c r="K93" s="5">
        <v>502.6257961</v>
      </c>
      <c r="L93" s="5">
        <v>0.96830000000000005</v>
      </c>
      <c r="M93" s="5"/>
      <c r="N93" s="177">
        <v>40887.37436479843</v>
      </c>
      <c r="O93" s="4">
        <v>-7</v>
      </c>
    </row>
    <row r="94" spans="1:15" x14ac:dyDescent="0.25">
      <c r="A94" s="157">
        <v>40870.25</v>
      </c>
      <c r="B94" s="5">
        <v>-5</v>
      </c>
      <c r="C94" s="5">
        <v>1104017</v>
      </c>
      <c r="D94" s="5" t="s">
        <v>1357</v>
      </c>
      <c r="E94" s="5" t="s">
        <v>116</v>
      </c>
      <c r="F94" s="5" t="b">
        <v>1</v>
      </c>
      <c r="G94" s="5" t="s">
        <v>1330</v>
      </c>
      <c r="H94" s="5">
        <v>7.0640000000000001</v>
      </c>
      <c r="I94" s="5">
        <v>70.8</v>
      </c>
      <c r="J94" s="5">
        <v>9.6720000000000006</v>
      </c>
      <c r="K94" s="5">
        <v>449.28787419999998</v>
      </c>
      <c r="L94" s="5">
        <v>0.76919999999999999</v>
      </c>
      <c r="M94" s="5"/>
      <c r="N94" s="177">
        <v>40880.07050497317</v>
      </c>
      <c r="O94" s="4">
        <v>-7</v>
      </c>
    </row>
    <row r="95" spans="1:15" x14ac:dyDescent="0.25">
      <c r="A95" s="157">
        <v>40870.291666666664</v>
      </c>
      <c r="B95" s="5">
        <v>-5</v>
      </c>
      <c r="C95" s="5">
        <v>1104018</v>
      </c>
      <c r="D95" s="5" t="s">
        <v>1357</v>
      </c>
      <c r="E95" s="5" t="s">
        <v>116</v>
      </c>
      <c r="F95" s="5" t="b">
        <v>1</v>
      </c>
      <c r="G95" s="5" t="s">
        <v>1330</v>
      </c>
      <c r="H95" s="5">
        <v>7.1050000000000004</v>
      </c>
      <c r="I95" s="5">
        <v>76.5</v>
      </c>
      <c r="J95" s="5">
        <v>10.052</v>
      </c>
      <c r="K95" s="5">
        <v>475.58775750000001</v>
      </c>
      <c r="L95" s="5">
        <v>0.79910000000000003</v>
      </c>
      <c r="M95" s="5"/>
      <c r="N95" s="177">
        <v>40885.67369780103</v>
      </c>
      <c r="O95" s="4">
        <v>-7</v>
      </c>
    </row>
    <row r="96" spans="1:15" x14ac:dyDescent="0.25">
      <c r="A96" s="157">
        <v>40870.458333333336</v>
      </c>
      <c r="B96" s="5">
        <v>-5</v>
      </c>
      <c r="C96" s="5">
        <v>1104019</v>
      </c>
      <c r="D96" s="5" t="s">
        <v>1357</v>
      </c>
      <c r="E96" s="5" t="s">
        <v>116</v>
      </c>
      <c r="F96" s="5" t="b">
        <v>1</v>
      </c>
      <c r="G96" s="5" t="s">
        <v>1330</v>
      </c>
      <c r="H96" s="5">
        <v>7.19</v>
      </c>
      <c r="I96" s="5">
        <v>111.7</v>
      </c>
      <c r="J96" s="5">
        <v>8.532</v>
      </c>
      <c r="K96" s="5">
        <v>698.11234579999996</v>
      </c>
      <c r="L96" s="5">
        <v>1.5230999999999999</v>
      </c>
      <c r="M96" s="5"/>
      <c r="N96" s="177">
        <v>40884.999484736945</v>
      </c>
      <c r="O96" s="4">
        <v>-7</v>
      </c>
    </row>
    <row r="97" spans="1:15" x14ac:dyDescent="0.25">
      <c r="A97" s="157">
        <v>40870.625</v>
      </c>
      <c r="B97" s="5">
        <v>-5</v>
      </c>
      <c r="C97" s="5">
        <v>1104020</v>
      </c>
      <c r="D97" s="5" t="s">
        <v>1357</v>
      </c>
      <c r="E97" s="5" t="s">
        <v>116</v>
      </c>
      <c r="F97" s="5" t="b">
        <v>1</v>
      </c>
      <c r="G97" s="5" t="s">
        <v>1330</v>
      </c>
      <c r="H97" s="5">
        <v>7.3150000000000004</v>
      </c>
      <c r="I97" s="5">
        <v>130</v>
      </c>
      <c r="J97" s="5">
        <v>8.0879999999999992</v>
      </c>
      <c r="K97" s="5">
        <v>809.68930269999998</v>
      </c>
      <c r="L97" s="5">
        <v>1.6700999999999999</v>
      </c>
      <c r="M97" s="5"/>
      <c r="N97" s="177">
        <v>40888.471557802812</v>
      </c>
      <c r="O97" s="4">
        <v>-7</v>
      </c>
    </row>
    <row r="98" spans="1:15" x14ac:dyDescent="0.25">
      <c r="A98" s="157">
        <v>40891.499305555553</v>
      </c>
      <c r="B98" s="5">
        <v>-5</v>
      </c>
      <c r="C98" s="5">
        <v>1104171</v>
      </c>
      <c r="D98" s="5" t="s">
        <v>1354</v>
      </c>
      <c r="E98" s="5" t="s">
        <v>110</v>
      </c>
      <c r="F98" s="5" t="b">
        <v>1</v>
      </c>
      <c r="G98" s="5" t="s">
        <v>1330</v>
      </c>
      <c r="H98" s="5">
        <v>7.46</v>
      </c>
      <c r="I98" s="5">
        <v>184.5</v>
      </c>
      <c r="J98" s="5">
        <v>1.294</v>
      </c>
      <c r="K98" s="5">
        <v>1199.483215</v>
      </c>
      <c r="L98" s="5">
        <v>3.7982999999999998</v>
      </c>
      <c r="M98" s="5"/>
      <c r="N98" s="177">
        <v>40910.69853621487</v>
      </c>
      <c r="O98" s="4">
        <v>-7</v>
      </c>
    </row>
    <row r="99" spans="1:15" x14ac:dyDescent="0.25">
      <c r="A99" s="157">
        <v>40891.522222222222</v>
      </c>
      <c r="B99" s="5">
        <v>-5</v>
      </c>
      <c r="C99" s="5">
        <v>1104169</v>
      </c>
      <c r="D99" s="5" t="s">
        <v>1360</v>
      </c>
      <c r="E99" s="5" t="s">
        <v>110</v>
      </c>
      <c r="F99" s="5" t="b">
        <v>1</v>
      </c>
      <c r="G99" s="5" t="s">
        <v>1330</v>
      </c>
      <c r="H99" s="5">
        <v>7.5010000000000003</v>
      </c>
      <c r="I99" s="5">
        <v>184.7</v>
      </c>
      <c r="J99" s="5">
        <v>1.216</v>
      </c>
      <c r="K99" s="5">
        <v>1186.81862</v>
      </c>
      <c r="L99" s="5">
        <v>4.109</v>
      </c>
      <c r="M99" s="5"/>
      <c r="N99" s="177">
        <v>40910.966275137253</v>
      </c>
      <c r="O99" s="4">
        <v>-7</v>
      </c>
    </row>
    <row r="100" spans="1:15" x14ac:dyDescent="0.25">
      <c r="A100" s="157">
        <v>40891.534722222219</v>
      </c>
      <c r="B100" s="5">
        <v>-5</v>
      </c>
      <c r="C100" s="5">
        <v>1104170</v>
      </c>
      <c r="D100" s="5" t="s">
        <v>1359</v>
      </c>
      <c r="E100" s="5" t="s">
        <v>110</v>
      </c>
      <c r="F100" s="5" t="b">
        <v>1</v>
      </c>
      <c r="G100" s="5" t="s">
        <v>1330</v>
      </c>
      <c r="H100" s="5">
        <v>7.452</v>
      </c>
      <c r="I100" s="5">
        <v>189.8</v>
      </c>
      <c r="J100" s="5">
        <v>1.294</v>
      </c>
      <c r="K100" s="5">
        <v>1117.7830550000001</v>
      </c>
      <c r="L100" s="5">
        <v>4.0250000000000004</v>
      </c>
      <c r="M100" s="5"/>
      <c r="N100" s="177">
        <v>40900.530358535827</v>
      </c>
      <c r="O100" s="4">
        <v>-7</v>
      </c>
    </row>
    <row r="101" spans="1:15" x14ac:dyDescent="0.25">
      <c r="A101" s="157">
        <v>40912.566666666666</v>
      </c>
      <c r="B101" s="5">
        <v>-5</v>
      </c>
      <c r="C101" s="5">
        <v>1200024</v>
      </c>
      <c r="D101" s="5" t="s">
        <v>1354</v>
      </c>
      <c r="E101" s="5" t="s">
        <v>110</v>
      </c>
      <c r="F101" s="5" t="b">
        <v>1</v>
      </c>
      <c r="G101" s="5" t="s">
        <v>1330</v>
      </c>
      <c r="H101" s="5">
        <v>7.4729999999999999</v>
      </c>
      <c r="I101" s="5">
        <v>192.1</v>
      </c>
      <c r="J101" s="5">
        <v>0.80200000000000005</v>
      </c>
      <c r="K101" s="5">
        <v>1189.7508399999999</v>
      </c>
      <c r="L101" s="5">
        <v>4.1292</v>
      </c>
      <c r="M101" s="5"/>
      <c r="N101" s="177">
        <v>40914.474985612258</v>
      </c>
      <c r="O101" s="4">
        <v>-7</v>
      </c>
    </row>
    <row r="102" spans="1:15" x14ac:dyDescent="0.25">
      <c r="A102" s="157">
        <v>40912.595833333333</v>
      </c>
      <c r="B102" s="5">
        <v>-5</v>
      </c>
      <c r="C102" s="5">
        <v>1200023</v>
      </c>
      <c r="D102" s="5" t="s">
        <v>1359</v>
      </c>
      <c r="E102" s="5" t="s">
        <v>110</v>
      </c>
      <c r="F102" s="5" t="b">
        <v>1</v>
      </c>
      <c r="G102" s="5" t="s">
        <v>1330</v>
      </c>
      <c r="H102" s="5">
        <v>7.2679999999999998</v>
      </c>
      <c r="I102" s="5">
        <v>194.6</v>
      </c>
      <c r="J102" s="5">
        <v>0.79800000000000004</v>
      </c>
      <c r="K102" s="5">
        <v>1112.500548</v>
      </c>
      <c r="L102" s="5">
        <v>4.4061000000000003</v>
      </c>
      <c r="M102" s="5"/>
      <c r="N102" s="177">
        <v>40917.395610354011</v>
      </c>
      <c r="O102" s="4">
        <v>-7</v>
      </c>
    </row>
    <row r="103" spans="1:15" x14ac:dyDescent="0.25">
      <c r="A103" s="157">
        <v>40912.613194444442</v>
      </c>
      <c r="B103" s="5">
        <v>-5</v>
      </c>
      <c r="C103" s="5">
        <v>1200022</v>
      </c>
      <c r="D103" s="5" t="s">
        <v>1360</v>
      </c>
      <c r="E103" s="5" t="s">
        <v>110</v>
      </c>
      <c r="F103" s="5" t="b">
        <v>1</v>
      </c>
      <c r="G103" s="5" t="s">
        <v>1330</v>
      </c>
      <c r="H103" s="5">
        <v>7.4589999999999996</v>
      </c>
      <c r="I103" s="5">
        <v>204</v>
      </c>
      <c r="J103" s="5">
        <v>0.78200000000000003</v>
      </c>
      <c r="K103" s="5">
        <v>1178.485531</v>
      </c>
      <c r="L103" s="5">
        <v>3.6818</v>
      </c>
      <c r="M103" s="5"/>
      <c r="N103" s="177">
        <v>40919.967131393147</v>
      </c>
      <c r="O103" s="4">
        <v>-7</v>
      </c>
    </row>
    <row r="104" spans="1:15" x14ac:dyDescent="0.25">
      <c r="A104" s="157">
        <v>40919.791666666664</v>
      </c>
      <c r="B104" s="5">
        <v>-5</v>
      </c>
      <c r="C104" s="5">
        <v>1200045</v>
      </c>
      <c r="D104" s="5" t="s">
        <v>1362</v>
      </c>
      <c r="E104" s="5" t="s">
        <v>116</v>
      </c>
      <c r="F104" s="5" t="b">
        <v>1</v>
      </c>
      <c r="G104" s="5" t="s">
        <v>1439</v>
      </c>
      <c r="H104" s="5">
        <v>7.3559999999999999</v>
      </c>
      <c r="I104" s="5">
        <v>153.4</v>
      </c>
      <c r="J104" s="5">
        <v>1.008</v>
      </c>
      <c r="K104" s="5">
        <v>501.3690704</v>
      </c>
      <c r="L104" s="5">
        <v>3.4653</v>
      </c>
      <c r="M104" s="5"/>
      <c r="N104" s="177">
        <v>40931.458262346263</v>
      </c>
      <c r="O104" s="4">
        <v>-7</v>
      </c>
    </row>
    <row r="105" spans="1:15" x14ac:dyDescent="0.25">
      <c r="A105" s="157">
        <v>40919.833333333336</v>
      </c>
      <c r="B105" s="5">
        <v>-5</v>
      </c>
      <c r="C105" s="5">
        <v>1200030</v>
      </c>
      <c r="D105" s="5" t="s">
        <v>1357</v>
      </c>
      <c r="E105" s="5" t="s">
        <v>116</v>
      </c>
      <c r="F105" s="5" t="b">
        <v>1</v>
      </c>
      <c r="G105" s="5" t="s">
        <v>1435</v>
      </c>
      <c r="H105" s="5">
        <v>7.6050000000000004</v>
      </c>
      <c r="I105" s="5">
        <v>228</v>
      </c>
      <c r="J105" s="5">
        <v>1.1439999999999999</v>
      </c>
      <c r="K105" s="5">
        <v>1059.032604</v>
      </c>
      <c r="L105" s="5">
        <v>4.0959000000000003</v>
      </c>
      <c r="M105" s="5"/>
      <c r="N105" s="177">
        <v>40936.933059467592</v>
      </c>
      <c r="O105" s="4">
        <v>-7</v>
      </c>
    </row>
    <row r="106" spans="1:15" x14ac:dyDescent="0.25">
      <c r="A106" s="157">
        <v>40920</v>
      </c>
      <c r="B106" s="5">
        <v>-5</v>
      </c>
      <c r="C106" s="5">
        <v>1200046</v>
      </c>
      <c r="D106" s="5" t="s">
        <v>1362</v>
      </c>
      <c r="E106" s="5" t="s">
        <v>116</v>
      </c>
      <c r="F106" s="5" t="b">
        <v>1</v>
      </c>
      <c r="G106" s="5" t="s">
        <v>1439</v>
      </c>
      <c r="H106" s="5">
        <v>7.2640000000000002</v>
      </c>
      <c r="I106" s="5">
        <v>132</v>
      </c>
      <c r="J106" s="5">
        <v>2.5760000000000001</v>
      </c>
      <c r="K106" s="5">
        <v>390.26344180000001</v>
      </c>
      <c r="L106" s="5">
        <v>3.1013999999999999</v>
      </c>
      <c r="M106" s="5"/>
      <c r="N106" s="177">
        <v>40930.119499343833</v>
      </c>
      <c r="O106" s="4">
        <v>-7</v>
      </c>
    </row>
    <row r="107" spans="1:15" x14ac:dyDescent="0.25">
      <c r="A107" s="157">
        <v>40920.041666666664</v>
      </c>
      <c r="B107" s="5">
        <v>-5</v>
      </c>
      <c r="C107" s="5">
        <v>1200031</v>
      </c>
      <c r="D107" s="5" t="s">
        <v>1357</v>
      </c>
      <c r="E107" s="5" t="s">
        <v>116</v>
      </c>
      <c r="F107" s="5" t="b">
        <v>1</v>
      </c>
      <c r="G107" s="5" t="s">
        <v>1435</v>
      </c>
      <c r="H107" s="5">
        <v>7.4930000000000003</v>
      </c>
      <c r="I107" s="5">
        <v>193.3</v>
      </c>
      <c r="J107" s="5">
        <v>2.411</v>
      </c>
      <c r="K107" s="5">
        <v>850.9793138</v>
      </c>
      <c r="L107" s="5">
        <v>3.4398</v>
      </c>
      <c r="M107" s="5"/>
      <c r="N107" s="177">
        <v>40926.785086711912</v>
      </c>
      <c r="O107" s="4">
        <v>-7</v>
      </c>
    </row>
    <row r="108" spans="1:15" x14ac:dyDescent="0.25">
      <c r="A108" s="157">
        <v>40920.125</v>
      </c>
      <c r="B108" s="5">
        <v>-5</v>
      </c>
      <c r="C108" s="5">
        <v>1200032</v>
      </c>
      <c r="D108" s="5" t="s">
        <v>1357</v>
      </c>
      <c r="E108" s="5" t="s">
        <v>116</v>
      </c>
      <c r="F108" s="5" t="b">
        <v>1</v>
      </c>
      <c r="G108" s="5" t="s">
        <v>1435</v>
      </c>
      <c r="H108" s="5">
        <v>7.4189999999999996</v>
      </c>
      <c r="I108" s="5">
        <v>166.4</v>
      </c>
      <c r="J108" s="5">
        <v>4.7069999999999999</v>
      </c>
      <c r="K108" s="5">
        <v>771.7780808</v>
      </c>
      <c r="L108" s="5">
        <v>2.3197000000000001</v>
      </c>
      <c r="M108" s="5"/>
      <c r="N108" s="177">
        <v>40932.176785926196</v>
      </c>
      <c r="O108" s="4">
        <v>-7</v>
      </c>
    </row>
    <row r="109" spans="1:15" x14ac:dyDescent="0.25">
      <c r="A109" s="157">
        <v>40920.166666666664</v>
      </c>
      <c r="B109" s="5">
        <v>-5</v>
      </c>
      <c r="C109" s="5">
        <v>1200047</v>
      </c>
      <c r="D109" s="5" t="s">
        <v>1362</v>
      </c>
      <c r="E109" s="5" t="s">
        <v>116</v>
      </c>
      <c r="F109" s="5" t="b">
        <v>1</v>
      </c>
      <c r="G109" s="5" t="s">
        <v>1439</v>
      </c>
      <c r="H109" s="5">
        <v>6.9450000000000003</v>
      </c>
      <c r="I109" s="5">
        <v>118.6</v>
      </c>
      <c r="J109" s="5">
        <v>3.2879999999999998</v>
      </c>
      <c r="K109" s="5">
        <v>323.96331889999999</v>
      </c>
      <c r="L109" s="5">
        <v>3.2843</v>
      </c>
      <c r="M109" s="5"/>
      <c r="N109" s="177">
        <v>40935.309903761728</v>
      </c>
      <c r="O109" s="4">
        <v>-7</v>
      </c>
    </row>
    <row r="110" spans="1:15" x14ac:dyDescent="0.25">
      <c r="A110" s="157">
        <v>40920.208333333336</v>
      </c>
      <c r="B110" s="5">
        <v>-5</v>
      </c>
      <c r="C110" s="5">
        <v>1200033</v>
      </c>
      <c r="D110" s="5" t="s">
        <v>1357</v>
      </c>
      <c r="E110" s="5" t="s">
        <v>116</v>
      </c>
      <c r="F110" s="5" t="b">
        <v>1</v>
      </c>
      <c r="G110" s="5" t="s">
        <v>1435</v>
      </c>
      <c r="H110" s="5">
        <v>7.19</v>
      </c>
      <c r="I110" s="5">
        <v>131.1</v>
      </c>
      <c r="J110" s="5">
        <v>6.0529999999999999</v>
      </c>
      <c r="K110" s="5">
        <v>634.37428990000001</v>
      </c>
      <c r="L110" s="5">
        <v>1.6394</v>
      </c>
      <c r="M110" s="5"/>
      <c r="N110" s="177">
        <v>40927.309141266494</v>
      </c>
      <c r="O110" s="4">
        <v>-7</v>
      </c>
    </row>
    <row r="111" spans="1:15" x14ac:dyDescent="0.25">
      <c r="A111" s="157">
        <v>40920.208333333336</v>
      </c>
      <c r="B111" s="5">
        <v>-5</v>
      </c>
      <c r="C111" s="5">
        <v>1200048</v>
      </c>
      <c r="D111" s="5" t="s">
        <v>1362</v>
      </c>
      <c r="E111" s="5" t="s">
        <v>116</v>
      </c>
      <c r="F111" s="5" t="b">
        <v>1</v>
      </c>
      <c r="G111" s="5" t="s">
        <v>1439</v>
      </c>
      <c r="H111" s="5">
        <v>6.9409999999999998</v>
      </c>
      <c r="I111" s="5">
        <v>74.8</v>
      </c>
      <c r="J111" s="5">
        <v>3.375</v>
      </c>
      <c r="K111" s="5">
        <v>195.87597840000001</v>
      </c>
      <c r="L111" s="5">
        <v>2.1496</v>
      </c>
      <c r="M111" s="5"/>
      <c r="N111" s="177">
        <v>40920.799017661338</v>
      </c>
      <c r="O111" s="4">
        <v>-7</v>
      </c>
    </row>
    <row r="112" spans="1:15" x14ac:dyDescent="0.25">
      <c r="A112" s="157">
        <v>40920.25</v>
      </c>
      <c r="B112" s="5">
        <v>-5</v>
      </c>
      <c r="C112" s="5">
        <v>1200034</v>
      </c>
      <c r="D112" s="5" t="s">
        <v>1357</v>
      </c>
      <c r="E112" s="5" t="s">
        <v>116</v>
      </c>
      <c r="F112" s="5" t="b">
        <v>1</v>
      </c>
      <c r="G112" s="5" t="s">
        <v>1435</v>
      </c>
      <c r="H112" s="5">
        <v>7.0650000000000004</v>
      </c>
      <c r="I112" s="5">
        <v>86.3</v>
      </c>
      <c r="J112" s="5">
        <v>5.8929999999999998</v>
      </c>
      <c r="K112" s="5">
        <v>416.66583250000002</v>
      </c>
      <c r="L112" s="5">
        <v>0.9234</v>
      </c>
      <c r="M112" s="5"/>
      <c r="N112" s="177">
        <v>40929.246002314612</v>
      </c>
      <c r="O112" s="4">
        <v>-7</v>
      </c>
    </row>
    <row r="113" spans="1:15" x14ac:dyDescent="0.25">
      <c r="A113" s="157">
        <v>40920.291666666664</v>
      </c>
      <c r="B113" s="5">
        <v>-5</v>
      </c>
      <c r="C113" s="5">
        <v>1200035</v>
      </c>
      <c r="D113" s="5" t="s">
        <v>1357</v>
      </c>
      <c r="E113" s="5" t="s">
        <v>116</v>
      </c>
      <c r="F113" s="5" t="b">
        <v>1</v>
      </c>
      <c r="G113" s="5" t="s">
        <v>1435</v>
      </c>
      <c r="H113" s="5">
        <v>7.069</v>
      </c>
      <c r="I113" s="5">
        <v>65.8</v>
      </c>
      <c r="J113" s="5">
        <v>6.44</v>
      </c>
      <c r="K113" s="5">
        <v>338.7387402</v>
      </c>
      <c r="L113" s="5">
        <v>0.66320000000000001</v>
      </c>
      <c r="M113" s="5"/>
      <c r="N113" s="177">
        <v>40921.712682543141</v>
      </c>
      <c r="O113" s="4">
        <v>-7</v>
      </c>
    </row>
    <row r="114" spans="1:15" x14ac:dyDescent="0.25">
      <c r="A114" s="157">
        <v>40920.333333333336</v>
      </c>
      <c r="B114" s="5">
        <v>-5</v>
      </c>
      <c r="C114" s="5">
        <v>1200036</v>
      </c>
      <c r="D114" s="5" t="s">
        <v>1357</v>
      </c>
      <c r="E114" s="5" t="s">
        <v>116</v>
      </c>
      <c r="F114" s="5" t="b">
        <v>1</v>
      </c>
      <c r="G114" s="5" t="s">
        <v>1435</v>
      </c>
      <c r="H114" s="5">
        <v>7.1059999999999999</v>
      </c>
      <c r="I114" s="5">
        <v>70.8</v>
      </c>
      <c r="J114" s="5">
        <v>6.56</v>
      </c>
      <c r="K114" s="5">
        <v>394.55959209999997</v>
      </c>
      <c r="L114" s="5">
        <v>0.71289999999999998</v>
      </c>
      <c r="M114" s="5"/>
      <c r="N114" s="177">
        <v>40930.693363851577</v>
      </c>
      <c r="O114" s="4">
        <v>-7</v>
      </c>
    </row>
    <row r="115" spans="1:15" x14ac:dyDescent="0.25">
      <c r="A115" s="157">
        <v>40920.375</v>
      </c>
      <c r="B115" s="5">
        <v>-5</v>
      </c>
      <c r="C115" s="5">
        <v>1200037</v>
      </c>
      <c r="D115" s="5" t="s">
        <v>1357</v>
      </c>
      <c r="E115" s="5" t="s">
        <v>116</v>
      </c>
      <c r="F115" s="5" t="b">
        <v>1</v>
      </c>
      <c r="G115" s="5" t="s">
        <v>1435</v>
      </c>
      <c r="H115" s="5">
        <v>7.1790000000000003</v>
      </c>
      <c r="I115" s="5">
        <v>86.3</v>
      </c>
      <c r="J115" s="5">
        <v>6.4930000000000003</v>
      </c>
      <c r="K115" s="5">
        <v>473.17622110000002</v>
      </c>
      <c r="L115" s="5">
        <v>0.94140000000000001</v>
      </c>
      <c r="M115" s="5"/>
      <c r="N115" s="177">
        <v>40922.500393542956</v>
      </c>
      <c r="O115" s="4">
        <v>-7</v>
      </c>
    </row>
    <row r="116" spans="1:15" x14ac:dyDescent="0.25">
      <c r="A116" s="157">
        <v>40920.416666666664</v>
      </c>
      <c r="B116" s="5">
        <v>-5</v>
      </c>
      <c r="C116" s="5">
        <v>1200049</v>
      </c>
      <c r="D116" s="5" t="s">
        <v>1362</v>
      </c>
      <c r="E116" s="5" t="s">
        <v>116</v>
      </c>
      <c r="F116" s="5" t="b">
        <v>1</v>
      </c>
      <c r="G116" s="5" t="s">
        <v>1439</v>
      </c>
      <c r="H116" s="5">
        <v>7.0270000000000001</v>
      </c>
      <c r="I116" s="5">
        <v>80.099999999999994</v>
      </c>
      <c r="J116" s="5">
        <v>4.6269999999999998</v>
      </c>
      <c r="K116" s="5">
        <v>202.5184964</v>
      </c>
      <c r="L116" s="5">
        <v>2.8592</v>
      </c>
      <c r="M116" s="5"/>
      <c r="N116" s="177">
        <v>40930.066633284921</v>
      </c>
      <c r="O116" s="4">
        <v>-7</v>
      </c>
    </row>
    <row r="117" spans="1:15" x14ac:dyDescent="0.25">
      <c r="A117" s="157">
        <v>40920.541666666664</v>
      </c>
      <c r="B117" s="5">
        <v>-5</v>
      </c>
      <c r="C117" s="5">
        <v>1200038</v>
      </c>
      <c r="D117" s="5" t="s">
        <v>1357</v>
      </c>
      <c r="E117" s="5" t="s">
        <v>116</v>
      </c>
      <c r="F117" s="5" t="b">
        <v>1</v>
      </c>
      <c r="G117" s="5" t="s">
        <v>1330</v>
      </c>
      <c r="H117" s="5">
        <v>7.3879999999999999</v>
      </c>
      <c r="I117" s="5">
        <v>119.9</v>
      </c>
      <c r="J117" s="5">
        <v>5.1870000000000003</v>
      </c>
      <c r="K117" s="5">
        <v>670.61426640000002</v>
      </c>
      <c r="L117" s="5">
        <v>1.7060999999999999</v>
      </c>
      <c r="M117" s="5"/>
      <c r="N117" s="177">
        <v>40927.025065394118</v>
      </c>
      <c r="O117" s="4">
        <v>-7</v>
      </c>
    </row>
    <row r="118" spans="1:15" x14ac:dyDescent="0.25">
      <c r="A118" s="157">
        <v>40920.583333333336</v>
      </c>
      <c r="B118" s="5">
        <v>-5</v>
      </c>
      <c r="C118" s="5">
        <v>1200050</v>
      </c>
      <c r="D118" s="5" t="s">
        <v>1362</v>
      </c>
      <c r="E118" s="5" t="s">
        <v>116</v>
      </c>
      <c r="F118" s="5" t="b">
        <v>1</v>
      </c>
      <c r="G118" s="5" t="s">
        <v>1439</v>
      </c>
      <c r="H118" s="5">
        <v>7.2539999999999996</v>
      </c>
      <c r="I118" s="5">
        <v>84.6</v>
      </c>
      <c r="J118" s="5">
        <v>2.9990000000000001</v>
      </c>
      <c r="K118" s="5">
        <v>241.34655309999999</v>
      </c>
      <c r="L118" s="5">
        <v>3.3077000000000001</v>
      </c>
      <c r="M118" s="5"/>
      <c r="N118" s="177">
        <v>40925.267190114864</v>
      </c>
      <c r="O118" s="4">
        <v>-7</v>
      </c>
    </row>
    <row r="119" spans="1:15" x14ac:dyDescent="0.25">
      <c r="A119" s="157">
        <v>40920.791666666664</v>
      </c>
      <c r="B119" s="5">
        <v>-5</v>
      </c>
      <c r="C119" s="5">
        <v>1200039</v>
      </c>
      <c r="D119" s="5" t="s">
        <v>1357</v>
      </c>
      <c r="E119" s="5" t="s">
        <v>116</v>
      </c>
      <c r="F119" s="5" t="b">
        <v>1</v>
      </c>
      <c r="G119" s="5" t="s">
        <v>1330</v>
      </c>
      <c r="H119" s="5">
        <v>7.4480000000000004</v>
      </c>
      <c r="I119" s="5">
        <v>156.69999999999999</v>
      </c>
      <c r="J119" s="5">
        <v>3.4390000000000001</v>
      </c>
      <c r="K119" s="5">
        <v>853.70336299999997</v>
      </c>
      <c r="L119" s="5">
        <v>2.4733999999999998</v>
      </c>
      <c r="M119" s="5"/>
      <c r="N119" s="177">
        <v>40937.659315092722</v>
      </c>
      <c r="O119" s="4">
        <v>-7</v>
      </c>
    </row>
    <row r="120" spans="1:15" x14ac:dyDescent="0.25">
      <c r="A120" s="157">
        <v>40934.509027777778</v>
      </c>
      <c r="B120" s="5">
        <v>-5</v>
      </c>
      <c r="C120" s="5">
        <v>1200090</v>
      </c>
      <c r="D120" s="5" t="s">
        <v>1355</v>
      </c>
      <c r="E120" s="5" t="s">
        <v>110</v>
      </c>
      <c r="F120" s="5" t="b">
        <v>1</v>
      </c>
      <c r="G120" s="5" t="s">
        <v>1330</v>
      </c>
      <c r="H120" s="5">
        <v>6.8440000000000003</v>
      </c>
      <c r="I120" s="5">
        <v>268</v>
      </c>
      <c r="J120" s="5">
        <v>1.97</v>
      </c>
      <c r="K120" s="5"/>
      <c r="L120" s="5">
        <v>4.6277999999999997</v>
      </c>
      <c r="M120" s="5"/>
      <c r="N120" s="177">
        <v>40941.823450948839</v>
      </c>
      <c r="O120" s="4">
        <v>-7</v>
      </c>
    </row>
    <row r="121" spans="1:15" x14ac:dyDescent="0.25">
      <c r="A121" s="157">
        <v>40934.539583333331</v>
      </c>
      <c r="B121" s="5">
        <v>-5</v>
      </c>
      <c r="C121" s="5">
        <v>1200091</v>
      </c>
      <c r="D121" s="5" t="s">
        <v>1356</v>
      </c>
      <c r="E121" s="5" t="s">
        <v>110</v>
      </c>
      <c r="F121" s="5" t="b">
        <v>1</v>
      </c>
      <c r="G121" s="5" t="s">
        <v>1330</v>
      </c>
      <c r="H121" s="5">
        <v>7.3419999999999996</v>
      </c>
      <c r="I121" s="5">
        <v>321</v>
      </c>
      <c r="J121" s="5">
        <v>1.413</v>
      </c>
      <c r="K121" s="5"/>
      <c r="L121" s="5">
        <v>9.2428000000000008</v>
      </c>
      <c r="M121" s="5"/>
      <c r="N121" s="177">
        <v>40938.151511619595</v>
      </c>
      <c r="O121" s="4">
        <v>-7</v>
      </c>
    </row>
    <row r="122" spans="1:15" x14ac:dyDescent="0.25">
      <c r="A122" s="157">
        <v>40940.539583333331</v>
      </c>
      <c r="B122" s="5">
        <v>-5</v>
      </c>
      <c r="C122" s="5">
        <v>1200138</v>
      </c>
      <c r="D122" s="5" t="s">
        <v>1354</v>
      </c>
      <c r="E122" s="5" t="s">
        <v>110</v>
      </c>
      <c r="F122" s="5" t="b">
        <v>1</v>
      </c>
      <c r="G122" s="5" t="s">
        <v>1330</v>
      </c>
      <c r="H122" s="5">
        <v>7.5220000000000002</v>
      </c>
      <c r="I122" s="5">
        <v>178.8</v>
      </c>
      <c r="J122" s="5">
        <v>0.93300000000000005</v>
      </c>
      <c r="K122" s="5">
        <v>1159.0932519999999</v>
      </c>
      <c r="L122" s="5">
        <v>3.7629000000000001</v>
      </c>
      <c r="M122" s="5"/>
      <c r="N122" s="177">
        <v>40957.246226955984</v>
      </c>
      <c r="O122" s="4">
        <v>-7</v>
      </c>
    </row>
    <row r="123" spans="1:15" x14ac:dyDescent="0.25">
      <c r="A123" s="157">
        <v>40940.59652777778</v>
      </c>
      <c r="B123" s="5">
        <v>-5</v>
      </c>
      <c r="C123" s="5">
        <v>1200136</v>
      </c>
      <c r="D123" s="5" t="s">
        <v>1360</v>
      </c>
      <c r="E123" s="5" t="s">
        <v>110</v>
      </c>
      <c r="F123" s="5" t="b">
        <v>1</v>
      </c>
      <c r="G123" s="5" t="s">
        <v>1330</v>
      </c>
      <c r="H123" s="5">
        <v>7.68</v>
      </c>
      <c r="I123" s="5">
        <v>181.2</v>
      </c>
      <c r="J123" s="5">
        <v>0.94599999999999995</v>
      </c>
      <c r="K123" s="5">
        <v>1132.152979</v>
      </c>
      <c r="L123" s="5">
        <v>4.0262000000000002</v>
      </c>
      <c r="M123" s="5"/>
      <c r="N123" s="177">
        <v>40942.944001043747</v>
      </c>
      <c r="O123" s="4">
        <v>-7</v>
      </c>
    </row>
    <row r="124" spans="1:15" x14ac:dyDescent="0.25">
      <c r="A124" s="157">
        <v>40940.609722222223</v>
      </c>
      <c r="B124" s="5">
        <v>-5</v>
      </c>
      <c r="C124" s="5">
        <v>1200137</v>
      </c>
      <c r="D124" s="5" t="s">
        <v>1359</v>
      </c>
      <c r="E124" s="5" t="s">
        <v>110</v>
      </c>
      <c r="F124" s="5" t="b">
        <v>1</v>
      </c>
      <c r="G124" s="5" t="s">
        <v>1330</v>
      </c>
      <c r="H124" s="5">
        <v>7.5069999999999997</v>
      </c>
      <c r="I124" s="5">
        <v>183.6</v>
      </c>
      <c r="J124" s="5">
        <v>0.96599999999999997</v>
      </c>
      <c r="K124" s="5">
        <v>1078.067419</v>
      </c>
      <c r="L124" s="5">
        <v>4.0162000000000004</v>
      </c>
      <c r="M124" s="5"/>
      <c r="N124" s="177">
        <v>40953.97718529938</v>
      </c>
      <c r="O124" s="4">
        <v>-7</v>
      </c>
    </row>
    <row r="125" spans="1:15" x14ac:dyDescent="0.25">
      <c r="A125" s="157">
        <v>40968.583333333336</v>
      </c>
      <c r="B125" s="5">
        <v>-5</v>
      </c>
      <c r="C125" s="5">
        <v>1200292</v>
      </c>
      <c r="D125" s="5" t="s">
        <v>1357</v>
      </c>
      <c r="E125" s="5" t="s">
        <v>116</v>
      </c>
      <c r="F125" s="5" t="b">
        <v>1</v>
      </c>
      <c r="G125" s="5" t="s">
        <v>1439</v>
      </c>
      <c r="H125" s="5">
        <v>7.4749999999999996</v>
      </c>
      <c r="I125" s="5">
        <v>135.19999999999999</v>
      </c>
      <c r="J125" s="5">
        <v>4.4829999999999997</v>
      </c>
      <c r="K125" s="5"/>
      <c r="L125" s="5"/>
      <c r="M125" s="5"/>
      <c r="N125" s="177">
        <v>40985.620015422428</v>
      </c>
      <c r="O125" s="4">
        <v>-7</v>
      </c>
    </row>
    <row r="126" spans="1:15" x14ac:dyDescent="0.25">
      <c r="A126" s="157">
        <v>40968.916666666664</v>
      </c>
      <c r="B126" s="5">
        <v>-5</v>
      </c>
      <c r="C126" s="5">
        <v>1200293</v>
      </c>
      <c r="D126" s="5" t="s">
        <v>1357</v>
      </c>
      <c r="E126" s="5" t="s">
        <v>116</v>
      </c>
      <c r="F126" s="5" t="b">
        <v>1</v>
      </c>
      <c r="G126" s="5" t="s">
        <v>1439</v>
      </c>
      <c r="H126" s="5">
        <v>7.3109999999999999</v>
      </c>
      <c r="I126" s="5">
        <v>115.4</v>
      </c>
      <c r="J126" s="5">
        <v>5.423</v>
      </c>
      <c r="K126" s="5"/>
      <c r="L126" s="5"/>
      <c r="M126" s="5"/>
      <c r="N126" s="177">
        <v>40973.420209469827</v>
      </c>
      <c r="O126" s="4">
        <v>-7</v>
      </c>
    </row>
    <row r="127" spans="1:15" x14ac:dyDescent="0.25">
      <c r="A127" s="157">
        <v>40969.375</v>
      </c>
      <c r="B127" s="5">
        <v>-5</v>
      </c>
      <c r="C127" s="5">
        <v>1200294</v>
      </c>
      <c r="D127" s="5" t="s">
        <v>1357</v>
      </c>
      <c r="E127" s="5" t="s">
        <v>116</v>
      </c>
      <c r="F127" s="5" t="b">
        <v>1</v>
      </c>
      <c r="G127" s="5" t="s">
        <v>1439</v>
      </c>
      <c r="H127" s="5">
        <v>7.4480000000000004</v>
      </c>
      <c r="I127" s="5">
        <v>154.19999999999999</v>
      </c>
      <c r="J127" s="5">
        <v>3.0830000000000002</v>
      </c>
      <c r="K127" s="5"/>
      <c r="L127" s="5"/>
      <c r="M127" s="5"/>
      <c r="N127" s="177">
        <v>40988.686638024548</v>
      </c>
      <c r="O127" s="4">
        <v>-7</v>
      </c>
    </row>
    <row r="128" spans="1:15" x14ac:dyDescent="0.25">
      <c r="A128" s="157">
        <v>40975.568749999999</v>
      </c>
      <c r="B128" s="5">
        <v>-5</v>
      </c>
      <c r="C128" s="5">
        <v>1200346</v>
      </c>
      <c r="D128" s="5" t="s">
        <v>1354</v>
      </c>
      <c r="E128" s="5" t="s">
        <v>110</v>
      </c>
      <c r="F128" s="5" t="b">
        <v>1</v>
      </c>
      <c r="G128" s="5" t="s">
        <v>1330</v>
      </c>
      <c r="H128" s="5">
        <v>7.5819999999999999</v>
      </c>
      <c r="I128" s="5">
        <v>184.6</v>
      </c>
      <c r="J128" s="5">
        <v>1.0469999999999999</v>
      </c>
      <c r="K128" s="5">
        <v>1198.7989239999999</v>
      </c>
      <c r="L128" s="5">
        <v>3.7881</v>
      </c>
      <c r="M128" s="5"/>
      <c r="N128" s="177">
        <v>40980.733721873126</v>
      </c>
      <c r="O128" s="4">
        <v>-7</v>
      </c>
    </row>
    <row r="129" spans="1:15" x14ac:dyDescent="0.25">
      <c r="A129" s="157">
        <v>40975.645833333336</v>
      </c>
      <c r="B129" s="5">
        <v>-5</v>
      </c>
      <c r="C129" s="5">
        <v>1200345</v>
      </c>
      <c r="D129" s="5" t="s">
        <v>1359</v>
      </c>
      <c r="E129" s="5" t="s">
        <v>110</v>
      </c>
      <c r="F129" s="5" t="b">
        <v>1</v>
      </c>
      <c r="G129" s="5" t="s">
        <v>1330</v>
      </c>
      <c r="H129" s="5">
        <v>7.54</v>
      </c>
      <c r="I129" s="5">
        <v>176.8</v>
      </c>
      <c r="J129" s="5">
        <v>1.1499999999999999</v>
      </c>
      <c r="K129" s="5">
        <v>1128.4343240000001</v>
      </c>
      <c r="L129" s="5">
        <v>4.0792000000000002</v>
      </c>
      <c r="M129" s="5"/>
      <c r="N129" s="177">
        <v>40986.555814371721</v>
      </c>
      <c r="O129" s="4">
        <v>-7</v>
      </c>
    </row>
    <row r="130" spans="1:15" x14ac:dyDescent="0.25">
      <c r="A130" s="157">
        <v>40975.657638888886</v>
      </c>
      <c r="B130" s="5">
        <v>-5</v>
      </c>
      <c r="C130" s="5">
        <v>1200344</v>
      </c>
      <c r="D130" s="5" t="s">
        <v>1360</v>
      </c>
      <c r="E130" s="5" t="s">
        <v>110</v>
      </c>
      <c r="F130" s="5" t="b">
        <v>1</v>
      </c>
      <c r="G130" s="5" t="s">
        <v>1330</v>
      </c>
      <c r="H130" s="5">
        <v>7.5430000000000001</v>
      </c>
      <c r="I130" s="5">
        <v>180.7</v>
      </c>
      <c r="J130" s="5">
        <v>1.093</v>
      </c>
      <c r="K130" s="5">
        <v>1182.5894559999999</v>
      </c>
      <c r="L130" s="5">
        <v>4.0664999999999996</v>
      </c>
      <c r="M130" s="5"/>
      <c r="N130" s="177">
        <v>40977.884044050748</v>
      </c>
      <c r="O130" s="4">
        <v>-7</v>
      </c>
    </row>
    <row r="131" spans="1:15" x14ac:dyDescent="0.25">
      <c r="A131" s="157">
        <v>41003.661111111112</v>
      </c>
      <c r="B131" s="5">
        <v>-4</v>
      </c>
      <c r="C131" s="5">
        <v>1200517</v>
      </c>
      <c r="D131" s="5" t="s">
        <v>1354</v>
      </c>
      <c r="E131" s="5" t="s">
        <v>110</v>
      </c>
      <c r="F131" s="5" t="b">
        <v>1</v>
      </c>
      <c r="G131" s="5" t="s">
        <v>1330</v>
      </c>
      <c r="H131" s="5">
        <v>7.5049999999999999</v>
      </c>
      <c r="I131" s="5">
        <v>184.8</v>
      </c>
      <c r="J131" s="5">
        <v>1.353</v>
      </c>
      <c r="K131" s="5">
        <v>1261.6749279999999</v>
      </c>
      <c r="L131" s="5">
        <v>3.3959999999999999</v>
      </c>
      <c r="M131" s="5"/>
      <c r="N131" s="177">
        <v>41009.234928260354</v>
      </c>
      <c r="O131" s="4">
        <v>-7</v>
      </c>
    </row>
    <row r="132" spans="1:15" x14ac:dyDescent="0.25">
      <c r="A132" s="157">
        <v>41003.694444444445</v>
      </c>
      <c r="B132" s="5">
        <v>-4</v>
      </c>
      <c r="C132" s="5">
        <v>1200516</v>
      </c>
      <c r="D132" s="5" t="s">
        <v>1359</v>
      </c>
      <c r="E132" s="5" t="s">
        <v>110</v>
      </c>
      <c r="F132" s="5" t="b">
        <v>1</v>
      </c>
      <c r="G132" s="5" t="s">
        <v>1330</v>
      </c>
      <c r="H132" s="5">
        <v>7.7050000000000001</v>
      </c>
      <c r="I132" s="5">
        <v>192.8</v>
      </c>
      <c r="J132" s="5">
        <v>1.31</v>
      </c>
      <c r="K132" s="5">
        <v>1186.18696</v>
      </c>
      <c r="L132" s="5">
        <v>3.7467000000000001</v>
      </c>
      <c r="M132" s="5"/>
      <c r="N132" s="177">
        <v>41012.591300537177</v>
      </c>
      <c r="O132" s="4">
        <v>-7</v>
      </c>
    </row>
    <row r="133" spans="1:15" x14ac:dyDescent="0.25">
      <c r="A133" s="157">
        <v>41003.711805555555</v>
      </c>
      <c r="B133" s="5">
        <v>-4</v>
      </c>
      <c r="C133" s="5">
        <v>1200515</v>
      </c>
      <c r="D133" s="5" t="s">
        <v>1360</v>
      </c>
      <c r="E133" s="5" t="s">
        <v>110</v>
      </c>
      <c r="F133" s="5" t="b">
        <v>1</v>
      </c>
      <c r="G133" s="5" t="s">
        <v>1330</v>
      </c>
      <c r="H133" s="5">
        <v>7.79</v>
      </c>
      <c r="I133" s="5">
        <v>181.3</v>
      </c>
      <c r="J133" s="5">
        <v>1.31</v>
      </c>
      <c r="K133" s="5">
        <v>1252.2361969999999</v>
      </c>
      <c r="L133" s="5">
        <v>3.7239</v>
      </c>
      <c r="M133" s="5"/>
      <c r="N133" s="177">
        <v>41017.971574246774</v>
      </c>
      <c r="O133" s="4">
        <v>-7</v>
      </c>
    </row>
    <row r="134" spans="1:15" x14ac:dyDescent="0.25">
      <c r="A134" s="157">
        <v>41009.749305555553</v>
      </c>
      <c r="B134" s="5">
        <v>-4</v>
      </c>
      <c r="C134" s="5">
        <v>1200529</v>
      </c>
      <c r="D134" s="5" t="s">
        <v>1355</v>
      </c>
      <c r="E134" s="5" t="s">
        <v>110</v>
      </c>
      <c r="F134" s="5" t="b">
        <v>1</v>
      </c>
      <c r="G134" s="5" t="s">
        <v>1330</v>
      </c>
      <c r="H134" s="5">
        <v>7.0220000000000002</v>
      </c>
      <c r="I134" s="5">
        <v>379</v>
      </c>
      <c r="J134" s="5">
        <v>2.5499999999999998</v>
      </c>
      <c r="K134" s="5"/>
      <c r="L134" s="5">
        <v>3.5766</v>
      </c>
      <c r="M134" s="5"/>
      <c r="N134" s="177">
        <v>41023.212562296671</v>
      </c>
      <c r="O134" s="4">
        <v>-7</v>
      </c>
    </row>
    <row r="135" spans="1:15" x14ac:dyDescent="0.25">
      <c r="A135" s="157">
        <v>41009.76458333333</v>
      </c>
      <c r="B135" s="5">
        <v>-4</v>
      </c>
      <c r="C135" s="5">
        <v>1200530</v>
      </c>
      <c r="D135" s="5" t="s">
        <v>1356</v>
      </c>
      <c r="E135" s="5" t="s">
        <v>110</v>
      </c>
      <c r="F135" s="5" t="b">
        <v>1</v>
      </c>
      <c r="G135" s="5" t="s">
        <v>1330</v>
      </c>
      <c r="H135" s="5">
        <v>7.585</v>
      </c>
      <c r="I135" s="5">
        <v>401</v>
      </c>
      <c r="J135" s="5">
        <v>1.327</v>
      </c>
      <c r="K135" s="5"/>
      <c r="L135" s="5">
        <v>11.1021</v>
      </c>
      <c r="M135" s="5"/>
      <c r="N135" s="177">
        <v>41011.898423220024</v>
      </c>
      <c r="O135" s="4">
        <v>-7</v>
      </c>
    </row>
    <row r="136" spans="1:15" x14ac:dyDescent="0.25">
      <c r="A136" s="157">
        <v>41020.583333333336</v>
      </c>
      <c r="B136" s="5">
        <v>-4</v>
      </c>
      <c r="C136" s="5">
        <v>1200779</v>
      </c>
      <c r="D136" s="5" t="s">
        <v>1357</v>
      </c>
      <c r="E136" s="5" t="s">
        <v>116</v>
      </c>
      <c r="F136" s="5" t="b">
        <v>1</v>
      </c>
      <c r="G136" s="5" t="s">
        <v>1439</v>
      </c>
      <c r="H136" s="5">
        <v>7.6319999999999997</v>
      </c>
      <c r="I136" s="5">
        <v>209</v>
      </c>
      <c r="J136" s="5">
        <v>2.6640000000000001</v>
      </c>
      <c r="K136" s="5">
        <v>1259.3761440000001</v>
      </c>
      <c r="L136" s="5">
        <v>3.4026999999999998</v>
      </c>
      <c r="M136" s="5"/>
      <c r="N136" s="177">
        <v>41036.375432605659</v>
      </c>
      <c r="O136" s="4">
        <v>-7</v>
      </c>
    </row>
    <row r="137" spans="1:15" x14ac:dyDescent="0.25">
      <c r="A137" s="157">
        <v>41021.458333333336</v>
      </c>
      <c r="B137" s="5">
        <v>-4</v>
      </c>
      <c r="C137" s="5">
        <v>1200780</v>
      </c>
      <c r="D137" s="5" t="s">
        <v>1357</v>
      </c>
      <c r="E137" s="5" t="s">
        <v>116</v>
      </c>
      <c r="F137" s="5" t="b">
        <v>1</v>
      </c>
      <c r="G137" s="5" t="s">
        <v>1439</v>
      </c>
      <c r="H137" s="5">
        <v>7.766</v>
      </c>
      <c r="I137" s="5">
        <v>211</v>
      </c>
      <c r="J137" s="5">
        <v>2.3969999999999998</v>
      </c>
      <c r="K137" s="5">
        <v>1227.9886859999999</v>
      </c>
      <c r="L137" s="5">
        <v>3.4157000000000002</v>
      </c>
      <c r="M137" s="5"/>
      <c r="N137" s="177">
        <v>41026.994301796636</v>
      </c>
      <c r="O137" s="4">
        <v>-7</v>
      </c>
    </row>
    <row r="138" spans="1:15" x14ac:dyDescent="0.25">
      <c r="A138" s="157">
        <v>41021.666666666664</v>
      </c>
      <c r="B138" s="5">
        <v>-4</v>
      </c>
      <c r="C138" s="5">
        <v>1200781</v>
      </c>
      <c r="D138" s="5" t="s">
        <v>1357</v>
      </c>
      <c r="E138" s="5" t="s">
        <v>116</v>
      </c>
      <c r="F138" s="5" t="b">
        <v>1</v>
      </c>
      <c r="G138" s="5" t="s">
        <v>1439</v>
      </c>
      <c r="H138" s="5">
        <v>7.6139999999999999</v>
      </c>
      <c r="I138" s="5">
        <v>190.5</v>
      </c>
      <c r="J138" s="5">
        <v>3.6320000000000001</v>
      </c>
      <c r="K138" s="5">
        <v>1129.3081609999999</v>
      </c>
      <c r="L138" s="5">
        <v>2.7587000000000002</v>
      </c>
      <c r="M138" s="5"/>
      <c r="N138" s="177">
        <v>41037.874199166996</v>
      </c>
      <c r="O138" s="4">
        <v>-7</v>
      </c>
    </row>
    <row r="139" spans="1:15" x14ac:dyDescent="0.25">
      <c r="A139" s="157">
        <v>41021.833333333336</v>
      </c>
      <c r="B139" s="5">
        <v>-4</v>
      </c>
      <c r="C139" s="5">
        <v>1200782</v>
      </c>
      <c r="D139" s="5" t="s">
        <v>1357</v>
      </c>
      <c r="E139" s="5" t="s">
        <v>116</v>
      </c>
      <c r="F139" s="5" t="b">
        <v>1</v>
      </c>
      <c r="G139" s="5" t="s">
        <v>1439</v>
      </c>
      <c r="H139" s="5">
        <v>7.4619999999999997</v>
      </c>
      <c r="I139" s="5">
        <v>148.30000000000001</v>
      </c>
      <c r="J139" s="5">
        <v>7.92</v>
      </c>
      <c r="K139" s="5">
        <v>834.03997019999997</v>
      </c>
      <c r="L139" s="5">
        <v>1.5792999999999999</v>
      </c>
      <c r="M139" s="5"/>
      <c r="N139" s="177">
        <v>41026.651596238713</v>
      </c>
      <c r="O139" s="4">
        <v>-7</v>
      </c>
    </row>
    <row r="140" spans="1:15" x14ac:dyDescent="0.25">
      <c r="A140" s="157">
        <v>41021.875</v>
      </c>
      <c r="B140" s="5">
        <v>-4</v>
      </c>
      <c r="C140" s="5">
        <v>1200783</v>
      </c>
      <c r="D140" s="5" t="s">
        <v>1357</v>
      </c>
      <c r="E140" s="5" t="s">
        <v>116</v>
      </c>
      <c r="F140" s="5" t="b">
        <v>1</v>
      </c>
      <c r="G140" s="5" t="s">
        <v>1439</v>
      </c>
      <c r="H140" s="5">
        <v>7.335</v>
      </c>
      <c r="I140" s="5">
        <v>120.2</v>
      </c>
      <c r="J140" s="5">
        <v>9.24</v>
      </c>
      <c r="K140" s="5">
        <v>682.66688039999997</v>
      </c>
      <c r="L140" s="5">
        <v>1.1954</v>
      </c>
      <c r="M140" s="5"/>
      <c r="N140" s="177">
        <v>41038.221548754067</v>
      </c>
      <c r="O140" s="4">
        <v>-7</v>
      </c>
    </row>
    <row r="141" spans="1:15" x14ac:dyDescent="0.25">
      <c r="A141" s="157">
        <v>41021.916666666664</v>
      </c>
      <c r="B141" s="5">
        <v>-4</v>
      </c>
      <c r="C141" s="5">
        <v>1200784</v>
      </c>
      <c r="D141" s="5" t="s">
        <v>1357</v>
      </c>
      <c r="E141" s="5" t="s">
        <v>116</v>
      </c>
      <c r="F141" s="5" t="b">
        <v>1</v>
      </c>
      <c r="G141" s="5" t="s">
        <v>1439</v>
      </c>
      <c r="H141" s="5">
        <v>7.3360000000000003</v>
      </c>
      <c r="I141" s="5">
        <v>100.8</v>
      </c>
      <c r="J141" s="5">
        <v>10.026999999999999</v>
      </c>
      <c r="K141" s="5">
        <v>580.30830109999999</v>
      </c>
      <c r="L141" s="5">
        <v>0.96740000000000004</v>
      </c>
      <c r="M141" s="5"/>
      <c r="N141" s="177">
        <v>41025.807665845932</v>
      </c>
      <c r="O141" s="4">
        <v>-7</v>
      </c>
    </row>
    <row r="142" spans="1:15" x14ac:dyDescent="0.25">
      <c r="A142" s="157">
        <v>41021.958333333336</v>
      </c>
      <c r="B142" s="5">
        <v>-4</v>
      </c>
      <c r="C142" s="5">
        <v>1200785</v>
      </c>
      <c r="D142" s="5" t="s">
        <v>1357</v>
      </c>
      <c r="E142" s="5" t="s">
        <v>116</v>
      </c>
      <c r="F142" s="5" t="b">
        <v>1</v>
      </c>
      <c r="G142" s="5" t="s">
        <v>1439</v>
      </c>
      <c r="H142" s="5">
        <v>7.2619999999999996</v>
      </c>
      <c r="I142" s="5">
        <v>93.1</v>
      </c>
      <c r="J142" s="5">
        <v>10.227</v>
      </c>
      <c r="K142" s="5">
        <v>550.00774799999999</v>
      </c>
      <c r="L142" s="5">
        <v>0.89049999999999996</v>
      </c>
      <c r="M142" s="5"/>
      <c r="N142" s="177">
        <v>41036.164630186329</v>
      </c>
      <c r="O142" s="4">
        <v>-7</v>
      </c>
    </row>
    <row r="143" spans="1:15" x14ac:dyDescent="0.25">
      <c r="A143" s="157">
        <v>41022.125</v>
      </c>
      <c r="B143" s="5">
        <v>-4</v>
      </c>
      <c r="C143" s="5">
        <v>1200789</v>
      </c>
      <c r="D143" s="5" t="s">
        <v>1357</v>
      </c>
      <c r="E143" s="5" t="s">
        <v>116</v>
      </c>
      <c r="F143" s="5" t="b">
        <v>1</v>
      </c>
      <c r="G143" s="5" t="s">
        <v>1439</v>
      </c>
      <c r="H143" s="5">
        <v>7.3209999999999997</v>
      </c>
      <c r="I143" s="5">
        <v>108.1</v>
      </c>
      <c r="J143" s="5">
        <v>9.4269999999999996</v>
      </c>
      <c r="K143" s="5">
        <v>632.66774429999998</v>
      </c>
      <c r="L143" s="5">
        <v>1.0879000000000001</v>
      </c>
      <c r="M143" s="5"/>
      <c r="N143" s="177">
        <v>41025.683768858966</v>
      </c>
      <c r="O143" s="4">
        <v>-7</v>
      </c>
    </row>
    <row r="144" spans="1:15" x14ac:dyDescent="0.25">
      <c r="A144" s="157">
        <v>41022.416666666664</v>
      </c>
      <c r="B144" s="5">
        <v>-4</v>
      </c>
      <c r="C144" s="5">
        <v>1200790</v>
      </c>
      <c r="D144" s="5" t="s">
        <v>1357</v>
      </c>
      <c r="E144" s="5" t="s">
        <v>116</v>
      </c>
      <c r="F144" s="5" t="b">
        <v>1</v>
      </c>
      <c r="G144" s="5" t="s">
        <v>1439</v>
      </c>
      <c r="H144" s="5">
        <v>7.4880000000000004</v>
      </c>
      <c r="I144" s="5">
        <v>153.5</v>
      </c>
      <c r="J144" s="5">
        <v>6.4</v>
      </c>
      <c r="K144" s="5">
        <v>883.49983320000001</v>
      </c>
      <c r="L144" s="5">
        <v>1.8666</v>
      </c>
      <c r="M144" s="5"/>
      <c r="N144" s="177">
        <v>41038.0414546389</v>
      </c>
      <c r="O144" s="4">
        <v>-7</v>
      </c>
    </row>
    <row r="145" spans="1:15" x14ac:dyDescent="0.25">
      <c r="A145" s="157">
        <v>41023.125</v>
      </c>
      <c r="B145" s="5">
        <v>-4</v>
      </c>
      <c r="C145" s="5">
        <v>1200791</v>
      </c>
      <c r="D145" s="5" t="s">
        <v>1357</v>
      </c>
      <c r="E145" s="5" t="s">
        <v>116</v>
      </c>
      <c r="F145" s="5" t="b">
        <v>1</v>
      </c>
      <c r="G145" s="5" t="s">
        <v>1439</v>
      </c>
      <c r="H145" s="5">
        <v>7.5190000000000001</v>
      </c>
      <c r="I145" s="5">
        <v>167.8</v>
      </c>
      <c r="J145" s="5">
        <v>2.7349999999999999</v>
      </c>
      <c r="K145" s="5">
        <v>1125.15437</v>
      </c>
      <c r="L145" s="5">
        <v>3.0977999999999999</v>
      </c>
      <c r="M145" s="5"/>
      <c r="N145" s="177">
        <v>41024.266784917301</v>
      </c>
      <c r="O145" s="4">
        <v>-7</v>
      </c>
    </row>
    <row r="146" spans="1:15" x14ac:dyDescent="0.25">
      <c r="A146" s="157">
        <v>41031.556250000001</v>
      </c>
      <c r="B146" s="5">
        <v>-4</v>
      </c>
      <c r="C146" s="5">
        <v>1200881</v>
      </c>
      <c r="D146" s="5" t="s">
        <v>1354</v>
      </c>
      <c r="E146" s="5" t="s">
        <v>110</v>
      </c>
      <c r="F146" s="5" t="b">
        <v>1</v>
      </c>
      <c r="G146" s="5" t="s">
        <v>1330</v>
      </c>
      <c r="H146" s="5">
        <v>7.4530000000000003</v>
      </c>
      <c r="I146" s="5">
        <v>181.6</v>
      </c>
      <c r="J146" s="5">
        <v>1.92</v>
      </c>
      <c r="K146" s="5">
        <v>1300.434976</v>
      </c>
      <c r="L146" s="5">
        <v>3.0327000000000002</v>
      </c>
      <c r="M146" s="5"/>
      <c r="N146" s="177">
        <v>41032.842215926605</v>
      </c>
      <c r="O146" s="4">
        <v>-7</v>
      </c>
    </row>
    <row r="147" spans="1:15" x14ac:dyDescent="0.25">
      <c r="A147" s="157">
        <v>41031.595138888886</v>
      </c>
      <c r="B147" s="5">
        <v>-4</v>
      </c>
      <c r="C147" s="5">
        <v>1200879</v>
      </c>
      <c r="D147" s="5" t="s">
        <v>1360</v>
      </c>
      <c r="E147" s="5" t="s">
        <v>110</v>
      </c>
      <c r="F147" s="5" t="b">
        <v>1</v>
      </c>
      <c r="G147" s="5" t="s">
        <v>1330</v>
      </c>
      <c r="H147" s="5">
        <v>7.74</v>
      </c>
      <c r="I147" s="5">
        <v>189.6</v>
      </c>
      <c r="J147" s="5">
        <v>1.65</v>
      </c>
      <c r="K147" s="5">
        <v>1257.8545489999999</v>
      </c>
      <c r="L147" s="5">
        <v>3.5011000000000001</v>
      </c>
      <c r="M147" s="5"/>
      <c r="N147" s="177">
        <v>41046.460237232335</v>
      </c>
      <c r="O147" s="4">
        <v>-7</v>
      </c>
    </row>
    <row r="148" spans="1:15" x14ac:dyDescent="0.25">
      <c r="A148" s="157">
        <v>41031.627083333333</v>
      </c>
      <c r="B148" s="5">
        <v>-4</v>
      </c>
      <c r="C148" s="5">
        <v>1200880</v>
      </c>
      <c r="D148" s="5" t="s">
        <v>1359</v>
      </c>
      <c r="E148" s="5" t="s">
        <v>110</v>
      </c>
      <c r="F148" s="5" t="b">
        <v>1</v>
      </c>
      <c r="G148" s="5" t="s">
        <v>1330</v>
      </c>
      <c r="H148" s="5">
        <v>7.5919999999999996</v>
      </c>
      <c r="I148" s="5">
        <v>192.2</v>
      </c>
      <c r="J148" s="5">
        <v>1.87</v>
      </c>
      <c r="K148" s="5">
        <v>1222.4232509999999</v>
      </c>
      <c r="L148" s="5">
        <v>3.3414000000000001</v>
      </c>
      <c r="M148" s="5"/>
      <c r="N148" s="177">
        <v>41039.120061438407</v>
      </c>
      <c r="O148" s="4">
        <v>-7</v>
      </c>
    </row>
    <row r="149" spans="1:15" x14ac:dyDescent="0.25">
      <c r="A149" s="157">
        <v>41066.651388888888</v>
      </c>
      <c r="B149" s="5">
        <v>-4</v>
      </c>
      <c r="C149" s="5">
        <v>1201280</v>
      </c>
      <c r="D149" s="5" t="s">
        <v>1354</v>
      </c>
      <c r="E149" s="5" t="s">
        <v>110</v>
      </c>
      <c r="F149" s="5" t="b">
        <v>1</v>
      </c>
      <c r="G149" s="5" t="s">
        <v>1330</v>
      </c>
      <c r="H149" s="5">
        <v>7.5049999999999999</v>
      </c>
      <c r="I149" s="5">
        <v>213</v>
      </c>
      <c r="J149" s="5">
        <v>1.3340000000000001</v>
      </c>
      <c r="K149" s="5">
        <v>1392.592455</v>
      </c>
      <c r="L149" s="5">
        <v>3.4992000000000001</v>
      </c>
      <c r="M149" s="5"/>
      <c r="N149" s="177">
        <v>41068.510694527948</v>
      </c>
      <c r="O149" s="4">
        <v>-7</v>
      </c>
    </row>
    <row r="150" spans="1:15" x14ac:dyDescent="0.25">
      <c r="A150" s="157">
        <v>41066.67291666667</v>
      </c>
      <c r="B150" s="5">
        <v>-4</v>
      </c>
      <c r="C150" s="5">
        <v>1201278</v>
      </c>
      <c r="D150" s="5" t="s">
        <v>1360</v>
      </c>
      <c r="E150" s="5" t="s">
        <v>110</v>
      </c>
      <c r="F150" s="5" t="b">
        <v>1</v>
      </c>
      <c r="G150" s="5" t="s">
        <v>1330</v>
      </c>
      <c r="H150" s="5">
        <v>7.6630000000000003</v>
      </c>
      <c r="I150" s="5">
        <v>207</v>
      </c>
      <c r="J150" s="5">
        <v>1.4019999999999999</v>
      </c>
      <c r="K150" s="5">
        <v>1378.6522580000001</v>
      </c>
      <c r="L150" s="5">
        <v>3.6892</v>
      </c>
      <c r="M150" s="5"/>
      <c r="N150" s="177">
        <v>41075.941898348763</v>
      </c>
      <c r="O150" s="4">
        <v>-7</v>
      </c>
    </row>
    <row r="151" spans="1:15" x14ac:dyDescent="0.25">
      <c r="A151" s="157">
        <v>41066.688194444447</v>
      </c>
      <c r="B151" s="5">
        <v>-4</v>
      </c>
      <c r="C151" s="5">
        <v>1201279</v>
      </c>
      <c r="D151" s="5" t="s">
        <v>1359</v>
      </c>
      <c r="E151" s="5" t="s">
        <v>110</v>
      </c>
      <c r="F151" s="5" t="b">
        <v>1</v>
      </c>
      <c r="G151" s="5" t="s">
        <v>1330</v>
      </c>
      <c r="H151" s="5">
        <v>7.5460000000000003</v>
      </c>
      <c r="I151" s="5">
        <v>223</v>
      </c>
      <c r="J151" s="5">
        <v>1.3779999999999999</v>
      </c>
      <c r="K151" s="5">
        <v>1297.24692</v>
      </c>
      <c r="L151" s="5">
        <v>3.7732000000000001</v>
      </c>
      <c r="M151" s="5"/>
      <c r="N151" s="177">
        <v>41086.531392281257</v>
      </c>
      <c r="O151" s="4">
        <v>-7</v>
      </c>
    </row>
    <row r="152" spans="1:15" x14ac:dyDescent="0.25">
      <c r="A152" s="157">
        <v>41082.783333333333</v>
      </c>
      <c r="B152" s="5">
        <v>-4</v>
      </c>
      <c r="C152" s="5">
        <v>1201403</v>
      </c>
      <c r="D152" s="5" t="s">
        <v>1356</v>
      </c>
      <c r="E152" s="5" t="s">
        <v>110</v>
      </c>
      <c r="F152" s="5" t="b">
        <v>1</v>
      </c>
      <c r="G152" s="5" t="s">
        <v>1330</v>
      </c>
      <c r="H152" s="5">
        <v>7.5460000000000003</v>
      </c>
      <c r="I152" s="5">
        <v>424</v>
      </c>
      <c r="J152" s="5">
        <v>1.643</v>
      </c>
      <c r="K152" s="5"/>
      <c r="L152" s="5">
        <v>11.885400000000001</v>
      </c>
      <c r="M152" s="5"/>
      <c r="N152" s="177">
        <v>41102.186473329741</v>
      </c>
      <c r="O152" s="4">
        <v>-7</v>
      </c>
    </row>
    <row r="153" spans="1:15" x14ac:dyDescent="0.25">
      <c r="A153" s="157">
        <v>41101.703472222223</v>
      </c>
      <c r="B153" s="5">
        <v>-4</v>
      </c>
      <c r="C153" s="5">
        <v>1201706</v>
      </c>
      <c r="D153" s="5" t="s">
        <v>1354</v>
      </c>
      <c r="E153" s="5" t="s">
        <v>110</v>
      </c>
      <c r="F153" s="5" t="b">
        <v>1</v>
      </c>
      <c r="G153" s="5" t="s">
        <v>1330</v>
      </c>
      <c r="H153" s="5">
        <v>7.6589999999999998</v>
      </c>
      <c r="I153" s="5">
        <v>203</v>
      </c>
      <c r="J153" s="5">
        <v>1.2130000000000001</v>
      </c>
      <c r="K153" s="5">
        <v>1403.677439</v>
      </c>
      <c r="L153" s="5">
        <v>3.7189000000000001</v>
      </c>
      <c r="M153" s="5"/>
      <c r="N153" s="177">
        <v>41111.853737536505</v>
      </c>
      <c r="O153" s="4">
        <v>-7</v>
      </c>
    </row>
    <row r="154" spans="1:15" x14ac:dyDescent="0.25">
      <c r="A154" s="157">
        <v>41101.727777777778</v>
      </c>
      <c r="B154" s="5">
        <v>-4</v>
      </c>
      <c r="C154" s="5">
        <v>1201704</v>
      </c>
      <c r="D154" s="5" t="s">
        <v>1360</v>
      </c>
      <c r="E154" s="5" t="s">
        <v>110</v>
      </c>
      <c r="F154" s="5" t="b">
        <v>1</v>
      </c>
      <c r="G154" s="5" t="s">
        <v>1330</v>
      </c>
      <c r="H154" s="5">
        <v>7.9870000000000001</v>
      </c>
      <c r="I154" s="5">
        <v>189.9</v>
      </c>
      <c r="J154" s="5">
        <v>1.28</v>
      </c>
      <c r="K154" s="5">
        <v>1411.2045149999999</v>
      </c>
      <c r="L154" s="5">
        <v>3.8706999999999998</v>
      </c>
      <c r="M154" s="5"/>
      <c r="N154" s="177">
        <v>41117.68037690418</v>
      </c>
      <c r="O154" s="4">
        <v>-7</v>
      </c>
    </row>
    <row r="155" spans="1:15" x14ac:dyDescent="0.25">
      <c r="A155" s="157">
        <v>41101.754861111112</v>
      </c>
      <c r="B155" s="5">
        <v>-4</v>
      </c>
      <c r="C155" s="5">
        <v>1201705</v>
      </c>
      <c r="D155" s="5" t="s">
        <v>1359</v>
      </c>
      <c r="E155" s="5" t="s">
        <v>110</v>
      </c>
      <c r="F155" s="5" t="b">
        <v>1</v>
      </c>
      <c r="G155" s="5" t="s">
        <v>1330</v>
      </c>
      <c r="H155" s="5">
        <v>7.7220000000000004</v>
      </c>
      <c r="I155" s="5">
        <v>201</v>
      </c>
      <c r="J155" s="5">
        <v>1.25</v>
      </c>
      <c r="K155" s="5">
        <v>1346.024666</v>
      </c>
      <c r="L155" s="5">
        <v>4.0084</v>
      </c>
      <c r="M155" s="5"/>
      <c r="N155" s="177">
        <v>41106.440985674155</v>
      </c>
      <c r="O155" s="4">
        <v>-7</v>
      </c>
    </row>
    <row r="156" spans="1:15" x14ac:dyDescent="0.25">
      <c r="A156" s="157">
        <v>41108.688194444447</v>
      </c>
      <c r="B156" s="5">
        <v>-4</v>
      </c>
      <c r="C156" s="5">
        <v>1201756</v>
      </c>
      <c r="D156" s="5" t="s">
        <v>1356</v>
      </c>
      <c r="E156" s="5" t="s">
        <v>110</v>
      </c>
      <c r="F156" s="5" t="b">
        <v>1</v>
      </c>
      <c r="G156" s="5" t="s">
        <v>1330</v>
      </c>
      <c r="H156" s="5">
        <v>7.4640000000000004</v>
      </c>
      <c r="I156" s="5">
        <v>451</v>
      </c>
      <c r="J156" s="5">
        <v>2.0230000000000001</v>
      </c>
      <c r="K156" s="5"/>
      <c r="L156" s="5">
        <v>12.4695</v>
      </c>
      <c r="M156" s="5"/>
      <c r="N156" s="177">
        <v>41127.073253695773</v>
      </c>
      <c r="O156" s="4">
        <v>-7</v>
      </c>
    </row>
    <row r="157" spans="1:15" x14ac:dyDescent="0.25">
      <c r="A157" s="157">
        <v>41129.659722222219</v>
      </c>
      <c r="B157" s="5">
        <v>-4</v>
      </c>
      <c r="C157" s="5">
        <v>1202111</v>
      </c>
      <c r="D157" s="5" t="s">
        <v>1360</v>
      </c>
      <c r="E157" s="5" t="s">
        <v>110</v>
      </c>
      <c r="F157" s="5" t="b">
        <v>1</v>
      </c>
      <c r="G157" s="5" t="s">
        <v>1330</v>
      </c>
      <c r="H157" s="5">
        <v>7.69</v>
      </c>
      <c r="I157" s="5">
        <v>219</v>
      </c>
      <c r="J157" s="5">
        <v>1.514</v>
      </c>
      <c r="K157" s="5">
        <v>1434.712499</v>
      </c>
      <c r="L157" s="5">
        <v>3.5636999999999999</v>
      </c>
      <c r="M157" s="5"/>
      <c r="N157" s="177">
        <v>41135.7938671831</v>
      </c>
      <c r="O157" s="4">
        <v>-7</v>
      </c>
    </row>
    <row r="158" spans="1:15" x14ac:dyDescent="0.25">
      <c r="A158" s="157">
        <v>41129.695138888892</v>
      </c>
      <c r="B158" s="5">
        <v>-4</v>
      </c>
      <c r="C158" s="5">
        <v>1202112</v>
      </c>
      <c r="D158" s="5" t="s">
        <v>1359</v>
      </c>
      <c r="E158" s="5" t="s">
        <v>110</v>
      </c>
      <c r="F158" s="5" t="b">
        <v>1</v>
      </c>
      <c r="G158" s="5" t="s">
        <v>1330</v>
      </c>
      <c r="H158" s="5">
        <v>7.6040000000000001</v>
      </c>
      <c r="I158" s="5">
        <v>211</v>
      </c>
      <c r="J158" s="5">
        <v>1.4079999999999999</v>
      </c>
      <c r="K158" s="5">
        <v>1376.1448370000001</v>
      </c>
      <c r="L158" s="5">
        <v>3.8052000000000001</v>
      </c>
      <c r="M158" s="5"/>
      <c r="N158" s="177">
        <v>41143.704592196133</v>
      </c>
      <c r="O158" s="4">
        <v>-7</v>
      </c>
    </row>
    <row r="159" spans="1:15" x14ac:dyDescent="0.25">
      <c r="A159" s="157">
        <v>41129.720833333333</v>
      </c>
      <c r="B159" s="5">
        <v>-4</v>
      </c>
      <c r="C159" s="5">
        <v>1202113</v>
      </c>
      <c r="D159" s="5" t="s">
        <v>1354</v>
      </c>
      <c r="E159" s="5" t="s">
        <v>110</v>
      </c>
      <c r="F159" s="5" t="b">
        <v>1</v>
      </c>
      <c r="G159" s="5" t="s">
        <v>1330</v>
      </c>
      <c r="H159" s="5">
        <v>7.5629999999999997</v>
      </c>
      <c r="I159" s="5">
        <v>204</v>
      </c>
      <c r="J159" s="5">
        <v>1.3380000000000001</v>
      </c>
      <c r="K159" s="5">
        <v>1436.712583</v>
      </c>
      <c r="L159" s="5">
        <v>3.5630999999999999</v>
      </c>
      <c r="M159" s="5"/>
      <c r="N159" s="177">
        <v>41138.495484862513</v>
      </c>
      <c r="O159" s="4">
        <v>-7</v>
      </c>
    </row>
    <row r="160" spans="1:15" x14ac:dyDescent="0.25">
      <c r="A160" s="157">
        <v>41137.575694444444</v>
      </c>
      <c r="B160" s="5">
        <v>-4</v>
      </c>
      <c r="C160" s="5">
        <v>1202219</v>
      </c>
      <c r="D160" s="5" t="s">
        <v>1356</v>
      </c>
      <c r="E160" s="5" t="s">
        <v>110</v>
      </c>
      <c r="F160" s="5" t="b">
        <v>1</v>
      </c>
      <c r="G160" s="5" t="s">
        <v>1330</v>
      </c>
      <c r="H160" s="5">
        <v>7.827</v>
      </c>
      <c r="I160" s="5">
        <v>474</v>
      </c>
      <c r="J160" s="5">
        <v>2.036</v>
      </c>
      <c r="K160" s="5"/>
      <c r="L160" s="5">
        <v>12.4665</v>
      </c>
      <c r="M160" s="5"/>
      <c r="N160" s="177">
        <v>41140.047575682256</v>
      </c>
      <c r="O160" s="4">
        <v>-7</v>
      </c>
    </row>
    <row r="161" spans="1:15" x14ac:dyDescent="0.25">
      <c r="A161" s="157">
        <v>41157.459722222222</v>
      </c>
      <c r="B161" s="5">
        <v>-4</v>
      </c>
      <c r="C161" s="5">
        <v>1202392</v>
      </c>
      <c r="D161" s="5" t="s">
        <v>1354</v>
      </c>
      <c r="E161" s="5" t="s">
        <v>110</v>
      </c>
      <c r="F161" s="5" t="b">
        <v>1</v>
      </c>
      <c r="G161" s="5" t="s">
        <v>1330</v>
      </c>
      <c r="H161" s="5">
        <v>7.4450000000000003</v>
      </c>
      <c r="I161" s="5">
        <v>211</v>
      </c>
      <c r="J161" s="5">
        <v>2.3769999999999998</v>
      </c>
      <c r="K161" s="5">
        <v>1466.212761</v>
      </c>
      <c r="L161" s="5">
        <v>3.3224</v>
      </c>
      <c r="M161" s="5"/>
      <c r="N161" s="177">
        <v>41166.623983047612</v>
      </c>
      <c r="O161" s="4">
        <v>-7</v>
      </c>
    </row>
    <row r="162" spans="1:15" x14ac:dyDescent="0.25">
      <c r="A162" s="157">
        <v>41157.515972222223</v>
      </c>
      <c r="B162" s="5">
        <v>-4</v>
      </c>
      <c r="C162" s="5">
        <v>1202391</v>
      </c>
      <c r="D162" s="5" t="s">
        <v>1359</v>
      </c>
      <c r="E162" s="5" t="s">
        <v>110</v>
      </c>
      <c r="F162" s="5" t="b">
        <v>1</v>
      </c>
      <c r="G162" s="5" t="s">
        <v>1330</v>
      </c>
      <c r="H162" s="5">
        <v>7.4290000000000003</v>
      </c>
      <c r="I162" s="5">
        <v>207</v>
      </c>
      <c r="J162" s="5">
        <v>2.42</v>
      </c>
      <c r="K162" s="5">
        <v>1385.410815</v>
      </c>
      <c r="L162" s="5">
        <v>3.5831</v>
      </c>
      <c r="M162" s="5"/>
      <c r="N162" s="177">
        <v>41159.732966672833</v>
      </c>
      <c r="O162" s="4">
        <v>-7</v>
      </c>
    </row>
    <row r="163" spans="1:15" x14ac:dyDescent="0.25">
      <c r="A163" s="157">
        <v>41157.540277777778</v>
      </c>
      <c r="B163" s="5">
        <v>-4</v>
      </c>
      <c r="C163" s="5">
        <v>1202390</v>
      </c>
      <c r="D163" s="5" t="s">
        <v>1360</v>
      </c>
      <c r="E163" s="5" t="s">
        <v>110</v>
      </c>
      <c r="F163" s="5" t="b">
        <v>1</v>
      </c>
      <c r="G163" s="5" t="s">
        <v>1330</v>
      </c>
      <c r="H163" s="5">
        <v>7.69</v>
      </c>
      <c r="I163" s="5">
        <v>213</v>
      </c>
      <c r="J163" s="5">
        <v>2.5299999999999998</v>
      </c>
      <c r="K163" s="5">
        <v>1431.5215020000001</v>
      </c>
      <c r="L163" s="5">
        <v>2.5914999999999999</v>
      </c>
      <c r="M163" s="5"/>
      <c r="N163" s="177">
        <v>41160.125305151152</v>
      </c>
      <c r="O163" s="4">
        <v>-7</v>
      </c>
    </row>
    <row r="164" spans="1:15" x14ac:dyDescent="0.25">
      <c r="A164" s="157">
        <v>41170.041666666664</v>
      </c>
      <c r="B164" s="5">
        <v>-4</v>
      </c>
      <c r="C164" s="5">
        <v>1202621</v>
      </c>
      <c r="D164" s="5" t="s">
        <v>1357</v>
      </c>
      <c r="E164" s="5" t="s">
        <v>116</v>
      </c>
      <c r="F164" s="5" t="b">
        <v>1</v>
      </c>
      <c r="G164" s="5" t="s">
        <v>1435</v>
      </c>
      <c r="H164" s="5"/>
      <c r="I164" s="5"/>
      <c r="J164" s="5"/>
      <c r="K164" s="5"/>
      <c r="L164" s="5"/>
      <c r="M164" s="5"/>
      <c r="N164" s="177">
        <v>41177.830208800988</v>
      </c>
      <c r="O164" s="4">
        <v>-7</v>
      </c>
    </row>
    <row r="165" spans="1:15" x14ac:dyDescent="0.25">
      <c r="A165" s="157">
        <v>41170.291666666664</v>
      </c>
      <c r="B165" s="5">
        <v>-4</v>
      </c>
      <c r="C165" s="5">
        <v>1202622</v>
      </c>
      <c r="D165" s="5" t="s">
        <v>1357</v>
      </c>
      <c r="E165" s="5" t="s">
        <v>116</v>
      </c>
      <c r="F165" s="5" t="b">
        <v>1</v>
      </c>
      <c r="G165" s="5" t="s">
        <v>1435</v>
      </c>
      <c r="H165" s="5"/>
      <c r="I165" s="5"/>
      <c r="J165" s="5"/>
      <c r="K165" s="5"/>
      <c r="L165" s="5"/>
      <c r="M165" s="5"/>
      <c r="N165" s="177">
        <v>41184.474463125036</v>
      </c>
      <c r="O165" s="4">
        <v>-7</v>
      </c>
    </row>
    <row r="166" spans="1:15" x14ac:dyDescent="0.25">
      <c r="A166" s="157">
        <v>41170.666666666664</v>
      </c>
      <c r="B166" s="5">
        <v>-4</v>
      </c>
      <c r="C166" s="5">
        <v>1202623</v>
      </c>
      <c r="D166" s="5" t="s">
        <v>1357</v>
      </c>
      <c r="E166" s="5" t="s">
        <v>116</v>
      </c>
      <c r="F166" s="5" t="b">
        <v>1</v>
      </c>
      <c r="G166" s="5" t="s">
        <v>1435</v>
      </c>
      <c r="H166" s="5">
        <v>8.0269999999999992</v>
      </c>
      <c r="I166" s="5">
        <v>215</v>
      </c>
      <c r="J166" s="5">
        <v>5.2729999999999997</v>
      </c>
      <c r="K166" s="5">
        <v>1168.943399</v>
      </c>
      <c r="L166" s="5">
        <v>2.8031999999999999</v>
      </c>
      <c r="M166" s="5"/>
      <c r="N166" s="177">
        <v>41174.216739653944</v>
      </c>
      <c r="O166" s="4">
        <v>-7</v>
      </c>
    </row>
    <row r="167" spans="1:15" x14ac:dyDescent="0.25">
      <c r="A167" s="157">
        <v>41170.708333333336</v>
      </c>
      <c r="B167" s="5">
        <v>-4</v>
      </c>
      <c r="C167" s="5">
        <v>1202624</v>
      </c>
      <c r="D167" s="5" t="s">
        <v>1357</v>
      </c>
      <c r="E167" s="5" t="s">
        <v>116</v>
      </c>
      <c r="F167" s="5" t="b">
        <v>1</v>
      </c>
      <c r="G167" s="5" t="s">
        <v>1435</v>
      </c>
      <c r="H167" s="5">
        <v>7.9029999999999996</v>
      </c>
      <c r="I167" s="5">
        <v>204</v>
      </c>
      <c r="J167" s="5">
        <v>5.0469999999999997</v>
      </c>
      <c r="K167" s="5">
        <v>1112.017077</v>
      </c>
      <c r="L167" s="5">
        <v>2.6474000000000002</v>
      </c>
      <c r="M167" s="5"/>
      <c r="N167" s="177">
        <v>41174.223711606886</v>
      </c>
      <c r="O167" s="4">
        <v>-7</v>
      </c>
    </row>
    <row r="168" spans="1:15" x14ac:dyDescent="0.25">
      <c r="A168" s="157">
        <v>41170.75</v>
      </c>
      <c r="B168" s="5">
        <v>-4</v>
      </c>
      <c r="C168" s="5">
        <v>1202625</v>
      </c>
      <c r="D168" s="5" t="s">
        <v>1357</v>
      </c>
      <c r="E168" s="5" t="s">
        <v>116</v>
      </c>
      <c r="F168" s="5" t="b">
        <v>1</v>
      </c>
      <c r="G168" s="5" t="s">
        <v>1435</v>
      </c>
      <c r="H168" s="5">
        <v>7.6109999999999998</v>
      </c>
      <c r="I168" s="5">
        <v>152.30000000000001</v>
      </c>
      <c r="J168" s="5">
        <v>8.0399999999999991</v>
      </c>
      <c r="K168" s="5">
        <v>724.36104399999999</v>
      </c>
      <c r="L168" s="5">
        <v>1.8281000000000001</v>
      </c>
      <c r="M168" s="5"/>
      <c r="N168" s="177">
        <v>41188.453381968451</v>
      </c>
      <c r="O168" s="4">
        <v>-7</v>
      </c>
    </row>
    <row r="169" spans="1:15" x14ac:dyDescent="0.25">
      <c r="A169" s="157">
        <v>41170.791666666664</v>
      </c>
      <c r="B169" s="5">
        <v>-4</v>
      </c>
      <c r="C169" s="5">
        <v>1202626</v>
      </c>
      <c r="D169" s="5" t="s">
        <v>1357</v>
      </c>
      <c r="E169" s="5" t="s">
        <v>116</v>
      </c>
      <c r="F169" s="5" t="b">
        <v>1</v>
      </c>
      <c r="G169" s="5" t="s">
        <v>1435</v>
      </c>
      <c r="H169" s="5">
        <v>7.6189999999999998</v>
      </c>
      <c r="I169" s="5">
        <v>166.4</v>
      </c>
      <c r="J169" s="5">
        <v>7.6769999999999996</v>
      </c>
      <c r="K169" s="5">
        <v>851.67350859999999</v>
      </c>
      <c r="L169" s="5">
        <v>2.07E-2</v>
      </c>
      <c r="M169" s="5"/>
      <c r="N169" s="177">
        <v>41180.744025609732</v>
      </c>
      <c r="O169" s="4">
        <v>-7</v>
      </c>
    </row>
    <row r="170" spans="1:15" x14ac:dyDescent="0.25">
      <c r="A170" s="157">
        <v>41170.833333333336</v>
      </c>
      <c r="B170" s="5">
        <v>-4</v>
      </c>
      <c r="C170" s="5">
        <v>1202627</v>
      </c>
      <c r="D170" s="5" t="s">
        <v>1357</v>
      </c>
      <c r="E170" s="5" t="s">
        <v>116</v>
      </c>
      <c r="F170" s="5" t="b">
        <v>1</v>
      </c>
      <c r="G170" s="5" t="s">
        <v>1435</v>
      </c>
      <c r="H170" s="5">
        <v>7.976</v>
      </c>
      <c r="I170" s="5">
        <v>158.1</v>
      </c>
      <c r="J170" s="5">
        <v>8.4830000000000005</v>
      </c>
      <c r="K170" s="5">
        <v>737.66102339999998</v>
      </c>
      <c r="L170" s="5">
        <v>1.8070999999999999</v>
      </c>
      <c r="M170" s="5"/>
      <c r="N170" s="177">
        <v>41171.879756453505</v>
      </c>
      <c r="O170" s="4">
        <v>-7</v>
      </c>
    </row>
    <row r="171" spans="1:15" x14ac:dyDescent="0.25">
      <c r="A171" s="157">
        <v>41170.875</v>
      </c>
      <c r="B171" s="5">
        <v>-4</v>
      </c>
      <c r="C171" s="5">
        <v>1202628</v>
      </c>
      <c r="D171" s="5" t="s">
        <v>1357</v>
      </c>
      <c r="E171" s="5" t="s">
        <v>116</v>
      </c>
      <c r="F171" s="5" t="b">
        <v>1</v>
      </c>
      <c r="G171" s="5" t="s">
        <v>1435</v>
      </c>
      <c r="H171" s="5">
        <v>7.8179999999999996</v>
      </c>
      <c r="I171" s="5">
        <v>160.80000000000001</v>
      </c>
      <c r="J171" s="5">
        <v>9.1170000000000009</v>
      </c>
      <c r="K171" s="5">
        <v>714.57465060000004</v>
      </c>
      <c r="L171" s="5">
        <v>1.7418</v>
      </c>
      <c r="M171" s="5"/>
      <c r="N171" s="177">
        <v>41171.830161601152</v>
      </c>
      <c r="O171" s="4">
        <v>-7</v>
      </c>
    </row>
    <row r="172" spans="1:15" x14ac:dyDescent="0.25">
      <c r="A172" s="157">
        <v>41170.958333333336</v>
      </c>
      <c r="B172" s="5">
        <v>-4</v>
      </c>
      <c r="C172" s="5">
        <v>1202629</v>
      </c>
      <c r="D172" s="5" t="s">
        <v>1357</v>
      </c>
      <c r="E172" s="5" t="s">
        <v>116</v>
      </c>
      <c r="F172" s="5" t="b">
        <v>1</v>
      </c>
      <c r="G172" s="5" t="s">
        <v>1435</v>
      </c>
      <c r="H172" s="5">
        <v>7.9320000000000004</v>
      </c>
      <c r="I172" s="5">
        <v>204</v>
      </c>
      <c r="J172" s="5">
        <v>9.2870000000000008</v>
      </c>
      <c r="K172" s="5">
        <v>767.9636951</v>
      </c>
      <c r="L172" s="5">
        <v>1.6595</v>
      </c>
      <c r="M172" s="5"/>
      <c r="N172" s="177">
        <v>41181.746999697119</v>
      </c>
      <c r="O172" s="4">
        <v>-7</v>
      </c>
    </row>
    <row r="173" spans="1:15" x14ac:dyDescent="0.25">
      <c r="A173" s="157">
        <v>41171.041666666664</v>
      </c>
      <c r="B173" s="5">
        <v>-4</v>
      </c>
      <c r="C173" s="5">
        <v>1202630</v>
      </c>
      <c r="D173" s="5" t="s">
        <v>1357</v>
      </c>
      <c r="E173" s="5" t="s">
        <v>116</v>
      </c>
      <c r="F173" s="5" t="b">
        <v>1</v>
      </c>
      <c r="G173" s="5" t="s">
        <v>1435</v>
      </c>
      <c r="H173" s="5">
        <v>7.8929999999999998</v>
      </c>
      <c r="I173" s="5">
        <v>195.4</v>
      </c>
      <c r="J173" s="5">
        <v>8.7769999999999992</v>
      </c>
      <c r="K173" s="5">
        <v>886.2544054</v>
      </c>
      <c r="L173" s="5">
        <v>1.9221999999999999</v>
      </c>
      <c r="M173" s="5"/>
      <c r="N173" s="177">
        <v>41179.154262389857</v>
      </c>
      <c r="O173" s="4">
        <v>-7</v>
      </c>
    </row>
    <row r="174" spans="1:15" x14ac:dyDescent="0.25">
      <c r="A174" s="157">
        <v>41171.166666666664</v>
      </c>
      <c r="B174" s="5">
        <v>-4</v>
      </c>
      <c r="C174" s="5">
        <v>1202631</v>
      </c>
      <c r="D174" s="5" t="s">
        <v>1357</v>
      </c>
      <c r="E174" s="5" t="s">
        <v>116</v>
      </c>
      <c r="F174" s="5" t="b">
        <v>1</v>
      </c>
      <c r="G174" s="5" t="s">
        <v>1435</v>
      </c>
      <c r="H174" s="5">
        <v>7.91</v>
      </c>
      <c r="I174" s="5">
        <v>202</v>
      </c>
      <c r="J174" s="5">
        <v>8.423</v>
      </c>
      <c r="K174" s="5">
        <v>946.4797264</v>
      </c>
      <c r="L174" s="5">
        <v>2.1573000000000002</v>
      </c>
      <c r="M174" s="5"/>
      <c r="N174" s="177">
        <v>41174.61010004484</v>
      </c>
      <c r="O174" s="4">
        <v>-7</v>
      </c>
    </row>
    <row r="175" spans="1:15" x14ac:dyDescent="0.25">
      <c r="A175" s="157">
        <v>41171.416666666664</v>
      </c>
      <c r="B175" s="5">
        <v>-4</v>
      </c>
      <c r="C175" s="5">
        <v>1202632</v>
      </c>
      <c r="D175" s="5" t="s">
        <v>1357</v>
      </c>
      <c r="E175" s="5" t="s">
        <v>116</v>
      </c>
      <c r="F175" s="5" t="b">
        <v>1</v>
      </c>
      <c r="G175" s="5" t="s">
        <v>1435</v>
      </c>
      <c r="H175" s="5">
        <v>8.0009999999999994</v>
      </c>
      <c r="I175" s="5">
        <v>225</v>
      </c>
      <c r="J175" s="5">
        <v>5.8029999999999999</v>
      </c>
      <c r="K175" s="5">
        <v>1125.8961830000001</v>
      </c>
      <c r="L175" s="5">
        <v>2.6023999999999998</v>
      </c>
      <c r="M175" s="5"/>
      <c r="N175" s="177">
        <v>41177.696694353472</v>
      </c>
      <c r="O175" s="4">
        <v>-7</v>
      </c>
    </row>
    <row r="176" spans="1:15" x14ac:dyDescent="0.25">
      <c r="A176" s="157">
        <v>41185.666666666664</v>
      </c>
      <c r="B176" s="5">
        <v>-4</v>
      </c>
      <c r="C176" s="5">
        <v>1202872</v>
      </c>
      <c r="D176" s="5" t="s">
        <v>1354</v>
      </c>
      <c r="E176" s="5" t="s">
        <v>110</v>
      </c>
      <c r="F176" s="5" t="b">
        <v>1</v>
      </c>
      <c r="G176" s="5" t="s">
        <v>1330</v>
      </c>
      <c r="H176" s="5">
        <v>7.4169999999999998</v>
      </c>
      <c r="I176" s="5">
        <v>197.1</v>
      </c>
      <c r="J176" s="5">
        <v>3.2930000000000001</v>
      </c>
      <c r="K176" s="5">
        <v>1347.68812</v>
      </c>
      <c r="L176" s="5">
        <v>2.7824</v>
      </c>
      <c r="M176" s="5"/>
      <c r="N176" s="177">
        <v>41192.343490316569</v>
      </c>
      <c r="O176" s="4">
        <v>-7</v>
      </c>
    </row>
    <row r="177" spans="1:15" x14ac:dyDescent="0.25">
      <c r="A177" s="157">
        <v>41185.695833333331</v>
      </c>
      <c r="B177" s="5">
        <v>-4</v>
      </c>
      <c r="C177" s="5">
        <v>1202870</v>
      </c>
      <c r="D177" s="5" t="s">
        <v>1360</v>
      </c>
      <c r="E177" s="5" t="s">
        <v>110</v>
      </c>
      <c r="F177" s="5" t="b">
        <v>1</v>
      </c>
      <c r="G177" s="5" t="s">
        <v>1330</v>
      </c>
      <c r="H177" s="5">
        <v>7.5519999999999996</v>
      </c>
      <c r="I177" s="5">
        <v>209</v>
      </c>
      <c r="J177" s="5">
        <v>3.74</v>
      </c>
      <c r="K177" s="5">
        <v>1294.1429310000001</v>
      </c>
      <c r="L177" s="5">
        <v>2.7063999999999999</v>
      </c>
      <c r="M177" s="5"/>
      <c r="N177" s="177">
        <v>41204.181343532066</v>
      </c>
      <c r="O177" s="4">
        <v>-7</v>
      </c>
    </row>
    <row r="178" spans="1:15" x14ac:dyDescent="0.25">
      <c r="A178" s="157">
        <v>41185.71875</v>
      </c>
      <c r="B178" s="5">
        <v>-4</v>
      </c>
      <c r="C178" s="5">
        <v>1202871</v>
      </c>
      <c r="D178" s="5" t="s">
        <v>1359</v>
      </c>
      <c r="E178" s="5" t="s">
        <v>110</v>
      </c>
      <c r="F178" s="5" t="b">
        <v>1</v>
      </c>
      <c r="G178" s="5" t="s">
        <v>1330</v>
      </c>
      <c r="H178" s="5">
        <v>7.4710000000000001</v>
      </c>
      <c r="I178" s="5">
        <v>199.4</v>
      </c>
      <c r="J178" s="5">
        <v>3.5129999999999999</v>
      </c>
      <c r="K178" s="5">
        <v>1246.021896</v>
      </c>
      <c r="L178" s="5">
        <v>2.9110999999999998</v>
      </c>
      <c r="M178" s="5"/>
      <c r="N178" s="177">
        <v>41186.082392335651</v>
      </c>
      <c r="O178" s="4">
        <v>-7</v>
      </c>
    </row>
    <row r="179" spans="1:15" x14ac:dyDescent="0.25">
      <c r="A179" s="157">
        <v>41193.62222222222</v>
      </c>
      <c r="B179" s="5">
        <v>-4</v>
      </c>
      <c r="C179" s="5">
        <v>1202965</v>
      </c>
      <c r="D179" s="5" t="s">
        <v>1356</v>
      </c>
      <c r="E179" s="5" t="s">
        <v>110</v>
      </c>
      <c r="F179" s="5" t="b">
        <v>1</v>
      </c>
      <c r="G179" s="5" t="s">
        <v>1330</v>
      </c>
      <c r="H179" s="5">
        <v>7.4950000000000001</v>
      </c>
      <c r="I179" s="5">
        <v>416</v>
      </c>
      <c r="J179" s="5">
        <v>1.91</v>
      </c>
      <c r="K179" s="5"/>
      <c r="L179" s="5">
        <v>11.215199999999999</v>
      </c>
      <c r="M179" s="5"/>
      <c r="N179" s="177">
        <v>41199.830022816466</v>
      </c>
      <c r="O179" s="4">
        <v>-7</v>
      </c>
    </row>
    <row r="180" spans="1:15" x14ac:dyDescent="0.25">
      <c r="A180" s="157">
        <v>41227.709027777775</v>
      </c>
      <c r="B180" s="5">
        <v>-5</v>
      </c>
      <c r="C180" s="5">
        <v>1204026</v>
      </c>
      <c r="D180" s="5" t="s">
        <v>1360</v>
      </c>
      <c r="E180" s="5" t="s">
        <v>110</v>
      </c>
      <c r="F180" s="5" t="b">
        <v>1</v>
      </c>
      <c r="G180" s="5" t="s">
        <v>1436</v>
      </c>
      <c r="H180" s="5">
        <v>7.6</v>
      </c>
      <c r="I180" s="5">
        <v>212</v>
      </c>
      <c r="J180" s="5">
        <v>1.702</v>
      </c>
      <c r="K180" s="5">
        <v>1329.700781</v>
      </c>
      <c r="L180" s="5">
        <v>3.6179999999999999</v>
      </c>
      <c r="M180" s="5"/>
      <c r="N180" s="177">
        <v>41229.005921606738</v>
      </c>
      <c r="O180" s="4">
        <v>-7</v>
      </c>
    </row>
    <row r="181" spans="1:15" x14ac:dyDescent="0.25">
      <c r="A181" s="157">
        <v>41227.715277777781</v>
      </c>
      <c r="B181" s="5">
        <v>-5</v>
      </c>
      <c r="C181" s="5">
        <v>1204028</v>
      </c>
      <c r="D181" s="5" t="s">
        <v>1354</v>
      </c>
      <c r="E181" s="5" t="s">
        <v>110</v>
      </c>
      <c r="F181" s="5" t="b">
        <v>1</v>
      </c>
      <c r="G181" s="5" t="s">
        <v>1330</v>
      </c>
      <c r="H181" s="5">
        <v>7.4960000000000004</v>
      </c>
      <c r="I181" s="5">
        <v>189.1</v>
      </c>
      <c r="J181" s="5">
        <v>1.6619999999999999</v>
      </c>
      <c r="K181" s="5">
        <v>1359.325544</v>
      </c>
      <c r="L181" s="5">
        <v>3.4056000000000002</v>
      </c>
      <c r="M181" s="5"/>
      <c r="N181" s="177">
        <v>41238.597591145757</v>
      </c>
      <c r="O181" s="4">
        <v>-7</v>
      </c>
    </row>
    <row r="182" spans="1:15" x14ac:dyDescent="0.25">
      <c r="A182" s="157">
        <v>41227.731249999997</v>
      </c>
      <c r="B182" s="5">
        <v>-5</v>
      </c>
      <c r="C182" s="5">
        <v>1204027</v>
      </c>
      <c r="D182" s="5" t="s">
        <v>1359</v>
      </c>
      <c r="E182" s="5" t="s">
        <v>110</v>
      </c>
      <c r="F182" s="5" t="b">
        <v>1</v>
      </c>
      <c r="G182" s="5" t="s">
        <v>1330</v>
      </c>
      <c r="H182" s="5">
        <v>7.5259999999999998</v>
      </c>
      <c r="I182" s="5">
        <v>200</v>
      </c>
      <c r="J182" s="5">
        <v>1.6659999999999999</v>
      </c>
      <c r="K182" s="5">
        <v>1276.1391570000001</v>
      </c>
      <c r="L182" s="5">
        <v>3.6707000000000001</v>
      </c>
      <c r="M182" s="5"/>
      <c r="N182" s="177">
        <v>41241.855085143492</v>
      </c>
      <c r="O182" s="4">
        <v>-7</v>
      </c>
    </row>
    <row r="183" spans="1:15" x14ac:dyDescent="0.25">
      <c r="A183" s="157">
        <v>41241.547222222223</v>
      </c>
      <c r="B183" s="5">
        <v>-5</v>
      </c>
      <c r="C183" s="5">
        <v>1204430</v>
      </c>
      <c r="D183" s="5" t="s">
        <v>1355</v>
      </c>
      <c r="E183" s="5" t="s">
        <v>110</v>
      </c>
      <c r="F183" s="5" t="b">
        <v>1</v>
      </c>
      <c r="G183" s="5" t="s">
        <v>1330</v>
      </c>
      <c r="H183" s="5">
        <v>6.9950000000000001</v>
      </c>
      <c r="I183" s="5">
        <v>398</v>
      </c>
      <c r="J183" s="5">
        <v>4.6399999999999997</v>
      </c>
      <c r="K183" s="5"/>
      <c r="L183" s="5">
        <v>2.5179999999999998</v>
      </c>
      <c r="M183" s="5"/>
      <c r="N183" s="177">
        <v>41247.097196662209</v>
      </c>
      <c r="O183" s="4">
        <v>-7</v>
      </c>
    </row>
    <row r="184" spans="1:15" x14ac:dyDescent="0.25">
      <c r="A184" s="157">
        <v>41241.563888888886</v>
      </c>
      <c r="B184" s="5">
        <v>-5</v>
      </c>
      <c r="C184" s="5">
        <v>1204431</v>
      </c>
      <c r="D184" s="5" t="s">
        <v>1356</v>
      </c>
      <c r="E184" s="5" t="s">
        <v>110</v>
      </c>
      <c r="F184" s="5" t="b">
        <v>1</v>
      </c>
      <c r="G184" s="5" t="s">
        <v>1330</v>
      </c>
      <c r="H184" s="5">
        <v>7.4729999999999999</v>
      </c>
      <c r="I184" s="5">
        <v>400</v>
      </c>
      <c r="J184" s="5">
        <v>1.883</v>
      </c>
      <c r="K184" s="5"/>
      <c r="L184" s="5">
        <v>10.504899999999999</v>
      </c>
      <c r="M184" s="5"/>
      <c r="N184" s="177">
        <v>41247.933508336144</v>
      </c>
      <c r="O184" s="4">
        <v>-7</v>
      </c>
    </row>
    <row r="185" spans="1:15" x14ac:dyDescent="0.25">
      <c r="A185" s="157">
        <v>41248.552083333336</v>
      </c>
      <c r="B185" s="5">
        <v>-5</v>
      </c>
      <c r="C185" s="5">
        <v>1204593</v>
      </c>
      <c r="D185" s="5" t="s">
        <v>1354</v>
      </c>
      <c r="E185" s="5" t="s">
        <v>110</v>
      </c>
      <c r="F185" s="5" t="b">
        <v>1</v>
      </c>
      <c r="G185" s="5" t="s">
        <v>1330</v>
      </c>
      <c r="H185" s="5">
        <v>7.8620000000000001</v>
      </c>
      <c r="I185" s="5">
        <v>200</v>
      </c>
      <c r="J185" s="5">
        <v>1.343</v>
      </c>
      <c r="K185" s="5">
        <v>1381.8882249999999</v>
      </c>
      <c r="L185" s="5">
        <v>3.2168000000000001</v>
      </c>
      <c r="M185" s="5"/>
      <c r="N185" s="177">
        <v>41252.635616842505</v>
      </c>
      <c r="O185" s="4">
        <v>-7</v>
      </c>
    </row>
    <row r="186" spans="1:15" x14ac:dyDescent="0.25">
      <c r="A186" s="157">
        <v>41248.591666666667</v>
      </c>
      <c r="B186" s="5">
        <v>-5</v>
      </c>
      <c r="C186" s="5">
        <v>1204592</v>
      </c>
      <c r="D186" s="5" t="s">
        <v>1359</v>
      </c>
      <c r="E186" s="5" t="s">
        <v>110</v>
      </c>
      <c r="F186" s="5" t="b">
        <v>1</v>
      </c>
      <c r="G186" s="5" t="s">
        <v>1330</v>
      </c>
      <c r="H186" s="5">
        <v>8.5190000000000001</v>
      </c>
      <c r="I186" s="5">
        <v>202</v>
      </c>
      <c r="J186" s="5">
        <v>1.407</v>
      </c>
      <c r="K186" s="5">
        <v>1292.620838</v>
      </c>
      <c r="L186" s="5">
        <v>3.8311999999999999</v>
      </c>
      <c r="M186" s="5"/>
      <c r="N186" s="177">
        <v>41260.892372237366</v>
      </c>
      <c r="O186" s="4">
        <v>-7</v>
      </c>
    </row>
    <row r="187" spans="1:15" x14ac:dyDescent="0.25">
      <c r="A187" s="157">
        <v>41248.611111111109</v>
      </c>
      <c r="B187" s="5">
        <v>-5</v>
      </c>
      <c r="C187" s="5">
        <v>1204591</v>
      </c>
      <c r="D187" s="5" t="s">
        <v>1360</v>
      </c>
      <c r="E187" s="5" t="s">
        <v>110</v>
      </c>
      <c r="F187" s="5" t="b">
        <v>1</v>
      </c>
      <c r="G187" s="5" t="s">
        <v>1330</v>
      </c>
      <c r="H187" s="5">
        <v>8.4860000000000007</v>
      </c>
      <c r="I187" s="5">
        <v>199.4</v>
      </c>
      <c r="J187" s="5">
        <v>1.413</v>
      </c>
      <c r="K187" s="5">
        <v>1352.872562</v>
      </c>
      <c r="L187" s="5">
        <v>3.7852000000000001</v>
      </c>
      <c r="M187" s="5"/>
      <c r="N187" s="177">
        <v>41252.626230214773</v>
      </c>
      <c r="O187" s="4">
        <v>-7</v>
      </c>
    </row>
    <row r="188" spans="1:15" x14ac:dyDescent="0.25">
      <c r="A188" s="157">
        <v>41255.682638888888</v>
      </c>
      <c r="B188" s="5">
        <v>-5</v>
      </c>
      <c r="C188" s="5">
        <v>1204683</v>
      </c>
      <c r="D188" s="5" t="s">
        <v>1355</v>
      </c>
      <c r="E188" s="5" t="s">
        <v>110</v>
      </c>
      <c r="F188" s="5" t="b">
        <v>1</v>
      </c>
      <c r="G188" s="5" t="s">
        <v>1330</v>
      </c>
      <c r="H188" s="5">
        <v>6.8659999999999997</v>
      </c>
      <c r="I188" s="5">
        <v>378</v>
      </c>
      <c r="J188" s="5">
        <v>2.83</v>
      </c>
      <c r="K188" s="5"/>
      <c r="L188" s="5">
        <v>3.0767000000000002</v>
      </c>
      <c r="M188" s="5"/>
      <c r="N188" s="177">
        <v>41257.198882144345</v>
      </c>
      <c r="O188" s="4">
        <v>-7</v>
      </c>
    </row>
    <row r="189" spans="1:15" x14ac:dyDescent="0.25">
      <c r="A189" s="157">
        <v>41255.697222222225</v>
      </c>
      <c r="B189" s="5">
        <v>-5</v>
      </c>
      <c r="C189" s="5">
        <v>1204684</v>
      </c>
      <c r="D189" s="5" t="s">
        <v>1356</v>
      </c>
      <c r="E189" s="5" t="s">
        <v>110</v>
      </c>
      <c r="F189" s="5" t="b">
        <v>1</v>
      </c>
      <c r="G189" s="5" t="s">
        <v>1330</v>
      </c>
      <c r="H189" s="5">
        <v>7.4509999999999996</v>
      </c>
      <c r="I189" s="5">
        <v>364</v>
      </c>
      <c r="J189" s="5">
        <v>1.593</v>
      </c>
      <c r="K189" s="5"/>
      <c r="L189" s="5">
        <v>10.9716</v>
      </c>
      <c r="M189" s="5"/>
      <c r="N189" s="177">
        <v>41259.361489673254</v>
      </c>
      <c r="O189" s="4">
        <v>-7</v>
      </c>
    </row>
    <row r="190" spans="1:15" x14ac:dyDescent="0.25">
      <c r="A190" s="157">
        <v>41277.573611111111</v>
      </c>
      <c r="B190" s="5">
        <v>-5</v>
      </c>
      <c r="C190" s="5">
        <v>1300003</v>
      </c>
      <c r="D190" s="5" t="s">
        <v>1354</v>
      </c>
      <c r="E190" s="5" t="s">
        <v>110</v>
      </c>
      <c r="F190" s="5" t="b">
        <v>1</v>
      </c>
      <c r="G190" s="5" t="s">
        <v>1330</v>
      </c>
      <c r="H190" s="5">
        <v>7.5810000000000004</v>
      </c>
      <c r="I190" s="5">
        <v>209</v>
      </c>
      <c r="J190" s="5">
        <v>1.07</v>
      </c>
      <c r="K190" s="5">
        <v>1344.574748</v>
      </c>
      <c r="L190" s="5">
        <v>3.7624</v>
      </c>
      <c r="M190" s="5"/>
      <c r="N190" s="177">
        <v>41294.644988476008</v>
      </c>
      <c r="O190" s="4">
        <v>-7</v>
      </c>
    </row>
    <row r="191" spans="1:15" x14ac:dyDescent="0.25">
      <c r="A191" s="157">
        <v>41277.606944444444</v>
      </c>
      <c r="B191" s="5">
        <v>-5</v>
      </c>
      <c r="C191" s="5">
        <v>1300001</v>
      </c>
      <c r="D191" s="5" t="s">
        <v>1360</v>
      </c>
      <c r="E191" s="5" t="s">
        <v>110</v>
      </c>
      <c r="F191" s="5" t="b">
        <v>1</v>
      </c>
      <c r="G191" s="5" t="s">
        <v>1330</v>
      </c>
      <c r="H191" s="5">
        <v>7.633</v>
      </c>
      <c r="I191" s="5">
        <v>206</v>
      </c>
      <c r="J191" s="5">
        <v>1.073</v>
      </c>
      <c r="K191" s="5">
        <v>1322.2395779999999</v>
      </c>
      <c r="L191" s="5">
        <v>4.3121999999999998</v>
      </c>
      <c r="M191" s="5"/>
      <c r="N191" s="177">
        <v>41288.93936787112</v>
      </c>
      <c r="O191" s="4">
        <v>-7</v>
      </c>
    </row>
    <row r="192" spans="1:15" x14ac:dyDescent="0.25">
      <c r="A192" s="157">
        <v>41277.622916666667</v>
      </c>
      <c r="B192" s="5">
        <v>-5</v>
      </c>
      <c r="C192" s="5">
        <v>1300002</v>
      </c>
      <c r="D192" s="5" t="s">
        <v>1359</v>
      </c>
      <c r="E192" s="5" t="s">
        <v>110</v>
      </c>
      <c r="F192" s="5" t="b">
        <v>1</v>
      </c>
      <c r="G192" s="5" t="s">
        <v>1330</v>
      </c>
      <c r="H192" s="5">
        <v>7.5259999999999998</v>
      </c>
      <c r="I192" s="5">
        <v>203</v>
      </c>
      <c r="J192" s="5">
        <v>1.1200000000000001</v>
      </c>
      <c r="K192" s="5">
        <v>1250.395659</v>
      </c>
      <c r="L192" s="5">
        <v>4.3432000000000004</v>
      </c>
      <c r="M192" s="5"/>
      <c r="N192" s="177">
        <v>41285.051757710942</v>
      </c>
      <c r="O192" s="4">
        <v>-7</v>
      </c>
    </row>
    <row r="193" spans="1:15" x14ac:dyDescent="0.25">
      <c r="A193" s="157">
        <v>41291.583333333336</v>
      </c>
      <c r="B193" s="5">
        <v>-5</v>
      </c>
      <c r="C193" s="5">
        <v>1300176</v>
      </c>
      <c r="D193" s="5" t="s">
        <v>1355</v>
      </c>
      <c r="E193" s="5" t="s">
        <v>110</v>
      </c>
      <c r="F193" s="5" t="b">
        <v>1</v>
      </c>
      <c r="G193" s="5" t="s">
        <v>1330</v>
      </c>
      <c r="H193" s="5">
        <v>6.8520000000000003</v>
      </c>
      <c r="I193" s="5">
        <v>240</v>
      </c>
      <c r="J193" s="5">
        <v>8.0030000000000001</v>
      </c>
      <c r="K193" s="5"/>
      <c r="L193" s="5">
        <v>1.5004</v>
      </c>
      <c r="M193" s="5"/>
      <c r="N193" s="177">
        <v>41297.623127865016</v>
      </c>
      <c r="O193" s="4">
        <v>-7</v>
      </c>
    </row>
    <row r="194" spans="1:15" x14ac:dyDescent="0.25">
      <c r="A194" s="157">
        <v>41291.61041666667</v>
      </c>
      <c r="B194" s="5">
        <v>-5</v>
      </c>
      <c r="C194" s="5">
        <v>1300177</v>
      </c>
      <c r="D194" s="5" t="s">
        <v>1356</v>
      </c>
      <c r="E194" s="5" t="s">
        <v>110</v>
      </c>
      <c r="F194" s="5" t="b">
        <v>1</v>
      </c>
      <c r="G194" s="5" t="s">
        <v>1330</v>
      </c>
      <c r="H194" s="5">
        <v>7.3170000000000002</v>
      </c>
      <c r="I194" s="5">
        <v>310</v>
      </c>
      <c r="J194" s="5">
        <v>2.6970000000000001</v>
      </c>
      <c r="K194" s="5"/>
      <c r="L194" s="5">
        <v>8.3203999999999994</v>
      </c>
      <c r="M194" s="5"/>
      <c r="N194" s="177">
        <v>41299.553281363857</v>
      </c>
      <c r="O194" s="4">
        <v>-7</v>
      </c>
    </row>
    <row r="195" spans="1:15" x14ac:dyDescent="0.25">
      <c r="A195" s="157">
        <v>41318.688194444447</v>
      </c>
      <c r="B195" s="5">
        <v>-5</v>
      </c>
      <c r="C195" s="5">
        <v>1300428</v>
      </c>
      <c r="D195" s="5" t="s">
        <v>1354</v>
      </c>
      <c r="E195" s="5" t="s">
        <v>110</v>
      </c>
      <c r="F195" s="5" t="b">
        <v>1</v>
      </c>
      <c r="G195" s="5" t="s">
        <v>1330</v>
      </c>
      <c r="H195" s="5">
        <v>7.6260000000000003</v>
      </c>
      <c r="I195" s="5">
        <v>213</v>
      </c>
      <c r="J195" s="5">
        <v>1.1890000000000001</v>
      </c>
      <c r="K195" s="5"/>
      <c r="L195" s="5">
        <v>3.4664999999999999</v>
      </c>
      <c r="M195" s="5">
        <v>24.745000000000001</v>
      </c>
      <c r="N195" s="177">
        <v>41322.501560553152</v>
      </c>
      <c r="O195" s="4">
        <v>-7</v>
      </c>
    </row>
    <row r="196" spans="1:15" x14ac:dyDescent="0.25">
      <c r="A196" s="157">
        <v>41318.690972222219</v>
      </c>
      <c r="B196" s="5">
        <v>-5</v>
      </c>
      <c r="C196" s="5">
        <v>1300426</v>
      </c>
      <c r="D196" s="5" t="s">
        <v>1360</v>
      </c>
      <c r="E196" s="5" t="s">
        <v>110</v>
      </c>
      <c r="F196" s="5" t="b">
        <v>1</v>
      </c>
      <c r="G196" s="5" t="s">
        <v>1436</v>
      </c>
      <c r="H196" s="5">
        <v>7.6289999999999996</v>
      </c>
      <c r="I196" s="5">
        <v>224</v>
      </c>
      <c r="J196" s="5">
        <v>1.234</v>
      </c>
      <c r="K196" s="5">
        <v>1263.915352</v>
      </c>
      <c r="L196" s="5">
        <v>3.7302</v>
      </c>
      <c r="M196" s="5">
        <v>24.384</v>
      </c>
      <c r="N196" s="177">
        <v>41321.089187499303</v>
      </c>
      <c r="O196" s="4">
        <v>-7</v>
      </c>
    </row>
    <row r="197" spans="1:15" x14ac:dyDescent="0.25">
      <c r="A197" s="157">
        <v>41318.700694444444</v>
      </c>
      <c r="B197" s="5">
        <v>-5</v>
      </c>
      <c r="C197" s="5">
        <v>1300427</v>
      </c>
      <c r="D197" s="5" t="s">
        <v>1359</v>
      </c>
      <c r="E197" s="5" t="s">
        <v>110</v>
      </c>
      <c r="F197" s="5" t="b">
        <v>1</v>
      </c>
      <c r="G197" s="5" t="s">
        <v>1330</v>
      </c>
      <c r="H197" s="5">
        <v>7.4420000000000002</v>
      </c>
      <c r="I197" s="5">
        <v>206</v>
      </c>
      <c r="J197" s="5">
        <v>1.1930000000000001</v>
      </c>
      <c r="K197" s="5">
        <v>1198.9881700000001</v>
      </c>
      <c r="L197" s="5">
        <v>3.7480000000000002</v>
      </c>
      <c r="M197" s="5">
        <v>22.864999999999998</v>
      </c>
      <c r="N197" s="177">
        <v>41320.379754705915</v>
      </c>
      <c r="O197" s="4">
        <v>-7</v>
      </c>
    </row>
    <row r="198" spans="1:15" x14ac:dyDescent="0.25">
      <c r="A198" s="157">
        <v>41339.656944444447</v>
      </c>
      <c r="B198" s="5">
        <v>-5</v>
      </c>
      <c r="C198" s="5">
        <v>1300554</v>
      </c>
      <c r="D198" s="5" t="s">
        <v>1354</v>
      </c>
      <c r="E198" s="5" t="s">
        <v>110</v>
      </c>
      <c r="F198" s="5" t="b">
        <v>1</v>
      </c>
      <c r="G198" s="5" t="s">
        <v>1330</v>
      </c>
      <c r="H198" s="5">
        <v>7.6689999999999996</v>
      </c>
      <c r="I198" s="5">
        <v>213</v>
      </c>
      <c r="J198" s="5">
        <v>1.67</v>
      </c>
      <c r="K198" s="5">
        <v>1261.8691960000001</v>
      </c>
      <c r="L198" s="5">
        <v>3.2923</v>
      </c>
      <c r="M198" s="5">
        <v>24.236000000000001</v>
      </c>
      <c r="N198" s="177">
        <v>41345.033904092124</v>
      </c>
      <c r="O198" s="4">
        <v>-7</v>
      </c>
    </row>
    <row r="199" spans="1:15" x14ac:dyDescent="0.25">
      <c r="A199" s="157">
        <v>41339.677083333336</v>
      </c>
      <c r="B199" s="5">
        <v>-5</v>
      </c>
      <c r="C199" s="5">
        <v>1300552</v>
      </c>
      <c r="D199" s="5" t="s">
        <v>1360</v>
      </c>
      <c r="E199" s="5" t="s">
        <v>110</v>
      </c>
      <c r="F199" s="5" t="b">
        <v>1</v>
      </c>
      <c r="G199" s="5" t="s">
        <v>1330</v>
      </c>
      <c r="H199" s="5">
        <v>7.5709999999999997</v>
      </c>
      <c r="I199" s="5">
        <v>204</v>
      </c>
      <c r="J199" s="5">
        <v>1.53</v>
      </c>
      <c r="K199" s="5">
        <v>1250.794995</v>
      </c>
      <c r="L199" s="5">
        <v>3.6175999999999999</v>
      </c>
      <c r="M199" s="5">
        <v>23.332000000000001</v>
      </c>
      <c r="N199" s="177">
        <v>41348.633639514803</v>
      </c>
      <c r="O199" s="4">
        <v>-7</v>
      </c>
    </row>
    <row r="200" spans="1:15" x14ac:dyDescent="0.25">
      <c r="A200" s="157">
        <v>41339.689583333333</v>
      </c>
      <c r="B200" s="5">
        <v>-5</v>
      </c>
      <c r="C200" s="5">
        <v>1300553</v>
      </c>
      <c r="D200" s="5" t="s">
        <v>1359</v>
      </c>
      <c r="E200" s="5" t="s">
        <v>110</v>
      </c>
      <c r="F200" s="5" t="b">
        <v>1</v>
      </c>
      <c r="G200" s="5" t="s">
        <v>1330</v>
      </c>
      <c r="H200" s="5">
        <v>7.5970000000000004</v>
      </c>
      <c r="I200" s="5">
        <v>206</v>
      </c>
      <c r="J200" s="5">
        <v>1.617</v>
      </c>
      <c r="K200" s="5">
        <v>1180.2092090000001</v>
      </c>
      <c r="L200" s="5">
        <v>3.5535999999999999</v>
      </c>
      <c r="M200" s="5">
        <v>23.449000000000002</v>
      </c>
      <c r="N200" s="177">
        <v>41352.182902512672</v>
      </c>
      <c r="O200" s="4">
        <v>-7</v>
      </c>
    </row>
    <row r="201" spans="1:15" x14ac:dyDescent="0.25">
      <c r="A201" s="157">
        <v>41367.62777777778</v>
      </c>
      <c r="B201" s="5">
        <v>-4</v>
      </c>
      <c r="C201" s="5">
        <v>1300760</v>
      </c>
      <c r="D201" s="5" t="s">
        <v>1354</v>
      </c>
      <c r="E201" s="5" t="s">
        <v>110</v>
      </c>
      <c r="F201" s="5" t="b">
        <v>1</v>
      </c>
      <c r="G201" s="5" t="s">
        <v>1330</v>
      </c>
      <c r="H201" s="5">
        <v>7.53</v>
      </c>
      <c r="I201" s="5">
        <v>207</v>
      </c>
      <c r="J201" s="5">
        <v>1.19</v>
      </c>
      <c r="K201" s="5"/>
      <c r="L201" s="5">
        <v>3.4445999999999999</v>
      </c>
      <c r="M201" s="5">
        <v>24.001999999999999</v>
      </c>
      <c r="N201" s="177">
        <v>41373.293321998739</v>
      </c>
      <c r="O201" s="4">
        <v>-7</v>
      </c>
    </row>
    <row r="202" spans="1:15" x14ac:dyDescent="0.25">
      <c r="A202" s="157">
        <v>41367.648611111108</v>
      </c>
      <c r="B202" s="5">
        <v>-4</v>
      </c>
      <c r="C202" s="5">
        <v>1300758</v>
      </c>
      <c r="D202" s="5" t="s">
        <v>1360</v>
      </c>
      <c r="E202" s="5" t="s">
        <v>110</v>
      </c>
      <c r="F202" s="5" t="b">
        <v>1</v>
      </c>
      <c r="G202" s="5" t="s">
        <v>1330</v>
      </c>
      <c r="H202" s="5">
        <v>7.8079999999999998</v>
      </c>
      <c r="I202" s="5">
        <v>216</v>
      </c>
      <c r="J202" s="5">
        <v>1.2</v>
      </c>
      <c r="K202" s="5"/>
      <c r="L202" s="5">
        <v>3.7097000000000002</v>
      </c>
      <c r="M202" s="5">
        <v>24.966000000000001</v>
      </c>
      <c r="N202" s="177">
        <v>41385.199501416602</v>
      </c>
      <c r="O202" s="4">
        <v>-7</v>
      </c>
    </row>
    <row r="203" spans="1:15" x14ac:dyDescent="0.25">
      <c r="A203" s="157">
        <v>41367.662499999999</v>
      </c>
      <c r="B203" s="5">
        <v>-4</v>
      </c>
      <c r="C203" s="5">
        <v>1300759</v>
      </c>
      <c r="D203" s="5" t="s">
        <v>1359</v>
      </c>
      <c r="E203" s="5" t="s">
        <v>110</v>
      </c>
      <c r="F203" s="5" t="b">
        <v>1</v>
      </c>
      <c r="G203" s="5" t="s">
        <v>1330</v>
      </c>
      <c r="H203" s="5">
        <v>7.6189999999999998</v>
      </c>
      <c r="I203" s="5">
        <v>213</v>
      </c>
      <c r="J203" s="5">
        <v>1.21</v>
      </c>
      <c r="K203" s="5"/>
      <c r="L203" s="5">
        <v>3.7281</v>
      </c>
      <c r="M203" s="5">
        <v>23.614000000000001</v>
      </c>
      <c r="N203" s="177">
        <v>41382.141719430569</v>
      </c>
      <c r="O203" s="4">
        <v>-7</v>
      </c>
    </row>
    <row r="204" spans="1:15" x14ac:dyDescent="0.25">
      <c r="A204" s="157">
        <v>41373.586111111108</v>
      </c>
      <c r="B204" s="5">
        <v>-4</v>
      </c>
      <c r="C204" s="5">
        <v>1300773</v>
      </c>
      <c r="D204" s="5" t="s">
        <v>1355</v>
      </c>
      <c r="E204" s="5" t="s">
        <v>110</v>
      </c>
      <c r="F204" s="5" t="b">
        <v>1</v>
      </c>
      <c r="G204" s="5" t="s">
        <v>1330</v>
      </c>
      <c r="H204" s="5">
        <v>6.8650000000000002</v>
      </c>
      <c r="I204" s="5">
        <v>374</v>
      </c>
      <c r="J204" s="5"/>
      <c r="K204" s="5"/>
      <c r="L204" s="5">
        <v>1.8415999999999999</v>
      </c>
      <c r="M204" s="5">
        <v>41.084000000000003</v>
      </c>
      <c r="N204" s="177">
        <v>41375.437002875464</v>
      </c>
      <c r="O204" s="4">
        <v>-7</v>
      </c>
    </row>
    <row r="205" spans="1:15" x14ac:dyDescent="0.25">
      <c r="A205" s="157">
        <v>41373.614583333336</v>
      </c>
      <c r="B205" s="5">
        <v>-4</v>
      </c>
      <c r="C205" s="5">
        <v>1300774</v>
      </c>
      <c r="D205" s="5" t="s">
        <v>1356</v>
      </c>
      <c r="E205" s="5" t="s">
        <v>110</v>
      </c>
      <c r="F205" s="5" t="b">
        <v>1</v>
      </c>
      <c r="G205" s="5" t="s">
        <v>1330</v>
      </c>
      <c r="H205" s="5">
        <v>7.9509999999999996</v>
      </c>
      <c r="I205" s="5">
        <v>409</v>
      </c>
      <c r="J205" s="5">
        <v>1.85</v>
      </c>
      <c r="K205" s="5"/>
      <c r="L205" s="5">
        <v>9.5555000000000003</v>
      </c>
      <c r="M205" s="5">
        <v>38.442999999999998</v>
      </c>
      <c r="N205" s="177">
        <v>41384.642784286669</v>
      </c>
      <c r="O205" s="4">
        <v>-7</v>
      </c>
    </row>
    <row r="206" spans="1:15" x14ac:dyDescent="0.25">
      <c r="A206" s="157">
        <v>41376.208333333336</v>
      </c>
      <c r="B206" s="5">
        <v>-4</v>
      </c>
      <c r="C206" s="5">
        <v>1300790</v>
      </c>
      <c r="D206" s="5" t="s">
        <v>1357</v>
      </c>
      <c r="E206" s="5" t="s">
        <v>116</v>
      </c>
      <c r="F206" s="5" t="b">
        <v>1</v>
      </c>
      <c r="G206" s="5" t="s">
        <v>1440</v>
      </c>
      <c r="H206" s="5">
        <v>7.7240000000000002</v>
      </c>
      <c r="I206" s="5">
        <v>216</v>
      </c>
      <c r="J206" s="5">
        <v>1.87</v>
      </c>
      <c r="K206" s="5"/>
      <c r="L206" s="5">
        <v>3.3751000000000002</v>
      </c>
      <c r="M206" s="5">
        <v>26.1</v>
      </c>
      <c r="N206" s="177">
        <v>41376.412606740414</v>
      </c>
      <c r="O206" s="4">
        <v>-7</v>
      </c>
    </row>
    <row r="207" spans="1:15" x14ac:dyDescent="0.25">
      <c r="A207" s="157">
        <v>41376.375</v>
      </c>
      <c r="B207" s="5">
        <v>-4</v>
      </c>
      <c r="C207" s="5">
        <v>1300791</v>
      </c>
      <c r="D207" s="5" t="s">
        <v>1357</v>
      </c>
      <c r="E207" s="5" t="s">
        <v>116</v>
      </c>
      <c r="F207" s="5" t="b">
        <v>1</v>
      </c>
      <c r="G207" s="5" t="s">
        <v>1440</v>
      </c>
      <c r="H207" s="5">
        <v>7.7839999999999998</v>
      </c>
      <c r="I207" s="5">
        <v>204</v>
      </c>
      <c r="J207" s="5">
        <v>2.673</v>
      </c>
      <c r="K207" s="5"/>
      <c r="L207" s="5">
        <v>3.2637</v>
      </c>
      <c r="M207" s="5">
        <v>23.9</v>
      </c>
      <c r="N207" s="177">
        <v>41384.912963994306</v>
      </c>
      <c r="O207" s="4">
        <v>-7</v>
      </c>
    </row>
    <row r="208" spans="1:15" x14ac:dyDescent="0.25">
      <c r="A208" s="157">
        <v>41376.458333333336</v>
      </c>
      <c r="B208" s="5">
        <v>-4</v>
      </c>
      <c r="C208" s="5">
        <v>1300793</v>
      </c>
      <c r="D208" s="5" t="s">
        <v>1357</v>
      </c>
      <c r="E208" s="5" t="s">
        <v>116</v>
      </c>
      <c r="F208" s="5" t="b">
        <v>1</v>
      </c>
      <c r="G208" s="5" t="s">
        <v>1440</v>
      </c>
      <c r="H208" s="5">
        <v>7.6609999999999996</v>
      </c>
      <c r="I208" s="5">
        <v>198.8</v>
      </c>
      <c r="J208" s="5">
        <v>4.3070000000000004</v>
      </c>
      <c r="K208" s="5">
        <v>1137.1496400000001</v>
      </c>
      <c r="L208" s="5">
        <v>2.8711000000000002</v>
      </c>
      <c r="M208" s="5">
        <v>21.948</v>
      </c>
      <c r="N208" s="177">
        <v>41383.951878463071</v>
      </c>
      <c r="O208" s="4">
        <v>-7</v>
      </c>
    </row>
    <row r="209" spans="1:15" x14ac:dyDescent="0.25">
      <c r="A209" s="157">
        <v>41376.5</v>
      </c>
      <c r="B209" s="5">
        <v>-4</v>
      </c>
      <c r="C209" s="5">
        <v>1300794</v>
      </c>
      <c r="D209" s="5" t="s">
        <v>1357</v>
      </c>
      <c r="E209" s="5" t="s">
        <v>116</v>
      </c>
      <c r="F209" s="5" t="b">
        <v>1</v>
      </c>
      <c r="G209" s="5" t="s">
        <v>1440</v>
      </c>
      <c r="H209" s="5">
        <v>7.601</v>
      </c>
      <c r="I209" s="5">
        <v>191.6</v>
      </c>
      <c r="J209" s="5">
        <v>4.4029999999999996</v>
      </c>
      <c r="K209" s="5"/>
      <c r="L209" s="5">
        <v>2.8605999999999998</v>
      </c>
      <c r="M209" s="5">
        <v>20.984000000000002</v>
      </c>
      <c r="N209" s="177">
        <v>41380.311814477092</v>
      </c>
      <c r="O209" s="4">
        <v>-7</v>
      </c>
    </row>
    <row r="210" spans="1:15" x14ac:dyDescent="0.25">
      <c r="A210" s="157">
        <v>41376.625</v>
      </c>
      <c r="B210" s="5">
        <v>-4</v>
      </c>
      <c r="C210" s="5">
        <v>1300796</v>
      </c>
      <c r="D210" s="5" t="s">
        <v>1357</v>
      </c>
      <c r="E210" s="5" t="s">
        <v>116</v>
      </c>
      <c r="F210" s="5" t="b">
        <v>1</v>
      </c>
      <c r="G210" s="5" t="s">
        <v>1440</v>
      </c>
      <c r="H210" s="5">
        <v>7.66</v>
      </c>
      <c r="I210" s="5">
        <v>189.3</v>
      </c>
      <c r="J210" s="5">
        <v>6.4269999999999996</v>
      </c>
      <c r="K210" s="5"/>
      <c r="L210" s="5">
        <v>2.2480000000000002</v>
      </c>
      <c r="M210" s="5">
        <v>20.204999999999998</v>
      </c>
      <c r="N210" s="177">
        <v>41385.61292701582</v>
      </c>
      <c r="O210" s="4">
        <v>-7</v>
      </c>
    </row>
    <row r="211" spans="1:15" x14ac:dyDescent="0.25">
      <c r="A211" s="157">
        <v>41376.875</v>
      </c>
      <c r="B211" s="5">
        <v>-4</v>
      </c>
      <c r="C211" s="5">
        <v>1300797</v>
      </c>
      <c r="D211" s="5" t="s">
        <v>1357</v>
      </c>
      <c r="E211" s="5" t="s">
        <v>116</v>
      </c>
      <c r="F211" s="5" t="b">
        <v>1</v>
      </c>
      <c r="G211" s="5" t="s">
        <v>1440</v>
      </c>
      <c r="H211" s="5">
        <v>7.6539999999999999</v>
      </c>
      <c r="I211" s="5">
        <v>201</v>
      </c>
      <c r="J211" s="5">
        <v>4.6970000000000001</v>
      </c>
      <c r="K211" s="5"/>
      <c r="L211" s="5">
        <v>2.5741999999999998</v>
      </c>
      <c r="M211" s="5">
        <v>21.396999999999998</v>
      </c>
      <c r="N211" s="177">
        <v>41393.649848923706</v>
      </c>
      <c r="O211" s="4">
        <v>-7</v>
      </c>
    </row>
    <row r="212" spans="1:15" x14ac:dyDescent="0.25">
      <c r="A212" s="157">
        <v>41376.958333333336</v>
      </c>
      <c r="B212" s="5">
        <v>-4</v>
      </c>
      <c r="C212" s="5">
        <v>1300798</v>
      </c>
      <c r="D212" s="5" t="s">
        <v>1357</v>
      </c>
      <c r="E212" s="5" t="s">
        <v>116</v>
      </c>
      <c r="F212" s="5" t="b">
        <v>1</v>
      </c>
      <c r="G212" s="5" t="s">
        <v>1440</v>
      </c>
      <c r="H212" s="5">
        <v>7.6390000000000002</v>
      </c>
      <c r="I212" s="5">
        <v>197.9</v>
      </c>
      <c r="J212" s="5">
        <v>4.38</v>
      </c>
      <c r="K212" s="5"/>
      <c r="L212" s="5">
        <v>2.5</v>
      </c>
      <c r="M212" s="5">
        <v>20.559000000000001</v>
      </c>
      <c r="N212" s="177">
        <v>41396.678650830203</v>
      </c>
      <c r="O212" s="4">
        <v>-7</v>
      </c>
    </row>
    <row r="213" spans="1:15" x14ac:dyDescent="0.25">
      <c r="A213" s="157">
        <v>41377.041666666664</v>
      </c>
      <c r="B213" s="5">
        <v>-4</v>
      </c>
      <c r="C213" s="5">
        <v>1300799</v>
      </c>
      <c r="D213" s="5" t="s">
        <v>1357</v>
      </c>
      <c r="E213" s="5" t="s">
        <v>116</v>
      </c>
      <c r="F213" s="5" t="b">
        <v>1</v>
      </c>
      <c r="G213" s="5" t="s">
        <v>1440</v>
      </c>
      <c r="H213" s="5">
        <v>7.649</v>
      </c>
      <c r="I213" s="5">
        <v>173.1</v>
      </c>
      <c r="J213" s="5">
        <v>6.31</v>
      </c>
      <c r="K213" s="5"/>
      <c r="L213" s="5">
        <v>1.9328000000000001</v>
      </c>
      <c r="M213" s="5">
        <v>15.920999999999999</v>
      </c>
      <c r="N213" s="177">
        <v>41380.849151406183</v>
      </c>
      <c r="O213" s="4">
        <v>-7</v>
      </c>
    </row>
    <row r="214" spans="1:15" x14ac:dyDescent="0.25">
      <c r="A214" s="157">
        <v>41377.291666666664</v>
      </c>
      <c r="B214" s="5">
        <v>-4</v>
      </c>
      <c r="C214" s="5">
        <v>1300800</v>
      </c>
      <c r="D214" s="5" t="s">
        <v>1357</v>
      </c>
      <c r="E214" s="5" t="s">
        <v>116</v>
      </c>
      <c r="F214" s="5" t="b">
        <v>1</v>
      </c>
      <c r="G214" s="5" t="s">
        <v>1440</v>
      </c>
      <c r="H214" s="5">
        <v>7.548</v>
      </c>
      <c r="I214" s="5">
        <v>188.3</v>
      </c>
      <c r="J214" s="5">
        <v>6.14</v>
      </c>
      <c r="K214" s="5">
        <v>1062.7909440000001</v>
      </c>
      <c r="L214" s="5">
        <v>2.3155000000000001</v>
      </c>
      <c r="M214" s="5">
        <v>17.196999999999999</v>
      </c>
      <c r="N214" s="177">
        <v>41388.787785009306</v>
      </c>
      <c r="O214" s="4">
        <v>-7</v>
      </c>
    </row>
    <row r="215" spans="1:15" x14ac:dyDescent="0.25">
      <c r="A215" s="157">
        <v>41378.291666666664</v>
      </c>
      <c r="B215" s="5">
        <v>-4</v>
      </c>
      <c r="C215" s="5">
        <v>1300801</v>
      </c>
      <c r="D215" s="5" t="s">
        <v>1357</v>
      </c>
      <c r="E215" s="5" t="s">
        <v>116</v>
      </c>
      <c r="F215" s="5" t="b">
        <v>1</v>
      </c>
      <c r="G215" s="5" t="s">
        <v>1440</v>
      </c>
      <c r="H215" s="5">
        <v>7.6349999999999998</v>
      </c>
      <c r="I215" s="5">
        <v>223</v>
      </c>
      <c r="J215" s="5">
        <v>2.133</v>
      </c>
      <c r="K215" s="5"/>
      <c r="L215" s="5">
        <v>3.2155999999999998</v>
      </c>
      <c r="M215" s="5">
        <v>20.713000000000001</v>
      </c>
      <c r="N215" s="177">
        <v>41392.701670179325</v>
      </c>
      <c r="O215" s="4">
        <v>-7</v>
      </c>
    </row>
    <row r="216" spans="1:15" x14ac:dyDescent="0.25">
      <c r="A216" s="157">
        <v>41395.705555555556</v>
      </c>
      <c r="B216" s="5">
        <v>-4</v>
      </c>
      <c r="C216" s="5">
        <v>1301020</v>
      </c>
      <c r="D216" s="5" t="s">
        <v>1354</v>
      </c>
      <c r="E216" s="5" t="s">
        <v>110</v>
      </c>
      <c r="F216" s="5" t="b">
        <v>1</v>
      </c>
      <c r="G216" s="5" t="s">
        <v>1330</v>
      </c>
      <c r="H216" s="5">
        <v>7.8029999999999999</v>
      </c>
      <c r="I216" s="5">
        <v>204</v>
      </c>
      <c r="J216" s="5">
        <v>1.6970000000000001</v>
      </c>
      <c r="K216" s="5"/>
      <c r="L216" s="5">
        <v>3.0981999999999998</v>
      </c>
      <c r="M216" s="5">
        <v>21.475000000000001</v>
      </c>
      <c r="N216" s="177">
        <v>41405.479910360249</v>
      </c>
      <c r="O216" s="4">
        <v>-7</v>
      </c>
    </row>
    <row r="217" spans="1:15" x14ac:dyDescent="0.25">
      <c r="A217" s="157">
        <v>41395.725694444445</v>
      </c>
      <c r="B217" s="5">
        <v>-4</v>
      </c>
      <c r="C217" s="5">
        <v>1301018</v>
      </c>
      <c r="D217" s="5" t="s">
        <v>1360</v>
      </c>
      <c r="E217" s="5" t="s">
        <v>110</v>
      </c>
      <c r="F217" s="5" t="b">
        <v>1</v>
      </c>
      <c r="G217" s="5" t="s">
        <v>1330</v>
      </c>
      <c r="H217" s="5">
        <v>8.0640000000000001</v>
      </c>
      <c r="I217" s="5">
        <v>194.2</v>
      </c>
      <c r="J217" s="5">
        <v>1.69</v>
      </c>
      <c r="K217" s="5"/>
      <c r="L217" s="5">
        <v>3.3304999999999998</v>
      </c>
      <c r="M217" s="5">
        <v>21.611000000000001</v>
      </c>
      <c r="N217" s="177">
        <v>41410.508995244163</v>
      </c>
      <c r="O217" s="4">
        <v>-7</v>
      </c>
    </row>
    <row r="218" spans="1:15" x14ac:dyDescent="0.25">
      <c r="A218" s="157">
        <v>41395.741666666669</v>
      </c>
      <c r="B218" s="5">
        <v>-4</v>
      </c>
      <c r="C218" s="5">
        <v>1301019</v>
      </c>
      <c r="D218" s="5" t="s">
        <v>1359</v>
      </c>
      <c r="E218" s="5" t="s">
        <v>110</v>
      </c>
      <c r="F218" s="5" t="b">
        <v>1</v>
      </c>
      <c r="G218" s="5" t="s">
        <v>1330</v>
      </c>
      <c r="H218" s="5">
        <v>7.835</v>
      </c>
      <c r="I218" s="5">
        <v>198.7</v>
      </c>
      <c r="J218" s="5">
        <v>1.657</v>
      </c>
      <c r="K218" s="5"/>
      <c r="L218" s="5">
        <v>3.3799000000000001</v>
      </c>
      <c r="M218" s="5">
        <v>21.835000000000001</v>
      </c>
      <c r="N218" s="177">
        <v>41402.365270832488</v>
      </c>
      <c r="O218" s="4">
        <v>-7</v>
      </c>
    </row>
    <row r="219" spans="1:15" x14ac:dyDescent="0.25">
      <c r="A219" s="157">
        <v>41431.460416666669</v>
      </c>
      <c r="B219" s="5">
        <v>-4</v>
      </c>
      <c r="C219" s="5">
        <v>1301208</v>
      </c>
      <c r="D219" s="5" t="s">
        <v>1354</v>
      </c>
      <c r="E219" s="5" t="s">
        <v>110</v>
      </c>
      <c r="F219" s="5" t="b">
        <v>1</v>
      </c>
      <c r="G219" s="5" t="s">
        <v>1330</v>
      </c>
      <c r="H219" s="5">
        <v>7.6139999999999999</v>
      </c>
      <c r="I219" s="5">
        <v>209</v>
      </c>
      <c r="J219" s="5">
        <v>1.357</v>
      </c>
      <c r="K219" s="5">
        <v>1431.8408010000001</v>
      </c>
      <c r="L219" s="5">
        <v>3.4247999999999998</v>
      </c>
      <c r="M219" s="5">
        <v>23.745000000000001</v>
      </c>
      <c r="N219" s="177">
        <v>41433.836405561495</v>
      </c>
      <c r="O219" s="4">
        <v>-7</v>
      </c>
    </row>
    <row r="220" spans="1:15" x14ac:dyDescent="0.25">
      <c r="A220" s="157">
        <v>41431.475694444445</v>
      </c>
      <c r="B220" s="5">
        <v>-4</v>
      </c>
      <c r="C220" s="5">
        <v>1301207</v>
      </c>
      <c r="D220" s="5" t="s">
        <v>1359</v>
      </c>
      <c r="E220" s="5" t="s">
        <v>110</v>
      </c>
      <c r="F220" s="5" t="b">
        <v>1</v>
      </c>
      <c r="G220" s="5" t="s">
        <v>1330</v>
      </c>
      <c r="H220" s="5">
        <v>7.6619999999999999</v>
      </c>
      <c r="I220" s="5">
        <v>207</v>
      </c>
      <c r="J220" s="5">
        <v>1.41</v>
      </c>
      <c r="K220" s="5">
        <v>1336.4446</v>
      </c>
      <c r="L220" s="5">
        <v>3.6886999999999999</v>
      </c>
      <c r="M220" s="5">
        <v>22.12</v>
      </c>
      <c r="N220" s="177">
        <v>41447.475768037715</v>
      </c>
      <c r="O220" s="4">
        <v>-7</v>
      </c>
    </row>
    <row r="221" spans="1:15" x14ac:dyDescent="0.25">
      <c r="A221" s="157">
        <v>41431.49722222222</v>
      </c>
      <c r="B221" s="5">
        <v>-4</v>
      </c>
      <c r="C221" s="5">
        <v>1301206</v>
      </c>
      <c r="D221" s="5" t="s">
        <v>1360</v>
      </c>
      <c r="E221" s="5" t="s">
        <v>110</v>
      </c>
      <c r="F221" s="5" t="b">
        <v>1</v>
      </c>
      <c r="G221" s="5" t="s">
        <v>1330</v>
      </c>
      <c r="H221" s="5">
        <v>7.8940000000000001</v>
      </c>
      <c r="I221" s="5">
        <v>214</v>
      </c>
      <c r="J221" s="5">
        <v>1.47</v>
      </c>
      <c r="K221" s="5">
        <v>1406.2586759999999</v>
      </c>
      <c r="L221" s="5">
        <v>3.5849000000000002</v>
      </c>
      <c r="M221" s="5">
        <v>22.628</v>
      </c>
      <c r="N221" s="177">
        <v>41433.141384822076</v>
      </c>
      <c r="O221" s="4">
        <v>-7</v>
      </c>
    </row>
    <row r="222" spans="1:15" x14ac:dyDescent="0.25">
      <c r="A222" s="157">
        <v>41431.791666666664</v>
      </c>
      <c r="B222" s="5">
        <v>-4</v>
      </c>
      <c r="C222" s="5">
        <v>1301235</v>
      </c>
      <c r="D222" s="5" t="s">
        <v>1357</v>
      </c>
      <c r="E222" s="5" t="s">
        <v>116</v>
      </c>
      <c r="F222" s="5" t="b">
        <v>1</v>
      </c>
      <c r="G222" s="5" t="s">
        <v>1435</v>
      </c>
      <c r="H222" s="5">
        <v>7.9710000000000001</v>
      </c>
      <c r="I222" s="5">
        <v>223</v>
      </c>
      <c r="J222" s="5">
        <v>2.2010000000000001</v>
      </c>
      <c r="K222" s="5">
        <v>1333.151728</v>
      </c>
      <c r="L222" s="5">
        <v>3.5996999999999999</v>
      </c>
      <c r="M222" s="5">
        <v>21.72</v>
      </c>
      <c r="N222" s="177">
        <v>41442.885832333435</v>
      </c>
      <c r="O222" s="4">
        <v>-7</v>
      </c>
    </row>
    <row r="223" spans="1:15" x14ac:dyDescent="0.25">
      <c r="A223" s="157">
        <v>41432.25</v>
      </c>
      <c r="B223" s="5">
        <v>-4</v>
      </c>
      <c r="C223" s="5">
        <v>1301236</v>
      </c>
      <c r="D223" s="5" t="s">
        <v>1357</v>
      </c>
      <c r="E223" s="5" t="s">
        <v>116</v>
      </c>
      <c r="F223" s="5" t="b">
        <v>1</v>
      </c>
      <c r="G223" s="5" t="s">
        <v>1435</v>
      </c>
      <c r="H223" s="5">
        <v>7.5430000000000001</v>
      </c>
      <c r="I223" s="5">
        <v>171.3</v>
      </c>
      <c r="J223" s="5">
        <v>8.7469999999999999</v>
      </c>
      <c r="K223" s="5">
        <v>1054.154583</v>
      </c>
      <c r="L223" s="5">
        <v>1.8902000000000001</v>
      </c>
      <c r="M223" s="5">
        <v>17.933</v>
      </c>
      <c r="N223" s="177">
        <v>41438.311872527163</v>
      </c>
      <c r="O223" s="4">
        <v>-7</v>
      </c>
    </row>
    <row r="224" spans="1:15" x14ac:dyDescent="0.25">
      <c r="A224" s="157">
        <v>41432.375</v>
      </c>
      <c r="B224" s="5">
        <v>-4</v>
      </c>
      <c r="C224" s="5">
        <v>1301237</v>
      </c>
      <c r="D224" s="5" t="s">
        <v>1357</v>
      </c>
      <c r="E224" s="5" t="s">
        <v>116</v>
      </c>
      <c r="F224" s="5" t="b">
        <v>1</v>
      </c>
      <c r="G224" s="5" t="s">
        <v>1435</v>
      </c>
      <c r="H224" s="5">
        <v>7.601</v>
      </c>
      <c r="I224" s="5">
        <v>169.5</v>
      </c>
      <c r="J224" s="5">
        <v>13.026999999999999</v>
      </c>
      <c r="K224" s="5">
        <v>708.30890950000003</v>
      </c>
      <c r="L224" s="5">
        <v>2.3527999999999998</v>
      </c>
      <c r="M224" s="5">
        <v>12.269</v>
      </c>
      <c r="N224" s="177">
        <v>41439.922122451768</v>
      </c>
      <c r="O224" s="4">
        <v>-7</v>
      </c>
    </row>
    <row r="225" spans="1:15" x14ac:dyDescent="0.25">
      <c r="A225" s="157">
        <v>41432.5</v>
      </c>
      <c r="B225" s="5">
        <v>-4</v>
      </c>
      <c r="C225" s="5">
        <v>1301238</v>
      </c>
      <c r="D225" s="5" t="s">
        <v>1357</v>
      </c>
      <c r="E225" s="5" t="s">
        <v>116</v>
      </c>
      <c r="F225" s="5" t="b">
        <v>1</v>
      </c>
      <c r="G225" s="5" t="s">
        <v>1435</v>
      </c>
      <c r="H225" s="5">
        <v>7.3920000000000003</v>
      </c>
      <c r="I225" s="5">
        <v>131</v>
      </c>
      <c r="J225" s="5">
        <v>13.227</v>
      </c>
      <c r="K225" s="5">
        <v>698.58068509999998</v>
      </c>
      <c r="L225" s="5">
        <v>2.6922999999999999</v>
      </c>
      <c r="M225" s="5">
        <v>11.375</v>
      </c>
      <c r="N225" s="177">
        <v>41440.987023812595</v>
      </c>
      <c r="O225" s="4">
        <v>-7</v>
      </c>
    </row>
    <row r="226" spans="1:15" x14ac:dyDescent="0.25">
      <c r="A226" s="157">
        <v>41432.625</v>
      </c>
      <c r="B226" s="5">
        <v>-4</v>
      </c>
      <c r="C226" s="5">
        <v>1301239</v>
      </c>
      <c r="D226" s="5" t="s">
        <v>1357</v>
      </c>
      <c r="E226" s="5" t="s">
        <v>116</v>
      </c>
      <c r="F226" s="5" t="b">
        <v>1</v>
      </c>
      <c r="G226" s="5" t="s">
        <v>1435</v>
      </c>
      <c r="H226" s="5">
        <v>7.2110000000000003</v>
      </c>
      <c r="I226" s="5">
        <v>141.30000000000001</v>
      </c>
      <c r="J226" s="5"/>
      <c r="K226" s="5">
        <v>668.24292530000002</v>
      </c>
      <c r="L226" s="5">
        <v>4.4363999999999999</v>
      </c>
      <c r="M226" s="5">
        <v>13.464</v>
      </c>
      <c r="N226" s="177">
        <v>41448.8693680711</v>
      </c>
      <c r="O226" s="4">
        <v>-7</v>
      </c>
    </row>
    <row r="227" spans="1:15" x14ac:dyDescent="0.25">
      <c r="A227" s="157">
        <v>41432.625</v>
      </c>
      <c r="B227" s="5">
        <v>-4</v>
      </c>
      <c r="C227" s="5">
        <v>1301239</v>
      </c>
      <c r="D227" s="5" t="s">
        <v>1357</v>
      </c>
      <c r="E227" s="5" t="s">
        <v>116</v>
      </c>
      <c r="F227" s="5" t="b">
        <v>1</v>
      </c>
      <c r="G227" s="5" t="s">
        <v>1435</v>
      </c>
      <c r="H227" s="5">
        <v>7.2110000000000003</v>
      </c>
      <c r="I227" s="5">
        <v>141.30000000000001</v>
      </c>
      <c r="J227" s="5"/>
      <c r="K227" s="5">
        <v>668.24292530000002</v>
      </c>
      <c r="L227" s="5">
        <v>4.4363999999999999</v>
      </c>
      <c r="M227" s="5">
        <v>13.464</v>
      </c>
      <c r="N227" s="177">
        <v>41448.121639685443</v>
      </c>
      <c r="O227" s="4">
        <v>-7</v>
      </c>
    </row>
    <row r="228" spans="1:15" x14ac:dyDescent="0.25">
      <c r="A228" s="157">
        <v>41432.708333333336</v>
      </c>
      <c r="B228" s="5">
        <v>-4</v>
      </c>
      <c r="C228" s="5">
        <v>1301240</v>
      </c>
      <c r="D228" s="5" t="s">
        <v>1357</v>
      </c>
      <c r="E228" s="5" t="s">
        <v>116</v>
      </c>
      <c r="F228" s="5" t="b">
        <v>1</v>
      </c>
      <c r="G228" s="5" t="s">
        <v>1435</v>
      </c>
      <c r="H228" s="5">
        <v>7.0330000000000004</v>
      </c>
      <c r="I228" s="5">
        <v>110.5</v>
      </c>
      <c r="J228" s="5">
        <v>13.173</v>
      </c>
      <c r="K228" s="5">
        <v>482.83258810000001</v>
      </c>
      <c r="L228" s="5">
        <v>4.0945999999999998</v>
      </c>
      <c r="M228" s="5">
        <v>9.9429999999999996</v>
      </c>
      <c r="N228" s="177">
        <v>41444.246640088037</v>
      </c>
      <c r="O228" s="4">
        <v>-7</v>
      </c>
    </row>
    <row r="229" spans="1:15" x14ac:dyDescent="0.25">
      <c r="A229" s="157">
        <v>41432.791666666664</v>
      </c>
      <c r="B229" s="5">
        <v>-4</v>
      </c>
      <c r="C229" s="5">
        <v>1301241</v>
      </c>
      <c r="D229" s="5" t="s">
        <v>1357</v>
      </c>
      <c r="E229" s="5" t="s">
        <v>116</v>
      </c>
      <c r="F229" s="5" t="b">
        <v>1</v>
      </c>
      <c r="G229" s="5" t="s">
        <v>1435</v>
      </c>
      <c r="H229" s="5">
        <v>7.0860000000000003</v>
      </c>
      <c r="I229" s="5">
        <v>99.9</v>
      </c>
      <c r="J229" s="5">
        <v>12.307</v>
      </c>
      <c r="K229" s="5">
        <v>536.04568099999995</v>
      </c>
      <c r="L229" s="5">
        <v>2.7509999999999999</v>
      </c>
      <c r="M229" s="5">
        <v>9.1829999999999998</v>
      </c>
      <c r="N229" s="177">
        <v>41446.253482887165</v>
      </c>
      <c r="O229" s="4">
        <v>-7</v>
      </c>
    </row>
    <row r="230" spans="1:15" x14ac:dyDescent="0.25">
      <c r="A230" s="157">
        <v>41433</v>
      </c>
      <c r="B230" s="5">
        <v>-4</v>
      </c>
      <c r="C230" s="5">
        <v>1301242</v>
      </c>
      <c r="D230" s="5" t="s">
        <v>1357</v>
      </c>
      <c r="E230" s="5" t="s">
        <v>116</v>
      </c>
      <c r="F230" s="5" t="b">
        <v>1</v>
      </c>
      <c r="G230" s="5" t="s">
        <v>1435</v>
      </c>
      <c r="H230" s="5">
        <v>7.2610000000000001</v>
      </c>
      <c r="I230" s="5">
        <v>119.8</v>
      </c>
      <c r="J230" s="5">
        <v>12.186999999999999</v>
      </c>
      <c r="K230" s="5">
        <v>722.85060510000005</v>
      </c>
      <c r="L230" s="5">
        <v>2.2509000000000001</v>
      </c>
      <c r="M230" s="5">
        <v>10.645</v>
      </c>
      <c r="N230" s="177">
        <v>41445.692649156794</v>
      </c>
      <c r="O230" s="4">
        <v>-7</v>
      </c>
    </row>
    <row r="231" spans="1:15" x14ac:dyDescent="0.25">
      <c r="A231" s="157">
        <v>41433.166666666664</v>
      </c>
      <c r="B231" s="5">
        <v>-4</v>
      </c>
      <c r="C231" s="5">
        <v>1301243</v>
      </c>
      <c r="D231" s="5" t="s">
        <v>1357</v>
      </c>
      <c r="E231" s="5" t="s">
        <v>116</v>
      </c>
      <c r="F231" s="5" t="b">
        <v>1</v>
      </c>
      <c r="G231" s="5" t="s">
        <v>1435</v>
      </c>
      <c r="H231" s="5">
        <v>7.39</v>
      </c>
      <c r="I231" s="5">
        <v>143.69999999999999</v>
      </c>
      <c r="J231" s="5">
        <v>10.547000000000001</v>
      </c>
      <c r="K231" s="5">
        <v>857.75795779999999</v>
      </c>
      <c r="L231" s="5">
        <v>2.6513</v>
      </c>
      <c r="M231" s="5">
        <v>14.629</v>
      </c>
      <c r="N231" s="177">
        <v>41444.332539131166</v>
      </c>
      <c r="O231" s="4">
        <v>-7</v>
      </c>
    </row>
    <row r="232" spans="1:15" x14ac:dyDescent="0.25">
      <c r="A232" s="157">
        <v>41433.583333333336</v>
      </c>
      <c r="B232" s="5">
        <v>-4</v>
      </c>
      <c r="C232" s="5">
        <v>1301244</v>
      </c>
      <c r="D232" s="5" t="s">
        <v>1357</v>
      </c>
      <c r="E232" s="5" t="s">
        <v>116</v>
      </c>
      <c r="F232" s="5" t="b">
        <v>1</v>
      </c>
      <c r="G232" s="5" t="s">
        <v>1435</v>
      </c>
      <c r="H232" s="5">
        <v>7.5439999999999996</v>
      </c>
      <c r="I232" s="5">
        <v>177.2</v>
      </c>
      <c r="J232" s="5">
        <v>6.2670000000000003</v>
      </c>
      <c r="K232" s="5">
        <v>1071.9127880000001</v>
      </c>
      <c r="L232" s="5">
        <v>2.6074000000000002</v>
      </c>
      <c r="M232" s="5">
        <v>17.486000000000001</v>
      </c>
      <c r="N232" s="177">
        <v>41436.849384985268</v>
      </c>
      <c r="O232" s="4">
        <v>-7</v>
      </c>
    </row>
    <row r="233" spans="1:15" x14ac:dyDescent="0.25">
      <c r="A233" s="157">
        <v>41435.791666666664</v>
      </c>
      <c r="B233" s="5">
        <v>-4</v>
      </c>
      <c r="C233" s="5">
        <v>1301251</v>
      </c>
      <c r="D233" s="5" t="s">
        <v>1357</v>
      </c>
      <c r="E233" s="5" t="s">
        <v>116</v>
      </c>
      <c r="F233" s="5" t="b">
        <v>1</v>
      </c>
      <c r="G233" s="5" t="s">
        <v>1440</v>
      </c>
      <c r="H233" s="5">
        <v>7.4950000000000001</v>
      </c>
      <c r="I233" s="5">
        <v>128.6</v>
      </c>
      <c r="J233" s="5">
        <v>12.733000000000001</v>
      </c>
      <c r="K233" s="5"/>
      <c r="L233" s="5">
        <v>1.7795000000000001</v>
      </c>
      <c r="M233" s="5"/>
      <c r="N233" s="177">
        <v>41448.177683258422</v>
      </c>
      <c r="O233" s="4">
        <v>-7</v>
      </c>
    </row>
    <row r="234" spans="1:15" x14ac:dyDescent="0.25">
      <c r="A234" s="157">
        <v>41436</v>
      </c>
      <c r="B234" s="5">
        <v>-4</v>
      </c>
      <c r="C234" s="5">
        <v>1301252</v>
      </c>
      <c r="D234" s="5" t="s">
        <v>1357</v>
      </c>
      <c r="E234" s="5" t="s">
        <v>116</v>
      </c>
      <c r="F234" s="5" t="b">
        <v>1</v>
      </c>
      <c r="G234" s="5" t="s">
        <v>1440</v>
      </c>
      <c r="H234" s="5">
        <v>7.3490000000000002</v>
      </c>
      <c r="I234" s="5">
        <v>124.8</v>
      </c>
      <c r="J234" s="5">
        <v>14.253</v>
      </c>
      <c r="K234" s="5"/>
      <c r="L234" s="5">
        <v>1.5599000000000001</v>
      </c>
      <c r="M234" s="5"/>
      <c r="N234" s="177">
        <v>41448.603653672071</v>
      </c>
      <c r="O234" s="4">
        <v>-7</v>
      </c>
    </row>
    <row r="235" spans="1:15" x14ac:dyDescent="0.25">
      <c r="A235" s="157">
        <v>41436.041666666664</v>
      </c>
      <c r="B235" s="5">
        <v>-4</v>
      </c>
      <c r="C235" s="5">
        <v>1301253</v>
      </c>
      <c r="D235" s="5" t="s">
        <v>1357</v>
      </c>
      <c r="E235" s="5" t="s">
        <v>116</v>
      </c>
      <c r="F235" s="5" t="b">
        <v>1</v>
      </c>
      <c r="G235" s="5" t="s">
        <v>1440</v>
      </c>
      <c r="H235" s="5">
        <v>7.306</v>
      </c>
      <c r="I235" s="5">
        <v>29.1</v>
      </c>
      <c r="J235" s="5">
        <v>13.6</v>
      </c>
      <c r="K235" s="5"/>
      <c r="L235" s="5">
        <v>1.3868</v>
      </c>
      <c r="M235" s="5"/>
      <c r="N235" s="177">
        <v>41438.691338577722</v>
      </c>
      <c r="O235" s="4">
        <v>-7</v>
      </c>
    </row>
    <row r="236" spans="1:15" x14ac:dyDescent="0.25">
      <c r="A236" s="157">
        <v>41465.607638888891</v>
      </c>
      <c r="B236" s="5">
        <v>-4</v>
      </c>
      <c r="C236" s="5">
        <v>1301419</v>
      </c>
      <c r="D236" s="5" t="s">
        <v>1354</v>
      </c>
      <c r="E236" s="5" t="s">
        <v>110</v>
      </c>
      <c r="F236" s="5" t="b">
        <v>1</v>
      </c>
      <c r="G236" s="5" t="s">
        <v>1330</v>
      </c>
      <c r="H236" s="5">
        <v>8.2080000000000002</v>
      </c>
      <c r="I236" s="5">
        <v>231</v>
      </c>
      <c r="J236" s="5">
        <v>2.73</v>
      </c>
      <c r="K236" s="5"/>
      <c r="L236" s="5">
        <v>2.9634</v>
      </c>
      <c r="M236" s="5">
        <v>21.628</v>
      </c>
      <c r="N236" s="177">
        <v>41468.697808796431</v>
      </c>
      <c r="O236" s="4">
        <v>-7</v>
      </c>
    </row>
    <row r="237" spans="1:15" x14ac:dyDescent="0.25">
      <c r="A237" s="157">
        <v>41465.642361111109</v>
      </c>
      <c r="B237" s="5">
        <v>-4</v>
      </c>
      <c r="C237" s="5">
        <v>1301417</v>
      </c>
      <c r="D237" s="5" t="s">
        <v>1360</v>
      </c>
      <c r="E237" s="5" t="s">
        <v>110</v>
      </c>
      <c r="F237" s="5" t="b">
        <v>1</v>
      </c>
      <c r="G237" s="5" t="s">
        <v>1330</v>
      </c>
      <c r="H237" s="5">
        <v>8.2639999999999993</v>
      </c>
      <c r="I237" s="5">
        <v>244</v>
      </c>
      <c r="J237" s="5">
        <v>2.8029999999999999</v>
      </c>
      <c r="K237" s="5"/>
      <c r="L237" s="5">
        <v>3.1842000000000001</v>
      </c>
      <c r="M237" s="5">
        <v>22.908000000000001</v>
      </c>
      <c r="N237" s="177">
        <v>41474.849362719353</v>
      </c>
      <c r="O237" s="4">
        <v>-7</v>
      </c>
    </row>
    <row r="238" spans="1:15" x14ac:dyDescent="0.25">
      <c r="A238" s="157">
        <v>41465.654861111114</v>
      </c>
      <c r="B238" s="5">
        <v>-4</v>
      </c>
      <c r="C238" s="5">
        <v>1301418</v>
      </c>
      <c r="D238" s="5" t="s">
        <v>1359</v>
      </c>
      <c r="E238" s="5" t="s">
        <v>110</v>
      </c>
      <c r="F238" s="5" t="b">
        <v>1</v>
      </c>
      <c r="G238" s="5" t="s">
        <v>1330</v>
      </c>
      <c r="H238" s="5">
        <v>8.1980000000000004</v>
      </c>
      <c r="I238" s="5">
        <v>237</v>
      </c>
      <c r="J238" s="5">
        <v>2.7669999999999999</v>
      </c>
      <c r="K238" s="5"/>
      <c r="L238" s="5">
        <v>3.2263999999999999</v>
      </c>
      <c r="M238" s="5">
        <v>20.643999999999998</v>
      </c>
      <c r="N238" s="177">
        <v>41467.567097415238</v>
      </c>
      <c r="O238" s="4">
        <v>-7</v>
      </c>
    </row>
    <row r="239" spans="1:15" x14ac:dyDescent="0.25">
      <c r="A239" s="157">
        <v>41492.619444444441</v>
      </c>
      <c r="B239" s="5">
        <v>-4</v>
      </c>
      <c r="C239" s="5">
        <v>1301708</v>
      </c>
      <c r="D239" s="5" t="s">
        <v>1355</v>
      </c>
      <c r="E239" s="5" t="s">
        <v>110</v>
      </c>
      <c r="F239" s="5" t="b">
        <v>1</v>
      </c>
      <c r="G239" s="5" t="s">
        <v>1436</v>
      </c>
      <c r="H239" s="5">
        <v>7.226</v>
      </c>
      <c r="I239" s="5">
        <v>251</v>
      </c>
      <c r="J239" s="5">
        <v>5.9329999999999998</v>
      </c>
      <c r="K239" s="5"/>
      <c r="L239" s="5">
        <v>1.0343</v>
      </c>
      <c r="M239" s="5">
        <v>26.114999999999998</v>
      </c>
      <c r="N239" s="177">
        <v>41509.901982017996</v>
      </c>
      <c r="O239" s="4">
        <v>-7</v>
      </c>
    </row>
    <row r="240" spans="1:15" x14ac:dyDescent="0.25">
      <c r="A240" s="157">
        <v>41492.708333333336</v>
      </c>
      <c r="B240" s="5">
        <v>-4</v>
      </c>
      <c r="C240" s="5">
        <v>1301709</v>
      </c>
      <c r="D240" s="5" t="s">
        <v>1356</v>
      </c>
      <c r="E240" s="5" t="s">
        <v>110</v>
      </c>
      <c r="F240" s="5" t="b">
        <v>1</v>
      </c>
      <c r="G240" s="5" t="s">
        <v>1330</v>
      </c>
      <c r="H240" s="5">
        <v>7.4089999999999998</v>
      </c>
      <c r="I240" s="5">
        <v>416</v>
      </c>
      <c r="J240" s="5">
        <v>2.06</v>
      </c>
      <c r="K240" s="5"/>
      <c r="L240" s="5">
        <v>9.3663000000000007</v>
      </c>
      <c r="M240" s="5">
        <v>35.563000000000002</v>
      </c>
      <c r="N240" s="177">
        <v>41500.087596049438</v>
      </c>
      <c r="O240" s="4">
        <v>-7</v>
      </c>
    </row>
    <row r="241" spans="1:15" x14ac:dyDescent="0.25">
      <c r="A241" s="157">
        <v>41493.674305555556</v>
      </c>
      <c r="B241" s="5">
        <v>-4</v>
      </c>
      <c r="C241" s="5">
        <v>1301736</v>
      </c>
      <c r="D241" s="5" t="s">
        <v>1354</v>
      </c>
      <c r="E241" s="5" t="s">
        <v>110</v>
      </c>
      <c r="F241" s="5" t="b">
        <v>1</v>
      </c>
      <c r="G241" s="5" t="s">
        <v>1330</v>
      </c>
      <c r="H241" s="5">
        <v>8.109</v>
      </c>
      <c r="I241" s="5">
        <v>223</v>
      </c>
      <c r="J241" s="5">
        <v>1.597</v>
      </c>
      <c r="K241" s="5"/>
      <c r="L241" s="5">
        <v>3.3509000000000002</v>
      </c>
      <c r="M241" s="5">
        <v>22.686</v>
      </c>
      <c r="N241" s="177">
        <v>41495.56485670527</v>
      </c>
      <c r="O241" s="4">
        <v>-7</v>
      </c>
    </row>
    <row r="242" spans="1:15" x14ac:dyDescent="0.25">
      <c r="A242" s="157">
        <v>41493.691666666666</v>
      </c>
      <c r="B242" s="5">
        <v>-4</v>
      </c>
      <c r="C242" s="5">
        <v>1301734</v>
      </c>
      <c r="D242" s="5" t="s">
        <v>1360</v>
      </c>
      <c r="E242" s="5" t="s">
        <v>110</v>
      </c>
      <c r="F242" s="5" t="b">
        <v>1</v>
      </c>
      <c r="G242" s="5" t="s">
        <v>1330</v>
      </c>
      <c r="H242" s="5">
        <v>7.867</v>
      </c>
      <c r="I242" s="5">
        <v>254</v>
      </c>
      <c r="J242" s="5">
        <v>1.593</v>
      </c>
      <c r="K242" s="5"/>
      <c r="L242" s="5">
        <v>3.5964999999999998</v>
      </c>
      <c r="M242" s="5">
        <v>21.986999999999998</v>
      </c>
      <c r="N242" s="177">
        <v>41509.287345565026</v>
      </c>
      <c r="O242" s="4">
        <v>-7</v>
      </c>
    </row>
    <row r="243" spans="1:15" x14ac:dyDescent="0.25">
      <c r="A243" s="157">
        <v>41493.705555555556</v>
      </c>
      <c r="B243" s="5">
        <v>-4</v>
      </c>
      <c r="C243" s="5">
        <v>1301735</v>
      </c>
      <c r="D243" s="5" t="s">
        <v>1359</v>
      </c>
      <c r="E243" s="5" t="s">
        <v>110</v>
      </c>
      <c r="F243" s="5" t="b">
        <v>1</v>
      </c>
      <c r="G243" s="5" t="s">
        <v>1330</v>
      </c>
      <c r="H243" s="5">
        <v>7.7510000000000003</v>
      </c>
      <c r="I243" s="5">
        <v>217</v>
      </c>
      <c r="J243" s="5">
        <v>1.597</v>
      </c>
      <c r="K243" s="5"/>
      <c r="L243" s="5">
        <v>3.6476999999999999</v>
      </c>
      <c r="M243" s="5">
        <v>21.925000000000001</v>
      </c>
      <c r="N243" s="177">
        <v>41497.693616098397</v>
      </c>
      <c r="O243" s="4">
        <v>-7</v>
      </c>
    </row>
    <row r="244" spans="1:15" x14ac:dyDescent="0.25">
      <c r="A244" s="157">
        <v>41521.659722222219</v>
      </c>
      <c r="B244" s="5">
        <v>-4</v>
      </c>
      <c r="C244" s="5">
        <v>1302002</v>
      </c>
      <c r="D244" s="5" t="s">
        <v>1354</v>
      </c>
      <c r="E244" s="5" t="s">
        <v>110</v>
      </c>
      <c r="F244" s="5" t="b">
        <v>1</v>
      </c>
      <c r="G244" s="5" t="s">
        <v>1330</v>
      </c>
      <c r="H244" s="5">
        <v>7.5359999999999996</v>
      </c>
      <c r="I244" s="5">
        <v>229</v>
      </c>
      <c r="J244" s="5">
        <v>1.46</v>
      </c>
      <c r="K244" s="5"/>
      <c r="L244" s="5">
        <v>3.4495</v>
      </c>
      <c r="M244" s="5">
        <v>21.396000000000001</v>
      </c>
      <c r="N244" s="177">
        <v>41536.272410365898</v>
      </c>
      <c r="O244" s="4">
        <v>-7</v>
      </c>
    </row>
    <row r="245" spans="1:15" x14ac:dyDescent="0.25">
      <c r="A245" s="157">
        <v>41521.682638888888</v>
      </c>
      <c r="B245" s="5">
        <v>-4</v>
      </c>
      <c r="C245" s="5">
        <v>1302000</v>
      </c>
      <c r="D245" s="5" t="s">
        <v>1360</v>
      </c>
      <c r="E245" s="5" t="s">
        <v>110</v>
      </c>
      <c r="F245" s="5" t="b">
        <v>1</v>
      </c>
      <c r="G245" s="5" t="s">
        <v>1330</v>
      </c>
      <c r="H245" s="5">
        <v>7.9080000000000004</v>
      </c>
      <c r="I245" s="5">
        <v>218</v>
      </c>
      <c r="J245" s="5">
        <v>1.5369999999999999</v>
      </c>
      <c r="K245" s="5"/>
      <c r="L245" s="5">
        <v>3.5737999999999999</v>
      </c>
      <c r="M245" s="5">
        <v>23.481000000000002</v>
      </c>
      <c r="N245" s="177">
        <v>41531.763984493307</v>
      </c>
      <c r="O245" s="4">
        <v>-7</v>
      </c>
    </row>
    <row r="246" spans="1:15" x14ac:dyDescent="0.25">
      <c r="A246" s="157">
        <v>41521.700694444444</v>
      </c>
      <c r="B246" s="5">
        <v>-4</v>
      </c>
      <c r="C246" s="5">
        <v>1302001</v>
      </c>
      <c r="D246" s="5" t="s">
        <v>1359</v>
      </c>
      <c r="E246" s="5" t="s">
        <v>110</v>
      </c>
      <c r="F246" s="5" t="b">
        <v>1</v>
      </c>
      <c r="G246" s="5" t="s">
        <v>1330</v>
      </c>
      <c r="H246" s="5">
        <v>7.806</v>
      </c>
      <c r="I246" s="5">
        <v>224</v>
      </c>
      <c r="J246" s="5">
        <v>1.5229999999999999</v>
      </c>
      <c r="K246" s="5"/>
      <c r="L246" s="5">
        <v>3.6760999999999999</v>
      </c>
      <c r="M246" s="5">
        <v>20.806000000000001</v>
      </c>
      <c r="N246" s="177">
        <v>41532.787934670625</v>
      </c>
      <c r="O246" s="4">
        <v>-7</v>
      </c>
    </row>
    <row r="247" spans="1:15" x14ac:dyDescent="0.25">
      <c r="A247" s="157">
        <v>41549.572222222225</v>
      </c>
      <c r="B247" s="5">
        <v>-4</v>
      </c>
      <c r="C247" s="5">
        <v>1302171</v>
      </c>
      <c r="D247" s="5" t="s">
        <v>1354</v>
      </c>
      <c r="E247" s="5" t="s">
        <v>110</v>
      </c>
      <c r="F247" s="5" t="b">
        <v>1</v>
      </c>
      <c r="G247" s="5" t="s">
        <v>1330</v>
      </c>
      <c r="H247" s="5">
        <v>7.6239999999999997</v>
      </c>
      <c r="I247" s="5">
        <v>207</v>
      </c>
      <c r="J247" s="5">
        <v>1.333</v>
      </c>
      <c r="K247" s="5"/>
      <c r="L247" s="5">
        <v>3.4622000000000002</v>
      </c>
      <c r="M247" s="5">
        <v>21.498999999999999</v>
      </c>
      <c r="N247" s="177">
        <v>41561.746675060458</v>
      </c>
      <c r="O247" s="4">
        <v>-7</v>
      </c>
    </row>
    <row r="248" spans="1:15" x14ac:dyDescent="0.25">
      <c r="A248" s="157">
        <v>41549.586805555555</v>
      </c>
      <c r="B248" s="5">
        <v>-4</v>
      </c>
      <c r="C248" s="5">
        <v>1302170</v>
      </c>
      <c r="D248" s="5" t="s">
        <v>1359</v>
      </c>
      <c r="E248" s="5" t="s">
        <v>110</v>
      </c>
      <c r="F248" s="5" t="b">
        <v>1</v>
      </c>
      <c r="G248" s="5" t="s">
        <v>1330</v>
      </c>
      <c r="H248" s="5">
        <v>7.5860000000000003</v>
      </c>
      <c r="I248" s="5">
        <v>211</v>
      </c>
      <c r="J248" s="5">
        <v>1.4330000000000001</v>
      </c>
      <c r="K248" s="5"/>
      <c r="L248" s="5">
        <v>3.7339000000000002</v>
      </c>
      <c r="M248" s="5">
        <v>20.984000000000002</v>
      </c>
      <c r="N248" s="177">
        <v>41561.591898124578</v>
      </c>
      <c r="O248" s="4">
        <v>-7</v>
      </c>
    </row>
    <row r="249" spans="1:15" x14ac:dyDescent="0.25">
      <c r="A249" s="157">
        <v>41549.642361111109</v>
      </c>
      <c r="B249" s="5">
        <v>-4</v>
      </c>
      <c r="C249" s="5">
        <v>1302169</v>
      </c>
      <c r="D249" s="5" t="s">
        <v>1360</v>
      </c>
      <c r="E249" s="5" t="s">
        <v>110</v>
      </c>
      <c r="F249" s="5" t="b">
        <v>1</v>
      </c>
      <c r="G249" s="5" t="s">
        <v>1436</v>
      </c>
      <c r="H249" s="5">
        <v>7.7670000000000003</v>
      </c>
      <c r="I249" s="5">
        <v>228</v>
      </c>
      <c r="J249" s="5">
        <v>1.423</v>
      </c>
      <c r="K249" s="5"/>
      <c r="L249" s="5">
        <v>3.6772</v>
      </c>
      <c r="M249" s="5">
        <v>22.969000000000001</v>
      </c>
      <c r="N249" s="177">
        <v>41555.442627901415</v>
      </c>
      <c r="O249" s="4">
        <v>-7</v>
      </c>
    </row>
    <row r="250" spans="1:15" x14ac:dyDescent="0.25">
      <c r="A250" s="157">
        <v>41554.5</v>
      </c>
      <c r="B250" s="5">
        <v>-4</v>
      </c>
      <c r="C250" s="5">
        <v>1302244</v>
      </c>
      <c r="D250" s="5" t="s">
        <v>1357</v>
      </c>
      <c r="E250" s="5" t="s">
        <v>116</v>
      </c>
      <c r="F250" s="5" t="b">
        <v>1</v>
      </c>
      <c r="G250" s="5" t="s">
        <v>1440</v>
      </c>
      <c r="H250" s="5">
        <v>7.98</v>
      </c>
      <c r="I250" s="5">
        <v>232</v>
      </c>
      <c r="J250" s="5">
        <v>2.2370000000000001</v>
      </c>
      <c r="K250" s="5"/>
      <c r="L250" s="5"/>
      <c r="M250" s="5"/>
      <c r="N250" s="177">
        <v>41567.938934804632</v>
      </c>
      <c r="O250" s="4">
        <v>-7</v>
      </c>
    </row>
    <row r="251" spans="1:15" x14ac:dyDescent="0.25">
      <c r="A251" s="157">
        <v>41554.583333333336</v>
      </c>
      <c r="B251" s="5">
        <v>-4</v>
      </c>
      <c r="C251" s="5">
        <v>1302245</v>
      </c>
      <c r="D251" s="5" t="s">
        <v>1357</v>
      </c>
      <c r="E251" s="5" t="s">
        <v>116</v>
      </c>
      <c r="F251" s="5" t="b">
        <v>1</v>
      </c>
      <c r="G251" s="5" t="s">
        <v>1440</v>
      </c>
      <c r="H251" s="5">
        <v>7.7469999999999999</v>
      </c>
      <c r="I251" s="5">
        <v>219</v>
      </c>
      <c r="J251" s="5">
        <v>3.48</v>
      </c>
      <c r="K251" s="5"/>
      <c r="L251" s="5"/>
      <c r="M251" s="5"/>
      <c r="N251" s="177">
        <v>41573.452009382512</v>
      </c>
      <c r="O251" s="4">
        <v>-7</v>
      </c>
    </row>
    <row r="252" spans="1:15" x14ac:dyDescent="0.25">
      <c r="A252" s="157">
        <v>41554.625</v>
      </c>
      <c r="B252" s="5">
        <v>-4</v>
      </c>
      <c r="C252" s="5">
        <v>1302246</v>
      </c>
      <c r="D252" s="5" t="s">
        <v>1357</v>
      </c>
      <c r="E252" s="5" t="s">
        <v>116</v>
      </c>
      <c r="F252" s="5" t="b">
        <v>1</v>
      </c>
      <c r="G252" s="5" t="s">
        <v>1440</v>
      </c>
      <c r="H252" s="5">
        <v>7.53</v>
      </c>
      <c r="I252" s="5">
        <v>198.1</v>
      </c>
      <c r="J252" s="5">
        <v>6.8070000000000004</v>
      </c>
      <c r="K252" s="5"/>
      <c r="L252" s="5"/>
      <c r="M252" s="5"/>
      <c r="N252" s="177">
        <v>41558.211175500423</v>
      </c>
      <c r="O252" s="4">
        <v>-7</v>
      </c>
    </row>
    <row r="253" spans="1:15" x14ac:dyDescent="0.25">
      <c r="A253" s="157">
        <v>41554.666666666664</v>
      </c>
      <c r="B253" s="5">
        <v>-4</v>
      </c>
      <c r="C253" s="5">
        <v>1302247</v>
      </c>
      <c r="D253" s="5" t="s">
        <v>1357</v>
      </c>
      <c r="E253" s="5" t="s">
        <v>116</v>
      </c>
      <c r="F253" s="5" t="b">
        <v>1</v>
      </c>
      <c r="G253" s="5" t="s">
        <v>1440</v>
      </c>
      <c r="H253" s="5">
        <v>7.5670000000000002</v>
      </c>
      <c r="I253" s="5">
        <v>202</v>
      </c>
      <c r="J253" s="5">
        <v>7.36</v>
      </c>
      <c r="K253" s="5"/>
      <c r="L253" s="5"/>
      <c r="M253" s="5"/>
      <c r="N253" s="177">
        <v>41563.649519343402</v>
      </c>
      <c r="O253" s="4">
        <v>-7</v>
      </c>
    </row>
    <row r="254" spans="1:15" x14ac:dyDescent="0.25">
      <c r="A254" s="157">
        <v>41554.708333333336</v>
      </c>
      <c r="B254" s="5">
        <v>-4</v>
      </c>
      <c r="C254" s="5">
        <v>1302248</v>
      </c>
      <c r="D254" s="5" t="s">
        <v>1357</v>
      </c>
      <c r="E254" s="5" t="s">
        <v>116</v>
      </c>
      <c r="F254" s="5" t="b">
        <v>1</v>
      </c>
      <c r="G254" s="5" t="s">
        <v>1440</v>
      </c>
      <c r="H254" s="5">
        <v>7.5709999999999997</v>
      </c>
      <c r="I254" s="5">
        <v>203</v>
      </c>
      <c r="J254" s="5">
        <v>10.367000000000001</v>
      </c>
      <c r="K254" s="5"/>
      <c r="L254" s="5"/>
      <c r="M254" s="5"/>
      <c r="N254" s="177">
        <v>41566.240668325299</v>
      </c>
      <c r="O254" s="4">
        <v>-7</v>
      </c>
    </row>
    <row r="255" spans="1:15" x14ac:dyDescent="0.25">
      <c r="A255" s="157">
        <v>41554.75</v>
      </c>
      <c r="B255" s="5">
        <v>-4</v>
      </c>
      <c r="C255" s="5">
        <v>1302249</v>
      </c>
      <c r="D255" s="5" t="s">
        <v>1357</v>
      </c>
      <c r="E255" s="5" t="s">
        <v>116</v>
      </c>
      <c r="F255" s="5" t="b">
        <v>1</v>
      </c>
      <c r="G255" s="5" t="s">
        <v>1440</v>
      </c>
      <c r="H255" s="5">
        <v>7.4589999999999996</v>
      </c>
      <c r="I255" s="5">
        <v>192.3</v>
      </c>
      <c r="J255" s="5">
        <v>13.167</v>
      </c>
      <c r="K255" s="5"/>
      <c r="L255" s="5"/>
      <c r="M255" s="5"/>
      <c r="N255" s="177">
        <v>41570.767455406414</v>
      </c>
      <c r="O255" s="4">
        <v>-7</v>
      </c>
    </row>
    <row r="256" spans="1:15" x14ac:dyDescent="0.25">
      <c r="A256" s="157">
        <v>41554.833333333336</v>
      </c>
      <c r="B256" s="5">
        <v>-4</v>
      </c>
      <c r="C256" s="5">
        <v>1302250</v>
      </c>
      <c r="D256" s="5" t="s">
        <v>1357</v>
      </c>
      <c r="E256" s="5" t="s">
        <v>116</v>
      </c>
      <c r="F256" s="5" t="b">
        <v>1</v>
      </c>
      <c r="G256" s="5" t="s">
        <v>1440</v>
      </c>
      <c r="H256" s="5">
        <v>7.5049999999999999</v>
      </c>
      <c r="I256" s="5">
        <v>195.8</v>
      </c>
      <c r="J256" s="5">
        <v>13.967000000000001</v>
      </c>
      <c r="K256" s="5"/>
      <c r="L256" s="5"/>
      <c r="M256" s="5"/>
      <c r="N256" s="177">
        <v>41560.097962500426</v>
      </c>
      <c r="O256" s="4">
        <v>-7</v>
      </c>
    </row>
    <row r="257" spans="1:15" x14ac:dyDescent="0.25">
      <c r="A257" s="157">
        <v>41554.958333333336</v>
      </c>
      <c r="B257" s="5">
        <v>-4</v>
      </c>
      <c r="C257" s="5">
        <v>1302251</v>
      </c>
      <c r="D257" s="5" t="s">
        <v>1357</v>
      </c>
      <c r="E257" s="5" t="s">
        <v>116</v>
      </c>
      <c r="F257" s="5" t="b">
        <v>1</v>
      </c>
      <c r="G257" s="5" t="s">
        <v>1440</v>
      </c>
      <c r="H257" s="5">
        <v>7.5910000000000002</v>
      </c>
      <c r="I257" s="5">
        <v>209</v>
      </c>
      <c r="J257" s="5">
        <v>11.867000000000001</v>
      </c>
      <c r="K257" s="5"/>
      <c r="L257" s="5"/>
      <c r="M257" s="5"/>
      <c r="N257" s="177">
        <v>41562.841704112565</v>
      </c>
      <c r="O257" s="4">
        <v>-7</v>
      </c>
    </row>
    <row r="258" spans="1:15" x14ac:dyDescent="0.25">
      <c r="A258" s="157">
        <v>41555.166666666664</v>
      </c>
      <c r="B258" s="5">
        <v>-4</v>
      </c>
      <c r="C258" s="5">
        <v>1302252</v>
      </c>
      <c r="D258" s="5" t="s">
        <v>1357</v>
      </c>
      <c r="E258" s="5" t="s">
        <v>116</v>
      </c>
      <c r="F258" s="5" t="b">
        <v>1</v>
      </c>
      <c r="G258" s="5" t="s">
        <v>1440</v>
      </c>
      <c r="H258" s="5">
        <v>7.673</v>
      </c>
      <c r="I258" s="5">
        <v>226</v>
      </c>
      <c r="J258" s="5">
        <v>8.1530000000000005</v>
      </c>
      <c r="K258" s="5"/>
      <c r="L258" s="5"/>
      <c r="M258" s="5"/>
      <c r="N258" s="177">
        <v>41556.71952027324</v>
      </c>
      <c r="O258" s="4">
        <v>-7</v>
      </c>
    </row>
    <row r="259" spans="1:15" x14ac:dyDescent="0.25">
      <c r="A259" s="157">
        <v>41555.333333333336</v>
      </c>
      <c r="B259" s="5">
        <v>-4</v>
      </c>
      <c r="C259" s="5">
        <v>1302253</v>
      </c>
      <c r="D259" s="5" t="s">
        <v>1357</v>
      </c>
      <c r="E259" s="5" t="s">
        <v>116</v>
      </c>
      <c r="F259" s="5" t="b">
        <v>1</v>
      </c>
      <c r="G259" s="5" t="s">
        <v>1440</v>
      </c>
      <c r="H259" s="5">
        <v>7.665</v>
      </c>
      <c r="I259" s="5">
        <v>232</v>
      </c>
      <c r="J259" s="5">
        <v>5.81</v>
      </c>
      <c r="K259" s="5"/>
      <c r="L259" s="5"/>
      <c r="M259" s="5"/>
      <c r="N259" s="177">
        <v>41555.844004504172</v>
      </c>
      <c r="O259" s="4">
        <v>-7</v>
      </c>
    </row>
    <row r="260" spans="1:15" x14ac:dyDescent="0.25">
      <c r="A260" s="157">
        <v>41556.916666666664</v>
      </c>
      <c r="B260" s="5">
        <v>-4</v>
      </c>
      <c r="C260" s="5">
        <v>1302316</v>
      </c>
      <c r="D260" s="5" t="s">
        <v>1357</v>
      </c>
      <c r="E260" s="5" t="s">
        <v>116</v>
      </c>
      <c r="F260" s="5" t="b">
        <v>1</v>
      </c>
      <c r="G260" s="5" t="s">
        <v>1440</v>
      </c>
      <c r="H260" s="5"/>
      <c r="I260" s="5">
        <v>239</v>
      </c>
      <c r="J260" s="5">
        <v>2.387</v>
      </c>
      <c r="K260" s="5"/>
      <c r="L260" s="5"/>
      <c r="M260" s="5"/>
      <c r="N260" s="177">
        <v>41563.918038158983</v>
      </c>
      <c r="O260" s="4">
        <v>-7</v>
      </c>
    </row>
    <row r="261" spans="1:15" x14ac:dyDescent="0.25">
      <c r="A261" s="157">
        <v>41557.583333333336</v>
      </c>
      <c r="B261" s="5">
        <v>-4</v>
      </c>
      <c r="C261" s="5">
        <v>1302317</v>
      </c>
      <c r="D261" s="5" t="s">
        <v>1357</v>
      </c>
      <c r="E261" s="5" t="s">
        <v>116</v>
      </c>
      <c r="F261" s="5" t="b">
        <v>1</v>
      </c>
      <c r="G261" s="5" t="s">
        <v>1440</v>
      </c>
      <c r="H261" s="5"/>
      <c r="I261" s="5">
        <v>226</v>
      </c>
      <c r="J261" s="5">
        <v>3.423</v>
      </c>
      <c r="K261" s="5"/>
      <c r="L261" s="5"/>
      <c r="M261" s="5"/>
      <c r="N261" s="177">
        <v>41566.553741725955</v>
      </c>
      <c r="O261" s="4">
        <v>-7</v>
      </c>
    </row>
    <row r="262" spans="1:15" x14ac:dyDescent="0.25">
      <c r="A262" s="157">
        <v>41557.75</v>
      </c>
      <c r="B262" s="5">
        <v>-4</v>
      </c>
      <c r="C262" s="5">
        <v>1302318</v>
      </c>
      <c r="D262" s="5" t="s">
        <v>1357</v>
      </c>
      <c r="E262" s="5" t="s">
        <v>116</v>
      </c>
      <c r="F262" s="5" t="b">
        <v>1</v>
      </c>
      <c r="G262" s="5" t="s">
        <v>1440</v>
      </c>
      <c r="H262" s="5"/>
      <c r="I262" s="5">
        <v>207</v>
      </c>
      <c r="J262" s="5">
        <v>8.4369999999999994</v>
      </c>
      <c r="K262" s="5"/>
      <c r="L262" s="5"/>
      <c r="M262" s="5"/>
      <c r="N262" s="177">
        <v>41572.9258465194</v>
      </c>
      <c r="O262" s="4">
        <v>-7</v>
      </c>
    </row>
    <row r="263" spans="1:15" x14ac:dyDescent="0.25">
      <c r="A263" s="157">
        <v>41558.083333333336</v>
      </c>
      <c r="B263" s="5">
        <v>-4</v>
      </c>
      <c r="C263" s="5">
        <v>1302320</v>
      </c>
      <c r="D263" s="5" t="s">
        <v>1357</v>
      </c>
      <c r="E263" s="5" t="s">
        <v>116</v>
      </c>
      <c r="F263" s="5" t="b">
        <v>1</v>
      </c>
      <c r="G263" s="5" t="s">
        <v>1440</v>
      </c>
      <c r="H263" s="5"/>
      <c r="I263" s="5">
        <v>126.4</v>
      </c>
      <c r="J263" s="5">
        <v>12.4</v>
      </c>
      <c r="K263" s="5"/>
      <c r="L263" s="5"/>
      <c r="M263" s="5"/>
      <c r="N263" s="177">
        <v>41559.100746693191</v>
      </c>
      <c r="O263" s="4">
        <v>-7</v>
      </c>
    </row>
    <row r="264" spans="1:15" x14ac:dyDescent="0.25">
      <c r="A264" s="157">
        <v>41558.333333333336</v>
      </c>
      <c r="B264" s="5">
        <v>-4</v>
      </c>
      <c r="C264" s="5">
        <v>1302321</v>
      </c>
      <c r="D264" s="5" t="s">
        <v>1357</v>
      </c>
      <c r="E264" s="5" t="s">
        <v>116</v>
      </c>
      <c r="F264" s="5" t="b">
        <v>1</v>
      </c>
      <c r="G264" s="5" t="s">
        <v>1440</v>
      </c>
      <c r="H264" s="5"/>
      <c r="I264" s="5">
        <v>87.9</v>
      </c>
      <c r="J264" s="5">
        <v>12.032999999999999</v>
      </c>
      <c r="K264" s="5"/>
      <c r="L264" s="5"/>
      <c r="M264" s="5"/>
      <c r="N264" s="177">
        <v>41575.651959161587</v>
      </c>
      <c r="O264" s="4">
        <v>-7</v>
      </c>
    </row>
    <row r="265" spans="1:15" x14ac:dyDescent="0.25">
      <c r="A265" s="157">
        <v>41558.416666666664</v>
      </c>
      <c r="B265" s="5">
        <v>-4</v>
      </c>
      <c r="C265" s="5">
        <v>1302322</v>
      </c>
      <c r="D265" s="5" t="s">
        <v>1357</v>
      </c>
      <c r="E265" s="5" t="s">
        <v>116</v>
      </c>
      <c r="F265" s="5" t="b">
        <v>1</v>
      </c>
      <c r="G265" s="5" t="s">
        <v>1440</v>
      </c>
      <c r="H265" s="5"/>
      <c r="I265" s="5">
        <v>86.6</v>
      </c>
      <c r="J265" s="5">
        <v>11.733000000000001</v>
      </c>
      <c r="K265" s="5"/>
      <c r="L265" s="5"/>
      <c r="M265" s="5"/>
      <c r="N265" s="177">
        <v>41567.789018039024</v>
      </c>
      <c r="O265" s="4">
        <v>-7</v>
      </c>
    </row>
    <row r="266" spans="1:15" x14ac:dyDescent="0.25">
      <c r="A266" s="157">
        <v>41558.666666666664</v>
      </c>
      <c r="B266" s="5">
        <v>-4</v>
      </c>
      <c r="C266" s="5">
        <v>1302323</v>
      </c>
      <c r="D266" s="5" t="s">
        <v>1357</v>
      </c>
      <c r="E266" s="5" t="s">
        <v>116</v>
      </c>
      <c r="F266" s="5" t="b">
        <v>1</v>
      </c>
      <c r="G266" s="5" t="s">
        <v>1440</v>
      </c>
      <c r="H266" s="5"/>
      <c r="I266" s="5">
        <v>120</v>
      </c>
      <c r="J266" s="5">
        <v>11.632999999999999</v>
      </c>
      <c r="K266" s="5"/>
      <c r="L266" s="5"/>
      <c r="M266" s="5"/>
      <c r="N266" s="177">
        <v>41578.445971039488</v>
      </c>
      <c r="O266" s="4">
        <v>-7</v>
      </c>
    </row>
    <row r="267" spans="1:15" x14ac:dyDescent="0.25">
      <c r="A267" s="157">
        <v>41558.916666666664</v>
      </c>
      <c r="B267" s="5">
        <v>-4</v>
      </c>
      <c r="C267" s="5">
        <v>1302324</v>
      </c>
      <c r="D267" s="5" t="s">
        <v>1357</v>
      </c>
      <c r="E267" s="5" t="s">
        <v>116</v>
      </c>
      <c r="F267" s="5" t="b">
        <v>1</v>
      </c>
      <c r="G267" s="5" t="s">
        <v>1440</v>
      </c>
      <c r="H267" s="5"/>
      <c r="I267" s="5">
        <v>151.1</v>
      </c>
      <c r="J267" s="5">
        <v>10.532999999999999</v>
      </c>
      <c r="K267" s="5"/>
      <c r="L267" s="5"/>
      <c r="M267" s="5"/>
      <c r="N267" s="177">
        <v>41568.201919746491</v>
      </c>
      <c r="O267" s="4">
        <v>-7</v>
      </c>
    </row>
    <row r="268" spans="1:15" x14ac:dyDescent="0.25">
      <c r="A268" s="157">
        <v>41559</v>
      </c>
      <c r="B268" s="5">
        <v>-4</v>
      </c>
      <c r="C268" s="5">
        <v>1302319</v>
      </c>
      <c r="D268" s="5" t="s">
        <v>1357</v>
      </c>
      <c r="E268" s="5" t="s">
        <v>116</v>
      </c>
      <c r="F268" s="5" t="b">
        <v>1</v>
      </c>
      <c r="G268" s="5" t="s">
        <v>1440</v>
      </c>
      <c r="H268" s="5"/>
      <c r="I268" s="5">
        <v>197.5</v>
      </c>
      <c r="J268" s="5">
        <v>9.23</v>
      </c>
      <c r="K268" s="5"/>
      <c r="L268" s="5"/>
      <c r="M268" s="5"/>
      <c r="N268" s="177">
        <v>41574.288174439032</v>
      </c>
      <c r="O268" s="4">
        <v>-7</v>
      </c>
    </row>
    <row r="269" spans="1:15" x14ac:dyDescent="0.25">
      <c r="A269" s="157">
        <v>41559.583333333336</v>
      </c>
      <c r="B269" s="5">
        <v>-4</v>
      </c>
      <c r="C269" s="5">
        <v>1302325</v>
      </c>
      <c r="D269" s="5" t="s">
        <v>1357</v>
      </c>
      <c r="E269" s="5" t="s">
        <v>116</v>
      </c>
      <c r="F269" s="5" t="b">
        <v>1</v>
      </c>
      <c r="G269" s="5" t="s">
        <v>1440</v>
      </c>
      <c r="H269" s="5"/>
      <c r="I269" s="5">
        <v>202</v>
      </c>
      <c r="J269" s="5">
        <v>5.3170000000000002</v>
      </c>
      <c r="K269" s="5"/>
      <c r="L269" s="5"/>
      <c r="M269" s="5"/>
      <c r="N269" s="177">
        <v>41576.040073403427</v>
      </c>
      <c r="O269" s="4">
        <v>-7</v>
      </c>
    </row>
    <row r="270" spans="1:15" x14ac:dyDescent="0.25">
      <c r="A270" s="157">
        <v>41560.583333333336</v>
      </c>
      <c r="B270" s="5">
        <v>-4</v>
      </c>
      <c r="C270" s="5">
        <v>1302326</v>
      </c>
      <c r="D270" s="5" t="s">
        <v>1357</v>
      </c>
      <c r="E270" s="5" t="s">
        <v>116</v>
      </c>
      <c r="F270" s="5" t="b">
        <v>1</v>
      </c>
      <c r="G270" s="5" t="s">
        <v>1440</v>
      </c>
      <c r="H270" s="5"/>
      <c r="I270" s="5">
        <v>227</v>
      </c>
      <c r="J270" s="5">
        <v>2.5529999999999999</v>
      </c>
      <c r="K270" s="5"/>
      <c r="L270" s="5"/>
      <c r="M270" s="5"/>
      <c r="N270" s="177">
        <v>41578.421430935807</v>
      </c>
      <c r="O270" s="4">
        <v>-7</v>
      </c>
    </row>
    <row r="271" spans="1:15" x14ac:dyDescent="0.25">
      <c r="A271" s="157">
        <v>41563.510416666664</v>
      </c>
      <c r="B271" s="5">
        <v>-4</v>
      </c>
      <c r="C271" s="5">
        <v>1302331</v>
      </c>
      <c r="D271" s="5" t="s">
        <v>1355</v>
      </c>
      <c r="E271" s="5" t="s">
        <v>110</v>
      </c>
      <c r="F271" s="5" t="b">
        <v>1</v>
      </c>
      <c r="G271" s="5" t="s">
        <v>1436</v>
      </c>
      <c r="H271" s="5">
        <v>6.9340000000000002</v>
      </c>
      <c r="I271" s="5">
        <v>283</v>
      </c>
      <c r="J271" s="5">
        <v>8.67</v>
      </c>
      <c r="K271" s="5"/>
      <c r="L271" s="5">
        <v>1.2412000000000001</v>
      </c>
      <c r="M271" s="5">
        <v>18.504999999999999</v>
      </c>
      <c r="N271" s="177">
        <v>41569.873474438558</v>
      </c>
      <c r="O271" s="4">
        <v>-7</v>
      </c>
    </row>
    <row r="272" spans="1:15" x14ac:dyDescent="0.25">
      <c r="A272" s="157">
        <v>41563.583333333336</v>
      </c>
      <c r="B272" s="5">
        <v>-4</v>
      </c>
      <c r="C272" s="5">
        <v>1302332</v>
      </c>
      <c r="D272" s="5" t="s">
        <v>1356</v>
      </c>
      <c r="E272" s="5" t="s">
        <v>110</v>
      </c>
      <c r="F272" s="5" t="b">
        <v>1</v>
      </c>
      <c r="G272" s="5" t="s">
        <v>1436</v>
      </c>
      <c r="H272" s="5">
        <v>7.1870000000000003</v>
      </c>
      <c r="I272" s="5">
        <v>382</v>
      </c>
      <c r="J272" s="5">
        <v>2.1469999999999998</v>
      </c>
      <c r="K272" s="5"/>
      <c r="L272" s="5">
        <v>10.252700000000001</v>
      </c>
      <c r="M272" s="5">
        <v>30.966999999999999</v>
      </c>
      <c r="N272" s="177">
        <v>41574.442753874646</v>
      </c>
      <c r="O272" s="4">
        <v>-7</v>
      </c>
    </row>
    <row r="273" spans="1:15" x14ac:dyDescent="0.25">
      <c r="A273" s="157">
        <v>41584.479166666664</v>
      </c>
      <c r="B273" s="5">
        <v>-4</v>
      </c>
      <c r="C273" s="5">
        <v>1302520</v>
      </c>
      <c r="D273" s="5" t="s">
        <v>1354</v>
      </c>
      <c r="E273" s="5" t="s">
        <v>110</v>
      </c>
      <c r="F273" s="5" t="b">
        <v>1</v>
      </c>
      <c r="G273" s="5" t="s">
        <v>1436</v>
      </c>
      <c r="H273" s="5">
        <v>7.6580000000000004</v>
      </c>
      <c r="I273" s="5">
        <v>228</v>
      </c>
      <c r="J273" s="5">
        <v>1.603</v>
      </c>
      <c r="K273" s="5"/>
      <c r="L273" s="5">
        <v>3.4569999999999999</v>
      </c>
      <c r="M273" s="5">
        <v>20.305</v>
      </c>
      <c r="N273" s="177">
        <v>41596.413153173882</v>
      </c>
      <c r="O273" s="4">
        <v>-7</v>
      </c>
    </row>
    <row r="274" spans="1:15" x14ac:dyDescent="0.25">
      <c r="A274" s="157">
        <v>41584.559027777781</v>
      </c>
      <c r="B274" s="5">
        <v>-4</v>
      </c>
      <c r="C274" s="5">
        <v>1302519</v>
      </c>
      <c r="D274" s="5" t="s">
        <v>1359</v>
      </c>
      <c r="E274" s="5" t="s">
        <v>110</v>
      </c>
      <c r="F274" s="5" t="b">
        <v>1</v>
      </c>
      <c r="G274" s="5" t="s">
        <v>1436</v>
      </c>
      <c r="H274" s="5">
        <v>7.8250000000000002</v>
      </c>
      <c r="I274" s="5">
        <v>229</v>
      </c>
      <c r="J274" s="5">
        <v>1.67</v>
      </c>
      <c r="K274" s="5"/>
      <c r="L274" s="5">
        <v>3.7267999999999999</v>
      </c>
      <c r="M274" s="5">
        <v>23.713000000000001</v>
      </c>
      <c r="N274" s="177">
        <v>41601.105559115327</v>
      </c>
      <c r="O274" s="4">
        <v>-7</v>
      </c>
    </row>
    <row r="275" spans="1:15" x14ac:dyDescent="0.25">
      <c r="A275" s="157">
        <v>41584.589583333334</v>
      </c>
      <c r="B275" s="5">
        <v>-4</v>
      </c>
      <c r="C275" s="5">
        <v>1302518</v>
      </c>
      <c r="D275" s="5" t="s">
        <v>1360</v>
      </c>
      <c r="E275" s="5" t="s">
        <v>110</v>
      </c>
      <c r="F275" s="5" t="b">
        <v>1</v>
      </c>
      <c r="G275" s="5" t="s">
        <v>1436</v>
      </c>
      <c r="H275" s="5">
        <v>7.9980000000000002</v>
      </c>
      <c r="I275" s="5">
        <v>240</v>
      </c>
      <c r="J275" s="5">
        <v>1.627</v>
      </c>
      <c r="K275" s="5"/>
      <c r="L275" s="5">
        <v>3.6615000000000002</v>
      </c>
      <c r="M275" s="5">
        <v>21.629000000000001</v>
      </c>
      <c r="N275" s="177">
        <v>41595.017466526719</v>
      </c>
      <c r="O275" s="4">
        <v>-7</v>
      </c>
    </row>
    <row r="276" spans="1:15" x14ac:dyDescent="0.25">
      <c r="A276" s="157">
        <v>41620.424305555556</v>
      </c>
      <c r="B276" s="5">
        <v>-5</v>
      </c>
      <c r="C276" s="5">
        <v>1302790</v>
      </c>
      <c r="D276" s="5" t="s">
        <v>1354</v>
      </c>
      <c r="E276" s="5" t="s">
        <v>110</v>
      </c>
      <c r="F276" s="5" t="b">
        <v>1</v>
      </c>
      <c r="G276" s="5" t="s">
        <v>1436</v>
      </c>
      <c r="H276" s="5">
        <v>7.5960000000000001</v>
      </c>
      <c r="I276" s="5">
        <v>215</v>
      </c>
      <c r="J276" s="5">
        <v>1.4570000000000001</v>
      </c>
      <c r="K276" s="5"/>
      <c r="L276" s="5">
        <v>3.5085000000000002</v>
      </c>
      <c r="M276" s="5">
        <v>21.396000000000001</v>
      </c>
      <c r="N276" s="177">
        <v>41629.926628156776</v>
      </c>
      <c r="O276" s="4">
        <v>-7</v>
      </c>
    </row>
    <row r="277" spans="1:15" x14ac:dyDescent="0.25">
      <c r="A277" s="157">
        <v>41620.569444444445</v>
      </c>
      <c r="B277" s="5">
        <v>-5</v>
      </c>
      <c r="C277" s="5">
        <v>1302789</v>
      </c>
      <c r="D277" s="5" t="s">
        <v>1359</v>
      </c>
      <c r="E277" s="5" t="s">
        <v>110</v>
      </c>
      <c r="F277" s="5" t="b">
        <v>1</v>
      </c>
      <c r="G277" s="5" t="s">
        <v>1436</v>
      </c>
      <c r="H277" s="5">
        <v>7.6</v>
      </c>
      <c r="I277" s="5">
        <v>215</v>
      </c>
      <c r="J277" s="5">
        <v>1.4970000000000001</v>
      </c>
      <c r="K277" s="5"/>
      <c r="L277" s="5">
        <v>3.8081</v>
      </c>
      <c r="M277" s="5">
        <v>12.435</v>
      </c>
      <c r="N277" s="177">
        <v>41634.848831201969</v>
      </c>
      <c r="O277" s="4">
        <v>-7</v>
      </c>
    </row>
    <row r="278" spans="1:15" x14ac:dyDescent="0.25">
      <c r="A278" s="157">
        <v>41620.590277777781</v>
      </c>
      <c r="B278" s="5">
        <v>-5</v>
      </c>
      <c r="C278" s="5">
        <v>1302788</v>
      </c>
      <c r="D278" s="5" t="s">
        <v>1360</v>
      </c>
      <c r="E278" s="5" t="s">
        <v>110</v>
      </c>
      <c r="F278" s="5" t="b">
        <v>1</v>
      </c>
      <c r="G278" s="5" t="s">
        <v>1436</v>
      </c>
      <c r="H278" s="5">
        <v>7.6109999999999998</v>
      </c>
      <c r="I278" s="5">
        <v>231</v>
      </c>
      <c r="J278" s="5">
        <v>1.5629999999999999</v>
      </c>
      <c r="K278" s="5"/>
      <c r="L278" s="5">
        <v>3.7841</v>
      </c>
      <c r="M278" s="5">
        <v>14.281000000000001</v>
      </c>
      <c r="N278" s="177">
        <v>41622.888267947448</v>
      </c>
      <c r="O278" s="4">
        <v>-7</v>
      </c>
    </row>
  </sheetData>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288"/>
  <sheetViews>
    <sheetView topLeftCell="O1" workbookViewId="0">
      <selection activeCell="P2" sqref="P2"/>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14" width="20.42578125" style="27" customWidth="1"/>
    <col min="15" max="15" width="26.42578125" style="27" customWidth="1"/>
    <col min="16" max="16" width="56.42578125" style="27" customWidth="1"/>
    <col min="17" max="17" width="18.7109375" style="27" customWidth="1"/>
    <col min="18" max="18" width="41.28515625" style="27" customWidth="1"/>
    <col min="19" max="19" width="17.28515625" style="27" customWidth="1"/>
    <col min="20" max="20" width="23.5703125" style="27" customWidth="1"/>
    <col min="21" max="21" width="20" style="27" customWidth="1"/>
    <col min="22" max="23" width="8.85546875" style="27"/>
    <col min="24" max="24" width="16.42578125" style="27" customWidth="1"/>
    <col min="25" max="25" width="37.42578125" style="27" customWidth="1"/>
    <col min="26" max="27" width="15.42578125" style="27" customWidth="1"/>
    <col min="28" max="28" width="17.140625" style="27" customWidth="1"/>
    <col min="29" max="29" width="19" style="27" customWidth="1"/>
    <col min="30" max="30" width="18.42578125" style="27" bestFit="1" customWidth="1"/>
    <col min="31" max="31" width="24.140625" style="27" bestFit="1" customWidth="1"/>
    <col min="32" max="32" width="20.7109375" style="27" bestFit="1" customWidth="1"/>
    <col min="33" max="33" width="26.5703125" style="27" bestFit="1" customWidth="1"/>
    <col min="34" max="34" width="40.140625" style="27" bestFit="1" customWidth="1"/>
    <col min="35" max="35" width="78.140625" style="27" bestFit="1" customWidth="1"/>
    <col min="36" max="36" width="20.7109375" style="27" bestFit="1" customWidth="1"/>
    <col min="37" max="16384" width="8.85546875" style="27"/>
  </cols>
  <sheetData>
    <row r="1" spans="1:37" x14ac:dyDescent="0.25">
      <c r="A1" s="27" t="s">
        <v>226</v>
      </c>
      <c r="B1" s="27" t="s">
        <v>216</v>
      </c>
      <c r="C1" s="27" t="s">
        <v>1340</v>
      </c>
      <c r="D1" s="27" t="s">
        <v>218</v>
      </c>
      <c r="E1" s="27" t="s">
        <v>1312</v>
      </c>
      <c r="F1" s="27" t="s">
        <v>1292</v>
      </c>
      <c r="G1" s="27" t="s">
        <v>217</v>
      </c>
      <c r="H1" s="27" t="s">
        <v>1303</v>
      </c>
      <c r="I1" s="27" t="s">
        <v>219</v>
      </c>
      <c r="J1" s="27" t="s">
        <v>220</v>
      </c>
      <c r="K1" s="27" t="s">
        <v>1302</v>
      </c>
      <c r="L1" s="27" t="s">
        <v>221</v>
      </c>
      <c r="M1" s="27" t="s">
        <v>222</v>
      </c>
      <c r="N1" s="27" t="s">
        <v>223</v>
      </c>
      <c r="O1" s="27" t="s">
        <v>224</v>
      </c>
      <c r="P1" s="27" t="s">
        <v>1304</v>
      </c>
      <c r="Q1" s="27" t="s">
        <v>225</v>
      </c>
      <c r="R1" s="27" t="s">
        <v>227</v>
      </c>
      <c r="S1" s="27" t="s">
        <v>244</v>
      </c>
      <c r="T1" s="27" t="s">
        <v>245</v>
      </c>
      <c r="U1" s="27" t="s">
        <v>249</v>
      </c>
      <c r="V1" s="27" t="s">
        <v>1079</v>
      </c>
      <c r="W1" s="27" t="s">
        <v>239</v>
      </c>
      <c r="X1" s="27" t="s">
        <v>1181</v>
      </c>
      <c r="Y1" s="27" t="s">
        <v>1183</v>
      </c>
      <c r="Z1" s="27" t="s">
        <v>1184</v>
      </c>
      <c r="AA1" s="27" t="s">
        <v>1341</v>
      </c>
      <c r="AB1" s="27" t="s">
        <v>1189</v>
      </c>
      <c r="AC1" s="27" t="s">
        <v>1342</v>
      </c>
      <c r="AD1" s="27" t="s">
        <v>1192</v>
      </c>
      <c r="AE1" s="27" t="s">
        <v>1193</v>
      </c>
      <c r="AF1" s="27" t="s">
        <v>1194</v>
      </c>
      <c r="AG1" s="27" t="s">
        <v>1195</v>
      </c>
      <c r="AH1" s="27" t="s">
        <v>1203</v>
      </c>
      <c r="AI1" s="27" t="s">
        <v>1204</v>
      </c>
      <c r="AJ1" s="27" t="s">
        <v>1219</v>
      </c>
    </row>
    <row r="2" spans="1:37" x14ac:dyDescent="0.25">
      <c r="A2" s="27" t="s">
        <v>1081</v>
      </c>
      <c r="B2" s="27">
        <v>3</v>
      </c>
      <c r="C2" s="27">
        <v>2</v>
      </c>
      <c r="D2" s="27">
        <f>MAX(NumOrganizations+1,2)</f>
        <v>3</v>
      </c>
      <c r="E2" s="27">
        <f>IF(AND(CitationDOI="",NumORCIDs=0,NumIGSNs=0),1,3)</f>
        <v>3</v>
      </c>
      <c r="F2" s="27">
        <f>IF(AND(CitationDOI="",NumORCIDs=0,NumIGSNs=0),1,4)</f>
        <v>4</v>
      </c>
      <c r="G2" s="27">
        <f>MAX(NumPeople+1,2)</f>
        <v>7</v>
      </c>
      <c r="H2" s="27">
        <f>IF(NumORCIDs=0,1,MAX(NumORCIDs+1,2))</f>
        <v>2</v>
      </c>
      <c r="I2" s="27">
        <f>MAX(NumOrganizations+1,NumPeople+1,2)</f>
        <v>7</v>
      </c>
      <c r="J2" s="27">
        <f>IF(COUNTA(CitationInformation)=0,1,2)</f>
        <v>2</v>
      </c>
      <c r="K2" s="27">
        <f>IF(CitationDOI="",1,2)</f>
        <v>1</v>
      </c>
      <c r="L2" s="27">
        <f>IF(COUNTA(CitationInformation)=0,1,NumAuthors+1)</f>
        <v>2</v>
      </c>
      <c r="M2" s="27">
        <f>IF(COUNTA(CitationInformation)=0,1,2)</f>
        <v>2</v>
      </c>
      <c r="N2" s="27">
        <v>2</v>
      </c>
      <c r="O2" s="27">
        <f>MAX(NumParentSamplingFeatures+NumSpecimens+1,2)</f>
        <v>286</v>
      </c>
      <c r="P2" s="27">
        <f>IF(AND(NumIGSNs=0,COUNTIF(DataColumns[ColumnType],"SpecimenIGSN")=0),1,MAX(2,NumIGSNs+1,COUNTA(INDIRECT(CONCATENATE("'Data Values'!R2C",MATCH("SpecimenIGSN",DataColumns[ColumnType],0),":R",NumDataValues,"C",MATCH("SpecimenIGSN",DataColumns[ColumnType],0)),FALSE))))</f>
        <v>0</v>
      </c>
      <c r="Q2" s="27">
        <f>IF(NumSites=0,1,NumSites+1)</f>
        <v>8</v>
      </c>
      <c r="R2" s="27">
        <f>NumParentSpecimens+NumSpecimens+1</f>
        <v>279</v>
      </c>
      <c r="S2" s="27">
        <f>IF(COUNTA(SpatialOffsets[Spatial Offset Code])=0,1,COUNTA(SpatialOffsets[Spatial Offset Code])+1)</f>
        <v>1</v>
      </c>
      <c r="T2" s="27">
        <f>IF(NumRelatedFeatures=0,1,NumRelatedFeatures+1)</f>
        <v>1</v>
      </c>
      <c r="U2" s="27">
        <f>MAX(NumMethods+1,2)</f>
        <v>6</v>
      </c>
      <c r="V2" s="27">
        <f>MAX(NumVariables+1,2)</f>
        <v>7</v>
      </c>
      <c r="W2" s="27">
        <v>1</v>
      </c>
      <c r="X2" s="27">
        <f>MAX(NumProcessingLevels+1,2)</f>
        <v>6</v>
      </c>
      <c r="Y2" s="27">
        <f>MAX(NumFileColumns+1,2)</f>
        <v>16</v>
      </c>
      <c r="Z2" s="27">
        <f>MAX(NumFileColumns+1,2)</f>
        <v>16</v>
      </c>
      <c r="AA2" s="27">
        <f>MAX(NumFileColumns+1,2)</f>
        <v>16</v>
      </c>
      <c r="AB2" s="27">
        <f>MAX(NumDataColumns+1,2)</f>
        <v>2</v>
      </c>
      <c r="AC2" s="27">
        <f>MAX(NumFileColumns+1,2)</f>
        <v>16</v>
      </c>
      <c r="AD2" s="27">
        <v>1</v>
      </c>
      <c r="AE2" s="27">
        <v>1</v>
      </c>
      <c r="AF2" s="27">
        <v>1</v>
      </c>
      <c r="AG2" s="27">
        <v>1</v>
      </c>
      <c r="AH2" s="27">
        <v>1</v>
      </c>
      <c r="AI2" s="27">
        <f>IF(NumDataValues=0,3,2)</f>
        <v>2</v>
      </c>
    </row>
    <row r="3" spans="1:37" x14ac:dyDescent="0.25">
      <c r="A3" s="27">
        <f t="shared" ref="A3:A66" si="0">ROW()-3</f>
        <v>0</v>
      </c>
      <c r="B3" s="27" t="s">
        <v>134</v>
      </c>
      <c r="C3" s="27" t="s">
        <v>1224</v>
      </c>
      <c r="D3" s="27" t="s">
        <v>177</v>
      </c>
      <c r="E3"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175</v>
      </c>
      <c r="H3" s="27" t="str">
        <f>IF(NumORCIDs=0,"","PersonExternalIdentifiers:")</f>
        <v>PersonExternalIdentifiers:</v>
      </c>
      <c r="I3" s="27" t="s">
        <v>178</v>
      </c>
      <c r="J3" s="27" t="str">
        <f>IF(COUNTA(CitationInformation)=0,"","Citation:")</f>
        <v>Citation:</v>
      </c>
      <c r="K3" s="27" t="str">
        <f>IF(CitationDOI="","","CitationExternalIdentifiers:")</f>
        <v/>
      </c>
      <c r="L3" s="27" t="str">
        <f>IF(COUNTA(CitationInformation)=0,"","AuthorList:")</f>
        <v>AuthorList:</v>
      </c>
      <c r="M3" s="27" t="str">
        <f>IF(COUNTA(CitationInformation)=0,"","DataSetCitations:")</f>
        <v>DataSetCitations:</v>
      </c>
      <c r="N3" s="27" t="s">
        <v>214</v>
      </c>
      <c r="O3" s="27" t="s">
        <v>215</v>
      </c>
      <c r="P3" s="27" t="str">
        <f>IF(AND(NumIGSNs=0,COUNTIF(DataColumns[ColumnType],"SpecimenIGSN")=0),"","SamplingFeaturesExternalIdentifiers:")</f>
        <v>SamplingFeaturesExternalIdentifiers:</v>
      </c>
      <c r="Q3" s="27" t="str">
        <f>IF(MAX(Sites[SiteID])=0,"","Sites:")</f>
        <v>Sites:</v>
      </c>
      <c r="R3" s="27" t="s">
        <v>1576</v>
      </c>
      <c r="S3" s="27" t="str">
        <f>IF(COUNTA(SpatialOffsets[Spatial Offset Code])=0,"","Spatialoffsets:")</f>
        <v/>
      </c>
      <c r="T3" s="27" t="str">
        <f>IF(NumRelatedFeatures=0,"","RelatedFeatures:")</f>
        <v/>
      </c>
      <c r="U3" s="27" t="s">
        <v>274</v>
      </c>
      <c r="V3" s="27" t="s">
        <v>1080</v>
      </c>
      <c r="W3" s="27" t="str">
        <f>""</f>
        <v/>
      </c>
      <c r="X3" s="27" t="s">
        <v>1182</v>
      </c>
      <c r="Y3" s="27" t="s">
        <v>1186</v>
      </c>
      <c r="Z3" s="27" t="s">
        <v>1188</v>
      </c>
      <c r="AA3" s="27" t="s">
        <v>1343</v>
      </c>
      <c r="AB3" s="27" t="s">
        <v>1190</v>
      </c>
      <c r="AC3" s="27" t="s">
        <v>1334</v>
      </c>
      <c r="AF3" s="27" t="s">
        <v>1191</v>
      </c>
      <c r="AG3" s="27" t="s">
        <v>1450</v>
      </c>
      <c r="AH3" s="27" t="s">
        <v>1202</v>
      </c>
      <c r="AI3" s="27" t="s">
        <v>1205</v>
      </c>
      <c r="AJ3" s="27" t="s">
        <v>1223</v>
      </c>
      <c r="AK3" s="27">
        <f>MAX(B2:AI2)</f>
        <v>286</v>
      </c>
    </row>
    <row r="4" spans="1:37" x14ac:dyDescent="0.25">
      <c r="A4" s="27">
        <f t="shared" si="0"/>
        <v>1</v>
      </c>
      <c r="B4" s="27" t="s">
        <v>1344</v>
      </c>
      <c r="C4" s="27"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7"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"Sara", PersonMiddleName:  "Geleskie", PersonLastName:  "Damiano"}</v>
      </c>
      <c r="H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7" t="str">
        <f>IF(CitationDOI="","",
CONCATENATE("  - {",
"CitationObj:  *CitationID001",
", ExternalIdentifierSystemObj:  *ExternalIdentifierSystemID0002",
", CitationExternalIdentifier:  ",CHAR(34),CitationDOI,CHAR(34),
", CitationExternalIdentifierURI:  ",CHAR(34),CHAR(34),
"}"))</f>
        <v/>
      </c>
      <c r="L4" s="27"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7"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7"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"STA2", SamplingFeatureName:  "White Clay Creek at Station 2", SamplingFeatureDescription:  "", SamplingFeatureGeotypeCV:  "Point", FeatureGeometry:  "", Elevation_m:  "", ElevationDatumCV:  "MSL"}</v>
      </c>
      <c r="P4"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*SamplingFeatureID0003, ExternalIdentifierSystemObj:  *ExternalIdentifierSystemID0003, SamplingFeatureExternalIdentifier:  "ERA", SamplingFeatureExternalIdentifierURI:  "http://app.geosamples.org/sample/igsn/ERA"}</v>
      </c>
      <c r="Q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*SamplingFeatureID0001, SiteTypeCV:  "Stream", Latitude:  39.86347, Longitude:  -75.78473, SpatialReferenceObj:  *SRSID0001}</v>
      </c>
      <c r="R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"Core section", SpecimenMediumCV:  Mineral, IsFieldSpecimen:  "FALSE"}</v>
      </c>
      <c r="S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 s="27"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 s="27"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"Observation", MethodCode:  "Mettler", MethodName:  "Mettler", MethodDescription:  "Measured with a mettler combined pH/Conductivity meter", MethodLink:  "", OrganizationObj: *OrganizationID0001}</v>
      </c>
      <c r="V4" s="27"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&amp;VariableID0001 {VariableTypeCV:  "Water quality", VariableCode:  "pH_mettler", VariableNameCV:  "pH", VariableDefinition:  "", SpecciationCV:  "", NoDataValue:  "NULL"}</v>
      </c>
      <c r="X4" s="27"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7" t="str">
        <f>IF(INDEX(DataColumns[Col'#],ROW()-3)="","PLEASE FILL IN METADATA FOR AT LEAST ONE DATA COLUMN",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4" s="27" t="str">
        <f>IF(INDEX(DataColumns[Col'#],ROW()-3)="","PLEASE FILL IN METADATA FOR AT LEAST ONE DATA COLUMN",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4" s="27" t="str">
        <f>IF(INDEX(DataColumns[Col'#],ROW()-3)="","PLEASE FILL IN METADATA FOR AT LEAST ONE DATA COLUMN",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4" s="27" t="e">
        <f>IF(INDEX(DataColumns[Col'#],ROW()-3)="","PLEASE FILL IN METADATA FOR AT LEAST ONE DATA COLUMN",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4" s="27" t="str">
        <f>IF(INDEX(DataColumns[Col'#],ROW()-3)="","PLEASE FILL IN METADATA FOR AT LEAST ONE DATA COLUMN",
CONCATENATE("  - {DataSetObj: *DataSetID0001, ",
"ResultObj: *ResultID",TEXT(ROW()-3,"0000"),
"}"))</f>
        <v xml:space="preserve">  - {DataSetObj: *DataSetID0001, ResultObj: *ResultID0001}</v>
      </c>
      <c r="AF4" s="27" t="str">
        <f>IF(INDEX(DataColumns[Col'#],ROW()-3)="","PLEASE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*ResultID0001, XLocation:  NULL, XLocationUnitsObj:  "", YLocation:  NULL, YLocationUnitsObj:  "", ZLocation:  NULL, ZLocationUnitsObj:  "", SpatialReferenceObj:  "", IntendedTimeSpacing:  NULL, IntendedTimeSpacingUnitsObj:  "", AggregationStatisticCV:  ""}</v>
      </c>
      <c r="AG4" s="27" t="s">
        <v>1196</v>
      </c>
      <c r="AH4" s="27" t="str">
        <f>IF(INDEX(DataColumns[ColumnLabel],ROW()-3)="",
"PLEASE FILL IN METADATA FOR AT LEAST ONE DATA COLUMN",
CONCATENATE(INDEX(DataColumns[ColumnLabel],ROW()-3)))</f>
        <v>datetime</v>
      </c>
      <c r="AI4" s="27" t="str">
        <f>IF(INDEX(DataColumns[Col'#],ROW()-3)="",
"PLEASE FILL IN METADATA FOR AT LEAST ONE DATA COLUMN",
CONCATENATE("ValueDateTime",", ","ValueDateTimeUTCOffset",", ",INDIRECT(CONCATENATE("R",NumFileColumns+3,"C[-1]"),FALSE)," ],["))</f>
        <v>ValueDateTime, ValueDateTimeUTCOffset, datetime, UTC Offset, sampno, site, samplemethod, Field Sample, Person Name, pH, conductivity, mndoc, alknewgran_ueql, Dionex_Nitrate_N_ppm, icp_ca, dt2, utc2 ],[</v>
      </c>
      <c r="AJ4" s="27" t="s">
        <v>1220</v>
      </c>
      <c r="AK4" s="27">
        <f>SUM(B2:AI2)</f>
        <v>711</v>
      </c>
    </row>
    <row r="5" spans="1:37"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"SpecimenTimeSeries", CreationTool: "Excel Template v1.0.0", DateCreated: "2015-03-23", DateUpdated: "2015-03-23"}</v>
      </c>
      <c r="D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"University", OrganizationCode:  "UMN", OrganizationName:  "University of Minnesota", OrganizationDescription:  "", OrganizationLink:  ""}</v>
      </c>
      <c r="E5"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"Michael", PersonMiddleName:  "D", PersonLastName:  "Gentile"}</v>
      </c>
      <c r="H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"mgentile@stroudcenter.org", PrimaryAddress: "Stroud Water Research Center, 970 Spencer Road, Avondale, PA 19311", PersonLink: NULL}</v>
      </c>
      <c r="L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"WLYATSPENCER", SamplingFeatureName:  "Willy trib at Spencer Road", SamplingFeatureDescription:  "", SamplingFeatureGeotypeCV:  "Point", FeatureGeometry:  "", Elevation_m:  "", ElevationDatumCV:  "MSL"}</v>
      </c>
      <c r="P5"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"AWER", SamplingFeatureExternalIdentifierURI:  "http://app.geosamples.org/sample/igsn/AWER"}</v>
      </c>
      <c r="Q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*SamplingFeatureID0002, SiteTypeCV:  "Stream", Latitude:  39.86217, Longitude:  -75.77877, SpatialReferenceObj:  *SRSID0001}</v>
      </c>
      <c r="R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*SamplingFeatureID0009, SpecimenTypeCV:  "Grab", SpecimenMediumCV:  "1327.533422", IsFieldSpecimen:  "TRUE"}</v>
      </c>
      <c r="S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"Observation", MethodCode:  "Sievers", MethodName:  "DOC_Siev", MethodDescription:  "Measured with a Sievers 900", MethodLink:  "", OrganizationObj: *OrganizationID0001}</v>
      </c>
      <c r="V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&amp;VariableID0002 {VariableTypeCV:  "Water quality", VariableCode:  "cond_mettler", VariableNameCV:  "Specific conductance", VariableDefinition:  "", SpecciationCV:  "", NoDataValue:  "NULL"}</v>
      </c>
      <c r="X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5"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5" s="27" t="str">
        <f t="shared" ref="AC5:AC68" si="1">IF(ROW()-3&gt;NumFileColumns,"",
CONCATENATE("  - {DataSetObj: *DataSetID0001, ",
"ResultObj: *ResultID",TEXT(ROW()-3,"0000"),
"}"))</f>
        <v xml:space="preserve">  - {DataSetObj: *DataSetID0001, ResultObj: *ResultID0002}</v>
      </c>
      <c r="AF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*ResultID0002, XLocation:  NULL, XLocationUnitsObj:  "", YLocation:  NULL, YLocationUnitsObj:  "", ZLocation:  NULL, ZLocationUnitsObj:  "", SpatialReferenceObj:  "", IntendedTimeSpacing:  NULL, IntendedTimeSpacingUnitsObj:  "", AggregationStatisticCV:  ""}</v>
      </c>
      <c r="AG5" s="27" t="s">
        <v>1197</v>
      </c>
      <c r="AH5" s="27" t="str">
        <f>IF(ROW()-3&gt;NumFileColumns,
"",
CONCATENATE(AH4,", ",INDEX(DataColumns[ColumnLabel],ROW()-3)))</f>
        <v>datetime, UTC Offset</v>
      </c>
      <c r="AI5" s="27" t="str">
        <f>IF(NumDataValues=0,"PLEASE FILL IN DATA IN THE DATA VALUES WORKSHEET","")</f>
        <v/>
      </c>
      <c r="AJ5" s="27" t="s">
        <v>1221</v>
      </c>
      <c r="AK5" s="27">
        <f>COUNT(INDIRECT(CONCATENATE("'Data Values'!C2:C96148")))</f>
        <v>277</v>
      </c>
    </row>
    <row r="6" spans="1:37" x14ac:dyDescent="0.25">
      <c r="A6" s="27">
        <f t="shared" si="0"/>
        <v>3</v>
      </c>
      <c r="D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"J", PersonMiddleName:  "Denis", PersonLastName:  "Newbold"}</v>
      </c>
      <c r="H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*OrganizationID0001, IsPrimaryOrganizationContact: NULL, AffiliationStartDate: NULL, AffiliationEndDate: NULL, PrimaryPhone: NULL, PrimaryEmail: "newbold@stroudcenter.org", PrimaryAddress: "Stroud Water Research Center, 970 Spencer Road, Avondale, PA 19311", PersonLink: NULL}</v>
      </c>
      <c r="L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"Site", SamplingFeatureCode:  "WLYMOUTH", SamplingFeatureName:  "Willy trib at White Clay Creek", SamplingFeatureDescription:  "", SamplingFeatureGeotypeCV:  "Point", FeatureGeometry:  "", Elevation_m:  "", ElevationDatumCV:  "MSL"}</v>
      </c>
      <c r="P6" s="27">
        <f>IF(AND(NumIGSNs=0,COUNTIF(DataColumns[ColumnType],"SpecimenIGSN")=0),"",
IF(ROW()-3&gt;NumIGSNs+NumSpecimens,"",
IF(AND(ROW()-3&gt;NumIGSNs,COUNTIF(DataColumns[ColumnType],"SpecimenIGSN")&gt;0),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0</v>
      </c>
      <c r="Q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*SamplingFeatureID0003, SiteTypeCV:  "Stream", Latitude:  39.8615016666666, Longitude:  -75.78305, SpatialReferenceObj:  *SRSID0001}</v>
      </c>
      <c r="R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*SamplingFeatureID0010, SpecimenTypeCV:  "Grab", SpecimenMediumCV:  "PLEASE PUT A SPECIMEN MEDIUM IN ROW 3", IsFieldSpecimen:  "TRUE"}</v>
      </c>
      <c r="S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"Observation", MethodCode:  "Mettler_ALK", MethodName:  "Alkalinity by Autotitration", MethodDescription:  "Alkalinity measured by Autotitration", MethodLink:  "", OrganizationObj: *OrganizationID0001}</v>
      </c>
      <c r="V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"mndoc", VariableNameCV:  "Carbon, dissolved organic", VariableDefinition:  "", SpecciationCV:  "", NoDataValue:  "NULL"}</v>
      </c>
      <c r="X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6"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6" s="27" t="str">
        <f t="shared" si="1"/>
        <v xml:space="preserve">  - {DataSetObj: *DataSetID0001, ResultObj: *ResultID0003}</v>
      </c>
      <c r="AF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*ResultID0003, XLocation:  NULL, XLocationUnitsObj:  "", YLocation:  NULL, YLocationUnitsObj:  "", ZLocation:  NULL, ZLocationUnitsObj:  "", SpatialReferenceObj:  "", IntendedTimeSpacing:  NULL, IntendedTimeSpacingUnitsObj:  "", AggregationStatisticCV:  ""}</v>
      </c>
      <c r="AG6" s="27" t="s">
        <v>1198</v>
      </c>
      <c r="AH6" s="27" t="str">
        <f>IF(ROW()-3&gt;NumFileColumns,
"",
CONCATENATE(AH5,", ",INDEX(DataColumns[ColumnLabel],ROW()-3)))</f>
        <v>datetime, UTC Offset, sampno</v>
      </c>
    </row>
    <row r="7" spans="1:37" x14ac:dyDescent="0.25">
      <c r="A7" s="27">
        <f t="shared" si="0"/>
        <v>4</v>
      </c>
      <c r="D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"Diana", PersonMiddleName:  "L", PersonLastName:  "Karwan"}</v>
      </c>
      <c r="H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&amp;AffiliationID0004 {PersonObj: *PersonID0004, OrganizationObj: *OrganizationID0002, IsPrimaryOrganizationContact: NULL, AffiliationStartDate: NULL, AffiliationEndDate: NULL, PrimaryPhone: NULL, PrimaryEmail: "dlkarwan@umn.edu", PrimaryAddress: "301G Green Hall, 1530 Cleveland Avenue North, St. Paul, MN 55108", PersonLink: NULL}</v>
      </c>
      <c r="L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"Site", SamplingFeatureCode:  "WCCPH", SamplingFeatureName:  "White Clay Creek at SWRC Pumphouse", SamplingFeatureDescription:  "", SamplingFeatureGeotypeCV:  "Point", FeatureGeometry:  "", Elevation_m:  "", ElevationDatumCV:  "MSL"}</v>
      </c>
      <c r="P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*SamplingFeatureID0004, SiteTypeCV:  "Stream", Latitude:  39.86066, Longitude:  -75.783855, SpatialReferenceObj:  *SRSID0001}</v>
      </c>
      <c r="R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*SamplingFeatureID0011, SpecimenTypeCV:  "Grab", SpecimenMediumCV:  "PLEASE PUT A SPECIMEN MEDIUM IN ROW 4", IsFieldSpecimen:  "TRUE"}</v>
      </c>
      <c r="S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"Observation", MethodCode:  "Dionex", MethodName:  "Dionex", MethodDescription:  "Measured with a Dionex Ion Chromatograph", MethodLink:  "", OrganizationObj: *OrganizationID0001}</v>
      </c>
      <c r="V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&amp;VariableID0004 {VariableTypeCV:  "Chemistry", VariableCode:  "alk_auto", VariableNameCV:  "Alkalinity, total", VariableDefinition:  "", SpecciationCV:  "", NoDataValue:  "NULL"}</v>
      </c>
      <c r="X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7"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7" s="27" t="str">
        <f t="shared" si="1"/>
        <v xml:space="preserve">  - {DataSetObj: *DataSetID0001, ResultObj: *ResultID0004}</v>
      </c>
      <c r="AF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*ResultID0004, XLocation:  NULL, XLocationUnitsObj:  "", YLocation:  NULL, YLocationUnitsObj:  "", ZLocation:  NULL, ZLocationUnitsObj:  "", SpatialReferenceObj:  "", IntendedTimeSpacing:  NULL, IntendedTimeSpacingUnitsObj:  "", AggregationStatisticCV:  ""}</v>
      </c>
      <c r="AG7" s="27" t="str">
        <f>IF(INDEX(DataColumns[Col'#],ROW()-3-3)="","PLEASE FILL IN METADATA FOR AT LEAST ONE DATA COLUMN",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0003, Label:  "datetime", ODM2Field:  "DataValue", Result: *ResultID0001, CensorCodeCV:  "", QualiatyCodeCV:  "", TimeAggregationInterval:  , TimeAggregationIntervalUnitsObj:  ""}</v>
      </c>
      <c r="AH7" s="27" t="str">
        <f>IF(ROW()-3&gt;NumFileColumns,
"",
CONCATENATE(AH6,", ",INDEX(DataColumns[ColumnLabel],ROW()-3)))</f>
        <v>datetime, UTC Offset, sampno, site</v>
      </c>
    </row>
    <row r="8" spans="1:37" x14ac:dyDescent="0.25">
      <c r="A8" s="27">
        <f t="shared" si="0"/>
        <v>5</v>
      </c>
      <c r="D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"Sherman", PersonMiddleName:  "L", PersonLastName:  "Roberts"}</v>
      </c>
      <c r="H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&amp;AffiliationID0005 {PersonObj: *PersonID0005, OrganizationObj: *OrganizationID0001, IsPrimaryOrganizationContact: NULL, AffiliationStartDate: NULL, AffiliationEndDate: NULL, PrimaryPhone: NULL, PrimaryEmail: "sroberts@stroudcenter.org", PrimaryAddress: "Stroud Water Research Center, 970 Spencer Road, Avondale, PA 19311", PersonLink: NULL}</v>
      </c>
      <c r="L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"Site", SamplingFeatureCode:  "BOULTON_PATH", SamplingFeatureName:  "Boulton's Trib at the path", SamplingFeatureDescription:  "", SamplingFeatureGeotypeCV:  "Point", FeatureGeometry:  "", Elevation_m:  "", ElevationDatumCV:  "MSL"}</v>
      </c>
      <c r="P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*SamplingFeatureID0005, SiteTypeCV:  "Stream", Latitude:  39.864087, Longitude:  -75.785841, SpatialReferenceObj:  *SRSID0001}</v>
      </c>
      <c r="R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*SamplingFeatureID0012, SpecimenTypeCV:  "Grab", SpecimenMediumCV:  "570.7267648", IsFieldSpecimen:  "TRUE"}</v>
      </c>
      <c r="S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"Observation", MethodCode:  "ICP-OES", MethodName:  "ICP-OES", MethodDescription:  "Measured via an ICP-OES", MethodLink:  "", OrganizationObj: *OrganizationID0001}</v>
      </c>
      <c r="V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&amp;VariableID0005 {VariableTypeCV:  "Chemistry", VariableCode:  "dionex_no3", VariableNameCV:  "Nitrogen, nitrate (NO3)", VariableDefinition:  "", SpecciationCV:  "", NoDataValue:  "NULL"}</v>
      </c>
      <c r="X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8"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8" s="27" t="str">
        <f t="shared" si="1"/>
        <v xml:space="preserve">  - {DataSetObj: *DataSetID0001, ResultObj: *ResultID0005}</v>
      </c>
      <c r="AF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*ResultID0005, XLocation:  NULL, XLocationUnitsObj:  "", YLocation:  NULL, YLocationUnitsObj:  "", ZLocation:  NULL, ZLocationUnitsObj:  "", SpatialReferenceObj:  "", IntendedTimeSpacing:  NULL, IntendedTimeSpacingUnitsObj:  "", AggregationStatisticCV:  ""}</v>
      </c>
      <c r="AG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0004, Label:  "UTC Offset", ODM2Field:  "DataValue", Result: *ResultID0002, CensorCodeCV:  "", QualiatyCodeCV:  "", TimeAggregationInterval:  , TimeAggregationIntervalUnitsObj:  ""}</v>
      </c>
      <c r="AH8" s="27" t="str">
        <f>IF(ROW()-3&gt;NumFileColumns,
"",
CONCATENATE(AH7,", ",INDEX(DataColumns[ColumnLabel],ROW()-3)))</f>
        <v>datetime, UTC Offset, sampno, site, samplemethod</v>
      </c>
    </row>
    <row r="9" spans="1:37" x14ac:dyDescent="0.25">
      <c r="A9" s="27">
        <f t="shared" si="0"/>
        <v>6</v>
      </c>
      <c r="D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&amp;PersonID0006 {PersonFirstName:  "Jennifer", PersonMiddleName:  "R", PersonLastName:  "Matkov"}</v>
      </c>
      <c r="H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&amp;AffiliationID0006 {PersonObj: *PersonID0006, OrganizationObj: *OrganizationID0001, IsPrimaryOrganizationContact: NULL, AffiliationStartDate: NULL, AffiliationEndDate: NULL, PrimaryPhone: NULL, PrimaryEmail: "jmatkov@stroudcenter.org", PrimaryAddress: "Stroud Water Research Center, 970 Spencer Road, Avondale, PA 19311", PersonLink: NULL}</v>
      </c>
      <c r="L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"Site", SamplingFeatureCode:  "WCCLAB", SamplingFeatureName:  "White Clay Creek at Stroud Water Research Center", SamplingFeatureDescription:  "", SamplingFeatureGeotypeCV:  "Point", FeatureGeometry:  "", Elevation_m:  "", ElevationDatumCV:  "MSL"}</v>
      </c>
      <c r="P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*SamplingFeatureID0006, SiteTypeCV:  "Stream", Latitude:  39.8594, Longitude:  -75.78381, SpatialReferenceObj:  *SRSID0001}</v>
      </c>
      <c r="R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*SamplingFeatureID0013, SpecimenTypeCV:  "Grab", SpecimenMediumCV:  "PLEASE PUT A SPECIMEN MEDIUM IN ROW 6", IsFieldSpecimen:  "TRUE"}</v>
      </c>
      <c r="S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&amp;VariableID0006 {VariableTypeCV:  "Chemistry", VariableCode:  "icp_ca", VariableNameCV:  "Calcium, dissolved", VariableDefinition:  "", SpecciationCV:  "", NoDataValue:  "NULL"}</v>
      </c>
      <c r="X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9"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9" s="27" t="str">
        <f t="shared" si="1"/>
        <v xml:space="preserve">  - {DataSetObj: *DataSetID0001, ResultObj: *ResultID0006}</v>
      </c>
      <c r="AF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*ResultID0006, XLocation:  NULL, XLocationUnitsObj:  "", YLocation:  NULL, YLocationUnitsObj:  "", ZLocation:  NULL, ZLocationUnitsObj:  "", SpatialReferenceObj:  "", IntendedTimeSpacing:  NULL, IntendedTimeSpacingUnitsObj:  "", AggregationStatisticCV:  ""}</v>
      </c>
      <c r="AG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0005, Label:  "sampno", ODM2Field:  "DataValue", Result: *ResultID0003, CensorCodeCV:  "", QualiatyCodeCV:  "", TimeAggregationInterval:  , TimeAggregationIntervalUnitsObj:  ""}</v>
      </c>
      <c r="AH9" s="27" t="str">
        <f>IF(ROW()-3&gt;NumFileColumns,
"",
CONCATENATE(AH8,", ",INDEX(DataColumns[ColumnLabel],ROW()-3)))</f>
        <v>datetime, UTC Offset, sampno, site, samplemethod, Field Sample</v>
      </c>
    </row>
    <row r="10" spans="1:37" x14ac:dyDescent="0.25">
      <c r="A10" s="27">
        <f t="shared" si="0"/>
        <v>7</v>
      </c>
      <c r="D1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&amp;SamplingFeatureID0007 {SamplingFeatureUUID:  "", SamplingFeatureTypeCV:  "Site", SamplingFeatureCode:  "WCD478", SamplingFeatureName:  "White Clay Creek, 478m below Spencer Road (Meadow Ltreb site)", SamplingFeatureDescription:  "", SamplingFeatureGeotypeCV:  "Point", FeatureGeometry:  "", Elevation_m:  "", ElevationDatumCV:  "MSL"}</v>
      </c>
      <c r="P1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*SamplingFeatureID0007, SiteTypeCV:  "Stream", Latitude:  39.855431, Longitude:  -75.783973, SpatialReferenceObj:  *SRSID0001}</v>
      </c>
      <c r="R1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*SamplingFeatureID0014, SpecimenTypeCV:  "Grab", SpecimenMediumCV:  "PLEASE PUT A SPECIMEN MEDIUM IN ROW 7", IsFieldSpecimen:  "TRUE"}</v>
      </c>
      <c r="S1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&amp;ActionID0007 {ActionTypeCV:  "Observation", MethodObj: *MethodID0001, BeginDateTime:  NULL, BeginDateTimeUTCOffset:  NULL, EndDateTime:  NULL, EndDateTimeUTCOffset:  NULL, ActionDescription:  "Generic observation action generated by YODA TimeSeries Template", ActionFileLink:  NULL}</v>
      </c>
      <c r="Z10"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0"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0" s="27" t="str">
        <f t="shared" si="1"/>
        <v xml:space="preserve">  - {DataSetObj: *DataSetID0001, ResultObj: *ResultID0007}</v>
      </c>
      <c r="AF1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*ResultID0007, XLocation:  NULL, XLocationUnitsObj:  "", YLocation:  NULL, YLocationUnitsObj:  "", ZLocation:  NULL, ZLocationUnitsObj:  "", SpatialReferenceObj:  "", IntendedTimeSpacing:  NULL, IntendedTimeSpacingUnitsObj:  "", AggregationStatisticCV:  "Average"}</v>
      </c>
      <c r="AG1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0006, Label:  "site", ODM2Field:  "DataValue", Result: *ResultID0004, CensorCodeCV:  "", QualiatyCodeCV:  "", TimeAggregationInterval:  , TimeAggregationIntervalUnitsObj:  ""}</v>
      </c>
      <c r="AH10" s="27" t="str">
        <f>IF(ROW()-3&gt;NumFileColumns,
"",
CONCATENATE(AH9,", ",INDEX(DataColumns[ColumnLabel],ROW()-3)))</f>
        <v>datetime, UTC Offset, sampno, site, samplemethod, Field Sample, Person Name</v>
      </c>
    </row>
    <row r="11" spans="1:37" x14ac:dyDescent="0.25">
      <c r="A11" s="27">
        <f t="shared" si="0"/>
        <v>8</v>
      </c>
      <c r="D1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&amp;SamplingFeatureID0008 {SamplingFeatureUUID:  "", SamplingFeatureTypeCV:  "Specimen", SamplingFeatureCode:  "HI5", SamplingFeatureName:  "", SamplingFeatureDescription:  "", SamplingFeatureGeotypeCV:  "Point", FeatureGeometry:  "", Elevation_m:  "", ElevationDatumCV:  "MSL"}</v>
      </c>
      <c r="P1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*SamplingFeatureID0015, SpecimenTypeCV:  "Automated", SpecimenMediumCV:  "1048.060799", IsFieldSpecimen:  "TRUE"}</v>
      </c>
      <c r="S1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&amp;ActionID0008 {ActionTypeCV:  "Observation", MethodObj: *MethodID0001, BeginDateTime:  NULL, BeginDateTimeUTCOffset:  NULL, EndDateTime:  NULL, EndDateTimeUTCOffset:  NULL, ActionDescription:  "Generic observation action generated by YODA TimeSeries Template", ActionFileLink:  NULL}</v>
      </c>
      <c r="Z11"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1"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1" s="27" t="str">
        <f t="shared" si="1"/>
        <v xml:space="preserve">  - {DataSetObj: *DataSetID0001, ResultObj: *ResultID0008}</v>
      </c>
      <c r="AF1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*ResultID0008, XLocation:  NULL, XLocationUnitsObj:  "", YLocation:  NULL, YLocationUnitsObj:  "", ZLocation:  NULL, ZLocationUnitsObj:  "", SpatialReferenceObj:  "", IntendedTimeSpacing:  NULL, IntendedTimeSpacingUnitsObj:  "", AggregationStatisticCV:  "Average"}</v>
      </c>
      <c r="AG1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0007, Label:  "samplemethod", ODM2Field:  "DataValue", Result: *ResultID0005, CensorCodeCV:  "", QualiatyCodeCV:  "", TimeAggregationInterval:  , TimeAggregationIntervalUnitsObj:  ""}</v>
      </c>
      <c r="AH11" s="27" t="str">
        <f>IF(ROW()-3&gt;NumFileColumns,
"",
CONCATENATE(AH10,", ",INDEX(DataColumns[ColumnLabel],ROW()-3)))</f>
        <v>datetime, UTC Offset, sampno, site, samplemethod, Field Sample, Person Name, pH</v>
      </c>
    </row>
    <row r="12" spans="1:37" x14ac:dyDescent="0.25">
      <c r="A12" s="27">
        <f t="shared" si="0"/>
        <v>9</v>
      </c>
      <c r="D1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&amp;SamplingFeatureID0009 {SamplingFeatureUUID:  "", SamplingFeatureTypeCV:  "Specimen", SamplingFeatureCode:  "1100003", SamplingFeatureName:  "", SamplingFeatureDescription:  "", SamplingFeatureGeotypeCV:  Point, FeatureGeometry:  NULL, Elevation_m:  NULL, ElevationDatumCV:  NULL}</v>
      </c>
      <c r="P1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*SamplingFeatureID0016, SpecimenTypeCV:  "Automated", SpecimenMediumCV:  "876.4265676", IsFieldSpecimen:  "TRUE"}</v>
      </c>
      <c r="S1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&amp;ActionID0009 {ActionTypeCV:  "Observation", MethodObj: *MethodID0002, BeginDateTime:  NULL, BeginDateTimeUTCOffset:  NULL, EndDateTime:  NULL, EndDateTimeUTCOffset:  NULL, ActionDescription:  "Generic observation action generated by YODA TimeSeries Template", ActionFileLink:  NULL}</v>
      </c>
      <c r="Z12"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2"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2" s="27" t="str">
        <f t="shared" si="1"/>
        <v xml:space="preserve">  - {DataSetObj: *DataSetID0001, ResultObj: *ResultID0009}</v>
      </c>
      <c r="AF1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*ResultID0009, XLocation:  NULL, XLocationUnitsObj:  "", YLocation:  NULL, YLocationUnitsObj:  "", ZLocation:  NULL, ZLocationUnitsObj:  "", SpatialReferenceObj:  "", IntendedTimeSpacing:  NULL, IntendedTimeSpacingUnitsObj:  "", AggregationStatisticCV:  "Average"}</v>
      </c>
      <c r="AG1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0008, Label:  "Field Sample", ODM2Field:  "DataValue", Result: *ResultID0006, CensorCodeCV:  "", QualiatyCodeCV:  "", TimeAggregationInterval:  , TimeAggregationIntervalUnitsObj:  ""}</v>
      </c>
      <c r="AH12" s="27" t="str">
        <f>IF(ROW()-3&gt;NumFileColumns,
"",
CONCATENATE(AH11,", ",INDEX(DataColumns[ColumnLabel],ROW()-3)))</f>
        <v>datetime, UTC Offset, sampno, site, samplemethod, Field Sample, Person Name, pH, conductivity</v>
      </c>
    </row>
    <row r="13" spans="1:37" x14ac:dyDescent="0.25">
      <c r="A13" s="27">
        <f t="shared" si="0"/>
        <v>10</v>
      </c>
      <c r="D1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&amp;SamplingFeatureID0010 {SamplingFeatureUUID:  "", SamplingFeatureTypeCV:  "Specimen", SamplingFeatureCode:  "1100072", SamplingFeatureName:  "", SamplingFeatureDescription:  "", SamplingFeatureGeotypeCV:  Point, FeatureGeometry:  NULL, Elevation_m:  NULL, ElevationDatumCV:  NULL}</v>
      </c>
      <c r="P1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*SamplingFeatureID0017, SpecimenTypeCV:  "Automated", SpecimenMediumCV:  "662.4052443", IsFieldSpecimen:  "TRUE"}</v>
      </c>
      <c r="S1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&amp;ActionID0010 {ActionTypeCV:  "Observation", MethodObj: *MethodID0003, BeginDateTime:  NULL, BeginDateTimeUTCOffset:  NULL, EndDateTime:  NULL, EndDateTimeUTCOffset:  NULL, ActionDescription:  "Generic observation action generated by YODA TimeSeries Template", ActionFileLink:  NULL}</v>
      </c>
      <c r="Z13"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3"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3" s="27" t="str">
        <f t="shared" si="1"/>
        <v xml:space="preserve">  - {DataSetObj: *DataSetID0001, ResultObj: *ResultID0010}</v>
      </c>
      <c r="AF1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*ResultID0010, XLocation:  NULL, XLocationUnitsObj:  "", YLocation:  NULL, YLocationUnitsObj:  "", ZLocation:  NULL, ZLocationUnitsObj:  "", SpatialReferenceObj:  "", IntendedTimeSpacing:  NULL, IntendedTimeSpacingUnitsObj:  "", AggregationStatisticCV:  "Average"}</v>
      </c>
      <c r="AG1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0009, Label:  "Person Name", ODM2Field:  "DataValue", Result: *ResultID0007, CensorCodeCV:  "Not censored", QualiatyCodeCV:  "Good", TimeAggregationInterval:  0, TimeAggregationIntervalUnitsObj:  "sec"}</v>
      </c>
      <c r="AH13" s="27" t="str">
        <f>IF(ROW()-3&gt;NumFileColumns,
"",
CONCATENATE(AH12,", ",INDEX(DataColumns[ColumnLabel],ROW()-3)))</f>
        <v>datetime, UTC Offset, sampno, site, samplemethod, Field Sample, Person Name, pH, conductivity, mndoc</v>
      </c>
    </row>
    <row r="14" spans="1:37" x14ac:dyDescent="0.25">
      <c r="A14" s="27">
        <f t="shared" si="0"/>
        <v>11</v>
      </c>
      <c r="D1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&amp;SamplingFeatureID0011 {SamplingFeatureUUID:  "", SamplingFeatureTypeCV:  "Specimen", SamplingFeatureCode:  "1100073", SamplingFeatureName:  "", SamplingFeatureDescription:  "", SamplingFeatureGeotypeCV:  Point, FeatureGeometry:  NULL, Elevation_m:  NULL, ElevationDatumCV:  NULL}</v>
      </c>
      <c r="P1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*SamplingFeatureID0018, SpecimenTypeCV:  "Automated", SpecimenMediumCV:  "557.0374162", IsFieldSpecimen:  "TRUE"}</v>
      </c>
      <c r="S1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&amp;ActionID0011 {ActionTypeCV:  "Observation", MethodObj: *MethodID0004, BeginDateTime:  NULL, BeginDateTimeUTCOffset:  NULL, EndDateTime:  NULL, EndDateTimeUTCOffset:  NULL, ActionDescription:  "Generic observation action generated by YODA TimeSeries Template", ActionFileLink:  NULL}</v>
      </c>
      <c r="Z14"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4"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4" s="27" t="str">
        <f t="shared" si="1"/>
        <v xml:space="preserve">  - {DataSetObj: *DataSetID0001, ResultObj: *ResultID0011}</v>
      </c>
      <c r="AF1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*ResultID0011, XLocation:  NULL, XLocationUnitsObj:  "", YLocation:  NULL, YLocationUnitsObj:  "", ZLocation:  NULL, ZLocationUnitsObj:  "", SpatialReferenceObj:  "", IntendedTimeSpacing:  NULL, IntendedTimeSpacingUnitsObj:  "", AggregationStatisticCV:  "Average"}</v>
      </c>
      <c r="AG1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0010, Label:  "pH", ODM2Field:  "DataValue", Result: *ResultID0008, CensorCodeCV:  "Not censored", QualiatyCodeCV:  "Good", TimeAggregationInterval:  0, TimeAggregationIntervalUnitsObj:  "sec"}</v>
      </c>
      <c r="AH14" s="27" t="str">
        <f>IF(ROW()-3&gt;NumFileColumns,
"",
CONCATENATE(AH13,", ",INDEX(DataColumns[ColumnLabel],ROW()-3)))</f>
        <v>datetime, UTC Offset, sampno, site, samplemethod, Field Sample, Person Name, pH, conductivity, mndoc, alknewgran_ueql</v>
      </c>
    </row>
    <row r="15" spans="1:37" x14ac:dyDescent="0.25">
      <c r="A15" s="27">
        <f t="shared" si="0"/>
        <v>12</v>
      </c>
      <c r="D1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&amp;SamplingFeatureID0012 {SamplingFeatureUUID:  "", SamplingFeatureTypeCV:  "Specimen", SamplingFeatureCode:  "1100185", SamplingFeatureName:  "", SamplingFeatureDescription:  "", SamplingFeatureGeotypeCV:  Point, FeatureGeometry:  NULL, Elevation_m:  NULL, ElevationDatumCV:  NULL}</v>
      </c>
      <c r="P1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*SamplingFeatureID0019, SpecimenTypeCV:  "Automated", SpecimenMediumCV:  "511.9874337", IsFieldSpecimen:  "TRUE"}</v>
      </c>
      <c r="S1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xml:space="preserve">  - &amp;ActionID0012 {ActionTypeCV:  "Observation", MethodObj: *MethodID0005, BeginDateTime:  NULL, BeginDateTimeUTCOffset:  NULL, EndDateTime:  NULL, EndDateTimeUTCOffset:  NULL, ActionDescription:  "Generic observation action generated by YODA TimeSeries Template", ActionFileLink:  NULL}</v>
      </c>
      <c r="Z15" s="27" t="e">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#REF!</v>
      </c>
      <c r="AA1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5"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5" s="27" t="str">
        <f t="shared" si="1"/>
        <v xml:space="preserve">  - {DataSetObj: *DataSetID0001, ResultObj: *ResultID0012}</v>
      </c>
      <c r="AF1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*ResultID0012, XLocation:  NULL, XLocationUnitsObj:  "", YLocation:  NULL, YLocationUnitsObj:  "", ZLocation:  NULL, ZLocationUnitsObj:  "", SpatialReferenceObj:  "", IntendedTimeSpacing:  NULL, IntendedTimeSpacingUnitsObj:  "", AggregationStatisticCV:  "Average"}</v>
      </c>
      <c r="AG1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0011, Label:  "conductivity", ODM2Field:  "DataValue", Result: *ResultID0009, CensorCodeCV:  "Not censored", QualiatyCodeCV:  "Good", TimeAggregationInterval:  0, TimeAggregationIntervalUnitsObj:  "sec"}</v>
      </c>
      <c r="AH15" s="27" t="str">
        <f>IF(ROW()-3&gt;NumFileColumns,
"",
CONCATENATE(AH14,", ",INDEX(DataColumns[ColumnLabel],ROW()-3)))</f>
        <v>datetime, UTC Offset, sampno, site, samplemethod, Field Sample, Person Name, pH, conductivity, mndoc, alknewgran_ueql, Dionex_Nitrate_N_ppm</v>
      </c>
    </row>
    <row r="16" spans="1:37" x14ac:dyDescent="0.25">
      <c r="A16" s="27">
        <f t="shared" si="0"/>
        <v>13</v>
      </c>
      <c r="D1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&amp;SamplingFeatureID0013 {SamplingFeatureUUID:  "", SamplingFeatureTypeCV:  "Specimen", SamplingFeatureCode:  "1100229", SamplingFeatureName:  "", SamplingFeatureDescription:  "", SamplingFeatureGeotypeCV:  Point, FeatureGeometry:  NULL, Elevation_m:  NULL, ElevationDatumCV:  NULL}</v>
      </c>
      <c r="P1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*SamplingFeatureID0020, SpecimenTypeCV:  "Automated", SpecimenMediumCV:  "502.0246935", IsFieldSpecimen:  "TRUE"}</v>
      </c>
      <c r="S1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1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1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6"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6" s="27" t="str">
        <f t="shared" si="1"/>
        <v xml:space="preserve">  - {DataSetObj: *DataSetID0001, ResultObj: *ResultID0013}</v>
      </c>
      <c r="AF1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*ResultID0013, XLocation:  NULL, XLocationUnitsObj:  "", YLocation:  NULL, YLocationUnitsObj:  "", ZLocation:  NULL, ZLocationUnitsObj:  "", SpatialReferenceObj:  "", IntendedTimeSpacing:  NULL, IntendedTimeSpacingUnitsObj:  "", AggregationStatisticCV:  ""}</v>
      </c>
      <c r="AG1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0012, Label:  "mndoc", ODM2Field:  "DataValue", Result: *ResultID0010, CensorCodeCV:  "Not censored", QualiatyCodeCV:  "Good", TimeAggregationInterval:  0, TimeAggregationIntervalUnitsObj:  "sec"}</v>
      </c>
      <c r="AH16" s="27" t="str">
        <f>IF(ROW()-3&gt;NumFileColumns,
"",
CONCATENATE(AH15,", ",INDEX(DataColumns[ColumnLabel],ROW()-3)))</f>
        <v>datetime, UTC Offset, sampno, site, samplemethod, Field Sample, Person Name, pH, conductivity, mndoc, alknewgran_ueql, Dionex_Nitrate_N_ppm, icp_ca</v>
      </c>
    </row>
    <row r="17" spans="1:34" x14ac:dyDescent="0.25">
      <c r="A17" s="27">
        <f t="shared" si="0"/>
        <v>14</v>
      </c>
      <c r="D1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&amp;SamplingFeatureID0014 {SamplingFeatureUUID:  "", SamplingFeatureTypeCV:  "Specimen", SamplingFeatureCode:  "1100230", SamplingFeatureName:  "", SamplingFeatureDescription:  "", SamplingFeatureGeotypeCV:  Point, FeatureGeometry:  NULL, Elevation_m:  NULL, ElevationDatumCV:  NULL}</v>
      </c>
      <c r="P1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*SamplingFeatureID0021, SpecimenTypeCV:  "Automated", SpecimenMediumCV:  "548.4328977", IsFieldSpecimen:  "TRUE"}</v>
      </c>
      <c r="S1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1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1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7"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7" s="27" t="str">
        <f t="shared" si="1"/>
        <v xml:space="preserve">  - {DataSetObj: *DataSetID0001, ResultObj: *ResultID0014}</v>
      </c>
      <c r="AF1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*ResultID0014, XLocation:  NULL, XLocationUnitsObj:  "", YLocation:  NULL, YLocationUnitsObj:  "", ZLocation:  NULL, ZLocationUnitsObj:  "", SpatialReferenceObj:  "", IntendedTimeSpacing:  NULL, IntendedTimeSpacingUnitsObj:  "", AggregationStatisticCV:  ""}</v>
      </c>
      <c r="AG1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0013, Label:  "alknewgran_ueql", ODM2Field:  "DataValue", Result: *ResultID0011, CensorCodeCV:  "Not censored", QualiatyCodeCV:  "Good", TimeAggregationInterval:  0, TimeAggregationIntervalUnitsObj:  "sec"}</v>
      </c>
      <c r="AH17" s="27" t="str">
        <f>IF(ROW()-3&gt;NumFileColumns,
"",
CONCATENATE(AH16,", ",INDEX(DataColumns[ColumnLabel],ROW()-3)))</f>
        <v>datetime, UTC Offset, sampno, site, samplemethod, Field Sample, Person Name, pH, conductivity, mndoc, alknewgran_ueql, Dionex_Nitrate_N_ppm, icp_ca, dt2</v>
      </c>
    </row>
    <row r="18" spans="1:34" x14ac:dyDescent="0.25">
      <c r="A18" s="27">
        <f t="shared" si="0"/>
        <v>15</v>
      </c>
      <c r="D1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&amp;SamplingFeatureID0015 {SamplingFeatureUUID:  "", SamplingFeatureTypeCV:  "Specimen", SamplingFeatureCode:  "1100285", SamplingFeatureName:  "", SamplingFeatureDescription:  "", SamplingFeatureGeotypeCV:  Point, FeatureGeometry:  NULL, Elevation_m:  NULL, ElevationDatumCV:  NULL}</v>
      </c>
      <c r="P1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*SamplingFeatureID0022, SpecimenTypeCV:  "Automated", SpecimenMediumCV:  "586.1183522", IsFieldSpecimen:  "TRUE"}</v>
      </c>
      <c r="S1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1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1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PLEASE FILL IN A PERSON RESPONSIBLE FOR EACH DATA COLUMN</v>
      </c>
      <c r="AB18" s="27" t="e">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8" s="27" t="str">
        <f t="shared" si="1"/>
        <v xml:space="preserve">  - {DataSetObj: *DataSetID0001, ResultObj: *ResultID0015}</v>
      </c>
      <c r="AF1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*ResultID0015, XLocation:  NULL, XLocationUnitsObj:  "", YLocation:  NULL, YLocationUnitsObj:  "", ZLocation:  NULL, ZLocationUnitsObj:  "", SpatialReferenceObj:  "", IntendedTimeSpacing:  NULL, IntendedTimeSpacingUnitsObj:  "", AggregationStatisticCV:  ""}</v>
      </c>
      <c r="AG1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0014, Label:  "Dionex_Nitrate_N_ppm", ODM2Field:  "DataValue", Result: *ResultID0012, CensorCodeCV:  "Not censored", QualiatyCodeCV:  "Good", TimeAggregationInterval:  0, TimeAggregationIntervalUnitsObj:  "sec"}</v>
      </c>
      <c r="AH18" s="27" t="str">
        <f>IF(ROW()-3&gt;NumFileColumns,
"",
CONCATENATE(AH17,", ",INDEX(DataColumns[ColumnLabel],ROW()-3)))</f>
        <v>datetime, UTC Offset, sampno, site, samplemethod, Field Sample, Person Name, pH, conductivity, mndoc, alknewgran_ueql, Dionex_Nitrate_N_ppm, icp_ca, dt2, utc2</v>
      </c>
    </row>
    <row r="19" spans="1:34" x14ac:dyDescent="0.25">
      <c r="A19" s="27">
        <f t="shared" si="0"/>
        <v>16</v>
      </c>
      <c r="D1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&amp;SamplingFeatureID0016 {SamplingFeatureUUID:  "", SamplingFeatureTypeCV:  "Specimen", SamplingFeatureCode:  "1100286", SamplingFeatureName:  "", SamplingFeatureDescription:  "", SamplingFeatureGeotypeCV:  Point, FeatureGeometry:  NULL, Elevation_m:  NULL, ElevationDatumCV:  NULL}</v>
      </c>
      <c r="P1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*SamplingFeatureID0023, SpecimenTypeCV:  "Automated", SpecimenMediumCV:  "813.3572851", IsFieldSpecimen:  "TRUE"}</v>
      </c>
      <c r="S1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 s="27" t="str">
        <f t="shared" si="1"/>
        <v/>
      </c>
      <c r="AF1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0015, Label:  "icp_ca", ODM2Field:  "DataValue", Result: *ResultID0013, CensorCodeCV:  "", QualiatyCodeCV:  "", TimeAggregationInterval:  , TimeAggregationIntervalUnitsObj:  ""}</v>
      </c>
      <c r="AH19" s="27" t="str">
        <f>IF(ROW()-3&gt;NumFileColumns,
"",
CONCATENATE(AH18,", ",INDEX(DataColumns[ColumnLabel],ROW()-3)))</f>
        <v/>
      </c>
    </row>
    <row r="20" spans="1:34" x14ac:dyDescent="0.25">
      <c r="A20" s="27">
        <f t="shared" si="0"/>
        <v>17</v>
      </c>
      <c r="D2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&amp;SamplingFeatureID0017 {SamplingFeatureUUID:  "", SamplingFeatureTypeCV:  "Specimen", SamplingFeatureCode:  "1100287", SamplingFeatureName:  "", SamplingFeatureDescription:  "", SamplingFeatureGeotypeCV:  Point, FeatureGeometry:  NULL, Elevation_m:  NULL, ElevationDatumCV:  NULL}</v>
      </c>
      <c r="P2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*SamplingFeatureID0024, SpecimenTypeCV:  "Automated", SpecimenMediumCV:  "983.3986094", IsFieldSpecimen:  "TRUE"}</v>
      </c>
      <c r="S2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 s="27" t="str">
        <f t="shared" si="1"/>
        <v/>
      </c>
      <c r="AF2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0016, Label:  "dt2", ODM2Field:  "DataValue", Result: *ResultID0014, CensorCodeCV:  "", QualiatyCodeCV:  "", TimeAggregationInterval:  , TimeAggregationIntervalUnitsObj:  ""}</v>
      </c>
      <c r="AH20" s="27" t="str">
        <f>IF(ROW()-3&gt;NumFileColumns,
"",
CONCATENATE(AH19,", ",INDEX(DataColumns[ColumnLabel],ROW()-3)))</f>
        <v/>
      </c>
    </row>
    <row r="21" spans="1:34" x14ac:dyDescent="0.25">
      <c r="A21" s="27">
        <f t="shared" si="0"/>
        <v>18</v>
      </c>
      <c r="D2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&amp;SamplingFeatureID0018 {SamplingFeatureUUID:  "", SamplingFeatureTypeCV:  "Specimen", SamplingFeatureCode:  "1100288", SamplingFeatureName:  "", SamplingFeatureDescription:  "", SamplingFeatureGeotypeCV:  Point, FeatureGeometry:  NULL, Elevation_m:  NULL, ElevationDatumCV:  NULL}</v>
      </c>
      <c r="P2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*SamplingFeatureID0025, SpecimenTypeCV:  "Grab", SpecimenMediumCV:  "1242.057823", IsFieldSpecimen:  "TRUE"}</v>
      </c>
      <c r="S2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 s="27" t="str">
        <f t="shared" si="1"/>
        <v/>
      </c>
      <c r="AF2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0017, Label:  "utc2", ODM2Field:  "DataValue", Result: *ResultID0015, CensorCodeCV:  "", QualiatyCodeCV:  "", TimeAggregationInterval:  , TimeAggregationIntervalUnitsObj:  ""}</v>
      </c>
      <c r="AH21" s="27" t="str">
        <f>IF(ROW()-3&gt;NumFileColumns,
"",
CONCATENATE(AH20,", ",INDEX(DataColumns[ColumnLabel],ROW()-3)))</f>
        <v/>
      </c>
    </row>
    <row r="22" spans="1:34" x14ac:dyDescent="0.25">
      <c r="A22" s="27">
        <f t="shared" si="0"/>
        <v>19</v>
      </c>
      <c r="D2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&amp;SamplingFeatureID0019 {SamplingFeatureUUID:  "", SamplingFeatureTypeCV:  "Specimen", SamplingFeatureCode:  "1100289", SamplingFeatureName:  "", SamplingFeatureDescription:  "", SamplingFeatureGeotypeCV:  Point, FeatureGeometry:  NULL, Elevation_m:  NULL, ElevationDatumCV:  NULL}</v>
      </c>
      <c r="P2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*SamplingFeatureID0026, SpecimenTypeCV:  "Automated", SpecimenMediumCV:  "PLEASE PUT A SPECIMEN MEDIUM IN ROW 19", IsFieldSpecimen:  "TRUE"}</v>
      </c>
      <c r="S2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 s="27" t="str">
        <f t="shared" si="1"/>
        <v/>
      </c>
      <c r="AF2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2" s="27" t="str">
        <f>IF(ROW()-3&gt;NumFileColumns,
"",
CONCATENATE(AH21,", ",INDEX(DataColumns[ColumnLabel],ROW()-3)))</f>
        <v/>
      </c>
    </row>
    <row r="23" spans="1:34" x14ac:dyDescent="0.25">
      <c r="A23" s="27">
        <f t="shared" si="0"/>
        <v>20</v>
      </c>
      <c r="D2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&amp;SamplingFeatureID0020 {SamplingFeatureUUID:  "", SamplingFeatureTypeCV:  "Specimen", SamplingFeatureCode:  "1100290", SamplingFeatureName:  "", SamplingFeatureDescription:  "", SamplingFeatureGeotypeCV:  Point, FeatureGeometry:  NULL, Elevation_m:  NULL, ElevationDatumCV:  NULL}</v>
      </c>
      <c r="P2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*SamplingFeatureID0027, SpecimenTypeCV:  "Automated", SpecimenMediumCV:  "PLEASE PUT A SPECIMEN MEDIUM IN ROW 20", IsFieldSpecimen:  "TRUE"}</v>
      </c>
      <c r="S2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 s="27" t="str">
        <f t="shared" si="1"/>
        <v/>
      </c>
      <c r="AF2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3" s="27" t="str">
        <f>IF(ROW()-3&gt;NumFileColumns,
"",
CONCATENATE(AH22,", ",INDEX(DataColumns[ColumnLabel],ROW()-3)))</f>
        <v/>
      </c>
    </row>
    <row r="24" spans="1:34" x14ac:dyDescent="0.25">
      <c r="A24" s="27">
        <f t="shared" si="0"/>
        <v>21</v>
      </c>
      <c r="D2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&amp;SamplingFeatureID0021 {SamplingFeatureUUID:  "", SamplingFeatureTypeCV:  "Specimen", SamplingFeatureCode:  "1100291", SamplingFeatureName:  "", SamplingFeatureDescription:  "", SamplingFeatureGeotypeCV:  Point, FeatureGeometry:  NULL, Elevation_m:  NULL, ElevationDatumCV:  NULL}</v>
      </c>
      <c r="P2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*SamplingFeatureID0028, SpecimenTypeCV:  "Automated", SpecimenMediumCV:  "PLEASE PUT A SPECIMEN MEDIUM IN ROW 21", IsFieldSpecimen:  "TRUE"}</v>
      </c>
      <c r="S2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 s="27" t="str">
        <f t="shared" si="1"/>
        <v/>
      </c>
      <c r="AF2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4" s="27" t="str">
        <f>IF(ROW()-3&gt;NumFileColumns,
"",
CONCATENATE(AH23,", ",INDEX(DataColumns[ColumnLabel],ROW()-3)))</f>
        <v/>
      </c>
    </row>
    <row r="25" spans="1:34" x14ac:dyDescent="0.25">
      <c r="A25" s="27">
        <f t="shared" si="0"/>
        <v>22</v>
      </c>
      <c r="D2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&amp;SamplingFeatureID0022 {SamplingFeatureUUID:  "", SamplingFeatureTypeCV:  "Specimen", SamplingFeatureCode:  "1100292", SamplingFeatureName:  "", SamplingFeatureDescription:  "", SamplingFeatureGeotypeCV:  Point, FeatureGeometry:  NULL, Elevation_m:  NULL, ElevationDatumCV:  NULL}</v>
      </c>
      <c r="P2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*SamplingFeatureID0029, SpecimenTypeCV:  "Automated", SpecimenMediumCV:  "PLEASE PUT A SPECIMEN MEDIUM IN ROW 22", IsFieldSpecimen:  "TRUE"}</v>
      </c>
      <c r="S2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 s="27" t="str">
        <f t="shared" si="1"/>
        <v/>
      </c>
      <c r="AF2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5" s="27" t="str">
        <f>IF(ROW()-3&gt;NumFileColumns,
"",
CONCATENATE(AH24,", ",INDEX(DataColumns[ColumnLabel],ROW()-3)))</f>
        <v/>
      </c>
    </row>
    <row r="26" spans="1:34" x14ac:dyDescent="0.25">
      <c r="A26" s="27">
        <f t="shared" si="0"/>
        <v>23</v>
      </c>
      <c r="D2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&amp;SamplingFeatureID0023 {SamplingFeatureUUID:  "", SamplingFeatureTypeCV:  "Specimen", SamplingFeatureCode:  "1100293", SamplingFeatureName:  "", SamplingFeatureDescription:  "", SamplingFeatureGeotypeCV:  Point, FeatureGeometry:  NULL, Elevation_m:  NULL, ElevationDatumCV:  NULL}</v>
      </c>
      <c r="P2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*SamplingFeatureID0030, SpecimenTypeCV:  "Automated", SpecimenMediumCV:  "PLEASE PUT A SPECIMEN MEDIUM IN ROW 23", IsFieldSpecimen:  "TRUE"}</v>
      </c>
      <c r="S2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 s="27" t="str">
        <f t="shared" si="1"/>
        <v/>
      </c>
      <c r="AF2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6" s="27" t="str">
        <f>IF(ROW()-3&gt;NumFileColumns,
"",
CONCATENATE(AH25,", ",INDEX(DataColumns[ColumnLabel],ROW()-3)))</f>
        <v/>
      </c>
    </row>
    <row r="27" spans="1:34" x14ac:dyDescent="0.25">
      <c r="A27" s="27">
        <f t="shared" si="0"/>
        <v>24</v>
      </c>
      <c r="D2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&amp;SamplingFeatureID0024 {SamplingFeatureUUID:  "", SamplingFeatureTypeCV:  "Specimen", SamplingFeatureCode:  "1100294", SamplingFeatureName:  "", SamplingFeatureDescription:  "", SamplingFeatureGeotypeCV:  Point, FeatureGeometry:  NULL, Elevation_m:  NULL, ElevationDatumCV:  NULL}</v>
      </c>
      <c r="P2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*SamplingFeatureID0031, SpecimenTypeCV:  "Automated", SpecimenMediumCV:  "PLEASE PUT A SPECIMEN MEDIUM IN ROW 24", IsFieldSpecimen:  "TRUE"}</v>
      </c>
      <c r="S2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 s="27" t="str">
        <f t="shared" si="1"/>
        <v/>
      </c>
      <c r="AF2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7" s="27" t="str">
        <f>IF(ROW()-3&gt;NumFileColumns,
"",
CONCATENATE(AH26,", ",INDEX(DataColumns[ColumnLabel],ROW()-3)))</f>
        <v/>
      </c>
    </row>
    <row r="28" spans="1:34" x14ac:dyDescent="0.25">
      <c r="A28" s="27">
        <f t="shared" si="0"/>
        <v>25</v>
      </c>
      <c r="D2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&amp;SamplingFeatureID0025 {SamplingFeatureUUID:  "", SamplingFeatureTypeCV:  "Specimen", SamplingFeatureCode:  "1100338", SamplingFeatureName:  "", SamplingFeatureDescription:  "", SamplingFeatureGeotypeCV:  Point, FeatureGeometry:  NULL, Elevation_m:  NULL, ElevationDatumCV:  NULL}</v>
      </c>
      <c r="P2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*SamplingFeatureID0032, SpecimenTypeCV:  "Automated", SpecimenMediumCV:  "PLEASE PUT A SPECIMEN MEDIUM IN ROW 25", IsFieldSpecimen:  "TRUE"}</v>
      </c>
      <c r="S2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 s="27" t="str">
        <f t="shared" si="1"/>
        <v/>
      </c>
      <c r="AF2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8" s="27" t="str">
        <f>IF(ROW()-3&gt;NumFileColumns,
"",
CONCATENATE(AH27,", ",INDEX(DataColumns[ColumnLabel],ROW()-3)))</f>
        <v/>
      </c>
    </row>
    <row r="29" spans="1:34" x14ac:dyDescent="0.25">
      <c r="A29" s="27">
        <f t="shared" si="0"/>
        <v>26</v>
      </c>
      <c r="D2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&amp;SamplingFeatureID0026 {SamplingFeatureUUID:  "", SamplingFeatureTypeCV:  "Specimen", SamplingFeatureCode:  "1100356", SamplingFeatureName:  "", SamplingFeatureDescription:  "", SamplingFeatureGeotypeCV:  Point, FeatureGeometry:  NULL, Elevation_m:  NULL, ElevationDatumCV:  NULL}</v>
      </c>
      <c r="P2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*SamplingFeatureID0033, SpecimenTypeCV:  "Automated", SpecimenMediumCV:  "PLEASE PUT A SPECIMEN MEDIUM IN ROW 26", IsFieldSpecimen:  "TRUE"}</v>
      </c>
      <c r="S2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9" s="27" t="str">
        <f t="shared" si="1"/>
        <v/>
      </c>
      <c r="AF2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9" s="27" t="str">
        <f>IF(ROW()-3&gt;NumFileColumns,
"",
CONCATENATE(AH28,", ",INDEX(DataColumns[ColumnLabel],ROW()-3)))</f>
        <v/>
      </c>
    </row>
    <row r="30" spans="1:34" x14ac:dyDescent="0.25">
      <c r="A30" s="27">
        <f t="shared" si="0"/>
        <v>27</v>
      </c>
      <c r="D3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&amp;SamplingFeatureID0027 {SamplingFeatureUUID:  "", SamplingFeatureTypeCV:  "Specimen", SamplingFeatureCode:  "1100357", SamplingFeatureName:  "", SamplingFeatureDescription:  "", SamplingFeatureGeotypeCV:  Point, FeatureGeometry:  NULL, Elevation_m:  NULL, ElevationDatumCV:  NULL}</v>
      </c>
      <c r="P3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*SamplingFeatureID0034, SpecimenTypeCV:  "Automated", SpecimenMediumCV:  "PLEASE PUT A SPECIMEN MEDIUM IN ROW 27", IsFieldSpecimen:  "TRUE"}</v>
      </c>
      <c r="S3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0" s="27" t="str">
        <f t="shared" si="1"/>
        <v/>
      </c>
      <c r="AF3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0" s="27" t="str">
        <f>IF(ROW()-3&gt;NumFileColumns,
"",
CONCATENATE(AH29,", ",INDEX(DataColumns[ColumnLabel],ROW()-3)))</f>
        <v/>
      </c>
    </row>
    <row r="31" spans="1:34" x14ac:dyDescent="0.25">
      <c r="A31" s="27">
        <f t="shared" si="0"/>
        <v>28</v>
      </c>
      <c r="D3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&amp;SamplingFeatureID0028 {SamplingFeatureUUID:  "", SamplingFeatureTypeCV:  "Specimen", SamplingFeatureCode:  "1100358", SamplingFeatureName:  "", SamplingFeatureDescription:  "", SamplingFeatureGeotypeCV:  Point, FeatureGeometry:  NULL, Elevation_m:  NULL, ElevationDatumCV:  NULL}</v>
      </c>
      <c r="P3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*SamplingFeatureID0035, SpecimenTypeCV:  "Automated", SpecimenMediumCV:  "PLEASE PUT A SPECIMEN MEDIUM IN ROW 28", IsFieldSpecimen:  "TRUE"}</v>
      </c>
      <c r="S3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1" s="27" t="str">
        <f t="shared" si="1"/>
        <v/>
      </c>
      <c r="AF3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1" s="27" t="str">
        <f>IF(ROW()-3&gt;NumFileColumns,
"",
CONCATENATE(AH30,", ",INDEX(DataColumns[ColumnLabel],ROW()-3)))</f>
        <v/>
      </c>
    </row>
    <row r="32" spans="1:34" x14ac:dyDescent="0.25">
      <c r="A32" s="27">
        <f t="shared" si="0"/>
        <v>29</v>
      </c>
      <c r="D3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&amp;SamplingFeatureID0029 {SamplingFeatureUUID:  "", SamplingFeatureTypeCV:  "Specimen", SamplingFeatureCode:  "1100359", SamplingFeatureName:  "", SamplingFeatureDescription:  "", SamplingFeatureGeotypeCV:  Point, FeatureGeometry:  NULL, Elevation_m:  NULL, ElevationDatumCV:  NULL}</v>
      </c>
      <c r="P3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*SamplingFeatureID0036, SpecimenTypeCV:  "Automated", SpecimenMediumCV:  "PLEASE PUT A SPECIMEN MEDIUM IN ROW 29", IsFieldSpecimen:  "TRUE"}</v>
      </c>
      <c r="S3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2" s="27" t="str">
        <f t="shared" si="1"/>
        <v/>
      </c>
      <c r="AF3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2" s="27" t="str">
        <f>IF(ROW()-3&gt;NumFileColumns,
"",
CONCATENATE(AH31,", ",INDEX(DataColumns[ColumnLabel],ROW()-3)))</f>
        <v/>
      </c>
    </row>
    <row r="33" spans="1:34" x14ac:dyDescent="0.25">
      <c r="A33" s="27">
        <f t="shared" si="0"/>
        <v>30</v>
      </c>
      <c r="D3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&amp;SamplingFeatureID0030 {SamplingFeatureUUID:  "", SamplingFeatureTypeCV:  "Specimen", SamplingFeatureCode:  "1100360", SamplingFeatureName:  "", SamplingFeatureDescription:  "", SamplingFeatureGeotypeCV:  Point, FeatureGeometry:  NULL, Elevation_m:  NULL, ElevationDatumCV:  NULL}</v>
      </c>
      <c r="P3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*SamplingFeatureID0037, SpecimenTypeCV:  "Automated", SpecimenMediumCV:  "PLEASE PUT A SPECIMEN MEDIUM IN ROW 30", IsFieldSpecimen:  "TRUE"}</v>
      </c>
      <c r="S3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3" s="27" t="str">
        <f t="shared" si="1"/>
        <v/>
      </c>
      <c r="AF3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3" s="27" t="str">
        <f>IF(ROW()-3&gt;NumFileColumns,
"",
CONCATENATE(AH32,", ",INDEX(DataColumns[ColumnLabel],ROW()-3)))</f>
        <v/>
      </c>
    </row>
    <row r="34" spans="1:34" x14ac:dyDescent="0.25">
      <c r="A34" s="27">
        <f t="shared" si="0"/>
        <v>31</v>
      </c>
      <c r="D3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&amp;SamplingFeatureID0031 {SamplingFeatureUUID:  "", SamplingFeatureTypeCV:  "Specimen", SamplingFeatureCode:  "1100361", SamplingFeatureName:  "", SamplingFeatureDescription:  "", SamplingFeatureGeotypeCV:  Point, FeatureGeometry:  NULL, Elevation_m:  NULL, ElevationDatumCV:  NULL}</v>
      </c>
      <c r="P3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*SamplingFeatureID0038, SpecimenTypeCV:  "Grab", SpecimenMediumCV:  "PLEASE PUT A SPECIMEN MEDIUM IN ROW 31", IsFieldSpecimen:  "TRUE"}</v>
      </c>
      <c r="S3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4" s="27" t="str">
        <f t="shared" si="1"/>
        <v/>
      </c>
      <c r="AF3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4" s="27" t="str">
        <f>IF(ROW()-3&gt;NumFileColumns,
"",
CONCATENATE(AH33,", ",INDEX(DataColumns[ColumnLabel],ROW()-3)))</f>
        <v/>
      </c>
    </row>
    <row r="35" spans="1:34" x14ac:dyDescent="0.25">
      <c r="A35" s="27">
        <f t="shared" si="0"/>
        <v>32</v>
      </c>
      <c r="D3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&amp;SamplingFeatureID0032 {SamplingFeatureUUID:  "", SamplingFeatureTypeCV:  "Specimen", SamplingFeatureCode:  "1100362", SamplingFeatureName:  "", SamplingFeatureDescription:  "", SamplingFeatureGeotypeCV:  Point, FeatureGeometry:  NULL, Elevation_m:  NULL, ElevationDatumCV:  NULL}</v>
      </c>
      <c r="P3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*SamplingFeatureID0039, SpecimenTypeCV:  "Grab", SpecimenMediumCV:  "PLEASE PUT A SPECIMEN MEDIUM IN ROW 32", IsFieldSpecimen:  "TRUE"}</v>
      </c>
      <c r="S3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5" s="27" t="str">
        <f t="shared" si="1"/>
        <v/>
      </c>
      <c r="AF3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5" s="27" t="str">
        <f>IF(ROW()-3&gt;NumFileColumns,
"",
CONCATENATE(AH34,", ",INDEX(DataColumns[ColumnLabel],ROW()-3)))</f>
        <v/>
      </c>
    </row>
    <row r="36" spans="1:34" x14ac:dyDescent="0.25">
      <c r="A36" s="27">
        <f t="shared" si="0"/>
        <v>33</v>
      </c>
      <c r="D3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&amp;SamplingFeatureID0033 {SamplingFeatureUUID:  "", SamplingFeatureTypeCV:  "Specimen", SamplingFeatureCode:  "1100363", SamplingFeatureName:  "", SamplingFeatureDescription:  "", SamplingFeatureGeotypeCV:  Point, FeatureGeometry:  NULL, Elevation_m:  NULL, ElevationDatumCV:  NULL}</v>
      </c>
      <c r="P3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*SamplingFeatureID0040, SpecimenTypeCV:  "Grab", SpecimenMediumCV:  "1208.046491", IsFieldSpecimen:  "TRUE"}</v>
      </c>
      <c r="S3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6" s="27" t="str">
        <f t="shared" si="1"/>
        <v/>
      </c>
      <c r="AF3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6" s="27" t="str">
        <f>IF(ROW()-3&gt;NumFileColumns,
"",
CONCATENATE(AH35,", ",INDEX(DataColumns[ColumnLabel],ROW()-3)))</f>
        <v/>
      </c>
    </row>
    <row r="37" spans="1:34" x14ac:dyDescent="0.25">
      <c r="A37" s="27">
        <f t="shared" si="0"/>
        <v>34</v>
      </c>
      <c r="D3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&amp;SamplingFeatureID0034 {SamplingFeatureUUID:  "", SamplingFeatureTypeCV:  "Specimen", SamplingFeatureCode:  "1100364", SamplingFeatureName:  "", SamplingFeatureDescription:  "", SamplingFeatureGeotypeCV:  Point, FeatureGeometry:  NULL, Elevation_m:  NULL, ElevationDatumCV:  NULL}</v>
      </c>
      <c r="P3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*SamplingFeatureID0041, SpecimenTypeCV:  "Grab", SpecimenMediumCV:  "PLEASE PUT A SPECIMEN MEDIUM IN ROW 34", IsFieldSpecimen:  "TRUE"}</v>
      </c>
      <c r="S3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7" s="27" t="str">
        <f t="shared" si="1"/>
        <v/>
      </c>
      <c r="AF3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7" s="27" t="str">
        <f>IF(ROW()-3&gt;NumFileColumns,
"",
CONCATENATE(AH36,", ",INDEX(DataColumns[ColumnLabel],ROW()-3)))</f>
        <v/>
      </c>
    </row>
    <row r="38" spans="1:34" x14ac:dyDescent="0.25">
      <c r="A38" s="27">
        <f t="shared" si="0"/>
        <v>35</v>
      </c>
      <c r="D3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&amp;SamplingFeatureID0035 {SamplingFeatureUUID:  "", SamplingFeatureTypeCV:  "Specimen", SamplingFeatureCode:  "1100365", SamplingFeatureName:  "", SamplingFeatureDescription:  "", SamplingFeatureGeotypeCV:  Point, FeatureGeometry:  NULL, Elevation_m:  NULL, ElevationDatumCV:  NULL}</v>
      </c>
      <c r="P3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*SamplingFeatureID0042, SpecimenTypeCV:  "Grab", SpecimenMediumCV:  "PLEASE PUT A SPECIMEN MEDIUM IN ROW 35", IsFieldSpecimen:  "TRUE"}</v>
      </c>
      <c r="S3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8" s="27" t="str">
        <f t="shared" si="1"/>
        <v/>
      </c>
      <c r="AF3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8" s="27" t="str">
        <f>IF(ROW()-3&gt;NumFileColumns,
"",
CONCATENATE(AH37,", ",INDEX(DataColumns[ColumnLabel],ROW()-3)))</f>
        <v/>
      </c>
    </row>
    <row r="39" spans="1:34" x14ac:dyDescent="0.25">
      <c r="A39" s="27">
        <f t="shared" si="0"/>
        <v>36</v>
      </c>
      <c r="D3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3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3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3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3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&amp;SamplingFeatureID0036 {SamplingFeatureUUID:  "", SamplingFeatureTypeCV:  "Specimen", SamplingFeatureCode:  "1100366", SamplingFeatureName:  "", SamplingFeatureDescription:  "", SamplingFeatureGeotypeCV:  Point, FeatureGeometry:  NULL, Elevation_m:  NULL, ElevationDatumCV:  NULL}</v>
      </c>
      <c r="P3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3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*SamplingFeatureID0043, SpecimenTypeCV:  "Automated", SpecimenMediumCV:  "PLEASE PUT A SPECIMEN MEDIUM IN ROW 36", IsFieldSpecimen:  "TRUE"}</v>
      </c>
      <c r="S3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3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3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3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3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3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3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3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3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9" s="27" t="str">
        <f t="shared" si="1"/>
        <v/>
      </c>
      <c r="AF3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9" s="27" t="str">
        <f>IF(ROW()-3&gt;NumFileColumns,
"",
CONCATENATE(AH38,", ",INDEX(DataColumns[ColumnLabel],ROW()-3)))</f>
        <v/>
      </c>
    </row>
    <row r="40" spans="1:34" x14ac:dyDescent="0.25">
      <c r="A40" s="27">
        <f t="shared" si="0"/>
        <v>37</v>
      </c>
      <c r="D4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&amp;SamplingFeatureID0037 {SamplingFeatureUUID:  "", SamplingFeatureTypeCV:  "Specimen", SamplingFeatureCode:  "1100367", SamplingFeatureName:  "", SamplingFeatureDescription:  "", SamplingFeatureGeotypeCV:  Point, FeatureGeometry:  NULL, Elevation_m:  NULL, ElevationDatumCV:  NULL}</v>
      </c>
      <c r="P4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*SamplingFeatureID0044, SpecimenTypeCV:  "Automated", SpecimenMediumCV:  "PLEASE PUT A SPECIMEN MEDIUM IN ROW 37", IsFieldSpecimen:  "TRUE"}</v>
      </c>
      <c r="S4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0" s="27" t="str">
        <f t="shared" si="1"/>
        <v/>
      </c>
      <c r="AF4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0" s="27" t="str">
        <f>IF(ROW()-3&gt;NumFileColumns,
"",
CONCATENATE(AH39,", ",INDEX(DataColumns[ColumnLabel],ROW()-3)))</f>
        <v/>
      </c>
    </row>
    <row r="41" spans="1:34" x14ac:dyDescent="0.25">
      <c r="A41" s="27">
        <f t="shared" si="0"/>
        <v>38</v>
      </c>
      <c r="D4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&amp;SamplingFeatureID0038 {SamplingFeatureUUID:  "", SamplingFeatureTypeCV:  "Specimen", SamplingFeatureCode:  "1100429", SamplingFeatureName:  "", SamplingFeatureDescription:  "", SamplingFeatureGeotypeCV:  Point, FeatureGeometry:  NULL, Elevation_m:  NULL, ElevationDatumCV:  NULL}</v>
      </c>
      <c r="P4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*SamplingFeatureID0045, SpecimenTypeCV:  "Automated", SpecimenMediumCV:  "PLEASE PUT A SPECIMEN MEDIUM IN ROW 38", IsFieldSpecimen:  "TRUE"}</v>
      </c>
      <c r="S4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1" s="27" t="str">
        <f t="shared" si="1"/>
        <v/>
      </c>
      <c r="AF4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1" s="27" t="str">
        <f>IF(ROW()-3&gt;NumFileColumns,
"",
CONCATENATE(AH40,", ",INDEX(DataColumns[ColumnLabel],ROW()-3)))</f>
        <v/>
      </c>
    </row>
    <row r="42" spans="1:34" x14ac:dyDescent="0.25">
      <c r="A42" s="27">
        <f t="shared" si="0"/>
        <v>39</v>
      </c>
      <c r="D4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&amp;SamplingFeatureID0039 {SamplingFeatureUUID:  "", SamplingFeatureTypeCV:  "Specimen", SamplingFeatureCode:  "1100430", SamplingFeatureName:  "", SamplingFeatureDescription:  "", SamplingFeatureGeotypeCV:  Point, FeatureGeometry:  NULL, Elevation_m:  NULL, ElevationDatumCV:  NULL}</v>
      </c>
      <c r="P4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*SamplingFeatureID0046, SpecimenTypeCV:  "Automated", SpecimenMediumCV:  "1073.61656", IsFieldSpecimen:  "TRUE"}</v>
      </c>
      <c r="S4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2" s="27" t="str">
        <f t="shared" si="1"/>
        <v/>
      </c>
      <c r="AF4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2" s="27" t="str">
        <f>IF(ROW()-3&gt;NumFileColumns,
"",
CONCATENATE(AH41,", ",INDEX(DataColumns[ColumnLabel],ROW()-3)))</f>
        <v/>
      </c>
    </row>
    <row r="43" spans="1:34" x14ac:dyDescent="0.25">
      <c r="A43" s="27">
        <f t="shared" si="0"/>
        <v>40</v>
      </c>
      <c r="D4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&amp;SamplingFeatureID0040 {SamplingFeatureUUID:  "", SamplingFeatureTypeCV:  "Specimen", SamplingFeatureCode:  "1100553", SamplingFeatureName:  "", SamplingFeatureDescription:  "", SamplingFeatureGeotypeCV:  Point, FeatureGeometry:  NULL, Elevation_m:  NULL, ElevationDatumCV:  NULL}</v>
      </c>
      <c r="P4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*SamplingFeatureID0047, SpecimenTypeCV:  "Automated", SpecimenMediumCV:  "784.6809348", IsFieldSpecimen:  "TRUE"}</v>
      </c>
      <c r="S4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3" s="27" t="str">
        <f t="shared" si="1"/>
        <v/>
      </c>
      <c r="AF4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3" s="27" t="str">
        <f>IF(ROW()-3&gt;NumFileColumns,
"",
CONCATENATE(AH42,", ",INDEX(DataColumns[ColumnLabel],ROW()-3)))</f>
        <v/>
      </c>
    </row>
    <row r="44" spans="1:34" x14ac:dyDescent="0.25">
      <c r="A44" s="27">
        <f t="shared" si="0"/>
        <v>41</v>
      </c>
      <c r="D4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&amp;SamplingFeatureID0041 {SamplingFeatureUUID:  "", SamplingFeatureTypeCV:  "Specimen", SamplingFeatureCode:  "1100563", SamplingFeatureName:  "", SamplingFeatureDescription:  "", SamplingFeatureGeotypeCV:  Point, FeatureGeometry:  NULL, Elevation_m:  NULL, ElevationDatumCV:  NULL}</v>
      </c>
      <c r="P4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*SamplingFeatureID0048, SpecimenTypeCV:  "Automated", SpecimenMediumCV:  "634.0302408", IsFieldSpecimen:  "TRUE"}</v>
      </c>
      <c r="S4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4" s="27" t="str">
        <f t="shared" si="1"/>
        <v/>
      </c>
      <c r="AF4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4" s="27" t="str">
        <f>IF(ROW()-3&gt;NumFileColumns,
"",
CONCATENATE(AH43,", ",INDEX(DataColumns[ColumnLabel],ROW()-3)))</f>
        <v/>
      </c>
    </row>
    <row r="45" spans="1:34" x14ac:dyDescent="0.25">
      <c r="A45" s="27">
        <f t="shared" si="0"/>
        <v>42</v>
      </c>
      <c r="D4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&amp;SamplingFeatureID0042 {SamplingFeatureUUID:  "", SamplingFeatureTypeCV:  "Specimen", SamplingFeatureCode:  "1100564", SamplingFeatureName:  "", SamplingFeatureDescription:  "", SamplingFeatureGeotypeCV:  Point, FeatureGeometry:  NULL, Elevation_m:  NULL, ElevationDatumCV:  NULL}</v>
      </c>
      <c r="P4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*SamplingFeatureID0049, SpecimenTypeCV:  "Automated", SpecimenMediumCV:  "564.2048987", IsFieldSpecimen:  "TRUE"}</v>
      </c>
      <c r="S4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5" s="27" t="str">
        <f t="shared" si="1"/>
        <v/>
      </c>
      <c r="AF4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5" s="27" t="str">
        <f>IF(ROW()-3&gt;NumFileColumns,
"",
CONCATENATE(AH44,", ",INDEX(DataColumns[ColumnLabel],ROW()-3)))</f>
        <v/>
      </c>
    </row>
    <row r="46" spans="1:34" x14ac:dyDescent="0.25">
      <c r="A46" s="27">
        <f t="shared" si="0"/>
        <v>43</v>
      </c>
      <c r="D4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&amp;SamplingFeatureID0043 {SamplingFeatureUUID:  "", SamplingFeatureTypeCV:  "Specimen", SamplingFeatureCode:  "1100585", SamplingFeatureName:  "", SamplingFeatureDescription:  "", SamplingFeatureGeotypeCV:  Point, FeatureGeometry:  NULL, Elevation_m:  NULL, ElevationDatumCV:  NULL}</v>
      </c>
      <c r="P4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*SamplingFeatureID0050, SpecimenTypeCV:  "Automated", SpecimenMediumCV:  "495.1921279", IsFieldSpecimen:  "TRUE"}</v>
      </c>
      <c r="S4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6" s="27" t="str">
        <f t="shared" si="1"/>
        <v/>
      </c>
      <c r="AF4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6" s="27" t="str">
        <f>IF(ROW()-3&gt;NumFileColumns,
"",
CONCATENATE(AH45,", ",INDEX(DataColumns[ColumnLabel],ROW()-3)))</f>
        <v/>
      </c>
    </row>
    <row r="47" spans="1:34" x14ac:dyDescent="0.25">
      <c r="A47" s="27">
        <f t="shared" si="0"/>
        <v>44</v>
      </c>
      <c r="D4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&amp;SamplingFeatureID0044 {SamplingFeatureUUID:  "", SamplingFeatureTypeCV:  "Specimen", SamplingFeatureCode:  "1100586", SamplingFeatureName:  "", SamplingFeatureDescription:  "", SamplingFeatureGeotypeCV:  Point, FeatureGeometry:  NULL, Elevation_m:  NULL, ElevationDatumCV:  NULL}</v>
      </c>
      <c r="P4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*SamplingFeatureID0051, SpecimenTypeCV:  "Automated", SpecimenMediumCV:  "552.5075184", IsFieldSpecimen:  "TRUE"}</v>
      </c>
      <c r="S4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7" s="27" t="str">
        <f t="shared" si="1"/>
        <v/>
      </c>
      <c r="AF4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7" s="27" t="str">
        <f>IF(ROW()-3&gt;NumFileColumns,
"",
CONCATENATE(AH46,", ",INDEX(DataColumns[ColumnLabel],ROW()-3)))</f>
        <v/>
      </c>
    </row>
    <row r="48" spans="1:34" x14ac:dyDescent="0.25">
      <c r="A48" s="27">
        <f t="shared" si="0"/>
        <v>45</v>
      </c>
      <c r="D4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&amp;SamplingFeatureID0045 {SamplingFeatureUUID:  "", SamplingFeatureTypeCV:  "Specimen", SamplingFeatureCode:  "1100587", SamplingFeatureName:  "", SamplingFeatureDescription:  "", SamplingFeatureGeotypeCV:  Point, FeatureGeometry:  NULL, Elevation_m:  NULL, ElevationDatumCV:  NULL}</v>
      </c>
      <c r="P4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*SamplingFeatureID0052, SpecimenTypeCV:  "Automated", SpecimenMediumCV:  "621.7713318", IsFieldSpecimen:  "TRUE"}</v>
      </c>
      <c r="S4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8" s="27" t="str">
        <f t="shared" si="1"/>
        <v/>
      </c>
      <c r="AF4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8" s="27" t="str">
        <f>IF(ROW()-3&gt;NumFileColumns,
"",
CONCATENATE(AH47,", ",INDEX(DataColumns[ColumnLabel],ROW()-3)))</f>
        <v/>
      </c>
    </row>
    <row r="49" spans="1:34" x14ac:dyDescent="0.25">
      <c r="A49" s="27">
        <f t="shared" si="0"/>
        <v>46</v>
      </c>
      <c r="D4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4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4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4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4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&amp;SamplingFeatureID0046 {SamplingFeatureUUID:  "", SamplingFeatureTypeCV:  "Specimen", SamplingFeatureCode:  "1100604", SamplingFeatureName:  "", SamplingFeatureDescription:  "", SamplingFeatureGeotypeCV:  Point, FeatureGeometry:  NULL, Elevation_m:  NULL, ElevationDatumCV:  NULL}</v>
      </c>
      <c r="P4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4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*SamplingFeatureID0053, SpecimenTypeCV:  "Automated", SpecimenMediumCV:  "763.095916", IsFieldSpecimen:  "TRUE"}</v>
      </c>
      <c r="S4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4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4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4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4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4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4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4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4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9" s="27" t="str">
        <f t="shared" si="1"/>
        <v/>
      </c>
      <c r="AF4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9" s="27" t="str">
        <f>IF(ROW()-3&gt;NumFileColumns,
"",
CONCATENATE(AH48,", ",INDEX(DataColumns[ColumnLabel],ROW()-3)))</f>
        <v/>
      </c>
    </row>
    <row r="50" spans="1:34" x14ac:dyDescent="0.25">
      <c r="A50" s="27">
        <f t="shared" si="0"/>
        <v>47</v>
      </c>
      <c r="D5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&amp;SamplingFeatureID0047 {SamplingFeatureUUID:  "", SamplingFeatureTypeCV:  "Specimen", SamplingFeatureCode:  "1100605", SamplingFeatureName:  "", SamplingFeatureDescription:  "", SamplingFeatureGeotypeCV:  Point, FeatureGeometry:  NULL, Elevation_m:  NULL, ElevationDatumCV:  NULL}</v>
      </c>
      <c r="P5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*SamplingFeatureID0054, SpecimenTypeCV:  "Automated", SpecimenMediumCV:  "876.8804881", IsFieldSpecimen:  "TRUE"}</v>
      </c>
      <c r="S5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0" s="27" t="str">
        <f t="shared" si="1"/>
        <v/>
      </c>
      <c r="AF5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0" s="27" t="str">
        <f>IF(ROW()-3&gt;NumFileColumns,
"",
CONCATENATE(AH49,", ",INDEX(DataColumns[ColumnLabel],ROW()-3)))</f>
        <v/>
      </c>
    </row>
    <row r="51" spans="1:34" x14ac:dyDescent="0.25">
      <c r="A51" s="27">
        <f t="shared" si="0"/>
        <v>48</v>
      </c>
      <c r="D5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&amp;SamplingFeatureID0048 {SamplingFeatureUUID:  "", SamplingFeatureTypeCV:  "Specimen", SamplingFeatureCode:  "1100606", SamplingFeatureName:  "", SamplingFeatureDescription:  "", SamplingFeatureGeotypeCV:  Point, FeatureGeometry:  NULL, Elevation_m:  NULL, ElevationDatumCV:  NULL}</v>
      </c>
      <c r="P5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*SamplingFeatureID0055, SpecimenTypeCV:  "Automated", SpecimenMediumCV:  "944.6625475", IsFieldSpecimen:  "TRUE"}</v>
      </c>
      <c r="S5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1" s="27" t="str">
        <f t="shared" si="1"/>
        <v/>
      </c>
      <c r="AF5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1" s="27" t="str">
        <f>IF(ROW()-3&gt;NumFileColumns,
"",
CONCATENATE(AH50,", ",INDEX(DataColumns[ColumnLabel],ROW()-3)))</f>
        <v/>
      </c>
    </row>
    <row r="52" spans="1:34" x14ac:dyDescent="0.25">
      <c r="A52" s="27">
        <f t="shared" si="0"/>
        <v>49</v>
      </c>
      <c r="D5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&amp;SamplingFeatureID0049 {SamplingFeatureUUID:  "", SamplingFeatureTypeCV:  "Specimen", SamplingFeatureCode:  "1100607", SamplingFeatureName:  "", SamplingFeatureDescription:  "", SamplingFeatureGeotypeCV:  Point, FeatureGeometry:  NULL, Elevation_m:  NULL, ElevationDatumCV:  NULL}</v>
      </c>
      <c r="P5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*SamplingFeatureID0056, SpecimenTypeCV:  "Grab", SpecimenMediumCV:  "1095.494036", IsFieldSpecimen:  "TRUE"}</v>
      </c>
      <c r="S5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2" s="27" t="str">
        <f t="shared" si="1"/>
        <v/>
      </c>
      <c r="AF5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2" s="27" t="str">
        <f>IF(ROW()-3&gt;NumFileColumns,
"",
CONCATENATE(AH51,", ",INDEX(DataColumns[ColumnLabel],ROW()-3)))</f>
        <v/>
      </c>
    </row>
    <row r="53" spans="1:34" x14ac:dyDescent="0.25">
      <c r="A53" s="27">
        <f t="shared" si="0"/>
        <v>50</v>
      </c>
      <c r="D5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&amp;SamplingFeatureID0050 {SamplingFeatureUUID:  "", SamplingFeatureTypeCV:  "Specimen", SamplingFeatureCode:  "1100608", SamplingFeatureName:  "", SamplingFeatureDescription:  "", SamplingFeatureGeotypeCV:  Point, FeatureGeometry:  NULL, Elevation_m:  NULL, ElevationDatumCV:  NULL}</v>
      </c>
      <c r="P5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*SamplingFeatureID0057, SpecimenTypeCV:  "Grab", SpecimenMediumCV:  "1322.034792", IsFieldSpecimen:  "TRUE"}</v>
      </c>
      <c r="S5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3" s="27" t="str">
        <f t="shared" si="1"/>
        <v/>
      </c>
      <c r="AF5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3" s="27" t="str">
        <f>IF(ROW()-3&gt;NumFileColumns,
"",
CONCATENATE(AH52,", ",INDEX(DataColumns[ColumnLabel],ROW()-3)))</f>
        <v/>
      </c>
    </row>
    <row r="54" spans="1:34" x14ac:dyDescent="0.25">
      <c r="A54" s="27">
        <f t="shared" si="0"/>
        <v>51</v>
      </c>
      <c r="D5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&amp;SamplingFeatureID0051 {SamplingFeatureUUID:  "", SamplingFeatureTypeCV:  "Specimen", SamplingFeatureCode:  "1100609", SamplingFeatureName:  "", SamplingFeatureDescription:  "", SamplingFeatureGeotypeCV:  Point, FeatureGeometry:  NULL, Elevation_m:  NULL, ElevationDatumCV:  NULL}</v>
      </c>
      <c r="P5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*SamplingFeatureID0058, SpecimenTypeCV:  "Grab", SpecimenMediumCV:  "PLEASE PUT A SPECIMEN MEDIUM IN ROW 51", IsFieldSpecimen:  "TRUE"}</v>
      </c>
      <c r="S5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4" s="27" t="str">
        <f t="shared" si="1"/>
        <v/>
      </c>
      <c r="AF5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4" s="27" t="str">
        <f>IF(ROW()-3&gt;NumFileColumns,
"",
CONCATENATE(AH53,", ",INDEX(DataColumns[ColumnLabel],ROW()-3)))</f>
        <v/>
      </c>
    </row>
    <row r="55" spans="1:34" x14ac:dyDescent="0.25">
      <c r="A55" s="27">
        <f t="shared" si="0"/>
        <v>52</v>
      </c>
      <c r="D5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&amp;SamplingFeatureID0052 {SamplingFeatureUUID:  "", SamplingFeatureTypeCV:  "Specimen", SamplingFeatureCode:  "1100610", SamplingFeatureName:  "", SamplingFeatureDescription:  "", SamplingFeatureGeotypeCV:  Point, FeatureGeometry:  NULL, Elevation_m:  NULL, ElevationDatumCV:  NULL}</v>
      </c>
      <c r="P5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*SamplingFeatureID0059, SpecimenTypeCV:  "Automated", SpecimenMediumCV:  "977.139724", IsFieldSpecimen:  "TRUE"}</v>
      </c>
      <c r="S5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5" s="27" t="str">
        <f t="shared" si="1"/>
        <v/>
      </c>
      <c r="AF5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5" s="27" t="str">
        <f>IF(ROW()-3&gt;NumFileColumns,
"",
CONCATENATE(AH54,", ",INDEX(DataColumns[ColumnLabel],ROW()-3)))</f>
        <v/>
      </c>
    </row>
    <row r="56" spans="1:34" x14ac:dyDescent="0.25">
      <c r="A56" s="27">
        <f t="shared" si="0"/>
        <v>53</v>
      </c>
      <c r="D5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&amp;SamplingFeatureID0053 {SamplingFeatureUUID:  "", SamplingFeatureTypeCV:  "Specimen", SamplingFeatureCode:  "1100611", SamplingFeatureName:  "", SamplingFeatureDescription:  "", SamplingFeatureGeotypeCV:  Point, FeatureGeometry:  NULL, Elevation_m:  NULL, ElevationDatumCV:  NULL}</v>
      </c>
      <c r="P5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*SamplingFeatureID0060, SpecimenTypeCV:  "Grab", SpecimenMediumCV:  "1035.325953", IsFieldSpecimen:  "TRUE"}</v>
      </c>
      <c r="S5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6" s="27" t="str">
        <f t="shared" si="1"/>
        <v/>
      </c>
      <c r="AF5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6" s="27" t="str">
        <f>IF(ROW()-3&gt;NumFileColumns,
"",
CONCATENATE(AH55,", ",INDEX(DataColumns[ColumnLabel],ROW()-3)))</f>
        <v/>
      </c>
    </row>
    <row r="57" spans="1:34" x14ac:dyDescent="0.25">
      <c r="A57" s="27">
        <f t="shared" si="0"/>
        <v>54</v>
      </c>
      <c r="D5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&amp;SamplingFeatureID0054 {SamplingFeatureUUID:  "", SamplingFeatureTypeCV:  "Specimen", SamplingFeatureCode:  "1100612", SamplingFeatureName:  "", SamplingFeatureDescription:  "", SamplingFeatureGeotypeCV:  Point, FeatureGeometry:  NULL, Elevation_m:  NULL, ElevationDatumCV:  NULL}</v>
      </c>
      <c r="P5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*SamplingFeatureID0061, SpecimenTypeCV:  "Automated", SpecimenMediumCV:  "PLEASE PUT A SPECIMEN MEDIUM IN ROW 54", IsFieldSpecimen:  "TRUE"}</v>
      </c>
      <c r="S5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7" s="27" t="str">
        <f t="shared" si="1"/>
        <v/>
      </c>
      <c r="AF5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7" s="27" t="str">
        <f>IF(ROW()-3&gt;NumFileColumns,
"",
CONCATENATE(AH56,", ",INDEX(DataColumns[ColumnLabel],ROW()-3)))</f>
        <v/>
      </c>
    </row>
    <row r="58" spans="1:34" x14ac:dyDescent="0.25">
      <c r="A58" s="27">
        <f t="shared" si="0"/>
        <v>55</v>
      </c>
      <c r="D5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&amp;SamplingFeatureID0055 {SamplingFeatureUUID:  "", SamplingFeatureTypeCV:  "Specimen", SamplingFeatureCode:  "1100613", SamplingFeatureName:  "", SamplingFeatureDescription:  "", SamplingFeatureGeotypeCV:  Point, FeatureGeometry:  NULL, Elevation_m:  NULL, ElevationDatumCV:  NULL}</v>
      </c>
      <c r="P5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*SamplingFeatureID0062, SpecimenTypeCV:  "Automated", SpecimenMediumCV:  "PLEASE PUT A SPECIMEN MEDIUM IN ROW 55", IsFieldSpecimen:  "TRUE"}</v>
      </c>
      <c r="S5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8" s="27" t="str">
        <f t="shared" si="1"/>
        <v/>
      </c>
      <c r="AF5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8" s="27" t="str">
        <f>IF(ROW()-3&gt;NumFileColumns,
"",
CONCATENATE(AH57,", ",INDEX(DataColumns[ColumnLabel],ROW()-3)))</f>
        <v/>
      </c>
    </row>
    <row r="59" spans="1:34" x14ac:dyDescent="0.25">
      <c r="A59" s="27">
        <f t="shared" si="0"/>
        <v>56</v>
      </c>
      <c r="D5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5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&amp;SamplingFeatureID0056 {SamplingFeatureUUID:  "", SamplingFeatureTypeCV:  "Specimen", SamplingFeatureCode:  "1100741", SamplingFeatureName:  "", SamplingFeatureDescription:  "", SamplingFeatureGeotypeCV:  Point, FeatureGeometry:  NULL, Elevation_m:  NULL, ElevationDatumCV:  NULL}</v>
      </c>
      <c r="P5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5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*SamplingFeatureID0063, SpecimenTypeCV:  "Automated", SpecimenMediumCV:  "PLEASE PUT A SPECIMEN MEDIUM IN ROW 56", IsFieldSpecimen:  "TRUE"}</v>
      </c>
      <c r="S5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5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5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5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5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5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5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9" s="27" t="str">
        <f t="shared" si="1"/>
        <v/>
      </c>
      <c r="AF5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9" s="27" t="str">
        <f>IF(ROW()-3&gt;NumFileColumns,
"",
CONCATENATE(AH58,", ",INDEX(DataColumns[ColumnLabel],ROW()-3)))</f>
        <v/>
      </c>
    </row>
    <row r="60" spans="1:34" x14ac:dyDescent="0.25">
      <c r="A60" s="27">
        <f t="shared" si="0"/>
        <v>57</v>
      </c>
      <c r="D6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&amp;SamplingFeatureID0057 {SamplingFeatureUUID:  "", SamplingFeatureTypeCV:  "Specimen", SamplingFeatureCode:  "1101233", SamplingFeatureName:  "", SamplingFeatureDescription:  "", SamplingFeatureGeotypeCV:  Point, FeatureGeometry:  NULL, Elevation_m:  NULL, ElevationDatumCV:  NULL}</v>
      </c>
      <c r="P6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*SamplingFeatureID0064, SpecimenTypeCV:  "Automated", SpecimenMediumCV:  "1074.04729", IsFieldSpecimen:  "TRUE"}</v>
      </c>
      <c r="S6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0" s="27" t="str">
        <f t="shared" si="1"/>
        <v/>
      </c>
      <c r="AF6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0" s="27" t="str">
        <f>IF(ROW()-3&gt;NumFileColumns,
"",
CONCATENATE(AH59,", ",INDEX(DataColumns[ColumnLabel],ROW()-3)))</f>
        <v/>
      </c>
    </row>
    <row r="61" spans="1:34" x14ac:dyDescent="0.25">
      <c r="A61" s="27">
        <f t="shared" si="0"/>
        <v>58</v>
      </c>
      <c r="D6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&amp;SamplingFeatureID0058 {SamplingFeatureUUID:  "", SamplingFeatureTypeCV:  "Specimen", SamplingFeatureCode:  "1101468", SamplingFeatureName:  "", SamplingFeatureDescription:  "", SamplingFeatureGeotypeCV:  Point, FeatureGeometry:  NULL, Elevation_m:  NULL, ElevationDatumCV:  NULL}</v>
      </c>
      <c r="P6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*SamplingFeatureID0065, SpecimenTypeCV:  "Automated", SpecimenMediumCV:  "PLEASE PUT A SPECIMEN MEDIUM IN ROW 58", IsFieldSpecimen:  "TRUE"}</v>
      </c>
      <c r="S6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1" s="27" t="str">
        <f t="shared" si="1"/>
        <v/>
      </c>
      <c r="AF6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1" s="27" t="str">
        <f>IF(ROW()-3&gt;NumFileColumns,
"",
CONCATENATE(AH60,", ",INDEX(DataColumns[ColumnLabel],ROW()-3)))</f>
        <v/>
      </c>
    </row>
    <row r="62" spans="1:34" x14ac:dyDescent="0.25">
      <c r="A62" s="27">
        <f t="shared" si="0"/>
        <v>59</v>
      </c>
      <c r="D6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&amp;SamplingFeatureID0059 {SamplingFeatureUUID:  "", SamplingFeatureTypeCV:  "Specimen", SamplingFeatureCode:  "1101579", SamplingFeatureName:  "", SamplingFeatureDescription:  "", SamplingFeatureGeotypeCV:  Point, FeatureGeometry:  NULL, Elevation_m:  NULL, ElevationDatumCV:  NULL}</v>
      </c>
      <c r="P6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*SamplingFeatureID0066, SpecimenTypeCV:  "Automated", SpecimenMediumCV:  "PLEASE PUT A SPECIMEN MEDIUM IN ROW 59", IsFieldSpecimen:  "TRUE"}</v>
      </c>
      <c r="S6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2" s="27" t="str">
        <f t="shared" si="1"/>
        <v/>
      </c>
      <c r="AF6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2" s="27" t="str">
        <f>IF(ROW()-3&gt;NumFileColumns,
"",
CONCATENATE(AH61,", ",INDEX(DataColumns[ColumnLabel],ROW()-3)))</f>
        <v/>
      </c>
    </row>
    <row r="63" spans="1:34" x14ac:dyDescent="0.25">
      <c r="A63" s="27">
        <f t="shared" si="0"/>
        <v>60</v>
      </c>
      <c r="D6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&amp;SamplingFeatureID0060 {SamplingFeatureUUID:  "", SamplingFeatureTypeCV:  "Specimen", SamplingFeatureCode:  "1101580", SamplingFeatureName:  "", SamplingFeatureDescription:  "", SamplingFeatureGeotypeCV:  Point, FeatureGeometry:  NULL, Elevation_m:  NULL, ElevationDatumCV:  NULL}</v>
      </c>
      <c r="P6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*SamplingFeatureID0067, SpecimenTypeCV:  "Automated", SpecimenMediumCV:  "PLEASE PUT A SPECIMEN MEDIUM IN ROW 60", IsFieldSpecimen:  "TRUE"}</v>
      </c>
      <c r="S6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3" s="27" t="str">
        <f t="shared" si="1"/>
        <v/>
      </c>
      <c r="AF6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3" s="27" t="str">
        <f>IF(ROW()-3&gt;NumFileColumns,
"",
CONCATENATE(AH62,", ",INDEX(DataColumns[ColumnLabel],ROW()-3)))</f>
        <v/>
      </c>
    </row>
    <row r="64" spans="1:34" x14ac:dyDescent="0.25">
      <c r="A64" s="27">
        <f t="shared" si="0"/>
        <v>61</v>
      </c>
      <c r="D6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&amp;SamplingFeatureID0061 {SamplingFeatureUUID:  "", SamplingFeatureTypeCV:  "Specimen", SamplingFeatureCode:  "1101581", SamplingFeatureName:  "", SamplingFeatureDescription:  "", SamplingFeatureGeotypeCV:  Point, FeatureGeometry:  NULL, Elevation_m:  NULL, ElevationDatumCV:  NULL}</v>
      </c>
      <c r="P6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*SamplingFeatureID0068, SpecimenTypeCV:  "Automated", SpecimenMediumCV:  "PLEASE PUT A SPECIMEN MEDIUM IN ROW 61", IsFieldSpecimen:  "TRUE"}</v>
      </c>
      <c r="S6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4" s="27" t="str">
        <f t="shared" si="1"/>
        <v/>
      </c>
      <c r="AF6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4" s="27" t="str">
        <f>IF(ROW()-3&gt;NumFileColumns,
"",
CONCATENATE(AH63,", ",INDEX(DataColumns[ColumnLabel],ROW()-3)))</f>
        <v/>
      </c>
    </row>
    <row r="65" spans="1:34" x14ac:dyDescent="0.25">
      <c r="A65" s="27">
        <f t="shared" si="0"/>
        <v>62</v>
      </c>
      <c r="D6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&amp;SamplingFeatureID0062 {SamplingFeatureUUID:  "", SamplingFeatureTypeCV:  "Specimen", SamplingFeatureCode:  "1101582", SamplingFeatureName:  "", SamplingFeatureDescription:  "", SamplingFeatureGeotypeCV:  Point, FeatureGeometry:  NULL, Elevation_m:  NULL, ElevationDatumCV:  NULL}</v>
      </c>
      <c r="P6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*SamplingFeatureID0069, SpecimenTypeCV:  "Automated", SpecimenMediumCV:  "PLEASE PUT A SPECIMEN MEDIUM IN ROW 62", IsFieldSpecimen:  "TRUE"}</v>
      </c>
      <c r="S6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5" s="27" t="str">
        <f t="shared" si="1"/>
        <v/>
      </c>
      <c r="AF6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5" s="27" t="str">
        <f>IF(ROW()-3&gt;NumFileColumns,
"",
CONCATENATE(AH64,", ",INDEX(DataColumns[ColumnLabel],ROW()-3)))</f>
        <v/>
      </c>
    </row>
    <row r="66" spans="1:34" x14ac:dyDescent="0.25">
      <c r="A66" s="27">
        <f t="shared" si="0"/>
        <v>63</v>
      </c>
      <c r="D6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&amp;SamplingFeatureID0063 {SamplingFeatureUUID:  "", SamplingFeatureTypeCV:  "Specimen", SamplingFeatureCode:  "1101583", SamplingFeatureName:  "", SamplingFeatureDescription:  "", SamplingFeatureGeotypeCV:  Point, FeatureGeometry:  NULL, Elevation_m:  NULL, ElevationDatumCV:  NULL}</v>
      </c>
      <c r="P6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*SamplingFeatureID0070, SpecimenTypeCV:  "Automated", SpecimenMediumCV:  "PLEASE PUT A SPECIMEN MEDIUM IN ROW 63", IsFieldSpecimen:  "TRUE"}</v>
      </c>
      <c r="S6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6" s="27" t="str">
        <f t="shared" si="1"/>
        <v/>
      </c>
      <c r="AF6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6" s="27" t="str">
        <f>IF(ROW()-3&gt;NumFileColumns,
"",
CONCATENATE(AH65,", ",INDEX(DataColumns[ColumnLabel],ROW()-3)))</f>
        <v/>
      </c>
    </row>
    <row r="67" spans="1:34" x14ac:dyDescent="0.25">
      <c r="A67" s="27">
        <f t="shared" ref="A67:A130" si="2">ROW()-3</f>
        <v>64</v>
      </c>
      <c r="D6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&amp;SamplingFeatureID0064 {SamplingFeatureUUID:  "", SamplingFeatureTypeCV:  "Specimen", SamplingFeatureCode:  "1101584", SamplingFeatureName:  "", SamplingFeatureDescription:  "", SamplingFeatureGeotypeCV:  Point, FeatureGeometry:  NULL, Elevation_m:  NULL, ElevationDatumCV:  NULL}</v>
      </c>
      <c r="P6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*SamplingFeatureID0071, SpecimenTypeCV:  "Automated", SpecimenMediumCV:  "1127.968352", IsFieldSpecimen:  "TRUE"}</v>
      </c>
      <c r="S6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7" s="27" t="str">
        <f t="shared" si="1"/>
        <v/>
      </c>
      <c r="AF6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7" s="27" t="str">
        <f>IF(ROW()-3&gt;NumFileColumns,
"",
CONCATENATE(AH66,", ",INDEX(DataColumns[ColumnLabel],ROW()-3)))</f>
        <v/>
      </c>
    </row>
    <row r="68" spans="1:34" x14ac:dyDescent="0.25">
      <c r="A68" s="27">
        <f t="shared" si="2"/>
        <v>65</v>
      </c>
      <c r="D6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&amp;SamplingFeatureID0065 {SamplingFeatureUUID:  "", SamplingFeatureTypeCV:  "Specimen", SamplingFeatureCode:  "1101585", SamplingFeatureName:  "", SamplingFeatureDescription:  "", SamplingFeatureGeotypeCV:  Point, FeatureGeometry:  NULL, Elevation_m:  NULL, ElevationDatumCV:  NULL}</v>
      </c>
      <c r="P6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*SamplingFeatureID0072, SpecimenTypeCV:  "Automated", SpecimenMediumCV:  "PLEASE PUT A SPECIMEN MEDIUM IN ROW 65", IsFieldSpecimen:  "TRUE"}</v>
      </c>
      <c r="S6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8" s="27" t="str">
        <f t="shared" si="1"/>
        <v/>
      </c>
      <c r="AF6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8" s="27" t="str">
        <f>IF(ROW()-3&gt;NumFileColumns,
"",
CONCATENATE(AH67,", ",INDEX(DataColumns[ColumnLabel],ROW()-3)))</f>
        <v/>
      </c>
    </row>
    <row r="69" spans="1:34" x14ac:dyDescent="0.25">
      <c r="A69" s="27">
        <f t="shared" si="2"/>
        <v>66</v>
      </c>
      <c r="D6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6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&amp;SamplingFeatureID0066 {SamplingFeatureUUID:  "", SamplingFeatureTypeCV:  "Specimen", SamplingFeatureCode:  "1101586", SamplingFeatureName:  "", SamplingFeatureDescription:  "", SamplingFeatureGeotypeCV:  Point, FeatureGeometry:  NULL, Elevation_m:  NULL, ElevationDatumCV:  NULL}</v>
      </c>
      <c r="P6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6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*SamplingFeatureID0073, SpecimenTypeCV:  "Automated", SpecimenMediumCV:  "PLEASE PUT A SPECIMEN MEDIUM IN ROW 66", IsFieldSpecimen:  "TRUE"}</v>
      </c>
      <c r="S6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6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6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6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6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6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6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9" s="27" t="str">
        <f t="shared" ref="AC69:AC132" si="3">IF(ROW()-3&gt;NumFileColumns,"",
CONCATENATE("  - {DataSetObj: *DataSetID0001, ",
"ResultObj: *ResultID",TEXT(ROW()-3,"0000"),
"}"))</f>
        <v/>
      </c>
      <c r="AF6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9" s="27" t="str">
        <f>IF(ROW()-3&gt;NumFileColumns,
"",
CONCATENATE(AH68,", ",INDEX(DataColumns[ColumnLabel],ROW()-3)))</f>
        <v/>
      </c>
    </row>
    <row r="70" spans="1:34" x14ac:dyDescent="0.25">
      <c r="A70" s="27">
        <f t="shared" si="2"/>
        <v>67</v>
      </c>
      <c r="D7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&amp;SamplingFeatureID0067 {SamplingFeatureUUID:  "", SamplingFeatureTypeCV:  "Specimen", SamplingFeatureCode:  "1101587", SamplingFeatureName:  "", SamplingFeatureDescription:  "", SamplingFeatureGeotypeCV:  Point, FeatureGeometry:  NULL, Elevation_m:  NULL, ElevationDatumCV:  NULL}</v>
      </c>
      <c r="P7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*SamplingFeatureID0074, SpecimenTypeCV:  "Automated", SpecimenMediumCV:  "PLEASE PUT A SPECIMEN MEDIUM IN ROW 67", IsFieldSpecimen:  "TRUE"}</v>
      </c>
      <c r="S7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0" s="27" t="str">
        <f t="shared" si="3"/>
        <v/>
      </c>
      <c r="AF7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0" s="27" t="str">
        <f>IF(ROW()-3&gt;NumFileColumns,
"",
CONCATENATE(AH69,", ",INDEX(DataColumns[ColumnLabel],ROW()-3)))</f>
        <v/>
      </c>
    </row>
    <row r="71" spans="1:34" x14ac:dyDescent="0.25">
      <c r="A71" s="27">
        <f t="shared" si="2"/>
        <v>68</v>
      </c>
      <c r="D7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&amp;SamplingFeatureID0068 {SamplingFeatureUUID:  "", SamplingFeatureTypeCV:  "Specimen", SamplingFeatureCode:  "1101589", SamplingFeatureName:  "", SamplingFeatureDescription:  "", SamplingFeatureGeotypeCV:  Point, FeatureGeometry:  NULL, Elevation_m:  NULL, ElevationDatumCV:  NULL}</v>
      </c>
      <c r="P7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*SamplingFeatureID0075, SpecimenTypeCV:  "Automated", SpecimenMediumCV:  "PLEASE PUT A SPECIMEN MEDIUM IN ROW 68", IsFieldSpecimen:  "TRUE"}</v>
      </c>
      <c r="S7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1" s="27" t="str">
        <f t="shared" si="3"/>
        <v/>
      </c>
      <c r="AF7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1" s="27" t="str">
        <f>IF(ROW()-3&gt;NumFileColumns,
"",
CONCATENATE(AH70,", ",INDEX(DataColumns[ColumnLabel],ROW()-3)))</f>
        <v/>
      </c>
    </row>
    <row r="72" spans="1:34" x14ac:dyDescent="0.25">
      <c r="A72" s="27">
        <f t="shared" si="2"/>
        <v>69</v>
      </c>
      <c r="D7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&amp;SamplingFeatureID0069 {SamplingFeatureUUID:  "", SamplingFeatureTypeCV:  "Specimen", SamplingFeatureCode:  "1101590", SamplingFeatureName:  "", SamplingFeatureDescription:  "", SamplingFeatureGeotypeCV:  Point, FeatureGeometry:  NULL, Elevation_m:  NULL, ElevationDatumCV:  NULL}</v>
      </c>
      <c r="P7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*SamplingFeatureID0076, SpecimenTypeCV:  "Automated", SpecimenMediumCV:  "PLEASE PUT A SPECIMEN MEDIUM IN ROW 69", IsFieldSpecimen:  "TRUE"}</v>
      </c>
      <c r="S7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2" s="27" t="str">
        <f t="shared" si="3"/>
        <v/>
      </c>
      <c r="AF7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2" s="27" t="str">
        <f>IF(ROW()-3&gt;NumFileColumns,
"",
CONCATENATE(AH71,", ",INDEX(DataColumns[ColumnLabel],ROW()-3)))</f>
        <v/>
      </c>
    </row>
    <row r="73" spans="1:34" x14ac:dyDescent="0.25">
      <c r="A73" s="27">
        <f t="shared" si="2"/>
        <v>70</v>
      </c>
      <c r="D7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&amp;SamplingFeatureID0070 {SamplingFeatureUUID:  "", SamplingFeatureTypeCV:  "Specimen", SamplingFeatureCode:  "1101591", SamplingFeatureName:  "", SamplingFeatureDescription:  "", SamplingFeatureGeotypeCV:  Point, FeatureGeometry:  NULL, Elevation_m:  NULL, ElevationDatumCV:  NULL}</v>
      </c>
      <c r="P7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*SamplingFeatureID0077, SpecimenTypeCV:  "Automated", SpecimenMediumCV:  "PLEASE PUT A SPECIMEN MEDIUM IN ROW 70", IsFieldSpecimen:  "TRUE"}</v>
      </c>
      <c r="S7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3" s="27" t="str">
        <f t="shared" si="3"/>
        <v/>
      </c>
      <c r="AF7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3" s="27" t="str">
        <f>IF(ROW()-3&gt;NumFileColumns,
"",
CONCATENATE(AH72,", ",INDEX(DataColumns[ColumnLabel],ROW()-3)))</f>
        <v/>
      </c>
    </row>
    <row r="74" spans="1:34" x14ac:dyDescent="0.25">
      <c r="A74" s="27">
        <f t="shared" si="2"/>
        <v>71</v>
      </c>
      <c r="D7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&amp;SamplingFeatureID0071 {SamplingFeatureUUID:  "", SamplingFeatureTypeCV:  "Specimen", SamplingFeatureCode:  "1101592", SamplingFeatureName:  "", SamplingFeatureDescription:  "", SamplingFeatureGeotypeCV:  Point, FeatureGeometry:  NULL, Elevation_m:  NULL, ElevationDatumCV:  NULL}</v>
      </c>
      <c r="P7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*SamplingFeatureID0078, SpecimenTypeCV:  "Automated", SpecimenMediumCV:  "PLEASE PUT A SPECIMEN MEDIUM IN ROW 71", IsFieldSpecimen:  "TRUE"}</v>
      </c>
      <c r="S7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4" s="27" t="str">
        <f t="shared" si="3"/>
        <v/>
      </c>
      <c r="AF7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4" s="27" t="str">
        <f>IF(ROW()-3&gt;NumFileColumns,
"",
CONCATENATE(AH73,", ",INDEX(DataColumns[ColumnLabel],ROW()-3)))</f>
        <v/>
      </c>
    </row>
    <row r="75" spans="1:34" x14ac:dyDescent="0.25">
      <c r="A75" s="27">
        <f t="shared" si="2"/>
        <v>72</v>
      </c>
      <c r="D7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&amp;SamplingFeatureID0072 {SamplingFeatureUUID:  "", SamplingFeatureTypeCV:  "Specimen", SamplingFeatureCode:  "1101593", SamplingFeatureName:  "", SamplingFeatureDescription:  "", SamplingFeatureGeotypeCV:  Point, FeatureGeometry:  NULL, Elevation_m:  NULL, ElevationDatumCV:  NULL}</v>
      </c>
      <c r="P7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*SamplingFeatureID0079, SpecimenTypeCV:  "Automated", SpecimenMediumCV:  "PLEASE PUT A SPECIMEN MEDIUM IN ROW 72", IsFieldSpecimen:  "TRUE"}</v>
      </c>
      <c r="S7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5" s="27" t="str">
        <f t="shared" si="3"/>
        <v/>
      </c>
      <c r="AF7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5" s="27" t="str">
        <f>IF(ROW()-3&gt;NumFileColumns,
"",
CONCATENATE(AH74,", ",INDEX(DataColumns[ColumnLabel],ROW()-3)))</f>
        <v/>
      </c>
    </row>
    <row r="76" spans="1:34" x14ac:dyDescent="0.25">
      <c r="A76" s="27">
        <f t="shared" si="2"/>
        <v>73</v>
      </c>
      <c r="D7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&amp;SamplingFeatureID0073 {SamplingFeatureUUID:  "", SamplingFeatureTypeCV:  "Specimen", SamplingFeatureCode:  "1101594", SamplingFeatureName:  "", SamplingFeatureDescription:  "", SamplingFeatureGeotypeCV:  Point, FeatureGeometry:  NULL, Elevation_m:  NULL, ElevationDatumCV:  NULL}</v>
      </c>
      <c r="P7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*SamplingFeatureID0080, SpecimenTypeCV:  "Grab", SpecimenMediumCV:  "1357.882645", IsFieldSpecimen:  "TRUE"}</v>
      </c>
      <c r="S7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6" s="27" t="str">
        <f t="shared" si="3"/>
        <v/>
      </c>
      <c r="AF7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6" s="27" t="str">
        <f>IF(ROW()-3&gt;NumFileColumns,
"",
CONCATENATE(AH75,", ",INDEX(DataColumns[ColumnLabel],ROW()-3)))</f>
        <v/>
      </c>
    </row>
    <row r="77" spans="1:34" x14ac:dyDescent="0.25">
      <c r="A77" s="27">
        <f t="shared" si="2"/>
        <v>74</v>
      </c>
      <c r="D7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&amp;SamplingFeatureID0074 {SamplingFeatureUUID:  "", SamplingFeatureTypeCV:  "Specimen", SamplingFeatureCode:  "1101595", SamplingFeatureName:  "", SamplingFeatureDescription:  "", SamplingFeatureGeotypeCV:  Point, FeatureGeometry:  NULL, Elevation_m:  NULL, ElevationDatumCV:  NULL}</v>
      </c>
      <c r="P7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*SamplingFeatureID0081, SpecimenTypeCV:  "Grab", SpecimenMediumCV:  "1344.553305", IsFieldSpecimen:  "TRUE"}</v>
      </c>
      <c r="S7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7" s="27" t="str">
        <f t="shared" si="3"/>
        <v/>
      </c>
      <c r="AF7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7" s="27" t="str">
        <f>IF(ROW()-3&gt;NumFileColumns,
"",
CONCATENATE(AH76,", ",INDEX(DataColumns[ColumnLabel],ROW()-3)))</f>
        <v/>
      </c>
    </row>
    <row r="78" spans="1:34" x14ac:dyDescent="0.25">
      <c r="A78" s="27">
        <f t="shared" si="2"/>
        <v>75</v>
      </c>
      <c r="D7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&amp;SamplingFeatureID0075 {SamplingFeatureUUID:  "", SamplingFeatureTypeCV:  "Specimen", SamplingFeatureCode:  "1101596", SamplingFeatureName:  "", SamplingFeatureDescription:  "", SamplingFeatureGeotypeCV:  Point, FeatureGeometry:  NULL, Elevation_m:  NULL, ElevationDatumCV:  NULL}</v>
      </c>
      <c r="P7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*SamplingFeatureID0082, SpecimenTypeCV:  "Grab", SpecimenMediumCV:  "1235.967273", IsFieldSpecimen:  "TRUE"}</v>
      </c>
      <c r="S7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8" s="27" t="str">
        <f t="shared" si="3"/>
        <v/>
      </c>
      <c r="AF7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8" s="27" t="str">
        <f>IF(ROW()-3&gt;NumFileColumns,
"",
CONCATENATE(AH77,", ",INDEX(DataColumns[ColumnLabel],ROW()-3)))</f>
        <v/>
      </c>
    </row>
    <row r="79" spans="1:34" x14ac:dyDescent="0.25">
      <c r="A79" s="27">
        <f t="shared" si="2"/>
        <v>76</v>
      </c>
      <c r="D7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&amp;SamplingFeatureID0076 {SamplingFeatureUUID:  "", SamplingFeatureTypeCV:  "Specimen", SamplingFeatureCode:  "1101597", SamplingFeatureName:  "", SamplingFeatureDescription:  "", SamplingFeatureGeotypeCV:  Point, FeatureGeometry:  NULL, Elevation_m:  NULL, ElevationDatumCV:  NULL}</v>
      </c>
      <c r="P7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7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*SamplingFeatureID0083, SpecimenTypeCV:  "Grab", SpecimenMediumCV:  "1350.323926", IsFieldSpecimen:  "TRUE"}</v>
      </c>
      <c r="S7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7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7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7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7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7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7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9" s="27" t="str">
        <f t="shared" si="3"/>
        <v/>
      </c>
      <c r="AF7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9" s="27" t="str">
        <f>IF(ROW()-3&gt;NumFileColumns,
"",
CONCATENATE(AH78,", ",INDEX(DataColumns[ColumnLabel],ROW()-3)))</f>
        <v/>
      </c>
    </row>
    <row r="80" spans="1:34" x14ac:dyDescent="0.25">
      <c r="A80" s="27">
        <f t="shared" si="2"/>
        <v>77</v>
      </c>
      <c r="D8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&amp;SamplingFeatureID0077 {SamplingFeatureUUID:  "", SamplingFeatureTypeCV:  "Specimen", SamplingFeatureCode:  "1101598", SamplingFeatureName:  "", SamplingFeatureDescription:  "", SamplingFeatureGeotypeCV:  Point, FeatureGeometry:  NULL, Elevation_m:  NULL, ElevationDatumCV:  NULL}</v>
      </c>
      <c r="P8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*SamplingFeatureID0084, SpecimenTypeCV:  "Grab", SpecimenMediumCV:  "1265.243235", IsFieldSpecimen:  "TRUE"}</v>
      </c>
      <c r="S8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0" s="27" t="str">
        <f t="shared" si="3"/>
        <v/>
      </c>
      <c r="AF8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0" s="27" t="str">
        <f>IF(ROW()-3&gt;NumFileColumns,
"",
CONCATENATE(AH79,", ",INDEX(DataColumns[ColumnLabel],ROW()-3)))</f>
        <v/>
      </c>
    </row>
    <row r="81" spans="1:34" x14ac:dyDescent="0.25">
      <c r="A81" s="27">
        <f t="shared" si="2"/>
        <v>78</v>
      </c>
      <c r="D8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&amp;SamplingFeatureID0078 {SamplingFeatureUUID:  "", SamplingFeatureTypeCV:  "Specimen", SamplingFeatureCode:  "1101599", SamplingFeatureName:  "", SamplingFeatureDescription:  "", SamplingFeatureGeotypeCV:  Point, FeatureGeometry:  NULL, Elevation_m:  NULL, ElevationDatumCV:  NULL}</v>
      </c>
      <c r="P8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*SamplingFeatureID0085, SpecimenTypeCV:  "Grab", SpecimenMediumCV:  "1256.912717", IsFieldSpecimen:  "TRUE"}</v>
      </c>
      <c r="S8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1" s="27" t="str">
        <f t="shared" si="3"/>
        <v/>
      </c>
      <c r="AF8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1" s="27" t="str">
        <f>IF(ROW()-3&gt;NumFileColumns,
"",
CONCATENATE(AH80,", ",INDEX(DataColumns[ColumnLabel],ROW()-3)))</f>
        <v/>
      </c>
    </row>
    <row r="82" spans="1:34" x14ac:dyDescent="0.25">
      <c r="A82" s="27">
        <f t="shared" si="2"/>
        <v>79</v>
      </c>
      <c r="D8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&amp;SamplingFeatureID0079 {SamplingFeatureUUID:  "", SamplingFeatureTypeCV:  "Specimen", SamplingFeatureCode:  "1101600", SamplingFeatureName:  "", SamplingFeatureDescription:  "", SamplingFeatureGeotypeCV:  Point, FeatureGeometry:  NULL, Elevation_m:  NULL, ElevationDatumCV:  NULL}</v>
      </c>
      <c r="P8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*SamplingFeatureID0086, SpecimenTypeCV:  "Grab", SpecimenMediumCV:  "1128.35035", IsFieldSpecimen:  "TRUE"}</v>
      </c>
      <c r="S8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2" s="27" t="str">
        <f t="shared" si="3"/>
        <v/>
      </c>
      <c r="AF8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2" s="27" t="str">
        <f>IF(ROW()-3&gt;NumFileColumns,
"",
CONCATENATE(AH81,", ",INDEX(DataColumns[ColumnLabel],ROW()-3)))</f>
        <v/>
      </c>
    </row>
    <row r="83" spans="1:34" x14ac:dyDescent="0.25">
      <c r="A83" s="27">
        <f t="shared" si="2"/>
        <v>80</v>
      </c>
      <c r="D8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&amp;SamplingFeatureID0080 {SamplingFeatureUUID:  "", SamplingFeatureTypeCV:  "Specimen", SamplingFeatureCode:  "1101773", SamplingFeatureName:  "", SamplingFeatureDescription:  "", SamplingFeatureGeotypeCV:  Point, FeatureGeometry:  NULL, Elevation_m:  NULL, ElevationDatumCV:  NULL}</v>
      </c>
      <c r="P8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*SamplingFeatureID0087, SpecimenTypeCV:  "Grab", SpecimenMediumCV:  "1291.301309", IsFieldSpecimen:  "TRUE"}</v>
      </c>
      <c r="S8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3" s="27" t="str">
        <f t="shared" si="3"/>
        <v/>
      </c>
      <c r="AF8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3" s="27" t="str">
        <f>IF(ROW()-3&gt;NumFileColumns,
"",
CONCATENATE(AH82,", ",INDEX(DataColumns[ColumnLabel],ROW()-3)))</f>
        <v/>
      </c>
    </row>
    <row r="84" spans="1:34" x14ac:dyDescent="0.25">
      <c r="A84" s="27">
        <f t="shared" si="2"/>
        <v>81</v>
      </c>
      <c r="D8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&amp;SamplingFeatureID0081 {SamplingFeatureUUID:  "", SamplingFeatureTypeCV:  "Specimen", SamplingFeatureCode:  "1102196", SamplingFeatureName:  "", SamplingFeatureDescription:  "", SamplingFeatureGeotypeCV:  Point, FeatureGeometry:  NULL, Elevation_m:  NULL, ElevationDatumCV:  NULL}</v>
      </c>
      <c r="P8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*SamplingFeatureID0088, SpecimenTypeCV:  "Grab", SpecimenMediumCV:  "1288.421588", IsFieldSpecimen:  "TRUE"}</v>
      </c>
      <c r="S8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4" s="27" t="str">
        <f t="shared" si="3"/>
        <v/>
      </c>
      <c r="AF8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4"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4" s="27" t="str">
        <f>IF(ROW()-3&gt;NumFileColumns,
"",
CONCATENATE(AH83,", ",INDEX(DataColumns[ColumnLabel],ROW()-3)))</f>
        <v/>
      </c>
    </row>
    <row r="85" spans="1:34" x14ac:dyDescent="0.25">
      <c r="A85" s="27">
        <f t="shared" si="2"/>
        <v>82</v>
      </c>
      <c r="D8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&amp;SamplingFeatureID0082 {SamplingFeatureUUID:  "", SamplingFeatureTypeCV:  "Specimen", SamplingFeatureCode:  "1102197", SamplingFeatureName:  "", SamplingFeatureDescription:  "", SamplingFeatureGeotypeCV:  Point, FeatureGeometry:  NULL, Elevation_m:  NULL, ElevationDatumCV:  NULL}</v>
      </c>
      <c r="P8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*SamplingFeatureID0089, SpecimenTypeCV:  "Grab", SpecimenMediumCV:  "1231.934299", IsFieldSpecimen:  "TRUE"}</v>
      </c>
      <c r="S8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5" s="27" t="str">
        <f t="shared" si="3"/>
        <v/>
      </c>
      <c r="AF8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5"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5" s="27" t="str">
        <f>IF(ROW()-3&gt;NumFileColumns,
"",
CONCATENATE(AH84,", ",INDEX(DataColumns[ColumnLabel],ROW()-3)))</f>
        <v/>
      </c>
    </row>
    <row r="86" spans="1:34" x14ac:dyDescent="0.25">
      <c r="A86" s="27">
        <f t="shared" si="2"/>
        <v>83</v>
      </c>
      <c r="D8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&amp;SamplingFeatureID0083 {SamplingFeatureUUID:  "", SamplingFeatureTypeCV:  "Specimen", SamplingFeatureCode:  "1102198", SamplingFeatureName:  "", SamplingFeatureDescription:  "", SamplingFeatureGeotypeCV:  Point, FeatureGeometry:  NULL, Elevation_m:  NULL, ElevationDatumCV:  NULL}</v>
      </c>
      <c r="P8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*SamplingFeatureID0090, SpecimenTypeCV:  "Grab", SpecimenMediumCV:  "PLEASE PUT A SPECIMEN MEDIUM IN ROW 83", IsFieldSpecimen:  "TRUE"}</v>
      </c>
      <c r="S8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6" s="27" t="str">
        <f t="shared" si="3"/>
        <v/>
      </c>
      <c r="AF8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6"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6" s="27" t="str">
        <f>IF(ROW()-3&gt;NumFileColumns,
"",
CONCATENATE(AH85,", ",INDEX(DataColumns[ColumnLabel],ROW()-3)))</f>
        <v/>
      </c>
    </row>
    <row r="87" spans="1:34" x14ac:dyDescent="0.25">
      <c r="A87" s="27">
        <f t="shared" si="2"/>
        <v>84</v>
      </c>
      <c r="D8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&amp;SamplingFeatureID0084 {SamplingFeatureUUID:  "", SamplingFeatureTypeCV:  "Specimen", SamplingFeatureCode:  "1103088", SamplingFeatureName:  "", SamplingFeatureDescription:  "", SamplingFeatureGeotypeCV:  Point, FeatureGeometry:  NULL, Elevation_m:  NULL, ElevationDatumCV:  NULL}</v>
      </c>
      <c r="P8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*SamplingFeatureID0091, SpecimenTypeCV:  "Grab", SpecimenMediumCV:  "PLEASE PUT A SPECIMEN MEDIUM IN ROW 84", IsFieldSpecimen:  "TRUE"}</v>
      </c>
      <c r="S8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7" s="27" t="str">
        <f t="shared" si="3"/>
        <v/>
      </c>
      <c r="AF8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7"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7" s="27" t="str">
        <f>IF(ROW()-3&gt;NumFileColumns,
"",
CONCATENATE(AH86,", ",INDEX(DataColumns[ColumnLabel],ROW()-3)))</f>
        <v/>
      </c>
    </row>
    <row r="88" spans="1:34" x14ac:dyDescent="0.25">
      <c r="A88" s="27">
        <f t="shared" si="2"/>
        <v>85</v>
      </c>
      <c r="D8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&amp;SamplingFeatureID0085 {SamplingFeatureUUID:  "", SamplingFeatureTypeCV:  "Specimen", SamplingFeatureCode:  "1103090", SamplingFeatureName:  "", SamplingFeatureDescription:  "", SamplingFeatureGeotypeCV:  Point, FeatureGeometry:  NULL, Elevation_m:  NULL, ElevationDatumCV:  NULL}</v>
      </c>
      <c r="P8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*SamplingFeatureID0092, SpecimenTypeCV:  "Grab", SpecimenMediumCV:  "1267.870137", IsFieldSpecimen:  "TRUE"}</v>
      </c>
      <c r="S8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8" s="27" t="str">
        <f t="shared" si="3"/>
        <v/>
      </c>
      <c r="AF8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8"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8" s="27" t="str">
        <f>IF(ROW()-3&gt;NumFileColumns,
"",
CONCATENATE(AH87,", ",INDEX(DataColumns[ColumnLabel],ROW()-3)))</f>
        <v/>
      </c>
    </row>
    <row r="89" spans="1:34" x14ac:dyDescent="0.25">
      <c r="A89" s="27">
        <f t="shared" si="2"/>
        <v>86</v>
      </c>
      <c r="D8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&amp;SamplingFeatureID0086 {SamplingFeatureUUID:  "", SamplingFeatureTypeCV:  "Specimen", SamplingFeatureCode:  "1103089", SamplingFeatureName:  "", SamplingFeatureDescription:  "", SamplingFeatureGeotypeCV:  Point, FeatureGeometry:  NULL, Elevation_m:  NULL, ElevationDatumCV:  NULL}</v>
      </c>
      <c r="P8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8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*SamplingFeatureID0093, SpecimenTypeCV:  "Grab", SpecimenMediumCV:  "PLEASE PUT A SPECIMEN MEDIUM IN ROW 86", IsFieldSpecimen:  "TRUE"}</v>
      </c>
      <c r="S8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8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8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8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8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8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8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9" s="27" t="str">
        <f t="shared" si="3"/>
        <v/>
      </c>
      <c r="AF8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9"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9" s="27" t="str">
        <f>IF(ROW()-3&gt;NumFileColumns,
"",
CONCATENATE(AH88,", ",INDEX(DataColumns[ColumnLabel],ROW()-3)))</f>
        <v/>
      </c>
    </row>
    <row r="90" spans="1:34" x14ac:dyDescent="0.25">
      <c r="A90" s="27">
        <f t="shared" si="2"/>
        <v>87</v>
      </c>
      <c r="D9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&amp;SamplingFeatureID0087 {SamplingFeatureUUID:  "", SamplingFeatureTypeCV:  "Specimen", SamplingFeatureCode:  "1103341", SamplingFeatureName:  "", SamplingFeatureDescription:  "", SamplingFeatureGeotypeCV:  Point, FeatureGeometry:  NULL, Elevation_m:  NULL, ElevationDatumCV:  NULL}</v>
      </c>
      <c r="P9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*SamplingFeatureID0094, SpecimenTypeCV:  "Grab", SpecimenMediumCV:  "1193.079986", IsFieldSpecimen:  "TRUE"}</v>
      </c>
      <c r="S9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0" s="27" t="str">
        <f t="shared" si="3"/>
        <v/>
      </c>
      <c r="AF9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0"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0" s="27" t="str">
        <f>IF(ROW()-3&gt;NumFileColumns,
"",
CONCATENATE(AH89,", ",INDEX(DataColumns[ColumnLabel],ROW()-3)))</f>
        <v/>
      </c>
    </row>
    <row r="91" spans="1:34" x14ac:dyDescent="0.25">
      <c r="A91" s="27">
        <f t="shared" si="2"/>
        <v>88</v>
      </c>
      <c r="D9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&amp;SamplingFeatureID0088 {SamplingFeatureUUID:  "", SamplingFeatureTypeCV:  "Specimen", SamplingFeatureCode:  "1103343", SamplingFeatureName:  "", SamplingFeatureDescription:  "", SamplingFeatureGeotypeCV:  Point, FeatureGeometry:  NULL, Elevation_m:  NULL, ElevationDatumCV:  NULL}</v>
      </c>
      <c r="P9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*SamplingFeatureID0095, SpecimenTypeCV:  "Automated", SpecimenMediumCV:  "958.1705012", IsFieldSpecimen:  "TRUE"}</v>
      </c>
      <c r="S9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1" s="27" t="str">
        <f t="shared" si="3"/>
        <v/>
      </c>
      <c r="AF9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1"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1" s="27" t="str">
        <f>IF(ROW()-3&gt;NumFileColumns,
"",
CONCATENATE(AH90,", ",INDEX(DataColumns[ColumnLabel],ROW()-3)))</f>
        <v/>
      </c>
    </row>
    <row r="92" spans="1:34" x14ac:dyDescent="0.25">
      <c r="A92" s="27">
        <f t="shared" si="2"/>
        <v>89</v>
      </c>
      <c r="D9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&amp;SamplingFeatureID0089 {SamplingFeatureUUID:  "", SamplingFeatureTypeCV:  "Specimen", SamplingFeatureCode:  "1103342", SamplingFeatureName:  "", SamplingFeatureDescription:  "", SamplingFeatureGeotypeCV:  Point, FeatureGeometry:  NULL, Elevation_m:  NULL, ElevationDatumCV:  NULL}</v>
      </c>
      <c r="P9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*SamplingFeatureID0096, SpecimenTypeCV:  "Automated", SpecimenMediumCV:  "884.3030977", IsFieldSpecimen:  "TRUE"}</v>
      </c>
      <c r="S9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2" s="27" t="str">
        <f t="shared" si="3"/>
        <v/>
      </c>
      <c r="AF9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2"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2" s="27" t="str">
        <f>IF(ROW()-3&gt;NumFileColumns,
"",
CONCATENATE(AH91,", ",INDEX(DataColumns[ColumnLabel],ROW()-3)))</f>
        <v/>
      </c>
    </row>
    <row r="93" spans="1:34" x14ac:dyDescent="0.25">
      <c r="A93" s="27">
        <f t="shared" si="2"/>
        <v>90</v>
      </c>
      <c r="D9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&amp;SamplingFeatureID0090 {SamplingFeatureUUID:  "", SamplingFeatureTypeCV:  "Specimen", SamplingFeatureCode:  "1103386", SamplingFeatureName:  "", SamplingFeatureDescription:  "", SamplingFeatureGeotypeCV:  Point, FeatureGeometry:  NULL, Elevation_m:  NULL, ElevationDatumCV:  NULL}</v>
      </c>
      <c r="P9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*SamplingFeatureID0097, SpecimenTypeCV:  "Automated", SpecimenMediumCV:  "824.3210082", IsFieldSpecimen:  "TRUE"}</v>
      </c>
      <c r="S9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3" s="27" t="str">
        <f t="shared" si="3"/>
        <v/>
      </c>
      <c r="AF9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3" s="27" t="str">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3" s="27" t="str">
        <f>IF(ROW()-3&gt;NumFileColumns,
"",
CONCATENATE(AH92,", ",INDEX(DataColumns[ColumnLabel],ROW()-3)))</f>
        <v/>
      </c>
    </row>
    <row r="94" spans="1:34" x14ac:dyDescent="0.25">
      <c r="A94" s="27">
        <f t="shared" si="2"/>
        <v>91</v>
      </c>
      <c r="D9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&amp;SamplingFeatureID0091 {SamplingFeatureUUID:  "", SamplingFeatureTypeCV:  "Specimen", SamplingFeatureCode:  "1103387", SamplingFeatureName:  "", SamplingFeatureDescription:  "", SamplingFeatureGeotypeCV:  Point, FeatureGeometry:  NULL, Elevation_m:  NULL, ElevationDatumCV:  NULL}</v>
      </c>
      <c r="P9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*SamplingFeatureID0098, SpecimenTypeCV:  "Automated", SpecimenMediumCV:  "625.9038129", IsFieldSpecimen:  "TRUE"}</v>
      </c>
      <c r="S9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4" s="27" t="str">
        <f t="shared" si="3"/>
        <v/>
      </c>
      <c r="AF9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4" s="27" t="str">
        <f>IF(ROW()-3&gt;NumFileColumns,
"",
CONCATENATE(AH93,", ",INDEX(DataColumns[ColumnLabel],ROW()-3)))</f>
        <v/>
      </c>
    </row>
    <row r="95" spans="1:34" x14ac:dyDescent="0.25">
      <c r="A95" s="27">
        <f t="shared" si="2"/>
        <v>92</v>
      </c>
      <c r="D9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&amp;SamplingFeatureID0092 {SamplingFeatureUUID:  "", SamplingFeatureTypeCV:  "Specimen", SamplingFeatureCode:  "1103685", SamplingFeatureName:  "", SamplingFeatureDescription:  "", SamplingFeatureGeotypeCV:  Point, FeatureGeometry:  NULL, Elevation_m:  NULL, ElevationDatumCV:  NULL}</v>
      </c>
      <c r="P9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*SamplingFeatureID0099, SpecimenTypeCV:  "Automated", SpecimenMediumCV:  "632.7262113", IsFieldSpecimen:  "TRUE"}</v>
      </c>
      <c r="S9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5" s="27" t="str">
        <f t="shared" si="3"/>
        <v/>
      </c>
      <c r="AF9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5" s="27" t="str">
        <f>IF(ROW()-3&gt;NumFileColumns,
"",
CONCATENATE(AH94,", ",INDEX(DataColumns[ColumnLabel],ROW()-3)))</f>
        <v/>
      </c>
    </row>
    <row r="96" spans="1:34" x14ac:dyDescent="0.25">
      <c r="A96" s="27">
        <f t="shared" si="2"/>
        <v>93</v>
      </c>
      <c r="D9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&amp;SamplingFeatureID0093 {SamplingFeatureUUID:  "", SamplingFeatureTypeCV:  "Specimen", SamplingFeatureCode:  "1103687", SamplingFeatureName:  "", SamplingFeatureDescription:  "", SamplingFeatureGeotypeCV:  Point, FeatureGeometry:  NULL, Elevation_m:  NULL, ElevationDatumCV:  NULL}</v>
      </c>
      <c r="P9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*SamplingFeatureID0100, SpecimenTypeCV:  "Automated", SpecimenMediumCV:  "502.6257961", IsFieldSpecimen:  "TRUE"}</v>
      </c>
      <c r="S9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6" s="27" t="str">
        <f t="shared" si="3"/>
        <v/>
      </c>
      <c r="AF9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6" s="27" t="str">
        <f>IF(ROW()-3&gt;NumFileColumns,
"",
CONCATENATE(AH95,", ",INDEX(DataColumns[ColumnLabel],ROW()-3)))</f>
        <v/>
      </c>
    </row>
    <row r="97" spans="1:34" x14ac:dyDescent="0.25">
      <c r="A97" s="27">
        <f t="shared" si="2"/>
        <v>94</v>
      </c>
      <c r="D9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&amp;SamplingFeatureID0094 {SamplingFeatureUUID:  "", SamplingFeatureTypeCV:  "Specimen", SamplingFeatureCode:  "1103686", SamplingFeatureName:  "", SamplingFeatureDescription:  "", SamplingFeatureGeotypeCV:  Point, FeatureGeometry:  NULL, Elevation_m:  NULL, ElevationDatumCV:  NULL}</v>
      </c>
      <c r="P9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*SamplingFeatureID0101, SpecimenTypeCV:  "Automated", SpecimenMediumCV:  "449.2878742", IsFieldSpecimen:  "TRUE"}</v>
      </c>
      <c r="S9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7" s="27" t="str">
        <f t="shared" si="3"/>
        <v/>
      </c>
      <c r="AF9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7" s="27" t="str">
        <f>IF(ROW()-3&gt;NumFileColumns,
"",
CONCATENATE(AH96,", ",INDEX(DataColumns[ColumnLabel],ROW()-3)))</f>
        <v/>
      </c>
    </row>
    <row r="98" spans="1:34" x14ac:dyDescent="0.25">
      <c r="A98" s="27">
        <f t="shared" si="2"/>
        <v>95</v>
      </c>
      <c r="D9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&amp;SamplingFeatureID0095 {SamplingFeatureUUID:  "", SamplingFeatureTypeCV:  "Specimen", SamplingFeatureCode:  "1104011", SamplingFeatureName:  "", SamplingFeatureDescription:  "", SamplingFeatureGeotypeCV:  Point, FeatureGeometry:  NULL, Elevation_m:  NULL, ElevationDatumCV:  NULL}</v>
      </c>
      <c r="P9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*SamplingFeatureID0102, SpecimenTypeCV:  "Automated", SpecimenMediumCV:  "475.5877575", IsFieldSpecimen:  "TRUE"}</v>
      </c>
      <c r="S9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8" s="27" t="str">
        <f t="shared" si="3"/>
        <v/>
      </c>
      <c r="AF9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8" s="27" t="str">
        <f>IF(ROW()-3&gt;NumFileColumns,
"",
CONCATENATE(AH97,", ",INDEX(DataColumns[ColumnLabel],ROW()-3)))</f>
        <v/>
      </c>
    </row>
    <row r="99" spans="1:34" x14ac:dyDescent="0.25">
      <c r="A99" s="27">
        <f t="shared" si="2"/>
        <v>96</v>
      </c>
      <c r="D9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&amp;SamplingFeatureID0096 {SamplingFeatureUUID:  "", SamplingFeatureTypeCV:  "Specimen", SamplingFeatureCode:  "1104012", SamplingFeatureName:  "", SamplingFeatureDescription:  "", SamplingFeatureGeotypeCV:  Point, FeatureGeometry:  NULL, Elevation_m:  NULL, ElevationDatumCV:  NULL}</v>
      </c>
      <c r="P9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9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*SamplingFeatureID0103, SpecimenTypeCV:  "Automated", SpecimenMediumCV:  "698.1123458", IsFieldSpecimen:  "TRUE"}</v>
      </c>
      <c r="S9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9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9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9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9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9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9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9" s="27" t="str">
        <f t="shared" si="3"/>
        <v/>
      </c>
      <c r="AF9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9" s="27" t="str">
        <f>IF(ROW()-3&gt;NumFileColumns,
"",
CONCATENATE(AH98,", ",INDEX(DataColumns[ColumnLabel],ROW()-3)))</f>
        <v/>
      </c>
    </row>
    <row r="100" spans="1:34" x14ac:dyDescent="0.25">
      <c r="A100" s="27">
        <f t="shared" si="2"/>
        <v>97</v>
      </c>
      <c r="D10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&amp;SamplingFeatureID0097 {SamplingFeatureUUID:  "", SamplingFeatureTypeCV:  "Specimen", SamplingFeatureCode:  "1104013", SamplingFeatureName:  "", SamplingFeatureDescription:  "", SamplingFeatureGeotypeCV:  Point, FeatureGeometry:  NULL, Elevation_m:  NULL, ElevationDatumCV:  NULL}</v>
      </c>
      <c r="P10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*SamplingFeatureID0104, SpecimenTypeCV:  "Automated", SpecimenMediumCV:  "809.6893027", IsFieldSpecimen:  "TRUE"}</v>
      </c>
      <c r="S10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0" s="27" t="str">
        <f t="shared" si="3"/>
        <v/>
      </c>
      <c r="AF10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0" s="27" t="str">
        <f>IF(ROW()-3&gt;NumFileColumns,
"",
CONCATENATE(AH99,", ",INDEX(DataColumns[ColumnLabel],ROW()-3)))</f>
        <v/>
      </c>
    </row>
    <row r="101" spans="1:34" x14ac:dyDescent="0.25">
      <c r="A101" s="27">
        <f t="shared" si="2"/>
        <v>98</v>
      </c>
      <c r="D10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&amp;SamplingFeatureID0098 {SamplingFeatureUUID:  "", SamplingFeatureTypeCV:  "Specimen", SamplingFeatureCode:  "1104014", SamplingFeatureName:  "", SamplingFeatureDescription:  "", SamplingFeatureGeotypeCV:  Point, FeatureGeometry:  NULL, Elevation_m:  NULL, ElevationDatumCV:  NULL}</v>
      </c>
      <c r="P10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*SamplingFeatureID0105, SpecimenTypeCV:  "Grab", SpecimenMediumCV:  "1199.483215", IsFieldSpecimen:  "TRUE"}</v>
      </c>
      <c r="S10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1" s="27" t="str">
        <f t="shared" si="3"/>
        <v/>
      </c>
      <c r="AF10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1" s="27" t="str">
        <f>IF(ROW()-3&gt;NumFileColumns,
"",
CONCATENATE(AH100,", ",INDEX(DataColumns[ColumnLabel],ROW()-3)))</f>
        <v/>
      </c>
    </row>
    <row r="102" spans="1:34" x14ac:dyDescent="0.25">
      <c r="A102" s="27">
        <f t="shared" si="2"/>
        <v>99</v>
      </c>
      <c r="D10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&amp;SamplingFeatureID0099 {SamplingFeatureUUID:  "", SamplingFeatureTypeCV:  "Specimen", SamplingFeatureCode:  "1104015", SamplingFeatureName:  "", SamplingFeatureDescription:  "", SamplingFeatureGeotypeCV:  Point, FeatureGeometry:  NULL, Elevation_m:  NULL, ElevationDatumCV:  NULL}</v>
      </c>
      <c r="P10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*SamplingFeatureID0106, SpecimenTypeCV:  "Grab", SpecimenMediumCV:  "1186.81862", IsFieldSpecimen:  "TRUE"}</v>
      </c>
      <c r="S10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2" s="27" t="str">
        <f t="shared" si="3"/>
        <v/>
      </c>
      <c r="AF10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2" s="27" t="str">
        <f>IF(ROW()-3&gt;NumFileColumns,
"",
CONCATENATE(AH101,", ",INDEX(DataColumns[ColumnLabel],ROW()-3)))</f>
        <v/>
      </c>
    </row>
    <row r="103" spans="1:34" x14ac:dyDescent="0.25">
      <c r="A103" s="27">
        <f t="shared" si="2"/>
        <v>100</v>
      </c>
      <c r="D10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&amp;SamplingFeatureID0100 {SamplingFeatureUUID:  "", SamplingFeatureTypeCV:  "Specimen", SamplingFeatureCode:  "1104016", SamplingFeatureName:  "", SamplingFeatureDescription:  "", SamplingFeatureGeotypeCV:  Point, FeatureGeometry:  NULL, Elevation_m:  NULL, ElevationDatumCV:  NULL}</v>
      </c>
      <c r="P10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*SamplingFeatureID0107, SpecimenTypeCV:  "Grab", SpecimenMediumCV:  "1117.783055", IsFieldSpecimen:  "TRUE"}</v>
      </c>
      <c r="S10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3" s="27" t="str">
        <f t="shared" si="3"/>
        <v/>
      </c>
      <c r="AF10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3" s="27" t="str">
        <f>IF(ROW()-3&gt;NumFileColumns,
"",
CONCATENATE(AH102,", ",INDEX(DataColumns[ColumnLabel],ROW()-3)))</f>
        <v/>
      </c>
    </row>
    <row r="104" spans="1:34" x14ac:dyDescent="0.25">
      <c r="A104" s="27">
        <f t="shared" si="2"/>
        <v>101</v>
      </c>
      <c r="D10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&amp;SamplingFeatureID0101 {SamplingFeatureUUID:  "", SamplingFeatureTypeCV:  "Specimen", SamplingFeatureCode:  "1104017", SamplingFeatureName:  "", SamplingFeatureDescription:  "", SamplingFeatureGeotypeCV:  Point, FeatureGeometry:  NULL, Elevation_m:  NULL, ElevationDatumCV:  NULL}</v>
      </c>
      <c r="P10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*SamplingFeatureID0108, SpecimenTypeCV:  "Grab", SpecimenMediumCV:  "1189.75084", IsFieldSpecimen:  "TRUE"}</v>
      </c>
      <c r="S10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4" s="27" t="str">
        <f t="shared" si="3"/>
        <v/>
      </c>
      <c r="AF10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4" s="27" t="str">
        <f>IF(ROW()-3&gt;NumFileColumns,
"",
CONCATENATE(AH103,", ",INDEX(DataColumns[ColumnLabel],ROW()-3)))</f>
        <v/>
      </c>
    </row>
    <row r="105" spans="1:34" x14ac:dyDescent="0.25">
      <c r="A105" s="27">
        <f t="shared" si="2"/>
        <v>102</v>
      </c>
      <c r="D10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&amp;SamplingFeatureID0102 {SamplingFeatureUUID:  "", SamplingFeatureTypeCV:  "Specimen", SamplingFeatureCode:  "1104018", SamplingFeatureName:  "", SamplingFeatureDescription:  "", SamplingFeatureGeotypeCV:  Point, FeatureGeometry:  NULL, Elevation_m:  NULL, ElevationDatumCV:  NULL}</v>
      </c>
      <c r="P10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*SamplingFeatureID0109, SpecimenTypeCV:  "Grab", SpecimenMediumCV:  "1112.500548", IsFieldSpecimen:  "TRUE"}</v>
      </c>
      <c r="S10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5" s="27" t="str">
        <f t="shared" si="3"/>
        <v/>
      </c>
      <c r="AF10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5" s="27" t="str">
        <f>IF(ROW()-3&gt;NumFileColumns,
"",
CONCATENATE(AH104,", ",INDEX(DataColumns[ColumnLabel],ROW()-3)))</f>
        <v/>
      </c>
    </row>
    <row r="106" spans="1:34" x14ac:dyDescent="0.25">
      <c r="A106" s="27">
        <f t="shared" si="2"/>
        <v>103</v>
      </c>
      <c r="D10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&amp;SamplingFeatureID0103 {SamplingFeatureUUID:  "", SamplingFeatureTypeCV:  "Specimen", SamplingFeatureCode:  "1104019", SamplingFeatureName:  "", SamplingFeatureDescription:  "", SamplingFeatureGeotypeCV:  Point, FeatureGeometry:  NULL, Elevation_m:  NULL, ElevationDatumCV:  NULL}</v>
      </c>
      <c r="P10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*SamplingFeatureID0110, SpecimenTypeCV:  "Grab", SpecimenMediumCV:  "1178.485531", IsFieldSpecimen:  "TRUE"}</v>
      </c>
      <c r="S10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6" s="27" t="str">
        <f t="shared" si="3"/>
        <v/>
      </c>
      <c r="AF10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6" s="27" t="str">
        <f>IF(ROW()-3&gt;NumFileColumns,
"",
CONCATENATE(AH105,", ",INDEX(DataColumns[ColumnLabel],ROW()-3)))</f>
        <v/>
      </c>
    </row>
    <row r="107" spans="1:34" x14ac:dyDescent="0.25">
      <c r="A107" s="27">
        <f t="shared" si="2"/>
        <v>104</v>
      </c>
      <c r="D10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&amp;SamplingFeatureID0104 {SamplingFeatureUUID:  "", SamplingFeatureTypeCV:  "Specimen", SamplingFeatureCode:  "1104020", SamplingFeatureName:  "", SamplingFeatureDescription:  "", SamplingFeatureGeotypeCV:  Point, FeatureGeometry:  NULL, Elevation_m:  NULL, ElevationDatumCV:  NULL}</v>
      </c>
      <c r="P10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*SamplingFeatureID0111, SpecimenTypeCV:  "Automated", SpecimenMediumCV:  "501.3690704", IsFieldSpecimen:  "TRUE"}</v>
      </c>
      <c r="S10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7" s="27" t="str">
        <f t="shared" si="3"/>
        <v/>
      </c>
      <c r="AF10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7" s="27" t="str">
        <f>IF(ROW()-3&gt;NumFileColumns,
"",
CONCATENATE(AH106,", ",INDEX(DataColumns[ColumnLabel],ROW()-3)))</f>
        <v/>
      </c>
    </row>
    <row r="108" spans="1:34" x14ac:dyDescent="0.25">
      <c r="A108" s="27">
        <f t="shared" si="2"/>
        <v>105</v>
      </c>
      <c r="D10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&amp;SamplingFeatureID0105 {SamplingFeatureUUID:  "", SamplingFeatureTypeCV:  "Specimen", SamplingFeatureCode:  "1104171", SamplingFeatureName:  "", SamplingFeatureDescription:  "", SamplingFeatureGeotypeCV:  Point, FeatureGeometry:  NULL, Elevation_m:  NULL, ElevationDatumCV:  NULL}</v>
      </c>
      <c r="P10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*SamplingFeatureID0112, SpecimenTypeCV:  "Automated", SpecimenMediumCV:  "1059.032604", IsFieldSpecimen:  "TRUE"}</v>
      </c>
      <c r="S10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8" s="27" t="str">
        <f t="shared" si="3"/>
        <v/>
      </c>
      <c r="AF10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8" s="27" t="str">
        <f>IF(ROW()-3&gt;NumFileColumns,
"",
CONCATENATE(AH107,", ",INDEX(DataColumns[ColumnLabel],ROW()-3)))</f>
        <v/>
      </c>
    </row>
    <row r="109" spans="1:34" x14ac:dyDescent="0.25">
      <c r="A109" s="27">
        <f t="shared" si="2"/>
        <v>106</v>
      </c>
      <c r="D10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&amp;SamplingFeatureID0106 {SamplingFeatureUUID:  "", SamplingFeatureTypeCV:  "Specimen", SamplingFeatureCode:  "1104169", SamplingFeatureName:  "", SamplingFeatureDescription:  "", SamplingFeatureGeotypeCV:  Point, FeatureGeometry:  NULL, Elevation_m:  NULL, ElevationDatumCV:  NULL}</v>
      </c>
      <c r="P10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0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*SamplingFeatureID0113, SpecimenTypeCV:  "Automated", SpecimenMediumCV:  "390.2634418", IsFieldSpecimen:  "TRUE"}</v>
      </c>
      <c r="S10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0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0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0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0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0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9" s="27" t="str">
        <f t="shared" si="3"/>
        <v/>
      </c>
      <c r="AF10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9" s="27" t="str">
        <f>IF(ROW()-3&gt;NumFileColumns,
"",
CONCATENATE(AH108,", ",INDEX(DataColumns[ColumnLabel],ROW()-3)))</f>
        <v/>
      </c>
    </row>
    <row r="110" spans="1:34" x14ac:dyDescent="0.25">
      <c r="A110" s="27">
        <f t="shared" si="2"/>
        <v>107</v>
      </c>
      <c r="D11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&amp;SamplingFeatureID0107 {SamplingFeatureUUID:  "", SamplingFeatureTypeCV:  "Specimen", SamplingFeatureCode:  "1104170", SamplingFeatureName:  "", SamplingFeatureDescription:  "", SamplingFeatureGeotypeCV:  Point, FeatureGeometry:  NULL, Elevation_m:  NULL, ElevationDatumCV:  NULL}</v>
      </c>
      <c r="P11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*SamplingFeatureID0114, SpecimenTypeCV:  "Automated", SpecimenMediumCV:  "850.9793138", IsFieldSpecimen:  "TRUE"}</v>
      </c>
      <c r="S11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0" s="27" t="str">
        <f t="shared" si="3"/>
        <v/>
      </c>
      <c r="AF11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0" s="27" t="str">
        <f>IF(ROW()-3&gt;NumFileColumns,
"",
CONCATENATE(AH109,", ",INDEX(DataColumns[ColumnLabel],ROW()-3)))</f>
        <v/>
      </c>
    </row>
    <row r="111" spans="1:34" x14ac:dyDescent="0.25">
      <c r="A111" s="27">
        <f t="shared" si="2"/>
        <v>108</v>
      </c>
      <c r="D11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&amp;SamplingFeatureID0108 {SamplingFeatureUUID:  "", SamplingFeatureTypeCV:  "Specimen", SamplingFeatureCode:  "1200024", SamplingFeatureName:  "", SamplingFeatureDescription:  "", SamplingFeatureGeotypeCV:  Point, FeatureGeometry:  NULL, Elevation_m:  NULL, ElevationDatumCV:  NULL}</v>
      </c>
      <c r="P11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*SamplingFeatureID0115, SpecimenTypeCV:  "Automated", SpecimenMediumCV:  "771.7780808", IsFieldSpecimen:  "TRUE"}</v>
      </c>
      <c r="S11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1" s="27" t="str">
        <f t="shared" si="3"/>
        <v/>
      </c>
      <c r="AF11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1" s="27" t="str">
        <f>IF(ROW()-3&gt;NumFileColumns,
"",
CONCATENATE(AH110,", ",INDEX(DataColumns[ColumnLabel],ROW()-3)))</f>
        <v/>
      </c>
    </row>
    <row r="112" spans="1:34" x14ac:dyDescent="0.25">
      <c r="A112" s="27">
        <f t="shared" si="2"/>
        <v>109</v>
      </c>
      <c r="D11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&amp;SamplingFeatureID0109 {SamplingFeatureUUID:  "", SamplingFeatureTypeCV:  "Specimen", SamplingFeatureCode:  "1200023", SamplingFeatureName:  "", SamplingFeatureDescription:  "", SamplingFeatureGeotypeCV:  Point, FeatureGeometry:  NULL, Elevation_m:  NULL, ElevationDatumCV:  NULL}</v>
      </c>
      <c r="P11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*SamplingFeatureID0116, SpecimenTypeCV:  "Automated", SpecimenMediumCV:  "323.9633189", IsFieldSpecimen:  "TRUE"}</v>
      </c>
      <c r="S11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2" s="27" t="str">
        <f t="shared" si="3"/>
        <v/>
      </c>
      <c r="AF11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2" s="27" t="str">
        <f>IF(ROW()-3&gt;NumFileColumns,
"",
CONCATENATE(AH111,", ",INDEX(DataColumns[ColumnLabel],ROW()-3)))</f>
        <v/>
      </c>
    </row>
    <row r="113" spans="1:34" x14ac:dyDescent="0.25">
      <c r="A113" s="27">
        <f t="shared" si="2"/>
        <v>110</v>
      </c>
      <c r="D11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&amp;SamplingFeatureID0110 {SamplingFeatureUUID:  "", SamplingFeatureTypeCV:  "Specimen", SamplingFeatureCode:  "1200022", SamplingFeatureName:  "", SamplingFeatureDescription:  "", SamplingFeatureGeotypeCV:  Point, FeatureGeometry:  NULL, Elevation_m:  NULL, ElevationDatumCV:  NULL}</v>
      </c>
      <c r="P11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*SamplingFeatureID0117, SpecimenTypeCV:  "Automated", SpecimenMediumCV:  "634.3742899", IsFieldSpecimen:  "TRUE"}</v>
      </c>
      <c r="S11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3" s="27" t="str">
        <f t="shared" si="3"/>
        <v/>
      </c>
      <c r="AF11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3" s="27" t="str">
        <f>IF(ROW()-3&gt;NumFileColumns,
"",
CONCATENATE(AH112,", ",INDEX(DataColumns[ColumnLabel],ROW()-3)))</f>
        <v/>
      </c>
    </row>
    <row r="114" spans="1:34" x14ac:dyDescent="0.25">
      <c r="A114" s="27">
        <f t="shared" si="2"/>
        <v>111</v>
      </c>
      <c r="D11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&amp;SamplingFeatureID0111 {SamplingFeatureUUID:  "", SamplingFeatureTypeCV:  "Specimen", SamplingFeatureCode:  "1200045", SamplingFeatureName:  "", SamplingFeatureDescription:  "", SamplingFeatureGeotypeCV:  Point, FeatureGeometry:  NULL, Elevation_m:  NULL, ElevationDatumCV:  NULL}</v>
      </c>
      <c r="P11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*SamplingFeatureID0118, SpecimenTypeCV:  "Automated", SpecimenMediumCV:  "195.8759784", IsFieldSpecimen:  "TRUE"}</v>
      </c>
      <c r="S11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4" s="27" t="str">
        <f t="shared" si="3"/>
        <v/>
      </c>
      <c r="AF11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4" s="27" t="str">
        <f>IF(ROW()-3&gt;NumFileColumns,
"",
CONCATENATE(AH113,", ",INDEX(DataColumns[ColumnLabel],ROW()-3)))</f>
        <v/>
      </c>
    </row>
    <row r="115" spans="1:34" x14ac:dyDescent="0.25">
      <c r="A115" s="27">
        <f t="shared" si="2"/>
        <v>112</v>
      </c>
      <c r="D11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&amp;SamplingFeatureID0112 {SamplingFeatureUUID:  "", SamplingFeatureTypeCV:  "Specimen", SamplingFeatureCode:  "1200030", SamplingFeatureName:  "", SamplingFeatureDescription:  "", SamplingFeatureGeotypeCV:  Point, FeatureGeometry:  NULL, Elevation_m:  NULL, ElevationDatumCV:  NULL}</v>
      </c>
      <c r="P11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*SamplingFeatureID0119, SpecimenTypeCV:  "Automated", SpecimenMediumCV:  "416.6658325", IsFieldSpecimen:  "TRUE"}</v>
      </c>
      <c r="S11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5" s="27" t="str">
        <f t="shared" si="3"/>
        <v/>
      </c>
      <c r="AF11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5" s="27" t="str">
        <f>IF(ROW()-3&gt;NumFileColumns,
"",
CONCATENATE(AH114,", ",INDEX(DataColumns[ColumnLabel],ROW()-3)))</f>
        <v/>
      </c>
    </row>
    <row r="116" spans="1:34" x14ac:dyDescent="0.25">
      <c r="A116" s="27">
        <f t="shared" si="2"/>
        <v>113</v>
      </c>
      <c r="D11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&amp;SamplingFeatureID0113 {SamplingFeatureUUID:  "", SamplingFeatureTypeCV:  "Specimen", SamplingFeatureCode:  "1200046", SamplingFeatureName:  "", SamplingFeatureDescription:  "", SamplingFeatureGeotypeCV:  Point, FeatureGeometry:  NULL, Elevation_m:  NULL, ElevationDatumCV:  NULL}</v>
      </c>
      <c r="P11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*SamplingFeatureID0120, SpecimenTypeCV:  "Automated", SpecimenMediumCV:  "338.7387402", IsFieldSpecimen:  "TRUE"}</v>
      </c>
      <c r="S11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6" s="27" t="str">
        <f t="shared" si="3"/>
        <v/>
      </c>
      <c r="AF11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6" s="27" t="str">
        <f>IF(ROW()-3&gt;NumFileColumns,
"",
CONCATENATE(AH115,", ",INDEX(DataColumns[ColumnLabel],ROW()-3)))</f>
        <v/>
      </c>
    </row>
    <row r="117" spans="1:34" x14ac:dyDescent="0.25">
      <c r="A117" s="27">
        <f t="shared" si="2"/>
        <v>114</v>
      </c>
      <c r="D11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&amp;SamplingFeatureID0114 {SamplingFeatureUUID:  "", SamplingFeatureTypeCV:  "Specimen", SamplingFeatureCode:  "1200031", SamplingFeatureName:  "", SamplingFeatureDescription:  "", SamplingFeatureGeotypeCV:  Point, FeatureGeometry:  NULL, Elevation_m:  NULL, ElevationDatumCV:  NULL}</v>
      </c>
      <c r="P11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*SamplingFeatureID0121, SpecimenTypeCV:  "Automated", SpecimenMediumCV:  "394.5595921", IsFieldSpecimen:  "TRUE"}</v>
      </c>
      <c r="S11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7" s="27" t="str">
        <f t="shared" si="3"/>
        <v/>
      </c>
      <c r="AF11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7" s="27" t="str">
        <f>IF(ROW()-3&gt;NumFileColumns,
"",
CONCATENATE(AH116,", ",INDEX(DataColumns[ColumnLabel],ROW()-3)))</f>
        <v/>
      </c>
    </row>
    <row r="118" spans="1:34" x14ac:dyDescent="0.25">
      <c r="A118" s="27">
        <f t="shared" si="2"/>
        <v>115</v>
      </c>
      <c r="D11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&amp;SamplingFeatureID0115 {SamplingFeatureUUID:  "", SamplingFeatureTypeCV:  "Specimen", SamplingFeatureCode:  "1200032", SamplingFeatureName:  "", SamplingFeatureDescription:  "", SamplingFeatureGeotypeCV:  Point, FeatureGeometry:  NULL, Elevation_m:  NULL, ElevationDatumCV:  NULL}</v>
      </c>
      <c r="P11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*SamplingFeatureID0122, SpecimenTypeCV:  "Automated", SpecimenMediumCV:  "473.1762211", IsFieldSpecimen:  "TRUE"}</v>
      </c>
      <c r="S11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8" s="27" t="str">
        <f t="shared" si="3"/>
        <v/>
      </c>
      <c r="AF11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8" s="27" t="str">
        <f>IF(ROW()-3&gt;NumFileColumns,
"",
CONCATENATE(AH117,", ",INDEX(DataColumns[ColumnLabel],ROW()-3)))</f>
        <v/>
      </c>
    </row>
    <row r="119" spans="1:34" x14ac:dyDescent="0.25">
      <c r="A119" s="27">
        <f t="shared" si="2"/>
        <v>116</v>
      </c>
      <c r="D11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&amp;SamplingFeatureID0116 {SamplingFeatureUUID:  "", SamplingFeatureTypeCV:  "Specimen", SamplingFeatureCode:  "1200047", SamplingFeatureName:  "", SamplingFeatureDescription:  "", SamplingFeatureGeotypeCV:  Point, FeatureGeometry:  NULL, Elevation_m:  NULL, ElevationDatumCV:  NULL}</v>
      </c>
      <c r="P11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1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*SamplingFeatureID0123, SpecimenTypeCV:  "Automated", SpecimenMediumCV:  "202.5184964", IsFieldSpecimen:  "TRUE"}</v>
      </c>
      <c r="S11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1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1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1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1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1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9" s="27" t="str">
        <f t="shared" si="3"/>
        <v/>
      </c>
      <c r="AF11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9" s="27" t="str">
        <f>IF(ROW()-3&gt;NumFileColumns,
"",
CONCATENATE(AH118,", ",INDEX(DataColumns[ColumnLabel],ROW()-3)))</f>
        <v/>
      </c>
    </row>
    <row r="120" spans="1:34" x14ac:dyDescent="0.25">
      <c r="A120" s="27">
        <f t="shared" si="2"/>
        <v>117</v>
      </c>
      <c r="D12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&amp;SamplingFeatureID0117 {SamplingFeatureUUID:  "", SamplingFeatureTypeCV:  "Specimen", SamplingFeatureCode:  "1200033", SamplingFeatureName:  "", SamplingFeatureDescription:  "", SamplingFeatureGeotypeCV:  Point, FeatureGeometry:  NULL, Elevation_m:  NULL, ElevationDatumCV:  NULL}</v>
      </c>
      <c r="P12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*SamplingFeatureID0124, SpecimenTypeCV:  "Automated", SpecimenMediumCV:  "670.6142664", IsFieldSpecimen:  "TRUE"}</v>
      </c>
      <c r="S12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0" s="27" t="str">
        <f t="shared" si="3"/>
        <v/>
      </c>
      <c r="AF12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0" s="27" t="str">
        <f>IF(ROW()-3&gt;NumFileColumns,
"",
CONCATENATE(AH119,", ",INDEX(DataColumns[ColumnLabel],ROW()-3)))</f>
        <v/>
      </c>
    </row>
    <row r="121" spans="1:34" x14ac:dyDescent="0.25">
      <c r="A121" s="27">
        <f t="shared" si="2"/>
        <v>118</v>
      </c>
      <c r="D12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&amp;SamplingFeatureID0118 {SamplingFeatureUUID:  "", SamplingFeatureTypeCV:  "Specimen", SamplingFeatureCode:  "1200048", SamplingFeatureName:  "", SamplingFeatureDescription:  "", SamplingFeatureGeotypeCV:  Point, FeatureGeometry:  NULL, Elevation_m:  NULL, ElevationDatumCV:  NULL}</v>
      </c>
      <c r="P12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*SamplingFeatureID0125, SpecimenTypeCV:  "Automated", SpecimenMediumCV:  "241.3465531", IsFieldSpecimen:  "TRUE"}</v>
      </c>
      <c r="S12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1" s="27" t="str">
        <f t="shared" si="3"/>
        <v/>
      </c>
      <c r="AF12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1" s="27" t="str">
        <f>IF(ROW()-3&gt;NumFileColumns,
"",
CONCATENATE(AH120,", ",INDEX(DataColumns[ColumnLabel],ROW()-3)))</f>
        <v/>
      </c>
    </row>
    <row r="122" spans="1:34" x14ac:dyDescent="0.25">
      <c r="A122" s="27">
        <f t="shared" si="2"/>
        <v>119</v>
      </c>
      <c r="D12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&amp;SamplingFeatureID0119 {SamplingFeatureUUID:  "", SamplingFeatureTypeCV:  "Specimen", SamplingFeatureCode:  "1200034", SamplingFeatureName:  "", SamplingFeatureDescription:  "", SamplingFeatureGeotypeCV:  Point, FeatureGeometry:  NULL, Elevation_m:  NULL, ElevationDatumCV:  NULL}</v>
      </c>
      <c r="P12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*SamplingFeatureID0126, SpecimenTypeCV:  "Automated", SpecimenMediumCV:  "853.703363", IsFieldSpecimen:  "TRUE"}</v>
      </c>
      <c r="S12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2" s="27" t="str">
        <f t="shared" si="3"/>
        <v/>
      </c>
      <c r="AF12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2" s="27" t="str">
        <f>IF(ROW()-3&gt;NumFileColumns,
"",
CONCATENATE(AH121,", ",INDEX(DataColumns[ColumnLabel],ROW()-3)))</f>
        <v/>
      </c>
    </row>
    <row r="123" spans="1:34" x14ac:dyDescent="0.25">
      <c r="A123" s="27">
        <f t="shared" si="2"/>
        <v>120</v>
      </c>
      <c r="D12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&amp;SamplingFeatureID0120 {SamplingFeatureUUID:  "", SamplingFeatureTypeCV:  "Specimen", SamplingFeatureCode:  "1200035", SamplingFeatureName:  "", SamplingFeatureDescription:  "", SamplingFeatureGeotypeCV:  Point, FeatureGeometry:  NULL, Elevation_m:  NULL, ElevationDatumCV:  NULL}</v>
      </c>
      <c r="P12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*SamplingFeatureID0127, SpecimenTypeCV:  "Grab", SpecimenMediumCV:  "PLEASE PUT A SPECIMEN MEDIUM IN ROW 120", IsFieldSpecimen:  "TRUE"}</v>
      </c>
      <c r="S12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3" s="27" t="str">
        <f t="shared" si="3"/>
        <v/>
      </c>
      <c r="AF12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3" s="27" t="str">
        <f>IF(ROW()-3&gt;NumFileColumns,
"",
CONCATENATE(AH122,", ",INDEX(DataColumns[ColumnLabel],ROW()-3)))</f>
        <v/>
      </c>
    </row>
    <row r="124" spans="1:34" x14ac:dyDescent="0.25">
      <c r="A124" s="27">
        <f t="shared" si="2"/>
        <v>121</v>
      </c>
      <c r="D12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&amp;SamplingFeatureID0121 {SamplingFeatureUUID:  "", SamplingFeatureTypeCV:  "Specimen", SamplingFeatureCode:  "1200036", SamplingFeatureName:  "", SamplingFeatureDescription:  "", SamplingFeatureGeotypeCV:  Point, FeatureGeometry:  NULL, Elevation_m:  NULL, ElevationDatumCV:  NULL}</v>
      </c>
      <c r="P12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*SamplingFeatureID0128, SpecimenTypeCV:  "Grab", SpecimenMediumCV:  "PLEASE PUT A SPECIMEN MEDIUM IN ROW 121", IsFieldSpecimen:  "TRUE"}</v>
      </c>
      <c r="S12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4" s="27" t="str">
        <f t="shared" si="3"/>
        <v/>
      </c>
      <c r="AF12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4" s="27" t="str">
        <f>IF(ROW()-3&gt;NumFileColumns,
"",
CONCATENATE(AH123,", ",INDEX(DataColumns[ColumnLabel],ROW()-3)))</f>
        <v/>
      </c>
    </row>
    <row r="125" spans="1:34" x14ac:dyDescent="0.25">
      <c r="A125" s="27">
        <f t="shared" si="2"/>
        <v>122</v>
      </c>
      <c r="D12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&amp;SamplingFeatureID0122 {SamplingFeatureUUID:  "", SamplingFeatureTypeCV:  "Specimen", SamplingFeatureCode:  "1200037", SamplingFeatureName:  "", SamplingFeatureDescription:  "", SamplingFeatureGeotypeCV:  Point, FeatureGeometry:  NULL, Elevation_m:  NULL, ElevationDatumCV:  NULL}</v>
      </c>
      <c r="P12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*SamplingFeatureID0129, SpecimenTypeCV:  "Grab", SpecimenMediumCV:  "1159.093252", IsFieldSpecimen:  "TRUE"}</v>
      </c>
      <c r="S12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5" s="27" t="str">
        <f t="shared" si="3"/>
        <v/>
      </c>
      <c r="AF12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5" s="27" t="str">
        <f>IF(ROW()-3&gt;NumFileColumns,
"",
CONCATENATE(AH124,", ",INDEX(DataColumns[ColumnLabel],ROW()-3)))</f>
        <v/>
      </c>
    </row>
    <row r="126" spans="1:34" x14ac:dyDescent="0.25">
      <c r="A126" s="27">
        <f t="shared" si="2"/>
        <v>123</v>
      </c>
      <c r="D12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&amp;SamplingFeatureID0123 {SamplingFeatureUUID:  "", SamplingFeatureTypeCV:  "Specimen", SamplingFeatureCode:  "1200049", SamplingFeatureName:  "", SamplingFeatureDescription:  "", SamplingFeatureGeotypeCV:  Point, FeatureGeometry:  NULL, Elevation_m:  NULL, ElevationDatumCV:  NULL}</v>
      </c>
      <c r="P12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*SamplingFeatureID0130, SpecimenTypeCV:  "Grab", SpecimenMediumCV:  "1132.152979", IsFieldSpecimen:  "TRUE"}</v>
      </c>
      <c r="S12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6" s="27" t="str">
        <f t="shared" si="3"/>
        <v/>
      </c>
      <c r="AF12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6" s="27" t="str">
        <f>IF(ROW()-3&gt;NumFileColumns,
"",
CONCATENATE(AH125,", ",INDEX(DataColumns[ColumnLabel],ROW()-3)))</f>
        <v/>
      </c>
    </row>
    <row r="127" spans="1:34" x14ac:dyDescent="0.25">
      <c r="A127" s="27">
        <f t="shared" si="2"/>
        <v>124</v>
      </c>
      <c r="D12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&amp;SamplingFeatureID0124 {SamplingFeatureUUID:  "", SamplingFeatureTypeCV:  "Specimen", SamplingFeatureCode:  "1200038", SamplingFeatureName:  "", SamplingFeatureDescription:  "", SamplingFeatureGeotypeCV:  Point, FeatureGeometry:  NULL, Elevation_m:  NULL, ElevationDatumCV:  NULL}</v>
      </c>
      <c r="P12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*SamplingFeatureID0131, SpecimenTypeCV:  "Grab", SpecimenMediumCV:  "1078.067419", IsFieldSpecimen:  "TRUE"}</v>
      </c>
      <c r="S12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7" s="27" t="str">
        <f t="shared" si="3"/>
        <v/>
      </c>
      <c r="AF12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7" s="27" t="str">
        <f>IF(ROW()-3&gt;NumFileColumns,
"",
CONCATENATE(AH126,", ",INDEX(DataColumns[ColumnLabel],ROW()-3)))</f>
        <v/>
      </c>
    </row>
    <row r="128" spans="1:34" x14ac:dyDescent="0.25">
      <c r="A128" s="27">
        <f t="shared" si="2"/>
        <v>125</v>
      </c>
      <c r="D12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&amp;SamplingFeatureID0125 {SamplingFeatureUUID:  "", SamplingFeatureTypeCV:  "Specimen", SamplingFeatureCode:  "1200050", SamplingFeatureName:  "", SamplingFeatureDescription:  "", SamplingFeatureGeotypeCV:  Point, FeatureGeometry:  NULL, Elevation_m:  NULL, ElevationDatumCV:  NULL}</v>
      </c>
      <c r="P12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*SamplingFeatureID0132, SpecimenTypeCV:  "Automated", SpecimenMediumCV:  "PLEASE PUT A SPECIMEN MEDIUM IN ROW 125", IsFieldSpecimen:  "TRUE"}</v>
      </c>
      <c r="S12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8" s="27" t="str">
        <f t="shared" si="3"/>
        <v/>
      </c>
      <c r="AF12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8" s="27" t="str">
        <f>IF(ROW()-3&gt;NumFileColumns,
"",
CONCATENATE(AH127,", ",INDEX(DataColumns[ColumnLabel],ROW()-3)))</f>
        <v/>
      </c>
    </row>
    <row r="129" spans="1:34" x14ac:dyDescent="0.25">
      <c r="A129" s="27">
        <f t="shared" si="2"/>
        <v>126</v>
      </c>
      <c r="D12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2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2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2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2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&amp;SamplingFeatureID0126 {SamplingFeatureUUID:  "", SamplingFeatureTypeCV:  "Specimen", SamplingFeatureCode:  "1200039", SamplingFeatureName:  "", SamplingFeatureDescription:  "", SamplingFeatureGeotypeCV:  Point, FeatureGeometry:  NULL, Elevation_m:  NULL, ElevationDatumCV:  NULL}</v>
      </c>
      <c r="P12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2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*SamplingFeatureID0133, SpecimenTypeCV:  "Automated", SpecimenMediumCV:  "PLEASE PUT A SPECIMEN MEDIUM IN ROW 126", IsFieldSpecimen:  "TRUE"}</v>
      </c>
      <c r="S12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2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2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2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2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2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2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2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2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9" s="27" t="str">
        <f t="shared" si="3"/>
        <v/>
      </c>
      <c r="AF12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9" s="27" t="str">
        <f>IF(ROW()-3&gt;NumFileColumns,
"",
CONCATENATE(AH128,", ",INDEX(DataColumns[ColumnLabel],ROW()-3)))</f>
        <v/>
      </c>
    </row>
    <row r="130" spans="1:34" x14ac:dyDescent="0.25">
      <c r="A130" s="27">
        <f t="shared" si="2"/>
        <v>127</v>
      </c>
      <c r="D13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&amp;SamplingFeatureID0127 {SamplingFeatureUUID:  "", SamplingFeatureTypeCV:  "Specimen", SamplingFeatureCode:  "1200090", SamplingFeatureName:  "", SamplingFeatureDescription:  "", SamplingFeatureGeotypeCV:  Point, FeatureGeometry:  NULL, Elevation_m:  NULL, ElevationDatumCV:  NULL}</v>
      </c>
      <c r="P13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*SamplingFeatureID0134, SpecimenTypeCV:  "Automated", SpecimenMediumCV:  "PLEASE PUT A SPECIMEN MEDIUM IN ROW 127", IsFieldSpecimen:  "TRUE"}</v>
      </c>
      <c r="S13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0" s="27" t="str">
        <f t="shared" si="3"/>
        <v/>
      </c>
      <c r="AF13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0" s="27" t="str">
        <f>IF(ROW()-3&gt;NumFileColumns,
"",
CONCATENATE(AH129,", ",INDEX(DataColumns[ColumnLabel],ROW()-3)))</f>
        <v/>
      </c>
    </row>
    <row r="131" spans="1:34" x14ac:dyDescent="0.25">
      <c r="A131" s="27">
        <f t="shared" ref="A131:A194" si="4">ROW()-3</f>
        <v>128</v>
      </c>
      <c r="D13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&amp;SamplingFeatureID0128 {SamplingFeatureUUID:  "", SamplingFeatureTypeCV:  "Specimen", SamplingFeatureCode:  "1200091", SamplingFeatureName:  "", SamplingFeatureDescription:  "", SamplingFeatureGeotypeCV:  Point, FeatureGeometry:  NULL, Elevation_m:  NULL, ElevationDatumCV:  NULL}</v>
      </c>
      <c r="P13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*SamplingFeatureID0135, SpecimenTypeCV:  "Grab", SpecimenMediumCV:  "1198.798924", IsFieldSpecimen:  "TRUE"}</v>
      </c>
      <c r="S13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1" s="27" t="str">
        <f t="shared" si="3"/>
        <v/>
      </c>
      <c r="AF13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1" s="27" t="str">
        <f>IF(ROW()-3&gt;NumFileColumns,
"",
CONCATENATE(AH130,", ",INDEX(DataColumns[ColumnLabel],ROW()-3)))</f>
        <v/>
      </c>
    </row>
    <row r="132" spans="1:34" x14ac:dyDescent="0.25">
      <c r="A132" s="27">
        <f t="shared" si="4"/>
        <v>129</v>
      </c>
      <c r="D13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&amp;SamplingFeatureID0129 {SamplingFeatureUUID:  "", SamplingFeatureTypeCV:  "Specimen", SamplingFeatureCode:  "1200138", SamplingFeatureName:  "", SamplingFeatureDescription:  "", SamplingFeatureGeotypeCV:  Point, FeatureGeometry:  NULL, Elevation_m:  NULL, ElevationDatumCV:  NULL}</v>
      </c>
      <c r="P13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*SamplingFeatureID0136, SpecimenTypeCV:  "Grab", SpecimenMediumCV:  "1128.434324", IsFieldSpecimen:  "TRUE"}</v>
      </c>
      <c r="S13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2" s="27" t="str">
        <f t="shared" si="3"/>
        <v/>
      </c>
      <c r="AF13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2" s="27" t="str">
        <f>IF(ROW()-3&gt;NumFileColumns,
"",
CONCATENATE(AH131,", ",INDEX(DataColumns[ColumnLabel],ROW()-3)))</f>
        <v/>
      </c>
    </row>
    <row r="133" spans="1:34" x14ac:dyDescent="0.25">
      <c r="A133" s="27">
        <f t="shared" si="4"/>
        <v>130</v>
      </c>
      <c r="D13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&amp;SamplingFeatureID0130 {SamplingFeatureUUID:  "", SamplingFeatureTypeCV:  "Specimen", SamplingFeatureCode:  "1200136", SamplingFeatureName:  "", SamplingFeatureDescription:  "", SamplingFeatureGeotypeCV:  Point, FeatureGeometry:  NULL, Elevation_m:  NULL, ElevationDatumCV:  NULL}</v>
      </c>
      <c r="P13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*SamplingFeatureID0137, SpecimenTypeCV:  "Grab", SpecimenMediumCV:  "1182.589456", IsFieldSpecimen:  "TRUE"}</v>
      </c>
      <c r="S13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3" s="27" t="str">
        <f t="shared" ref="AC133:AC196" si="5">IF(ROW()-3&gt;NumFileColumns,"",
CONCATENATE("  - {DataSetObj: *DataSetID0001, ",
"ResultObj: *ResultID",TEXT(ROW()-3,"0000"),
"}"))</f>
        <v/>
      </c>
      <c r="AF13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3" s="27" t="str">
        <f>IF(ROW()-3&gt;NumFileColumns,
"",
CONCATENATE(AH132,", ",INDEX(DataColumns[ColumnLabel],ROW()-3)))</f>
        <v/>
      </c>
    </row>
    <row r="134" spans="1:34" x14ac:dyDescent="0.25">
      <c r="A134" s="27">
        <f t="shared" si="4"/>
        <v>131</v>
      </c>
      <c r="D13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&amp;SamplingFeatureID0131 {SamplingFeatureUUID:  "", SamplingFeatureTypeCV:  "Specimen", SamplingFeatureCode:  "1200137", SamplingFeatureName:  "", SamplingFeatureDescription:  "", SamplingFeatureGeotypeCV:  Point, FeatureGeometry:  NULL, Elevation_m:  NULL, ElevationDatumCV:  NULL}</v>
      </c>
      <c r="P13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*SamplingFeatureID0138, SpecimenTypeCV:  "Grab", SpecimenMediumCV:  "1261.674928", IsFieldSpecimen:  "TRUE"}</v>
      </c>
      <c r="S13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4" s="27" t="str">
        <f t="shared" si="5"/>
        <v/>
      </c>
      <c r="AF13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4" s="27" t="str">
        <f>IF(ROW()-3&gt;NumFileColumns,
"",
CONCATENATE(AH133,", ",INDEX(DataColumns[ColumnLabel],ROW()-3)))</f>
        <v/>
      </c>
    </row>
    <row r="135" spans="1:34" x14ac:dyDescent="0.25">
      <c r="A135" s="27">
        <f t="shared" si="4"/>
        <v>132</v>
      </c>
      <c r="D13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&amp;SamplingFeatureID0132 {SamplingFeatureUUID:  "", SamplingFeatureTypeCV:  "Specimen", SamplingFeatureCode:  "1200292", SamplingFeatureName:  "", SamplingFeatureDescription:  "", SamplingFeatureGeotypeCV:  Point, FeatureGeometry:  NULL, Elevation_m:  NULL, ElevationDatumCV:  NULL}</v>
      </c>
      <c r="P13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*SamplingFeatureID0139, SpecimenTypeCV:  "Grab", SpecimenMediumCV:  "1186.18696", IsFieldSpecimen:  "TRUE"}</v>
      </c>
      <c r="S13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5" s="27" t="str">
        <f t="shared" si="5"/>
        <v/>
      </c>
      <c r="AF13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5" s="27" t="str">
        <f>IF(ROW()-3&gt;NumFileColumns,
"",
CONCATENATE(AH134,", ",INDEX(DataColumns[ColumnLabel],ROW()-3)))</f>
        <v/>
      </c>
    </row>
    <row r="136" spans="1:34" x14ac:dyDescent="0.25">
      <c r="A136" s="27">
        <f t="shared" si="4"/>
        <v>133</v>
      </c>
      <c r="D13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&amp;SamplingFeatureID0133 {SamplingFeatureUUID:  "", SamplingFeatureTypeCV:  "Specimen", SamplingFeatureCode:  "1200293", SamplingFeatureName:  "", SamplingFeatureDescription:  "", SamplingFeatureGeotypeCV:  Point, FeatureGeometry:  NULL, Elevation_m:  NULL, ElevationDatumCV:  NULL}</v>
      </c>
      <c r="P13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*SamplingFeatureID0140, SpecimenTypeCV:  "Grab", SpecimenMediumCV:  "1252.236197", IsFieldSpecimen:  "TRUE"}</v>
      </c>
      <c r="S13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6" s="27" t="str">
        <f t="shared" si="5"/>
        <v/>
      </c>
      <c r="AF13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6" s="27" t="str">
        <f>IF(ROW()-3&gt;NumFileColumns,
"",
CONCATENATE(AH135,", ",INDEX(DataColumns[ColumnLabel],ROW()-3)))</f>
        <v/>
      </c>
    </row>
    <row r="137" spans="1:34" x14ac:dyDescent="0.25">
      <c r="A137" s="27">
        <f t="shared" si="4"/>
        <v>134</v>
      </c>
      <c r="D13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&amp;SamplingFeatureID0134 {SamplingFeatureUUID:  "", SamplingFeatureTypeCV:  "Specimen", SamplingFeatureCode:  "1200294", SamplingFeatureName:  "", SamplingFeatureDescription:  "", SamplingFeatureGeotypeCV:  Point, FeatureGeometry:  NULL, Elevation_m:  NULL, ElevationDatumCV:  NULL}</v>
      </c>
      <c r="P13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*SamplingFeatureID0141, SpecimenTypeCV:  "Grab", SpecimenMediumCV:  "PLEASE PUT A SPECIMEN MEDIUM IN ROW 134", IsFieldSpecimen:  "TRUE"}</v>
      </c>
      <c r="S13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7" s="27" t="str">
        <f t="shared" si="5"/>
        <v/>
      </c>
      <c r="AF13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7" s="27" t="str">
        <f>IF(ROW()-3&gt;NumFileColumns,
"",
CONCATENATE(AH136,", ",INDEX(DataColumns[ColumnLabel],ROW()-3)))</f>
        <v/>
      </c>
    </row>
    <row r="138" spans="1:34" x14ac:dyDescent="0.25">
      <c r="A138" s="27">
        <f t="shared" si="4"/>
        <v>135</v>
      </c>
      <c r="D13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&amp;SamplingFeatureID0135 {SamplingFeatureUUID:  "", SamplingFeatureTypeCV:  "Specimen", SamplingFeatureCode:  "1200346", SamplingFeatureName:  "", SamplingFeatureDescription:  "", SamplingFeatureGeotypeCV:  Point, FeatureGeometry:  NULL, Elevation_m:  NULL, ElevationDatumCV:  NULL}</v>
      </c>
      <c r="P13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*SamplingFeatureID0142, SpecimenTypeCV:  "Grab", SpecimenMediumCV:  "PLEASE PUT A SPECIMEN MEDIUM IN ROW 135", IsFieldSpecimen:  "TRUE"}</v>
      </c>
      <c r="S13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8" s="27" t="str">
        <f t="shared" si="5"/>
        <v/>
      </c>
      <c r="AF13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8" s="27" t="str">
        <f>IF(ROW()-3&gt;NumFileColumns,
"",
CONCATENATE(AH137,", ",INDEX(DataColumns[ColumnLabel],ROW()-3)))</f>
        <v/>
      </c>
    </row>
    <row r="139" spans="1:34" x14ac:dyDescent="0.25">
      <c r="A139" s="27">
        <f t="shared" si="4"/>
        <v>136</v>
      </c>
      <c r="D13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3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3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3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3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&amp;SamplingFeatureID0136 {SamplingFeatureUUID:  "", SamplingFeatureTypeCV:  "Specimen", SamplingFeatureCode:  "1200345", SamplingFeatureName:  "", SamplingFeatureDescription:  "", SamplingFeatureGeotypeCV:  Point, FeatureGeometry:  NULL, Elevation_m:  NULL, ElevationDatumCV:  NULL}</v>
      </c>
      <c r="P13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3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*SamplingFeatureID0143, SpecimenTypeCV:  "Automated", SpecimenMediumCV:  "1259.376144", IsFieldSpecimen:  "TRUE"}</v>
      </c>
      <c r="S13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3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3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3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3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3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3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3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3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9" s="27" t="str">
        <f t="shared" si="5"/>
        <v/>
      </c>
      <c r="AF13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9" s="27" t="str">
        <f>IF(ROW()-3&gt;NumFileColumns,
"",
CONCATENATE(AH138,", ",INDEX(DataColumns[ColumnLabel],ROW()-3)))</f>
        <v/>
      </c>
    </row>
    <row r="140" spans="1:34" x14ac:dyDescent="0.25">
      <c r="A140" s="27">
        <f t="shared" si="4"/>
        <v>137</v>
      </c>
      <c r="D14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&amp;SamplingFeatureID0137 {SamplingFeatureUUID:  "", SamplingFeatureTypeCV:  "Specimen", SamplingFeatureCode:  "1200344", SamplingFeatureName:  "", SamplingFeatureDescription:  "", SamplingFeatureGeotypeCV:  Point, FeatureGeometry:  NULL, Elevation_m:  NULL, ElevationDatumCV:  NULL}</v>
      </c>
      <c r="P14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*SamplingFeatureID0144, SpecimenTypeCV:  "Automated", SpecimenMediumCV:  "1227.988686", IsFieldSpecimen:  "TRUE"}</v>
      </c>
      <c r="S14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0" s="27" t="str">
        <f t="shared" si="5"/>
        <v/>
      </c>
      <c r="AF14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0" s="27" t="str">
        <f>IF(ROW()-3&gt;NumFileColumns,
"",
CONCATENATE(AH139,", ",INDEX(DataColumns[ColumnLabel],ROW()-3)))</f>
        <v/>
      </c>
    </row>
    <row r="141" spans="1:34" x14ac:dyDescent="0.25">
      <c r="A141" s="27">
        <f t="shared" si="4"/>
        <v>138</v>
      </c>
      <c r="D14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&amp;SamplingFeatureID0138 {SamplingFeatureUUID:  "", SamplingFeatureTypeCV:  "Specimen", SamplingFeatureCode:  "1200517", SamplingFeatureName:  "", SamplingFeatureDescription:  "", SamplingFeatureGeotypeCV:  Point, FeatureGeometry:  NULL, Elevation_m:  NULL, ElevationDatumCV:  NULL}</v>
      </c>
      <c r="P14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*SamplingFeatureID0145, SpecimenTypeCV:  "Automated", SpecimenMediumCV:  "1129.308161", IsFieldSpecimen:  "TRUE"}</v>
      </c>
      <c r="S14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1" s="27" t="str">
        <f t="shared" si="5"/>
        <v/>
      </c>
      <c r="AF14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1" s="27" t="str">
        <f>IF(ROW()-3&gt;NumFileColumns,
"",
CONCATENATE(AH140,", ",INDEX(DataColumns[ColumnLabel],ROW()-3)))</f>
        <v/>
      </c>
    </row>
    <row r="142" spans="1:34" x14ac:dyDescent="0.25">
      <c r="A142" s="27">
        <f t="shared" si="4"/>
        <v>139</v>
      </c>
      <c r="D14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&amp;SamplingFeatureID0139 {SamplingFeatureUUID:  "", SamplingFeatureTypeCV:  "Specimen", SamplingFeatureCode:  "1200516", SamplingFeatureName:  "", SamplingFeatureDescription:  "", SamplingFeatureGeotypeCV:  Point, FeatureGeometry:  NULL, Elevation_m:  NULL, ElevationDatumCV:  NULL}</v>
      </c>
      <c r="P14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*SamplingFeatureID0146, SpecimenTypeCV:  "Automated", SpecimenMediumCV:  "834.0399702", IsFieldSpecimen:  "TRUE"}</v>
      </c>
      <c r="S14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2" s="27" t="str">
        <f t="shared" si="5"/>
        <v/>
      </c>
      <c r="AF14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2" s="27" t="str">
        <f>IF(ROW()-3&gt;NumFileColumns,
"",
CONCATENATE(AH141,", ",INDEX(DataColumns[ColumnLabel],ROW()-3)))</f>
        <v/>
      </c>
    </row>
    <row r="143" spans="1:34" x14ac:dyDescent="0.25">
      <c r="A143" s="27">
        <f t="shared" si="4"/>
        <v>140</v>
      </c>
      <c r="D14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&amp;SamplingFeatureID0140 {SamplingFeatureUUID:  "", SamplingFeatureTypeCV:  "Specimen", SamplingFeatureCode:  "1200515", SamplingFeatureName:  "", SamplingFeatureDescription:  "", SamplingFeatureGeotypeCV:  Point, FeatureGeometry:  NULL, Elevation_m:  NULL, ElevationDatumCV:  NULL}</v>
      </c>
      <c r="P14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*SamplingFeatureID0147, SpecimenTypeCV:  "Automated", SpecimenMediumCV:  "682.6668804", IsFieldSpecimen:  "TRUE"}</v>
      </c>
      <c r="S14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3" s="27" t="str">
        <f t="shared" si="5"/>
        <v/>
      </c>
      <c r="AF14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3" s="27" t="str">
        <f>IF(ROW()-3&gt;NumFileColumns,
"",
CONCATENATE(AH142,", ",INDEX(DataColumns[ColumnLabel],ROW()-3)))</f>
        <v/>
      </c>
    </row>
    <row r="144" spans="1:34" x14ac:dyDescent="0.25">
      <c r="A144" s="27">
        <f t="shared" si="4"/>
        <v>141</v>
      </c>
      <c r="D14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&amp;SamplingFeatureID0141 {SamplingFeatureUUID:  "", SamplingFeatureTypeCV:  "Specimen", SamplingFeatureCode:  "1200529", SamplingFeatureName:  "", SamplingFeatureDescription:  "", SamplingFeatureGeotypeCV:  Point, FeatureGeometry:  NULL, Elevation_m:  NULL, ElevationDatumCV:  NULL}</v>
      </c>
      <c r="P14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*SamplingFeatureID0148, SpecimenTypeCV:  "Automated", SpecimenMediumCV:  "580.3083011", IsFieldSpecimen:  "TRUE"}</v>
      </c>
      <c r="S14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4" s="27" t="str">
        <f t="shared" si="5"/>
        <v/>
      </c>
      <c r="AF14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4" s="27" t="str">
        <f>IF(ROW()-3&gt;NumFileColumns,
"",
CONCATENATE(AH143,", ",INDEX(DataColumns[ColumnLabel],ROW()-3)))</f>
        <v/>
      </c>
    </row>
    <row r="145" spans="1:34" x14ac:dyDescent="0.25">
      <c r="A145" s="27">
        <f t="shared" si="4"/>
        <v>142</v>
      </c>
      <c r="D14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&amp;SamplingFeatureID0142 {SamplingFeatureUUID:  "", SamplingFeatureTypeCV:  "Specimen", SamplingFeatureCode:  "1200530", SamplingFeatureName:  "", SamplingFeatureDescription:  "", SamplingFeatureGeotypeCV:  Point, FeatureGeometry:  NULL, Elevation_m:  NULL, ElevationDatumCV:  NULL}</v>
      </c>
      <c r="P14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*SamplingFeatureID0149, SpecimenTypeCV:  "Automated", SpecimenMediumCV:  "550.007748", IsFieldSpecimen:  "TRUE"}</v>
      </c>
      <c r="S14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5" s="27" t="str">
        <f t="shared" si="5"/>
        <v/>
      </c>
      <c r="AF14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5" s="27" t="str">
        <f>IF(ROW()-3&gt;NumFileColumns,
"",
CONCATENATE(AH144,", ",INDEX(DataColumns[ColumnLabel],ROW()-3)))</f>
        <v/>
      </c>
    </row>
    <row r="146" spans="1:34" x14ac:dyDescent="0.25">
      <c r="A146" s="27">
        <f t="shared" si="4"/>
        <v>143</v>
      </c>
      <c r="D14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&amp;SamplingFeatureID0143 {SamplingFeatureUUID:  "", SamplingFeatureTypeCV:  "Specimen", SamplingFeatureCode:  "1200779", SamplingFeatureName:  "", SamplingFeatureDescription:  "", SamplingFeatureGeotypeCV:  Point, FeatureGeometry:  NULL, Elevation_m:  NULL, ElevationDatumCV:  NULL}</v>
      </c>
      <c r="P14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*SamplingFeatureID0150, SpecimenTypeCV:  "Automated", SpecimenMediumCV:  "632.6677443", IsFieldSpecimen:  "TRUE"}</v>
      </c>
      <c r="S14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6" s="27" t="str">
        <f t="shared" si="5"/>
        <v/>
      </c>
      <c r="AF14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6" s="27" t="str">
        <f>IF(ROW()-3&gt;NumFileColumns,
"",
CONCATENATE(AH145,", ",INDEX(DataColumns[ColumnLabel],ROW()-3)))</f>
        <v/>
      </c>
    </row>
    <row r="147" spans="1:34" x14ac:dyDescent="0.25">
      <c r="A147" s="27">
        <f t="shared" si="4"/>
        <v>144</v>
      </c>
      <c r="D14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&amp;SamplingFeatureID0144 {SamplingFeatureUUID:  "", SamplingFeatureTypeCV:  "Specimen", SamplingFeatureCode:  "1200780", SamplingFeatureName:  "", SamplingFeatureDescription:  "", SamplingFeatureGeotypeCV:  Point, FeatureGeometry:  NULL, Elevation_m:  NULL, ElevationDatumCV:  NULL}</v>
      </c>
      <c r="P14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*SamplingFeatureID0151, SpecimenTypeCV:  "Automated", SpecimenMediumCV:  "883.4998332", IsFieldSpecimen:  "TRUE"}</v>
      </c>
      <c r="S14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7" s="27" t="str">
        <f t="shared" si="5"/>
        <v/>
      </c>
      <c r="AF14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7" s="27" t="str">
        <f>IF(ROW()-3&gt;NumFileColumns,
"",
CONCATENATE(AH146,", ",INDEX(DataColumns[ColumnLabel],ROW()-3)))</f>
        <v/>
      </c>
    </row>
    <row r="148" spans="1:34" x14ac:dyDescent="0.25">
      <c r="A148" s="27">
        <f t="shared" si="4"/>
        <v>145</v>
      </c>
      <c r="D14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&amp;SamplingFeatureID0145 {SamplingFeatureUUID:  "", SamplingFeatureTypeCV:  "Specimen", SamplingFeatureCode:  "1200781", SamplingFeatureName:  "", SamplingFeatureDescription:  "", SamplingFeatureGeotypeCV:  Point, FeatureGeometry:  NULL, Elevation_m:  NULL, ElevationDatumCV:  NULL}</v>
      </c>
      <c r="P14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*SamplingFeatureID0152, SpecimenTypeCV:  "Automated", SpecimenMediumCV:  "1125.15437", IsFieldSpecimen:  "TRUE"}</v>
      </c>
      <c r="S14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8" s="27" t="str">
        <f t="shared" si="5"/>
        <v/>
      </c>
      <c r="AF14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8" s="27" t="str">
        <f>IF(ROW()-3&gt;NumFileColumns,
"",
CONCATENATE(AH147,", ",INDEX(DataColumns[ColumnLabel],ROW()-3)))</f>
        <v/>
      </c>
    </row>
    <row r="149" spans="1:34" x14ac:dyDescent="0.25">
      <c r="A149" s="27">
        <f t="shared" si="4"/>
        <v>146</v>
      </c>
      <c r="D14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4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4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4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4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&amp;SamplingFeatureID0146 {SamplingFeatureUUID:  "", SamplingFeatureTypeCV:  "Specimen", SamplingFeatureCode:  "1200782", SamplingFeatureName:  "", SamplingFeatureDescription:  "", SamplingFeatureGeotypeCV:  Point, FeatureGeometry:  NULL, Elevation_m:  NULL, ElevationDatumCV:  NULL}</v>
      </c>
      <c r="P14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4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*SamplingFeatureID0153, SpecimenTypeCV:  "Grab", SpecimenMediumCV:  "1300.434976", IsFieldSpecimen:  "TRUE"}</v>
      </c>
      <c r="S14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4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4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4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4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4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4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4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4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9" s="27" t="str">
        <f t="shared" si="5"/>
        <v/>
      </c>
      <c r="AF14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9" s="27" t="str">
        <f>IF(ROW()-3&gt;NumFileColumns,
"",
CONCATENATE(AH148,", ",INDEX(DataColumns[ColumnLabel],ROW()-3)))</f>
        <v/>
      </c>
    </row>
    <row r="150" spans="1:34" x14ac:dyDescent="0.25">
      <c r="A150" s="27">
        <f t="shared" si="4"/>
        <v>147</v>
      </c>
      <c r="D15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&amp;SamplingFeatureID0147 {SamplingFeatureUUID:  "", SamplingFeatureTypeCV:  "Specimen", SamplingFeatureCode:  "1200783", SamplingFeatureName:  "", SamplingFeatureDescription:  "", SamplingFeatureGeotypeCV:  Point, FeatureGeometry:  NULL, Elevation_m:  NULL, ElevationDatumCV:  NULL}</v>
      </c>
      <c r="P15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*SamplingFeatureID0154, SpecimenTypeCV:  "Grab", SpecimenMediumCV:  "1257.854549", IsFieldSpecimen:  "TRUE"}</v>
      </c>
      <c r="S15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0" s="27" t="str">
        <f t="shared" si="5"/>
        <v/>
      </c>
      <c r="AF15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0" s="27" t="str">
        <f>IF(ROW()-3&gt;NumFileColumns,
"",
CONCATENATE(AH149,", ",INDEX(DataColumns[ColumnLabel],ROW()-3)))</f>
        <v/>
      </c>
    </row>
    <row r="151" spans="1:34" x14ac:dyDescent="0.25">
      <c r="A151" s="27">
        <f t="shared" si="4"/>
        <v>148</v>
      </c>
      <c r="D15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&amp;SamplingFeatureID0148 {SamplingFeatureUUID:  "", SamplingFeatureTypeCV:  "Specimen", SamplingFeatureCode:  "1200784", SamplingFeatureName:  "", SamplingFeatureDescription:  "", SamplingFeatureGeotypeCV:  Point, FeatureGeometry:  NULL, Elevation_m:  NULL, ElevationDatumCV:  NULL}</v>
      </c>
      <c r="P15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*SamplingFeatureID0155, SpecimenTypeCV:  "Grab", SpecimenMediumCV:  "1222.423251", IsFieldSpecimen:  "TRUE"}</v>
      </c>
      <c r="S15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1" s="27" t="str">
        <f t="shared" si="5"/>
        <v/>
      </c>
      <c r="AF15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1" s="27" t="str">
        <f>IF(ROW()-3&gt;NumFileColumns,
"",
CONCATENATE(AH150,", ",INDEX(DataColumns[ColumnLabel],ROW()-3)))</f>
        <v/>
      </c>
    </row>
    <row r="152" spans="1:34" x14ac:dyDescent="0.25">
      <c r="A152" s="27">
        <f t="shared" si="4"/>
        <v>149</v>
      </c>
      <c r="D15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&amp;SamplingFeatureID0149 {SamplingFeatureUUID:  "", SamplingFeatureTypeCV:  "Specimen", SamplingFeatureCode:  "1200785", SamplingFeatureName:  "", SamplingFeatureDescription:  "", SamplingFeatureGeotypeCV:  Point, FeatureGeometry:  NULL, Elevation_m:  NULL, ElevationDatumCV:  NULL}</v>
      </c>
      <c r="P15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*SamplingFeatureID0156, SpecimenTypeCV:  "Grab", SpecimenMediumCV:  "1392.592455", IsFieldSpecimen:  "TRUE"}</v>
      </c>
      <c r="S15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2" s="27" t="str">
        <f t="shared" si="5"/>
        <v/>
      </c>
      <c r="AF15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2" s="27" t="str">
        <f>IF(ROW()-3&gt;NumFileColumns,
"",
CONCATENATE(AH151,", ",INDEX(DataColumns[ColumnLabel],ROW()-3)))</f>
        <v/>
      </c>
    </row>
    <row r="153" spans="1:34" x14ac:dyDescent="0.25">
      <c r="A153" s="27">
        <f t="shared" si="4"/>
        <v>150</v>
      </c>
      <c r="D15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&amp;SamplingFeatureID0150 {SamplingFeatureUUID:  "", SamplingFeatureTypeCV:  "Specimen", SamplingFeatureCode:  "1200789", SamplingFeatureName:  "", SamplingFeatureDescription:  "", SamplingFeatureGeotypeCV:  Point, FeatureGeometry:  NULL, Elevation_m:  NULL, ElevationDatumCV:  NULL}</v>
      </c>
      <c r="P15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*SamplingFeatureID0157, SpecimenTypeCV:  "Grab", SpecimenMediumCV:  "1378.652258", IsFieldSpecimen:  "TRUE"}</v>
      </c>
      <c r="S15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3" s="27" t="str">
        <f t="shared" si="5"/>
        <v/>
      </c>
      <c r="AF15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3" s="27" t="str">
        <f>IF(ROW()-3&gt;NumFileColumns,
"",
CONCATENATE(AH152,", ",INDEX(DataColumns[ColumnLabel],ROW()-3)))</f>
        <v/>
      </c>
    </row>
    <row r="154" spans="1:34" x14ac:dyDescent="0.25">
      <c r="A154" s="27">
        <f t="shared" si="4"/>
        <v>151</v>
      </c>
      <c r="D15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&amp;SamplingFeatureID0151 {SamplingFeatureUUID:  "", SamplingFeatureTypeCV:  "Specimen", SamplingFeatureCode:  "1200790", SamplingFeatureName:  "", SamplingFeatureDescription:  "", SamplingFeatureGeotypeCV:  Point, FeatureGeometry:  NULL, Elevation_m:  NULL, ElevationDatumCV:  NULL}</v>
      </c>
      <c r="P15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*SamplingFeatureID0158, SpecimenTypeCV:  "Grab", SpecimenMediumCV:  "1297.24692", IsFieldSpecimen:  "TRUE"}</v>
      </c>
      <c r="S15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4" s="27" t="str">
        <f t="shared" si="5"/>
        <v/>
      </c>
      <c r="AF15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4" s="27" t="str">
        <f>IF(ROW()-3&gt;NumFileColumns,
"",
CONCATENATE(AH153,", ",INDEX(DataColumns[ColumnLabel],ROW()-3)))</f>
        <v/>
      </c>
    </row>
    <row r="155" spans="1:34" x14ac:dyDescent="0.25">
      <c r="A155" s="27">
        <f t="shared" si="4"/>
        <v>152</v>
      </c>
      <c r="D15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&amp;SamplingFeatureID0152 {SamplingFeatureUUID:  "", SamplingFeatureTypeCV:  "Specimen", SamplingFeatureCode:  "1200791", SamplingFeatureName:  "", SamplingFeatureDescription:  "", SamplingFeatureGeotypeCV:  Point, FeatureGeometry:  NULL, Elevation_m:  NULL, ElevationDatumCV:  NULL}</v>
      </c>
      <c r="P15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*SamplingFeatureID0159, SpecimenTypeCV:  "Grab", SpecimenMediumCV:  "PLEASE PUT A SPECIMEN MEDIUM IN ROW 152", IsFieldSpecimen:  "TRUE"}</v>
      </c>
      <c r="S15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5" s="27" t="str">
        <f t="shared" si="5"/>
        <v/>
      </c>
      <c r="AF15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5" s="27" t="str">
        <f>IF(ROW()-3&gt;NumFileColumns,
"",
CONCATENATE(AH154,", ",INDEX(DataColumns[ColumnLabel],ROW()-3)))</f>
        <v/>
      </c>
    </row>
    <row r="156" spans="1:34" x14ac:dyDescent="0.25">
      <c r="A156" s="27">
        <f t="shared" si="4"/>
        <v>153</v>
      </c>
      <c r="D15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&amp;SamplingFeatureID0153 {SamplingFeatureUUID:  "", SamplingFeatureTypeCV:  "Specimen", SamplingFeatureCode:  "1200881", SamplingFeatureName:  "", SamplingFeatureDescription:  "", SamplingFeatureGeotypeCV:  Point, FeatureGeometry:  NULL, Elevation_m:  NULL, ElevationDatumCV:  NULL}</v>
      </c>
      <c r="P15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*SamplingFeatureID0160, SpecimenTypeCV:  "Grab", SpecimenMediumCV:  "1403.677439", IsFieldSpecimen:  "TRUE"}</v>
      </c>
      <c r="S15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6" s="27" t="str">
        <f t="shared" si="5"/>
        <v/>
      </c>
      <c r="AF15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6" s="27" t="str">
        <f>IF(ROW()-3&gt;NumFileColumns,
"",
CONCATENATE(AH155,", ",INDEX(DataColumns[ColumnLabel],ROW()-3)))</f>
        <v/>
      </c>
    </row>
    <row r="157" spans="1:34" x14ac:dyDescent="0.25">
      <c r="A157" s="27">
        <f t="shared" si="4"/>
        <v>154</v>
      </c>
      <c r="D15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&amp;SamplingFeatureID0154 {SamplingFeatureUUID:  "", SamplingFeatureTypeCV:  "Specimen", SamplingFeatureCode:  "1200879", SamplingFeatureName:  "", SamplingFeatureDescription:  "", SamplingFeatureGeotypeCV:  Point, FeatureGeometry:  NULL, Elevation_m:  NULL, ElevationDatumCV:  NULL}</v>
      </c>
      <c r="P15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*SamplingFeatureID0161, SpecimenTypeCV:  "Grab", SpecimenMediumCV:  "1411.204515", IsFieldSpecimen:  "TRUE"}</v>
      </c>
      <c r="S15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7" s="27" t="str">
        <f t="shared" si="5"/>
        <v/>
      </c>
      <c r="AF15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7" s="27" t="str">
        <f>IF(ROW()-3&gt;NumFileColumns,
"",
CONCATENATE(AH156,", ",INDEX(DataColumns[ColumnLabel],ROW()-3)))</f>
        <v/>
      </c>
    </row>
    <row r="158" spans="1:34" x14ac:dyDescent="0.25">
      <c r="A158" s="27">
        <f t="shared" si="4"/>
        <v>155</v>
      </c>
      <c r="D15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&amp;SamplingFeatureID0155 {SamplingFeatureUUID:  "", SamplingFeatureTypeCV:  "Specimen", SamplingFeatureCode:  "1200880", SamplingFeatureName:  "", SamplingFeatureDescription:  "", SamplingFeatureGeotypeCV:  Point, FeatureGeometry:  NULL, Elevation_m:  NULL, ElevationDatumCV:  NULL}</v>
      </c>
      <c r="P15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*SamplingFeatureID0162, SpecimenTypeCV:  "Grab", SpecimenMediumCV:  "1346.024666", IsFieldSpecimen:  "TRUE"}</v>
      </c>
      <c r="S15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8" s="27" t="str">
        <f t="shared" si="5"/>
        <v/>
      </c>
      <c r="AF15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8" s="27" t="str">
        <f>IF(ROW()-3&gt;NumFileColumns,
"",
CONCATENATE(AH157,", ",INDEX(DataColumns[ColumnLabel],ROW()-3)))</f>
        <v/>
      </c>
    </row>
    <row r="159" spans="1:34" x14ac:dyDescent="0.25">
      <c r="A159" s="27">
        <f t="shared" si="4"/>
        <v>156</v>
      </c>
      <c r="D15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5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5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5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5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&amp;SamplingFeatureID0156 {SamplingFeatureUUID:  "", SamplingFeatureTypeCV:  "Specimen", SamplingFeatureCode:  "1201280", SamplingFeatureName:  "", SamplingFeatureDescription:  "", SamplingFeatureGeotypeCV:  Point, FeatureGeometry:  NULL, Elevation_m:  NULL, ElevationDatumCV:  NULL}</v>
      </c>
      <c r="P15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5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*SamplingFeatureID0163, SpecimenTypeCV:  "Grab", SpecimenMediumCV:  "PLEASE PUT A SPECIMEN MEDIUM IN ROW 156", IsFieldSpecimen:  "TRUE"}</v>
      </c>
      <c r="S15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5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5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5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5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5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5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5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5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9" s="27" t="str">
        <f t="shared" si="5"/>
        <v/>
      </c>
      <c r="AF15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9" s="27" t="str">
        <f>IF(ROW()-3&gt;NumFileColumns,
"",
CONCATENATE(AH158,", ",INDEX(DataColumns[ColumnLabel],ROW()-3)))</f>
        <v/>
      </c>
    </row>
    <row r="160" spans="1:34" x14ac:dyDescent="0.25">
      <c r="A160" s="27">
        <f t="shared" si="4"/>
        <v>157</v>
      </c>
      <c r="D16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&amp;SamplingFeatureID0157 {SamplingFeatureUUID:  "", SamplingFeatureTypeCV:  "Specimen", SamplingFeatureCode:  "1201278", SamplingFeatureName:  "", SamplingFeatureDescription:  "", SamplingFeatureGeotypeCV:  Point, FeatureGeometry:  NULL, Elevation_m:  NULL, ElevationDatumCV:  NULL}</v>
      </c>
      <c r="P16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*SamplingFeatureID0164, SpecimenTypeCV:  "Grab", SpecimenMediumCV:  "1434.712499", IsFieldSpecimen:  "TRUE"}</v>
      </c>
      <c r="S16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0" s="27" t="str">
        <f t="shared" si="5"/>
        <v/>
      </c>
      <c r="AF16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0" s="27" t="str">
        <f>IF(ROW()-3&gt;NumFileColumns,
"",
CONCATENATE(AH159,", ",INDEX(DataColumns[ColumnLabel],ROW()-3)))</f>
        <v/>
      </c>
    </row>
    <row r="161" spans="1:34" x14ac:dyDescent="0.25">
      <c r="A161" s="27">
        <f t="shared" si="4"/>
        <v>158</v>
      </c>
      <c r="D16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&amp;SamplingFeatureID0158 {SamplingFeatureUUID:  "", SamplingFeatureTypeCV:  "Specimen", SamplingFeatureCode:  "1201279", SamplingFeatureName:  "", SamplingFeatureDescription:  "", SamplingFeatureGeotypeCV:  Point, FeatureGeometry:  NULL, Elevation_m:  NULL, ElevationDatumCV:  NULL}</v>
      </c>
      <c r="P16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*SamplingFeatureID0165, SpecimenTypeCV:  "Grab", SpecimenMediumCV:  "1376.144837", IsFieldSpecimen:  "TRUE"}</v>
      </c>
      <c r="S16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1" s="27" t="str">
        <f t="shared" si="5"/>
        <v/>
      </c>
      <c r="AF16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1" s="27" t="str">
        <f>IF(ROW()-3&gt;NumFileColumns,
"",
CONCATENATE(AH160,", ",INDEX(DataColumns[ColumnLabel],ROW()-3)))</f>
        <v/>
      </c>
    </row>
    <row r="162" spans="1:34" x14ac:dyDescent="0.25">
      <c r="A162" s="27">
        <f t="shared" si="4"/>
        <v>159</v>
      </c>
      <c r="D16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&amp;SamplingFeatureID0159 {SamplingFeatureUUID:  "", SamplingFeatureTypeCV:  "Specimen", SamplingFeatureCode:  "1201403", SamplingFeatureName:  "", SamplingFeatureDescription:  "", SamplingFeatureGeotypeCV:  Point, FeatureGeometry:  NULL, Elevation_m:  NULL, ElevationDatumCV:  NULL}</v>
      </c>
      <c r="P16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*SamplingFeatureID0166, SpecimenTypeCV:  "Grab", SpecimenMediumCV:  "1436.712583", IsFieldSpecimen:  "TRUE"}</v>
      </c>
      <c r="S16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2" s="27" t="str">
        <f t="shared" si="5"/>
        <v/>
      </c>
      <c r="AF16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2" s="27" t="str">
        <f>IF(ROW()-3&gt;NumFileColumns,
"",
CONCATENATE(AH161,", ",INDEX(DataColumns[ColumnLabel],ROW()-3)))</f>
        <v/>
      </c>
    </row>
    <row r="163" spans="1:34" x14ac:dyDescent="0.25">
      <c r="A163" s="27">
        <f t="shared" si="4"/>
        <v>160</v>
      </c>
      <c r="D16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&amp;SamplingFeatureID0160 {SamplingFeatureUUID:  "", SamplingFeatureTypeCV:  "Specimen", SamplingFeatureCode:  "1201706", SamplingFeatureName:  "", SamplingFeatureDescription:  "", SamplingFeatureGeotypeCV:  Point, FeatureGeometry:  NULL, Elevation_m:  NULL, ElevationDatumCV:  NULL}</v>
      </c>
      <c r="P16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*SamplingFeatureID0167, SpecimenTypeCV:  "Grab", SpecimenMediumCV:  "PLEASE PUT A SPECIMEN MEDIUM IN ROW 160", IsFieldSpecimen:  "TRUE"}</v>
      </c>
      <c r="S16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3" s="27" t="str">
        <f t="shared" si="5"/>
        <v/>
      </c>
      <c r="AF16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3" s="27" t="str">
        <f>IF(ROW()-3&gt;NumFileColumns,
"",
CONCATENATE(AH162,", ",INDEX(DataColumns[ColumnLabel],ROW()-3)))</f>
        <v/>
      </c>
    </row>
    <row r="164" spans="1:34" x14ac:dyDescent="0.25">
      <c r="A164" s="27">
        <f t="shared" si="4"/>
        <v>161</v>
      </c>
      <c r="D16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&amp;SamplingFeatureID0161 {SamplingFeatureUUID:  "", SamplingFeatureTypeCV:  "Specimen", SamplingFeatureCode:  "1201704", SamplingFeatureName:  "", SamplingFeatureDescription:  "", SamplingFeatureGeotypeCV:  Point, FeatureGeometry:  NULL, Elevation_m:  NULL, ElevationDatumCV:  NULL}</v>
      </c>
      <c r="P16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*SamplingFeatureID0168, SpecimenTypeCV:  "Grab", SpecimenMediumCV:  "1466.212761", IsFieldSpecimen:  "TRUE"}</v>
      </c>
      <c r="S16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4" s="27" t="str">
        <f t="shared" si="5"/>
        <v/>
      </c>
      <c r="AF16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4" s="27" t="str">
        <f>IF(ROW()-3&gt;NumFileColumns,
"",
CONCATENATE(AH163,", ",INDEX(DataColumns[ColumnLabel],ROW()-3)))</f>
        <v/>
      </c>
    </row>
    <row r="165" spans="1:34" x14ac:dyDescent="0.25">
      <c r="A165" s="27">
        <f t="shared" si="4"/>
        <v>162</v>
      </c>
      <c r="D16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&amp;SamplingFeatureID0162 {SamplingFeatureUUID:  "", SamplingFeatureTypeCV:  "Specimen", SamplingFeatureCode:  "1201705", SamplingFeatureName:  "", SamplingFeatureDescription:  "", SamplingFeatureGeotypeCV:  Point, FeatureGeometry:  NULL, Elevation_m:  NULL, ElevationDatumCV:  NULL}</v>
      </c>
      <c r="P16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*SamplingFeatureID0169, SpecimenTypeCV:  "Grab", SpecimenMediumCV:  "1385.410815", IsFieldSpecimen:  "TRUE"}</v>
      </c>
      <c r="S16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5" s="27" t="str">
        <f t="shared" si="5"/>
        <v/>
      </c>
      <c r="AF16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5" s="27" t="str">
        <f>IF(ROW()-3&gt;NumFileColumns,
"",
CONCATENATE(AH164,", ",INDEX(DataColumns[ColumnLabel],ROW()-3)))</f>
        <v/>
      </c>
    </row>
    <row r="166" spans="1:34" x14ac:dyDescent="0.25">
      <c r="A166" s="27">
        <f t="shared" si="4"/>
        <v>163</v>
      </c>
      <c r="D16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&amp;SamplingFeatureID0163 {SamplingFeatureUUID:  "", SamplingFeatureTypeCV:  "Specimen", SamplingFeatureCode:  "1201756", SamplingFeatureName:  "", SamplingFeatureDescription:  "", SamplingFeatureGeotypeCV:  Point, FeatureGeometry:  NULL, Elevation_m:  NULL, ElevationDatumCV:  NULL}</v>
      </c>
      <c r="P16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*SamplingFeatureID0170, SpecimenTypeCV:  "Grab", SpecimenMediumCV:  "1431.521502", IsFieldSpecimen:  "TRUE"}</v>
      </c>
      <c r="S16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6" s="27" t="str">
        <f t="shared" si="5"/>
        <v/>
      </c>
      <c r="AF16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6" s="27" t="str">
        <f>IF(ROW()-3&gt;NumFileColumns,
"",
CONCATENATE(AH165,", ",INDEX(DataColumns[ColumnLabel],ROW()-3)))</f>
        <v/>
      </c>
    </row>
    <row r="167" spans="1:34" x14ac:dyDescent="0.25">
      <c r="A167" s="27">
        <f t="shared" si="4"/>
        <v>164</v>
      </c>
      <c r="D16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&amp;SamplingFeatureID0164 {SamplingFeatureUUID:  "", SamplingFeatureTypeCV:  "Specimen", SamplingFeatureCode:  "1202111", SamplingFeatureName:  "", SamplingFeatureDescription:  "", SamplingFeatureGeotypeCV:  Point, FeatureGeometry:  NULL, Elevation_m:  NULL, ElevationDatumCV:  NULL}</v>
      </c>
      <c r="P16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*SamplingFeatureID0171, SpecimenTypeCV:  "Automated", SpecimenMediumCV:  "PLEASE PUT A SPECIMEN MEDIUM IN ROW 164", IsFieldSpecimen:  "TRUE"}</v>
      </c>
      <c r="S16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7" s="27" t="str">
        <f t="shared" si="5"/>
        <v/>
      </c>
      <c r="AF16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7" s="27" t="str">
        <f>IF(ROW()-3&gt;NumFileColumns,
"",
CONCATENATE(AH166,", ",INDEX(DataColumns[ColumnLabel],ROW()-3)))</f>
        <v/>
      </c>
    </row>
    <row r="168" spans="1:34" x14ac:dyDescent="0.25">
      <c r="A168" s="27">
        <f t="shared" si="4"/>
        <v>165</v>
      </c>
      <c r="D16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&amp;SamplingFeatureID0165 {SamplingFeatureUUID:  "", SamplingFeatureTypeCV:  "Specimen", SamplingFeatureCode:  "1202112", SamplingFeatureName:  "", SamplingFeatureDescription:  "", SamplingFeatureGeotypeCV:  Point, FeatureGeometry:  NULL, Elevation_m:  NULL, ElevationDatumCV:  NULL}</v>
      </c>
      <c r="P16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*SamplingFeatureID0172, SpecimenTypeCV:  "Automated", SpecimenMediumCV:  "PLEASE PUT A SPECIMEN MEDIUM IN ROW 165", IsFieldSpecimen:  "TRUE"}</v>
      </c>
      <c r="S16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8" s="27" t="str">
        <f t="shared" si="5"/>
        <v/>
      </c>
      <c r="AF16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8" s="27" t="str">
        <f>IF(ROW()-3&gt;NumFileColumns,
"",
CONCATENATE(AH167,", ",INDEX(DataColumns[ColumnLabel],ROW()-3)))</f>
        <v/>
      </c>
    </row>
    <row r="169" spans="1:34" x14ac:dyDescent="0.25">
      <c r="A169" s="27">
        <f t="shared" si="4"/>
        <v>166</v>
      </c>
      <c r="D16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6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6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6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6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&amp;SamplingFeatureID0166 {SamplingFeatureUUID:  "", SamplingFeatureTypeCV:  "Specimen", SamplingFeatureCode:  "1202113", SamplingFeatureName:  "", SamplingFeatureDescription:  "", SamplingFeatureGeotypeCV:  Point, FeatureGeometry:  NULL, Elevation_m:  NULL, ElevationDatumCV:  NULL}</v>
      </c>
      <c r="P16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6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*SamplingFeatureID0173, SpecimenTypeCV:  "Automated", SpecimenMediumCV:  "1168.943399", IsFieldSpecimen:  "TRUE"}</v>
      </c>
      <c r="S16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6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6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6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6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6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6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6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6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9" s="27" t="str">
        <f t="shared" si="5"/>
        <v/>
      </c>
      <c r="AF16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9" s="27" t="str">
        <f>IF(ROW()-3&gt;NumFileColumns,
"",
CONCATENATE(AH168,", ",INDEX(DataColumns[ColumnLabel],ROW()-3)))</f>
        <v/>
      </c>
    </row>
    <row r="170" spans="1:34" x14ac:dyDescent="0.25">
      <c r="A170" s="27">
        <f t="shared" si="4"/>
        <v>167</v>
      </c>
      <c r="D17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&amp;SamplingFeatureID0167 {SamplingFeatureUUID:  "", SamplingFeatureTypeCV:  "Specimen", SamplingFeatureCode:  "1202219", SamplingFeatureName:  "", SamplingFeatureDescription:  "", SamplingFeatureGeotypeCV:  Point, FeatureGeometry:  NULL, Elevation_m:  NULL, ElevationDatumCV:  NULL}</v>
      </c>
      <c r="P17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*SamplingFeatureID0174, SpecimenTypeCV:  "Automated", SpecimenMediumCV:  "1112.017077", IsFieldSpecimen:  "TRUE"}</v>
      </c>
      <c r="S17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0" s="27" t="str">
        <f t="shared" si="5"/>
        <v/>
      </c>
      <c r="AF17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0" s="27" t="str">
        <f>IF(ROW()-3&gt;NumFileColumns,
"",
CONCATENATE(AH169,", ",INDEX(DataColumns[ColumnLabel],ROW()-3)))</f>
        <v/>
      </c>
    </row>
    <row r="171" spans="1:34" x14ac:dyDescent="0.25">
      <c r="A171" s="27">
        <f t="shared" si="4"/>
        <v>168</v>
      </c>
      <c r="D17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&amp;SamplingFeatureID0168 {SamplingFeatureUUID:  "", SamplingFeatureTypeCV:  "Specimen", SamplingFeatureCode:  "1202392", SamplingFeatureName:  "", SamplingFeatureDescription:  "", SamplingFeatureGeotypeCV:  Point, FeatureGeometry:  NULL, Elevation_m:  NULL, ElevationDatumCV:  NULL}</v>
      </c>
      <c r="P17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*SamplingFeatureID0175, SpecimenTypeCV:  "Automated", SpecimenMediumCV:  "724.361044", IsFieldSpecimen:  "TRUE"}</v>
      </c>
      <c r="S17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1" s="27" t="str">
        <f t="shared" si="5"/>
        <v/>
      </c>
      <c r="AF17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1" s="27" t="str">
        <f>IF(ROW()-3&gt;NumFileColumns,
"",
CONCATENATE(AH170,", ",INDEX(DataColumns[ColumnLabel],ROW()-3)))</f>
        <v/>
      </c>
    </row>
    <row r="172" spans="1:34" x14ac:dyDescent="0.25">
      <c r="A172" s="27">
        <f t="shared" si="4"/>
        <v>169</v>
      </c>
      <c r="D17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&amp;SamplingFeatureID0169 {SamplingFeatureUUID:  "", SamplingFeatureTypeCV:  "Specimen", SamplingFeatureCode:  "1202391", SamplingFeatureName:  "", SamplingFeatureDescription:  "", SamplingFeatureGeotypeCV:  Point, FeatureGeometry:  NULL, Elevation_m:  NULL, ElevationDatumCV:  NULL}</v>
      </c>
      <c r="P17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*SamplingFeatureID0176, SpecimenTypeCV:  "Automated", SpecimenMediumCV:  "851.6735086", IsFieldSpecimen:  "TRUE"}</v>
      </c>
      <c r="S17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2" s="27" t="str">
        <f t="shared" si="5"/>
        <v/>
      </c>
      <c r="AF17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2" s="27" t="str">
        <f>IF(ROW()-3&gt;NumFileColumns,
"",
CONCATENATE(AH171,", ",INDEX(DataColumns[ColumnLabel],ROW()-3)))</f>
        <v/>
      </c>
    </row>
    <row r="173" spans="1:34" x14ac:dyDescent="0.25">
      <c r="A173" s="27">
        <f t="shared" si="4"/>
        <v>170</v>
      </c>
      <c r="D17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&amp;SamplingFeatureID0170 {SamplingFeatureUUID:  "", SamplingFeatureTypeCV:  "Specimen", SamplingFeatureCode:  "1202390", SamplingFeatureName:  "", SamplingFeatureDescription:  "", SamplingFeatureGeotypeCV:  Point, FeatureGeometry:  NULL, Elevation_m:  NULL, ElevationDatumCV:  NULL}</v>
      </c>
      <c r="P17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*SamplingFeatureID0177, SpecimenTypeCV:  "Automated", SpecimenMediumCV:  "737.6610234", IsFieldSpecimen:  "TRUE"}</v>
      </c>
      <c r="S17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3" s="27" t="str">
        <f t="shared" si="5"/>
        <v/>
      </c>
      <c r="AF17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3" s="27" t="str">
        <f>IF(ROW()-3&gt;NumFileColumns,
"",
CONCATENATE(AH172,", ",INDEX(DataColumns[ColumnLabel],ROW()-3)))</f>
        <v/>
      </c>
    </row>
    <row r="174" spans="1:34" x14ac:dyDescent="0.25">
      <c r="A174" s="27">
        <f t="shared" si="4"/>
        <v>171</v>
      </c>
      <c r="D17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&amp;SamplingFeatureID0171 {SamplingFeatureUUID:  "", SamplingFeatureTypeCV:  "Specimen", SamplingFeatureCode:  "1202621", SamplingFeatureName:  "", SamplingFeatureDescription:  "", SamplingFeatureGeotypeCV:  Point, FeatureGeometry:  NULL, Elevation_m:  NULL, ElevationDatumCV:  NULL}</v>
      </c>
      <c r="P17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*SamplingFeatureID0178, SpecimenTypeCV:  "Automated", SpecimenMediumCV:  "714.5746506", IsFieldSpecimen:  "TRUE"}</v>
      </c>
      <c r="S17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4" s="27" t="str">
        <f t="shared" si="5"/>
        <v/>
      </c>
      <c r="AF17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4" s="27" t="str">
        <f>IF(ROW()-3&gt;NumFileColumns,
"",
CONCATENATE(AH173,", ",INDEX(DataColumns[ColumnLabel],ROW()-3)))</f>
        <v/>
      </c>
    </row>
    <row r="175" spans="1:34" x14ac:dyDescent="0.25">
      <c r="A175" s="27">
        <f t="shared" si="4"/>
        <v>172</v>
      </c>
      <c r="D17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&amp;SamplingFeatureID0172 {SamplingFeatureUUID:  "", SamplingFeatureTypeCV:  "Specimen", SamplingFeatureCode:  "1202622", SamplingFeatureName:  "", SamplingFeatureDescription:  "", SamplingFeatureGeotypeCV:  Point, FeatureGeometry:  NULL, Elevation_m:  NULL, ElevationDatumCV:  NULL}</v>
      </c>
      <c r="P17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*SamplingFeatureID0179, SpecimenTypeCV:  "Automated", SpecimenMediumCV:  "767.9636951", IsFieldSpecimen:  "TRUE"}</v>
      </c>
      <c r="S17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5" s="27" t="str">
        <f t="shared" si="5"/>
        <v/>
      </c>
      <c r="AF17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5" s="27" t="str">
        <f>IF(ROW()-3&gt;NumFileColumns,
"",
CONCATENATE(AH174,", ",INDEX(DataColumns[ColumnLabel],ROW()-3)))</f>
        <v/>
      </c>
    </row>
    <row r="176" spans="1:34" x14ac:dyDescent="0.25">
      <c r="A176" s="27">
        <f t="shared" si="4"/>
        <v>173</v>
      </c>
      <c r="D17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&amp;SamplingFeatureID0173 {SamplingFeatureUUID:  "", SamplingFeatureTypeCV:  "Specimen", SamplingFeatureCode:  "1202623", SamplingFeatureName:  "", SamplingFeatureDescription:  "", SamplingFeatureGeotypeCV:  Point, FeatureGeometry:  NULL, Elevation_m:  NULL, ElevationDatumCV:  NULL}</v>
      </c>
      <c r="P17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*SamplingFeatureID0180, SpecimenTypeCV:  "Automated", SpecimenMediumCV:  "886.2544054", IsFieldSpecimen:  "TRUE"}</v>
      </c>
      <c r="S17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6" s="27" t="str">
        <f t="shared" si="5"/>
        <v/>
      </c>
      <c r="AF17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6" s="27" t="str">
        <f>IF(ROW()-3&gt;NumFileColumns,
"",
CONCATENATE(AH175,", ",INDEX(DataColumns[ColumnLabel],ROW()-3)))</f>
        <v/>
      </c>
    </row>
    <row r="177" spans="1:34" x14ac:dyDescent="0.25">
      <c r="A177" s="27">
        <f t="shared" si="4"/>
        <v>174</v>
      </c>
      <c r="D17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&amp;SamplingFeatureID0174 {SamplingFeatureUUID:  "", SamplingFeatureTypeCV:  "Specimen", SamplingFeatureCode:  "1202624", SamplingFeatureName:  "", SamplingFeatureDescription:  "", SamplingFeatureGeotypeCV:  Point, FeatureGeometry:  NULL, Elevation_m:  NULL, ElevationDatumCV:  NULL}</v>
      </c>
      <c r="P17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*SamplingFeatureID0181, SpecimenTypeCV:  "Automated", SpecimenMediumCV:  "946.4797264", IsFieldSpecimen:  "TRUE"}</v>
      </c>
      <c r="S17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7" s="27" t="str">
        <f t="shared" si="5"/>
        <v/>
      </c>
      <c r="AF17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7" s="27" t="str">
        <f>IF(ROW()-3&gt;NumFileColumns,
"",
CONCATENATE(AH176,", ",INDEX(DataColumns[ColumnLabel],ROW()-3)))</f>
        <v/>
      </c>
    </row>
    <row r="178" spans="1:34" x14ac:dyDescent="0.25">
      <c r="A178" s="27">
        <f t="shared" si="4"/>
        <v>175</v>
      </c>
      <c r="D17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&amp;SamplingFeatureID0175 {SamplingFeatureUUID:  "", SamplingFeatureTypeCV:  "Specimen", SamplingFeatureCode:  "1202625", SamplingFeatureName:  "", SamplingFeatureDescription:  "", SamplingFeatureGeotypeCV:  Point, FeatureGeometry:  NULL, Elevation_m:  NULL, ElevationDatumCV:  NULL}</v>
      </c>
      <c r="P17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*SamplingFeatureID0182, SpecimenTypeCV:  "Automated", SpecimenMediumCV:  "1125.896183", IsFieldSpecimen:  "TRUE"}</v>
      </c>
      <c r="S17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8" s="27" t="str">
        <f t="shared" si="5"/>
        <v/>
      </c>
      <c r="AF17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8" s="27" t="str">
        <f>IF(ROW()-3&gt;NumFileColumns,
"",
CONCATENATE(AH177,", ",INDEX(DataColumns[ColumnLabel],ROW()-3)))</f>
        <v/>
      </c>
    </row>
    <row r="179" spans="1:34" x14ac:dyDescent="0.25">
      <c r="A179" s="27">
        <f t="shared" si="4"/>
        <v>176</v>
      </c>
      <c r="D17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7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7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7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7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&amp;SamplingFeatureID0176 {SamplingFeatureUUID:  "", SamplingFeatureTypeCV:  "Specimen", SamplingFeatureCode:  "1202626", SamplingFeatureName:  "", SamplingFeatureDescription:  "", SamplingFeatureGeotypeCV:  Point, FeatureGeometry:  NULL, Elevation_m:  NULL, ElevationDatumCV:  NULL}</v>
      </c>
      <c r="P17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7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*SamplingFeatureID0183, SpecimenTypeCV:  "Grab", SpecimenMediumCV:  "1347.68812", IsFieldSpecimen:  "TRUE"}</v>
      </c>
      <c r="S17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7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7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7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7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7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7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7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7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9" s="27" t="str">
        <f t="shared" si="5"/>
        <v/>
      </c>
      <c r="AF17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9" s="27" t="str">
        <f>IF(ROW()-3&gt;NumFileColumns,
"",
CONCATENATE(AH178,", ",INDEX(DataColumns[ColumnLabel],ROW()-3)))</f>
        <v/>
      </c>
    </row>
    <row r="180" spans="1:34" x14ac:dyDescent="0.25">
      <c r="A180" s="27">
        <f t="shared" si="4"/>
        <v>177</v>
      </c>
      <c r="D18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&amp;SamplingFeatureID0177 {SamplingFeatureUUID:  "", SamplingFeatureTypeCV:  "Specimen", SamplingFeatureCode:  "1202627", SamplingFeatureName:  "", SamplingFeatureDescription:  "", SamplingFeatureGeotypeCV:  Point, FeatureGeometry:  NULL, Elevation_m:  NULL, ElevationDatumCV:  NULL}</v>
      </c>
      <c r="P18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*SamplingFeatureID0184, SpecimenTypeCV:  "Grab", SpecimenMediumCV:  "1294.142931", IsFieldSpecimen:  "TRUE"}</v>
      </c>
      <c r="S18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0" s="27" t="str">
        <f t="shared" si="5"/>
        <v/>
      </c>
      <c r="AF18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0" s="27" t="str">
        <f>IF(ROW()-3&gt;NumFileColumns,
"",
CONCATENATE(AH179,", ",INDEX(DataColumns[ColumnLabel],ROW()-3)))</f>
        <v/>
      </c>
    </row>
    <row r="181" spans="1:34" x14ac:dyDescent="0.25">
      <c r="A181" s="27">
        <f t="shared" si="4"/>
        <v>178</v>
      </c>
      <c r="D18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&amp;SamplingFeatureID0178 {SamplingFeatureUUID:  "", SamplingFeatureTypeCV:  "Specimen", SamplingFeatureCode:  "1202628", SamplingFeatureName:  "", SamplingFeatureDescription:  "", SamplingFeatureGeotypeCV:  Point, FeatureGeometry:  NULL, Elevation_m:  NULL, ElevationDatumCV:  NULL}</v>
      </c>
      <c r="P18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*SamplingFeatureID0185, SpecimenTypeCV:  "Grab", SpecimenMediumCV:  "1246.021896", IsFieldSpecimen:  "TRUE"}</v>
      </c>
      <c r="S18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1" s="27" t="str">
        <f t="shared" si="5"/>
        <v/>
      </c>
      <c r="AF18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1" s="27" t="str">
        <f>IF(ROW()-3&gt;NumFileColumns,
"",
CONCATENATE(AH180,", ",INDEX(DataColumns[ColumnLabel],ROW()-3)))</f>
        <v/>
      </c>
    </row>
    <row r="182" spans="1:34" x14ac:dyDescent="0.25">
      <c r="A182" s="27">
        <f t="shared" si="4"/>
        <v>179</v>
      </c>
      <c r="D18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&amp;SamplingFeatureID0179 {SamplingFeatureUUID:  "", SamplingFeatureTypeCV:  "Specimen", SamplingFeatureCode:  "1202629", SamplingFeatureName:  "", SamplingFeatureDescription:  "", SamplingFeatureGeotypeCV:  Point, FeatureGeometry:  NULL, Elevation_m:  NULL, ElevationDatumCV:  NULL}</v>
      </c>
      <c r="P18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*SamplingFeatureID0186, SpecimenTypeCV:  "Grab", SpecimenMediumCV:  "PLEASE PUT A SPECIMEN MEDIUM IN ROW 179", IsFieldSpecimen:  "TRUE"}</v>
      </c>
      <c r="S18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2" s="27" t="str">
        <f t="shared" si="5"/>
        <v/>
      </c>
      <c r="AF18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2" s="27" t="str">
        <f>IF(ROW()-3&gt;NumFileColumns,
"",
CONCATENATE(AH181,", ",INDEX(DataColumns[ColumnLabel],ROW()-3)))</f>
        <v/>
      </c>
    </row>
    <row r="183" spans="1:34" x14ac:dyDescent="0.25">
      <c r="A183" s="27">
        <f t="shared" si="4"/>
        <v>180</v>
      </c>
      <c r="D18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&amp;SamplingFeatureID0180 {SamplingFeatureUUID:  "", SamplingFeatureTypeCV:  "Specimen", SamplingFeatureCode:  "1202630", SamplingFeatureName:  "", SamplingFeatureDescription:  "", SamplingFeatureGeotypeCV:  Point, FeatureGeometry:  NULL, Elevation_m:  NULL, ElevationDatumCV:  NULL}</v>
      </c>
      <c r="P18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*SamplingFeatureID0187, SpecimenTypeCV:  "Grab", SpecimenMediumCV:  "1329.700781", IsFieldSpecimen:  "TRUE"}</v>
      </c>
      <c r="S18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3" s="27" t="str">
        <f t="shared" si="5"/>
        <v/>
      </c>
      <c r="AF18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3" s="27" t="str">
        <f>IF(ROW()-3&gt;NumFileColumns,
"",
CONCATENATE(AH182,", ",INDEX(DataColumns[ColumnLabel],ROW()-3)))</f>
        <v/>
      </c>
    </row>
    <row r="184" spans="1:34" x14ac:dyDescent="0.25">
      <c r="A184" s="27">
        <f t="shared" si="4"/>
        <v>181</v>
      </c>
      <c r="D18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&amp;SamplingFeatureID0181 {SamplingFeatureUUID:  "", SamplingFeatureTypeCV:  "Specimen", SamplingFeatureCode:  "1202631", SamplingFeatureName:  "", SamplingFeatureDescription:  "", SamplingFeatureGeotypeCV:  Point, FeatureGeometry:  NULL, Elevation_m:  NULL, ElevationDatumCV:  NULL}</v>
      </c>
      <c r="P18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*SamplingFeatureID0188, SpecimenTypeCV:  "Grab", SpecimenMediumCV:  "1359.325544", IsFieldSpecimen:  "TRUE"}</v>
      </c>
      <c r="S18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4" s="27" t="str">
        <f t="shared" si="5"/>
        <v/>
      </c>
      <c r="AF18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4" s="27" t="str">
        <f>IF(ROW()-3&gt;NumFileColumns,
"",
CONCATENATE(AH183,", ",INDEX(DataColumns[ColumnLabel],ROW()-3)))</f>
        <v/>
      </c>
    </row>
    <row r="185" spans="1:34" x14ac:dyDescent="0.25">
      <c r="A185" s="27">
        <f t="shared" si="4"/>
        <v>182</v>
      </c>
      <c r="D18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&amp;SamplingFeatureID0182 {SamplingFeatureUUID:  "", SamplingFeatureTypeCV:  "Specimen", SamplingFeatureCode:  "1202632", SamplingFeatureName:  "", SamplingFeatureDescription:  "", SamplingFeatureGeotypeCV:  Point, FeatureGeometry:  NULL, Elevation_m:  NULL, ElevationDatumCV:  NULL}</v>
      </c>
      <c r="P18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*SamplingFeatureID0189, SpecimenTypeCV:  "Grab", SpecimenMediumCV:  "1276.139157", IsFieldSpecimen:  "TRUE"}</v>
      </c>
      <c r="S18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5" s="27" t="str">
        <f t="shared" si="5"/>
        <v/>
      </c>
      <c r="AF18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5" s="27" t="str">
        <f>IF(ROW()-3&gt;NumFileColumns,
"",
CONCATENATE(AH184,", ",INDEX(DataColumns[ColumnLabel],ROW()-3)))</f>
        <v/>
      </c>
    </row>
    <row r="186" spans="1:34" x14ac:dyDescent="0.25">
      <c r="A186" s="27">
        <f t="shared" si="4"/>
        <v>183</v>
      </c>
      <c r="D18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&amp;SamplingFeatureID0183 {SamplingFeatureUUID:  "", SamplingFeatureTypeCV:  "Specimen", SamplingFeatureCode:  "1202872", SamplingFeatureName:  "", SamplingFeatureDescription:  "", SamplingFeatureGeotypeCV:  Point, FeatureGeometry:  NULL, Elevation_m:  NULL, ElevationDatumCV:  NULL}</v>
      </c>
      <c r="P18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*SamplingFeatureID0190, SpecimenTypeCV:  "Grab", SpecimenMediumCV:  "PLEASE PUT A SPECIMEN MEDIUM IN ROW 183", IsFieldSpecimen:  "TRUE"}</v>
      </c>
      <c r="S18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6" s="27" t="str">
        <f t="shared" si="5"/>
        <v/>
      </c>
      <c r="AF18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6" s="27" t="str">
        <f>IF(ROW()-3&gt;NumFileColumns,
"",
CONCATENATE(AH185,", ",INDEX(DataColumns[ColumnLabel],ROW()-3)))</f>
        <v/>
      </c>
    </row>
    <row r="187" spans="1:34" x14ac:dyDescent="0.25">
      <c r="A187" s="27">
        <f t="shared" si="4"/>
        <v>184</v>
      </c>
      <c r="D18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&amp;SamplingFeatureID0184 {SamplingFeatureUUID:  "", SamplingFeatureTypeCV:  "Specimen", SamplingFeatureCode:  "1202870", SamplingFeatureName:  "", SamplingFeatureDescription:  "", SamplingFeatureGeotypeCV:  Point, FeatureGeometry:  NULL, Elevation_m:  NULL, ElevationDatumCV:  NULL}</v>
      </c>
      <c r="P18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*SamplingFeatureID0191, SpecimenTypeCV:  "Grab", SpecimenMediumCV:  "PLEASE PUT A SPECIMEN MEDIUM IN ROW 184", IsFieldSpecimen:  "TRUE"}</v>
      </c>
      <c r="S18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7" s="27" t="str">
        <f t="shared" si="5"/>
        <v/>
      </c>
      <c r="AF18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7" s="27" t="str">
        <f>IF(ROW()-3&gt;NumFileColumns,
"",
CONCATENATE(AH186,", ",INDEX(DataColumns[ColumnLabel],ROW()-3)))</f>
        <v/>
      </c>
    </row>
    <row r="188" spans="1:34" x14ac:dyDescent="0.25">
      <c r="A188" s="27">
        <f t="shared" si="4"/>
        <v>185</v>
      </c>
      <c r="D18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&amp;SamplingFeatureID0185 {SamplingFeatureUUID:  "", SamplingFeatureTypeCV:  "Specimen", SamplingFeatureCode:  "1202871", SamplingFeatureName:  "", SamplingFeatureDescription:  "", SamplingFeatureGeotypeCV:  Point, FeatureGeometry:  NULL, Elevation_m:  NULL, ElevationDatumCV:  NULL}</v>
      </c>
      <c r="P18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*SamplingFeatureID0192, SpecimenTypeCV:  "Grab", SpecimenMediumCV:  "1381.888225", IsFieldSpecimen:  "TRUE"}</v>
      </c>
      <c r="S18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8" s="27" t="str">
        <f t="shared" si="5"/>
        <v/>
      </c>
      <c r="AF18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8" s="27" t="str">
        <f>IF(ROW()-3&gt;NumFileColumns,
"",
CONCATENATE(AH187,", ",INDEX(DataColumns[ColumnLabel],ROW()-3)))</f>
        <v/>
      </c>
    </row>
    <row r="189" spans="1:34" x14ac:dyDescent="0.25">
      <c r="A189" s="27">
        <f t="shared" si="4"/>
        <v>186</v>
      </c>
      <c r="D18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8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8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8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8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&amp;SamplingFeatureID0186 {SamplingFeatureUUID:  "", SamplingFeatureTypeCV:  "Specimen", SamplingFeatureCode:  "1202965", SamplingFeatureName:  "", SamplingFeatureDescription:  "", SamplingFeatureGeotypeCV:  Point, FeatureGeometry:  NULL, Elevation_m:  NULL, ElevationDatumCV:  NULL}</v>
      </c>
      <c r="P18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8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*SamplingFeatureID0193, SpecimenTypeCV:  "Grab", SpecimenMediumCV:  "1292.620838", IsFieldSpecimen:  "TRUE"}</v>
      </c>
      <c r="S18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8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8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8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8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8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8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8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8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9" s="27" t="str">
        <f t="shared" si="5"/>
        <v/>
      </c>
      <c r="AF18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9" s="27" t="str">
        <f>IF(ROW()-3&gt;NumFileColumns,
"",
CONCATENATE(AH188,", ",INDEX(DataColumns[ColumnLabel],ROW()-3)))</f>
        <v/>
      </c>
    </row>
    <row r="190" spans="1:34" x14ac:dyDescent="0.25">
      <c r="A190" s="27">
        <f t="shared" si="4"/>
        <v>187</v>
      </c>
      <c r="D19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&amp;SamplingFeatureID0187 {SamplingFeatureUUID:  "", SamplingFeatureTypeCV:  "Specimen", SamplingFeatureCode:  "1204026", SamplingFeatureName:  "", SamplingFeatureDescription:  "", SamplingFeatureGeotypeCV:  Point, FeatureGeometry:  NULL, Elevation_m:  NULL, ElevationDatumCV:  NULL}</v>
      </c>
      <c r="P19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*SamplingFeatureID0194, SpecimenTypeCV:  "Grab", SpecimenMediumCV:  "1352.872562", IsFieldSpecimen:  "TRUE"}</v>
      </c>
      <c r="S19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0" s="27" t="str">
        <f t="shared" si="5"/>
        <v/>
      </c>
      <c r="AF19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0" s="27" t="str">
        <f>IF(ROW()-3&gt;NumFileColumns,
"",
CONCATENATE(AH189,", ",INDEX(DataColumns[ColumnLabel],ROW()-3)))</f>
        <v/>
      </c>
    </row>
    <row r="191" spans="1:34" x14ac:dyDescent="0.25">
      <c r="A191" s="27">
        <f t="shared" si="4"/>
        <v>188</v>
      </c>
      <c r="D19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&amp;SamplingFeatureID0188 {SamplingFeatureUUID:  "", SamplingFeatureTypeCV:  "Specimen", SamplingFeatureCode:  "1204028", SamplingFeatureName:  "", SamplingFeatureDescription:  "", SamplingFeatureGeotypeCV:  Point, FeatureGeometry:  NULL, Elevation_m:  NULL, ElevationDatumCV:  NULL}</v>
      </c>
      <c r="P19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*SamplingFeatureID0195, SpecimenTypeCV:  "Grab", SpecimenMediumCV:  "PLEASE PUT A SPECIMEN MEDIUM IN ROW 188", IsFieldSpecimen:  "TRUE"}</v>
      </c>
      <c r="S19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1" s="27" t="str">
        <f t="shared" si="5"/>
        <v/>
      </c>
      <c r="AF19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1" s="27" t="str">
        <f>IF(ROW()-3&gt;NumFileColumns,
"",
CONCATENATE(AH190,", ",INDEX(DataColumns[ColumnLabel],ROW()-3)))</f>
        <v/>
      </c>
    </row>
    <row r="192" spans="1:34" x14ac:dyDescent="0.25">
      <c r="A192" s="27">
        <f t="shared" si="4"/>
        <v>189</v>
      </c>
      <c r="D19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&amp;SamplingFeatureID0189 {SamplingFeatureUUID:  "", SamplingFeatureTypeCV:  "Specimen", SamplingFeatureCode:  "1204027", SamplingFeatureName:  "", SamplingFeatureDescription:  "", SamplingFeatureGeotypeCV:  Point, FeatureGeometry:  NULL, Elevation_m:  NULL, ElevationDatumCV:  NULL}</v>
      </c>
      <c r="P19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*SamplingFeatureID0196, SpecimenTypeCV:  "Grab", SpecimenMediumCV:  "PLEASE PUT A SPECIMEN MEDIUM IN ROW 189", IsFieldSpecimen:  "TRUE"}</v>
      </c>
      <c r="S19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2" s="27" t="str">
        <f t="shared" si="5"/>
        <v/>
      </c>
      <c r="AF19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2" s="27" t="str">
        <f>IF(ROW()-3&gt;NumFileColumns,
"",
CONCATENATE(AH191,", ",INDEX(DataColumns[ColumnLabel],ROW()-3)))</f>
        <v/>
      </c>
    </row>
    <row r="193" spans="1:34" x14ac:dyDescent="0.25">
      <c r="A193" s="27">
        <f t="shared" si="4"/>
        <v>190</v>
      </c>
      <c r="D19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&amp;SamplingFeatureID0190 {SamplingFeatureUUID:  "", SamplingFeatureTypeCV:  "Specimen", SamplingFeatureCode:  "1204430", SamplingFeatureName:  "", SamplingFeatureDescription:  "", SamplingFeatureGeotypeCV:  Point, FeatureGeometry:  NULL, Elevation_m:  NULL, ElevationDatumCV:  NULL}</v>
      </c>
      <c r="P19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*SamplingFeatureID0197, SpecimenTypeCV:  "Grab", SpecimenMediumCV:  "1344.574748", IsFieldSpecimen:  "TRUE"}</v>
      </c>
      <c r="S19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3" s="27" t="str">
        <f t="shared" si="5"/>
        <v/>
      </c>
      <c r="AF19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3" s="27" t="str">
        <f>IF(ROW()-3&gt;NumFileColumns,
"",
CONCATENATE(AH192,", ",INDEX(DataColumns[ColumnLabel],ROW()-3)))</f>
        <v/>
      </c>
    </row>
    <row r="194" spans="1:34" x14ac:dyDescent="0.25">
      <c r="A194" s="27">
        <f t="shared" si="4"/>
        <v>191</v>
      </c>
      <c r="D19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&amp;SamplingFeatureID0191 {SamplingFeatureUUID:  "", SamplingFeatureTypeCV:  "Specimen", SamplingFeatureCode:  "1204431", SamplingFeatureName:  "", SamplingFeatureDescription:  "", SamplingFeatureGeotypeCV:  Point, FeatureGeometry:  NULL, Elevation_m:  NULL, ElevationDatumCV:  NULL}</v>
      </c>
      <c r="P19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*SamplingFeatureID0198, SpecimenTypeCV:  "Grab", SpecimenMediumCV:  "1322.239578", IsFieldSpecimen:  "TRUE"}</v>
      </c>
      <c r="S19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4" s="27" t="str">
        <f t="shared" si="5"/>
        <v/>
      </c>
      <c r="AF19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4" s="27" t="str">
        <f>IF(ROW()-3&gt;NumFileColumns,
"",
CONCATENATE(AH193,", ",INDEX(DataColumns[ColumnLabel],ROW()-3)))</f>
        <v/>
      </c>
    </row>
    <row r="195" spans="1:34" x14ac:dyDescent="0.25">
      <c r="A195" s="27">
        <f t="shared" ref="A195:A258" si="6">ROW()-3</f>
        <v>192</v>
      </c>
      <c r="D19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&amp;SamplingFeatureID0192 {SamplingFeatureUUID:  "", SamplingFeatureTypeCV:  "Specimen", SamplingFeatureCode:  "1204593", SamplingFeatureName:  "", SamplingFeatureDescription:  "", SamplingFeatureGeotypeCV:  Point, FeatureGeometry:  NULL, Elevation_m:  NULL, ElevationDatumCV:  NULL}</v>
      </c>
      <c r="P19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*SamplingFeatureID0199, SpecimenTypeCV:  "Grab", SpecimenMediumCV:  "1250.395659", IsFieldSpecimen:  "TRUE"}</v>
      </c>
      <c r="S19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5" s="27" t="str">
        <f t="shared" si="5"/>
        <v/>
      </c>
      <c r="AF19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5" s="27" t="str">
        <f>IF(ROW()-3&gt;NumFileColumns,
"",
CONCATENATE(AH194,", ",INDEX(DataColumns[ColumnLabel],ROW()-3)))</f>
        <v/>
      </c>
    </row>
    <row r="196" spans="1:34" x14ac:dyDescent="0.25">
      <c r="A196" s="27">
        <f t="shared" si="6"/>
        <v>193</v>
      </c>
      <c r="D19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&amp;SamplingFeatureID0193 {SamplingFeatureUUID:  "", SamplingFeatureTypeCV:  "Specimen", SamplingFeatureCode:  "1204592", SamplingFeatureName:  "", SamplingFeatureDescription:  "", SamplingFeatureGeotypeCV:  Point, FeatureGeometry:  NULL, Elevation_m:  NULL, ElevationDatumCV:  NULL}</v>
      </c>
      <c r="P19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*SamplingFeatureID0200, SpecimenTypeCV:  "Grab", SpecimenMediumCV:  "PLEASE PUT A SPECIMEN MEDIUM IN ROW 193", IsFieldSpecimen:  "TRUE"}</v>
      </c>
      <c r="S19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6" s="27" t="str">
        <f t="shared" si="5"/>
        <v/>
      </c>
      <c r="AF19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6" s="27" t="str">
        <f>IF(ROW()-3&gt;NumFileColumns,
"",
CONCATENATE(AH195,", ",INDEX(DataColumns[ColumnLabel],ROW()-3)))</f>
        <v/>
      </c>
    </row>
    <row r="197" spans="1:34" x14ac:dyDescent="0.25">
      <c r="A197" s="27">
        <f t="shared" si="6"/>
        <v>194</v>
      </c>
      <c r="D19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&amp;SamplingFeatureID0194 {SamplingFeatureUUID:  "", SamplingFeatureTypeCV:  "Specimen", SamplingFeatureCode:  "1204591", SamplingFeatureName:  "", SamplingFeatureDescription:  "", SamplingFeatureGeotypeCV:  Point, FeatureGeometry:  NULL, Elevation_m:  NULL, ElevationDatumCV:  NULL}</v>
      </c>
      <c r="P19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*SamplingFeatureID0201, SpecimenTypeCV:  "Grab", SpecimenMediumCV:  "PLEASE PUT A SPECIMEN MEDIUM IN ROW 194", IsFieldSpecimen:  "TRUE"}</v>
      </c>
      <c r="S19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7" s="27" t="str">
        <f t="shared" ref="AC197:AC260" si="7">IF(ROW()-3&gt;NumFileColumns,"",
CONCATENATE("  - {DataSetObj: *DataSetID0001, ",
"ResultObj: *ResultID",TEXT(ROW()-3,"0000"),
"}"))</f>
        <v/>
      </c>
      <c r="AF19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7" s="27" t="str">
        <f>IF(ROW()-3&gt;NumFileColumns,
"",
CONCATENATE(AH196,", ",INDEX(DataColumns[ColumnLabel],ROW()-3)))</f>
        <v/>
      </c>
    </row>
    <row r="198" spans="1:34" x14ac:dyDescent="0.25">
      <c r="A198" s="27">
        <f t="shared" si="6"/>
        <v>195</v>
      </c>
      <c r="D19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&amp;SamplingFeatureID0195 {SamplingFeatureUUID:  "", SamplingFeatureTypeCV:  "Specimen", SamplingFeatureCode:  "1204683", SamplingFeatureName:  "", SamplingFeatureDescription:  "", SamplingFeatureGeotypeCV:  Point, FeatureGeometry:  NULL, Elevation_m:  NULL, ElevationDatumCV:  NULL}</v>
      </c>
      <c r="P19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*SamplingFeatureID0202, SpecimenTypeCV:  "Grab", SpecimenMediumCV:  "PLEASE PUT A SPECIMEN MEDIUM IN ROW 195", IsFieldSpecimen:  "TRUE"}</v>
      </c>
      <c r="S19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8" s="27" t="str">
        <f t="shared" si="7"/>
        <v/>
      </c>
      <c r="AF19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8" s="27" t="str">
        <f>IF(ROW()-3&gt;NumFileColumns,
"",
CONCATENATE(AH197,", ",INDEX(DataColumns[ColumnLabel],ROW()-3)))</f>
        <v/>
      </c>
    </row>
    <row r="199" spans="1:34" x14ac:dyDescent="0.25">
      <c r="A199" s="27">
        <f t="shared" si="6"/>
        <v>196</v>
      </c>
      <c r="D19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9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9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9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9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&amp;SamplingFeatureID0196 {SamplingFeatureUUID:  "", SamplingFeatureTypeCV:  "Specimen", SamplingFeatureCode:  "1204684", SamplingFeatureName:  "", SamplingFeatureDescription:  "", SamplingFeatureGeotypeCV:  Point, FeatureGeometry:  NULL, Elevation_m:  NULL, ElevationDatumCV:  NULL}</v>
      </c>
      <c r="P19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19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*SamplingFeatureID0203, SpecimenTypeCV:  "Grab", SpecimenMediumCV:  "1263.915352", IsFieldSpecimen:  "TRUE"}</v>
      </c>
      <c r="S19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19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19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9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9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9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19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19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19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9" s="27" t="str">
        <f t="shared" si="7"/>
        <v/>
      </c>
      <c r="AF19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9" s="27" t="str">
        <f>IF(ROW()-3&gt;NumFileColumns,
"",
CONCATENATE(AH198,", ",INDEX(DataColumns[ColumnLabel],ROW()-3)))</f>
        <v/>
      </c>
    </row>
    <row r="200" spans="1:34" x14ac:dyDescent="0.25">
      <c r="A200" s="27">
        <f t="shared" si="6"/>
        <v>197</v>
      </c>
      <c r="D20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&amp;SamplingFeatureID0197 {SamplingFeatureUUID:  "", SamplingFeatureTypeCV:  "Specimen", SamplingFeatureCode:  "1300003", SamplingFeatureName:  "", SamplingFeatureDescription:  "", SamplingFeatureGeotypeCV:  Point, FeatureGeometry:  NULL, Elevation_m:  NULL, ElevationDatumCV:  NULL}</v>
      </c>
      <c r="P20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*SamplingFeatureID0204, SpecimenTypeCV:  "Grab", SpecimenMediumCV:  "1198.98817", IsFieldSpecimen:  "TRUE"}</v>
      </c>
      <c r="S20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0" s="27" t="str">
        <f t="shared" si="7"/>
        <v/>
      </c>
      <c r="AF20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0" s="27" t="str">
        <f>IF(ROW()-3&gt;NumFileColumns,
"",
CONCATENATE(AH199,", ",INDEX(DataColumns[ColumnLabel],ROW()-3)))</f>
        <v/>
      </c>
    </row>
    <row r="201" spans="1:34" x14ac:dyDescent="0.25">
      <c r="A201" s="27">
        <f t="shared" si="6"/>
        <v>198</v>
      </c>
      <c r="D20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&amp;SamplingFeatureID0198 {SamplingFeatureUUID:  "", SamplingFeatureTypeCV:  "Specimen", SamplingFeatureCode:  "1300001", SamplingFeatureName:  "", SamplingFeatureDescription:  "", SamplingFeatureGeotypeCV:  Point, FeatureGeometry:  NULL, Elevation_m:  NULL, ElevationDatumCV:  NULL}</v>
      </c>
      <c r="P20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*SamplingFeatureID0205, SpecimenTypeCV:  "Grab", SpecimenMediumCV:  "1261.869196", IsFieldSpecimen:  "TRUE"}</v>
      </c>
      <c r="S20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1" s="27" t="str">
        <f t="shared" si="7"/>
        <v/>
      </c>
      <c r="AF20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1" s="27" t="str">
        <f>IF(ROW()-3&gt;NumFileColumns,
"",
CONCATENATE(AH200,", ",INDEX(DataColumns[ColumnLabel],ROW()-3)))</f>
        <v/>
      </c>
    </row>
    <row r="202" spans="1:34" x14ac:dyDescent="0.25">
      <c r="A202" s="27">
        <f t="shared" si="6"/>
        <v>199</v>
      </c>
      <c r="D20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&amp;SamplingFeatureID0199 {SamplingFeatureUUID:  "", SamplingFeatureTypeCV:  "Specimen", SamplingFeatureCode:  "1300002", SamplingFeatureName:  "", SamplingFeatureDescription:  "", SamplingFeatureGeotypeCV:  Point, FeatureGeometry:  NULL, Elevation_m:  NULL, ElevationDatumCV:  NULL}</v>
      </c>
      <c r="P20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*SamplingFeatureID0206, SpecimenTypeCV:  "Grab", SpecimenMediumCV:  "1250.794995", IsFieldSpecimen:  "TRUE"}</v>
      </c>
      <c r="S20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2" s="27" t="str">
        <f t="shared" si="7"/>
        <v/>
      </c>
      <c r="AF20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2" s="27" t="str">
        <f>IF(ROW()-3&gt;NumFileColumns,
"",
CONCATENATE(AH201,", ",INDEX(DataColumns[ColumnLabel],ROW()-3)))</f>
        <v/>
      </c>
    </row>
    <row r="203" spans="1:34" x14ac:dyDescent="0.25">
      <c r="A203" s="27">
        <f t="shared" si="6"/>
        <v>200</v>
      </c>
      <c r="D20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&amp;SamplingFeatureID0200 {SamplingFeatureUUID:  "", SamplingFeatureTypeCV:  "Specimen", SamplingFeatureCode:  "1300176", SamplingFeatureName:  "", SamplingFeatureDescription:  "", SamplingFeatureGeotypeCV:  Point, FeatureGeometry:  NULL, Elevation_m:  NULL, ElevationDatumCV:  NULL}</v>
      </c>
      <c r="P20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*SamplingFeatureID0207, SpecimenTypeCV:  "Grab", SpecimenMediumCV:  "1180.209209", IsFieldSpecimen:  "TRUE"}</v>
      </c>
      <c r="S20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3" s="27" t="str">
        <f t="shared" si="7"/>
        <v/>
      </c>
      <c r="AF20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3" s="27" t="str">
        <f>IF(ROW()-3&gt;NumFileColumns,
"",
CONCATENATE(AH202,", ",INDEX(DataColumns[ColumnLabel],ROW()-3)))</f>
        <v/>
      </c>
    </row>
    <row r="204" spans="1:34" x14ac:dyDescent="0.25">
      <c r="A204" s="27">
        <f t="shared" si="6"/>
        <v>201</v>
      </c>
      <c r="D20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&amp;SamplingFeatureID0201 {SamplingFeatureUUID:  "", SamplingFeatureTypeCV:  "Specimen", SamplingFeatureCode:  "1300177", SamplingFeatureName:  "", SamplingFeatureDescription:  "", SamplingFeatureGeotypeCV:  Point, FeatureGeometry:  NULL, Elevation_m:  NULL, ElevationDatumCV:  NULL}</v>
      </c>
      <c r="P20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*SamplingFeatureID0208, SpecimenTypeCV:  "Grab", SpecimenMediumCV:  "PLEASE PUT A SPECIMEN MEDIUM IN ROW 201", IsFieldSpecimen:  "TRUE"}</v>
      </c>
      <c r="S20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4" s="27" t="str">
        <f t="shared" si="7"/>
        <v/>
      </c>
      <c r="AF20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4" s="27" t="str">
        <f>IF(ROW()-3&gt;NumFileColumns,
"",
CONCATENATE(AH203,", ",INDEX(DataColumns[ColumnLabel],ROW()-3)))</f>
        <v/>
      </c>
    </row>
    <row r="205" spans="1:34" x14ac:dyDescent="0.25">
      <c r="A205" s="27">
        <f t="shared" si="6"/>
        <v>202</v>
      </c>
      <c r="D20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&amp;SamplingFeatureID0202 {SamplingFeatureUUID:  "", SamplingFeatureTypeCV:  "Specimen", SamplingFeatureCode:  "1300428", SamplingFeatureName:  "", SamplingFeatureDescription:  "", SamplingFeatureGeotypeCV:  Point, FeatureGeometry:  NULL, Elevation_m:  NULL, ElevationDatumCV:  NULL}</v>
      </c>
      <c r="P20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*SamplingFeatureID0209, SpecimenTypeCV:  "Grab", SpecimenMediumCV:  "PLEASE PUT A SPECIMEN MEDIUM IN ROW 202", IsFieldSpecimen:  "TRUE"}</v>
      </c>
      <c r="S20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5" s="27" t="str">
        <f t="shared" si="7"/>
        <v/>
      </c>
      <c r="AF20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5" s="27" t="str">
        <f>IF(ROW()-3&gt;NumFileColumns,
"",
CONCATENATE(AH204,", ",INDEX(DataColumns[ColumnLabel],ROW()-3)))</f>
        <v/>
      </c>
    </row>
    <row r="206" spans="1:34" x14ac:dyDescent="0.25">
      <c r="A206" s="27">
        <f t="shared" si="6"/>
        <v>203</v>
      </c>
      <c r="D20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&amp;SamplingFeatureID0203 {SamplingFeatureUUID:  "", SamplingFeatureTypeCV:  "Specimen", SamplingFeatureCode:  "1300426", SamplingFeatureName:  "", SamplingFeatureDescription:  "", SamplingFeatureGeotypeCV:  Point, FeatureGeometry:  NULL, Elevation_m:  NULL, ElevationDatumCV:  NULL}</v>
      </c>
      <c r="P20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*SamplingFeatureID0210, SpecimenTypeCV:  "Grab", SpecimenMediumCV:  "PLEASE PUT A SPECIMEN MEDIUM IN ROW 203", IsFieldSpecimen:  "TRUE"}</v>
      </c>
      <c r="S20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6" s="27" t="str">
        <f t="shared" si="7"/>
        <v/>
      </c>
      <c r="AF20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6" s="27" t="str">
        <f>IF(ROW()-3&gt;NumFileColumns,
"",
CONCATENATE(AH205,", ",INDEX(DataColumns[ColumnLabel],ROW()-3)))</f>
        <v/>
      </c>
    </row>
    <row r="207" spans="1:34" x14ac:dyDescent="0.25">
      <c r="A207" s="27">
        <f t="shared" si="6"/>
        <v>204</v>
      </c>
      <c r="D20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&amp;SamplingFeatureID0204 {SamplingFeatureUUID:  "", SamplingFeatureTypeCV:  "Specimen", SamplingFeatureCode:  "1300427", SamplingFeatureName:  "", SamplingFeatureDescription:  "", SamplingFeatureGeotypeCV:  Point, FeatureGeometry:  NULL, Elevation_m:  NULL, ElevationDatumCV:  NULL}</v>
      </c>
      <c r="P20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*SamplingFeatureID0211, SpecimenTypeCV:  "Grab", SpecimenMediumCV:  "PLEASE PUT A SPECIMEN MEDIUM IN ROW 204", IsFieldSpecimen:  "TRUE"}</v>
      </c>
      <c r="S20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7" s="27" t="str">
        <f t="shared" si="7"/>
        <v/>
      </c>
      <c r="AF20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7" s="27" t="str">
        <f>IF(ROW()-3&gt;NumFileColumns,
"",
CONCATENATE(AH206,", ",INDEX(DataColumns[ColumnLabel],ROW()-3)))</f>
        <v/>
      </c>
    </row>
    <row r="208" spans="1:34" x14ac:dyDescent="0.25">
      <c r="A208" s="27">
        <f t="shared" si="6"/>
        <v>205</v>
      </c>
      <c r="D20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&amp;SamplingFeatureID0205 {SamplingFeatureUUID:  "", SamplingFeatureTypeCV:  "Specimen", SamplingFeatureCode:  "1300554", SamplingFeatureName:  "", SamplingFeatureDescription:  "", SamplingFeatureGeotypeCV:  Point, FeatureGeometry:  NULL, Elevation_m:  NULL, ElevationDatumCV:  NULL}</v>
      </c>
      <c r="P20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*SamplingFeatureID0212, SpecimenTypeCV:  "Grab", SpecimenMediumCV:  "PLEASE PUT A SPECIMEN MEDIUM IN ROW 205", IsFieldSpecimen:  "TRUE"}</v>
      </c>
      <c r="S20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8" s="27" t="str">
        <f t="shared" si="7"/>
        <v/>
      </c>
      <c r="AF20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8" s="27" t="str">
        <f>IF(ROW()-3&gt;NumFileColumns,
"",
CONCATENATE(AH207,", ",INDEX(DataColumns[ColumnLabel],ROW()-3)))</f>
        <v/>
      </c>
    </row>
    <row r="209" spans="1:34" x14ac:dyDescent="0.25">
      <c r="A209" s="27">
        <f t="shared" si="6"/>
        <v>206</v>
      </c>
      <c r="D20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0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0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0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0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&amp;SamplingFeatureID0206 {SamplingFeatureUUID:  "", SamplingFeatureTypeCV:  "Specimen", SamplingFeatureCode:  "1300552", SamplingFeatureName:  "", SamplingFeatureDescription:  "", SamplingFeatureGeotypeCV:  Point, FeatureGeometry:  NULL, Elevation_m:  NULL, ElevationDatumCV:  NULL}</v>
      </c>
      <c r="P20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0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*SamplingFeatureID0213, SpecimenTypeCV:  "Automated", SpecimenMediumCV:  "PLEASE PUT A SPECIMEN MEDIUM IN ROW 206", IsFieldSpecimen:  "TRUE"}</v>
      </c>
      <c r="S20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0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0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0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0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0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0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0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0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9" s="27" t="str">
        <f t="shared" si="7"/>
        <v/>
      </c>
      <c r="AF20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9" s="27" t="str">
        <f>IF(ROW()-3&gt;NumFileColumns,
"",
CONCATENATE(AH208,", ",INDEX(DataColumns[ColumnLabel],ROW()-3)))</f>
        <v/>
      </c>
    </row>
    <row r="210" spans="1:34" x14ac:dyDescent="0.25">
      <c r="A210" s="27">
        <f t="shared" si="6"/>
        <v>207</v>
      </c>
      <c r="D21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&amp;SamplingFeatureID0207 {SamplingFeatureUUID:  "", SamplingFeatureTypeCV:  "Specimen", SamplingFeatureCode:  "1300553", SamplingFeatureName:  "", SamplingFeatureDescription:  "", SamplingFeatureGeotypeCV:  Point, FeatureGeometry:  NULL, Elevation_m:  NULL, ElevationDatumCV:  NULL}</v>
      </c>
      <c r="P21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*SamplingFeatureID0214, SpecimenTypeCV:  "Automated", SpecimenMediumCV:  "PLEASE PUT A SPECIMEN MEDIUM IN ROW 207", IsFieldSpecimen:  "TRUE"}</v>
      </c>
      <c r="S21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0" s="27" t="str">
        <f t="shared" si="7"/>
        <v/>
      </c>
      <c r="AF21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0" s="27" t="str">
        <f>IF(ROW()-3&gt;NumFileColumns,
"",
CONCATENATE(AH209,", ",INDEX(DataColumns[ColumnLabel],ROW()-3)))</f>
        <v/>
      </c>
    </row>
    <row r="211" spans="1:34" x14ac:dyDescent="0.25">
      <c r="A211" s="27">
        <f t="shared" si="6"/>
        <v>208</v>
      </c>
      <c r="D21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&amp;SamplingFeatureID0208 {SamplingFeatureUUID:  "", SamplingFeatureTypeCV:  "Specimen", SamplingFeatureCode:  "1300760", SamplingFeatureName:  "", SamplingFeatureDescription:  "", SamplingFeatureGeotypeCV:  Point, FeatureGeometry:  NULL, Elevation_m:  NULL, ElevationDatumCV:  NULL}</v>
      </c>
      <c r="P21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*SamplingFeatureID0215, SpecimenTypeCV:  "Automated", SpecimenMediumCV:  "1137.14964", IsFieldSpecimen:  "TRUE"}</v>
      </c>
      <c r="S21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1" s="27" t="str">
        <f t="shared" si="7"/>
        <v/>
      </c>
      <c r="AF21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1" s="27" t="str">
        <f>IF(ROW()-3&gt;NumFileColumns,
"",
CONCATENATE(AH210,", ",INDEX(DataColumns[ColumnLabel],ROW()-3)))</f>
        <v/>
      </c>
    </row>
    <row r="212" spans="1:34" x14ac:dyDescent="0.25">
      <c r="A212" s="27">
        <f t="shared" si="6"/>
        <v>209</v>
      </c>
      <c r="D21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&amp;SamplingFeatureID0209 {SamplingFeatureUUID:  "", SamplingFeatureTypeCV:  "Specimen", SamplingFeatureCode:  "1300758", SamplingFeatureName:  "", SamplingFeatureDescription:  "", SamplingFeatureGeotypeCV:  Point, FeatureGeometry:  NULL, Elevation_m:  NULL, ElevationDatumCV:  NULL}</v>
      </c>
      <c r="P21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*SamplingFeatureID0216, SpecimenTypeCV:  "Automated", SpecimenMediumCV:  "PLEASE PUT A SPECIMEN MEDIUM IN ROW 209", IsFieldSpecimen:  "TRUE"}</v>
      </c>
      <c r="S21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2" s="27" t="str">
        <f t="shared" si="7"/>
        <v/>
      </c>
      <c r="AF21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2" s="27" t="str">
        <f>IF(ROW()-3&gt;NumFileColumns,
"",
CONCATENATE(AH211,", ",INDEX(DataColumns[ColumnLabel],ROW()-3)))</f>
        <v/>
      </c>
    </row>
    <row r="213" spans="1:34" x14ac:dyDescent="0.25">
      <c r="A213" s="27">
        <f t="shared" si="6"/>
        <v>210</v>
      </c>
      <c r="D21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&amp;SamplingFeatureID0210 {SamplingFeatureUUID:  "", SamplingFeatureTypeCV:  "Specimen", SamplingFeatureCode:  "1300759", SamplingFeatureName:  "", SamplingFeatureDescription:  "", SamplingFeatureGeotypeCV:  Point, FeatureGeometry:  NULL, Elevation_m:  NULL, ElevationDatumCV:  NULL}</v>
      </c>
      <c r="P21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*SamplingFeatureID0217, SpecimenTypeCV:  "Automated", SpecimenMediumCV:  "PLEASE PUT A SPECIMEN MEDIUM IN ROW 210", IsFieldSpecimen:  "TRUE"}</v>
      </c>
      <c r="S21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3" s="27" t="str">
        <f t="shared" si="7"/>
        <v/>
      </c>
      <c r="AF21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3" s="27" t="str">
        <f>IF(ROW()-3&gt;NumFileColumns,
"",
CONCATENATE(AH212,", ",INDEX(DataColumns[ColumnLabel],ROW()-3)))</f>
        <v/>
      </c>
    </row>
    <row r="214" spans="1:34" x14ac:dyDescent="0.25">
      <c r="A214" s="27">
        <f t="shared" si="6"/>
        <v>211</v>
      </c>
      <c r="D21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&amp;SamplingFeatureID0211 {SamplingFeatureUUID:  "", SamplingFeatureTypeCV:  "Specimen", SamplingFeatureCode:  "1300773", SamplingFeatureName:  "", SamplingFeatureDescription:  "", SamplingFeatureGeotypeCV:  Point, FeatureGeometry:  NULL, Elevation_m:  NULL, ElevationDatumCV:  NULL}</v>
      </c>
      <c r="P21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*SamplingFeatureID0218, SpecimenTypeCV:  "Automated", SpecimenMediumCV:  "PLEASE PUT A SPECIMEN MEDIUM IN ROW 211", IsFieldSpecimen:  "TRUE"}</v>
      </c>
      <c r="S21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4" s="27" t="str">
        <f t="shared" si="7"/>
        <v/>
      </c>
      <c r="AF21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4" s="27" t="str">
        <f>IF(ROW()-3&gt;NumFileColumns,
"",
CONCATENATE(AH213,", ",INDEX(DataColumns[ColumnLabel],ROW()-3)))</f>
        <v/>
      </c>
    </row>
    <row r="215" spans="1:34" x14ac:dyDescent="0.25">
      <c r="A215" s="27">
        <f t="shared" si="6"/>
        <v>212</v>
      </c>
      <c r="D21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&amp;SamplingFeatureID0212 {SamplingFeatureUUID:  "", SamplingFeatureTypeCV:  "Specimen", SamplingFeatureCode:  "1300774", SamplingFeatureName:  "", SamplingFeatureDescription:  "", SamplingFeatureGeotypeCV:  Point, FeatureGeometry:  NULL, Elevation_m:  NULL, ElevationDatumCV:  NULL}</v>
      </c>
      <c r="P21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*SamplingFeatureID0219, SpecimenTypeCV:  "Automated", SpecimenMediumCV:  "PLEASE PUT A SPECIMEN MEDIUM IN ROW 212", IsFieldSpecimen:  "TRUE"}</v>
      </c>
      <c r="S21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5" s="27" t="str">
        <f t="shared" si="7"/>
        <v/>
      </c>
      <c r="AF21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5" s="27" t="str">
        <f>IF(ROW()-3&gt;NumFileColumns,
"",
CONCATENATE(AH214,", ",INDEX(DataColumns[ColumnLabel],ROW()-3)))</f>
        <v/>
      </c>
    </row>
    <row r="216" spans="1:34" x14ac:dyDescent="0.25">
      <c r="A216" s="27">
        <f t="shared" si="6"/>
        <v>213</v>
      </c>
      <c r="D21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&amp;SamplingFeatureID0213 {SamplingFeatureUUID:  "", SamplingFeatureTypeCV:  "Specimen", SamplingFeatureCode:  "1300790", SamplingFeatureName:  "", SamplingFeatureDescription:  "", SamplingFeatureGeotypeCV:  Point, FeatureGeometry:  NULL, Elevation_m:  NULL, ElevationDatumCV:  NULL}</v>
      </c>
      <c r="P21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*SamplingFeatureID0220, SpecimenTypeCV:  "Automated", SpecimenMediumCV:  "PLEASE PUT A SPECIMEN MEDIUM IN ROW 213", IsFieldSpecimen:  "TRUE"}</v>
      </c>
      <c r="S21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6" s="27" t="str">
        <f t="shared" si="7"/>
        <v/>
      </c>
      <c r="AF21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6" s="27" t="str">
        <f>IF(ROW()-3&gt;NumFileColumns,
"",
CONCATENATE(AH215,", ",INDEX(DataColumns[ColumnLabel],ROW()-3)))</f>
        <v/>
      </c>
    </row>
    <row r="217" spans="1:34" x14ac:dyDescent="0.25">
      <c r="A217" s="27">
        <f t="shared" si="6"/>
        <v>214</v>
      </c>
      <c r="D21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&amp;SamplingFeatureID0214 {SamplingFeatureUUID:  "", SamplingFeatureTypeCV:  "Specimen", SamplingFeatureCode:  "1300791", SamplingFeatureName:  "", SamplingFeatureDescription:  "", SamplingFeatureGeotypeCV:  Point, FeatureGeometry:  NULL, Elevation_m:  NULL, ElevationDatumCV:  NULL}</v>
      </c>
      <c r="P21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*SamplingFeatureID0221, SpecimenTypeCV:  "Automated", SpecimenMediumCV:  "1062.790944", IsFieldSpecimen:  "TRUE"}</v>
      </c>
      <c r="S21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7" s="27" t="str">
        <f t="shared" si="7"/>
        <v/>
      </c>
      <c r="AF21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7" s="27" t="str">
        <f>IF(ROW()-3&gt;NumFileColumns,
"",
CONCATENATE(AH216,", ",INDEX(DataColumns[ColumnLabel],ROW()-3)))</f>
        <v/>
      </c>
    </row>
    <row r="218" spans="1:34" x14ac:dyDescent="0.25">
      <c r="A218" s="27">
        <f t="shared" si="6"/>
        <v>215</v>
      </c>
      <c r="D21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&amp;SamplingFeatureID0215 {SamplingFeatureUUID:  "", SamplingFeatureTypeCV:  "Specimen", SamplingFeatureCode:  "1300793", SamplingFeatureName:  "", SamplingFeatureDescription:  "", SamplingFeatureGeotypeCV:  Point, FeatureGeometry:  NULL, Elevation_m:  NULL, ElevationDatumCV:  NULL}</v>
      </c>
      <c r="P21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*SamplingFeatureID0222, SpecimenTypeCV:  "Automated", SpecimenMediumCV:  "PLEASE PUT A SPECIMEN MEDIUM IN ROW 215", IsFieldSpecimen:  "TRUE"}</v>
      </c>
      <c r="S21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8" s="27" t="str">
        <f t="shared" si="7"/>
        <v/>
      </c>
      <c r="AF21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8" s="27" t="str">
        <f>IF(ROW()-3&gt;NumFileColumns,
"",
CONCATENATE(AH217,", ",INDEX(DataColumns[ColumnLabel],ROW()-3)))</f>
        <v/>
      </c>
    </row>
    <row r="219" spans="1:34" x14ac:dyDescent="0.25">
      <c r="A219" s="27">
        <f t="shared" si="6"/>
        <v>216</v>
      </c>
      <c r="D21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1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1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1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1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&amp;SamplingFeatureID0216 {SamplingFeatureUUID:  "", SamplingFeatureTypeCV:  "Specimen", SamplingFeatureCode:  "1300794", SamplingFeatureName:  "", SamplingFeatureDescription:  "", SamplingFeatureGeotypeCV:  Point, FeatureGeometry:  NULL, Elevation_m:  NULL, ElevationDatumCV:  NULL}</v>
      </c>
      <c r="P21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1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*SamplingFeatureID0223, SpecimenTypeCV:  "Grab", SpecimenMediumCV:  "PLEASE PUT A SPECIMEN MEDIUM IN ROW 216", IsFieldSpecimen:  "TRUE"}</v>
      </c>
      <c r="S21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1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1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1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1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1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1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1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1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9" s="27" t="str">
        <f t="shared" si="7"/>
        <v/>
      </c>
      <c r="AF21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9" s="27" t="str">
        <f>IF(ROW()-3&gt;NumFileColumns,
"",
CONCATENATE(AH218,", ",INDEX(DataColumns[ColumnLabel],ROW()-3)))</f>
        <v/>
      </c>
    </row>
    <row r="220" spans="1:34" x14ac:dyDescent="0.25">
      <c r="A220" s="27">
        <f t="shared" si="6"/>
        <v>217</v>
      </c>
      <c r="D22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&amp;SamplingFeatureID0217 {SamplingFeatureUUID:  "", SamplingFeatureTypeCV:  "Specimen", SamplingFeatureCode:  "1300796", SamplingFeatureName:  "", SamplingFeatureDescription:  "", SamplingFeatureGeotypeCV:  Point, FeatureGeometry:  NULL, Elevation_m:  NULL, ElevationDatumCV:  NULL}</v>
      </c>
      <c r="P22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*SamplingFeatureID0224, SpecimenTypeCV:  "Grab", SpecimenMediumCV:  "PLEASE PUT A SPECIMEN MEDIUM IN ROW 217", IsFieldSpecimen:  "TRUE"}</v>
      </c>
      <c r="S22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0" s="27" t="str">
        <f t="shared" si="7"/>
        <v/>
      </c>
      <c r="AF22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0" s="27" t="str">
        <f>IF(ROW()-3&gt;NumFileColumns,
"",
CONCATENATE(AH219,", ",INDEX(DataColumns[ColumnLabel],ROW()-3)))</f>
        <v/>
      </c>
    </row>
    <row r="221" spans="1:34" x14ac:dyDescent="0.25">
      <c r="A221" s="27">
        <f t="shared" si="6"/>
        <v>218</v>
      </c>
      <c r="D22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&amp;SamplingFeatureID0218 {SamplingFeatureUUID:  "", SamplingFeatureTypeCV:  "Specimen", SamplingFeatureCode:  "1300797", SamplingFeatureName:  "", SamplingFeatureDescription:  "", SamplingFeatureGeotypeCV:  Point, FeatureGeometry:  NULL, Elevation_m:  NULL, ElevationDatumCV:  NULL}</v>
      </c>
      <c r="P22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*SamplingFeatureID0225, SpecimenTypeCV:  "Grab", SpecimenMediumCV:  "PLEASE PUT A SPECIMEN MEDIUM IN ROW 218", IsFieldSpecimen:  "TRUE"}</v>
      </c>
      <c r="S22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1" s="27" t="str">
        <f t="shared" si="7"/>
        <v/>
      </c>
      <c r="AF22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1" s="27" t="str">
        <f>IF(ROW()-3&gt;NumFileColumns,
"",
CONCATENATE(AH220,", ",INDEX(DataColumns[ColumnLabel],ROW()-3)))</f>
        <v/>
      </c>
    </row>
    <row r="222" spans="1:34" x14ac:dyDescent="0.25">
      <c r="A222" s="27">
        <f t="shared" si="6"/>
        <v>219</v>
      </c>
      <c r="D22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&amp;SamplingFeatureID0219 {SamplingFeatureUUID:  "", SamplingFeatureTypeCV:  "Specimen", SamplingFeatureCode:  "1300798", SamplingFeatureName:  "", SamplingFeatureDescription:  "", SamplingFeatureGeotypeCV:  Point, FeatureGeometry:  NULL, Elevation_m:  NULL, ElevationDatumCV:  NULL}</v>
      </c>
      <c r="P22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*SamplingFeatureID0226, SpecimenTypeCV:  "Grab", SpecimenMediumCV:  "1431.840801", IsFieldSpecimen:  "TRUE"}</v>
      </c>
      <c r="S22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2" s="27" t="str">
        <f t="shared" si="7"/>
        <v/>
      </c>
      <c r="AF22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2" s="27" t="str">
        <f>IF(ROW()-3&gt;NumFileColumns,
"",
CONCATENATE(AH221,", ",INDEX(DataColumns[ColumnLabel],ROW()-3)))</f>
        <v/>
      </c>
    </row>
    <row r="223" spans="1:34" x14ac:dyDescent="0.25">
      <c r="A223" s="27">
        <f t="shared" si="6"/>
        <v>220</v>
      </c>
      <c r="D22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&amp;SamplingFeatureID0220 {SamplingFeatureUUID:  "", SamplingFeatureTypeCV:  "Specimen", SamplingFeatureCode:  "1300799", SamplingFeatureName:  "", SamplingFeatureDescription:  "", SamplingFeatureGeotypeCV:  Point, FeatureGeometry:  NULL, Elevation_m:  NULL, ElevationDatumCV:  NULL}</v>
      </c>
      <c r="P22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*SamplingFeatureID0227, SpecimenTypeCV:  "Grab", SpecimenMediumCV:  "1336.4446", IsFieldSpecimen:  "TRUE"}</v>
      </c>
      <c r="S22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3" s="27" t="str">
        <f t="shared" si="7"/>
        <v/>
      </c>
      <c r="AF22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3" s="27" t="str">
        <f>IF(ROW()-3&gt;NumFileColumns,
"",
CONCATENATE(AH222,", ",INDEX(DataColumns[ColumnLabel],ROW()-3)))</f>
        <v/>
      </c>
    </row>
    <row r="224" spans="1:34" x14ac:dyDescent="0.25">
      <c r="A224" s="27">
        <f t="shared" si="6"/>
        <v>221</v>
      </c>
      <c r="D22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&amp;SamplingFeatureID0221 {SamplingFeatureUUID:  "", SamplingFeatureTypeCV:  "Specimen", SamplingFeatureCode:  "1300800", SamplingFeatureName:  "", SamplingFeatureDescription:  "", SamplingFeatureGeotypeCV:  Point, FeatureGeometry:  NULL, Elevation_m:  NULL, ElevationDatumCV:  NULL}</v>
      </c>
      <c r="P22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*SamplingFeatureID0228, SpecimenTypeCV:  "Grab", SpecimenMediumCV:  "1406.258676", IsFieldSpecimen:  "TRUE"}</v>
      </c>
      <c r="S22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4" s="27" t="str">
        <f t="shared" si="7"/>
        <v/>
      </c>
      <c r="AF22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4" s="27" t="str">
        <f>IF(ROW()-3&gt;NumFileColumns,
"",
CONCATENATE(AH223,", ",INDEX(DataColumns[ColumnLabel],ROW()-3)))</f>
        <v/>
      </c>
    </row>
    <row r="225" spans="1:34" x14ac:dyDescent="0.25">
      <c r="A225" s="27">
        <f t="shared" si="6"/>
        <v>222</v>
      </c>
      <c r="D22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&amp;SamplingFeatureID0222 {SamplingFeatureUUID:  "", SamplingFeatureTypeCV:  "Specimen", SamplingFeatureCode:  "1300801", SamplingFeatureName:  "", SamplingFeatureDescription:  "", SamplingFeatureGeotypeCV:  Point, FeatureGeometry:  NULL, Elevation_m:  NULL, ElevationDatumCV:  NULL}</v>
      </c>
      <c r="P22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*SamplingFeatureID0229, SpecimenTypeCV:  "Automated", SpecimenMediumCV:  "1333.151728", IsFieldSpecimen:  "TRUE"}</v>
      </c>
      <c r="S22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5" s="27" t="str">
        <f t="shared" si="7"/>
        <v/>
      </c>
      <c r="AF22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5" s="27" t="str">
        <f>IF(ROW()-3&gt;NumFileColumns,
"",
CONCATENATE(AH224,", ",INDEX(DataColumns[ColumnLabel],ROW()-3)))</f>
        <v/>
      </c>
    </row>
    <row r="226" spans="1:34" x14ac:dyDescent="0.25">
      <c r="A226" s="27">
        <f t="shared" si="6"/>
        <v>223</v>
      </c>
      <c r="D22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&amp;SamplingFeatureID0223 {SamplingFeatureUUID:  "", SamplingFeatureTypeCV:  "Specimen", SamplingFeatureCode:  "1301020", SamplingFeatureName:  "", SamplingFeatureDescription:  "", SamplingFeatureGeotypeCV:  Point, FeatureGeometry:  NULL, Elevation_m:  NULL, ElevationDatumCV:  NULL}</v>
      </c>
      <c r="P22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*SamplingFeatureID0230, SpecimenTypeCV:  "Automated", SpecimenMediumCV:  "1054.154583", IsFieldSpecimen:  "TRUE"}</v>
      </c>
      <c r="S22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6" s="27" t="str">
        <f t="shared" si="7"/>
        <v/>
      </c>
      <c r="AF22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6" s="27" t="str">
        <f>IF(ROW()-3&gt;NumFileColumns,
"",
CONCATENATE(AH225,", ",INDEX(DataColumns[ColumnLabel],ROW()-3)))</f>
        <v/>
      </c>
    </row>
    <row r="227" spans="1:34" x14ac:dyDescent="0.25">
      <c r="A227" s="27">
        <f t="shared" si="6"/>
        <v>224</v>
      </c>
      <c r="D22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&amp;SamplingFeatureID0224 {SamplingFeatureUUID:  "", SamplingFeatureTypeCV:  "Specimen", SamplingFeatureCode:  "1301018", SamplingFeatureName:  "", SamplingFeatureDescription:  "", SamplingFeatureGeotypeCV:  Point, FeatureGeometry:  NULL, Elevation_m:  NULL, ElevationDatumCV:  NULL}</v>
      </c>
      <c r="P22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*SamplingFeatureID0231, SpecimenTypeCV:  "Automated", SpecimenMediumCV:  "708.3089095", IsFieldSpecimen:  "TRUE"}</v>
      </c>
      <c r="S22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7" s="27" t="str">
        <f t="shared" si="7"/>
        <v/>
      </c>
      <c r="AF22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7" s="27" t="str">
        <f>IF(ROW()-3&gt;NumFileColumns,
"",
CONCATENATE(AH226,", ",INDEX(DataColumns[ColumnLabel],ROW()-3)))</f>
        <v/>
      </c>
    </row>
    <row r="228" spans="1:34" x14ac:dyDescent="0.25">
      <c r="A228" s="27">
        <f t="shared" si="6"/>
        <v>225</v>
      </c>
      <c r="D22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&amp;SamplingFeatureID0225 {SamplingFeatureUUID:  "", SamplingFeatureTypeCV:  "Specimen", SamplingFeatureCode:  "1301019", SamplingFeatureName:  "", SamplingFeatureDescription:  "", SamplingFeatureGeotypeCV:  Point, FeatureGeometry:  NULL, Elevation_m:  NULL, ElevationDatumCV:  NULL}</v>
      </c>
      <c r="P22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*SamplingFeatureID0232, SpecimenTypeCV:  "Automated", SpecimenMediumCV:  "698.5806851", IsFieldSpecimen:  "TRUE"}</v>
      </c>
      <c r="S22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8" s="27" t="str">
        <f t="shared" si="7"/>
        <v/>
      </c>
      <c r="AF22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8" s="27" t="str">
        <f>IF(ROW()-3&gt;NumFileColumns,
"",
CONCATENATE(AH227,", ",INDEX(DataColumns[ColumnLabel],ROW()-3)))</f>
        <v/>
      </c>
    </row>
    <row r="229" spans="1:34" x14ac:dyDescent="0.25">
      <c r="A229" s="27">
        <f t="shared" si="6"/>
        <v>226</v>
      </c>
      <c r="D22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2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2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2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2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&amp;SamplingFeatureID0226 {SamplingFeatureUUID:  "", SamplingFeatureTypeCV:  "Specimen", SamplingFeatureCode:  "1301208", SamplingFeatureName:  "", SamplingFeatureDescription:  "", SamplingFeatureGeotypeCV:  Point, FeatureGeometry:  NULL, Elevation_m:  NULL, ElevationDatumCV:  NULL}</v>
      </c>
      <c r="P22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2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*SamplingFeatureID0233, SpecimenTypeCV:  "Automated", SpecimenMediumCV:  "668.2429253", IsFieldSpecimen:  "TRUE"}</v>
      </c>
      <c r="S22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2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2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2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2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2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2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2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2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9" s="27" t="str">
        <f t="shared" si="7"/>
        <v/>
      </c>
      <c r="AF22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9" s="27" t="str">
        <f>IF(ROW()-3&gt;NumFileColumns,
"",
CONCATENATE(AH228,", ",INDEX(DataColumns[ColumnLabel],ROW()-3)))</f>
        <v/>
      </c>
    </row>
    <row r="230" spans="1:34" x14ac:dyDescent="0.25">
      <c r="A230" s="27">
        <f t="shared" si="6"/>
        <v>227</v>
      </c>
      <c r="D23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&amp;SamplingFeatureID0227 {SamplingFeatureUUID:  "", SamplingFeatureTypeCV:  "Specimen", SamplingFeatureCode:  "1301207", SamplingFeatureName:  "", SamplingFeatureDescription:  "", SamplingFeatureGeotypeCV:  Point, FeatureGeometry:  NULL, Elevation_m:  NULL, ElevationDatumCV:  NULL}</v>
      </c>
      <c r="P23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*SamplingFeatureID0234, SpecimenTypeCV:  "Automated", SpecimenMediumCV:  "668.2429253", IsFieldSpecimen:  "TRUE"}</v>
      </c>
      <c r="S23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0" s="27" t="str">
        <f t="shared" si="7"/>
        <v/>
      </c>
      <c r="AF23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0" s="27" t="str">
        <f>IF(ROW()-3&gt;NumFileColumns,
"",
CONCATENATE(AH229,", ",INDEX(DataColumns[ColumnLabel],ROW()-3)))</f>
        <v/>
      </c>
    </row>
    <row r="231" spans="1:34" x14ac:dyDescent="0.25">
      <c r="A231" s="27">
        <f t="shared" si="6"/>
        <v>228</v>
      </c>
      <c r="D23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&amp;SamplingFeatureID0228 {SamplingFeatureUUID:  "", SamplingFeatureTypeCV:  "Specimen", SamplingFeatureCode:  "1301206", SamplingFeatureName:  "", SamplingFeatureDescription:  "", SamplingFeatureGeotypeCV:  Point, FeatureGeometry:  NULL, Elevation_m:  NULL, ElevationDatumCV:  NULL}</v>
      </c>
      <c r="P23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*SamplingFeatureID0235, SpecimenTypeCV:  "Automated", SpecimenMediumCV:  "482.8325881", IsFieldSpecimen:  "TRUE"}</v>
      </c>
      <c r="S23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1" s="27" t="str">
        <f t="shared" si="7"/>
        <v/>
      </c>
      <c r="AF23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1" s="27" t="str">
        <f>IF(ROW()-3&gt;NumFileColumns,
"",
CONCATENATE(AH230,", ",INDEX(DataColumns[ColumnLabel],ROW()-3)))</f>
        <v/>
      </c>
    </row>
    <row r="232" spans="1:34" x14ac:dyDescent="0.25">
      <c r="A232" s="27">
        <f t="shared" si="6"/>
        <v>229</v>
      </c>
      <c r="D23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&amp;SamplingFeatureID0229 {SamplingFeatureUUID:  "", SamplingFeatureTypeCV:  "Specimen", SamplingFeatureCode:  "1301235", SamplingFeatureName:  "", SamplingFeatureDescription:  "", SamplingFeatureGeotypeCV:  Point, FeatureGeometry:  NULL, Elevation_m:  NULL, ElevationDatumCV:  NULL}</v>
      </c>
      <c r="P23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*SamplingFeatureID0236, SpecimenTypeCV:  "Automated", SpecimenMediumCV:  "536.045681", IsFieldSpecimen:  "TRUE"}</v>
      </c>
      <c r="S23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2" s="27" t="str">
        <f t="shared" si="7"/>
        <v/>
      </c>
      <c r="AF23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2" s="27" t="str">
        <f>IF(ROW()-3&gt;NumFileColumns,
"",
CONCATENATE(AH231,", ",INDEX(DataColumns[ColumnLabel],ROW()-3)))</f>
        <v/>
      </c>
    </row>
    <row r="233" spans="1:34" x14ac:dyDescent="0.25">
      <c r="A233" s="27">
        <f t="shared" si="6"/>
        <v>230</v>
      </c>
      <c r="D23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&amp;SamplingFeatureID0230 {SamplingFeatureUUID:  "", SamplingFeatureTypeCV:  "Specimen", SamplingFeatureCode:  "1301236", SamplingFeatureName:  "", SamplingFeatureDescription:  "", SamplingFeatureGeotypeCV:  Point, FeatureGeometry:  NULL, Elevation_m:  NULL, ElevationDatumCV:  NULL}</v>
      </c>
      <c r="P23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*SamplingFeatureID0237, SpecimenTypeCV:  "Automated", SpecimenMediumCV:  "722.8506051", IsFieldSpecimen:  "TRUE"}</v>
      </c>
      <c r="S23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3" s="27" t="str">
        <f t="shared" si="7"/>
        <v/>
      </c>
      <c r="AF23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3" s="27" t="str">
        <f>IF(ROW()-3&gt;NumFileColumns,
"",
CONCATENATE(AH232,", ",INDEX(DataColumns[ColumnLabel],ROW()-3)))</f>
        <v/>
      </c>
    </row>
    <row r="234" spans="1:34" x14ac:dyDescent="0.25">
      <c r="A234" s="27">
        <f t="shared" si="6"/>
        <v>231</v>
      </c>
      <c r="D23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&amp;SamplingFeatureID0231 {SamplingFeatureUUID:  "", SamplingFeatureTypeCV:  "Specimen", SamplingFeatureCode:  "1301237", SamplingFeatureName:  "", SamplingFeatureDescription:  "", SamplingFeatureGeotypeCV:  Point, FeatureGeometry:  NULL, Elevation_m:  NULL, ElevationDatumCV:  NULL}</v>
      </c>
      <c r="P23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*SamplingFeatureID0238, SpecimenTypeCV:  "Automated", SpecimenMediumCV:  "857.7579578", IsFieldSpecimen:  "TRUE"}</v>
      </c>
      <c r="S23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4" s="27" t="str">
        <f t="shared" si="7"/>
        <v/>
      </c>
      <c r="AF23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4" s="27" t="str">
        <f>IF(ROW()-3&gt;NumFileColumns,
"",
CONCATENATE(AH233,", ",INDEX(DataColumns[ColumnLabel],ROW()-3)))</f>
        <v/>
      </c>
    </row>
    <row r="235" spans="1:34" x14ac:dyDescent="0.25">
      <c r="A235" s="27">
        <f t="shared" si="6"/>
        <v>232</v>
      </c>
      <c r="D23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&amp;SamplingFeatureID0232 {SamplingFeatureUUID:  "", SamplingFeatureTypeCV:  "Specimen", SamplingFeatureCode:  "1301238", SamplingFeatureName:  "", SamplingFeatureDescription:  "", SamplingFeatureGeotypeCV:  Point, FeatureGeometry:  NULL, Elevation_m:  NULL, ElevationDatumCV:  NULL}</v>
      </c>
      <c r="P23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*SamplingFeatureID0239, SpecimenTypeCV:  "Automated", SpecimenMediumCV:  "1071.912788", IsFieldSpecimen:  "TRUE"}</v>
      </c>
      <c r="S23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5" s="27" t="str">
        <f t="shared" si="7"/>
        <v/>
      </c>
      <c r="AF23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5" s="27" t="str">
        <f>IF(ROW()-3&gt;NumFileColumns,
"",
CONCATENATE(AH234,", ",INDEX(DataColumns[ColumnLabel],ROW()-3)))</f>
        <v/>
      </c>
    </row>
    <row r="236" spans="1:34" x14ac:dyDescent="0.25">
      <c r="A236" s="27">
        <f t="shared" si="6"/>
        <v>233</v>
      </c>
      <c r="D23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&amp;SamplingFeatureID0233 {SamplingFeatureUUID:  "", SamplingFeatureTypeCV:  "Specimen", SamplingFeatureCode:  "1301239", SamplingFeatureName:  "", SamplingFeatureDescription:  "", SamplingFeatureGeotypeCV:  Point, FeatureGeometry:  NULL, Elevation_m:  NULL, ElevationDatumCV:  NULL}</v>
      </c>
      <c r="P23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*SamplingFeatureID0240, SpecimenTypeCV:  "Automated", SpecimenMediumCV:  "PLEASE PUT A SPECIMEN MEDIUM IN ROW 233", IsFieldSpecimen:  "TRUE"}</v>
      </c>
      <c r="S23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6" s="27" t="str">
        <f t="shared" si="7"/>
        <v/>
      </c>
      <c r="AF23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6" s="27" t="str">
        <f>IF(ROW()-3&gt;NumFileColumns,
"",
CONCATENATE(AH235,", ",INDEX(DataColumns[ColumnLabel],ROW()-3)))</f>
        <v/>
      </c>
    </row>
    <row r="237" spans="1:34" x14ac:dyDescent="0.25">
      <c r="A237" s="27">
        <f t="shared" si="6"/>
        <v>234</v>
      </c>
      <c r="D23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&amp;SamplingFeatureID0234 {SamplingFeatureUUID:  "", SamplingFeatureTypeCV:  "Specimen", SamplingFeatureCode:  "1301239", SamplingFeatureName:  "", SamplingFeatureDescription:  "", SamplingFeatureGeotypeCV:  Point, FeatureGeometry:  NULL, Elevation_m:  NULL, ElevationDatumCV:  NULL}</v>
      </c>
      <c r="P23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*SamplingFeatureID0241, SpecimenTypeCV:  "Automated", SpecimenMediumCV:  "PLEASE PUT A SPECIMEN MEDIUM IN ROW 234", IsFieldSpecimen:  "TRUE"}</v>
      </c>
      <c r="S23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7" s="27" t="str">
        <f t="shared" si="7"/>
        <v/>
      </c>
      <c r="AF23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7" s="27" t="str">
        <f>IF(ROW()-3&gt;NumFileColumns,
"",
CONCATENATE(AH236,", ",INDEX(DataColumns[ColumnLabel],ROW()-3)))</f>
        <v/>
      </c>
    </row>
    <row r="238" spans="1:34" x14ac:dyDescent="0.25">
      <c r="A238" s="27">
        <f t="shared" si="6"/>
        <v>235</v>
      </c>
      <c r="D23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&amp;SamplingFeatureID0235 {SamplingFeatureUUID:  "", SamplingFeatureTypeCV:  "Specimen", SamplingFeatureCode:  "1301240", SamplingFeatureName:  "", SamplingFeatureDescription:  "", SamplingFeatureGeotypeCV:  Point, FeatureGeometry:  NULL, Elevation_m:  NULL, ElevationDatumCV:  NULL}</v>
      </c>
      <c r="P23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*SamplingFeatureID0242, SpecimenTypeCV:  "Automated", SpecimenMediumCV:  "PLEASE PUT A SPECIMEN MEDIUM IN ROW 235", IsFieldSpecimen:  "TRUE"}</v>
      </c>
      <c r="S23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8" s="27" t="str">
        <f t="shared" si="7"/>
        <v/>
      </c>
      <c r="AF23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8" s="27" t="str">
        <f>IF(ROW()-3&gt;NumFileColumns,
"",
CONCATENATE(AH237,", ",INDEX(DataColumns[ColumnLabel],ROW()-3)))</f>
        <v/>
      </c>
    </row>
    <row r="239" spans="1:34" x14ac:dyDescent="0.25">
      <c r="A239" s="27">
        <f t="shared" si="6"/>
        <v>236</v>
      </c>
      <c r="D23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3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3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3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3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&amp;SamplingFeatureID0236 {SamplingFeatureUUID:  "", SamplingFeatureTypeCV:  "Specimen", SamplingFeatureCode:  "1301241", SamplingFeatureName:  "", SamplingFeatureDescription:  "", SamplingFeatureGeotypeCV:  Point, FeatureGeometry:  NULL, Elevation_m:  NULL, ElevationDatumCV:  NULL}</v>
      </c>
      <c r="P23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3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*SamplingFeatureID0243, SpecimenTypeCV:  "Grab", SpecimenMediumCV:  "PLEASE PUT A SPECIMEN MEDIUM IN ROW 236", IsFieldSpecimen:  "TRUE"}</v>
      </c>
      <c r="S23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3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3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3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3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3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3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3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3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9" s="27" t="str">
        <f t="shared" si="7"/>
        <v/>
      </c>
      <c r="AF23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9" s="27" t="str">
        <f>IF(ROW()-3&gt;NumFileColumns,
"",
CONCATENATE(AH238,", ",INDEX(DataColumns[ColumnLabel],ROW()-3)))</f>
        <v/>
      </c>
    </row>
    <row r="240" spans="1:34" x14ac:dyDescent="0.25">
      <c r="A240" s="27">
        <f t="shared" si="6"/>
        <v>237</v>
      </c>
      <c r="D24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&amp;SamplingFeatureID0237 {SamplingFeatureUUID:  "", SamplingFeatureTypeCV:  "Specimen", SamplingFeatureCode:  "1301242", SamplingFeatureName:  "", SamplingFeatureDescription:  "", SamplingFeatureGeotypeCV:  Point, FeatureGeometry:  NULL, Elevation_m:  NULL, ElevationDatumCV:  NULL}</v>
      </c>
      <c r="P24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*SamplingFeatureID0244, SpecimenTypeCV:  "Grab", SpecimenMediumCV:  "PLEASE PUT A SPECIMEN MEDIUM IN ROW 237", IsFieldSpecimen:  "TRUE"}</v>
      </c>
      <c r="S24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0" s="27" t="str">
        <f t="shared" si="7"/>
        <v/>
      </c>
      <c r="AF24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0" s="27" t="str">
        <f>IF(ROW()-3&gt;NumFileColumns,
"",
CONCATENATE(AH239,", ",INDEX(DataColumns[ColumnLabel],ROW()-3)))</f>
        <v/>
      </c>
    </row>
    <row r="241" spans="1:34" x14ac:dyDescent="0.25">
      <c r="A241" s="27">
        <f t="shared" si="6"/>
        <v>238</v>
      </c>
      <c r="D24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&amp;SamplingFeatureID0238 {SamplingFeatureUUID:  "", SamplingFeatureTypeCV:  "Specimen", SamplingFeatureCode:  "1301243", SamplingFeatureName:  "", SamplingFeatureDescription:  "", SamplingFeatureGeotypeCV:  Point, FeatureGeometry:  NULL, Elevation_m:  NULL, ElevationDatumCV:  NULL}</v>
      </c>
      <c r="P24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*SamplingFeatureID0245, SpecimenTypeCV:  "Grab", SpecimenMediumCV:  "PLEASE PUT A SPECIMEN MEDIUM IN ROW 238", IsFieldSpecimen:  "TRUE"}</v>
      </c>
      <c r="S24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1" s="27" t="str">
        <f t="shared" si="7"/>
        <v/>
      </c>
      <c r="AF24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1" s="27" t="str">
        <f>IF(ROW()-3&gt;NumFileColumns,
"",
CONCATENATE(AH240,", ",INDEX(DataColumns[ColumnLabel],ROW()-3)))</f>
        <v/>
      </c>
    </row>
    <row r="242" spans="1:34" x14ac:dyDescent="0.25">
      <c r="A242" s="27">
        <f t="shared" si="6"/>
        <v>239</v>
      </c>
      <c r="D24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&amp;SamplingFeatureID0239 {SamplingFeatureUUID:  "", SamplingFeatureTypeCV:  "Specimen", SamplingFeatureCode:  "1301244", SamplingFeatureName:  "", SamplingFeatureDescription:  "", SamplingFeatureGeotypeCV:  Point, FeatureGeometry:  NULL, Elevation_m:  NULL, ElevationDatumCV:  NULL}</v>
      </c>
      <c r="P24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*SamplingFeatureID0246, SpecimenTypeCV:  "Grab", SpecimenMediumCV:  "PLEASE PUT A SPECIMEN MEDIUM IN ROW 239", IsFieldSpecimen:  "TRUE"}</v>
      </c>
      <c r="S24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2" s="27" t="str">
        <f t="shared" si="7"/>
        <v/>
      </c>
      <c r="AF24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2" s="27" t="str">
        <f>IF(ROW()-3&gt;NumFileColumns,
"",
CONCATENATE(AH241,", ",INDEX(DataColumns[ColumnLabel],ROW()-3)))</f>
        <v/>
      </c>
    </row>
    <row r="243" spans="1:34" x14ac:dyDescent="0.25">
      <c r="A243" s="27">
        <f t="shared" si="6"/>
        <v>240</v>
      </c>
      <c r="D24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&amp;SamplingFeatureID0240 {SamplingFeatureUUID:  "", SamplingFeatureTypeCV:  "Specimen", SamplingFeatureCode:  "1301251", SamplingFeatureName:  "", SamplingFeatureDescription:  "", SamplingFeatureGeotypeCV:  Point, FeatureGeometry:  NULL, Elevation_m:  NULL, ElevationDatumCV:  NULL}</v>
      </c>
      <c r="P24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*SamplingFeatureID0247, SpecimenTypeCV:  "Grab", SpecimenMediumCV:  "PLEASE PUT A SPECIMEN MEDIUM IN ROW 240", IsFieldSpecimen:  "TRUE"}</v>
      </c>
      <c r="S24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3" s="27" t="str">
        <f t="shared" si="7"/>
        <v/>
      </c>
      <c r="AF24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3" s="27" t="str">
        <f>IF(ROW()-3&gt;NumFileColumns,
"",
CONCATENATE(AH242,", ",INDEX(DataColumns[ColumnLabel],ROW()-3)))</f>
        <v/>
      </c>
    </row>
    <row r="244" spans="1:34" x14ac:dyDescent="0.25">
      <c r="A244" s="27">
        <f t="shared" si="6"/>
        <v>241</v>
      </c>
      <c r="D24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&amp;SamplingFeatureID0241 {SamplingFeatureUUID:  "", SamplingFeatureTypeCV:  "Specimen", SamplingFeatureCode:  "1301252", SamplingFeatureName:  "", SamplingFeatureDescription:  "", SamplingFeatureGeotypeCV:  Point, FeatureGeometry:  NULL, Elevation_m:  NULL, ElevationDatumCV:  NULL}</v>
      </c>
      <c r="P24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*SamplingFeatureID0248, SpecimenTypeCV:  "Grab", SpecimenMediumCV:  "PLEASE PUT A SPECIMEN MEDIUM IN ROW 241", IsFieldSpecimen:  "TRUE"}</v>
      </c>
      <c r="S24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4" s="27" t="str">
        <f t="shared" si="7"/>
        <v/>
      </c>
      <c r="AF24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4" s="27" t="str">
        <f>IF(ROW()-3&gt;NumFileColumns,
"",
CONCATENATE(AH243,", ",INDEX(DataColumns[ColumnLabel],ROW()-3)))</f>
        <v/>
      </c>
    </row>
    <row r="245" spans="1:34" x14ac:dyDescent="0.25">
      <c r="A245" s="27">
        <f t="shared" si="6"/>
        <v>242</v>
      </c>
      <c r="D24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&amp;SamplingFeatureID0242 {SamplingFeatureUUID:  "", SamplingFeatureTypeCV:  "Specimen", SamplingFeatureCode:  "1301253", SamplingFeatureName:  "", SamplingFeatureDescription:  "", SamplingFeatureGeotypeCV:  Point, FeatureGeometry:  NULL, Elevation_m:  NULL, ElevationDatumCV:  NULL}</v>
      </c>
      <c r="P24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*SamplingFeatureID0249, SpecimenTypeCV:  "Grab", SpecimenMediumCV:  "PLEASE PUT A SPECIMEN MEDIUM IN ROW 242", IsFieldSpecimen:  "TRUE"}</v>
      </c>
      <c r="S24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5" s="27" t="str">
        <f t="shared" si="7"/>
        <v/>
      </c>
      <c r="AF24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5" s="27" t="str">
        <f>IF(ROW()-3&gt;NumFileColumns,
"",
CONCATENATE(AH244,", ",INDEX(DataColumns[ColumnLabel],ROW()-3)))</f>
        <v/>
      </c>
    </row>
    <row r="246" spans="1:34" x14ac:dyDescent="0.25">
      <c r="A246" s="27">
        <f t="shared" si="6"/>
        <v>243</v>
      </c>
      <c r="D24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&amp;SamplingFeatureID0243 {SamplingFeatureUUID:  "", SamplingFeatureTypeCV:  "Specimen", SamplingFeatureCode:  "1301419", SamplingFeatureName:  "", SamplingFeatureDescription:  "", SamplingFeatureGeotypeCV:  Point, FeatureGeometry:  NULL, Elevation_m:  NULL, ElevationDatumCV:  NULL}</v>
      </c>
      <c r="P24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*SamplingFeatureID0250, SpecimenTypeCV:  "Grab", SpecimenMediumCV:  "PLEASE PUT A SPECIMEN MEDIUM IN ROW 243", IsFieldSpecimen:  "TRUE"}</v>
      </c>
      <c r="S24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6" s="27" t="str">
        <f t="shared" si="7"/>
        <v/>
      </c>
      <c r="AF24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6" s="27" t="str">
        <f>IF(ROW()-3&gt;NumFileColumns,
"",
CONCATENATE(AH245,", ",INDEX(DataColumns[ColumnLabel],ROW()-3)))</f>
        <v/>
      </c>
    </row>
    <row r="247" spans="1:34" x14ac:dyDescent="0.25">
      <c r="A247" s="27">
        <f t="shared" si="6"/>
        <v>244</v>
      </c>
      <c r="D24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&amp;SamplingFeatureID0244 {SamplingFeatureUUID:  "", SamplingFeatureTypeCV:  "Specimen", SamplingFeatureCode:  "1301417", SamplingFeatureName:  "", SamplingFeatureDescription:  "", SamplingFeatureGeotypeCV:  Point, FeatureGeometry:  NULL, Elevation_m:  NULL, ElevationDatumCV:  NULL}</v>
      </c>
      <c r="P24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*SamplingFeatureID0251, SpecimenTypeCV:  "Grab", SpecimenMediumCV:  "PLEASE PUT A SPECIMEN MEDIUM IN ROW 244", IsFieldSpecimen:  "TRUE"}</v>
      </c>
      <c r="S24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7" s="27" t="str">
        <f t="shared" si="7"/>
        <v/>
      </c>
      <c r="AF24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7" s="27" t="str">
        <f>IF(ROW()-3&gt;NumFileColumns,
"",
CONCATENATE(AH246,", ",INDEX(DataColumns[ColumnLabel],ROW()-3)))</f>
        <v/>
      </c>
    </row>
    <row r="248" spans="1:34" x14ac:dyDescent="0.25">
      <c r="A248" s="27">
        <f t="shared" si="6"/>
        <v>245</v>
      </c>
      <c r="D24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&amp;SamplingFeatureID0245 {SamplingFeatureUUID:  "", SamplingFeatureTypeCV:  "Specimen", SamplingFeatureCode:  "1301418", SamplingFeatureName:  "", SamplingFeatureDescription:  "", SamplingFeatureGeotypeCV:  Point, FeatureGeometry:  NULL, Elevation_m:  NULL, ElevationDatumCV:  NULL}</v>
      </c>
      <c r="P24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*SamplingFeatureID0252, SpecimenTypeCV:  "Grab", SpecimenMediumCV:  "PLEASE PUT A SPECIMEN MEDIUM IN ROW 245", IsFieldSpecimen:  "TRUE"}</v>
      </c>
      <c r="S24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8" s="27" t="str">
        <f t="shared" si="7"/>
        <v/>
      </c>
      <c r="AF24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8" s="27" t="str">
        <f>IF(ROW()-3&gt;NumFileColumns,
"",
CONCATENATE(AH247,", ",INDEX(DataColumns[ColumnLabel],ROW()-3)))</f>
        <v/>
      </c>
    </row>
    <row r="249" spans="1:34" x14ac:dyDescent="0.25">
      <c r="A249" s="27">
        <f t="shared" si="6"/>
        <v>246</v>
      </c>
      <c r="D24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4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4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4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4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&amp;SamplingFeatureID0246 {SamplingFeatureUUID:  "", SamplingFeatureTypeCV:  "Specimen", SamplingFeatureCode:  "1301708", SamplingFeatureName:  "", SamplingFeatureDescription:  "", SamplingFeatureGeotypeCV:  Point, FeatureGeometry:  NULL, Elevation_m:  NULL, ElevationDatumCV:  NULL}</v>
      </c>
      <c r="P24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4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*SamplingFeatureID0253, SpecimenTypeCV:  "Grab", SpecimenMediumCV:  "PLEASE PUT A SPECIMEN MEDIUM IN ROW 246", IsFieldSpecimen:  "TRUE"}</v>
      </c>
      <c r="S24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4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4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4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4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4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4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4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4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9" s="27" t="str">
        <f t="shared" si="7"/>
        <v/>
      </c>
      <c r="AF24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9" s="27" t="str">
        <f>IF(ROW()-3&gt;NumFileColumns,
"",
CONCATENATE(AH248,", ",INDEX(DataColumns[ColumnLabel],ROW()-3)))</f>
        <v/>
      </c>
    </row>
    <row r="250" spans="1:34" x14ac:dyDescent="0.25">
      <c r="A250" s="27">
        <f t="shared" si="6"/>
        <v>247</v>
      </c>
      <c r="D25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&amp;SamplingFeatureID0247 {SamplingFeatureUUID:  "", SamplingFeatureTypeCV:  "Specimen", SamplingFeatureCode:  "1301709", SamplingFeatureName:  "", SamplingFeatureDescription:  "", SamplingFeatureGeotypeCV:  Point, FeatureGeometry:  NULL, Elevation_m:  NULL, ElevationDatumCV:  NULL}</v>
      </c>
      <c r="P25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*SamplingFeatureID0254, SpecimenTypeCV:  "Grab", SpecimenMediumCV:  "PLEASE PUT A SPECIMEN MEDIUM IN ROW 247", IsFieldSpecimen:  "TRUE"}</v>
      </c>
      <c r="S25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0" s="27" t="str">
        <f t="shared" si="7"/>
        <v/>
      </c>
      <c r="AF25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0" s="27" t="str">
        <f>IF(ROW()-3&gt;NumFileColumns,
"",
CONCATENATE(AH249,", ",INDEX(DataColumns[ColumnLabel],ROW()-3)))</f>
        <v/>
      </c>
    </row>
    <row r="251" spans="1:34" x14ac:dyDescent="0.25">
      <c r="A251" s="27">
        <f t="shared" si="6"/>
        <v>248</v>
      </c>
      <c r="D25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&amp;SamplingFeatureID0248 {SamplingFeatureUUID:  "", SamplingFeatureTypeCV:  "Specimen", SamplingFeatureCode:  "1301736", SamplingFeatureName:  "", SamplingFeatureDescription:  "", SamplingFeatureGeotypeCV:  Point, FeatureGeometry:  NULL, Elevation_m:  NULL, ElevationDatumCV:  NULL}</v>
      </c>
      <c r="P25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*SamplingFeatureID0255, SpecimenTypeCV:  "Grab", SpecimenMediumCV:  "PLEASE PUT A SPECIMEN MEDIUM IN ROW 248", IsFieldSpecimen:  "TRUE"}</v>
      </c>
      <c r="S25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1" s="27" t="str">
        <f t="shared" si="7"/>
        <v/>
      </c>
      <c r="AF25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1" s="27" t="str">
        <f>IF(ROW()-3&gt;NumFileColumns,
"",
CONCATENATE(AH250,", ",INDEX(DataColumns[ColumnLabel],ROW()-3)))</f>
        <v/>
      </c>
    </row>
    <row r="252" spans="1:34" x14ac:dyDescent="0.25">
      <c r="A252" s="27">
        <f t="shared" si="6"/>
        <v>249</v>
      </c>
      <c r="D25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&amp;SamplingFeatureID0249 {SamplingFeatureUUID:  "", SamplingFeatureTypeCV:  "Specimen", SamplingFeatureCode:  "1301734", SamplingFeatureName:  "", SamplingFeatureDescription:  "", SamplingFeatureGeotypeCV:  Point, FeatureGeometry:  NULL, Elevation_m:  NULL, ElevationDatumCV:  NULL}</v>
      </c>
      <c r="P25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*SamplingFeatureID0256, SpecimenTypeCV:  "Grab", SpecimenMediumCV:  "PLEASE PUT A SPECIMEN MEDIUM IN ROW 249", IsFieldSpecimen:  "TRUE"}</v>
      </c>
      <c r="S25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2" s="27" t="str">
        <f t="shared" si="7"/>
        <v/>
      </c>
      <c r="AF25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2" s="27" t="str">
        <f>IF(ROW()-3&gt;NumFileColumns,
"",
CONCATENATE(AH251,", ",INDEX(DataColumns[ColumnLabel],ROW()-3)))</f>
        <v/>
      </c>
    </row>
    <row r="253" spans="1:34" x14ac:dyDescent="0.25">
      <c r="A253" s="27">
        <f t="shared" si="6"/>
        <v>250</v>
      </c>
      <c r="D25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&amp;SamplingFeatureID0250 {SamplingFeatureUUID:  "", SamplingFeatureTypeCV:  "Specimen", SamplingFeatureCode:  "1301735", SamplingFeatureName:  "", SamplingFeatureDescription:  "", SamplingFeatureGeotypeCV:  Point, FeatureGeometry:  NULL, Elevation_m:  NULL, ElevationDatumCV:  NULL}</v>
      </c>
      <c r="P25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*SamplingFeatureID0257, SpecimenTypeCV:  "Automated", SpecimenMediumCV:  "PLEASE PUT A SPECIMEN MEDIUM IN ROW 250", IsFieldSpecimen:  "TRUE"}</v>
      </c>
      <c r="S25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3" s="27" t="str">
        <f t="shared" si="7"/>
        <v/>
      </c>
      <c r="AF25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3" s="27" t="str">
        <f>IF(ROW()-3&gt;NumFileColumns,
"",
CONCATENATE(AH252,", ",INDEX(DataColumns[ColumnLabel],ROW()-3)))</f>
        <v/>
      </c>
    </row>
    <row r="254" spans="1:34" x14ac:dyDescent="0.25">
      <c r="A254" s="27">
        <f t="shared" si="6"/>
        <v>251</v>
      </c>
      <c r="D25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&amp;SamplingFeatureID0251 {SamplingFeatureUUID:  "", SamplingFeatureTypeCV:  "Specimen", SamplingFeatureCode:  "1302002", SamplingFeatureName:  "", SamplingFeatureDescription:  "", SamplingFeatureGeotypeCV:  Point, FeatureGeometry:  NULL, Elevation_m:  NULL, ElevationDatumCV:  NULL}</v>
      </c>
      <c r="P25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*SamplingFeatureID0258, SpecimenTypeCV:  "Automated", SpecimenMediumCV:  "PLEASE PUT A SPECIMEN MEDIUM IN ROW 251", IsFieldSpecimen:  "TRUE"}</v>
      </c>
      <c r="S25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4" s="27" t="str">
        <f t="shared" si="7"/>
        <v/>
      </c>
      <c r="AF25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4" s="27" t="str">
        <f>IF(ROW()-3&gt;NumFileColumns,
"",
CONCATENATE(AH253,", ",INDEX(DataColumns[ColumnLabel],ROW()-3)))</f>
        <v/>
      </c>
    </row>
    <row r="255" spans="1:34" x14ac:dyDescent="0.25">
      <c r="A255" s="27">
        <f t="shared" si="6"/>
        <v>252</v>
      </c>
      <c r="D25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&amp;SamplingFeatureID0252 {SamplingFeatureUUID:  "", SamplingFeatureTypeCV:  "Specimen", SamplingFeatureCode:  "1302000", SamplingFeatureName:  "", SamplingFeatureDescription:  "", SamplingFeatureGeotypeCV:  Point, FeatureGeometry:  NULL, Elevation_m:  NULL, ElevationDatumCV:  NULL}</v>
      </c>
      <c r="P25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*SamplingFeatureID0259, SpecimenTypeCV:  "Automated", SpecimenMediumCV:  "PLEASE PUT A SPECIMEN MEDIUM IN ROW 252", IsFieldSpecimen:  "TRUE"}</v>
      </c>
      <c r="S25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5" s="27" t="str">
        <f t="shared" si="7"/>
        <v/>
      </c>
      <c r="AF25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5" s="27" t="str">
        <f>IF(ROW()-3&gt;NumFileColumns,
"",
CONCATENATE(AH254,", ",INDEX(DataColumns[ColumnLabel],ROW()-3)))</f>
        <v/>
      </c>
    </row>
    <row r="256" spans="1:34" x14ac:dyDescent="0.25">
      <c r="A256" s="27">
        <f t="shared" si="6"/>
        <v>253</v>
      </c>
      <c r="D25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&amp;SamplingFeatureID0253 {SamplingFeatureUUID:  "", SamplingFeatureTypeCV:  "Specimen", SamplingFeatureCode:  "1302001", SamplingFeatureName:  "", SamplingFeatureDescription:  "", SamplingFeatureGeotypeCV:  Point, FeatureGeometry:  NULL, Elevation_m:  NULL, ElevationDatumCV:  NULL}</v>
      </c>
      <c r="P25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*SamplingFeatureID0260, SpecimenTypeCV:  "Automated", SpecimenMediumCV:  "PLEASE PUT A SPECIMEN MEDIUM IN ROW 253", IsFieldSpecimen:  "TRUE"}</v>
      </c>
      <c r="S25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6" s="27" t="str">
        <f t="shared" si="7"/>
        <v/>
      </c>
      <c r="AF25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6" s="27" t="str">
        <f>IF(ROW()-3&gt;NumFileColumns,
"",
CONCATENATE(AH255,", ",INDEX(DataColumns[ColumnLabel],ROW()-3)))</f>
        <v/>
      </c>
    </row>
    <row r="257" spans="1:34" x14ac:dyDescent="0.25">
      <c r="A257" s="27">
        <f t="shared" si="6"/>
        <v>254</v>
      </c>
      <c r="D25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&amp;SamplingFeatureID0254 {SamplingFeatureUUID:  "", SamplingFeatureTypeCV:  "Specimen", SamplingFeatureCode:  "1302171", SamplingFeatureName:  "", SamplingFeatureDescription:  "", SamplingFeatureGeotypeCV:  Point, FeatureGeometry:  NULL, Elevation_m:  NULL, ElevationDatumCV:  NULL}</v>
      </c>
      <c r="P25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*SamplingFeatureID0261, SpecimenTypeCV:  "Automated", SpecimenMediumCV:  "PLEASE PUT A SPECIMEN MEDIUM IN ROW 254", IsFieldSpecimen:  "TRUE"}</v>
      </c>
      <c r="S25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7" s="27" t="str">
        <f t="shared" si="7"/>
        <v/>
      </c>
      <c r="AF25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7" s="27" t="str">
        <f>IF(ROW()-3&gt;NumFileColumns,
"",
CONCATENATE(AH256,", ",INDEX(DataColumns[ColumnLabel],ROW()-3)))</f>
        <v/>
      </c>
    </row>
    <row r="258" spans="1:34" x14ac:dyDescent="0.25">
      <c r="A258" s="27">
        <f t="shared" si="6"/>
        <v>255</v>
      </c>
      <c r="D25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&amp;SamplingFeatureID0255 {SamplingFeatureUUID:  "", SamplingFeatureTypeCV:  "Specimen", SamplingFeatureCode:  "1302170", SamplingFeatureName:  "", SamplingFeatureDescription:  "", SamplingFeatureGeotypeCV:  Point, FeatureGeometry:  NULL, Elevation_m:  NULL, ElevationDatumCV:  NULL}</v>
      </c>
      <c r="P25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*SamplingFeatureID0262, SpecimenTypeCV:  "Automated", SpecimenMediumCV:  "PLEASE PUT A SPECIMEN MEDIUM IN ROW 255", IsFieldSpecimen:  "TRUE"}</v>
      </c>
      <c r="S25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8" s="27" t="str">
        <f t="shared" si="7"/>
        <v/>
      </c>
      <c r="AF25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8" s="27" t="str">
        <f>IF(ROW()-3&gt;NumFileColumns,
"",
CONCATENATE(AH257,", ",INDEX(DataColumns[ColumnLabel],ROW()-3)))</f>
        <v/>
      </c>
    </row>
    <row r="259" spans="1:34" x14ac:dyDescent="0.25">
      <c r="A259" s="27">
        <f t="shared" ref="A259:A288" si="8">ROW()-3</f>
        <v>256</v>
      </c>
      <c r="D25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5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5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5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5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&amp;SamplingFeatureID0256 {SamplingFeatureUUID:  "", SamplingFeatureTypeCV:  "Specimen", SamplingFeatureCode:  "1302169", SamplingFeatureName:  "", SamplingFeatureDescription:  "", SamplingFeatureGeotypeCV:  Point, FeatureGeometry:  NULL, Elevation_m:  NULL, ElevationDatumCV:  NULL}</v>
      </c>
      <c r="P25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5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*SamplingFeatureID0263, SpecimenTypeCV:  "Automated", SpecimenMediumCV:  "PLEASE PUT A SPECIMEN MEDIUM IN ROW 256", IsFieldSpecimen:  "TRUE"}</v>
      </c>
      <c r="S25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5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5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5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5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5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5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5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5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9" s="27" t="str">
        <f t="shared" si="7"/>
        <v/>
      </c>
      <c r="AF25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9" s="27" t="str">
        <f>IF(ROW()-3&gt;NumFileColumns,
"",
CONCATENATE(AH258,", ",INDEX(DataColumns[ColumnLabel],ROW()-3)))</f>
        <v/>
      </c>
    </row>
    <row r="260" spans="1:34" x14ac:dyDescent="0.25">
      <c r="A260" s="27">
        <f t="shared" si="8"/>
        <v>257</v>
      </c>
      <c r="D26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&amp;SamplingFeatureID0257 {SamplingFeatureUUID:  "", SamplingFeatureTypeCV:  "Specimen", SamplingFeatureCode:  "1302244", SamplingFeatureName:  "", SamplingFeatureDescription:  "", SamplingFeatureGeotypeCV:  Point, FeatureGeometry:  NULL, Elevation_m:  NULL, ElevationDatumCV:  NULL}</v>
      </c>
      <c r="P26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*SamplingFeatureID0264, SpecimenTypeCV:  "Automated", SpecimenMediumCV:  "PLEASE PUT A SPECIMEN MEDIUM IN ROW 257", IsFieldSpecimen:  "TRUE"}</v>
      </c>
      <c r="S26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0" s="27" t="str">
        <f t="shared" si="7"/>
        <v/>
      </c>
      <c r="AF26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0" s="27" t="str">
        <f>IF(ROW()-3&gt;NumFileColumns,
"",
CONCATENATE(AH259,", ",INDEX(DataColumns[ColumnLabel],ROW()-3)))</f>
        <v/>
      </c>
    </row>
    <row r="261" spans="1:34" x14ac:dyDescent="0.25">
      <c r="A261" s="27">
        <f t="shared" si="8"/>
        <v>258</v>
      </c>
      <c r="D26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&amp;SamplingFeatureID0258 {SamplingFeatureUUID:  "", SamplingFeatureTypeCV:  "Specimen", SamplingFeatureCode:  "1302245", SamplingFeatureName:  "", SamplingFeatureDescription:  "", SamplingFeatureGeotypeCV:  Point, FeatureGeometry:  NULL, Elevation_m:  NULL, ElevationDatumCV:  NULL}</v>
      </c>
      <c r="P26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*SamplingFeatureID0265, SpecimenTypeCV:  "Automated", SpecimenMediumCV:  "PLEASE PUT A SPECIMEN MEDIUM IN ROW 258", IsFieldSpecimen:  "TRUE"}</v>
      </c>
      <c r="S26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1" s="27" t="str">
        <f t="shared" ref="AC261:AC288" si="9">IF(ROW()-3&gt;NumFileColumns,"",
CONCATENATE("  - {DataSetObj: *DataSetID0001, ",
"ResultObj: *ResultID",TEXT(ROW()-3,"0000"),
"}"))</f>
        <v/>
      </c>
      <c r="AF26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1" s="27" t="str">
        <f>IF(ROW()-3&gt;NumFileColumns,
"",
CONCATENATE(AH260,", ",INDEX(DataColumns[ColumnLabel],ROW()-3)))</f>
        <v/>
      </c>
    </row>
    <row r="262" spans="1:34" x14ac:dyDescent="0.25">
      <c r="A262" s="27">
        <f t="shared" si="8"/>
        <v>259</v>
      </c>
      <c r="D26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&amp;SamplingFeatureID0259 {SamplingFeatureUUID:  "", SamplingFeatureTypeCV:  "Specimen", SamplingFeatureCode:  "1302246", SamplingFeatureName:  "", SamplingFeatureDescription:  "", SamplingFeatureGeotypeCV:  Point, FeatureGeometry:  NULL, Elevation_m:  NULL, ElevationDatumCV:  NULL}</v>
      </c>
      <c r="P26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*SamplingFeatureID0266, SpecimenTypeCV:  "Automated", SpecimenMediumCV:  "PLEASE PUT A SPECIMEN MEDIUM IN ROW 259", IsFieldSpecimen:  "TRUE"}</v>
      </c>
      <c r="S26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2" s="27" t="str">
        <f t="shared" si="9"/>
        <v/>
      </c>
      <c r="AF26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2" s="27" t="str">
        <f>IF(ROW()-3&gt;NumFileColumns,
"",
CONCATENATE(AH261,", ",INDEX(DataColumns[ColumnLabel],ROW()-3)))</f>
        <v/>
      </c>
    </row>
    <row r="263" spans="1:34" x14ac:dyDescent="0.25">
      <c r="A263" s="27">
        <f t="shared" si="8"/>
        <v>260</v>
      </c>
      <c r="D26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&amp;SamplingFeatureID0260 {SamplingFeatureUUID:  "", SamplingFeatureTypeCV:  "Specimen", SamplingFeatureCode:  "1302247", SamplingFeatureName:  "", SamplingFeatureDescription:  "", SamplingFeatureGeotypeCV:  Point, FeatureGeometry:  NULL, Elevation_m:  NULL, ElevationDatumCV:  NULL}</v>
      </c>
      <c r="P26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*SamplingFeatureID0267, SpecimenTypeCV:  "Automated", SpecimenMediumCV:  "PLEASE PUT A SPECIMEN MEDIUM IN ROW 260", IsFieldSpecimen:  "TRUE"}</v>
      </c>
      <c r="S26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3" s="27" t="str">
        <f t="shared" si="9"/>
        <v/>
      </c>
      <c r="AF26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3" s="27" t="str">
        <f>IF(ROW()-3&gt;NumFileColumns,
"",
CONCATENATE(AH262,", ",INDEX(DataColumns[ColumnLabel],ROW()-3)))</f>
        <v/>
      </c>
    </row>
    <row r="264" spans="1:34" x14ac:dyDescent="0.25">
      <c r="A264" s="27">
        <f t="shared" si="8"/>
        <v>261</v>
      </c>
      <c r="D26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&amp;SamplingFeatureID0261 {SamplingFeatureUUID:  "", SamplingFeatureTypeCV:  "Specimen", SamplingFeatureCode:  "1302248", SamplingFeatureName:  "", SamplingFeatureDescription:  "", SamplingFeatureGeotypeCV:  Point, FeatureGeometry:  NULL, Elevation_m:  NULL, ElevationDatumCV:  NULL}</v>
      </c>
      <c r="P26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*SamplingFeatureID0268, SpecimenTypeCV:  "Automated", SpecimenMediumCV:  "PLEASE PUT A SPECIMEN MEDIUM IN ROW 261", IsFieldSpecimen:  "TRUE"}</v>
      </c>
      <c r="S26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4" s="27" t="str">
        <f t="shared" si="9"/>
        <v/>
      </c>
      <c r="AF26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4" s="27" t="str">
        <f>IF(ROW()-3&gt;NumFileColumns,
"",
CONCATENATE(AH263,", ",INDEX(DataColumns[ColumnLabel],ROW()-3)))</f>
        <v/>
      </c>
    </row>
    <row r="265" spans="1:34" x14ac:dyDescent="0.25">
      <c r="A265" s="27">
        <f t="shared" si="8"/>
        <v>262</v>
      </c>
      <c r="D26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&amp;SamplingFeatureID0262 {SamplingFeatureUUID:  "", SamplingFeatureTypeCV:  "Specimen", SamplingFeatureCode:  "1302249", SamplingFeatureName:  "", SamplingFeatureDescription:  "", SamplingFeatureGeotypeCV:  Point, FeatureGeometry:  NULL, Elevation_m:  NULL, ElevationDatumCV:  NULL}</v>
      </c>
      <c r="P26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*SamplingFeatureID0269, SpecimenTypeCV:  "Automated", SpecimenMediumCV:  "PLEASE PUT A SPECIMEN MEDIUM IN ROW 262", IsFieldSpecimen:  "TRUE"}</v>
      </c>
      <c r="S26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5" s="27" t="str">
        <f t="shared" si="9"/>
        <v/>
      </c>
      <c r="AF26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5" s="27" t="str">
        <f>IF(ROW()-3&gt;NumFileColumns,
"",
CONCATENATE(AH264,", ",INDEX(DataColumns[ColumnLabel],ROW()-3)))</f>
        <v/>
      </c>
    </row>
    <row r="266" spans="1:34" x14ac:dyDescent="0.25">
      <c r="A266" s="27">
        <f t="shared" si="8"/>
        <v>263</v>
      </c>
      <c r="D26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&amp;SamplingFeatureID0263 {SamplingFeatureUUID:  "", SamplingFeatureTypeCV:  "Specimen", SamplingFeatureCode:  "1302250", SamplingFeatureName:  "", SamplingFeatureDescription:  "", SamplingFeatureGeotypeCV:  Point, FeatureGeometry:  NULL, Elevation_m:  NULL, ElevationDatumCV:  NULL}</v>
      </c>
      <c r="P26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*SamplingFeatureID0270, SpecimenTypeCV:  "Automated", SpecimenMediumCV:  "PLEASE PUT A SPECIMEN MEDIUM IN ROW 263", IsFieldSpecimen:  "TRUE"}</v>
      </c>
      <c r="S26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6" s="27" t="str">
        <f t="shared" si="9"/>
        <v/>
      </c>
      <c r="AF26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6" s="27" t="str">
        <f>IF(ROW()-3&gt;NumFileColumns,
"",
CONCATENATE(AH265,", ",INDEX(DataColumns[ColumnLabel],ROW()-3)))</f>
        <v/>
      </c>
    </row>
    <row r="267" spans="1:34" x14ac:dyDescent="0.25">
      <c r="A267" s="27">
        <f t="shared" si="8"/>
        <v>264</v>
      </c>
      <c r="D26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&amp;SamplingFeatureID0264 {SamplingFeatureUUID:  "", SamplingFeatureTypeCV:  "Specimen", SamplingFeatureCode:  "1302251", SamplingFeatureName:  "", SamplingFeatureDescription:  "", SamplingFeatureGeotypeCV:  Point, FeatureGeometry:  NULL, Elevation_m:  NULL, ElevationDatumCV:  NULL}</v>
      </c>
      <c r="P26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*SamplingFeatureID0271, SpecimenTypeCV:  "Automated", SpecimenMediumCV:  "PLEASE PUT A SPECIMEN MEDIUM IN ROW 264", IsFieldSpecimen:  "TRUE"}</v>
      </c>
      <c r="S26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7" s="27" t="str">
        <f t="shared" si="9"/>
        <v/>
      </c>
      <c r="AF26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7" s="27" t="str">
        <f>IF(ROW()-3&gt;NumFileColumns,
"",
CONCATENATE(AH266,", ",INDEX(DataColumns[ColumnLabel],ROW()-3)))</f>
        <v/>
      </c>
    </row>
    <row r="268" spans="1:34" x14ac:dyDescent="0.25">
      <c r="A268" s="27">
        <f t="shared" si="8"/>
        <v>265</v>
      </c>
      <c r="D26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&amp;SamplingFeatureID0265 {SamplingFeatureUUID:  "", SamplingFeatureTypeCV:  "Specimen", SamplingFeatureCode:  "1302252", SamplingFeatureName:  "", SamplingFeatureDescription:  "", SamplingFeatureGeotypeCV:  Point, FeatureGeometry:  NULL, Elevation_m:  NULL, ElevationDatumCV:  NULL}</v>
      </c>
      <c r="P26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*SamplingFeatureID0272, SpecimenTypeCV:  "Automated", SpecimenMediumCV:  "PLEASE PUT A SPECIMEN MEDIUM IN ROW 265", IsFieldSpecimen:  "TRUE"}</v>
      </c>
      <c r="S26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8" s="27" t="str">
        <f t="shared" si="9"/>
        <v/>
      </c>
      <c r="AF26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8" s="27" t="str">
        <f>IF(ROW()-3&gt;NumFileColumns,
"",
CONCATENATE(AH267,", ",INDEX(DataColumns[ColumnLabel],ROW()-3)))</f>
        <v/>
      </c>
    </row>
    <row r="269" spans="1:34" x14ac:dyDescent="0.25">
      <c r="A269" s="27">
        <f t="shared" si="8"/>
        <v>266</v>
      </c>
      <c r="D26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6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6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6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6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&amp;SamplingFeatureID0266 {SamplingFeatureUUID:  "", SamplingFeatureTypeCV:  "Specimen", SamplingFeatureCode:  "1302253", SamplingFeatureName:  "", SamplingFeatureDescription:  "", SamplingFeatureGeotypeCV:  Point, FeatureGeometry:  NULL, Elevation_m:  NULL, ElevationDatumCV:  NULL}</v>
      </c>
      <c r="P26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6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*SamplingFeatureID0273, SpecimenTypeCV:  "Automated", SpecimenMediumCV:  "PLEASE PUT A SPECIMEN MEDIUM IN ROW 266", IsFieldSpecimen:  "TRUE"}</v>
      </c>
      <c r="S26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6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6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6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6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6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6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6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6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9" s="27" t="str">
        <f t="shared" si="9"/>
        <v/>
      </c>
      <c r="AF26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9" s="27" t="str">
        <f>IF(ROW()-3&gt;NumFileColumns,
"",
CONCATENATE(AH268,", ",INDEX(DataColumns[ColumnLabel],ROW()-3)))</f>
        <v/>
      </c>
    </row>
    <row r="270" spans="1:34" x14ac:dyDescent="0.25">
      <c r="A270" s="27">
        <f t="shared" si="8"/>
        <v>267</v>
      </c>
      <c r="D27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&amp;SamplingFeatureID0267 {SamplingFeatureUUID:  "", SamplingFeatureTypeCV:  "Specimen", SamplingFeatureCode:  "1302316", SamplingFeatureName:  "", SamplingFeatureDescription:  "", SamplingFeatureGeotypeCV:  Point, FeatureGeometry:  NULL, Elevation_m:  NULL, ElevationDatumCV:  NULL}</v>
      </c>
      <c r="P27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*SamplingFeatureID0274, SpecimenTypeCV:  "Automated", SpecimenMediumCV:  "PLEASE PUT A SPECIMEN MEDIUM IN ROW 267", IsFieldSpecimen:  "TRUE"}</v>
      </c>
      <c r="S27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0" s="27" t="str">
        <f t="shared" si="9"/>
        <v/>
      </c>
      <c r="AF27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0" s="27" t="str">
        <f>IF(ROW()-3&gt;NumFileColumns,
"",
CONCATENATE(AH269,", ",INDEX(DataColumns[ColumnLabel],ROW()-3)))</f>
        <v/>
      </c>
    </row>
    <row r="271" spans="1:34" x14ac:dyDescent="0.25">
      <c r="A271" s="27">
        <f t="shared" si="8"/>
        <v>268</v>
      </c>
      <c r="D27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&amp;SamplingFeatureID0268 {SamplingFeatureUUID:  "", SamplingFeatureTypeCV:  "Specimen", SamplingFeatureCode:  "1302317", SamplingFeatureName:  "", SamplingFeatureDescription:  "", SamplingFeatureGeotypeCV:  Point, FeatureGeometry:  NULL, Elevation_m:  NULL, ElevationDatumCV:  NULL}</v>
      </c>
      <c r="P27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*SamplingFeatureID0275, SpecimenTypeCV:  "Automated", SpecimenMediumCV:  "PLEASE PUT A SPECIMEN MEDIUM IN ROW 268", IsFieldSpecimen:  "TRUE"}</v>
      </c>
      <c r="S27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1" s="27" t="str">
        <f t="shared" si="9"/>
        <v/>
      </c>
      <c r="AF27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1" s="27" t="str">
        <f>IF(ROW()-3&gt;NumFileColumns,
"",
CONCATENATE(AH270,", ",INDEX(DataColumns[ColumnLabel],ROW()-3)))</f>
        <v/>
      </c>
    </row>
    <row r="272" spans="1:34" x14ac:dyDescent="0.25">
      <c r="A272" s="27">
        <f t="shared" si="8"/>
        <v>269</v>
      </c>
      <c r="D27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&amp;SamplingFeatureID0269 {SamplingFeatureUUID:  "", SamplingFeatureTypeCV:  "Specimen", SamplingFeatureCode:  "1302318", SamplingFeatureName:  "", SamplingFeatureDescription:  "", SamplingFeatureGeotypeCV:  Point, FeatureGeometry:  NULL, Elevation_m:  NULL, ElevationDatumCV:  NULL}</v>
      </c>
      <c r="P27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*SamplingFeatureID0276, SpecimenTypeCV:  "Automated", SpecimenMediumCV:  "PLEASE PUT A SPECIMEN MEDIUM IN ROW 269", IsFieldSpecimen:  "TRUE"}</v>
      </c>
      <c r="S27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2" s="27" t="str">
        <f t="shared" si="9"/>
        <v/>
      </c>
      <c r="AF27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2" s="27" t="str">
        <f>IF(ROW()-3&gt;NumFileColumns,
"",
CONCATENATE(AH271,", ",INDEX(DataColumns[ColumnLabel],ROW()-3)))</f>
        <v/>
      </c>
    </row>
    <row r="273" spans="1:34" x14ac:dyDescent="0.25">
      <c r="A273" s="27">
        <f t="shared" si="8"/>
        <v>270</v>
      </c>
      <c r="D27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&amp;SamplingFeatureID0270 {SamplingFeatureUUID:  "", SamplingFeatureTypeCV:  "Specimen", SamplingFeatureCode:  "1302320", SamplingFeatureName:  "", SamplingFeatureDescription:  "", SamplingFeatureGeotypeCV:  Point, FeatureGeometry:  NULL, Elevation_m:  NULL, ElevationDatumCV:  NULL}</v>
      </c>
      <c r="P273"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*SamplingFeatureID0277, SpecimenTypeCV:  "Automated", SpecimenMediumCV:  "PLEASE PUT A SPECIMEN MEDIUM IN ROW 270", IsFieldSpecimen:  "TRUE"}</v>
      </c>
      <c r="S27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3" s="27" t="str">
        <f t="shared" si="9"/>
        <v/>
      </c>
      <c r="AF27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3" s="27" t="str">
        <f>IF(ROW()-3&gt;NumFileColumns,
"",
CONCATENATE(AH272,", ",INDEX(DataColumns[ColumnLabel],ROW()-3)))</f>
        <v/>
      </c>
    </row>
    <row r="274" spans="1:34" x14ac:dyDescent="0.25">
      <c r="A274" s="27">
        <f t="shared" si="8"/>
        <v>271</v>
      </c>
      <c r="D27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&amp;SamplingFeatureID0271 {SamplingFeatureUUID:  "", SamplingFeatureTypeCV:  "Specimen", SamplingFeatureCode:  "1302321", SamplingFeatureName:  "", SamplingFeatureDescription:  "", SamplingFeatureGeotypeCV:  Point, FeatureGeometry:  NULL, Elevation_m:  NULL, ElevationDatumCV:  NULL}</v>
      </c>
      <c r="P274"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*SamplingFeatureID0278, SpecimenTypeCV:  "Grab", SpecimenMediumCV:  "PLEASE PUT A SPECIMEN MEDIUM IN ROW 271", IsFieldSpecimen:  "TRUE"}</v>
      </c>
      <c r="S27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4" s="27" t="str">
        <f t="shared" si="9"/>
        <v/>
      </c>
      <c r="AF27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4" s="27" t="str">
        <f>IF(ROW()-3&gt;NumFileColumns,
"",
CONCATENATE(AH273,", ",INDEX(DataColumns[ColumnLabel],ROW()-3)))</f>
        <v/>
      </c>
    </row>
    <row r="275" spans="1:34" x14ac:dyDescent="0.25">
      <c r="A275" s="27">
        <f t="shared" si="8"/>
        <v>272</v>
      </c>
      <c r="D27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&amp;SamplingFeatureID0272 {SamplingFeatureUUID:  "", SamplingFeatureTypeCV:  "Specimen", SamplingFeatureCode:  "1302322", SamplingFeatureName:  "", SamplingFeatureDescription:  "", SamplingFeatureGeotypeCV:  Point, FeatureGeometry:  NULL, Elevation_m:  NULL, ElevationDatumCV:  NULL}</v>
      </c>
      <c r="P275"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*SamplingFeatureID0279, SpecimenTypeCV:  "Grab", SpecimenMediumCV:  "PLEASE PUT A SPECIMEN MEDIUM IN ROW 272", IsFieldSpecimen:  "TRUE"}</v>
      </c>
      <c r="S27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5" s="27" t="str">
        <f t="shared" si="9"/>
        <v/>
      </c>
      <c r="AF27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5" s="27" t="str">
        <f>IF(ROW()-3&gt;NumFileColumns,
"",
CONCATENATE(AH274,", ",INDEX(DataColumns[ColumnLabel],ROW()-3)))</f>
        <v/>
      </c>
    </row>
    <row r="276" spans="1:34" x14ac:dyDescent="0.25">
      <c r="A276" s="27">
        <f t="shared" si="8"/>
        <v>273</v>
      </c>
      <c r="D27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&amp;SamplingFeatureID0273 {SamplingFeatureUUID:  "", SamplingFeatureTypeCV:  "Specimen", SamplingFeatureCode:  "1302323", SamplingFeatureName:  "", SamplingFeatureDescription:  "", SamplingFeatureGeotypeCV:  Point, FeatureGeometry:  NULL, Elevation_m:  NULL, ElevationDatumCV:  NULL}</v>
      </c>
      <c r="P276"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*SamplingFeatureID0280, SpecimenTypeCV:  "Grab", SpecimenMediumCV:  "PLEASE PUT A SPECIMEN MEDIUM IN ROW 273", IsFieldSpecimen:  "TRUE"}</v>
      </c>
      <c r="S27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6" s="27" t="str">
        <f t="shared" si="9"/>
        <v/>
      </c>
      <c r="AF27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6" s="27" t="str">
        <f>IF(ROW()-3&gt;NumFileColumns,
"",
CONCATENATE(AH275,", ",INDEX(DataColumns[ColumnLabel],ROW()-3)))</f>
        <v/>
      </c>
    </row>
    <row r="277" spans="1:34" x14ac:dyDescent="0.25">
      <c r="A277" s="27">
        <f t="shared" si="8"/>
        <v>274</v>
      </c>
      <c r="D27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&amp;SamplingFeatureID0274 {SamplingFeatureUUID:  "", SamplingFeatureTypeCV:  "Specimen", SamplingFeatureCode:  "1302324", SamplingFeatureName:  "", SamplingFeatureDescription:  "", SamplingFeatureGeotypeCV:  Point, FeatureGeometry:  NULL, Elevation_m:  NULL, ElevationDatumCV:  NULL}</v>
      </c>
      <c r="P277"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*SamplingFeatureID0281, SpecimenTypeCV:  "Grab", SpecimenMediumCV:  "PLEASE PUT A SPECIMEN MEDIUM IN ROW 274", IsFieldSpecimen:  "TRUE"}</v>
      </c>
      <c r="S27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7" s="27" t="str">
        <f t="shared" si="9"/>
        <v/>
      </c>
      <c r="AF27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7" s="27" t="str">
        <f>IF(ROW()-3&gt;NumFileColumns,
"",
CONCATENATE(AH276,", ",INDEX(DataColumns[ColumnLabel],ROW()-3)))</f>
        <v/>
      </c>
    </row>
    <row r="278" spans="1:34" x14ac:dyDescent="0.25">
      <c r="A278" s="27">
        <f t="shared" si="8"/>
        <v>275</v>
      </c>
      <c r="D27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&amp;SamplingFeatureID0275 {SamplingFeatureUUID:  "", SamplingFeatureTypeCV:  "Specimen", SamplingFeatureCode:  "1302319", SamplingFeatureName:  "", SamplingFeatureDescription:  "", SamplingFeatureGeotypeCV:  Point, FeatureGeometry:  NULL, Elevation_m:  NULL, ElevationDatumCV:  NULL}</v>
      </c>
      <c r="P278"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*SamplingFeatureID0282, SpecimenTypeCV:  "Grab", SpecimenMediumCV:  "PLEASE PUT A SPECIMEN MEDIUM IN ROW 275", IsFieldSpecimen:  "TRUE"}</v>
      </c>
      <c r="S27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8" s="27" t="str">
        <f t="shared" si="9"/>
        <v/>
      </c>
      <c r="AF27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8" s="27" t="str">
        <f>IF(ROW()-3&gt;NumFileColumns,
"",
CONCATENATE(AH277,", ",INDEX(DataColumns[ColumnLabel],ROW()-3)))</f>
        <v/>
      </c>
    </row>
    <row r="279" spans="1:34" x14ac:dyDescent="0.25">
      <c r="A279" s="27">
        <f t="shared" si="8"/>
        <v>276</v>
      </c>
      <c r="D279"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79"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7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9"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79"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79"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&amp;SamplingFeatureID0276 {SamplingFeatureUUID:  "", SamplingFeatureTypeCV:  "Specimen", SamplingFeatureCode:  "1302325", SamplingFeatureName:  "", SamplingFeatureDescription:  "", SamplingFeatureGeotypeCV:  Point, FeatureGeometry:  NULL, Elevation_m:  NULL, ElevationDatumCV:  NULL}</v>
      </c>
      <c r="P279"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7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9"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*SamplingFeatureID0283, SpecimenTypeCV:  "Grab", SpecimenMediumCV:  "PLEASE PUT A SPECIMEN MEDIUM IN ROW 276", IsFieldSpecimen:  "TRUE"}</v>
      </c>
      <c r="S279"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79"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79"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79"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79"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79"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79"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79"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79"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9" s="27" t="str">
        <f t="shared" si="9"/>
        <v/>
      </c>
      <c r="AF27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9"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9" s="27" t="str">
        <f>IF(ROW()-3&gt;NumFileColumns,
"",
CONCATENATE(AH278,", ",INDEX(DataColumns[ColumnLabel],ROW()-3)))</f>
        <v/>
      </c>
    </row>
    <row r="280" spans="1:34" x14ac:dyDescent="0.25">
      <c r="A280" s="27">
        <f t="shared" si="8"/>
        <v>277</v>
      </c>
      <c r="D280"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0"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0"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0"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0"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&amp;SamplingFeatureID0277 {SamplingFeatureUUID:  "", SamplingFeatureTypeCV:  "Specimen", SamplingFeatureCode:  "1302326", SamplingFeatureName:  "", SamplingFeatureDescription:  "", SamplingFeatureGeotypeCV:  Point, FeatureGeometry:  NULL, Elevation_m:  NULL, ElevationDatumCV:  NULL}</v>
      </c>
      <c r="P280"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8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0"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*SamplingFeatureID0284, SpecimenTypeCV:  "Grab", SpecimenMediumCV:  "PLEASE PUT A SPECIMEN MEDIUM IN ROW 277", IsFieldSpecimen:  "TRUE"}</v>
      </c>
      <c r="S280"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0"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0"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0"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0"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0"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0"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0"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0"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0" s="27" t="str">
        <f t="shared" si="9"/>
        <v/>
      </c>
      <c r="AF28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0"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0" s="27" t="str">
        <f>IF(ROW()-3&gt;NumFileColumns,
"",
CONCATENATE(AH279,", ",INDEX(DataColumns[ColumnLabel],ROW()-3)))</f>
        <v/>
      </c>
    </row>
    <row r="281" spans="1:34" x14ac:dyDescent="0.25">
      <c r="A281" s="27">
        <f t="shared" si="8"/>
        <v>278</v>
      </c>
      <c r="D281"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1"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1"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1"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1"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&amp;SamplingFeatureID0278 {SamplingFeatureUUID:  "", SamplingFeatureTypeCV:  "Specimen", SamplingFeatureCode:  "1302331", SamplingFeatureName:  "", SamplingFeatureDescription:  "", SamplingFeatureGeotypeCV:  Point, FeatureGeometry:  NULL, Elevation_m:  NULL, ElevationDatumCV:  NULL}</v>
      </c>
      <c r="P281"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8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1"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*SamplingFeatureID0285, SpecimenTypeCV:  "Grab", SpecimenMediumCV:  "PLEASE PUT A SPECIMEN MEDIUM IN ROW 278", IsFieldSpecimen:  "TRUE"}</v>
      </c>
      <c r="S281"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1"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1"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1"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1"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1"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1"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1"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1"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1" s="27" t="str">
        <f t="shared" si="9"/>
        <v/>
      </c>
      <c r="AF28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1"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1" s="27" t="str">
        <f>IF(ROW()-3&gt;NumFileColumns,
"",
CONCATENATE(AH280,", ",INDEX(DataColumns[ColumnLabel],ROW()-3)))</f>
        <v/>
      </c>
    </row>
    <row r="282" spans="1:34" x14ac:dyDescent="0.25">
      <c r="A282" s="27">
        <f t="shared" si="8"/>
        <v>279</v>
      </c>
      <c r="D282"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2"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2"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2"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2"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&amp;SamplingFeatureID0279 {SamplingFeatureUUID:  "", SamplingFeatureTypeCV:  "Specimen", SamplingFeatureCode:  "1302332", SamplingFeatureName:  "", SamplingFeatureDescription:  "", SamplingFeatureGeotypeCV:  Point, FeatureGeometry:  NULL, Elevation_m:  NULL, ElevationDatumCV:  NULL}</v>
      </c>
      <c r="P282" s="27" t="e">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#N/A</v>
      </c>
      <c r="Q28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2"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*SamplingFeatureID0286, SpecimenTypeCV:  "PLEASE PUT A SPECIMEN TYPE IN ROW 279", SpecimenMediumCV:  "PLEASE PUT A SPECIMEN MEDIUM IN ROW 279", IsFieldSpecimen:  "PLEASE SAY IF THE SPECIMEN IN ROW 279 IS A FIELD SPECIMEN"}</v>
      </c>
      <c r="S282"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2"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2"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2"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2"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2"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2"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2"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2"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2" s="27" t="str">
        <f t="shared" si="9"/>
        <v/>
      </c>
      <c r="AF28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2"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2" s="27" t="str">
        <f>IF(ROW()-3&gt;NumFileColumns,
"",
CONCATENATE(AH281,", ",INDEX(DataColumns[ColumnLabel],ROW()-3)))</f>
        <v/>
      </c>
    </row>
    <row r="283" spans="1:34" x14ac:dyDescent="0.25">
      <c r="A283" s="27">
        <f t="shared" si="8"/>
        <v>280</v>
      </c>
      <c r="D283"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3"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3"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3"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3"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&amp;SamplingFeatureID0280 {SamplingFeatureUUID:  "", SamplingFeatureTypeCV:  "Specimen", SamplingFeatureCode:  "1302520", SamplingFeatureName:  "", SamplingFeatureDescription:  "", SamplingFeatureGeotypeCV:  Point, FeatureGeometry:  NULL, Elevation_m:  NULL, ElevationDatumCV:  NULL}</v>
      </c>
      <c r="P283"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3"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3"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3"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3"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3"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3"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3"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3"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3"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3"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3" s="27" t="str">
        <f t="shared" si="9"/>
        <v/>
      </c>
      <c r="AF28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3"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3" s="27" t="str">
        <f>IF(ROW()-3&gt;NumFileColumns,
"",
CONCATENATE(AH282,", ",INDEX(DataColumns[ColumnLabel],ROW()-3)))</f>
        <v/>
      </c>
    </row>
    <row r="284" spans="1:34" x14ac:dyDescent="0.25">
      <c r="A284" s="27">
        <f t="shared" si="8"/>
        <v>281</v>
      </c>
      <c r="D284"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4"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4"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4"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4"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&amp;SamplingFeatureID0281 {SamplingFeatureUUID:  "", SamplingFeatureTypeCV:  "Specimen", SamplingFeatureCode:  "1302519", SamplingFeatureName:  "", SamplingFeatureDescription:  "", SamplingFeatureGeotypeCV:  Point, FeatureGeometry:  NULL, Elevation_m:  NULL, ElevationDatumCV:  NULL}</v>
      </c>
      <c r="P284"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4"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4"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4"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4"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4"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4"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4"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4"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4"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4"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4" s="27" t="str">
        <f t="shared" si="9"/>
        <v/>
      </c>
      <c r="AF28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4"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4" s="27" t="str">
        <f>IF(ROW()-3&gt;NumFileColumns,
"",
CONCATENATE(AH283,", ",INDEX(DataColumns[ColumnLabel],ROW()-3)))</f>
        <v/>
      </c>
    </row>
    <row r="285" spans="1:34" x14ac:dyDescent="0.25">
      <c r="A285" s="27">
        <f t="shared" si="8"/>
        <v>282</v>
      </c>
      <c r="D285"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5"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5"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5"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5"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&amp;SamplingFeatureID0282 {SamplingFeatureUUID:  "", SamplingFeatureTypeCV:  "Specimen", SamplingFeatureCode:  "1302518", SamplingFeatureName:  "", SamplingFeatureDescription:  "", SamplingFeatureGeotypeCV:  Point, FeatureGeometry:  NULL, Elevation_m:  NULL, ElevationDatumCV:  NULL}</v>
      </c>
      <c r="P285"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5"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5"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5"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5"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5"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5"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5"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5"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5"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5"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5" s="27" t="str">
        <f t="shared" si="9"/>
        <v/>
      </c>
      <c r="AF28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5"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5" s="27" t="str">
        <f>IF(ROW()-3&gt;NumFileColumns,
"",
CONCATENATE(AH284,", ",INDEX(DataColumns[ColumnLabel],ROW()-3)))</f>
        <v/>
      </c>
    </row>
    <row r="286" spans="1:34" x14ac:dyDescent="0.25">
      <c r="A286" s="27">
        <f t="shared" si="8"/>
        <v>283</v>
      </c>
      <c r="D286"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6"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6"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6"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6"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&amp;SamplingFeatureID0283 {SamplingFeatureUUID:  "", SamplingFeatureTypeCV:  "Specimen", SamplingFeatureCode:  "1302790", SamplingFeatureName:  "", SamplingFeatureDescription:  "", SamplingFeatureGeotypeCV:  Point, FeatureGeometry:  NULL, Elevation_m:  NULL, ElevationDatumCV:  NULL}</v>
      </c>
      <c r="P286"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6"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6"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6"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6"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6"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6"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6"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6"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6"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6"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6" s="27" t="str">
        <f t="shared" si="9"/>
        <v/>
      </c>
      <c r="AF28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6"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6" s="27" t="str">
        <f>IF(ROW()-3&gt;NumFileColumns,
"",
CONCATENATE(AH285,", ",INDEX(DataColumns[ColumnLabel],ROW()-3)))</f>
        <v/>
      </c>
    </row>
    <row r="287" spans="1:34" x14ac:dyDescent="0.25">
      <c r="A287" s="27">
        <f t="shared" si="8"/>
        <v>284</v>
      </c>
      <c r="D287"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7"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7"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7"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7"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&amp;SamplingFeatureID0284 {SamplingFeatureUUID:  "", SamplingFeatureTypeCV:  "Specimen", SamplingFeatureCode:  "1302789", SamplingFeatureName:  "", SamplingFeatureDescription:  "", SamplingFeatureGeotypeCV:  Point, FeatureGeometry:  NULL, Elevation_m:  NULL, ElevationDatumCV:  NULL}</v>
      </c>
      <c r="P287"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7"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7"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7"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7"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7"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7"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7"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7"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7"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7"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7" s="27" t="str">
        <f t="shared" si="9"/>
        <v/>
      </c>
      <c r="AF28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7"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7" s="27" t="str">
        <f>IF(ROW()-3&gt;NumFileColumns,
"",
CONCATENATE(AH286,", ",INDEX(DataColumns[ColumnLabel],ROW()-3)))</f>
        <v/>
      </c>
    </row>
    <row r="288" spans="1:34" x14ac:dyDescent="0.25">
      <c r="A288" s="27">
        <f t="shared" si="8"/>
        <v>285</v>
      </c>
      <c r="D288" s="27"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288" s="27"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28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8" s="27"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288" s="27"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288" s="27" t="str">
        <f>IF(ROW()-3&gt;NumParentSamplingFeatures+NumSpecimens,"",
IF(ROW()-3&gt;NumParentSamplingFeatures,
CONCATENATE("  - &amp;SamplingFeatureID",TEXT(ROW()-3,"0000"),
" {","SamplingFeatureUUID:  ",CHAR(34),IFERROR(INDIRECT(CONCATENATE("'Data Values'!R",ROW()-2-NumParentSamplingFeatures,"C",MATCH("SpecimenUUID",DataColumns[ColumnType],0)),FALSE),""),CHAR(34),
", SamplingFeatureTypeCV:  ",CHAR(34),"Specimen",CHAR(34),
", SamplingFeatureCode:  ",CHAR(34),IF(ISERROR(SpecimenColumnNumber),"PLEASE SELECT A COLUMN FOR THE SPECIMEN CODE",IF(INDIRECT(CONCATENATE("'Data Values'!R",ROW()-2-NumParentSamplingFeatures,"C",SpecimenColumnNumber),FALSE)&lt;&gt;"",INDIRECT(CONCATENATE("'Data Values'!R",ROW()-2-NumParentSamplingFeatures,"C",SpecimenColumnNumber),FALSE),CONCATENATE("PLEASE PUT A SPECIMEN CODE IN ROW ",ROW()-2-NumParentSamplingFeatures))),CHAR(34),
", SamplingFeatureName:  ",CHAR(34),IFERROR(INDIRECT(CONCATENATE("'Data Values'!R",ROW()-2-NumParentSamplingFeatures,"C",MATCH("SpecimenName",DataColumns[ColumnType],0)),FALSE),""),CHAR(34),
", SamplingFeatureDescription:  ",CHAR(34),IFERROR(INDIRECT(CONCATENATE("'Data Values'!R",ROW()-2-NumParentSamplingFeatures,"C",MATCH("SpecimenDescription",DataColumns[ColumnType],0)),FALSE),""),CHAR(34),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&amp;SamplingFeatureID0285 {SamplingFeatureUUID:  "", SamplingFeatureTypeCV:  "Specimen", SamplingFeatureCode:  "1302788", SamplingFeatureName:  "", SamplingFeatureDescription:  "", SamplingFeatureGeotypeCV:  Point, FeatureGeometry:  NULL, Elevation_m:  NULL, ElevationDatumCV:  NULL}</v>
      </c>
      <c r="P288" s="27" t="str">
        <f>IF(AND(NumIGSNs=0,COUNTIF(DataColumns[ColumnType],"SpecimenIGSN")=0),"",
IF(ROW()-3&gt;NumIGSNs+NumSpecimens,"",
IF(ROW()-3&gt;NumIGSNs,
IF(MATCH("SpecimenIGSN",DataColumns[ColumnType],0)=0,"",
IF(INDIRECT(CONCATENATE("'Data Values'!R",ROW()-2-NumIGSNs,"C",MATCH("SpecimenIGSN",DataColumns[ColumnType],0)),FALSE)="","",
CONCATENATE("  - {",
"SamplingFeatureObj:  *SamplingFeatureID",TEXT(ROW()-2-NumIGSNs+NumParentSamplingFeatures-1,"0000"),
", ExternalIdentifierSystemObj:  *ExternalIdentifierSystemID0003",
", SamplingFeatureExternalIdentifier:  ",CHAR(34),INDIRECT(CONCATENATE("'Data Values'!R",ROW()-2-NumIGSNs,"C",MATCH("SpecimenIGSN",DataColumns[ColumnType],0)),FALSE),CHAR(34),
", SamplingFeatureExternalIdentifierURI:  ",CHAR(34),"http://app.geosamples.org/sample/igsn/",INDIRECT(CONCATENATE("'Data Values'!R",ROW()-2-NumIGSNs,"C",MATCH("SpecimenIGSN",DataColumns[ColumnType],0)),FALSE),CHAR(34),
"}"))),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8" s="27" t="str">
        <f>IF(ROW()-4&gt;NumParentSpecimens+NumSpecimens,"",
IF(ROW()-3&gt;NumParentSpecimens,
CONCATENATE("  - {",
"SamplingFeatureObj:  *SamplingFeatureID",TEXT(ROW()-4+NumParentSamplingFeatures,"0000"),
", SpecimenTypeCV:  ",CHAR(34),IF(COUNTIF(DataColumns[ColumnType],"SpecimenTypeCV")=0,
"PLEASE SELECT A COLUMN FOR THE SPECIMEN CODE",
IF(INDIRECT(CONCATENATE("'Data Values'!R",ROW()-3,"C",MATCH("SpecimenTypeCV",DataColumns[ColumnType],0)),FALSE)&lt;&gt;"",
INDIRECT(CONCATENATE("'Data Values'!R",ROW()-3,"C",MATCH("SpecimenTypeCV",DataColumns[ColumnType],0)),FALSE),
CONCATENATE("PLEASE PUT A SPECIMEN TYPE IN ROW ",ROW()-3))),CHAR(34),
", SpecimenMediumCV:  ",CHAR(34),IF(COUNTIF(DataColumns[ColumnType],"SpecimenMediumCV")=0,
IF(INDEX(DataColumns[SpecimenMediumCV],SpecimenColumnNumber)&lt;&gt;"",
INDEX(DataColumns[SpecimenMediumCV],SpecimenColumnNumber),
"THE REQUIRED FIELD 'SPECIMEN MEDIUM' IS MISSING FROM THIS DATASET"),
IF(ISERROR(MATCH("SpecimenMediumCV",DataColumns[ColumnType],0)),
"THE REQUIRED FIELD 'SPECIMEN MEDIUM' IS MISSING FROM THIS DATASET",
IF(INDIRECT(CONCATENATE("'Data Values'!R",ROW()-3,"C",MATCH("SpecimenMediumCV",DataColumns[ColumnType],0)),FALSE)&lt;&gt;"",
INDIRECT(CONCATENATE("'Data Values'!R",ROW()-3,"C",MATCH("SpecimenMediumCV",DataColumns[ColumnType],0)),FALSE),
CONCATENATE("PLEASE PUT A SPECIMEN MEDIUM IN ROW ",ROW()-3))
)),CHAR(34),
", IsFieldSpecimen:  ",CHAR(34),IF(COUNTIF(DataColumns[ColumnType],"IsFieldSpecimen")=0,
IF(INDEX(DataColumns[IsFieldSpecimen],SpecimenColumnNumber)&lt;&gt;"",
INDEX(DataColumns[IsFieldSpecimen],SpecimenColumnNumber),
"THE REQUIRED FIELD 'IS FIELD SPECIMEN' IS MISSING FROM THIS DATASET"),
IF(ISERROR(MATCH("IsFieldSpecimen",DataColumns[ColumnType],0)),
"THE REQUIRED FIELD 'IS FIELD SPECIMEN' IS MISSING FROM THIS DATASET",
IF(INDIRECT(CONCATENATE("'Data Values'!R",ROW()-3,"C",MATCH("IsFieldSpecimen",DataColumns[ColumnType],0)),FALSE)&lt;&gt;"",
INDIRECT(CONCATENATE("'Data Values'!R",ROW()-3,"C",MATCH("IsFieldSpecimen",DataColumns[ColumnType],0)),FALSE),
CONCATENATE("PLEASE SAY IF THE SPECIMEN IN ROW ",ROW()-3," IS A FIELD SPECIMEN"))
)),CHAR(34),
"}"),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288" s="27" t="str">
        <f>IF(COUNTA(SpatialOffsets[Spatial Offset Code])=0,"",
IF(COUNTA(SpatialOffsets[Spatial Offset Code])&lt;ROW()-3,"",
CONCATENATE("  - &amp;SpatialOffsetID",TEXT(ROW()-3,"0000"),
" {","SpatialOffsetTypeCV:  ",CHAR(34),IF(INDEX(RelatedFeatures[Spatial Offset Code],MATCH(ROW()-3,#REF!,0))&lt;&gt;"",INDEX(RelatedFeatures[Spatial Offset Code],MATCH(ROW()-3,#REF!,0)),"PLEASE SELECT A VALID SPATIAL OFFSET TYPE FOR THIS OFFSET"),CHAR(34),
", Offset1Value:  ",IF(INDEX(#REF!,MATCH(ROW()-3,#REF!,0))&lt;&gt;"",INDEX(#REF!,MATCH(ROW()-3,#REF!,0)),"PLEASE FILL IN A VALUE FOR THE FIRST OFFSET DIMENSION"),
", Offset1UnitObj:  ",CHAR(34),IF(INDEX(#REF!,MATCH(ROW()-3,#REF!,0))&lt;&gt;"",INDEX(#REF!,MATCH(ROW()-3,#REF!,0)),"PLEASE SELECT A VALID UNIT FOR THE FIRST OFFSET DIMENSION"),CHAR(34),
", Offset2Value:  ",IF(INDEX(#REF!,MATCH(ROW()-3,#REF!,0))="","NULL",INDEX(#REF!,MATCH(ROW()-3,#REF!,0))),
", Offset2UnitObj:  ",CHAR(34),INDEX(#REF!,MATCH(ROW()-3,#REF!,0)),,CHAR(34),
", Offset3Value:  ",IF(INDEX(#REF!,MATCH(ROW()-3,#REF!,0))="","NULL",INDEX(#REF!,MATCH(ROW()-3,#REF!,0))),
", Offset3UnitObj:  ",CHAR(34),INDEX(#REF!,MATCH(ROW()-3,#REF!,0)),CHAR(34),
"}")))</f>
        <v/>
      </c>
      <c r="T288" s="27"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",IF(INDEX(#REF!,ROW()-3)="",CONCATENATE(CHAR(34),CHAR(34)),CONCATENATE("*SpatialOffsetID",TEXT(INDEX(#REF!,ROW()-3),"0000"))),
"}")))</f>
        <v/>
      </c>
      <c r="U288" s="27"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288" s="27"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288" s="27"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288" s="27" t="str">
        <f>IF(ROW()-3&gt;NumFileColumns,"",
IF(INDEX(DataColumns[MethodCode],ROW()-3)="","PLEASE FILL IN A METHOD FOR EACH DATA COLUMN",
CONCATENATE("  - &amp;ActionID",TEXT(ROW()-3,"0000"),
" {","ActionTypeCV:  ",CHAR(34),"Observation",CHAR(34),
", MethodObj: *MethodID",TEXT(MATCH(INDEX(DataColumns[MethodCode],ROW()-3),Methods[Method Code],0),"0000"),
", BeginDateTime:  NULL",
", BeginDateTimeUTCOffset:  NULL",
", EndDateTime:  NULL",
", EndDateTimeUTCOffset:  NULL",
", ActionDescription:  ",CHAR(34),"Generic observation action generated by YODA TimeSeries Template",CHAR(34),
", ActionFileLink:  NULL",
,"}")))</f>
        <v/>
      </c>
      <c r="Z288" s="27" t="str">
        <f>IF(ROW()-3&gt;NumFileColumns,"",
IF(INDEX(DataColumns[MethodCode],ROW()-3)="","PLEASE FILL IN A SAMPLING FEATURE FOR EACH DATA COLUMN",
CONCATENATE("  - &amp;FeatureActionID",TEXT(ROW()-3,"0000"),
" {","SamplingFeatureObj:  *SamplingFeatureID",TEXT(MATCH(INDEX(#REF!,ROW()-3),SamplingFeatures[Feature Code],0),"0000"),
", ActionObj:  *ActionID",TEXT(ROW()-3,"0000"),"}")))</f>
        <v/>
      </c>
      <c r="AA288" s="27" t="str">
        <f>IF(ROW()-3&gt;NumFileColumns,"",
IF(INDEX(DataColumns[ResultAnalyst],ROW()-3)="","PLEASE FILL IN A PERSON RESPONSIBLE FOR EACH DATA COLUMN",
CONCATENATE("  - {",
"ActionObj:  *ActionID",TEXT(ROW()-3,"0000"),
", AffiliationObj:  *AffiliationID",TEXT(MATCH(INDEX(DataColumns[ResultAnalyst],ROW()-3),People[Full Name],0),"0000"),
", IsActionLead: TRUE",
", RoleDescription: NULL",
"}")))</f>
        <v/>
      </c>
      <c r="AB288" s="27" t="str">
        <f>IF(ROW()-3&gt;NumFileColumns,"",
CONCATENATE("  - &amp;ResultID",TEXT(ROW()-3,"0000"),
" {","ResultUUID:  ",CHAR(34),INDEX(#REF!,ROW()-3),CHAR(34),
", FeatureActionObj: *FeatureActionID",TEXT(ROW()-3,"0000"),
", ResultTypeCV:  ",CHAR(34),INDEX(DataColumns[ResultTypeCV],ROW()-3),CHAR(34),
", VariableObj:  *VariableID",TEXT(MATCH(INDEX(DataColumns[VariableCode],ROW()-3),Variables[Variable Code],0),"0000"),
", UnitsObj:  ",CHAR(34),INDEX(DataColumns[UnitName],ROW()-3),CHAR(34),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8" s="27" t="str">
        <f t="shared" si="9"/>
        <v/>
      </c>
      <c r="AF28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8" s="27" t="e">
        <f>IF(INDEX(DataColumns[Col'#],ROW()-3-3)="","",
CONCATENATE("    - {ColumnNumber: ",TEXT(ROW()-3-1,"0000"),
", Label:  ",CHAR(34),INDEX(DataColumns[ColumnLabel],ROW()-3-3),CHAR(34),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8" s="27" t="str">
        <f>IF(ROW()-3&gt;NumFileColumns,
"",
CONCATENATE(AH287,", ",INDEX(DataColumns[ColumnLabel],ROW()-3)))</f>
        <v/>
      </c>
    </row>
  </sheetData>
  <pageMargins left="0.7" right="0.7" top="0.75" bottom="0.75" header="0.3" footer="0.3"/>
  <pageSetup orientation="portrait" verticalDpi="0"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991"/>
  <sheetViews>
    <sheetView workbookViewId="0">
      <selection activeCell="D2" sqref="D2:D991"/>
    </sheetView>
  </sheetViews>
  <sheetFormatPr defaultRowHeight="15" x14ac:dyDescent="0.25"/>
  <cols>
    <col min="1" max="1" width="13.5703125" style="27" bestFit="1" customWidth="1"/>
    <col min="2" max="2" width="12.7109375" style="27" bestFit="1" customWidth="1"/>
    <col min="3" max="3" width="12.140625" style="27" bestFit="1" customWidth="1"/>
    <col min="4" max="16384" width="9.140625" style="27"/>
  </cols>
  <sheetData>
    <row r="1" spans="1:4" x14ac:dyDescent="0.25">
      <c r="A1" s="27" t="s">
        <v>1083</v>
      </c>
      <c r="B1" s="27" t="s">
        <v>1206</v>
      </c>
      <c r="C1" s="27" t="s">
        <v>1084</v>
      </c>
      <c r="D1" s="27" t="s">
        <v>1082</v>
      </c>
    </row>
    <row r="2" spans="1:4" x14ac:dyDescent="0.25">
      <c r="A2" s="27">
        <v>1</v>
      </c>
      <c r="B2" s="27" t="str">
        <f>OFFSET('YODA Header Blocks'!$A$1,0,A2)</f>
        <v>YAML Header</v>
      </c>
      <c r="C2" s="27">
        <v>1</v>
      </c>
      <c r="D2" s="27"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Values'!R",ROW()-LengthHeader,"C2:R",ROW()-LengthHeader,"C",NumFileColumns+2),FALSE))," ],["))))</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Values'!R",ROW()-LengthHeader,"C2:R",ROW()-LengthHeader,"C",NumFileColumns+2),FALSE))," ],["))))</f>
        <v>YODA:</v>
      </c>
    </row>
    <row r="4" spans="1:4" x14ac:dyDescent="0.25">
      <c r="A4" s="27">
        <f t="shared" ref="A4:A67" si="0">IF(C3=INDIRECT(CONCATENATE("'YODA Header Blocks'!R2C",A3+1,":R2C",A3+1),FALSE),A3+1,A3)</f>
        <v>1</v>
      </c>
      <c r="B4" s="27" t="str">
        <f>OFFSET('YODA Header Blocks'!$A$1,0,A4)</f>
        <v>YAML Header</v>
      </c>
      <c r="C4" s="27">
        <f t="shared" ref="C4:C67" si="1">IF(C3=SUM(INDIRECT(CONCATENATE("'YODA Header Blocks'!R2C",A3+1,":R2C",A3+1),FALSE)),1,C3+1)</f>
        <v>3</v>
      </c>
      <c r="D4" s="2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Values'!R",ROW()-LengthHeader,"C2:R",ROW()-LengthHeader,"C",NumFileColumns+2),FALSE))," ],["))))</f>
        <v xml:space="preserve">  - {Version: "1.0.0", Profile: "SpecimenTimeSeries", CreationTool: "Excel Template v1.0.0", DateCreated: "2015-03-23", DateUpdated: "2015-03-23"}</v>
      </c>
    </row>
    <row r="5" spans="1:4" x14ac:dyDescent="0.25">
      <c r="A5" s="27">
        <f t="shared" si="0"/>
        <v>2</v>
      </c>
      <c r="B5" s="27" t="str">
        <f>OFFSET('YODA Header Blocks'!$A$1,0,A5)</f>
        <v>Datasets</v>
      </c>
      <c r="C5" s="27">
        <f t="shared" si="1"/>
        <v>1</v>
      </c>
      <c r="D5" s="2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Values'!R",ROW()-LengthHeader,"C2:R",ROW()-LengthHeader,"C",NumFileColumns+2),FALSE))," ],["))))</f>
        <v>Datasets:</v>
      </c>
    </row>
    <row r="6" spans="1:4" x14ac:dyDescent="0.25">
      <c r="A6" s="27">
        <f t="shared" si="0"/>
        <v>2</v>
      </c>
      <c r="B6" s="27" t="str">
        <f>OFFSET('YODA Header Blocks'!$A$1,0,A6)</f>
        <v>Datasets</v>
      </c>
      <c r="C6" s="27">
        <f t="shared" si="1"/>
        <v>2</v>
      </c>
      <c r="D6" s="2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Values'!R",ROW()-LengthHeader,"C2:R",ROW()-LengthHeader,"C",NumFileColumns+2),FALSE)),"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7" spans="1:4" x14ac:dyDescent="0.25">
      <c r="A7" s="27">
        <f t="shared" si="0"/>
        <v>3</v>
      </c>
      <c r="B7" s="27" t="str">
        <f>OFFSET('YODA Header Blocks'!$A$1,0,A7)</f>
        <v>Organizations</v>
      </c>
      <c r="C7" s="27">
        <f t="shared" si="1"/>
        <v>1</v>
      </c>
      <c r="D7" s="2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Values'!R",ROW()-LengthHeader,"C2:R",ROW()-LengthHeader,"C",NumFileColumns+2),FALSE))," ],["))))</f>
        <v>Organizations:</v>
      </c>
    </row>
    <row r="8" spans="1:4" x14ac:dyDescent="0.25">
      <c r="A8" s="27">
        <f t="shared" si="0"/>
        <v>3</v>
      </c>
      <c r="B8" s="27" t="str">
        <f>OFFSET('YODA Header Blocks'!$A$1,0,A8)</f>
        <v>Organizations</v>
      </c>
      <c r="C8" s="27">
        <f t="shared" si="1"/>
        <v>2</v>
      </c>
      <c r="D8" s="2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Values'!R",ROW()-LengthHeader,"C2:R",ROW()-LengthHeader,"C",NumFileColumns+2),FALSE))," ],["))))</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row>
    <row r="9" spans="1:4" x14ac:dyDescent="0.25">
      <c r="A9" s="27">
        <f t="shared" si="0"/>
        <v>3</v>
      </c>
      <c r="B9" s="27" t="str">
        <f>OFFSET('YODA Header Blocks'!$A$1,0,A9)</f>
        <v>Organizations</v>
      </c>
      <c r="C9" s="27">
        <f t="shared" si="1"/>
        <v>3</v>
      </c>
      <c r="D9" s="2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Values'!R",ROW()-LengthHeader,"C2:R",ROW()-LengthHeader,"C",NumFileColumns+2),FALSE))," ],["))))</f>
        <v xml:space="preserve">  - &amp;OrganizationID0002 {OrganizationTypeCV:  "University", OrganizationCode:  "UMN", OrganizationName:  "University of Minnesota", OrganizationDescription:  "", OrganizationLink:  ""}</v>
      </c>
    </row>
    <row r="10" spans="1:4" x14ac:dyDescent="0.25">
      <c r="A10" s="27">
        <f t="shared" si="0"/>
        <v>4</v>
      </c>
      <c r="B10" s="27" t="str">
        <f>OFFSET('YODA Header Blocks'!$A$1,0,A10)</f>
        <v>External Identifier Organizations</v>
      </c>
      <c r="C10" s="27">
        <f t="shared" si="1"/>
        <v>1</v>
      </c>
      <c r="D10" s="2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Values'!R",ROW()-LengthHeader,"C2:R",ROW()-LengthHeader,"C",NumFileColumns+2),FALSE)),"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1" spans="1:4" x14ac:dyDescent="0.25">
      <c r="A11" s="27">
        <f t="shared" si="0"/>
        <v>4</v>
      </c>
      <c r="B11" s="27" t="str">
        <f>OFFSET('YODA Header Blocks'!$A$1,0,A11)</f>
        <v>External Identifier Organizations</v>
      </c>
      <c r="C11" s="27">
        <f t="shared" si="1"/>
        <v>2</v>
      </c>
      <c r="D11" s="27"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Values'!R",ROW()-LengthHeader,"C2:R",ROW()-LengthHeader,"C",NumFileColumns+2),FALSE)),"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2" spans="1:4" x14ac:dyDescent="0.25">
      <c r="A12" s="27">
        <f t="shared" si="0"/>
        <v>4</v>
      </c>
      <c r="B12" s="27" t="str">
        <f>OFFSET('YODA Header Blocks'!$A$1,0,A12)</f>
        <v>External Identifier Organizations</v>
      </c>
      <c r="C12" s="27">
        <f t="shared" si="1"/>
        <v>3</v>
      </c>
      <c r="D12" s="2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Values'!R",ROW()-LengthHeader,"C2:R",ROW()-LengthHeader,"C",NumFileColumns+2),FALSE)),"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3" spans="1:4" x14ac:dyDescent="0.25">
      <c r="A13" s="27">
        <f t="shared" si="0"/>
        <v>5</v>
      </c>
      <c r="B13" s="27" t="str">
        <f>OFFSET('YODA Header Blocks'!$A$1,0,A13)</f>
        <v>External Identifier Systems</v>
      </c>
      <c r="C13" s="27">
        <f t="shared" si="1"/>
        <v>1</v>
      </c>
      <c r="D13" s="2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Values'!R",ROW()-LengthHeader,"C2:R",ROW()-LengthHeader,"C",NumFileColumns+2),FALSE))," ],["))))</f>
        <v>ExternalIdentifierSystems:</v>
      </c>
    </row>
    <row r="14" spans="1:4" x14ac:dyDescent="0.25">
      <c r="A14" s="27">
        <f t="shared" si="0"/>
        <v>5</v>
      </c>
      <c r="B14" s="27" t="str">
        <f>OFFSET('YODA Header Blocks'!$A$1,0,A14)</f>
        <v>External Identifier Systems</v>
      </c>
      <c r="C14" s="27">
        <f t="shared" si="1"/>
        <v>2</v>
      </c>
      <c r="D14" s="2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Values'!R",ROW()-LengthHeader,"C2:R",ROW()-LengthHeader,"C",NumFileColumns+2),FALSE)),"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5" spans="1:4" x14ac:dyDescent="0.25">
      <c r="A15" s="27">
        <f t="shared" si="0"/>
        <v>5</v>
      </c>
      <c r="B15" s="27" t="str">
        <f>OFFSET('YODA Header Blocks'!$A$1,0,A15)</f>
        <v>External Identifier Systems</v>
      </c>
      <c r="C15" s="27">
        <f t="shared" si="1"/>
        <v>3</v>
      </c>
      <c r="D15" s="2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Values'!R",ROW()-LengthHeader,"C2:R",ROW()-LengthHeader,"C",NumFileColumns+2),FALSE)),"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6" spans="1:4" x14ac:dyDescent="0.25">
      <c r="A16" s="27">
        <f t="shared" si="0"/>
        <v>5</v>
      </c>
      <c r="B16" s="27" t="str">
        <f>OFFSET('YODA Header Blocks'!$A$1,0,A16)</f>
        <v>External Identifier Systems</v>
      </c>
      <c r="C16" s="27">
        <f t="shared" si="1"/>
        <v>4</v>
      </c>
      <c r="D16" s="2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Values'!R",ROW()-LengthHeader,"C2:R",ROW()-LengthHeader,"C",NumFileColumns+2),FALSE)),"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7" spans="1:4" x14ac:dyDescent="0.25">
      <c r="A17" s="27">
        <f t="shared" si="0"/>
        <v>6</v>
      </c>
      <c r="B17" s="27" t="str">
        <f>OFFSET('YODA Header Blocks'!$A$1,0,A17)</f>
        <v>People</v>
      </c>
      <c r="C17" s="27">
        <f t="shared" si="1"/>
        <v>1</v>
      </c>
      <c r="D17" s="2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Values'!R",ROW()-LengthHeader,"C2:R",ROW()-LengthHeader,"C",NumFileColumns+2),FALSE))," ],["))))</f>
        <v>People:</v>
      </c>
    </row>
    <row r="18" spans="1:4" x14ac:dyDescent="0.25">
      <c r="A18" s="27">
        <f t="shared" si="0"/>
        <v>6</v>
      </c>
      <c r="B18" s="27" t="str">
        <f>OFFSET('YODA Header Blocks'!$A$1,0,A18)</f>
        <v>People</v>
      </c>
      <c r="C18" s="27">
        <f t="shared" si="1"/>
        <v>2</v>
      </c>
      <c r="D18" s="2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Values'!R",ROW()-LengthHeader,"C2:R",ROW()-LengthHeader,"C",NumFileColumns+2),FALSE))," ],["))))</f>
        <v xml:space="preserve">  - &amp;PersonID0001 {PersonFirstName:  "Sara", PersonMiddleName:  "Geleskie", PersonLastName:  "Damiano"}</v>
      </c>
    </row>
    <row r="19" spans="1:4" x14ac:dyDescent="0.25">
      <c r="A19" s="27">
        <f t="shared" si="0"/>
        <v>6</v>
      </c>
      <c r="B19" s="27" t="str">
        <f>OFFSET('YODA Header Blocks'!$A$1,0,A19)</f>
        <v>People</v>
      </c>
      <c r="C19" s="27">
        <f t="shared" si="1"/>
        <v>3</v>
      </c>
      <c r="D19" s="2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Values'!R",ROW()-LengthHeader,"C2:R",ROW()-LengthHeader,"C",NumFileColumns+2),FALSE))," ],["))))</f>
        <v xml:space="preserve">  - &amp;PersonID0002 {PersonFirstName:  "Michael", PersonMiddleName:  "D", PersonLastName:  "Gentile"}</v>
      </c>
    </row>
    <row r="20" spans="1:4" x14ac:dyDescent="0.25">
      <c r="A20" s="27">
        <f t="shared" si="0"/>
        <v>6</v>
      </c>
      <c r="B20" s="27" t="str">
        <f>OFFSET('YODA Header Blocks'!$A$1,0,A20)</f>
        <v>People</v>
      </c>
      <c r="C20" s="27">
        <f t="shared" si="1"/>
        <v>4</v>
      </c>
      <c r="D20" s="2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Values'!R",ROW()-LengthHeader,"C2:R",ROW()-LengthHeader,"C",NumFileColumns+2),FALSE))," ],["))))</f>
        <v xml:space="preserve">  - &amp;PersonID0003 {PersonFirstName:  "J", PersonMiddleName:  "Denis", PersonLastName:  "Newbold"}</v>
      </c>
    </row>
    <row r="21" spans="1:4" x14ac:dyDescent="0.25">
      <c r="A21" s="27">
        <f t="shared" si="0"/>
        <v>6</v>
      </c>
      <c r="B21" s="27" t="str">
        <f>OFFSET('YODA Header Blocks'!$A$1,0,A21)</f>
        <v>People</v>
      </c>
      <c r="C21" s="27">
        <f t="shared" si="1"/>
        <v>5</v>
      </c>
      <c r="D21" s="2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Values'!R",ROW()-LengthHeader,"C2:R",ROW()-LengthHeader,"C",NumFileColumns+2),FALSE))," ],["))))</f>
        <v xml:space="preserve">  - &amp;PersonID0004 {PersonFirstName:  "Diana", PersonMiddleName:  "L", PersonLastName:  "Karwan"}</v>
      </c>
    </row>
    <row r="22" spans="1:4" x14ac:dyDescent="0.25">
      <c r="A22" s="27">
        <f t="shared" si="0"/>
        <v>6</v>
      </c>
      <c r="B22" s="27" t="str">
        <f>OFFSET('YODA Header Blocks'!$A$1,0,A22)</f>
        <v>People</v>
      </c>
      <c r="C22" s="27">
        <f t="shared" si="1"/>
        <v>6</v>
      </c>
      <c r="D22" s="2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Values'!R",ROW()-LengthHeader,"C2:R",ROW()-LengthHeader,"C",NumFileColumns+2),FALSE))," ],["))))</f>
        <v xml:space="preserve">  - &amp;PersonID0005 {PersonFirstName:  "Sherman", PersonMiddleName:  "L", PersonLastName:  "Roberts"}</v>
      </c>
    </row>
    <row r="23" spans="1:4" x14ac:dyDescent="0.25">
      <c r="A23" s="27">
        <f t="shared" si="0"/>
        <v>6</v>
      </c>
      <c r="B23" s="27" t="str">
        <f>OFFSET('YODA Header Blocks'!$A$1,0,A23)</f>
        <v>People</v>
      </c>
      <c r="C23" s="27">
        <f t="shared" si="1"/>
        <v>7</v>
      </c>
      <c r="D23" s="27"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Values'!R",ROW()-LengthHeader,"C2:R",ROW()-LengthHeader,"C",NumFileColumns+2),FALSE))," ],["))))</f>
        <v xml:space="preserve">  - &amp;PersonID0006 {PersonFirstName:  "Jennifer", PersonMiddleName:  "R", PersonLastName:  "Matkov"}</v>
      </c>
    </row>
    <row r="24" spans="1:4" x14ac:dyDescent="0.25">
      <c r="A24" s="27">
        <f t="shared" si="0"/>
        <v>7</v>
      </c>
      <c r="B24" s="27" t="str">
        <f>OFFSET('YODA Header Blocks'!$A$1,0,A24)</f>
        <v>Person External Identifiers</v>
      </c>
      <c r="C24" s="27">
        <f t="shared" si="1"/>
        <v>1</v>
      </c>
      <c r="D24" s="2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Values'!R",ROW()-LengthHeader,"C2:R",ROW()-LengthHeader,"C",NumFileColumns+2),FALSE))," ],["))))</f>
        <v>PersonExternalIdentifiers:</v>
      </c>
    </row>
    <row r="25" spans="1:4" x14ac:dyDescent="0.25">
      <c r="A25" s="27">
        <f t="shared" si="0"/>
        <v>7</v>
      </c>
      <c r="B25" s="27" t="str">
        <f>OFFSET('YODA Header Blocks'!$A$1,0,A25)</f>
        <v>Person External Identifiers</v>
      </c>
      <c r="C25" s="27">
        <f t="shared" si="1"/>
        <v>2</v>
      </c>
      <c r="D25" s="2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Values'!R",ROW()-LengthHeader,"C2:R",ROW()-LengthHeader,"C",NumFileColumns+2),FALSE))," ],["))))</f>
        <v xml:space="preserve">  - {PersonObj:  *PersonID0001, ExternalIdentifierSystemObj:  *ExternalIdentifierSystemID0001, PersonExternalIdentifier:  "0000-0003-2751-9358", PersonExternalIdentifierURI:  "http://orcid.org/0000-0003-2751-9358"}</v>
      </c>
    </row>
    <row r="26" spans="1:4" x14ac:dyDescent="0.25">
      <c r="A26" s="27">
        <f t="shared" si="0"/>
        <v>8</v>
      </c>
      <c r="B26" s="27" t="str">
        <f>OFFSET('YODA Header Blocks'!$A$1,0,A26)</f>
        <v>Affiliations</v>
      </c>
      <c r="C26" s="27">
        <f t="shared" si="1"/>
        <v>1</v>
      </c>
      <c r="D26" s="2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Values'!R",ROW()-LengthHeader,"C2:R",ROW()-LengthHeader,"C",NumFileColumns+2),FALSE))," ],["))))</f>
        <v>Affiliations:</v>
      </c>
    </row>
    <row r="27" spans="1:4" x14ac:dyDescent="0.25">
      <c r="A27" s="27">
        <f t="shared" si="0"/>
        <v>8</v>
      </c>
      <c r="B27" s="27" t="str">
        <f>OFFSET('YODA Header Blocks'!$A$1,0,A27)</f>
        <v>Affiliations</v>
      </c>
      <c r="C27" s="27">
        <f t="shared" si="1"/>
        <v>2</v>
      </c>
      <c r="D27" s="2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Values'!R",ROW()-LengthHeader,"C2:R",ROW()-LengthHeader,"C",NumFileColumns+2),FALSE))," ],["))))</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row>
    <row r="28" spans="1:4" x14ac:dyDescent="0.25">
      <c r="A28" s="27">
        <f t="shared" si="0"/>
        <v>8</v>
      </c>
      <c r="B28" s="27" t="str">
        <f>OFFSET('YODA Header Blocks'!$A$1,0,A28)</f>
        <v>Affiliations</v>
      </c>
      <c r="C28" s="27">
        <f t="shared" si="1"/>
        <v>3</v>
      </c>
      <c r="D28" s="2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Values'!R",ROW()-LengthHeader,"C2:R",ROW()-LengthHeader,"C",NumFileColumns+2),FALSE))," ],["))))</f>
        <v xml:space="preserve">  - &amp;AffiliationID0002 {PersonObj: *PersonID0002, OrganizationObj: *OrganizationID0001, IsPrimaryOrganizationContact: NULL, AffiliationStartDate: NULL, AffiliationEndDate: NULL, PrimaryPhone: NULL, PrimaryEmail: "mgentile@stroudcenter.org", PrimaryAddress: "Stroud Water Research Center, 970 Spencer Road, Avondale, PA 19311", PersonLink: NULL}</v>
      </c>
    </row>
    <row r="29" spans="1:4" x14ac:dyDescent="0.25">
      <c r="A29" s="27">
        <f t="shared" si="0"/>
        <v>8</v>
      </c>
      <c r="B29" s="27" t="str">
        <f>OFFSET('YODA Header Blocks'!$A$1,0,A29)</f>
        <v>Affiliations</v>
      </c>
      <c r="C29" s="27">
        <f t="shared" si="1"/>
        <v>4</v>
      </c>
      <c r="D29" s="2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Values'!R",ROW()-LengthHeader,"C2:R",ROW()-LengthHeader,"C",NumFileColumns+2),FALSE))," ],["))))</f>
        <v xml:space="preserve">  - &amp;AffiliationID0003 {PersonObj: *PersonID0003, OrganizationObj: *OrganizationID0001, IsPrimaryOrganizationContact: NULL, AffiliationStartDate: NULL, AffiliationEndDate: NULL, PrimaryPhone: NULL, PrimaryEmail: "newbold@stroudcenter.org", PrimaryAddress: "Stroud Water Research Center, 970 Spencer Road, Avondale, PA 19311", PersonLink: NULL}</v>
      </c>
    </row>
    <row r="30" spans="1:4" x14ac:dyDescent="0.25">
      <c r="A30" s="27">
        <f t="shared" si="0"/>
        <v>8</v>
      </c>
      <c r="B30" s="27" t="str">
        <f>OFFSET('YODA Header Blocks'!$A$1,0,A30)</f>
        <v>Affiliations</v>
      </c>
      <c r="C30" s="27">
        <f t="shared" si="1"/>
        <v>5</v>
      </c>
      <c r="D30" s="2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Values'!R",ROW()-LengthHeader,"C2:R",ROW()-LengthHeader,"C",NumFileColumns+2),FALSE))," ],["))))</f>
        <v xml:space="preserve">  - &amp;AffiliationID0004 {PersonObj: *PersonID0004, OrganizationObj: *OrganizationID0002, IsPrimaryOrganizationContact: NULL, AffiliationStartDate: NULL, AffiliationEndDate: NULL, PrimaryPhone: NULL, PrimaryEmail: "dlkarwan@umn.edu", PrimaryAddress: "301G Green Hall, 1530 Cleveland Avenue North, St. Paul, MN 55108", PersonLink: NULL}</v>
      </c>
    </row>
    <row r="31" spans="1:4" x14ac:dyDescent="0.25">
      <c r="A31" s="27">
        <f t="shared" si="0"/>
        <v>8</v>
      </c>
      <c r="B31" s="27" t="str">
        <f>OFFSET('YODA Header Blocks'!$A$1,0,A31)</f>
        <v>Affiliations</v>
      </c>
      <c r="C31" s="27">
        <f t="shared" si="1"/>
        <v>6</v>
      </c>
      <c r="D31" s="2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Values'!R",ROW()-LengthHeader,"C2:R",ROW()-LengthHeader,"C",NumFileColumns+2),FALSE))," ],["))))</f>
        <v xml:space="preserve">  - &amp;AffiliationID0005 {PersonObj: *PersonID0005, OrganizationObj: *OrganizationID0001, IsPrimaryOrganizationContact: NULL, AffiliationStartDate: NULL, AffiliationEndDate: NULL, PrimaryPhone: NULL, PrimaryEmail: "sroberts@stroudcenter.org", PrimaryAddress: "Stroud Water Research Center, 970 Spencer Road, Avondale, PA 19311", PersonLink: NULL}</v>
      </c>
    </row>
    <row r="32" spans="1:4" x14ac:dyDescent="0.25">
      <c r="A32" s="27">
        <f t="shared" si="0"/>
        <v>8</v>
      </c>
      <c r="B32" s="27" t="str">
        <f>OFFSET('YODA Header Blocks'!$A$1,0,A32)</f>
        <v>Affiliations</v>
      </c>
      <c r="C32" s="27">
        <f t="shared" si="1"/>
        <v>7</v>
      </c>
      <c r="D32" s="2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Values'!R",ROW()-LengthHeader,"C2:R",ROW()-LengthHeader,"C",NumFileColumns+2),FALSE))," ],["))))</f>
        <v xml:space="preserve">  - &amp;AffiliationID0006 {PersonObj: *PersonID0006, OrganizationObj: *OrganizationID0001, IsPrimaryOrganizationContact: NULL, AffiliationStartDate: NULL, AffiliationEndDate: NULL, PrimaryPhone: NULL, PrimaryEmail: "jmatkov@stroudcenter.org", PrimaryAddress: "Stroud Water Research Center, 970 Spencer Road, Avondale, PA 19311", PersonLink: NULL}</v>
      </c>
    </row>
    <row r="33" spans="1:4" x14ac:dyDescent="0.25">
      <c r="A33" s="27">
        <f t="shared" si="0"/>
        <v>9</v>
      </c>
      <c r="B33" s="27" t="str">
        <f>OFFSET('YODA Header Blocks'!$A$1,0,A33)</f>
        <v>Citation</v>
      </c>
      <c r="C33" s="27">
        <f t="shared" si="1"/>
        <v>1</v>
      </c>
      <c r="D33" s="2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Values'!R",ROW()-LengthHeader,"C2:R",ROW()-LengthHeader,"C",NumFileColumns+2),FALSE))," ],["))))</f>
        <v>Citation:</v>
      </c>
    </row>
    <row r="34" spans="1:4" x14ac:dyDescent="0.25">
      <c r="A34" s="27">
        <f t="shared" si="0"/>
        <v>9</v>
      </c>
      <c r="B34" s="27" t="str">
        <f>OFFSET('YODA Header Blocks'!$A$1,0,A34)</f>
        <v>Citation</v>
      </c>
      <c r="C34" s="27">
        <f t="shared" si="1"/>
        <v>2</v>
      </c>
      <c r="D34" s="2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Values'!R",ROW()-LengthHeader,"C2:R",ROW()-LengthHeader,"C",NumFileColumns+2),FALSE)),"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35" spans="1:4" x14ac:dyDescent="0.25">
      <c r="A35" s="27">
        <f t="shared" si="0"/>
        <v>10</v>
      </c>
      <c r="B35" s="27" t="str">
        <f>OFFSET('YODA Header Blocks'!$A$1,0,A35)</f>
        <v>Citation External Identifiers</v>
      </c>
      <c r="C35" s="27">
        <f t="shared" si="1"/>
        <v>1</v>
      </c>
      <c r="D35" s="2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Values'!R",ROW()-LengthHeader,"C2:R",ROW()-LengthHeader,"C",NumFileColumns+2),FALSE))," ],["))))</f>
        <v/>
      </c>
    </row>
    <row r="36" spans="1:4" x14ac:dyDescent="0.25">
      <c r="A36" s="27">
        <f t="shared" si="0"/>
        <v>11</v>
      </c>
      <c r="B36" s="27" t="str">
        <f>OFFSET('YODA Header Blocks'!$A$1,0,A36)</f>
        <v>AuthorList</v>
      </c>
      <c r="C36" s="27">
        <f t="shared" si="1"/>
        <v>1</v>
      </c>
      <c r="D36" s="2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Values'!R",ROW()-LengthHeader,"C2:R",ROW()-LengthHeader,"C",NumFileColumns+2),FALSE))," ],["))))</f>
        <v>AuthorList:</v>
      </c>
    </row>
    <row r="37" spans="1:4" x14ac:dyDescent="0.25">
      <c r="A37" s="27">
        <f t="shared" si="0"/>
        <v>11</v>
      </c>
      <c r="B37" s="27" t="str">
        <f>OFFSET('YODA Header Blocks'!$A$1,0,A37)</f>
        <v>AuthorList</v>
      </c>
      <c r="C37" s="27">
        <f t="shared" si="1"/>
        <v>2</v>
      </c>
      <c r="D37" s="2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Values'!R",ROW()-LengthHeader,"C2:R",ROW()-LengthHeader,"C",NumFileColumns+2),FALSE))," ],["))))</f>
        <v xml:space="preserve">  - &amp;AuthorListID0001  {CitationObj: *CitationID0001, PersonObj: *PersonID0001, AuthorOrder: 1}</v>
      </c>
    </row>
    <row r="38" spans="1:4" x14ac:dyDescent="0.25">
      <c r="A38" s="27">
        <f t="shared" si="0"/>
        <v>12</v>
      </c>
      <c r="B38" s="27" t="str">
        <f>OFFSET('YODA Header Blocks'!$A$1,0,A38)</f>
        <v>DatasetCitations</v>
      </c>
      <c r="C38" s="27">
        <f t="shared" si="1"/>
        <v>1</v>
      </c>
      <c r="D38" s="2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Values'!R",ROW()-LengthHeader,"C2:R",ROW()-LengthHeader,"C",NumFileColumns+2),FALSE))," ],["))))</f>
        <v>DataSetCitations:</v>
      </c>
    </row>
    <row r="39" spans="1:4" x14ac:dyDescent="0.25">
      <c r="A39" s="27">
        <f t="shared" si="0"/>
        <v>12</v>
      </c>
      <c r="B39" s="27" t="str">
        <f>OFFSET('YODA Header Blocks'!$A$1,0,A39)</f>
        <v>DatasetCitations</v>
      </c>
      <c r="C39" s="27">
        <f t="shared" si="1"/>
        <v>2</v>
      </c>
      <c r="D39" s="2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Values'!R",ROW()-LengthHeader,"C2:R",ROW()-LengthHeader,"C",NumFileColumns+2),FALSE))," ],["))))</f>
        <v xml:space="preserve">  - {DataSetObj: *DataSetID0001, CitationObj: *CitationID0001, RelationshipTypeCV: IsAllOf}</v>
      </c>
    </row>
    <row r="40" spans="1:4" x14ac:dyDescent="0.25">
      <c r="A40" s="27">
        <f t="shared" si="0"/>
        <v>13</v>
      </c>
      <c r="B40" s="27" t="str">
        <f>OFFSET('YODA Header Blocks'!$A$1,0,A40)</f>
        <v>Spatial References</v>
      </c>
      <c r="C40" s="27">
        <f t="shared" si="1"/>
        <v>1</v>
      </c>
      <c r="D40" s="2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Values'!R",ROW()-LengthHeader,"C2:R",ROW()-LengthHeader,"C",NumFileColumns+2),FALSE))," ],["))))</f>
        <v>SpatialReferences:</v>
      </c>
    </row>
    <row r="41" spans="1:4" x14ac:dyDescent="0.25">
      <c r="A41" s="27">
        <f t="shared" si="0"/>
        <v>13</v>
      </c>
      <c r="B41" s="27" t="str">
        <f>OFFSET('YODA Header Blocks'!$A$1,0,A41)</f>
        <v>Spatial References</v>
      </c>
      <c r="C41" s="27">
        <f t="shared" si="1"/>
        <v>2</v>
      </c>
      <c r="D41" s="2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Values'!R",ROW()-LengthHeader,"C2:R",ROW()-LengthHeader,"C",NumFileColumns+2),FALSE)),"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42" spans="1:4" x14ac:dyDescent="0.25">
      <c r="A42" s="27">
        <f t="shared" si="0"/>
        <v>14</v>
      </c>
      <c r="B42" s="27" t="str">
        <f>OFFSET('YODA Header Blocks'!$A$1,0,A42)</f>
        <v>Sampling Features</v>
      </c>
      <c r="C42" s="27">
        <f t="shared" si="1"/>
        <v>1</v>
      </c>
      <c r="D42" s="2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Values'!R",ROW()-LengthHeader,"C2:R",ROW()-LengthHeader,"C",NumFileColumns+2),FALSE))," ],["))))</f>
        <v>SamplingFeatures:</v>
      </c>
    </row>
    <row r="43" spans="1:4" x14ac:dyDescent="0.25">
      <c r="A43" s="27">
        <f t="shared" si="0"/>
        <v>14</v>
      </c>
      <c r="B43" s="27" t="str">
        <f>OFFSET('YODA Header Blocks'!$A$1,0,A43)</f>
        <v>Sampling Features</v>
      </c>
      <c r="C43" s="27">
        <f t="shared" si="1"/>
        <v>2</v>
      </c>
      <c r="D43" s="2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Values'!R",ROW()-LengthHeader,"C2:R",ROW()-LengthHeader,"C",NumFileColumns+2),FALSE))," ],["))))</f>
        <v xml:space="preserve">  - &amp;SamplingFeatureID0001 {SamplingFeatureUUID:  "", SamplingFeatureTypeCV:  "Site", SamplingFeatureCode:  "STA2", SamplingFeatureName:  "White Clay Creek at Station 2", SamplingFeatureDescription:  "", SamplingFeatureGeotypeCV:  "Point", FeatureGeometry:  "", Elevation_m:  "", ElevationDatumCV:  "MSL"}</v>
      </c>
    </row>
    <row r="44" spans="1:4" x14ac:dyDescent="0.25">
      <c r="A44" s="27">
        <f t="shared" si="0"/>
        <v>14</v>
      </c>
      <c r="B44" s="27" t="str">
        <f>OFFSET('YODA Header Blocks'!$A$1,0,A44)</f>
        <v>Sampling Features</v>
      </c>
      <c r="C44" s="27">
        <f t="shared" si="1"/>
        <v>3</v>
      </c>
      <c r="D44" s="2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Values'!R",ROW()-LengthHeader,"C2:R",ROW()-LengthHeader,"C",NumFileColumns+2),FALSE))," ],["))))</f>
        <v xml:space="preserve">  - &amp;SamplingFeatureID0002 {SamplingFeatureUUID:  "", SamplingFeatureTypeCV:  "Site", SamplingFeatureCode:  "WLYATSPENCER", SamplingFeatureName:  "Willy trib at Spencer Road", SamplingFeatureDescription:  "", SamplingFeatureGeotypeCV:  "Point", FeatureGeometry:  "", Elevation_m:  "", ElevationDatumCV:  "MSL"}</v>
      </c>
    </row>
    <row r="45" spans="1:4" x14ac:dyDescent="0.25">
      <c r="A45" s="27">
        <f t="shared" si="0"/>
        <v>14</v>
      </c>
      <c r="B45" s="27" t="str">
        <f>OFFSET('YODA Header Blocks'!$A$1,0,A45)</f>
        <v>Sampling Features</v>
      </c>
      <c r="C45" s="27">
        <f t="shared" si="1"/>
        <v>4</v>
      </c>
      <c r="D45" s="2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Values'!R",ROW()-LengthHeader,"C2:R",ROW()-LengthHeader,"C",NumFileColumns+2),FALSE))," ],["))))</f>
        <v xml:space="preserve">  - &amp;SamplingFeatureID0003 {SamplingFeatureUUID:  "", SamplingFeatureTypeCV:  "Site", SamplingFeatureCode:  "WLYMOUTH", SamplingFeatureName:  "Willy trib at White Clay Creek", SamplingFeatureDescription:  "", SamplingFeatureGeotypeCV:  "Point", FeatureGeometry:  "", Elevation_m:  "", ElevationDatumCV:  "MSL"}</v>
      </c>
    </row>
    <row r="46" spans="1:4" x14ac:dyDescent="0.25">
      <c r="A46" s="27">
        <f t="shared" si="0"/>
        <v>14</v>
      </c>
      <c r="B46" s="27" t="str">
        <f>OFFSET('YODA Header Blocks'!$A$1,0,A46)</f>
        <v>Sampling Features</v>
      </c>
      <c r="C46" s="27">
        <f t="shared" si="1"/>
        <v>5</v>
      </c>
      <c r="D46" s="2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Values'!R",ROW()-LengthHeader,"C2:R",ROW()-LengthHeader,"C",NumFileColumns+2),FALSE))," ],["))))</f>
        <v xml:space="preserve">  - &amp;SamplingFeatureID0004 {SamplingFeatureUUID:  "", SamplingFeatureTypeCV:  "Site", SamplingFeatureCode:  "WCCPH", SamplingFeatureName:  "White Clay Creek at SWRC Pumphouse", SamplingFeatureDescription:  "", SamplingFeatureGeotypeCV:  "Point", FeatureGeometry:  "", Elevation_m:  "", ElevationDatumCV:  "MSL"}</v>
      </c>
    </row>
    <row r="47" spans="1:4" x14ac:dyDescent="0.25">
      <c r="A47" s="27">
        <f t="shared" si="0"/>
        <v>14</v>
      </c>
      <c r="B47" s="27" t="str">
        <f>OFFSET('YODA Header Blocks'!$A$1,0,A47)</f>
        <v>Sampling Features</v>
      </c>
      <c r="C47" s="27">
        <f t="shared" si="1"/>
        <v>6</v>
      </c>
      <c r="D47" s="2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Values'!R",ROW()-LengthHeader,"C2:R",ROW()-LengthHeader,"C",NumFileColumns+2),FALSE))," ],["))))</f>
        <v xml:space="preserve">  - &amp;SamplingFeatureID0005 {SamplingFeatureUUID:  "", SamplingFeatureTypeCV:  "Site", SamplingFeatureCode:  "BOULTON_PATH", SamplingFeatureName:  "Boulton's Trib at the path", SamplingFeatureDescription:  "", SamplingFeatureGeotypeCV:  "Point", FeatureGeometry:  "", Elevation_m:  "", ElevationDatumCV:  "MSL"}</v>
      </c>
    </row>
    <row r="48" spans="1:4" x14ac:dyDescent="0.25">
      <c r="A48" s="27">
        <f t="shared" si="0"/>
        <v>14</v>
      </c>
      <c r="B48" s="27" t="str">
        <f>OFFSET('YODA Header Blocks'!$A$1,0,A48)</f>
        <v>Sampling Features</v>
      </c>
      <c r="C48" s="27">
        <f t="shared" si="1"/>
        <v>7</v>
      </c>
      <c r="D48" s="2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Values'!R",ROW()-LengthHeader,"C2:R",ROW()-LengthHeader,"C",NumFileColumns+2),FALSE))," ],["))))</f>
        <v xml:space="preserve">  - &amp;SamplingFeatureID0006 {SamplingFeatureUUID:  "", SamplingFeatureTypeCV:  "Site", SamplingFeatureCode:  "WCCLAB", SamplingFeatureName:  "White Clay Creek at Stroud Water Research Center", SamplingFeatureDescription:  "", SamplingFeatureGeotypeCV:  "Point", FeatureGeometry:  "", Elevation_m:  "", ElevationDatumCV:  "MSL"}</v>
      </c>
    </row>
    <row r="49" spans="1:4" x14ac:dyDescent="0.25">
      <c r="A49" s="27">
        <f t="shared" si="0"/>
        <v>14</v>
      </c>
      <c r="B49" s="27" t="str">
        <f>OFFSET('YODA Header Blocks'!$A$1,0,A49)</f>
        <v>Sampling Features</v>
      </c>
      <c r="C49" s="27">
        <f t="shared" si="1"/>
        <v>8</v>
      </c>
      <c r="D49" s="2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Values'!R",ROW()-LengthHeader,"C2:R",ROW()-LengthHeader,"C",NumFileColumns+2),FALSE))," ],["))))</f>
        <v xml:space="preserve">  - &amp;SamplingFeatureID0007 {SamplingFeatureUUID:  "", SamplingFeatureTypeCV:  "Site", SamplingFeatureCode:  "WCD478", SamplingFeatureName:  "White Clay Creek, 478m below Spencer Road (Meadow Ltreb site)", SamplingFeatureDescription:  "", SamplingFeatureGeotypeCV:  "Point", FeatureGeometry:  "", Elevation_m:  "", ElevationDatumCV:  "MSL"}</v>
      </c>
    </row>
    <row r="50" spans="1:4" x14ac:dyDescent="0.25">
      <c r="A50" s="27">
        <f t="shared" si="0"/>
        <v>14</v>
      </c>
      <c r="B50" s="27" t="str">
        <f>OFFSET('YODA Header Blocks'!$A$1,0,A50)</f>
        <v>Sampling Features</v>
      </c>
      <c r="C50" s="27">
        <f t="shared" si="1"/>
        <v>9</v>
      </c>
      <c r="D50" s="27"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Values'!R",ROW()-LengthHeader,"C2:R",ROW()-LengthHeader,"C",NumFileColumns+2),FALSE))," ],["))))</f>
        <v xml:space="preserve">  - &amp;SamplingFeatureID0008 {SamplingFeatureUUID:  "", SamplingFeatureTypeCV:  "Specimen", SamplingFeatureCode:  "HI5", SamplingFeatureName:  "", SamplingFeatureDescription:  "", SamplingFeatureGeotypeCV:  "Point", FeatureGeometry:  "", Elevation_m:  "", ElevationDatumCV:  "MSL"}</v>
      </c>
    </row>
    <row r="51" spans="1:4" x14ac:dyDescent="0.25">
      <c r="A51" s="27">
        <f t="shared" si="0"/>
        <v>14</v>
      </c>
      <c r="B51" s="27" t="str">
        <f>OFFSET('YODA Header Blocks'!$A$1,0,A51)</f>
        <v>Sampling Features</v>
      </c>
      <c r="C51" s="27">
        <f t="shared" si="1"/>
        <v>10</v>
      </c>
      <c r="D51" s="27"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Values'!R",ROW()-LengthHeader,"C2:R",ROW()-LengthHeader,"C",NumFileColumns+2),FALSE))," ],["))))</f>
        <v xml:space="preserve">  - &amp;SamplingFeatureID0009 {SamplingFeatureUUID:  "", SamplingFeatureTypeCV:  "Specimen", SamplingFeatureCode:  "1100003", SamplingFeatureName:  "", SamplingFeatureDescription:  "", SamplingFeatureGeotypeCV:  Point, FeatureGeometry:  NULL, Elevation_m:  NULL, ElevationDatumCV:  NULL}</v>
      </c>
    </row>
    <row r="52" spans="1:4" x14ac:dyDescent="0.25">
      <c r="A52" s="27">
        <f t="shared" si="0"/>
        <v>14</v>
      </c>
      <c r="B52" s="27" t="str">
        <f>OFFSET('YODA Header Blocks'!$A$1,0,A52)</f>
        <v>Sampling Features</v>
      </c>
      <c r="C52" s="27">
        <f t="shared" si="1"/>
        <v>11</v>
      </c>
      <c r="D52" s="27"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Values'!R",ROW()-LengthHeader,"C2:R",ROW()-LengthHeader,"C",NumFileColumns+2),FALSE))," ],["))))</f>
        <v xml:space="preserve">  - &amp;SamplingFeatureID0010 {SamplingFeatureUUID:  "", SamplingFeatureTypeCV:  "Specimen", SamplingFeatureCode:  "1100072", SamplingFeatureName:  "", SamplingFeatureDescription:  "", SamplingFeatureGeotypeCV:  Point, FeatureGeometry:  NULL, Elevation_m:  NULL, ElevationDatumCV:  NULL}</v>
      </c>
    </row>
    <row r="53" spans="1:4" x14ac:dyDescent="0.25">
      <c r="A53" s="27">
        <f t="shared" si="0"/>
        <v>14</v>
      </c>
      <c r="B53" s="27" t="str">
        <f>OFFSET('YODA Header Blocks'!$A$1,0,A53)</f>
        <v>Sampling Features</v>
      </c>
      <c r="C53" s="27">
        <f t="shared" si="1"/>
        <v>12</v>
      </c>
      <c r="D53" s="27"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Values'!R",ROW()-LengthHeader,"C2:R",ROW()-LengthHeader,"C",NumFileColumns+2),FALSE))," ],["))))</f>
        <v xml:space="preserve">  - &amp;SamplingFeatureID0011 {SamplingFeatureUUID:  "", SamplingFeatureTypeCV:  "Specimen", SamplingFeatureCode:  "1100073", SamplingFeatureName:  "", SamplingFeatureDescription:  "", SamplingFeatureGeotypeCV:  Point, FeatureGeometry:  NULL, Elevation_m:  NULL, ElevationDatumCV:  NULL}</v>
      </c>
    </row>
    <row r="54" spans="1:4" x14ac:dyDescent="0.25">
      <c r="A54" s="27">
        <f t="shared" si="0"/>
        <v>14</v>
      </c>
      <c r="B54" s="27" t="str">
        <f>OFFSET('YODA Header Blocks'!$A$1,0,A54)</f>
        <v>Sampling Features</v>
      </c>
      <c r="C54" s="27">
        <f t="shared" si="1"/>
        <v>13</v>
      </c>
      <c r="D54" s="27"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Values'!R",ROW()-LengthHeader,"C2:R",ROW()-LengthHeader,"C",NumFileColumns+2),FALSE))," ],["))))</f>
        <v xml:space="preserve">  - &amp;SamplingFeatureID0012 {SamplingFeatureUUID:  "", SamplingFeatureTypeCV:  "Specimen", SamplingFeatureCode:  "1100185", SamplingFeatureName:  "", SamplingFeatureDescription:  "", SamplingFeatureGeotypeCV:  Point, FeatureGeometry:  NULL, Elevation_m:  NULL, ElevationDatumCV:  NULL}</v>
      </c>
    </row>
    <row r="55" spans="1:4" x14ac:dyDescent="0.25">
      <c r="A55" s="27">
        <f t="shared" si="0"/>
        <v>14</v>
      </c>
      <c r="B55" s="27" t="str">
        <f>OFFSET('YODA Header Blocks'!$A$1,0,A55)</f>
        <v>Sampling Features</v>
      </c>
      <c r="C55" s="27">
        <f t="shared" si="1"/>
        <v>14</v>
      </c>
      <c r="D55" s="27"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Values'!R",ROW()-LengthHeader,"C2:R",ROW()-LengthHeader,"C",NumFileColumns+2),FALSE))," ],["))))</f>
        <v xml:space="preserve">  - &amp;SamplingFeatureID0013 {SamplingFeatureUUID:  "", SamplingFeatureTypeCV:  "Specimen", SamplingFeatureCode:  "1100229", SamplingFeatureName:  "", SamplingFeatureDescription:  "", SamplingFeatureGeotypeCV:  Point, FeatureGeometry:  NULL, Elevation_m:  NULL, ElevationDatumCV:  NULL}</v>
      </c>
    </row>
    <row r="56" spans="1:4" x14ac:dyDescent="0.25">
      <c r="A56" s="27">
        <f t="shared" si="0"/>
        <v>14</v>
      </c>
      <c r="B56" s="27" t="str">
        <f>OFFSET('YODA Header Blocks'!$A$1,0,A56)</f>
        <v>Sampling Features</v>
      </c>
      <c r="C56" s="27">
        <f t="shared" si="1"/>
        <v>15</v>
      </c>
      <c r="D56" s="27"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Values'!R",ROW()-LengthHeader,"C2:R",ROW()-LengthHeader,"C",NumFileColumns+2),FALSE))," ],["))))</f>
        <v xml:space="preserve">  - &amp;SamplingFeatureID0014 {SamplingFeatureUUID:  "", SamplingFeatureTypeCV:  "Specimen", SamplingFeatureCode:  "1100230", SamplingFeatureName:  "", SamplingFeatureDescription:  "", SamplingFeatureGeotypeCV:  Point, FeatureGeometry:  NULL, Elevation_m:  NULL, ElevationDatumCV:  NULL}</v>
      </c>
    </row>
    <row r="57" spans="1:4" x14ac:dyDescent="0.25">
      <c r="A57" s="27">
        <f t="shared" si="0"/>
        <v>14</v>
      </c>
      <c r="B57" s="27" t="str">
        <f>OFFSET('YODA Header Blocks'!$A$1,0,A57)</f>
        <v>Sampling Features</v>
      </c>
      <c r="C57" s="27">
        <f t="shared" si="1"/>
        <v>16</v>
      </c>
      <c r="D57" s="2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Values'!R",ROW()-LengthHeader,"C2:R",ROW()-LengthHeader,"C",NumFileColumns+2),FALSE))," ],["))))</f>
        <v xml:space="preserve">  - &amp;SamplingFeatureID0015 {SamplingFeatureUUID:  "", SamplingFeatureTypeCV:  "Specimen", SamplingFeatureCode:  "1100285", SamplingFeatureName:  "", SamplingFeatureDescription:  "", SamplingFeatureGeotypeCV:  Point, FeatureGeometry:  NULL, Elevation_m:  NULL, ElevationDatumCV:  NULL}</v>
      </c>
    </row>
    <row r="58" spans="1:4" x14ac:dyDescent="0.25">
      <c r="A58" s="27">
        <f t="shared" si="0"/>
        <v>14</v>
      </c>
      <c r="B58" s="27" t="str">
        <f>OFFSET('YODA Header Blocks'!$A$1,0,A58)</f>
        <v>Sampling Features</v>
      </c>
      <c r="C58" s="27">
        <f t="shared" si="1"/>
        <v>17</v>
      </c>
      <c r="D58" s="27"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Values'!R",ROW()-LengthHeader,"C2:R",ROW()-LengthHeader,"C",NumFileColumns+2),FALSE))," ],["))))</f>
        <v xml:space="preserve">  - &amp;SamplingFeatureID0016 {SamplingFeatureUUID:  "", SamplingFeatureTypeCV:  "Specimen", SamplingFeatureCode:  "1100286", SamplingFeatureName:  "", SamplingFeatureDescription:  "", SamplingFeatureGeotypeCV:  Point, FeatureGeometry:  NULL, Elevation_m:  NULL, ElevationDatumCV:  NULL}</v>
      </c>
    </row>
    <row r="59" spans="1:4" x14ac:dyDescent="0.25">
      <c r="A59" s="27">
        <f t="shared" si="0"/>
        <v>14</v>
      </c>
      <c r="B59" s="27" t="str">
        <f>OFFSET('YODA Header Blocks'!$A$1,0,A59)</f>
        <v>Sampling Features</v>
      </c>
      <c r="C59" s="27">
        <f t="shared" si="1"/>
        <v>18</v>
      </c>
      <c r="D59" s="27"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Values'!R",ROW()-LengthHeader,"C2:R",ROW()-LengthHeader,"C",NumFileColumns+2),FALSE))," ],["))))</f>
        <v xml:space="preserve">  - &amp;SamplingFeatureID0017 {SamplingFeatureUUID:  "", SamplingFeatureTypeCV:  "Specimen", SamplingFeatureCode:  "1100287", SamplingFeatureName:  "", SamplingFeatureDescription:  "", SamplingFeatureGeotypeCV:  Point, FeatureGeometry:  NULL, Elevation_m:  NULL, ElevationDatumCV:  NULL}</v>
      </c>
    </row>
    <row r="60" spans="1:4" x14ac:dyDescent="0.25">
      <c r="A60" s="27">
        <f t="shared" si="0"/>
        <v>14</v>
      </c>
      <c r="B60" s="27" t="str">
        <f>OFFSET('YODA Header Blocks'!$A$1,0,A60)</f>
        <v>Sampling Features</v>
      </c>
      <c r="C60" s="27">
        <f t="shared" si="1"/>
        <v>19</v>
      </c>
      <c r="D60" s="27"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Values'!R",ROW()-LengthHeader,"C2:R",ROW()-LengthHeader,"C",NumFileColumns+2),FALSE))," ],["))))</f>
        <v xml:space="preserve">  - &amp;SamplingFeatureID0018 {SamplingFeatureUUID:  "", SamplingFeatureTypeCV:  "Specimen", SamplingFeatureCode:  "1100288", SamplingFeatureName:  "", SamplingFeatureDescription:  "", SamplingFeatureGeotypeCV:  Point, FeatureGeometry:  NULL, Elevation_m:  NULL, ElevationDatumCV:  NULL}</v>
      </c>
    </row>
    <row r="61" spans="1:4" x14ac:dyDescent="0.25">
      <c r="A61" s="27">
        <f t="shared" si="0"/>
        <v>14</v>
      </c>
      <c r="B61" s="27" t="str">
        <f>OFFSET('YODA Header Blocks'!$A$1,0,A61)</f>
        <v>Sampling Features</v>
      </c>
      <c r="C61" s="27">
        <f t="shared" si="1"/>
        <v>20</v>
      </c>
      <c r="D61" s="27"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Values'!R",ROW()-LengthHeader,"C2:R",ROW()-LengthHeader,"C",NumFileColumns+2),FALSE))," ],["))))</f>
        <v xml:space="preserve">  - &amp;SamplingFeatureID0019 {SamplingFeatureUUID:  "", SamplingFeatureTypeCV:  "Specimen", SamplingFeatureCode:  "1100289", SamplingFeatureName:  "", SamplingFeatureDescription:  "", SamplingFeatureGeotypeCV:  Point, FeatureGeometry:  NULL, Elevation_m:  NULL, ElevationDatumCV:  NULL}</v>
      </c>
    </row>
    <row r="62" spans="1:4" x14ac:dyDescent="0.25">
      <c r="A62" s="27">
        <f t="shared" si="0"/>
        <v>14</v>
      </c>
      <c r="B62" s="27" t="str">
        <f>OFFSET('YODA Header Blocks'!$A$1,0,A62)</f>
        <v>Sampling Features</v>
      </c>
      <c r="C62" s="27">
        <f t="shared" si="1"/>
        <v>21</v>
      </c>
      <c r="D62" s="27"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Values'!R",ROW()-LengthHeader,"C2:R",ROW()-LengthHeader,"C",NumFileColumns+2),FALSE))," ],["))))</f>
        <v xml:space="preserve">  - &amp;SamplingFeatureID0020 {SamplingFeatureUUID:  "", SamplingFeatureTypeCV:  "Specimen", SamplingFeatureCode:  "1100290", SamplingFeatureName:  "", SamplingFeatureDescription:  "", SamplingFeatureGeotypeCV:  Point, FeatureGeometry:  NULL, Elevation_m:  NULL, ElevationDatumCV:  NULL}</v>
      </c>
    </row>
    <row r="63" spans="1:4" x14ac:dyDescent="0.25">
      <c r="A63" s="27">
        <f t="shared" si="0"/>
        <v>14</v>
      </c>
      <c r="B63" s="27" t="str">
        <f>OFFSET('YODA Header Blocks'!$A$1,0,A63)</f>
        <v>Sampling Features</v>
      </c>
      <c r="C63" s="27">
        <f t="shared" si="1"/>
        <v>22</v>
      </c>
      <c r="D63" s="27"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Values'!R",ROW()-LengthHeader,"C2:R",ROW()-LengthHeader,"C",NumFileColumns+2),FALSE))," ],["))))</f>
        <v xml:space="preserve">  - &amp;SamplingFeatureID0021 {SamplingFeatureUUID:  "", SamplingFeatureTypeCV:  "Specimen", SamplingFeatureCode:  "1100291", SamplingFeatureName:  "", SamplingFeatureDescription:  "", SamplingFeatureGeotypeCV:  Point, FeatureGeometry:  NULL, Elevation_m:  NULL, ElevationDatumCV:  NULL}</v>
      </c>
    </row>
    <row r="64" spans="1:4" x14ac:dyDescent="0.25">
      <c r="A64" s="27">
        <f t="shared" si="0"/>
        <v>14</v>
      </c>
      <c r="B64" s="27" t="str">
        <f>OFFSET('YODA Header Blocks'!$A$1,0,A64)</f>
        <v>Sampling Features</v>
      </c>
      <c r="C64" s="27">
        <f t="shared" si="1"/>
        <v>23</v>
      </c>
      <c r="D64" s="27"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Values'!R",ROW()-LengthHeader,"C2:R",ROW()-LengthHeader,"C",NumFileColumns+2),FALSE))," ],["))))</f>
        <v xml:space="preserve">  - &amp;SamplingFeatureID0022 {SamplingFeatureUUID:  "", SamplingFeatureTypeCV:  "Specimen", SamplingFeatureCode:  "1100292", SamplingFeatureName:  "", SamplingFeatureDescription:  "", SamplingFeatureGeotypeCV:  Point, FeatureGeometry:  NULL, Elevation_m:  NULL, ElevationDatumCV:  NULL}</v>
      </c>
    </row>
    <row r="65" spans="1:4" x14ac:dyDescent="0.25">
      <c r="A65" s="27">
        <f t="shared" si="0"/>
        <v>14</v>
      </c>
      <c r="B65" s="27" t="str">
        <f>OFFSET('YODA Header Blocks'!$A$1,0,A65)</f>
        <v>Sampling Features</v>
      </c>
      <c r="C65" s="27">
        <f t="shared" si="1"/>
        <v>24</v>
      </c>
      <c r="D65" s="27"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Values'!R",ROW()-LengthHeader,"C2:R",ROW()-LengthHeader,"C",NumFileColumns+2),FALSE))," ],["))))</f>
        <v xml:space="preserve">  - &amp;SamplingFeatureID0023 {SamplingFeatureUUID:  "", SamplingFeatureTypeCV:  "Specimen", SamplingFeatureCode:  "1100293", SamplingFeatureName:  "", SamplingFeatureDescription:  "", SamplingFeatureGeotypeCV:  Point, FeatureGeometry:  NULL, Elevation_m:  NULL, ElevationDatumCV:  NULL}</v>
      </c>
    </row>
    <row r="66" spans="1:4" x14ac:dyDescent="0.25">
      <c r="A66" s="27">
        <f t="shared" si="0"/>
        <v>14</v>
      </c>
      <c r="B66" s="27" t="str">
        <f>OFFSET('YODA Header Blocks'!$A$1,0,A66)</f>
        <v>Sampling Features</v>
      </c>
      <c r="C66" s="27">
        <f t="shared" si="1"/>
        <v>25</v>
      </c>
      <c r="D66" s="27"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Values'!R",ROW()-LengthHeader,"C2:R",ROW()-LengthHeader,"C",NumFileColumns+2),FALSE))," ],["))))</f>
        <v xml:space="preserve">  - &amp;SamplingFeatureID0024 {SamplingFeatureUUID:  "", SamplingFeatureTypeCV:  "Specimen", SamplingFeatureCode:  "1100294", SamplingFeatureName:  "", SamplingFeatureDescription:  "", SamplingFeatureGeotypeCV:  Point, FeatureGeometry:  NULL, Elevation_m:  NULL, ElevationDatumCV:  NULL}</v>
      </c>
    </row>
    <row r="67" spans="1:4" x14ac:dyDescent="0.25">
      <c r="A67" s="27">
        <f t="shared" si="0"/>
        <v>14</v>
      </c>
      <c r="B67" s="27" t="str">
        <f>OFFSET('YODA Header Blocks'!$A$1,0,A67)</f>
        <v>Sampling Features</v>
      </c>
      <c r="C67" s="27">
        <f t="shared" si="1"/>
        <v>26</v>
      </c>
      <c r="D67" s="27"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Values'!R",ROW()-LengthHeader,"C2:R",ROW()-LengthHeader,"C",NumFileColumns+2),FALSE))," ],["))))</f>
        <v xml:space="preserve">  - &amp;SamplingFeatureID0025 {SamplingFeatureUUID:  "", SamplingFeatureTypeCV:  "Specimen", SamplingFeatureCode:  "1100338", SamplingFeatureName:  "", SamplingFeatureDescription:  "", SamplingFeatureGeotypeCV:  Point, FeatureGeometry:  NULL, Elevation_m:  NULL, ElevationDatumCV:  NULL}</v>
      </c>
    </row>
    <row r="68" spans="1:4" x14ac:dyDescent="0.25">
      <c r="A68" s="27">
        <f t="shared" ref="A68:A131" si="2">IF(C67=INDIRECT(CONCATENATE("'YODA Header Blocks'!R2C",A67+1,":R2C",A67+1),FALSE),A67+1,A67)</f>
        <v>14</v>
      </c>
      <c r="B68" s="27" t="str">
        <f>OFFSET('YODA Header Blocks'!$A$1,0,A68)</f>
        <v>Sampling Features</v>
      </c>
      <c r="C68" s="27">
        <f t="shared" ref="C68:C131" si="3">IF(C67=SUM(INDIRECT(CONCATENATE("'YODA Header Blocks'!R2C",A67+1,":R2C",A67+1),FALSE)),1,C67+1)</f>
        <v>27</v>
      </c>
      <c r="D68" s="27"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Values'!R",ROW()-LengthHeader,"C2:R",ROW()-LengthHeader,"C",NumFileColumns+2),FALSE))," ],["))))</f>
        <v xml:space="preserve">  - &amp;SamplingFeatureID0026 {SamplingFeatureUUID:  "", SamplingFeatureTypeCV:  "Specimen", SamplingFeatureCode:  "1100356", SamplingFeatureName:  "", SamplingFeatureDescription:  "", SamplingFeatureGeotypeCV:  Point, FeatureGeometry:  NULL, Elevation_m:  NULL, ElevationDatumCV:  NULL}</v>
      </c>
    </row>
    <row r="69" spans="1:4" x14ac:dyDescent="0.25">
      <c r="A69" s="27">
        <f t="shared" si="2"/>
        <v>14</v>
      </c>
      <c r="B69" s="27" t="str">
        <f>OFFSET('YODA Header Blocks'!$A$1,0,A69)</f>
        <v>Sampling Features</v>
      </c>
      <c r="C69" s="27">
        <f t="shared" si="3"/>
        <v>28</v>
      </c>
      <c r="D69" s="27"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Values'!R",ROW()-LengthHeader,"C2:R",ROW()-LengthHeader,"C",NumFileColumns+2),FALSE))," ],["))))</f>
        <v xml:space="preserve">  - &amp;SamplingFeatureID0027 {SamplingFeatureUUID:  "", SamplingFeatureTypeCV:  "Specimen", SamplingFeatureCode:  "1100357", SamplingFeatureName:  "", SamplingFeatureDescription:  "", SamplingFeatureGeotypeCV:  Point, FeatureGeometry:  NULL, Elevation_m:  NULL, ElevationDatumCV:  NULL}</v>
      </c>
    </row>
    <row r="70" spans="1:4" x14ac:dyDescent="0.25">
      <c r="A70" s="27">
        <f t="shared" si="2"/>
        <v>14</v>
      </c>
      <c r="B70" s="27" t="str">
        <f>OFFSET('YODA Header Blocks'!$A$1,0,A70)</f>
        <v>Sampling Features</v>
      </c>
      <c r="C70" s="27">
        <f t="shared" si="3"/>
        <v>29</v>
      </c>
      <c r="D70" s="27"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Values'!R",ROW()-LengthHeader,"C2:R",ROW()-LengthHeader,"C",NumFileColumns+2),FALSE))," ],["))))</f>
        <v xml:space="preserve">  - &amp;SamplingFeatureID0028 {SamplingFeatureUUID:  "", SamplingFeatureTypeCV:  "Specimen", SamplingFeatureCode:  "1100358", SamplingFeatureName:  "", SamplingFeatureDescription:  "", SamplingFeatureGeotypeCV:  Point, FeatureGeometry:  NULL, Elevation_m:  NULL, ElevationDatumCV:  NULL}</v>
      </c>
    </row>
    <row r="71" spans="1:4" x14ac:dyDescent="0.25">
      <c r="A71" s="27">
        <f t="shared" si="2"/>
        <v>14</v>
      </c>
      <c r="B71" s="27" t="str">
        <f>OFFSET('YODA Header Blocks'!$A$1,0,A71)</f>
        <v>Sampling Features</v>
      </c>
      <c r="C71" s="27">
        <f t="shared" si="3"/>
        <v>30</v>
      </c>
      <c r="D71" s="27"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Values'!R",ROW()-LengthHeader,"C2:R",ROW()-LengthHeader,"C",NumFileColumns+2),FALSE))," ],["))))</f>
        <v xml:space="preserve">  - &amp;SamplingFeatureID0029 {SamplingFeatureUUID:  "", SamplingFeatureTypeCV:  "Specimen", SamplingFeatureCode:  "1100359", SamplingFeatureName:  "", SamplingFeatureDescription:  "", SamplingFeatureGeotypeCV:  Point, FeatureGeometry:  NULL, Elevation_m:  NULL, ElevationDatumCV:  NULL}</v>
      </c>
    </row>
    <row r="72" spans="1:4" x14ac:dyDescent="0.25">
      <c r="A72" s="27">
        <f t="shared" si="2"/>
        <v>14</v>
      </c>
      <c r="B72" s="27" t="str">
        <f>OFFSET('YODA Header Blocks'!$A$1,0,A72)</f>
        <v>Sampling Features</v>
      </c>
      <c r="C72" s="27">
        <f t="shared" si="3"/>
        <v>31</v>
      </c>
      <c r="D72" s="27"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Values'!R",ROW()-LengthHeader,"C2:R",ROW()-LengthHeader,"C",NumFileColumns+2),FALSE))," ],["))))</f>
        <v xml:space="preserve">  - &amp;SamplingFeatureID0030 {SamplingFeatureUUID:  "", SamplingFeatureTypeCV:  "Specimen", SamplingFeatureCode:  "1100360", SamplingFeatureName:  "", SamplingFeatureDescription:  "", SamplingFeatureGeotypeCV:  Point, FeatureGeometry:  NULL, Elevation_m:  NULL, ElevationDatumCV:  NULL}</v>
      </c>
    </row>
    <row r="73" spans="1:4" x14ac:dyDescent="0.25">
      <c r="A73" s="27">
        <f t="shared" si="2"/>
        <v>14</v>
      </c>
      <c r="B73" s="27" t="str">
        <f>OFFSET('YODA Header Blocks'!$A$1,0,A73)</f>
        <v>Sampling Features</v>
      </c>
      <c r="C73" s="27">
        <f t="shared" si="3"/>
        <v>32</v>
      </c>
      <c r="D73" s="27"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Values'!R",ROW()-LengthHeader,"C2:R",ROW()-LengthHeader,"C",NumFileColumns+2),FALSE))," ],["))))</f>
        <v xml:space="preserve">  - &amp;SamplingFeatureID0031 {SamplingFeatureUUID:  "", SamplingFeatureTypeCV:  "Specimen", SamplingFeatureCode:  "1100361", SamplingFeatureName:  "", SamplingFeatureDescription:  "", SamplingFeatureGeotypeCV:  Point, FeatureGeometry:  NULL, Elevation_m:  NULL, ElevationDatumCV:  NULL}</v>
      </c>
    </row>
    <row r="74" spans="1:4" x14ac:dyDescent="0.25">
      <c r="A74" s="27">
        <f t="shared" si="2"/>
        <v>14</v>
      </c>
      <c r="B74" s="27" t="str">
        <f>OFFSET('YODA Header Blocks'!$A$1,0,A74)</f>
        <v>Sampling Features</v>
      </c>
      <c r="C74" s="27">
        <f t="shared" si="3"/>
        <v>33</v>
      </c>
      <c r="D74" s="27"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Values'!R",ROW()-LengthHeader,"C2:R",ROW()-LengthHeader,"C",NumFileColumns+2),FALSE))," ],["))))</f>
        <v xml:space="preserve">  - &amp;SamplingFeatureID0032 {SamplingFeatureUUID:  "", SamplingFeatureTypeCV:  "Specimen", SamplingFeatureCode:  "1100362", SamplingFeatureName:  "", SamplingFeatureDescription:  "", SamplingFeatureGeotypeCV:  Point, FeatureGeometry:  NULL, Elevation_m:  NULL, ElevationDatumCV:  NULL}</v>
      </c>
    </row>
    <row r="75" spans="1:4" x14ac:dyDescent="0.25">
      <c r="A75" s="27">
        <f t="shared" si="2"/>
        <v>14</v>
      </c>
      <c r="B75" s="27" t="str">
        <f>OFFSET('YODA Header Blocks'!$A$1,0,A75)</f>
        <v>Sampling Features</v>
      </c>
      <c r="C75" s="27">
        <f t="shared" si="3"/>
        <v>34</v>
      </c>
      <c r="D75" s="27"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Values'!R",ROW()-LengthHeader,"C2:R",ROW()-LengthHeader,"C",NumFileColumns+2),FALSE))," ],["))))</f>
        <v xml:space="preserve">  - &amp;SamplingFeatureID0033 {SamplingFeatureUUID:  "", SamplingFeatureTypeCV:  "Specimen", SamplingFeatureCode:  "1100363", SamplingFeatureName:  "", SamplingFeatureDescription:  "", SamplingFeatureGeotypeCV:  Point, FeatureGeometry:  NULL, Elevation_m:  NULL, ElevationDatumCV:  NULL}</v>
      </c>
    </row>
    <row r="76" spans="1:4" x14ac:dyDescent="0.25">
      <c r="A76" s="27">
        <f t="shared" si="2"/>
        <v>14</v>
      </c>
      <c r="B76" s="27" t="str">
        <f>OFFSET('YODA Header Blocks'!$A$1,0,A76)</f>
        <v>Sampling Features</v>
      </c>
      <c r="C76" s="27">
        <f t="shared" si="3"/>
        <v>35</v>
      </c>
      <c r="D76" s="27"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Values'!R",ROW()-LengthHeader,"C2:R",ROW()-LengthHeader,"C",NumFileColumns+2),FALSE))," ],["))))</f>
        <v xml:space="preserve">  - &amp;SamplingFeatureID0034 {SamplingFeatureUUID:  "", SamplingFeatureTypeCV:  "Specimen", SamplingFeatureCode:  "1100364", SamplingFeatureName:  "", SamplingFeatureDescription:  "", SamplingFeatureGeotypeCV:  Point, FeatureGeometry:  NULL, Elevation_m:  NULL, ElevationDatumCV:  NULL}</v>
      </c>
    </row>
    <row r="77" spans="1:4" x14ac:dyDescent="0.25">
      <c r="A77" s="27">
        <f t="shared" si="2"/>
        <v>14</v>
      </c>
      <c r="B77" s="27" t="str">
        <f>OFFSET('YODA Header Blocks'!$A$1,0,A77)</f>
        <v>Sampling Features</v>
      </c>
      <c r="C77" s="27">
        <f t="shared" si="3"/>
        <v>36</v>
      </c>
      <c r="D77" s="27"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Values'!R",ROW()-LengthHeader,"C2:R",ROW()-LengthHeader,"C",NumFileColumns+2),FALSE))," ],["))))</f>
        <v xml:space="preserve">  - &amp;SamplingFeatureID0035 {SamplingFeatureUUID:  "", SamplingFeatureTypeCV:  "Specimen", SamplingFeatureCode:  "1100365", SamplingFeatureName:  "", SamplingFeatureDescription:  "", SamplingFeatureGeotypeCV:  Point, FeatureGeometry:  NULL, Elevation_m:  NULL, ElevationDatumCV:  NULL}</v>
      </c>
    </row>
    <row r="78" spans="1:4" x14ac:dyDescent="0.25">
      <c r="A78" s="27">
        <f t="shared" si="2"/>
        <v>14</v>
      </c>
      <c r="B78" s="27" t="str">
        <f>OFFSET('YODA Header Blocks'!$A$1,0,A78)</f>
        <v>Sampling Features</v>
      </c>
      <c r="C78" s="27">
        <f t="shared" si="3"/>
        <v>37</v>
      </c>
      <c r="D78" s="27"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Values'!R",ROW()-LengthHeader,"C2:R",ROW()-LengthHeader,"C",NumFileColumns+2),FALSE))," ],["))))</f>
        <v xml:space="preserve">  - &amp;SamplingFeatureID0036 {SamplingFeatureUUID:  "", SamplingFeatureTypeCV:  "Specimen", SamplingFeatureCode:  "1100366", SamplingFeatureName:  "", SamplingFeatureDescription:  "", SamplingFeatureGeotypeCV:  Point, FeatureGeometry:  NULL, Elevation_m:  NULL, ElevationDatumCV:  NULL}</v>
      </c>
    </row>
    <row r="79" spans="1:4" x14ac:dyDescent="0.25">
      <c r="A79" s="27">
        <f t="shared" si="2"/>
        <v>14</v>
      </c>
      <c r="B79" s="27" t="str">
        <f>OFFSET('YODA Header Blocks'!$A$1,0,A79)</f>
        <v>Sampling Features</v>
      </c>
      <c r="C79" s="27">
        <f t="shared" si="3"/>
        <v>38</v>
      </c>
      <c r="D79" s="27"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Values'!R",ROW()-LengthHeader,"C2:R",ROW()-LengthHeader,"C",NumFileColumns+2),FALSE))," ],["))))</f>
        <v xml:space="preserve">  - &amp;SamplingFeatureID0037 {SamplingFeatureUUID:  "", SamplingFeatureTypeCV:  "Specimen", SamplingFeatureCode:  "1100367", SamplingFeatureName:  "", SamplingFeatureDescription:  "", SamplingFeatureGeotypeCV:  Point, FeatureGeometry:  NULL, Elevation_m:  NULL, ElevationDatumCV:  NULL}</v>
      </c>
    </row>
    <row r="80" spans="1:4" x14ac:dyDescent="0.25">
      <c r="A80" s="27">
        <f t="shared" si="2"/>
        <v>14</v>
      </c>
      <c r="B80" s="27" t="str">
        <f>OFFSET('YODA Header Blocks'!$A$1,0,A80)</f>
        <v>Sampling Features</v>
      </c>
      <c r="C80" s="27">
        <f t="shared" si="3"/>
        <v>39</v>
      </c>
      <c r="D80" s="27"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Values'!R",ROW()-LengthHeader,"C2:R",ROW()-LengthHeader,"C",NumFileColumns+2),FALSE))," ],["))))</f>
        <v xml:space="preserve">  - &amp;SamplingFeatureID0038 {SamplingFeatureUUID:  "", SamplingFeatureTypeCV:  "Specimen", SamplingFeatureCode:  "1100429", SamplingFeatureName:  "", SamplingFeatureDescription:  "", SamplingFeatureGeotypeCV:  Point, FeatureGeometry:  NULL, Elevation_m:  NULL, ElevationDatumCV:  NULL}</v>
      </c>
    </row>
    <row r="81" spans="1:4" x14ac:dyDescent="0.25">
      <c r="A81" s="27">
        <f t="shared" si="2"/>
        <v>14</v>
      </c>
      <c r="B81" s="27" t="str">
        <f>OFFSET('YODA Header Blocks'!$A$1,0,A81)</f>
        <v>Sampling Features</v>
      </c>
      <c r="C81" s="27">
        <f t="shared" si="3"/>
        <v>40</v>
      </c>
      <c r="D81" s="27"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Values'!R",ROW()-LengthHeader,"C2:R",ROW()-LengthHeader,"C",NumFileColumns+2),FALSE))," ],["))))</f>
        <v xml:space="preserve">  - &amp;SamplingFeatureID0039 {SamplingFeatureUUID:  "", SamplingFeatureTypeCV:  "Specimen", SamplingFeatureCode:  "1100430", SamplingFeatureName:  "", SamplingFeatureDescription:  "", SamplingFeatureGeotypeCV:  Point, FeatureGeometry:  NULL, Elevation_m:  NULL, ElevationDatumCV:  NULL}</v>
      </c>
    </row>
    <row r="82" spans="1:4" x14ac:dyDescent="0.25">
      <c r="A82" s="27">
        <f t="shared" si="2"/>
        <v>14</v>
      </c>
      <c r="B82" s="27" t="str">
        <f>OFFSET('YODA Header Blocks'!$A$1,0,A82)</f>
        <v>Sampling Features</v>
      </c>
      <c r="C82" s="27">
        <f t="shared" si="3"/>
        <v>41</v>
      </c>
      <c r="D82" s="27"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Values'!R",ROW()-LengthHeader,"C2:R",ROW()-LengthHeader,"C",NumFileColumns+2),FALSE))," ],["))))</f>
        <v xml:space="preserve">  - &amp;SamplingFeatureID0040 {SamplingFeatureUUID:  "", SamplingFeatureTypeCV:  "Specimen", SamplingFeatureCode:  "1100553", SamplingFeatureName:  "", SamplingFeatureDescription:  "", SamplingFeatureGeotypeCV:  Point, FeatureGeometry:  NULL, Elevation_m:  NULL, ElevationDatumCV:  NULL}</v>
      </c>
    </row>
    <row r="83" spans="1:4" x14ac:dyDescent="0.25">
      <c r="A83" s="27">
        <f t="shared" si="2"/>
        <v>14</v>
      </c>
      <c r="B83" s="27" t="str">
        <f>OFFSET('YODA Header Blocks'!$A$1,0,A83)</f>
        <v>Sampling Features</v>
      </c>
      <c r="C83" s="27">
        <f t="shared" si="3"/>
        <v>42</v>
      </c>
      <c r="D83" s="27"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Values'!R",ROW()-LengthHeader,"C2:R",ROW()-LengthHeader,"C",NumFileColumns+2),FALSE))," ],["))))</f>
        <v xml:space="preserve">  - &amp;SamplingFeatureID0041 {SamplingFeatureUUID:  "", SamplingFeatureTypeCV:  "Specimen", SamplingFeatureCode:  "1100563", SamplingFeatureName:  "", SamplingFeatureDescription:  "", SamplingFeatureGeotypeCV:  Point, FeatureGeometry:  NULL, Elevation_m:  NULL, ElevationDatumCV:  NULL}</v>
      </c>
    </row>
    <row r="84" spans="1:4" x14ac:dyDescent="0.25">
      <c r="A84" s="27">
        <f t="shared" si="2"/>
        <v>14</v>
      </c>
      <c r="B84" s="27" t="str">
        <f>OFFSET('YODA Header Blocks'!$A$1,0,A84)</f>
        <v>Sampling Features</v>
      </c>
      <c r="C84" s="27">
        <f t="shared" si="3"/>
        <v>43</v>
      </c>
      <c r="D84" s="27"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Values'!R",ROW()-LengthHeader,"C2:R",ROW()-LengthHeader,"C",NumFileColumns+2),FALSE))," ],["))))</f>
        <v xml:space="preserve">  - &amp;SamplingFeatureID0042 {SamplingFeatureUUID:  "", SamplingFeatureTypeCV:  "Specimen", SamplingFeatureCode:  "1100564", SamplingFeatureName:  "", SamplingFeatureDescription:  "", SamplingFeatureGeotypeCV:  Point, FeatureGeometry:  NULL, Elevation_m:  NULL, ElevationDatumCV:  NULL}</v>
      </c>
    </row>
    <row r="85" spans="1:4" x14ac:dyDescent="0.25">
      <c r="A85" s="27">
        <f t="shared" si="2"/>
        <v>14</v>
      </c>
      <c r="B85" s="27" t="str">
        <f>OFFSET('YODA Header Blocks'!$A$1,0,A85)</f>
        <v>Sampling Features</v>
      </c>
      <c r="C85" s="27">
        <f t="shared" si="3"/>
        <v>44</v>
      </c>
      <c r="D85" s="27"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Values'!R",ROW()-LengthHeader,"C2:R",ROW()-LengthHeader,"C",NumFileColumns+2),FALSE))," ],["))))</f>
        <v xml:space="preserve">  - &amp;SamplingFeatureID0043 {SamplingFeatureUUID:  "", SamplingFeatureTypeCV:  "Specimen", SamplingFeatureCode:  "1100585", SamplingFeatureName:  "", SamplingFeatureDescription:  "", SamplingFeatureGeotypeCV:  Point, FeatureGeometry:  NULL, Elevation_m:  NULL, ElevationDatumCV:  NULL}</v>
      </c>
    </row>
    <row r="86" spans="1:4" x14ac:dyDescent="0.25">
      <c r="A86" s="27">
        <f t="shared" si="2"/>
        <v>14</v>
      </c>
      <c r="B86" s="27" t="str">
        <f>OFFSET('YODA Header Blocks'!$A$1,0,A86)</f>
        <v>Sampling Features</v>
      </c>
      <c r="C86" s="27">
        <f t="shared" si="3"/>
        <v>45</v>
      </c>
      <c r="D86" s="27"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Values'!R",ROW()-LengthHeader,"C2:R",ROW()-LengthHeader,"C",NumFileColumns+2),FALSE))," ],["))))</f>
        <v xml:space="preserve">  - &amp;SamplingFeatureID0044 {SamplingFeatureUUID:  "", SamplingFeatureTypeCV:  "Specimen", SamplingFeatureCode:  "1100586", SamplingFeatureName:  "", SamplingFeatureDescription:  "", SamplingFeatureGeotypeCV:  Point, FeatureGeometry:  NULL, Elevation_m:  NULL, ElevationDatumCV:  NULL}</v>
      </c>
    </row>
    <row r="87" spans="1:4" x14ac:dyDescent="0.25">
      <c r="A87" s="27">
        <f t="shared" si="2"/>
        <v>14</v>
      </c>
      <c r="B87" s="27" t="str">
        <f>OFFSET('YODA Header Blocks'!$A$1,0,A87)</f>
        <v>Sampling Features</v>
      </c>
      <c r="C87" s="27">
        <f t="shared" si="3"/>
        <v>46</v>
      </c>
      <c r="D87" s="27"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Values'!R",ROW()-LengthHeader,"C2:R",ROW()-LengthHeader,"C",NumFileColumns+2),FALSE))," ],["))))</f>
        <v xml:space="preserve">  - &amp;SamplingFeatureID0045 {SamplingFeatureUUID:  "", SamplingFeatureTypeCV:  "Specimen", SamplingFeatureCode:  "1100587", SamplingFeatureName:  "", SamplingFeatureDescription:  "", SamplingFeatureGeotypeCV:  Point, FeatureGeometry:  NULL, Elevation_m:  NULL, ElevationDatumCV:  NULL}</v>
      </c>
    </row>
    <row r="88" spans="1:4" x14ac:dyDescent="0.25">
      <c r="A88" s="27">
        <f t="shared" si="2"/>
        <v>14</v>
      </c>
      <c r="B88" s="27" t="str">
        <f>OFFSET('YODA Header Blocks'!$A$1,0,A88)</f>
        <v>Sampling Features</v>
      </c>
      <c r="C88" s="27">
        <f t="shared" si="3"/>
        <v>47</v>
      </c>
      <c r="D88" s="27"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Values'!R",ROW()-LengthHeader,"C2:R",ROW()-LengthHeader,"C",NumFileColumns+2),FALSE))," ],["))))</f>
        <v xml:space="preserve">  - &amp;SamplingFeatureID0046 {SamplingFeatureUUID:  "", SamplingFeatureTypeCV:  "Specimen", SamplingFeatureCode:  "1100604", SamplingFeatureName:  "", SamplingFeatureDescription:  "", SamplingFeatureGeotypeCV:  Point, FeatureGeometry:  NULL, Elevation_m:  NULL, ElevationDatumCV:  NULL}</v>
      </c>
    </row>
    <row r="89" spans="1:4" x14ac:dyDescent="0.25">
      <c r="A89" s="27">
        <f t="shared" si="2"/>
        <v>14</v>
      </c>
      <c r="B89" s="27" t="str">
        <f>OFFSET('YODA Header Blocks'!$A$1,0,A89)</f>
        <v>Sampling Features</v>
      </c>
      <c r="C89" s="27">
        <f t="shared" si="3"/>
        <v>48</v>
      </c>
      <c r="D89" s="27"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Values'!R",ROW()-LengthHeader,"C2:R",ROW()-LengthHeader,"C",NumFileColumns+2),FALSE))," ],["))))</f>
        <v xml:space="preserve">  - &amp;SamplingFeatureID0047 {SamplingFeatureUUID:  "", SamplingFeatureTypeCV:  "Specimen", SamplingFeatureCode:  "1100605", SamplingFeatureName:  "", SamplingFeatureDescription:  "", SamplingFeatureGeotypeCV:  Point, FeatureGeometry:  NULL, Elevation_m:  NULL, ElevationDatumCV:  NULL}</v>
      </c>
    </row>
    <row r="90" spans="1:4" x14ac:dyDescent="0.25">
      <c r="A90" s="27">
        <f t="shared" si="2"/>
        <v>14</v>
      </c>
      <c r="B90" s="27" t="str">
        <f>OFFSET('YODA Header Blocks'!$A$1,0,A90)</f>
        <v>Sampling Features</v>
      </c>
      <c r="C90" s="27">
        <f t="shared" si="3"/>
        <v>49</v>
      </c>
      <c r="D90" s="27"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Values'!R",ROW()-LengthHeader,"C2:R",ROW()-LengthHeader,"C",NumFileColumns+2),FALSE))," ],["))))</f>
        <v xml:space="preserve">  - &amp;SamplingFeatureID0048 {SamplingFeatureUUID:  "", SamplingFeatureTypeCV:  "Specimen", SamplingFeatureCode:  "1100606", SamplingFeatureName:  "", SamplingFeatureDescription:  "", SamplingFeatureGeotypeCV:  Point, FeatureGeometry:  NULL, Elevation_m:  NULL, ElevationDatumCV:  NULL}</v>
      </c>
    </row>
    <row r="91" spans="1:4" x14ac:dyDescent="0.25">
      <c r="A91" s="27">
        <f t="shared" si="2"/>
        <v>14</v>
      </c>
      <c r="B91" s="27" t="str">
        <f>OFFSET('YODA Header Blocks'!$A$1,0,A91)</f>
        <v>Sampling Features</v>
      </c>
      <c r="C91" s="27">
        <f t="shared" si="3"/>
        <v>50</v>
      </c>
      <c r="D91" s="27"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Values'!R",ROW()-LengthHeader,"C2:R",ROW()-LengthHeader,"C",NumFileColumns+2),FALSE))," ],["))))</f>
        <v xml:space="preserve">  - &amp;SamplingFeatureID0049 {SamplingFeatureUUID:  "", SamplingFeatureTypeCV:  "Specimen", SamplingFeatureCode:  "1100607", SamplingFeatureName:  "", SamplingFeatureDescription:  "", SamplingFeatureGeotypeCV:  Point, FeatureGeometry:  NULL, Elevation_m:  NULL, ElevationDatumCV:  NULL}</v>
      </c>
    </row>
    <row r="92" spans="1:4" x14ac:dyDescent="0.25">
      <c r="A92" s="27">
        <f t="shared" si="2"/>
        <v>14</v>
      </c>
      <c r="B92" s="27" t="str">
        <f>OFFSET('YODA Header Blocks'!$A$1,0,A92)</f>
        <v>Sampling Features</v>
      </c>
      <c r="C92" s="27">
        <f t="shared" si="3"/>
        <v>51</v>
      </c>
      <c r="D92" s="27"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Values'!R",ROW()-LengthHeader,"C2:R",ROW()-LengthHeader,"C",NumFileColumns+2),FALSE))," ],["))))</f>
        <v xml:space="preserve">  - &amp;SamplingFeatureID0050 {SamplingFeatureUUID:  "", SamplingFeatureTypeCV:  "Specimen", SamplingFeatureCode:  "1100608", SamplingFeatureName:  "", SamplingFeatureDescription:  "", SamplingFeatureGeotypeCV:  Point, FeatureGeometry:  NULL, Elevation_m:  NULL, ElevationDatumCV:  NULL}</v>
      </c>
    </row>
    <row r="93" spans="1:4" x14ac:dyDescent="0.25">
      <c r="A93" s="27">
        <f t="shared" si="2"/>
        <v>14</v>
      </c>
      <c r="B93" s="27" t="str">
        <f>OFFSET('YODA Header Blocks'!$A$1,0,A93)</f>
        <v>Sampling Features</v>
      </c>
      <c r="C93" s="27">
        <f t="shared" si="3"/>
        <v>52</v>
      </c>
      <c r="D93" s="27"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Values'!R",ROW()-LengthHeader,"C2:R",ROW()-LengthHeader,"C",NumFileColumns+2),FALSE))," ],["))))</f>
        <v xml:space="preserve">  - &amp;SamplingFeatureID0051 {SamplingFeatureUUID:  "", SamplingFeatureTypeCV:  "Specimen", SamplingFeatureCode:  "1100609", SamplingFeatureName:  "", SamplingFeatureDescription:  "", SamplingFeatureGeotypeCV:  Point, FeatureGeometry:  NULL, Elevation_m:  NULL, ElevationDatumCV:  NULL}</v>
      </c>
    </row>
    <row r="94" spans="1:4" x14ac:dyDescent="0.25">
      <c r="A94" s="27">
        <f t="shared" si="2"/>
        <v>14</v>
      </c>
      <c r="B94" s="27" t="str">
        <f>OFFSET('YODA Header Blocks'!$A$1,0,A94)</f>
        <v>Sampling Features</v>
      </c>
      <c r="C94" s="27">
        <f t="shared" si="3"/>
        <v>53</v>
      </c>
      <c r="D94" s="27"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Values'!R",ROW()-LengthHeader,"C2:R",ROW()-LengthHeader,"C",NumFileColumns+2),FALSE))," ],["))))</f>
        <v xml:space="preserve">  - &amp;SamplingFeatureID0052 {SamplingFeatureUUID:  "", SamplingFeatureTypeCV:  "Specimen", SamplingFeatureCode:  "1100610", SamplingFeatureName:  "", SamplingFeatureDescription:  "", SamplingFeatureGeotypeCV:  Point, FeatureGeometry:  NULL, Elevation_m:  NULL, ElevationDatumCV:  NULL}</v>
      </c>
    </row>
    <row r="95" spans="1:4" x14ac:dyDescent="0.25">
      <c r="A95" s="27">
        <f t="shared" si="2"/>
        <v>14</v>
      </c>
      <c r="B95" s="27" t="str">
        <f>OFFSET('YODA Header Blocks'!$A$1,0,A95)</f>
        <v>Sampling Features</v>
      </c>
      <c r="C95" s="27">
        <f t="shared" si="3"/>
        <v>54</v>
      </c>
      <c r="D95" s="27"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Values'!R",ROW()-LengthHeader,"C2:R",ROW()-LengthHeader,"C",NumFileColumns+2),FALSE))," ],["))))</f>
        <v xml:space="preserve">  - &amp;SamplingFeatureID0053 {SamplingFeatureUUID:  "", SamplingFeatureTypeCV:  "Specimen", SamplingFeatureCode:  "1100611", SamplingFeatureName:  "", SamplingFeatureDescription:  "", SamplingFeatureGeotypeCV:  Point, FeatureGeometry:  NULL, Elevation_m:  NULL, ElevationDatumCV:  NULL}</v>
      </c>
    </row>
    <row r="96" spans="1:4" x14ac:dyDescent="0.25">
      <c r="A96" s="27">
        <f t="shared" si="2"/>
        <v>14</v>
      </c>
      <c r="B96" s="27" t="str">
        <f>OFFSET('YODA Header Blocks'!$A$1,0,A96)</f>
        <v>Sampling Features</v>
      </c>
      <c r="C96" s="27">
        <f t="shared" si="3"/>
        <v>55</v>
      </c>
      <c r="D96" s="27"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Values'!R",ROW()-LengthHeader,"C2:R",ROW()-LengthHeader,"C",NumFileColumns+2),FALSE))," ],["))))</f>
        <v xml:space="preserve">  - &amp;SamplingFeatureID0054 {SamplingFeatureUUID:  "", SamplingFeatureTypeCV:  "Specimen", SamplingFeatureCode:  "1100612", SamplingFeatureName:  "", SamplingFeatureDescription:  "", SamplingFeatureGeotypeCV:  Point, FeatureGeometry:  NULL, Elevation_m:  NULL, ElevationDatumCV:  NULL}</v>
      </c>
    </row>
    <row r="97" spans="1:4" x14ac:dyDescent="0.25">
      <c r="A97" s="27">
        <f t="shared" si="2"/>
        <v>14</v>
      </c>
      <c r="B97" s="27" t="str">
        <f>OFFSET('YODA Header Blocks'!$A$1,0,A97)</f>
        <v>Sampling Features</v>
      </c>
      <c r="C97" s="27">
        <f t="shared" si="3"/>
        <v>56</v>
      </c>
      <c r="D97" s="27"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Values'!R",ROW()-LengthHeader,"C2:R",ROW()-LengthHeader,"C",NumFileColumns+2),FALSE))," ],["))))</f>
        <v xml:space="preserve">  - &amp;SamplingFeatureID0055 {SamplingFeatureUUID:  "", SamplingFeatureTypeCV:  "Specimen", SamplingFeatureCode:  "1100613", SamplingFeatureName:  "", SamplingFeatureDescription:  "", SamplingFeatureGeotypeCV:  Point, FeatureGeometry:  NULL, Elevation_m:  NULL, ElevationDatumCV:  NULL}</v>
      </c>
    </row>
    <row r="98" spans="1:4" x14ac:dyDescent="0.25">
      <c r="A98" s="27">
        <f t="shared" si="2"/>
        <v>14</v>
      </c>
      <c r="B98" s="27" t="str">
        <f>OFFSET('YODA Header Blocks'!$A$1,0,A98)</f>
        <v>Sampling Features</v>
      </c>
      <c r="C98" s="27">
        <f t="shared" si="3"/>
        <v>57</v>
      </c>
      <c r="D98" s="27"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Values'!R",ROW()-LengthHeader,"C2:R",ROW()-LengthHeader,"C",NumFileColumns+2),FALSE))," ],["))))</f>
        <v xml:space="preserve">  - &amp;SamplingFeatureID0056 {SamplingFeatureUUID:  "", SamplingFeatureTypeCV:  "Specimen", SamplingFeatureCode:  "1100741", SamplingFeatureName:  "", SamplingFeatureDescription:  "", SamplingFeatureGeotypeCV:  Point, FeatureGeometry:  NULL, Elevation_m:  NULL, ElevationDatumCV:  NULL}</v>
      </c>
    </row>
    <row r="99" spans="1:4" x14ac:dyDescent="0.25">
      <c r="A99" s="27">
        <f t="shared" si="2"/>
        <v>14</v>
      </c>
      <c r="B99" s="27" t="str">
        <f>OFFSET('YODA Header Blocks'!$A$1,0,A99)</f>
        <v>Sampling Features</v>
      </c>
      <c r="C99" s="27">
        <f t="shared" si="3"/>
        <v>58</v>
      </c>
      <c r="D99" s="27"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Values'!R",ROW()-LengthHeader,"C2:R",ROW()-LengthHeader,"C",NumFileColumns+2),FALSE))," ],["))))</f>
        <v xml:space="preserve">  - &amp;SamplingFeatureID0057 {SamplingFeatureUUID:  "", SamplingFeatureTypeCV:  "Specimen", SamplingFeatureCode:  "1101233", SamplingFeatureName:  "", SamplingFeatureDescription:  "", SamplingFeatureGeotypeCV:  Point, FeatureGeometry:  NULL, Elevation_m:  NULL, ElevationDatumCV:  NULL}</v>
      </c>
    </row>
    <row r="100" spans="1:4" x14ac:dyDescent="0.25">
      <c r="A100" s="27">
        <f t="shared" si="2"/>
        <v>14</v>
      </c>
      <c r="B100" s="27" t="str">
        <f>OFFSET('YODA Header Blocks'!$A$1,0,A100)</f>
        <v>Sampling Features</v>
      </c>
      <c r="C100" s="27">
        <f t="shared" si="3"/>
        <v>59</v>
      </c>
      <c r="D100" s="27"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Values'!R",ROW()-LengthHeader,"C2:R",ROW()-LengthHeader,"C",NumFileColumns+2),FALSE))," ],["))))</f>
        <v xml:space="preserve">  - &amp;SamplingFeatureID0058 {SamplingFeatureUUID:  "", SamplingFeatureTypeCV:  "Specimen", SamplingFeatureCode:  "1101468", SamplingFeatureName:  "", SamplingFeatureDescription:  "", SamplingFeatureGeotypeCV:  Point, FeatureGeometry:  NULL, Elevation_m:  NULL, ElevationDatumCV:  NULL}</v>
      </c>
    </row>
    <row r="101" spans="1:4" x14ac:dyDescent="0.25">
      <c r="A101" s="27">
        <f t="shared" si="2"/>
        <v>14</v>
      </c>
      <c r="B101" s="27" t="str">
        <f>OFFSET('YODA Header Blocks'!$A$1,0,A101)</f>
        <v>Sampling Features</v>
      </c>
      <c r="C101" s="27">
        <f t="shared" si="3"/>
        <v>60</v>
      </c>
      <c r="D101" s="27"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Values'!R",ROW()-LengthHeader,"C2:R",ROW()-LengthHeader,"C",NumFileColumns+2),FALSE))," ],["))))</f>
        <v xml:space="preserve">  - &amp;SamplingFeatureID0059 {SamplingFeatureUUID:  "", SamplingFeatureTypeCV:  "Specimen", SamplingFeatureCode:  "1101579", SamplingFeatureName:  "", SamplingFeatureDescription:  "", SamplingFeatureGeotypeCV:  Point, FeatureGeometry:  NULL, Elevation_m:  NULL, ElevationDatumCV:  NULL}</v>
      </c>
    </row>
    <row r="102" spans="1:4" x14ac:dyDescent="0.25">
      <c r="A102" s="27">
        <f t="shared" si="2"/>
        <v>14</v>
      </c>
      <c r="B102" s="27" t="str">
        <f>OFFSET('YODA Header Blocks'!$A$1,0,A102)</f>
        <v>Sampling Features</v>
      </c>
      <c r="C102" s="27">
        <f t="shared" si="3"/>
        <v>61</v>
      </c>
      <c r="D102" s="27"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Values'!R",ROW()-LengthHeader,"C2:R",ROW()-LengthHeader,"C",NumFileColumns+2),FALSE))," ],["))))</f>
        <v xml:space="preserve">  - &amp;SamplingFeatureID0060 {SamplingFeatureUUID:  "", SamplingFeatureTypeCV:  "Specimen", SamplingFeatureCode:  "1101580", SamplingFeatureName:  "", SamplingFeatureDescription:  "", SamplingFeatureGeotypeCV:  Point, FeatureGeometry:  NULL, Elevation_m:  NULL, ElevationDatumCV:  NULL}</v>
      </c>
    </row>
    <row r="103" spans="1:4" x14ac:dyDescent="0.25">
      <c r="A103" s="27">
        <f t="shared" si="2"/>
        <v>14</v>
      </c>
      <c r="B103" s="27" t="str">
        <f>OFFSET('YODA Header Blocks'!$A$1,0,A103)</f>
        <v>Sampling Features</v>
      </c>
      <c r="C103" s="27">
        <f t="shared" si="3"/>
        <v>62</v>
      </c>
      <c r="D103" s="27"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Values'!R",ROW()-LengthHeader,"C2:R",ROW()-LengthHeader,"C",NumFileColumns+2),FALSE))," ],["))))</f>
        <v xml:space="preserve">  - &amp;SamplingFeatureID0061 {SamplingFeatureUUID:  "", SamplingFeatureTypeCV:  "Specimen", SamplingFeatureCode:  "1101581", SamplingFeatureName:  "", SamplingFeatureDescription:  "", SamplingFeatureGeotypeCV:  Point, FeatureGeometry:  NULL, Elevation_m:  NULL, ElevationDatumCV:  NULL}</v>
      </c>
    </row>
    <row r="104" spans="1:4" x14ac:dyDescent="0.25">
      <c r="A104" s="27">
        <f t="shared" si="2"/>
        <v>14</v>
      </c>
      <c r="B104" s="27" t="str">
        <f>OFFSET('YODA Header Blocks'!$A$1,0,A104)</f>
        <v>Sampling Features</v>
      </c>
      <c r="C104" s="27">
        <f t="shared" si="3"/>
        <v>63</v>
      </c>
      <c r="D104" s="27"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Values'!R",ROW()-LengthHeader,"C2:R",ROW()-LengthHeader,"C",NumFileColumns+2),FALSE))," ],["))))</f>
        <v xml:space="preserve">  - &amp;SamplingFeatureID0062 {SamplingFeatureUUID:  "", SamplingFeatureTypeCV:  "Specimen", SamplingFeatureCode:  "1101582", SamplingFeatureName:  "", SamplingFeatureDescription:  "", SamplingFeatureGeotypeCV:  Point, FeatureGeometry:  NULL, Elevation_m:  NULL, ElevationDatumCV:  NULL}</v>
      </c>
    </row>
    <row r="105" spans="1:4" x14ac:dyDescent="0.25">
      <c r="A105" s="27">
        <f t="shared" si="2"/>
        <v>14</v>
      </c>
      <c r="B105" s="27" t="str">
        <f>OFFSET('YODA Header Blocks'!$A$1,0,A105)</f>
        <v>Sampling Features</v>
      </c>
      <c r="C105" s="27">
        <f t="shared" si="3"/>
        <v>64</v>
      </c>
      <c r="D105" s="27"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Values'!R",ROW()-LengthHeader,"C2:R",ROW()-LengthHeader,"C",NumFileColumns+2),FALSE))," ],["))))</f>
        <v xml:space="preserve">  - &amp;SamplingFeatureID0063 {SamplingFeatureUUID:  "", SamplingFeatureTypeCV:  "Specimen", SamplingFeatureCode:  "1101583", SamplingFeatureName:  "", SamplingFeatureDescription:  "", SamplingFeatureGeotypeCV:  Point, FeatureGeometry:  NULL, Elevation_m:  NULL, ElevationDatumCV:  NULL}</v>
      </c>
    </row>
    <row r="106" spans="1:4" x14ac:dyDescent="0.25">
      <c r="A106" s="27">
        <f t="shared" si="2"/>
        <v>14</v>
      </c>
      <c r="B106" s="27" t="str">
        <f>OFFSET('YODA Header Blocks'!$A$1,0,A106)</f>
        <v>Sampling Features</v>
      </c>
      <c r="C106" s="27">
        <f t="shared" si="3"/>
        <v>65</v>
      </c>
      <c r="D106" s="27"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Values'!R",ROW()-LengthHeader,"C2:R",ROW()-LengthHeader,"C",NumFileColumns+2),FALSE))," ],["))))</f>
        <v xml:space="preserve">  - &amp;SamplingFeatureID0064 {SamplingFeatureUUID:  "", SamplingFeatureTypeCV:  "Specimen", SamplingFeatureCode:  "1101584", SamplingFeatureName:  "", SamplingFeatureDescription:  "", SamplingFeatureGeotypeCV:  Point, FeatureGeometry:  NULL, Elevation_m:  NULL, ElevationDatumCV:  NULL}</v>
      </c>
    </row>
    <row r="107" spans="1:4" x14ac:dyDescent="0.25">
      <c r="A107" s="27">
        <f t="shared" si="2"/>
        <v>14</v>
      </c>
      <c r="B107" s="27" t="str">
        <f>OFFSET('YODA Header Blocks'!$A$1,0,A107)</f>
        <v>Sampling Features</v>
      </c>
      <c r="C107" s="27">
        <f t="shared" si="3"/>
        <v>66</v>
      </c>
      <c r="D107" s="27"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Values'!R",ROW()-LengthHeader,"C2:R",ROW()-LengthHeader,"C",NumFileColumns+2),FALSE))," ],["))))</f>
        <v xml:space="preserve">  - &amp;SamplingFeatureID0065 {SamplingFeatureUUID:  "", SamplingFeatureTypeCV:  "Specimen", SamplingFeatureCode:  "1101585", SamplingFeatureName:  "", SamplingFeatureDescription:  "", SamplingFeatureGeotypeCV:  Point, FeatureGeometry:  NULL, Elevation_m:  NULL, ElevationDatumCV:  NULL}</v>
      </c>
    </row>
    <row r="108" spans="1:4" x14ac:dyDescent="0.25">
      <c r="A108" s="27">
        <f t="shared" si="2"/>
        <v>14</v>
      </c>
      <c r="B108" s="27" t="str">
        <f>OFFSET('YODA Header Blocks'!$A$1,0,A108)</f>
        <v>Sampling Features</v>
      </c>
      <c r="C108" s="27">
        <f t="shared" si="3"/>
        <v>67</v>
      </c>
      <c r="D108" s="27"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Values'!R",ROW()-LengthHeader,"C2:R",ROW()-LengthHeader,"C",NumFileColumns+2),FALSE))," ],["))))</f>
        <v xml:space="preserve">  - &amp;SamplingFeatureID0066 {SamplingFeatureUUID:  "", SamplingFeatureTypeCV:  "Specimen", SamplingFeatureCode:  "1101586", SamplingFeatureName:  "", SamplingFeatureDescription:  "", SamplingFeatureGeotypeCV:  Point, FeatureGeometry:  NULL, Elevation_m:  NULL, ElevationDatumCV:  NULL}</v>
      </c>
    </row>
    <row r="109" spans="1:4" x14ac:dyDescent="0.25">
      <c r="A109" s="27">
        <f t="shared" si="2"/>
        <v>14</v>
      </c>
      <c r="B109" s="27" t="str">
        <f>OFFSET('YODA Header Blocks'!$A$1,0,A109)</f>
        <v>Sampling Features</v>
      </c>
      <c r="C109" s="27">
        <f t="shared" si="3"/>
        <v>68</v>
      </c>
      <c r="D109" s="27"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Values'!R",ROW()-LengthHeader,"C2:R",ROW()-LengthHeader,"C",NumFileColumns+2),FALSE))," ],["))))</f>
        <v xml:space="preserve">  - &amp;SamplingFeatureID0067 {SamplingFeatureUUID:  "", SamplingFeatureTypeCV:  "Specimen", SamplingFeatureCode:  "1101587", SamplingFeatureName:  "", SamplingFeatureDescription:  "", SamplingFeatureGeotypeCV:  Point, FeatureGeometry:  NULL, Elevation_m:  NULL, ElevationDatumCV:  NULL}</v>
      </c>
    </row>
    <row r="110" spans="1:4" x14ac:dyDescent="0.25">
      <c r="A110" s="27">
        <f t="shared" si="2"/>
        <v>14</v>
      </c>
      <c r="B110" s="27" t="str">
        <f>OFFSET('YODA Header Blocks'!$A$1,0,A110)</f>
        <v>Sampling Features</v>
      </c>
      <c r="C110" s="27">
        <f t="shared" si="3"/>
        <v>69</v>
      </c>
      <c r="D110" s="27"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Values'!R",ROW()-LengthHeader,"C2:R",ROW()-LengthHeader,"C",NumFileColumns+2),FALSE))," ],["))))</f>
        <v xml:space="preserve">  - &amp;SamplingFeatureID0068 {SamplingFeatureUUID:  "", SamplingFeatureTypeCV:  "Specimen", SamplingFeatureCode:  "1101589", SamplingFeatureName:  "", SamplingFeatureDescription:  "", SamplingFeatureGeotypeCV:  Point, FeatureGeometry:  NULL, Elevation_m:  NULL, ElevationDatumCV:  NULL}</v>
      </c>
    </row>
    <row r="111" spans="1:4" x14ac:dyDescent="0.25">
      <c r="A111" s="27">
        <f t="shared" si="2"/>
        <v>14</v>
      </c>
      <c r="B111" s="27" t="str">
        <f>OFFSET('YODA Header Blocks'!$A$1,0,A111)</f>
        <v>Sampling Features</v>
      </c>
      <c r="C111" s="27">
        <f t="shared" si="3"/>
        <v>70</v>
      </c>
      <c r="D111" s="27"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Values'!R",ROW()-LengthHeader,"C2:R",ROW()-LengthHeader,"C",NumFileColumns+2),FALSE))," ],["))))</f>
        <v xml:space="preserve">  - &amp;SamplingFeatureID0069 {SamplingFeatureUUID:  "", SamplingFeatureTypeCV:  "Specimen", SamplingFeatureCode:  "1101590", SamplingFeatureName:  "", SamplingFeatureDescription:  "", SamplingFeatureGeotypeCV:  Point, FeatureGeometry:  NULL, Elevation_m:  NULL, ElevationDatumCV:  NULL}</v>
      </c>
    </row>
    <row r="112" spans="1:4" x14ac:dyDescent="0.25">
      <c r="A112" s="27">
        <f t="shared" si="2"/>
        <v>14</v>
      </c>
      <c r="B112" s="27" t="str">
        <f>OFFSET('YODA Header Blocks'!$A$1,0,A112)</f>
        <v>Sampling Features</v>
      </c>
      <c r="C112" s="27">
        <f t="shared" si="3"/>
        <v>71</v>
      </c>
      <c r="D112" s="27"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Values'!R",ROW()-LengthHeader,"C2:R",ROW()-LengthHeader,"C",NumFileColumns+2),FALSE))," ],["))))</f>
        <v xml:space="preserve">  - &amp;SamplingFeatureID0070 {SamplingFeatureUUID:  "", SamplingFeatureTypeCV:  "Specimen", SamplingFeatureCode:  "1101591", SamplingFeatureName:  "", SamplingFeatureDescription:  "", SamplingFeatureGeotypeCV:  Point, FeatureGeometry:  NULL, Elevation_m:  NULL, ElevationDatumCV:  NULL}</v>
      </c>
    </row>
    <row r="113" spans="1:4" x14ac:dyDescent="0.25">
      <c r="A113" s="27">
        <f t="shared" si="2"/>
        <v>14</v>
      </c>
      <c r="B113" s="27" t="str">
        <f>OFFSET('YODA Header Blocks'!$A$1,0,A113)</f>
        <v>Sampling Features</v>
      </c>
      <c r="C113" s="27">
        <f t="shared" si="3"/>
        <v>72</v>
      </c>
      <c r="D113" s="27"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Values'!R",ROW()-LengthHeader,"C2:R",ROW()-LengthHeader,"C",NumFileColumns+2),FALSE))," ],["))))</f>
        <v xml:space="preserve">  - &amp;SamplingFeatureID0071 {SamplingFeatureUUID:  "", SamplingFeatureTypeCV:  "Specimen", SamplingFeatureCode:  "1101592", SamplingFeatureName:  "", SamplingFeatureDescription:  "", SamplingFeatureGeotypeCV:  Point, FeatureGeometry:  NULL, Elevation_m:  NULL, ElevationDatumCV:  NULL}</v>
      </c>
    </row>
    <row r="114" spans="1:4" x14ac:dyDescent="0.25">
      <c r="A114" s="27">
        <f t="shared" si="2"/>
        <v>14</v>
      </c>
      <c r="B114" s="27" t="str">
        <f>OFFSET('YODA Header Blocks'!$A$1,0,A114)</f>
        <v>Sampling Features</v>
      </c>
      <c r="C114" s="27">
        <f t="shared" si="3"/>
        <v>73</v>
      </c>
      <c r="D114" s="27"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Values'!R",ROW()-LengthHeader,"C2:R",ROW()-LengthHeader,"C",NumFileColumns+2),FALSE))," ],["))))</f>
        <v xml:space="preserve">  - &amp;SamplingFeatureID0072 {SamplingFeatureUUID:  "", SamplingFeatureTypeCV:  "Specimen", SamplingFeatureCode:  "1101593", SamplingFeatureName:  "", SamplingFeatureDescription:  "", SamplingFeatureGeotypeCV:  Point, FeatureGeometry:  NULL, Elevation_m:  NULL, ElevationDatumCV:  NULL}</v>
      </c>
    </row>
    <row r="115" spans="1:4" x14ac:dyDescent="0.25">
      <c r="A115" s="27">
        <f t="shared" si="2"/>
        <v>14</v>
      </c>
      <c r="B115" s="27" t="str">
        <f>OFFSET('YODA Header Blocks'!$A$1,0,A115)</f>
        <v>Sampling Features</v>
      </c>
      <c r="C115" s="27">
        <f t="shared" si="3"/>
        <v>74</v>
      </c>
      <c r="D115" s="27"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Values'!R",ROW()-LengthHeader,"C2:R",ROW()-LengthHeader,"C",NumFileColumns+2),FALSE))," ],["))))</f>
        <v xml:space="preserve">  - &amp;SamplingFeatureID0073 {SamplingFeatureUUID:  "", SamplingFeatureTypeCV:  "Specimen", SamplingFeatureCode:  "1101594", SamplingFeatureName:  "", SamplingFeatureDescription:  "", SamplingFeatureGeotypeCV:  Point, FeatureGeometry:  NULL, Elevation_m:  NULL, ElevationDatumCV:  NULL}</v>
      </c>
    </row>
    <row r="116" spans="1:4" x14ac:dyDescent="0.25">
      <c r="A116" s="27">
        <f t="shared" si="2"/>
        <v>14</v>
      </c>
      <c r="B116" s="27" t="str">
        <f>OFFSET('YODA Header Blocks'!$A$1,0,A116)</f>
        <v>Sampling Features</v>
      </c>
      <c r="C116" s="27">
        <f t="shared" si="3"/>
        <v>75</v>
      </c>
      <c r="D116" s="27"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Values'!R",ROW()-LengthHeader,"C2:R",ROW()-LengthHeader,"C",NumFileColumns+2),FALSE))," ],["))))</f>
        <v xml:space="preserve">  - &amp;SamplingFeatureID0074 {SamplingFeatureUUID:  "", SamplingFeatureTypeCV:  "Specimen", SamplingFeatureCode:  "1101595", SamplingFeatureName:  "", SamplingFeatureDescription:  "", SamplingFeatureGeotypeCV:  Point, FeatureGeometry:  NULL, Elevation_m:  NULL, ElevationDatumCV:  NULL}</v>
      </c>
    </row>
    <row r="117" spans="1:4" x14ac:dyDescent="0.25">
      <c r="A117" s="27">
        <f t="shared" si="2"/>
        <v>14</v>
      </c>
      <c r="B117" s="27" t="str">
        <f>OFFSET('YODA Header Blocks'!$A$1,0,A117)</f>
        <v>Sampling Features</v>
      </c>
      <c r="C117" s="27">
        <f t="shared" si="3"/>
        <v>76</v>
      </c>
      <c r="D117" s="27"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Values'!R",ROW()-LengthHeader,"C2:R",ROW()-LengthHeader,"C",NumFileColumns+2),FALSE))," ],["))))</f>
        <v xml:space="preserve">  - &amp;SamplingFeatureID0075 {SamplingFeatureUUID:  "", SamplingFeatureTypeCV:  "Specimen", SamplingFeatureCode:  "1101596", SamplingFeatureName:  "", SamplingFeatureDescription:  "", SamplingFeatureGeotypeCV:  Point, FeatureGeometry:  NULL, Elevation_m:  NULL, ElevationDatumCV:  NULL}</v>
      </c>
    </row>
    <row r="118" spans="1:4" x14ac:dyDescent="0.25">
      <c r="A118" s="27">
        <f t="shared" si="2"/>
        <v>14</v>
      </c>
      <c r="B118" s="27" t="str">
        <f>OFFSET('YODA Header Blocks'!$A$1,0,A118)</f>
        <v>Sampling Features</v>
      </c>
      <c r="C118" s="27">
        <f t="shared" si="3"/>
        <v>77</v>
      </c>
      <c r="D118" s="27"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Values'!R",ROW()-LengthHeader,"C2:R",ROW()-LengthHeader,"C",NumFileColumns+2),FALSE))," ],["))))</f>
        <v xml:space="preserve">  - &amp;SamplingFeatureID0076 {SamplingFeatureUUID:  "", SamplingFeatureTypeCV:  "Specimen", SamplingFeatureCode:  "1101597", SamplingFeatureName:  "", SamplingFeatureDescription:  "", SamplingFeatureGeotypeCV:  Point, FeatureGeometry:  NULL, Elevation_m:  NULL, ElevationDatumCV:  NULL}</v>
      </c>
    </row>
    <row r="119" spans="1:4" x14ac:dyDescent="0.25">
      <c r="A119" s="27">
        <f t="shared" si="2"/>
        <v>14</v>
      </c>
      <c r="B119" s="27" t="str">
        <f>OFFSET('YODA Header Blocks'!$A$1,0,A119)</f>
        <v>Sampling Features</v>
      </c>
      <c r="C119" s="27">
        <f t="shared" si="3"/>
        <v>78</v>
      </c>
      <c r="D119" s="27"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Values'!R",ROW()-LengthHeader,"C2:R",ROW()-LengthHeader,"C",NumFileColumns+2),FALSE))," ],["))))</f>
        <v xml:space="preserve">  - &amp;SamplingFeatureID0077 {SamplingFeatureUUID:  "", SamplingFeatureTypeCV:  "Specimen", SamplingFeatureCode:  "1101598", SamplingFeatureName:  "", SamplingFeatureDescription:  "", SamplingFeatureGeotypeCV:  Point, FeatureGeometry:  NULL, Elevation_m:  NULL, ElevationDatumCV:  NULL}</v>
      </c>
    </row>
    <row r="120" spans="1:4" x14ac:dyDescent="0.25">
      <c r="A120" s="27">
        <f t="shared" si="2"/>
        <v>14</v>
      </c>
      <c r="B120" s="27" t="str">
        <f>OFFSET('YODA Header Blocks'!$A$1,0,A120)</f>
        <v>Sampling Features</v>
      </c>
      <c r="C120" s="27">
        <f t="shared" si="3"/>
        <v>79</v>
      </c>
      <c r="D120" s="27"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Values'!R",ROW()-LengthHeader,"C2:R",ROW()-LengthHeader,"C",NumFileColumns+2),FALSE))," ],["))))</f>
        <v xml:space="preserve">  - &amp;SamplingFeatureID0078 {SamplingFeatureUUID:  "", SamplingFeatureTypeCV:  "Specimen", SamplingFeatureCode:  "1101599", SamplingFeatureName:  "", SamplingFeatureDescription:  "", SamplingFeatureGeotypeCV:  Point, FeatureGeometry:  NULL, Elevation_m:  NULL, ElevationDatumCV:  NULL}</v>
      </c>
    </row>
    <row r="121" spans="1:4" x14ac:dyDescent="0.25">
      <c r="A121" s="27">
        <f t="shared" si="2"/>
        <v>14</v>
      </c>
      <c r="B121" s="27" t="str">
        <f>OFFSET('YODA Header Blocks'!$A$1,0,A121)</f>
        <v>Sampling Features</v>
      </c>
      <c r="C121" s="27">
        <f t="shared" si="3"/>
        <v>80</v>
      </c>
      <c r="D121" s="27"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Values'!R",ROW()-LengthHeader,"C2:R",ROW()-LengthHeader,"C",NumFileColumns+2),FALSE))," ],["))))</f>
        <v xml:space="preserve">  - &amp;SamplingFeatureID0079 {SamplingFeatureUUID:  "", SamplingFeatureTypeCV:  "Specimen", SamplingFeatureCode:  "1101600", SamplingFeatureName:  "", SamplingFeatureDescription:  "", SamplingFeatureGeotypeCV:  Point, FeatureGeometry:  NULL, Elevation_m:  NULL, ElevationDatumCV:  NULL}</v>
      </c>
    </row>
    <row r="122" spans="1:4" x14ac:dyDescent="0.25">
      <c r="A122" s="27">
        <f t="shared" si="2"/>
        <v>14</v>
      </c>
      <c r="B122" s="27" t="str">
        <f>OFFSET('YODA Header Blocks'!$A$1,0,A122)</f>
        <v>Sampling Features</v>
      </c>
      <c r="C122" s="27">
        <f t="shared" si="3"/>
        <v>81</v>
      </c>
      <c r="D122" s="27"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Values'!R",ROW()-LengthHeader,"C2:R",ROW()-LengthHeader,"C",NumFileColumns+2),FALSE))," ],["))))</f>
        <v xml:space="preserve">  - &amp;SamplingFeatureID0080 {SamplingFeatureUUID:  "", SamplingFeatureTypeCV:  "Specimen", SamplingFeatureCode:  "1101773", SamplingFeatureName:  "", SamplingFeatureDescription:  "", SamplingFeatureGeotypeCV:  Point, FeatureGeometry:  NULL, Elevation_m:  NULL, ElevationDatumCV:  NULL}</v>
      </c>
    </row>
    <row r="123" spans="1:4" x14ac:dyDescent="0.25">
      <c r="A123" s="27">
        <f t="shared" si="2"/>
        <v>14</v>
      </c>
      <c r="B123" s="27" t="str">
        <f>OFFSET('YODA Header Blocks'!$A$1,0,A123)</f>
        <v>Sampling Features</v>
      </c>
      <c r="C123" s="27">
        <f t="shared" si="3"/>
        <v>82</v>
      </c>
      <c r="D123" s="27"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Values'!R",ROW()-LengthHeader,"C2:R",ROW()-LengthHeader,"C",NumFileColumns+2),FALSE))," ],["))))</f>
        <v xml:space="preserve">  - &amp;SamplingFeatureID0081 {SamplingFeatureUUID:  "", SamplingFeatureTypeCV:  "Specimen", SamplingFeatureCode:  "1102196", SamplingFeatureName:  "", SamplingFeatureDescription:  "", SamplingFeatureGeotypeCV:  Point, FeatureGeometry:  NULL, Elevation_m:  NULL, ElevationDatumCV:  NULL}</v>
      </c>
    </row>
    <row r="124" spans="1:4" x14ac:dyDescent="0.25">
      <c r="A124" s="27">
        <f t="shared" si="2"/>
        <v>14</v>
      </c>
      <c r="B124" s="27" t="str">
        <f>OFFSET('YODA Header Blocks'!$A$1,0,A124)</f>
        <v>Sampling Features</v>
      </c>
      <c r="C124" s="27">
        <f t="shared" si="3"/>
        <v>83</v>
      </c>
      <c r="D124" s="27"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Values'!R",ROW()-LengthHeader,"C2:R",ROW()-LengthHeader,"C",NumFileColumns+2),FALSE))," ],["))))</f>
        <v xml:space="preserve">  - &amp;SamplingFeatureID0082 {SamplingFeatureUUID:  "", SamplingFeatureTypeCV:  "Specimen", SamplingFeatureCode:  "1102197", SamplingFeatureName:  "", SamplingFeatureDescription:  "", SamplingFeatureGeotypeCV:  Point, FeatureGeometry:  NULL, Elevation_m:  NULL, ElevationDatumCV:  NULL}</v>
      </c>
    </row>
    <row r="125" spans="1:4" x14ac:dyDescent="0.25">
      <c r="A125" s="27">
        <f t="shared" si="2"/>
        <v>14</v>
      </c>
      <c r="B125" s="27" t="str">
        <f>OFFSET('YODA Header Blocks'!$A$1,0,A125)</f>
        <v>Sampling Features</v>
      </c>
      <c r="C125" s="27">
        <f t="shared" si="3"/>
        <v>84</v>
      </c>
      <c r="D125" s="27"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Values'!R",ROW()-LengthHeader,"C2:R",ROW()-LengthHeader,"C",NumFileColumns+2),FALSE))," ],["))))</f>
        <v xml:space="preserve">  - &amp;SamplingFeatureID0083 {SamplingFeatureUUID:  "", SamplingFeatureTypeCV:  "Specimen", SamplingFeatureCode:  "1102198", SamplingFeatureName:  "", SamplingFeatureDescription:  "", SamplingFeatureGeotypeCV:  Point, FeatureGeometry:  NULL, Elevation_m:  NULL, ElevationDatumCV:  NULL}</v>
      </c>
    </row>
    <row r="126" spans="1:4" x14ac:dyDescent="0.25">
      <c r="A126" s="27">
        <f t="shared" si="2"/>
        <v>14</v>
      </c>
      <c r="B126" s="27" t="str">
        <f>OFFSET('YODA Header Blocks'!$A$1,0,A126)</f>
        <v>Sampling Features</v>
      </c>
      <c r="C126" s="27">
        <f t="shared" si="3"/>
        <v>85</v>
      </c>
      <c r="D126" s="27"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Values'!R",ROW()-LengthHeader,"C2:R",ROW()-LengthHeader,"C",NumFileColumns+2),FALSE))," ],["))))</f>
        <v xml:space="preserve">  - &amp;SamplingFeatureID0084 {SamplingFeatureUUID:  "", SamplingFeatureTypeCV:  "Specimen", SamplingFeatureCode:  "1103088", SamplingFeatureName:  "", SamplingFeatureDescription:  "", SamplingFeatureGeotypeCV:  Point, FeatureGeometry:  NULL, Elevation_m:  NULL, ElevationDatumCV:  NULL}</v>
      </c>
    </row>
    <row r="127" spans="1:4" x14ac:dyDescent="0.25">
      <c r="A127" s="27">
        <f t="shared" si="2"/>
        <v>14</v>
      </c>
      <c r="B127" s="27" t="str">
        <f>OFFSET('YODA Header Blocks'!$A$1,0,A127)</f>
        <v>Sampling Features</v>
      </c>
      <c r="C127" s="27">
        <f t="shared" si="3"/>
        <v>86</v>
      </c>
      <c r="D127" s="27"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Values'!R",ROW()-LengthHeader,"C2:R",ROW()-LengthHeader,"C",NumFileColumns+2),FALSE))," ],["))))</f>
        <v xml:space="preserve">  - &amp;SamplingFeatureID0085 {SamplingFeatureUUID:  "", SamplingFeatureTypeCV:  "Specimen", SamplingFeatureCode:  "1103090", SamplingFeatureName:  "", SamplingFeatureDescription:  "", SamplingFeatureGeotypeCV:  Point, FeatureGeometry:  NULL, Elevation_m:  NULL, ElevationDatumCV:  NULL}</v>
      </c>
    </row>
    <row r="128" spans="1:4" x14ac:dyDescent="0.25">
      <c r="A128" s="27">
        <f t="shared" si="2"/>
        <v>14</v>
      </c>
      <c r="B128" s="27" t="str">
        <f>OFFSET('YODA Header Blocks'!$A$1,0,A128)</f>
        <v>Sampling Features</v>
      </c>
      <c r="C128" s="27">
        <f t="shared" si="3"/>
        <v>87</v>
      </c>
      <c r="D128" s="27"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Values'!R",ROW()-LengthHeader,"C2:R",ROW()-LengthHeader,"C",NumFileColumns+2),FALSE))," ],["))))</f>
        <v xml:space="preserve">  - &amp;SamplingFeatureID0086 {SamplingFeatureUUID:  "", SamplingFeatureTypeCV:  "Specimen", SamplingFeatureCode:  "1103089", SamplingFeatureName:  "", SamplingFeatureDescription:  "", SamplingFeatureGeotypeCV:  Point, FeatureGeometry:  NULL, Elevation_m:  NULL, ElevationDatumCV:  NULL}</v>
      </c>
    </row>
    <row r="129" spans="1:4" x14ac:dyDescent="0.25">
      <c r="A129" s="27">
        <f t="shared" si="2"/>
        <v>14</v>
      </c>
      <c r="B129" s="27" t="str">
        <f>OFFSET('YODA Header Blocks'!$A$1,0,A129)</f>
        <v>Sampling Features</v>
      </c>
      <c r="C129" s="27">
        <f t="shared" si="3"/>
        <v>88</v>
      </c>
      <c r="D129" s="27"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Values'!R",ROW()-LengthHeader,"C2:R",ROW()-LengthHeader,"C",NumFileColumns+2),FALSE))," ],["))))</f>
        <v xml:space="preserve">  - &amp;SamplingFeatureID0087 {SamplingFeatureUUID:  "", SamplingFeatureTypeCV:  "Specimen", SamplingFeatureCode:  "1103341", SamplingFeatureName:  "", SamplingFeatureDescription:  "", SamplingFeatureGeotypeCV:  Point, FeatureGeometry:  NULL, Elevation_m:  NULL, ElevationDatumCV:  NULL}</v>
      </c>
    </row>
    <row r="130" spans="1:4" x14ac:dyDescent="0.25">
      <c r="A130" s="27">
        <f t="shared" si="2"/>
        <v>14</v>
      </c>
      <c r="B130" s="27" t="str">
        <f>OFFSET('YODA Header Blocks'!$A$1,0,A130)</f>
        <v>Sampling Features</v>
      </c>
      <c r="C130" s="27">
        <f t="shared" si="3"/>
        <v>89</v>
      </c>
      <c r="D130" s="27"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Values'!R",ROW()-LengthHeader,"C2:R",ROW()-LengthHeader,"C",NumFileColumns+2),FALSE))," ],["))))</f>
        <v xml:space="preserve">  - &amp;SamplingFeatureID0088 {SamplingFeatureUUID:  "", SamplingFeatureTypeCV:  "Specimen", SamplingFeatureCode:  "1103343", SamplingFeatureName:  "", SamplingFeatureDescription:  "", SamplingFeatureGeotypeCV:  Point, FeatureGeometry:  NULL, Elevation_m:  NULL, ElevationDatumCV:  NULL}</v>
      </c>
    </row>
    <row r="131" spans="1:4" x14ac:dyDescent="0.25">
      <c r="A131" s="27">
        <f t="shared" si="2"/>
        <v>14</v>
      </c>
      <c r="B131" s="27" t="str">
        <f>OFFSET('YODA Header Blocks'!$A$1,0,A131)</f>
        <v>Sampling Features</v>
      </c>
      <c r="C131" s="27">
        <f t="shared" si="3"/>
        <v>90</v>
      </c>
      <c r="D131" s="27"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Values'!R",ROW()-LengthHeader,"C2:R",ROW()-LengthHeader,"C",NumFileColumns+2),FALSE))," ],["))))</f>
        <v xml:space="preserve">  - &amp;SamplingFeatureID0089 {SamplingFeatureUUID:  "", SamplingFeatureTypeCV:  "Specimen", SamplingFeatureCode:  "1103342", SamplingFeatureName:  "", SamplingFeatureDescription:  "", SamplingFeatureGeotypeCV:  Point, FeatureGeometry:  NULL, Elevation_m:  NULL, ElevationDatumCV:  NULL}</v>
      </c>
    </row>
    <row r="132" spans="1:4" x14ac:dyDescent="0.25">
      <c r="A132" s="27">
        <f t="shared" ref="A132:A195" si="4">IF(C131=INDIRECT(CONCATENATE("'YODA Header Blocks'!R2C",A131+1,":R2C",A131+1),FALSE),A131+1,A131)</f>
        <v>14</v>
      </c>
      <c r="B132" s="27" t="str">
        <f>OFFSET('YODA Header Blocks'!$A$1,0,A132)</f>
        <v>Sampling Features</v>
      </c>
      <c r="C132" s="27">
        <f t="shared" ref="C132:C195" si="5">IF(C131=SUM(INDIRECT(CONCATENATE("'YODA Header Blocks'!R2C",A131+1,":R2C",A131+1),FALSE)),1,C131+1)</f>
        <v>91</v>
      </c>
      <c r="D132" s="27"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Values'!R",ROW()-LengthHeader,"C2:R",ROW()-LengthHeader,"C",NumFileColumns+2),FALSE))," ],["))))</f>
        <v xml:space="preserve">  - &amp;SamplingFeatureID0090 {SamplingFeatureUUID:  "", SamplingFeatureTypeCV:  "Specimen", SamplingFeatureCode:  "1103386", SamplingFeatureName:  "", SamplingFeatureDescription:  "", SamplingFeatureGeotypeCV:  Point, FeatureGeometry:  NULL, Elevation_m:  NULL, ElevationDatumCV:  NULL}</v>
      </c>
    </row>
    <row r="133" spans="1:4" x14ac:dyDescent="0.25">
      <c r="A133" s="27">
        <f t="shared" si="4"/>
        <v>14</v>
      </c>
      <c r="B133" s="27" t="str">
        <f>OFFSET('YODA Header Blocks'!$A$1,0,A133)</f>
        <v>Sampling Features</v>
      </c>
      <c r="C133" s="27">
        <f t="shared" si="5"/>
        <v>92</v>
      </c>
      <c r="D133" s="27"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Values'!R",ROW()-LengthHeader,"C2:R",ROW()-LengthHeader,"C",NumFileColumns+2),FALSE))," ],["))))</f>
        <v xml:space="preserve">  - &amp;SamplingFeatureID0091 {SamplingFeatureUUID:  "", SamplingFeatureTypeCV:  "Specimen", SamplingFeatureCode:  "1103387", SamplingFeatureName:  "", SamplingFeatureDescription:  "", SamplingFeatureGeotypeCV:  Point, FeatureGeometry:  NULL, Elevation_m:  NULL, ElevationDatumCV:  NULL}</v>
      </c>
    </row>
    <row r="134" spans="1:4" x14ac:dyDescent="0.25">
      <c r="A134" s="27">
        <f t="shared" si="4"/>
        <v>14</v>
      </c>
      <c r="B134" s="27" t="str">
        <f>OFFSET('YODA Header Blocks'!$A$1,0,A134)</f>
        <v>Sampling Features</v>
      </c>
      <c r="C134" s="27">
        <f t="shared" si="5"/>
        <v>93</v>
      </c>
      <c r="D134" s="27"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Values'!R",ROW()-LengthHeader,"C2:R",ROW()-LengthHeader,"C",NumFileColumns+2),FALSE))," ],["))))</f>
        <v xml:space="preserve">  - &amp;SamplingFeatureID0092 {SamplingFeatureUUID:  "", SamplingFeatureTypeCV:  "Specimen", SamplingFeatureCode:  "1103685", SamplingFeatureName:  "", SamplingFeatureDescription:  "", SamplingFeatureGeotypeCV:  Point, FeatureGeometry:  NULL, Elevation_m:  NULL, ElevationDatumCV:  NULL}</v>
      </c>
    </row>
    <row r="135" spans="1:4" x14ac:dyDescent="0.25">
      <c r="A135" s="27">
        <f t="shared" si="4"/>
        <v>14</v>
      </c>
      <c r="B135" s="27" t="str">
        <f>OFFSET('YODA Header Blocks'!$A$1,0,A135)</f>
        <v>Sampling Features</v>
      </c>
      <c r="C135" s="27">
        <f t="shared" si="5"/>
        <v>94</v>
      </c>
      <c r="D135" s="27"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Values'!R",ROW()-LengthHeader,"C2:R",ROW()-LengthHeader,"C",NumFileColumns+2),FALSE))," ],["))))</f>
        <v xml:space="preserve">  - &amp;SamplingFeatureID0093 {SamplingFeatureUUID:  "", SamplingFeatureTypeCV:  "Specimen", SamplingFeatureCode:  "1103687", SamplingFeatureName:  "", SamplingFeatureDescription:  "", SamplingFeatureGeotypeCV:  Point, FeatureGeometry:  NULL, Elevation_m:  NULL, ElevationDatumCV:  NULL}</v>
      </c>
    </row>
    <row r="136" spans="1:4" x14ac:dyDescent="0.25">
      <c r="A136" s="27">
        <f t="shared" si="4"/>
        <v>14</v>
      </c>
      <c r="B136" s="27" t="str">
        <f>OFFSET('YODA Header Blocks'!$A$1,0,A136)</f>
        <v>Sampling Features</v>
      </c>
      <c r="C136" s="27">
        <f t="shared" si="5"/>
        <v>95</v>
      </c>
      <c r="D136" s="27"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Values'!R",ROW()-LengthHeader,"C2:R",ROW()-LengthHeader,"C",NumFileColumns+2),FALSE))," ],["))))</f>
        <v xml:space="preserve">  - &amp;SamplingFeatureID0094 {SamplingFeatureUUID:  "", SamplingFeatureTypeCV:  "Specimen", SamplingFeatureCode:  "1103686", SamplingFeatureName:  "", SamplingFeatureDescription:  "", SamplingFeatureGeotypeCV:  Point, FeatureGeometry:  NULL, Elevation_m:  NULL, ElevationDatumCV:  NULL}</v>
      </c>
    </row>
    <row r="137" spans="1:4" x14ac:dyDescent="0.25">
      <c r="A137" s="27">
        <f t="shared" si="4"/>
        <v>14</v>
      </c>
      <c r="B137" s="27" t="str">
        <f>OFFSET('YODA Header Blocks'!$A$1,0,A137)</f>
        <v>Sampling Features</v>
      </c>
      <c r="C137" s="27">
        <f t="shared" si="5"/>
        <v>96</v>
      </c>
      <c r="D137" s="27"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Values'!R",ROW()-LengthHeader,"C2:R",ROW()-LengthHeader,"C",NumFileColumns+2),FALSE))," ],["))))</f>
        <v xml:space="preserve">  - &amp;SamplingFeatureID0095 {SamplingFeatureUUID:  "", SamplingFeatureTypeCV:  "Specimen", SamplingFeatureCode:  "1104011", SamplingFeatureName:  "", SamplingFeatureDescription:  "", SamplingFeatureGeotypeCV:  Point, FeatureGeometry:  NULL, Elevation_m:  NULL, ElevationDatumCV:  NULL}</v>
      </c>
    </row>
    <row r="138" spans="1:4" x14ac:dyDescent="0.25">
      <c r="A138" s="27">
        <f t="shared" si="4"/>
        <v>14</v>
      </c>
      <c r="B138" s="27" t="str">
        <f>OFFSET('YODA Header Blocks'!$A$1,0,A138)</f>
        <v>Sampling Features</v>
      </c>
      <c r="C138" s="27">
        <f t="shared" si="5"/>
        <v>97</v>
      </c>
      <c r="D138" s="27"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Values'!R",ROW()-LengthHeader,"C2:R",ROW()-LengthHeader,"C",NumFileColumns+2),FALSE))," ],["))))</f>
        <v xml:space="preserve">  - &amp;SamplingFeatureID0096 {SamplingFeatureUUID:  "", SamplingFeatureTypeCV:  "Specimen", SamplingFeatureCode:  "1104012", SamplingFeatureName:  "", SamplingFeatureDescription:  "", SamplingFeatureGeotypeCV:  Point, FeatureGeometry:  NULL, Elevation_m:  NULL, ElevationDatumCV:  NULL}</v>
      </c>
    </row>
    <row r="139" spans="1:4" x14ac:dyDescent="0.25">
      <c r="A139" s="27">
        <f t="shared" si="4"/>
        <v>14</v>
      </c>
      <c r="B139" s="27" t="str">
        <f>OFFSET('YODA Header Blocks'!$A$1,0,A139)</f>
        <v>Sampling Features</v>
      </c>
      <c r="C139" s="27">
        <f t="shared" si="5"/>
        <v>98</v>
      </c>
      <c r="D139" s="27"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Values'!R",ROW()-LengthHeader,"C2:R",ROW()-LengthHeader,"C",NumFileColumns+2),FALSE))," ],["))))</f>
        <v xml:space="preserve">  - &amp;SamplingFeatureID0097 {SamplingFeatureUUID:  "", SamplingFeatureTypeCV:  "Specimen", SamplingFeatureCode:  "1104013", SamplingFeatureName:  "", SamplingFeatureDescription:  "", SamplingFeatureGeotypeCV:  Point, FeatureGeometry:  NULL, Elevation_m:  NULL, ElevationDatumCV:  NULL}</v>
      </c>
    </row>
    <row r="140" spans="1:4" x14ac:dyDescent="0.25">
      <c r="A140" s="27">
        <f t="shared" si="4"/>
        <v>14</v>
      </c>
      <c r="B140" s="27" t="str">
        <f>OFFSET('YODA Header Blocks'!$A$1,0,A140)</f>
        <v>Sampling Features</v>
      </c>
      <c r="C140" s="27">
        <f t="shared" si="5"/>
        <v>99</v>
      </c>
      <c r="D140" s="27"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Values'!R",ROW()-LengthHeader,"C2:R",ROW()-LengthHeader,"C",NumFileColumns+2),FALSE))," ],["))))</f>
        <v xml:space="preserve">  - &amp;SamplingFeatureID0098 {SamplingFeatureUUID:  "", SamplingFeatureTypeCV:  "Specimen", SamplingFeatureCode:  "1104014", SamplingFeatureName:  "", SamplingFeatureDescription:  "", SamplingFeatureGeotypeCV:  Point, FeatureGeometry:  NULL, Elevation_m:  NULL, ElevationDatumCV:  NULL}</v>
      </c>
    </row>
    <row r="141" spans="1:4" x14ac:dyDescent="0.25">
      <c r="A141" s="27">
        <f t="shared" si="4"/>
        <v>14</v>
      </c>
      <c r="B141" s="27" t="str">
        <f>OFFSET('YODA Header Blocks'!$A$1,0,A141)</f>
        <v>Sampling Features</v>
      </c>
      <c r="C141" s="27">
        <f t="shared" si="5"/>
        <v>100</v>
      </c>
      <c r="D141" s="27"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Values'!R",ROW()-LengthHeader,"C2:R",ROW()-LengthHeader,"C",NumFileColumns+2),FALSE))," ],["))))</f>
        <v xml:space="preserve">  - &amp;SamplingFeatureID0099 {SamplingFeatureUUID:  "", SamplingFeatureTypeCV:  "Specimen", SamplingFeatureCode:  "1104015", SamplingFeatureName:  "", SamplingFeatureDescription:  "", SamplingFeatureGeotypeCV:  Point, FeatureGeometry:  NULL, Elevation_m:  NULL, ElevationDatumCV:  NULL}</v>
      </c>
    </row>
    <row r="142" spans="1:4" x14ac:dyDescent="0.25">
      <c r="A142" s="27">
        <f t="shared" si="4"/>
        <v>14</v>
      </c>
      <c r="B142" s="27" t="str">
        <f>OFFSET('YODA Header Blocks'!$A$1,0,A142)</f>
        <v>Sampling Features</v>
      </c>
      <c r="C142" s="27">
        <f t="shared" si="5"/>
        <v>101</v>
      </c>
      <c r="D142" s="27"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Values'!R",ROW()-LengthHeader,"C2:R",ROW()-LengthHeader,"C",NumFileColumns+2),FALSE))," ],["))))</f>
        <v xml:space="preserve">  - &amp;SamplingFeatureID0100 {SamplingFeatureUUID:  "", SamplingFeatureTypeCV:  "Specimen", SamplingFeatureCode:  "1104016", SamplingFeatureName:  "", SamplingFeatureDescription:  "", SamplingFeatureGeotypeCV:  Point, FeatureGeometry:  NULL, Elevation_m:  NULL, ElevationDatumCV:  NULL}</v>
      </c>
    </row>
    <row r="143" spans="1:4" x14ac:dyDescent="0.25">
      <c r="A143" s="27">
        <f t="shared" si="4"/>
        <v>14</v>
      </c>
      <c r="B143" s="27" t="str">
        <f>OFFSET('YODA Header Blocks'!$A$1,0,A143)</f>
        <v>Sampling Features</v>
      </c>
      <c r="C143" s="27">
        <f t="shared" si="5"/>
        <v>102</v>
      </c>
      <c r="D143" s="27"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Values'!R",ROW()-LengthHeader,"C2:R",ROW()-LengthHeader,"C",NumFileColumns+2),FALSE))," ],["))))</f>
        <v xml:space="preserve">  - &amp;SamplingFeatureID0101 {SamplingFeatureUUID:  "", SamplingFeatureTypeCV:  "Specimen", SamplingFeatureCode:  "1104017", SamplingFeatureName:  "", SamplingFeatureDescription:  "", SamplingFeatureGeotypeCV:  Point, FeatureGeometry:  NULL, Elevation_m:  NULL, ElevationDatumCV:  NULL}</v>
      </c>
    </row>
    <row r="144" spans="1:4" x14ac:dyDescent="0.25">
      <c r="A144" s="27">
        <f t="shared" si="4"/>
        <v>14</v>
      </c>
      <c r="B144" s="27" t="str">
        <f>OFFSET('YODA Header Blocks'!$A$1,0,A144)</f>
        <v>Sampling Features</v>
      </c>
      <c r="C144" s="27">
        <f t="shared" si="5"/>
        <v>103</v>
      </c>
      <c r="D144" s="27"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Values'!R",ROW()-LengthHeader,"C2:R",ROW()-LengthHeader,"C",NumFileColumns+2),FALSE))," ],["))))</f>
        <v xml:space="preserve">  - &amp;SamplingFeatureID0102 {SamplingFeatureUUID:  "", SamplingFeatureTypeCV:  "Specimen", SamplingFeatureCode:  "1104018", SamplingFeatureName:  "", SamplingFeatureDescription:  "", SamplingFeatureGeotypeCV:  Point, FeatureGeometry:  NULL, Elevation_m:  NULL, ElevationDatumCV:  NULL}</v>
      </c>
    </row>
    <row r="145" spans="1:4" x14ac:dyDescent="0.25">
      <c r="A145" s="27">
        <f t="shared" si="4"/>
        <v>14</v>
      </c>
      <c r="B145" s="27" t="str">
        <f>OFFSET('YODA Header Blocks'!$A$1,0,A145)</f>
        <v>Sampling Features</v>
      </c>
      <c r="C145" s="27">
        <f t="shared" si="5"/>
        <v>104</v>
      </c>
      <c r="D145" s="27"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Values'!R",ROW()-LengthHeader,"C2:R",ROW()-LengthHeader,"C",NumFileColumns+2),FALSE))," ],["))))</f>
        <v xml:space="preserve">  - &amp;SamplingFeatureID0103 {SamplingFeatureUUID:  "", SamplingFeatureTypeCV:  "Specimen", SamplingFeatureCode:  "1104019", SamplingFeatureName:  "", SamplingFeatureDescription:  "", SamplingFeatureGeotypeCV:  Point, FeatureGeometry:  NULL, Elevation_m:  NULL, ElevationDatumCV:  NULL}</v>
      </c>
    </row>
    <row r="146" spans="1:4" x14ac:dyDescent="0.25">
      <c r="A146" s="27">
        <f t="shared" si="4"/>
        <v>14</v>
      </c>
      <c r="B146" s="27" t="str">
        <f>OFFSET('YODA Header Blocks'!$A$1,0,A146)</f>
        <v>Sampling Features</v>
      </c>
      <c r="C146" s="27">
        <f t="shared" si="5"/>
        <v>105</v>
      </c>
      <c r="D146" s="27"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Values'!R",ROW()-LengthHeader,"C2:R",ROW()-LengthHeader,"C",NumFileColumns+2),FALSE))," ],["))))</f>
        <v xml:space="preserve">  - &amp;SamplingFeatureID0104 {SamplingFeatureUUID:  "", SamplingFeatureTypeCV:  "Specimen", SamplingFeatureCode:  "1104020", SamplingFeatureName:  "", SamplingFeatureDescription:  "", SamplingFeatureGeotypeCV:  Point, FeatureGeometry:  NULL, Elevation_m:  NULL, ElevationDatumCV:  NULL}</v>
      </c>
    </row>
    <row r="147" spans="1:4" x14ac:dyDescent="0.25">
      <c r="A147" s="27">
        <f t="shared" si="4"/>
        <v>14</v>
      </c>
      <c r="B147" s="27" t="str">
        <f>OFFSET('YODA Header Blocks'!$A$1,0,A147)</f>
        <v>Sampling Features</v>
      </c>
      <c r="C147" s="27">
        <f t="shared" si="5"/>
        <v>106</v>
      </c>
      <c r="D147" s="27"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Values'!R",ROW()-LengthHeader,"C2:R",ROW()-LengthHeader,"C",NumFileColumns+2),FALSE))," ],["))))</f>
        <v xml:space="preserve">  - &amp;SamplingFeatureID0105 {SamplingFeatureUUID:  "", SamplingFeatureTypeCV:  "Specimen", SamplingFeatureCode:  "1104171", SamplingFeatureName:  "", SamplingFeatureDescription:  "", SamplingFeatureGeotypeCV:  Point, FeatureGeometry:  NULL, Elevation_m:  NULL, ElevationDatumCV:  NULL}</v>
      </c>
    </row>
    <row r="148" spans="1:4" x14ac:dyDescent="0.25">
      <c r="A148" s="27">
        <f t="shared" si="4"/>
        <v>14</v>
      </c>
      <c r="B148" s="27" t="str">
        <f>OFFSET('YODA Header Blocks'!$A$1,0,A148)</f>
        <v>Sampling Features</v>
      </c>
      <c r="C148" s="27">
        <f t="shared" si="5"/>
        <v>107</v>
      </c>
      <c r="D148" s="27"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Values'!R",ROW()-LengthHeader,"C2:R",ROW()-LengthHeader,"C",NumFileColumns+2),FALSE))," ],["))))</f>
        <v xml:space="preserve">  - &amp;SamplingFeatureID0106 {SamplingFeatureUUID:  "", SamplingFeatureTypeCV:  "Specimen", SamplingFeatureCode:  "1104169", SamplingFeatureName:  "", SamplingFeatureDescription:  "", SamplingFeatureGeotypeCV:  Point, FeatureGeometry:  NULL, Elevation_m:  NULL, ElevationDatumCV:  NULL}</v>
      </c>
    </row>
    <row r="149" spans="1:4" x14ac:dyDescent="0.25">
      <c r="A149" s="27">
        <f t="shared" si="4"/>
        <v>14</v>
      </c>
      <c r="B149" s="27" t="str">
        <f>OFFSET('YODA Header Blocks'!$A$1,0,A149)</f>
        <v>Sampling Features</v>
      </c>
      <c r="C149" s="27">
        <f t="shared" si="5"/>
        <v>108</v>
      </c>
      <c r="D149" s="27"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Values'!R",ROW()-LengthHeader,"C2:R",ROW()-LengthHeader,"C",NumFileColumns+2),FALSE))," ],["))))</f>
        <v xml:space="preserve">  - &amp;SamplingFeatureID0107 {SamplingFeatureUUID:  "", SamplingFeatureTypeCV:  "Specimen", SamplingFeatureCode:  "1104170", SamplingFeatureName:  "", SamplingFeatureDescription:  "", SamplingFeatureGeotypeCV:  Point, FeatureGeometry:  NULL, Elevation_m:  NULL, ElevationDatumCV:  NULL}</v>
      </c>
    </row>
    <row r="150" spans="1:4" x14ac:dyDescent="0.25">
      <c r="A150" s="27">
        <f t="shared" si="4"/>
        <v>14</v>
      </c>
      <c r="B150" s="27" t="str">
        <f>OFFSET('YODA Header Blocks'!$A$1,0,A150)</f>
        <v>Sampling Features</v>
      </c>
      <c r="C150" s="27">
        <f t="shared" si="5"/>
        <v>109</v>
      </c>
      <c r="D150" s="27"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Values'!R",ROW()-LengthHeader,"C2:R",ROW()-LengthHeader,"C",NumFileColumns+2),FALSE))," ],["))))</f>
        <v xml:space="preserve">  - &amp;SamplingFeatureID0108 {SamplingFeatureUUID:  "", SamplingFeatureTypeCV:  "Specimen", SamplingFeatureCode:  "1200024", SamplingFeatureName:  "", SamplingFeatureDescription:  "", SamplingFeatureGeotypeCV:  Point, FeatureGeometry:  NULL, Elevation_m:  NULL, ElevationDatumCV:  NULL}</v>
      </c>
    </row>
    <row r="151" spans="1:4" x14ac:dyDescent="0.25">
      <c r="A151" s="27">
        <f t="shared" si="4"/>
        <v>14</v>
      </c>
      <c r="B151" s="27" t="str">
        <f>OFFSET('YODA Header Blocks'!$A$1,0,A151)</f>
        <v>Sampling Features</v>
      </c>
      <c r="C151" s="27">
        <f t="shared" si="5"/>
        <v>110</v>
      </c>
      <c r="D151" s="27"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Values'!R",ROW()-LengthHeader,"C2:R",ROW()-LengthHeader,"C",NumFileColumns+2),FALSE))," ],["))))</f>
        <v xml:space="preserve">  - &amp;SamplingFeatureID0109 {SamplingFeatureUUID:  "", SamplingFeatureTypeCV:  "Specimen", SamplingFeatureCode:  "1200023", SamplingFeatureName:  "", SamplingFeatureDescription:  "", SamplingFeatureGeotypeCV:  Point, FeatureGeometry:  NULL, Elevation_m:  NULL, ElevationDatumCV:  NULL}</v>
      </c>
    </row>
    <row r="152" spans="1:4" x14ac:dyDescent="0.25">
      <c r="A152" s="27">
        <f t="shared" si="4"/>
        <v>14</v>
      </c>
      <c r="B152" s="27" t="str">
        <f>OFFSET('YODA Header Blocks'!$A$1,0,A152)</f>
        <v>Sampling Features</v>
      </c>
      <c r="C152" s="27">
        <f t="shared" si="5"/>
        <v>111</v>
      </c>
      <c r="D152" s="27"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Values'!R",ROW()-LengthHeader,"C2:R",ROW()-LengthHeader,"C",NumFileColumns+2),FALSE))," ],["))))</f>
        <v xml:space="preserve">  - &amp;SamplingFeatureID0110 {SamplingFeatureUUID:  "", SamplingFeatureTypeCV:  "Specimen", SamplingFeatureCode:  "1200022", SamplingFeatureName:  "", SamplingFeatureDescription:  "", SamplingFeatureGeotypeCV:  Point, FeatureGeometry:  NULL, Elevation_m:  NULL, ElevationDatumCV:  NULL}</v>
      </c>
    </row>
    <row r="153" spans="1:4" x14ac:dyDescent="0.25">
      <c r="A153" s="27">
        <f t="shared" si="4"/>
        <v>14</v>
      </c>
      <c r="B153" s="27" t="str">
        <f>OFFSET('YODA Header Blocks'!$A$1,0,A153)</f>
        <v>Sampling Features</v>
      </c>
      <c r="C153" s="27">
        <f t="shared" si="5"/>
        <v>112</v>
      </c>
      <c r="D153" s="27"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Values'!R",ROW()-LengthHeader,"C2:R",ROW()-LengthHeader,"C",NumFileColumns+2),FALSE))," ],["))))</f>
        <v xml:space="preserve">  - &amp;SamplingFeatureID0111 {SamplingFeatureUUID:  "", SamplingFeatureTypeCV:  "Specimen", SamplingFeatureCode:  "1200045", SamplingFeatureName:  "", SamplingFeatureDescription:  "", SamplingFeatureGeotypeCV:  Point, FeatureGeometry:  NULL, Elevation_m:  NULL, ElevationDatumCV:  NULL}</v>
      </c>
    </row>
    <row r="154" spans="1:4" x14ac:dyDescent="0.25">
      <c r="A154" s="27">
        <f t="shared" si="4"/>
        <v>14</v>
      </c>
      <c r="B154" s="27" t="str">
        <f>OFFSET('YODA Header Blocks'!$A$1,0,A154)</f>
        <v>Sampling Features</v>
      </c>
      <c r="C154" s="27">
        <f t="shared" si="5"/>
        <v>113</v>
      </c>
      <c r="D154" s="27"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Values'!R",ROW()-LengthHeader,"C2:R",ROW()-LengthHeader,"C",NumFileColumns+2),FALSE))," ],["))))</f>
        <v xml:space="preserve">  - &amp;SamplingFeatureID0112 {SamplingFeatureUUID:  "", SamplingFeatureTypeCV:  "Specimen", SamplingFeatureCode:  "1200030", SamplingFeatureName:  "", SamplingFeatureDescription:  "", SamplingFeatureGeotypeCV:  Point, FeatureGeometry:  NULL, Elevation_m:  NULL, ElevationDatumCV:  NULL}</v>
      </c>
    </row>
    <row r="155" spans="1:4" x14ac:dyDescent="0.25">
      <c r="A155" s="27">
        <f t="shared" si="4"/>
        <v>14</v>
      </c>
      <c r="B155" s="27" t="str">
        <f>OFFSET('YODA Header Blocks'!$A$1,0,A155)</f>
        <v>Sampling Features</v>
      </c>
      <c r="C155" s="27">
        <f t="shared" si="5"/>
        <v>114</v>
      </c>
      <c r="D155" s="27"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Values'!R",ROW()-LengthHeader,"C2:R",ROW()-LengthHeader,"C",NumFileColumns+2),FALSE))," ],["))))</f>
        <v xml:space="preserve">  - &amp;SamplingFeatureID0113 {SamplingFeatureUUID:  "", SamplingFeatureTypeCV:  "Specimen", SamplingFeatureCode:  "1200046", SamplingFeatureName:  "", SamplingFeatureDescription:  "", SamplingFeatureGeotypeCV:  Point, FeatureGeometry:  NULL, Elevation_m:  NULL, ElevationDatumCV:  NULL}</v>
      </c>
    </row>
    <row r="156" spans="1:4" x14ac:dyDescent="0.25">
      <c r="A156" s="27">
        <f t="shared" si="4"/>
        <v>14</v>
      </c>
      <c r="B156" s="27" t="str">
        <f>OFFSET('YODA Header Blocks'!$A$1,0,A156)</f>
        <v>Sampling Features</v>
      </c>
      <c r="C156" s="27">
        <f t="shared" si="5"/>
        <v>115</v>
      </c>
      <c r="D156" s="27"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Values'!R",ROW()-LengthHeader,"C2:R",ROW()-LengthHeader,"C",NumFileColumns+2),FALSE))," ],["))))</f>
        <v xml:space="preserve">  - &amp;SamplingFeatureID0114 {SamplingFeatureUUID:  "", SamplingFeatureTypeCV:  "Specimen", SamplingFeatureCode:  "1200031", SamplingFeatureName:  "", SamplingFeatureDescription:  "", SamplingFeatureGeotypeCV:  Point, FeatureGeometry:  NULL, Elevation_m:  NULL, ElevationDatumCV:  NULL}</v>
      </c>
    </row>
    <row r="157" spans="1:4" x14ac:dyDescent="0.25">
      <c r="A157" s="27">
        <f t="shared" si="4"/>
        <v>14</v>
      </c>
      <c r="B157" s="27" t="str">
        <f>OFFSET('YODA Header Blocks'!$A$1,0,A157)</f>
        <v>Sampling Features</v>
      </c>
      <c r="C157" s="27">
        <f t="shared" si="5"/>
        <v>116</v>
      </c>
      <c r="D157" s="27"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Values'!R",ROW()-LengthHeader,"C2:R",ROW()-LengthHeader,"C",NumFileColumns+2),FALSE))," ],["))))</f>
        <v xml:space="preserve">  - &amp;SamplingFeatureID0115 {SamplingFeatureUUID:  "", SamplingFeatureTypeCV:  "Specimen", SamplingFeatureCode:  "1200032", SamplingFeatureName:  "", SamplingFeatureDescription:  "", SamplingFeatureGeotypeCV:  Point, FeatureGeometry:  NULL, Elevation_m:  NULL, ElevationDatumCV:  NULL}</v>
      </c>
    </row>
    <row r="158" spans="1:4" x14ac:dyDescent="0.25">
      <c r="A158" s="27">
        <f t="shared" si="4"/>
        <v>14</v>
      </c>
      <c r="B158" s="27" t="str">
        <f>OFFSET('YODA Header Blocks'!$A$1,0,A158)</f>
        <v>Sampling Features</v>
      </c>
      <c r="C158" s="27">
        <f t="shared" si="5"/>
        <v>117</v>
      </c>
      <c r="D158" s="27"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Values'!R",ROW()-LengthHeader,"C2:R",ROW()-LengthHeader,"C",NumFileColumns+2),FALSE))," ],["))))</f>
        <v xml:space="preserve">  - &amp;SamplingFeatureID0116 {SamplingFeatureUUID:  "", SamplingFeatureTypeCV:  "Specimen", SamplingFeatureCode:  "1200047", SamplingFeatureName:  "", SamplingFeatureDescription:  "", SamplingFeatureGeotypeCV:  Point, FeatureGeometry:  NULL, Elevation_m:  NULL, ElevationDatumCV:  NULL}</v>
      </c>
    </row>
    <row r="159" spans="1:4" x14ac:dyDescent="0.25">
      <c r="A159" s="27">
        <f t="shared" si="4"/>
        <v>14</v>
      </c>
      <c r="B159" s="27" t="str">
        <f>OFFSET('YODA Header Blocks'!$A$1,0,A159)</f>
        <v>Sampling Features</v>
      </c>
      <c r="C159" s="27">
        <f t="shared" si="5"/>
        <v>118</v>
      </c>
      <c r="D159" s="27"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Values'!R",ROW()-LengthHeader,"C2:R",ROW()-LengthHeader,"C",NumFileColumns+2),FALSE))," ],["))))</f>
        <v xml:space="preserve">  - &amp;SamplingFeatureID0117 {SamplingFeatureUUID:  "", SamplingFeatureTypeCV:  "Specimen", SamplingFeatureCode:  "1200033", SamplingFeatureName:  "", SamplingFeatureDescription:  "", SamplingFeatureGeotypeCV:  Point, FeatureGeometry:  NULL, Elevation_m:  NULL, ElevationDatumCV:  NULL}</v>
      </c>
    </row>
    <row r="160" spans="1:4" x14ac:dyDescent="0.25">
      <c r="A160" s="27">
        <f t="shared" si="4"/>
        <v>14</v>
      </c>
      <c r="B160" s="27" t="str">
        <f>OFFSET('YODA Header Blocks'!$A$1,0,A160)</f>
        <v>Sampling Features</v>
      </c>
      <c r="C160" s="27">
        <f t="shared" si="5"/>
        <v>119</v>
      </c>
      <c r="D160" s="27"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Values'!R",ROW()-LengthHeader,"C2:R",ROW()-LengthHeader,"C",NumFileColumns+2),FALSE))," ],["))))</f>
        <v xml:space="preserve">  - &amp;SamplingFeatureID0118 {SamplingFeatureUUID:  "", SamplingFeatureTypeCV:  "Specimen", SamplingFeatureCode:  "1200048", SamplingFeatureName:  "", SamplingFeatureDescription:  "", SamplingFeatureGeotypeCV:  Point, FeatureGeometry:  NULL, Elevation_m:  NULL, ElevationDatumCV:  NULL}</v>
      </c>
    </row>
    <row r="161" spans="1:4" x14ac:dyDescent="0.25">
      <c r="A161" s="27">
        <f t="shared" si="4"/>
        <v>14</v>
      </c>
      <c r="B161" s="27" t="str">
        <f>OFFSET('YODA Header Blocks'!$A$1,0,A161)</f>
        <v>Sampling Features</v>
      </c>
      <c r="C161" s="27">
        <f t="shared" si="5"/>
        <v>120</v>
      </c>
      <c r="D161" s="27"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Values'!R",ROW()-LengthHeader,"C2:R",ROW()-LengthHeader,"C",NumFileColumns+2),FALSE))," ],["))))</f>
        <v xml:space="preserve">  - &amp;SamplingFeatureID0119 {SamplingFeatureUUID:  "", SamplingFeatureTypeCV:  "Specimen", SamplingFeatureCode:  "1200034", SamplingFeatureName:  "", SamplingFeatureDescription:  "", SamplingFeatureGeotypeCV:  Point, FeatureGeometry:  NULL, Elevation_m:  NULL, ElevationDatumCV:  NULL}</v>
      </c>
    </row>
    <row r="162" spans="1:4" x14ac:dyDescent="0.25">
      <c r="A162" s="27">
        <f t="shared" si="4"/>
        <v>14</v>
      </c>
      <c r="B162" s="27" t="str">
        <f>OFFSET('YODA Header Blocks'!$A$1,0,A162)</f>
        <v>Sampling Features</v>
      </c>
      <c r="C162" s="27">
        <f t="shared" si="5"/>
        <v>121</v>
      </c>
      <c r="D162" s="27"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Values'!R",ROW()-LengthHeader,"C2:R",ROW()-LengthHeader,"C",NumFileColumns+2),FALSE))," ],["))))</f>
        <v xml:space="preserve">  - &amp;SamplingFeatureID0120 {SamplingFeatureUUID:  "", SamplingFeatureTypeCV:  "Specimen", SamplingFeatureCode:  "1200035", SamplingFeatureName:  "", SamplingFeatureDescription:  "", SamplingFeatureGeotypeCV:  Point, FeatureGeometry:  NULL, Elevation_m:  NULL, ElevationDatumCV:  NULL}</v>
      </c>
    </row>
    <row r="163" spans="1:4" x14ac:dyDescent="0.25">
      <c r="A163" s="27">
        <f t="shared" si="4"/>
        <v>14</v>
      </c>
      <c r="B163" s="27" t="str">
        <f>OFFSET('YODA Header Blocks'!$A$1,0,A163)</f>
        <v>Sampling Features</v>
      </c>
      <c r="C163" s="27">
        <f t="shared" si="5"/>
        <v>122</v>
      </c>
      <c r="D163" s="27"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Values'!R",ROW()-LengthHeader,"C2:R",ROW()-LengthHeader,"C",NumFileColumns+2),FALSE))," ],["))))</f>
        <v xml:space="preserve">  - &amp;SamplingFeatureID0121 {SamplingFeatureUUID:  "", SamplingFeatureTypeCV:  "Specimen", SamplingFeatureCode:  "1200036", SamplingFeatureName:  "", SamplingFeatureDescription:  "", SamplingFeatureGeotypeCV:  Point, FeatureGeometry:  NULL, Elevation_m:  NULL, ElevationDatumCV:  NULL}</v>
      </c>
    </row>
    <row r="164" spans="1:4" x14ac:dyDescent="0.25">
      <c r="A164" s="27">
        <f t="shared" si="4"/>
        <v>14</v>
      </c>
      <c r="B164" s="27" t="str">
        <f>OFFSET('YODA Header Blocks'!$A$1,0,A164)</f>
        <v>Sampling Features</v>
      </c>
      <c r="C164" s="27">
        <f t="shared" si="5"/>
        <v>123</v>
      </c>
      <c r="D164" s="27"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Values'!R",ROW()-LengthHeader,"C2:R",ROW()-LengthHeader,"C",NumFileColumns+2),FALSE))," ],["))))</f>
        <v xml:space="preserve">  - &amp;SamplingFeatureID0122 {SamplingFeatureUUID:  "", SamplingFeatureTypeCV:  "Specimen", SamplingFeatureCode:  "1200037", SamplingFeatureName:  "", SamplingFeatureDescription:  "", SamplingFeatureGeotypeCV:  Point, FeatureGeometry:  NULL, Elevation_m:  NULL, ElevationDatumCV:  NULL}</v>
      </c>
    </row>
    <row r="165" spans="1:4" x14ac:dyDescent="0.25">
      <c r="A165" s="27">
        <f t="shared" si="4"/>
        <v>14</v>
      </c>
      <c r="B165" s="27" t="str">
        <f>OFFSET('YODA Header Blocks'!$A$1,0,A165)</f>
        <v>Sampling Features</v>
      </c>
      <c r="C165" s="27">
        <f t="shared" si="5"/>
        <v>124</v>
      </c>
      <c r="D165" s="27"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Values'!R",ROW()-LengthHeader,"C2:R",ROW()-LengthHeader,"C",NumFileColumns+2),FALSE))," ],["))))</f>
        <v xml:space="preserve">  - &amp;SamplingFeatureID0123 {SamplingFeatureUUID:  "", SamplingFeatureTypeCV:  "Specimen", SamplingFeatureCode:  "1200049", SamplingFeatureName:  "", SamplingFeatureDescription:  "", SamplingFeatureGeotypeCV:  Point, FeatureGeometry:  NULL, Elevation_m:  NULL, ElevationDatumCV:  NULL}</v>
      </c>
    </row>
    <row r="166" spans="1:4" x14ac:dyDescent="0.25">
      <c r="A166" s="27">
        <f t="shared" si="4"/>
        <v>14</v>
      </c>
      <c r="B166" s="27" t="str">
        <f>OFFSET('YODA Header Blocks'!$A$1,0,A166)</f>
        <v>Sampling Features</v>
      </c>
      <c r="C166" s="27">
        <f t="shared" si="5"/>
        <v>125</v>
      </c>
      <c r="D166" s="27"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Values'!R",ROW()-LengthHeader,"C2:R",ROW()-LengthHeader,"C",NumFileColumns+2),FALSE))," ],["))))</f>
        <v xml:space="preserve">  - &amp;SamplingFeatureID0124 {SamplingFeatureUUID:  "", SamplingFeatureTypeCV:  "Specimen", SamplingFeatureCode:  "1200038", SamplingFeatureName:  "", SamplingFeatureDescription:  "", SamplingFeatureGeotypeCV:  Point, FeatureGeometry:  NULL, Elevation_m:  NULL, ElevationDatumCV:  NULL}</v>
      </c>
    </row>
    <row r="167" spans="1:4" x14ac:dyDescent="0.25">
      <c r="A167" s="27">
        <f t="shared" si="4"/>
        <v>14</v>
      </c>
      <c r="B167" s="27" t="str">
        <f>OFFSET('YODA Header Blocks'!$A$1,0,A167)</f>
        <v>Sampling Features</v>
      </c>
      <c r="C167" s="27">
        <f t="shared" si="5"/>
        <v>126</v>
      </c>
      <c r="D167" s="27"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Values'!R",ROW()-LengthHeader,"C2:R",ROW()-LengthHeader,"C",NumFileColumns+2),FALSE))," ],["))))</f>
        <v xml:space="preserve">  - &amp;SamplingFeatureID0125 {SamplingFeatureUUID:  "", SamplingFeatureTypeCV:  "Specimen", SamplingFeatureCode:  "1200050", SamplingFeatureName:  "", SamplingFeatureDescription:  "", SamplingFeatureGeotypeCV:  Point, FeatureGeometry:  NULL, Elevation_m:  NULL, ElevationDatumCV:  NULL}</v>
      </c>
    </row>
    <row r="168" spans="1:4" x14ac:dyDescent="0.25">
      <c r="A168" s="27">
        <f t="shared" si="4"/>
        <v>14</v>
      </c>
      <c r="B168" s="27" t="str">
        <f>OFFSET('YODA Header Blocks'!$A$1,0,A168)</f>
        <v>Sampling Features</v>
      </c>
      <c r="C168" s="27">
        <f t="shared" si="5"/>
        <v>127</v>
      </c>
      <c r="D168" s="27"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Values'!R",ROW()-LengthHeader,"C2:R",ROW()-LengthHeader,"C",NumFileColumns+2),FALSE))," ],["))))</f>
        <v xml:space="preserve">  - &amp;SamplingFeatureID0126 {SamplingFeatureUUID:  "", SamplingFeatureTypeCV:  "Specimen", SamplingFeatureCode:  "1200039", SamplingFeatureName:  "", SamplingFeatureDescription:  "", SamplingFeatureGeotypeCV:  Point, FeatureGeometry:  NULL, Elevation_m:  NULL, ElevationDatumCV:  NULL}</v>
      </c>
    </row>
    <row r="169" spans="1:4" x14ac:dyDescent="0.25">
      <c r="A169" s="27">
        <f t="shared" si="4"/>
        <v>14</v>
      </c>
      <c r="B169" s="27" t="str">
        <f>OFFSET('YODA Header Blocks'!$A$1,0,A169)</f>
        <v>Sampling Features</v>
      </c>
      <c r="C169" s="27">
        <f t="shared" si="5"/>
        <v>128</v>
      </c>
      <c r="D169" s="27"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Values'!R",ROW()-LengthHeader,"C2:R",ROW()-LengthHeader,"C",NumFileColumns+2),FALSE))," ],["))))</f>
        <v xml:space="preserve">  - &amp;SamplingFeatureID0127 {SamplingFeatureUUID:  "", SamplingFeatureTypeCV:  "Specimen", SamplingFeatureCode:  "1200090", SamplingFeatureName:  "", SamplingFeatureDescription:  "", SamplingFeatureGeotypeCV:  Point, FeatureGeometry:  NULL, Elevation_m:  NULL, ElevationDatumCV:  NULL}</v>
      </c>
    </row>
    <row r="170" spans="1:4" x14ac:dyDescent="0.25">
      <c r="A170" s="27">
        <f t="shared" si="4"/>
        <v>14</v>
      </c>
      <c r="B170" s="27" t="str">
        <f>OFFSET('YODA Header Blocks'!$A$1,0,A170)</f>
        <v>Sampling Features</v>
      </c>
      <c r="C170" s="27">
        <f t="shared" si="5"/>
        <v>129</v>
      </c>
      <c r="D170" s="27"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Values'!R",ROW()-LengthHeader,"C2:R",ROW()-LengthHeader,"C",NumFileColumns+2),FALSE))," ],["))))</f>
        <v xml:space="preserve">  - &amp;SamplingFeatureID0128 {SamplingFeatureUUID:  "", SamplingFeatureTypeCV:  "Specimen", SamplingFeatureCode:  "1200091", SamplingFeatureName:  "", SamplingFeatureDescription:  "", SamplingFeatureGeotypeCV:  Point, FeatureGeometry:  NULL, Elevation_m:  NULL, ElevationDatumCV:  NULL}</v>
      </c>
    </row>
    <row r="171" spans="1:4" x14ac:dyDescent="0.25">
      <c r="A171" s="27">
        <f t="shared" si="4"/>
        <v>14</v>
      </c>
      <c r="B171" s="27" t="str">
        <f>OFFSET('YODA Header Blocks'!$A$1,0,A171)</f>
        <v>Sampling Features</v>
      </c>
      <c r="C171" s="27">
        <f t="shared" si="5"/>
        <v>130</v>
      </c>
      <c r="D171" s="27"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Values'!R",ROW()-LengthHeader,"C2:R",ROW()-LengthHeader,"C",NumFileColumns+2),FALSE))," ],["))))</f>
        <v xml:space="preserve">  - &amp;SamplingFeatureID0129 {SamplingFeatureUUID:  "", SamplingFeatureTypeCV:  "Specimen", SamplingFeatureCode:  "1200138", SamplingFeatureName:  "", SamplingFeatureDescription:  "", SamplingFeatureGeotypeCV:  Point, FeatureGeometry:  NULL, Elevation_m:  NULL, ElevationDatumCV:  NULL}</v>
      </c>
    </row>
    <row r="172" spans="1:4" x14ac:dyDescent="0.25">
      <c r="A172" s="27">
        <f t="shared" si="4"/>
        <v>14</v>
      </c>
      <c r="B172" s="27" t="str">
        <f>OFFSET('YODA Header Blocks'!$A$1,0,A172)</f>
        <v>Sampling Features</v>
      </c>
      <c r="C172" s="27">
        <f t="shared" si="5"/>
        <v>131</v>
      </c>
      <c r="D172" s="27"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Values'!R",ROW()-LengthHeader,"C2:R",ROW()-LengthHeader,"C",NumFileColumns+2),FALSE))," ],["))))</f>
        <v xml:space="preserve">  - &amp;SamplingFeatureID0130 {SamplingFeatureUUID:  "", SamplingFeatureTypeCV:  "Specimen", SamplingFeatureCode:  "1200136", SamplingFeatureName:  "", SamplingFeatureDescription:  "", SamplingFeatureGeotypeCV:  Point, FeatureGeometry:  NULL, Elevation_m:  NULL, ElevationDatumCV:  NULL}</v>
      </c>
    </row>
    <row r="173" spans="1:4" x14ac:dyDescent="0.25">
      <c r="A173" s="27">
        <f t="shared" si="4"/>
        <v>14</v>
      </c>
      <c r="B173" s="27" t="str">
        <f>OFFSET('YODA Header Blocks'!$A$1,0,A173)</f>
        <v>Sampling Features</v>
      </c>
      <c r="C173" s="27">
        <f t="shared" si="5"/>
        <v>132</v>
      </c>
      <c r="D173" s="27"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Values'!R",ROW()-LengthHeader,"C2:R",ROW()-LengthHeader,"C",NumFileColumns+2),FALSE))," ],["))))</f>
        <v xml:space="preserve">  - &amp;SamplingFeatureID0131 {SamplingFeatureUUID:  "", SamplingFeatureTypeCV:  "Specimen", SamplingFeatureCode:  "1200137", SamplingFeatureName:  "", SamplingFeatureDescription:  "", SamplingFeatureGeotypeCV:  Point, FeatureGeometry:  NULL, Elevation_m:  NULL, ElevationDatumCV:  NULL}</v>
      </c>
    </row>
    <row r="174" spans="1:4" x14ac:dyDescent="0.25">
      <c r="A174" s="27">
        <f t="shared" si="4"/>
        <v>14</v>
      </c>
      <c r="B174" s="27" t="str">
        <f>OFFSET('YODA Header Blocks'!$A$1,0,A174)</f>
        <v>Sampling Features</v>
      </c>
      <c r="C174" s="27">
        <f t="shared" si="5"/>
        <v>133</v>
      </c>
      <c r="D174" s="27"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Values'!R",ROW()-LengthHeader,"C2:R",ROW()-LengthHeader,"C",NumFileColumns+2),FALSE))," ],["))))</f>
        <v xml:space="preserve">  - &amp;SamplingFeatureID0132 {SamplingFeatureUUID:  "", SamplingFeatureTypeCV:  "Specimen", SamplingFeatureCode:  "1200292", SamplingFeatureName:  "", SamplingFeatureDescription:  "", SamplingFeatureGeotypeCV:  Point, FeatureGeometry:  NULL, Elevation_m:  NULL, ElevationDatumCV:  NULL}</v>
      </c>
    </row>
    <row r="175" spans="1:4" x14ac:dyDescent="0.25">
      <c r="A175" s="27">
        <f t="shared" si="4"/>
        <v>14</v>
      </c>
      <c r="B175" s="27" t="str">
        <f>OFFSET('YODA Header Blocks'!$A$1,0,A175)</f>
        <v>Sampling Features</v>
      </c>
      <c r="C175" s="27">
        <f t="shared" si="5"/>
        <v>134</v>
      </c>
      <c r="D175" s="27"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Values'!R",ROW()-LengthHeader,"C2:R",ROW()-LengthHeader,"C",NumFileColumns+2),FALSE))," ],["))))</f>
        <v xml:space="preserve">  - &amp;SamplingFeatureID0133 {SamplingFeatureUUID:  "", SamplingFeatureTypeCV:  "Specimen", SamplingFeatureCode:  "1200293", SamplingFeatureName:  "", SamplingFeatureDescription:  "", SamplingFeatureGeotypeCV:  Point, FeatureGeometry:  NULL, Elevation_m:  NULL, ElevationDatumCV:  NULL}</v>
      </c>
    </row>
    <row r="176" spans="1:4" x14ac:dyDescent="0.25">
      <c r="A176" s="27">
        <f t="shared" si="4"/>
        <v>14</v>
      </c>
      <c r="B176" s="27" t="str">
        <f>OFFSET('YODA Header Blocks'!$A$1,0,A176)</f>
        <v>Sampling Features</v>
      </c>
      <c r="C176" s="27">
        <f t="shared" si="5"/>
        <v>135</v>
      </c>
      <c r="D176" s="27"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Values'!R",ROW()-LengthHeader,"C2:R",ROW()-LengthHeader,"C",NumFileColumns+2),FALSE))," ],["))))</f>
        <v xml:space="preserve">  - &amp;SamplingFeatureID0134 {SamplingFeatureUUID:  "", SamplingFeatureTypeCV:  "Specimen", SamplingFeatureCode:  "1200294", SamplingFeatureName:  "", SamplingFeatureDescription:  "", SamplingFeatureGeotypeCV:  Point, FeatureGeometry:  NULL, Elevation_m:  NULL, ElevationDatumCV:  NULL}</v>
      </c>
    </row>
    <row r="177" spans="1:4" x14ac:dyDescent="0.25">
      <c r="A177" s="27">
        <f t="shared" si="4"/>
        <v>14</v>
      </c>
      <c r="B177" s="27" t="str">
        <f>OFFSET('YODA Header Blocks'!$A$1,0,A177)</f>
        <v>Sampling Features</v>
      </c>
      <c r="C177" s="27">
        <f t="shared" si="5"/>
        <v>136</v>
      </c>
      <c r="D177" s="27"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Values'!R",ROW()-LengthHeader,"C2:R",ROW()-LengthHeader,"C",NumFileColumns+2),FALSE))," ],["))))</f>
        <v xml:space="preserve">  - &amp;SamplingFeatureID0135 {SamplingFeatureUUID:  "", SamplingFeatureTypeCV:  "Specimen", SamplingFeatureCode:  "1200346", SamplingFeatureName:  "", SamplingFeatureDescription:  "", SamplingFeatureGeotypeCV:  Point, FeatureGeometry:  NULL, Elevation_m:  NULL, ElevationDatumCV:  NULL}</v>
      </c>
    </row>
    <row r="178" spans="1:4" x14ac:dyDescent="0.25">
      <c r="A178" s="27">
        <f t="shared" si="4"/>
        <v>14</v>
      </c>
      <c r="B178" s="27" t="str">
        <f>OFFSET('YODA Header Blocks'!$A$1,0,A178)</f>
        <v>Sampling Features</v>
      </c>
      <c r="C178" s="27">
        <f t="shared" si="5"/>
        <v>137</v>
      </c>
      <c r="D178" s="27"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Values'!R",ROW()-LengthHeader,"C2:R",ROW()-LengthHeader,"C",NumFileColumns+2),FALSE))," ],["))))</f>
        <v xml:space="preserve">  - &amp;SamplingFeatureID0136 {SamplingFeatureUUID:  "", SamplingFeatureTypeCV:  "Specimen", SamplingFeatureCode:  "1200345", SamplingFeatureName:  "", SamplingFeatureDescription:  "", SamplingFeatureGeotypeCV:  Point, FeatureGeometry:  NULL, Elevation_m:  NULL, ElevationDatumCV:  NULL}</v>
      </c>
    </row>
    <row r="179" spans="1:4" x14ac:dyDescent="0.25">
      <c r="A179" s="27">
        <f t="shared" si="4"/>
        <v>14</v>
      </c>
      <c r="B179" s="27" t="str">
        <f>OFFSET('YODA Header Blocks'!$A$1,0,A179)</f>
        <v>Sampling Features</v>
      </c>
      <c r="C179" s="27">
        <f t="shared" si="5"/>
        <v>138</v>
      </c>
      <c r="D179" s="27"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Values'!R",ROW()-LengthHeader,"C2:R",ROW()-LengthHeader,"C",NumFileColumns+2),FALSE))," ],["))))</f>
        <v xml:space="preserve">  - &amp;SamplingFeatureID0137 {SamplingFeatureUUID:  "", SamplingFeatureTypeCV:  "Specimen", SamplingFeatureCode:  "1200344", SamplingFeatureName:  "", SamplingFeatureDescription:  "", SamplingFeatureGeotypeCV:  Point, FeatureGeometry:  NULL, Elevation_m:  NULL, ElevationDatumCV:  NULL}</v>
      </c>
    </row>
    <row r="180" spans="1:4" x14ac:dyDescent="0.25">
      <c r="A180" s="27">
        <f t="shared" si="4"/>
        <v>14</v>
      </c>
      <c r="B180" s="27" t="str">
        <f>OFFSET('YODA Header Blocks'!$A$1,0,A180)</f>
        <v>Sampling Features</v>
      </c>
      <c r="C180" s="27">
        <f t="shared" si="5"/>
        <v>139</v>
      </c>
      <c r="D180" s="27"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Values'!R",ROW()-LengthHeader,"C2:R",ROW()-LengthHeader,"C",NumFileColumns+2),FALSE))," ],["))))</f>
        <v xml:space="preserve">  - &amp;SamplingFeatureID0138 {SamplingFeatureUUID:  "", SamplingFeatureTypeCV:  "Specimen", SamplingFeatureCode:  "1200517", SamplingFeatureName:  "", SamplingFeatureDescription:  "", SamplingFeatureGeotypeCV:  Point, FeatureGeometry:  NULL, Elevation_m:  NULL, ElevationDatumCV:  NULL}</v>
      </c>
    </row>
    <row r="181" spans="1:4" x14ac:dyDescent="0.25">
      <c r="A181" s="27">
        <f t="shared" si="4"/>
        <v>14</v>
      </c>
      <c r="B181" s="27" t="str">
        <f>OFFSET('YODA Header Blocks'!$A$1,0,A181)</f>
        <v>Sampling Features</v>
      </c>
      <c r="C181" s="27">
        <f t="shared" si="5"/>
        <v>140</v>
      </c>
      <c r="D181" s="27"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Values'!R",ROW()-LengthHeader,"C2:R",ROW()-LengthHeader,"C",NumFileColumns+2),FALSE))," ],["))))</f>
        <v xml:space="preserve">  - &amp;SamplingFeatureID0139 {SamplingFeatureUUID:  "", SamplingFeatureTypeCV:  "Specimen", SamplingFeatureCode:  "1200516", SamplingFeatureName:  "", SamplingFeatureDescription:  "", SamplingFeatureGeotypeCV:  Point, FeatureGeometry:  NULL, Elevation_m:  NULL, ElevationDatumCV:  NULL}</v>
      </c>
    </row>
    <row r="182" spans="1:4" x14ac:dyDescent="0.25">
      <c r="A182" s="27">
        <f t="shared" si="4"/>
        <v>14</v>
      </c>
      <c r="B182" s="27" t="str">
        <f>OFFSET('YODA Header Blocks'!$A$1,0,A182)</f>
        <v>Sampling Features</v>
      </c>
      <c r="C182" s="27">
        <f t="shared" si="5"/>
        <v>141</v>
      </c>
      <c r="D182" s="27"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Values'!R",ROW()-LengthHeader,"C2:R",ROW()-LengthHeader,"C",NumFileColumns+2),FALSE))," ],["))))</f>
        <v xml:space="preserve">  - &amp;SamplingFeatureID0140 {SamplingFeatureUUID:  "", SamplingFeatureTypeCV:  "Specimen", SamplingFeatureCode:  "1200515", SamplingFeatureName:  "", SamplingFeatureDescription:  "", SamplingFeatureGeotypeCV:  Point, FeatureGeometry:  NULL, Elevation_m:  NULL, ElevationDatumCV:  NULL}</v>
      </c>
    </row>
    <row r="183" spans="1:4" x14ac:dyDescent="0.25">
      <c r="A183" s="27">
        <f t="shared" si="4"/>
        <v>14</v>
      </c>
      <c r="B183" s="27" t="str">
        <f>OFFSET('YODA Header Blocks'!$A$1,0,A183)</f>
        <v>Sampling Features</v>
      </c>
      <c r="C183" s="27">
        <f t="shared" si="5"/>
        <v>142</v>
      </c>
      <c r="D183" s="27"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Values'!R",ROW()-LengthHeader,"C2:R",ROW()-LengthHeader,"C",NumFileColumns+2),FALSE))," ],["))))</f>
        <v xml:space="preserve">  - &amp;SamplingFeatureID0141 {SamplingFeatureUUID:  "", SamplingFeatureTypeCV:  "Specimen", SamplingFeatureCode:  "1200529", SamplingFeatureName:  "", SamplingFeatureDescription:  "", SamplingFeatureGeotypeCV:  Point, FeatureGeometry:  NULL, Elevation_m:  NULL, ElevationDatumCV:  NULL}</v>
      </c>
    </row>
    <row r="184" spans="1:4" x14ac:dyDescent="0.25">
      <c r="A184" s="27">
        <f t="shared" si="4"/>
        <v>14</v>
      </c>
      <c r="B184" s="27" t="str">
        <f>OFFSET('YODA Header Blocks'!$A$1,0,A184)</f>
        <v>Sampling Features</v>
      </c>
      <c r="C184" s="27">
        <f t="shared" si="5"/>
        <v>143</v>
      </c>
      <c r="D184" s="27"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Values'!R",ROW()-LengthHeader,"C2:R",ROW()-LengthHeader,"C",NumFileColumns+2),FALSE))," ],["))))</f>
        <v xml:space="preserve">  - &amp;SamplingFeatureID0142 {SamplingFeatureUUID:  "", SamplingFeatureTypeCV:  "Specimen", SamplingFeatureCode:  "1200530", SamplingFeatureName:  "", SamplingFeatureDescription:  "", SamplingFeatureGeotypeCV:  Point, FeatureGeometry:  NULL, Elevation_m:  NULL, ElevationDatumCV:  NULL}</v>
      </c>
    </row>
    <row r="185" spans="1:4" x14ac:dyDescent="0.25">
      <c r="A185" s="27">
        <f t="shared" si="4"/>
        <v>14</v>
      </c>
      <c r="B185" s="27" t="str">
        <f>OFFSET('YODA Header Blocks'!$A$1,0,A185)</f>
        <v>Sampling Features</v>
      </c>
      <c r="C185" s="27">
        <f t="shared" si="5"/>
        <v>144</v>
      </c>
      <c r="D185" s="27"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Values'!R",ROW()-LengthHeader,"C2:R",ROW()-LengthHeader,"C",NumFileColumns+2),FALSE))," ],["))))</f>
        <v xml:space="preserve">  - &amp;SamplingFeatureID0143 {SamplingFeatureUUID:  "", SamplingFeatureTypeCV:  "Specimen", SamplingFeatureCode:  "1200779", SamplingFeatureName:  "", SamplingFeatureDescription:  "", SamplingFeatureGeotypeCV:  Point, FeatureGeometry:  NULL, Elevation_m:  NULL, ElevationDatumCV:  NULL}</v>
      </c>
    </row>
    <row r="186" spans="1:4" x14ac:dyDescent="0.25">
      <c r="A186" s="27">
        <f t="shared" si="4"/>
        <v>14</v>
      </c>
      <c r="B186" s="27" t="str">
        <f>OFFSET('YODA Header Blocks'!$A$1,0,A186)</f>
        <v>Sampling Features</v>
      </c>
      <c r="C186" s="27">
        <f t="shared" si="5"/>
        <v>145</v>
      </c>
      <c r="D186" s="27"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Values'!R",ROW()-LengthHeader,"C2:R",ROW()-LengthHeader,"C",NumFileColumns+2),FALSE))," ],["))))</f>
        <v xml:space="preserve">  - &amp;SamplingFeatureID0144 {SamplingFeatureUUID:  "", SamplingFeatureTypeCV:  "Specimen", SamplingFeatureCode:  "1200780", SamplingFeatureName:  "", SamplingFeatureDescription:  "", SamplingFeatureGeotypeCV:  Point, FeatureGeometry:  NULL, Elevation_m:  NULL, ElevationDatumCV:  NULL}</v>
      </c>
    </row>
    <row r="187" spans="1:4" x14ac:dyDescent="0.25">
      <c r="A187" s="27">
        <f t="shared" si="4"/>
        <v>14</v>
      </c>
      <c r="B187" s="27" t="str">
        <f>OFFSET('YODA Header Blocks'!$A$1,0,A187)</f>
        <v>Sampling Features</v>
      </c>
      <c r="C187" s="27">
        <f t="shared" si="5"/>
        <v>146</v>
      </c>
      <c r="D187" s="27"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Values'!R",ROW()-LengthHeader,"C2:R",ROW()-LengthHeader,"C",NumFileColumns+2),FALSE))," ],["))))</f>
        <v xml:space="preserve">  - &amp;SamplingFeatureID0145 {SamplingFeatureUUID:  "", SamplingFeatureTypeCV:  "Specimen", SamplingFeatureCode:  "1200781", SamplingFeatureName:  "", SamplingFeatureDescription:  "", SamplingFeatureGeotypeCV:  Point, FeatureGeometry:  NULL, Elevation_m:  NULL, ElevationDatumCV:  NULL}</v>
      </c>
    </row>
    <row r="188" spans="1:4" x14ac:dyDescent="0.25">
      <c r="A188" s="27">
        <f t="shared" si="4"/>
        <v>14</v>
      </c>
      <c r="B188" s="27" t="str">
        <f>OFFSET('YODA Header Blocks'!$A$1,0,A188)</f>
        <v>Sampling Features</v>
      </c>
      <c r="C188" s="27">
        <f t="shared" si="5"/>
        <v>147</v>
      </c>
      <c r="D188" s="27"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Values'!R",ROW()-LengthHeader,"C2:R",ROW()-LengthHeader,"C",NumFileColumns+2),FALSE))," ],["))))</f>
        <v xml:space="preserve">  - &amp;SamplingFeatureID0146 {SamplingFeatureUUID:  "", SamplingFeatureTypeCV:  "Specimen", SamplingFeatureCode:  "1200782", SamplingFeatureName:  "", SamplingFeatureDescription:  "", SamplingFeatureGeotypeCV:  Point, FeatureGeometry:  NULL, Elevation_m:  NULL, ElevationDatumCV:  NULL}</v>
      </c>
    </row>
    <row r="189" spans="1:4" x14ac:dyDescent="0.25">
      <c r="A189" s="27">
        <f t="shared" si="4"/>
        <v>14</v>
      </c>
      <c r="B189" s="27" t="str">
        <f>OFFSET('YODA Header Blocks'!$A$1,0,A189)</f>
        <v>Sampling Features</v>
      </c>
      <c r="C189" s="27">
        <f t="shared" si="5"/>
        <v>148</v>
      </c>
      <c r="D189" s="27"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Values'!R",ROW()-LengthHeader,"C2:R",ROW()-LengthHeader,"C",NumFileColumns+2),FALSE))," ],["))))</f>
        <v xml:space="preserve">  - &amp;SamplingFeatureID0147 {SamplingFeatureUUID:  "", SamplingFeatureTypeCV:  "Specimen", SamplingFeatureCode:  "1200783", SamplingFeatureName:  "", SamplingFeatureDescription:  "", SamplingFeatureGeotypeCV:  Point, FeatureGeometry:  NULL, Elevation_m:  NULL, ElevationDatumCV:  NULL}</v>
      </c>
    </row>
    <row r="190" spans="1:4" x14ac:dyDescent="0.25">
      <c r="A190" s="27">
        <f t="shared" si="4"/>
        <v>14</v>
      </c>
      <c r="B190" s="27" t="str">
        <f>OFFSET('YODA Header Blocks'!$A$1,0,A190)</f>
        <v>Sampling Features</v>
      </c>
      <c r="C190" s="27">
        <f t="shared" si="5"/>
        <v>149</v>
      </c>
      <c r="D190" s="27"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Values'!R",ROW()-LengthHeader,"C2:R",ROW()-LengthHeader,"C",NumFileColumns+2),FALSE))," ],["))))</f>
        <v xml:space="preserve">  - &amp;SamplingFeatureID0148 {SamplingFeatureUUID:  "", SamplingFeatureTypeCV:  "Specimen", SamplingFeatureCode:  "1200784", SamplingFeatureName:  "", SamplingFeatureDescription:  "", SamplingFeatureGeotypeCV:  Point, FeatureGeometry:  NULL, Elevation_m:  NULL, ElevationDatumCV:  NULL}</v>
      </c>
    </row>
    <row r="191" spans="1:4" x14ac:dyDescent="0.25">
      <c r="A191" s="27">
        <f t="shared" si="4"/>
        <v>14</v>
      </c>
      <c r="B191" s="27" t="str">
        <f>OFFSET('YODA Header Blocks'!$A$1,0,A191)</f>
        <v>Sampling Features</v>
      </c>
      <c r="C191" s="27">
        <f t="shared" si="5"/>
        <v>150</v>
      </c>
      <c r="D191" s="27"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Values'!R",ROW()-LengthHeader,"C2:R",ROW()-LengthHeader,"C",NumFileColumns+2),FALSE))," ],["))))</f>
        <v xml:space="preserve">  - &amp;SamplingFeatureID0149 {SamplingFeatureUUID:  "", SamplingFeatureTypeCV:  "Specimen", SamplingFeatureCode:  "1200785", SamplingFeatureName:  "", SamplingFeatureDescription:  "", SamplingFeatureGeotypeCV:  Point, FeatureGeometry:  NULL, Elevation_m:  NULL, ElevationDatumCV:  NULL}</v>
      </c>
    </row>
    <row r="192" spans="1:4" x14ac:dyDescent="0.25">
      <c r="A192" s="27">
        <f t="shared" si="4"/>
        <v>14</v>
      </c>
      <c r="B192" s="27" t="str">
        <f>OFFSET('YODA Header Blocks'!$A$1,0,A192)</f>
        <v>Sampling Features</v>
      </c>
      <c r="C192" s="27">
        <f t="shared" si="5"/>
        <v>151</v>
      </c>
      <c r="D192" s="27"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Values'!R",ROW()-LengthHeader,"C2:R",ROW()-LengthHeader,"C",NumFileColumns+2),FALSE))," ],["))))</f>
        <v xml:space="preserve">  - &amp;SamplingFeatureID0150 {SamplingFeatureUUID:  "", SamplingFeatureTypeCV:  "Specimen", SamplingFeatureCode:  "1200789", SamplingFeatureName:  "", SamplingFeatureDescription:  "", SamplingFeatureGeotypeCV:  Point, FeatureGeometry:  NULL, Elevation_m:  NULL, ElevationDatumCV:  NULL}</v>
      </c>
    </row>
    <row r="193" spans="1:4" x14ac:dyDescent="0.25">
      <c r="A193" s="27">
        <f t="shared" si="4"/>
        <v>14</v>
      </c>
      <c r="B193" s="27" t="str">
        <f>OFFSET('YODA Header Blocks'!$A$1,0,A193)</f>
        <v>Sampling Features</v>
      </c>
      <c r="C193" s="27">
        <f t="shared" si="5"/>
        <v>152</v>
      </c>
      <c r="D193" s="27"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Values'!R",ROW()-LengthHeader,"C2:R",ROW()-LengthHeader,"C",NumFileColumns+2),FALSE))," ],["))))</f>
        <v xml:space="preserve">  - &amp;SamplingFeatureID0151 {SamplingFeatureUUID:  "", SamplingFeatureTypeCV:  "Specimen", SamplingFeatureCode:  "1200790", SamplingFeatureName:  "", SamplingFeatureDescription:  "", SamplingFeatureGeotypeCV:  Point, FeatureGeometry:  NULL, Elevation_m:  NULL, ElevationDatumCV:  NULL}</v>
      </c>
    </row>
    <row r="194" spans="1:4" x14ac:dyDescent="0.25">
      <c r="A194" s="27">
        <f t="shared" si="4"/>
        <v>14</v>
      </c>
      <c r="B194" s="27" t="str">
        <f>OFFSET('YODA Header Blocks'!$A$1,0,A194)</f>
        <v>Sampling Features</v>
      </c>
      <c r="C194" s="27">
        <f t="shared" si="5"/>
        <v>153</v>
      </c>
      <c r="D194" s="27"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Values'!R",ROW()-LengthHeader,"C2:R",ROW()-LengthHeader,"C",NumFileColumns+2),FALSE))," ],["))))</f>
        <v xml:space="preserve">  - &amp;SamplingFeatureID0152 {SamplingFeatureUUID:  "", SamplingFeatureTypeCV:  "Specimen", SamplingFeatureCode:  "1200791", SamplingFeatureName:  "", SamplingFeatureDescription:  "", SamplingFeatureGeotypeCV:  Point, FeatureGeometry:  NULL, Elevation_m:  NULL, ElevationDatumCV:  NULL}</v>
      </c>
    </row>
    <row r="195" spans="1:4" x14ac:dyDescent="0.25">
      <c r="A195" s="27">
        <f t="shared" si="4"/>
        <v>14</v>
      </c>
      <c r="B195" s="27" t="str">
        <f>OFFSET('YODA Header Blocks'!$A$1,0,A195)</f>
        <v>Sampling Features</v>
      </c>
      <c r="C195" s="27">
        <f t="shared" si="5"/>
        <v>154</v>
      </c>
      <c r="D195" s="27"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Values'!R",ROW()-LengthHeader,"C2:R",ROW()-LengthHeader,"C",NumFileColumns+2),FALSE))," ],["))))</f>
        <v xml:space="preserve">  - &amp;SamplingFeatureID0153 {SamplingFeatureUUID:  "", SamplingFeatureTypeCV:  "Specimen", SamplingFeatureCode:  "1200881", SamplingFeatureName:  "", SamplingFeatureDescription:  "", SamplingFeatureGeotypeCV:  Point, FeatureGeometry:  NULL, Elevation_m:  NULL, ElevationDatumCV:  NULL}</v>
      </c>
    </row>
    <row r="196" spans="1:4" x14ac:dyDescent="0.25">
      <c r="A196" s="27">
        <f t="shared" ref="A196:A259" si="6">IF(C195=INDIRECT(CONCATENATE("'YODA Header Blocks'!R2C",A195+1,":R2C",A195+1),FALSE),A195+1,A195)</f>
        <v>14</v>
      </c>
      <c r="B196" s="27" t="str">
        <f>OFFSET('YODA Header Blocks'!$A$1,0,A196)</f>
        <v>Sampling Features</v>
      </c>
      <c r="C196" s="27">
        <f t="shared" ref="C196:C259" si="7">IF(C195=SUM(INDIRECT(CONCATENATE("'YODA Header Blocks'!R2C",A195+1,":R2C",A195+1),FALSE)),1,C195+1)</f>
        <v>155</v>
      </c>
      <c r="D196" s="27"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Values'!R",ROW()-LengthHeader,"C2:R",ROW()-LengthHeader,"C",NumFileColumns+2),FALSE))," ],["))))</f>
        <v xml:space="preserve">  - &amp;SamplingFeatureID0154 {SamplingFeatureUUID:  "", SamplingFeatureTypeCV:  "Specimen", SamplingFeatureCode:  "1200879", SamplingFeatureName:  "", SamplingFeatureDescription:  "", SamplingFeatureGeotypeCV:  Point, FeatureGeometry:  NULL, Elevation_m:  NULL, ElevationDatumCV:  NULL}</v>
      </c>
    </row>
    <row r="197" spans="1:4" x14ac:dyDescent="0.25">
      <c r="A197" s="27">
        <f t="shared" si="6"/>
        <v>14</v>
      </c>
      <c r="B197" s="27" t="str">
        <f>OFFSET('YODA Header Blocks'!$A$1,0,A197)</f>
        <v>Sampling Features</v>
      </c>
      <c r="C197" s="27">
        <f t="shared" si="7"/>
        <v>156</v>
      </c>
      <c r="D197" s="27"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Values'!R",ROW()-LengthHeader,"C2:R",ROW()-LengthHeader,"C",NumFileColumns+2),FALSE))," ],["))))</f>
        <v xml:space="preserve">  - &amp;SamplingFeatureID0155 {SamplingFeatureUUID:  "", SamplingFeatureTypeCV:  "Specimen", SamplingFeatureCode:  "1200880", SamplingFeatureName:  "", SamplingFeatureDescription:  "", SamplingFeatureGeotypeCV:  Point, FeatureGeometry:  NULL, Elevation_m:  NULL, ElevationDatumCV:  NULL}</v>
      </c>
    </row>
    <row r="198" spans="1:4" x14ac:dyDescent="0.25">
      <c r="A198" s="27">
        <f t="shared" si="6"/>
        <v>14</v>
      </c>
      <c r="B198" s="27" t="str">
        <f>OFFSET('YODA Header Blocks'!$A$1,0,A198)</f>
        <v>Sampling Features</v>
      </c>
      <c r="C198" s="27">
        <f t="shared" si="7"/>
        <v>157</v>
      </c>
      <c r="D198" s="27"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Values'!R",ROW()-LengthHeader,"C2:R",ROW()-LengthHeader,"C",NumFileColumns+2),FALSE))," ],["))))</f>
        <v xml:space="preserve">  - &amp;SamplingFeatureID0156 {SamplingFeatureUUID:  "", SamplingFeatureTypeCV:  "Specimen", SamplingFeatureCode:  "1201280", SamplingFeatureName:  "", SamplingFeatureDescription:  "", SamplingFeatureGeotypeCV:  Point, FeatureGeometry:  NULL, Elevation_m:  NULL, ElevationDatumCV:  NULL}</v>
      </c>
    </row>
    <row r="199" spans="1:4" x14ac:dyDescent="0.25">
      <c r="A199" s="27">
        <f t="shared" si="6"/>
        <v>14</v>
      </c>
      <c r="B199" s="27" t="str">
        <f>OFFSET('YODA Header Blocks'!$A$1,0,A199)</f>
        <v>Sampling Features</v>
      </c>
      <c r="C199" s="27">
        <f t="shared" si="7"/>
        <v>158</v>
      </c>
      <c r="D199" s="27"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Values'!R",ROW()-LengthHeader,"C2:R",ROW()-LengthHeader,"C",NumFileColumns+2),FALSE))," ],["))))</f>
        <v xml:space="preserve">  - &amp;SamplingFeatureID0157 {SamplingFeatureUUID:  "", SamplingFeatureTypeCV:  "Specimen", SamplingFeatureCode:  "1201278", SamplingFeatureName:  "", SamplingFeatureDescription:  "", SamplingFeatureGeotypeCV:  Point, FeatureGeometry:  NULL, Elevation_m:  NULL, ElevationDatumCV:  NULL}</v>
      </c>
    </row>
    <row r="200" spans="1:4" x14ac:dyDescent="0.25">
      <c r="A200" s="27">
        <f t="shared" si="6"/>
        <v>14</v>
      </c>
      <c r="B200" s="27" t="str">
        <f>OFFSET('YODA Header Blocks'!$A$1,0,A200)</f>
        <v>Sampling Features</v>
      </c>
      <c r="C200" s="27">
        <f t="shared" si="7"/>
        <v>159</v>
      </c>
      <c r="D200" s="27"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Values'!R",ROW()-LengthHeader,"C2:R",ROW()-LengthHeader,"C",NumFileColumns+2),FALSE))," ],["))))</f>
        <v xml:space="preserve">  - &amp;SamplingFeatureID0158 {SamplingFeatureUUID:  "", SamplingFeatureTypeCV:  "Specimen", SamplingFeatureCode:  "1201279", SamplingFeatureName:  "", SamplingFeatureDescription:  "", SamplingFeatureGeotypeCV:  Point, FeatureGeometry:  NULL, Elevation_m:  NULL, ElevationDatumCV:  NULL}</v>
      </c>
    </row>
    <row r="201" spans="1:4" x14ac:dyDescent="0.25">
      <c r="A201" s="27">
        <f t="shared" si="6"/>
        <v>14</v>
      </c>
      <c r="B201" s="27" t="str">
        <f>OFFSET('YODA Header Blocks'!$A$1,0,A201)</f>
        <v>Sampling Features</v>
      </c>
      <c r="C201" s="27">
        <f t="shared" si="7"/>
        <v>160</v>
      </c>
      <c r="D201" s="27"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Values'!R",ROW()-LengthHeader,"C2:R",ROW()-LengthHeader,"C",NumFileColumns+2),FALSE))," ],["))))</f>
        <v xml:space="preserve">  - &amp;SamplingFeatureID0159 {SamplingFeatureUUID:  "", SamplingFeatureTypeCV:  "Specimen", SamplingFeatureCode:  "1201403", SamplingFeatureName:  "", SamplingFeatureDescription:  "", SamplingFeatureGeotypeCV:  Point, FeatureGeometry:  NULL, Elevation_m:  NULL, ElevationDatumCV:  NULL}</v>
      </c>
    </row>
    <row r="202" spans="1:4" x14ac:dyDescent="0.25">
      <c r="A202" s="27">
        <f t="shared" si="6"/>
        <v>14</v>
      </c>
      <c r="B202" s="27" t="str">
        <f>OFFSET('YODA Header Blocks'!$A$1,0,A202)</f>
        <v>Sampling Features</v>
      </c>
      <c r="C202" s="27">
        <f t="shared" si="7"/>
        <v>161</v>
      </c>
      <c r="D202" s="27"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Values'!R",ROW()-LengthHeader,"C2:R",ROW()-LengthHeader,"C",NumFileColumns+2),FALSE))," ],["))))</f>
        <v xml:space="preserve">  - &amp;SamplingFeatureID0160 {SamplingFeatureUUID:  "", SamplingFeatureTypeCV:  "Specimen", SamplingFeatureCode:  "1201706", SamplingFeatureName:  "", SamplingFeatureDescription:  "", SamplingFeatureGeotypeCV:  Point, FeatureGeometry:  NULL, Elevation_m:  NULL, ElevationDatumCV:  NULL}</v>
      </c>
    </row>
    <row r="203" spans="1:4" x14ac:dyDescent="0.25">
      <c r="A203" s="27">
        <f t="shared" si="6"/>
        <v>14</v>
      </c>
      <c r="B203" s="27" t="str">
        <f>OFFSET('YODA Header Blocks'!$A$1,0,A203)</f>
        <v>Sampling Features</v>
      </c>
      <c r="C203" s="27">
        <f t="shared" si="7"/>
        <v>162</v>
      </c>
      <c r="D203" s="27"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Values'!R",ROW()-LengthHeader,"C2:R",ROW()-LengthHeader,"C",NumFileColumns+2),FALSE))," ],["))))</f>
        <v xml:space="preserve">  - &amp;SamplingFeatureID0161 {SamplingFeatureUUID:  "", SamplingFeatureTypeCV:  "Specimen", SamplingFeatureCode:  "1201704", SamplingFeatureName:  "", SamplingFeatureDescription:  "", SamplingFeatureGeotypeCV:  Point, FeatureGeometry:  NULL, Elevation_m:  NULL, ElevationDatumCV:  NULL}</v>
      </c>
    </row>
    <row r="204" spans="1:4" x14ac:dyDescent="0.25">
      <c r="A204" s="27">
        <f t="shared" si="6"/>
        <v>14</v>
      </c>
      <c r="B204" s="27" t="str">
        <f>OFFSET('YODA Header Blocks'!$A$1,0,A204)</f>
        <v>Sampling Features</v>
      </c>
      <c r="C204" s="27">
        <f t="shared" si="7"/>
        <v>163</v>
      </c>
      <c r="D204" s="27"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Values'!R",ROW()-LengthHeader,"C2:R",ROW()-LengthHeader,"C",NumFileColumns+2),FALSE))," ],["))))</f>
        <v xml:space="preserve">  - &amp;SamplingFeatureID0162 {SamplingFeatureUUID:  "", SamplingFeatureTypeCV:  "Specimen", SamplingFeatureCode:  "1201705", SamplingFeatureName:  "", SamplingFeatureDescription:  "", SamplingFeatureGeotypeCV:  Point, FeatureGeometry:  NULL, Elevation_m:  NULL, ElevationDatumCV:  NULL}</v>
      </c>
    </row>
    <row r="205" spans="1:4" x14ac:dyDescent="0.25">
      <c r="A205" s="27">
        <f t="shared" si="6"/>
        <v>14</v>
      </c>
      <c r="B205" s="27" t="str">
        <f>OFFSET('YODA Header Blocks'!$A$1,0,A205)</f>
        <v>Sampling Features</v>
      </c>
      <c r="C205" s="27">
        <f t="shared" si="7"/>
        <v>164</v>
      </c>
      <c r="D205" s="27"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Values'!R",ROW()-LengthHeader,"C2:R",ROW()-LengthHeader,"C",NumFileColumns+2),FALSE))," ],["))))</f>
        <v xml:space="preserve">  - &amp;SamplingFeatureID0163 {SamplingFeatureUUID:  "", SamplingFeatureTypeCV:  "Specimen", SamplingFeatureCode:  "1201756", SamplingFeatureName:  "", SamplingFeatureDescription:  "", SamplingFeatureGeotypeCV:  Point, FeatureGeometry:  NULL, Elevation_m:  NULL, ElevationDatumCV:  NULL}</v>
      </c>
    </row>
    <row r="206" spans="1:4" x14ac:dyDescent="0.25">
      <c r="A206" s="27">
        <f t="shared" si="6"/>
        <v>14</v>
      </c>
      <c r="B206" s="27" t="str">
        <f>OFFSET('YODA Header Blocks'!$A$1,0,A206)</f>
        <v>Sampling Features</v>
      </c>
      <c r="C206" s="27">
        <f t="shared" si="7"/>
        <v>165</v>
      </c>
      <c r="D206" s="27"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Values'!R",ROW()-LengthHeader,"C2:R",ROW()-LengthHeader,"C",NumFileColumns+2),FALSE))," ],["))))</f>
        <v xml:space="preserve">  - &amp;SamplingFeatureID0164 {SamplingFeatureUUID:  "", SamplingFeatureTypeCV:  "Specimen", SamplingFeatureCode:  "1202111", SamplingFeatureName:  "", SamplingFeatureDescription:  "", SamplingFeatureGeotypeCV:  Point, FeatureGeometry:  NULL, Elevation_m:  NULL, ElevationDatumCV:  NULL}</v>
      </c>
    </row>
    <row r="207" spans="1:4" x14ac:dyDescent="0.25">
      <c r="A207" s="27">
        <f t="shared" si="6"/>
        <v>14</v>
      </c>
      <c r="B207" s="27" t="str">
        <f>OFFSET('YODA Header Blocks'!$A$1,0,A207)</f>
        <v>Sampling Features</v>
      </c>
      <c r="C207" s="27">
        <f t="shared" si="7"/>
        <v>166</v>
      </c>
      <c r="D207" s="27"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Values'!R",ROW()-LengthHeader,"C2:R",ROW()-LengthHeader,"C",NumFileColumns+2),FALSE))," ],["))))</f>
        <v xml:space="preserve">  - &amp;SamplingFeatureID0165 {SamplingFeatureUUID:  "", SamplingFeatureTypeCV:  "Specimen", SamplingFeatureCode:  "1202112", SamplingFeatureName:  "", SamplingFeatureDescription:  "", SamplingFeatureGeotypeCV:  Point, FeatureGeometry:  NULL, Elevation_m:  NULL, ElevationDatumCV:  NULL}</v>
      </c>
    </row>
    <row r="208" spans="1:4" x14ac:dyDescent="0.25">
      <c r="A208" s="27">
        <f t="shared" si="6"/>
        <v>14</v>
      </c>
      <c r="B208" s="27" t="str">
        <f>OFFSET('YODA Header Blocks'!$A$1,0,A208)</f>
        <v>Sampling Features</v>
      </c>
      <c r="C208" s="27">
        <f t="shared" si="7"/>
        <v>167</v>
      </c>
      <c r="D208" s="27"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Values'!R",ROW()-LengthHeader,"C2:R",ROW()-LengthHeader,"C",NumFileColumns+2),FALSE))," ],["))))</f>
        <v xml:space="preserve">  - &amp;SamplingFeatureID0166 {SamplingFeatureUUID:  "", SamplingFeatureTypeCV:  "Specimen", SamplingFeatureCode:  "1202113", SamplingFeatureName:  "", SamplingFeatureDescription:  "", SamplingFeatureGeotypeCV:  Point, FeatureGeometry:  NULL, Elevation_m:  NULL, ElevationDatumCV:  NULL}</v>
      </c>
    </row>
    <row r="209" spans="1:4" x14ac:dyDescent="0.25">
      <c r="A209" s="27">
        <f t="shared" si="6"/>
        <v>14</v>
      </c>
      <c r="B209" s="27" t="str">
        <f>OFFSET('YODA Header Blocks'!$A$1,0,A209)</f>
        <v>Sampling Features</v>
      </c>
      <c r="C209" s="27">
        <f t="shared" si="7"/>
        <v>168</v>
      </c>
      <c r="D209" s="27"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Values'!R",ROW()-LengthHeader,"C2:R",ROW()-LengthHeader,"C",NumFileColumns+2),FALSE))," ],["))))</f>
        <v xml:space="preserve">  - &amp;SamplingFeatureID0167 {SamplingFeatureUUID:  "", SamplingFeatureTypeCV:  "Specimen", SamplingFeatureCode:  "1202219", SamplingFeatureName:  "", SamplingFeatureDescription:  "", SamplingFeatureGeotypeCV:  Point, FeatureGeometry:  NULL, Elevation_m:  NULL, ElevationDatumCV:  NULL}</v>
      </c>
    </row>
    <row r="210" spans="1:4" x14ac:dyDescent="0.25">
      <c r="A210" s="27">
        <f t="shared" si="6"/>
        <v>14</v>
      </c>
      <c r="B210" s="27" t="str">
        <f>OFFSET('YODA Header Blocks'!$A$1,0,A210)</f>
        <v>Sampling Features</v>
      </c>
      <c r="C210" s="27">
        <f t="shared" si="7"/>
        <v>169</v>
      </c>
      <c r="D210" s="27"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Values'!R",ROW()-LengthHeader,"C2:R",ROW()-LengthHeader,"C",NumFileColumns+2),FALSE))," ],["))))</f>
        <v xml:space="preserve">  - &amp;SamplingFeatureID0168 {SamplingFeatureUUID:  "", SamplingFeatureTypeCV:  "Specimen", SamplingFeatureCode:  "1202392", SamplingFeatureName:  "", SamplingFeatureDescription:  "", SamplingFeatureGeotypeCV:  Point, FeatureGeometry:  NULL, Elevation_m:  NULL, ElevationDatumCV:  NULL}</v>
      </c>
    </row>
    <row r="211" spans="1:4" x14ac:dyDescent="0.25">
      <c r="A211" s="27">
        <f t="shared" si="6"/>
        <v>14</v>
      </c>
      <c r="B211" s="27" t="str">
        <f>OFFSET('YODA Header Blocks'!$A$1,0,A211)</f>
        <v>Sampling Features</v>
      </c>
      <c r="C211" s="27">
        <f t="shared" si="7"/>
        <v>170</v>
      </c>
      <c r="D211" s="27"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Values'!R",ROW()-LengthHeader,"C2:R",ROW()-LengthHeader,"C",NumFileColumns+2),FALSE))," ],["))))</f>
        <v xml:space="preserve">  - &amp;SamplingFeatureID0169 {SamplingFeatureUUID:  "", SamplingFeatureTypeCV:  "Specimen", SamplingFeatureCode:  "1202391", SamplingFeatureName:  "", SamplingFeatureDescription:  "", SamplingFeatureGeotypeCV:  Point, FeatureGeometry:  NULL, Elevation_m:  NULL, ElevationDatumCV:  NULL}</v>
      </c>
    </row>
    <row r="212" spans="1:4" x14ac:dyDescent="0.25">
      <c r="A212" s="27">
        <f t="shared" si="6"/>
        <v>14</v>
      </c>
      <c r="B212" s="27" t="str">
        <f>OFFSET('YODA Header Blocks'!$A$1,0,A212)</f>
        <v>Sampling Features</v>
      </c>
      <c r="C212" s="27">
        <f t="shared" si="7"/>
        <v>171</v>
      </c>
      <c r="D212" s="27"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Values'!R",ROW()-LengthHeader,"C2:R",ROW()-LengthHeader,"C",NumFileColumns+2),FALSE))," ],["))))</f>
        <v xml:space="preserve">  - &amp;SamplingFeatureID0170 {SamplingFeatureUUID:  "", SamplingFeatureTypeCV:  "Specimen", SamplingFeatureCode:  "1202390", SamplingFeatureName:  "", SamplingFeatureDescription:  "", SamplingFeatureGeotypeCV:  Point, FeatureGeometry:  NULL, Elevation_m:  NULL, ElevationDatumCV:  NULL}</v>
      </c>
    </row>
    <row r="213" spans="1:4" x14ac:dyDescent="0.25">
      <c r="A213" s="27">
        <f t="shared" si="6"/>
        <v>14</v>
      </c>
      <c r="B213" s="27" t="str">
        <f>OFFSET('YODA Header Blocks'!$A$1,0,A213)</f>
        <v>Sampling Features</v>
      </c>
      <c r="C213" s="27">
        <f t="shared" si="7"/>
        <v>172</v>
      </c>
      <c r="D213" s="27"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Values'!R",ROW()-LengthHeader,"C2:R",ROW()-LengthHeader,"C",NumFileColumns+2),FALSE))," ],["))))</f>
        <v xml:space="preserve">  - &amp;SamplingFeatureID0171 {SamplingFeatureUUID:  "", SamplingFeatureTypeCV:  "Specimen", SamplingFeatureCode:  "1202621", SamplingFeatureName:  "", SamplingFeatureDescription:  "", SamplingFeatureGeotypeCV:  Point, FeatureGeometry:  NULL, Elevation_m:  NULL, ElevationDatumCV:  NULL}</v>
      </c>
    </row>
    <row r="214" spans="1:4" x14ac:dyDescent="0.25">
      <c r="A214" s="27">
        <f t="shared" si="6"/>
        <v>14</v>
      </c>
      <c r="B214" s="27" t="str">
        <f>OFFSET('YODA Header Blocks'!$A$1,0,A214)</f>
        <v>Sampling Features</v>
      </c>
      <c r="C214" s="27">
        <f t="shared" si="7"/>
        <v>173</v>
      </c>
      <c r="D214" s="27"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Values'!R",ROW()-LengthHeader,"C2:R",ROW()-LengthHeader,"C",NumFileColumns+2),FALSE))," ],["))))</f>
        <v xml:space="preserve">  - &amp;SamplingFeatureID0172 {SamplingFeatureUUID:  "", SamplingFeatureTypeCV:  "Specimen", SamplingFeatureCode:  "1202622", SamplingFeatureName:  "", SamplingFeatureDescription:  "", SamplingFeatureGeotypeCV:  Point, FeatureGeometry:  NULL, Elevation_m:  NULL, ElevationDatumCV:  NULL}</v>
      </c>
    </row>
    <row r="215" spans="1:4" x14ac:dyDescent="0.25">
      <c r="A215" s="27">
        <f t="shared" si="6"/>
        <v>14</v>
      </c>
      <c r="B215" s="27" t="str">
        <f>OFFSET('YODA Header Blocks'!$A$1,0,A215)</f>
        <v>Sampling Features</v>
      </c>
      <c r="C215" s="27">
        <f t="shared" si="7"/>
        <v>174</v>
      </c>
      <c r="D215" s="27"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Values'!R",ROW()-LengthHeader,"C2:R",ROW()-LengthHeader,"C",NumFileColumns+2),FALSE))," ],["))))</f>
        <v xml:space="preserve">  - &amp;SamplingFeatureID0173 {SamplingFeatureUUID:  "", SamplingFeatureTypeCV:  "Specimen", SamplingFeatureCode:  "1202623", SamplingFeatureName:  "", SamplingFeatureDescription:  "", SamplingFeatureGeotypeCV:  Point, FeatureGeometry:  NULL, Elevation_m:  NULL, ElevationDatumCV:  NULL}</v>
      </c>
    </row>
    <row r="216" spans="1:4" x14ac:dyDescent="0.25">
      <c r="A216" s="27">
        <f t="shared" si="6"/>
        <v>14</v>
      </c>
      <c r="B216" s="27" t="str">
        <f>OFFSET('YODA Header Blocks'!$A$1,0,A216)</f>
        <v>Sampling Features</v>
      </c>
      <c r="C216" s="27">
        <f t="shared" si="7"/>
        <v>175</v>
      </c>
      <c r="D216" s="27"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Values'!R",ROW()-LengthHeader,"C2:R",ROW()-LengthHeader,"C",NumFileColumns+2),FALSE))," ],["))))</f>
        <v xml:space="preserve">  - &amp;SamplingFeatureID0174 {SamplingFeatureUUID:  "", SamplingFeatureTypeCV:  "Specimen", SamplingFeatureCode:  "1202624", SamplingFeatureName:  "", SamplingFeatureDescription:  "", SamplingFeatureGeotypeCV:  Point, FeatureGeometry:  NULL, Elevation_m:  NULL, ElevationDatumCV:  NULL}</v>
      </c>
    </row>
    <row r="217" spans="1:4" x14ac:dyDescent="0.25">
      <c r="A217" s="27">
        <f t="shared" si="6"/>
        <v>14</v>
      </c>
      <c r="B217" s="27" t="str">
        <f>OFFSET('YODA Header Blocks'!$A$1,0,A217)</f>
        <v>Sampling Features</v>
      </c>
      <c r="C217" s="27">
        <f t="shared" si="7"/>
        <v>176</v>
      </c>
      <c r="D217" s="27"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Values'!R",ROW()-LengthHeader,"C2:R",ROW()-LengthHeader,"C",NumFileColumns+2),FALSE))," ],["))))</f>
        <v xml:space="preserve">  - &amp;SamplingFeatureID0175 {SamplingFeatureUUID:  "", SamplingFeatureTypeCV:  "Specimen", SamplingFeatureCode:  "1202625", SamplingFeatureName:  "", SamplingFeatureDescription:  "", SamplingFeatureGeotypeCV:  Point, FeatureGeometry:  NULL, Elevation_m:  NULL, ElevationDatumCV:  NULL}</v>
      </c>
    </row>
    <row r="218" spans="1:4" x14ac:dyDescent="0.25">
      <c r="A218" s="27">
        <f t="shared" si="6"/>
        <v>14</v>
      </c>
      <c r="B218" s="27" t="str">
        <f>OFFSET('YODA Header Blocks'!$A$1,0,A218)</f>
        <v>Sampling Features</v>
      </c>
      <c r="C218" s="27">
        <f t="shared" si="7"/>
        <v>177</v>
      </c>
      <c r="D218" s="27"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Values'!R",ROW()-LengthHeader,"C2:R",ROW()-LengthHeader,"C",NumFileColumns+2),FALSE))," ],["))))</f>
        <v xml:space="preserve">  - &amp;SamplingFeatureID0176 {SamplingFeatureUUID:  "", SamplingFeatureTypeCV:  "Specimen", SamplingFeatureCode:  "1202626", SamplingFeatureName:  "", SamplingFeatureDescription:  "", SamplingFeatureGeotypeCV:  Point, FeatureGeometry:  NULL, Elevation_m:  NULL, ElevationDatumCV:  NULL}</v>
      </c>
    </row>
    <row r="219" spans="1:4" x14ac:dyDescent="0.25">
      <c r="A219" s="27">
        <f t="shared" si="6"/>
        <v>14</v>
      </c>
      <c r="B219" s="27" t="str">
        <f>OFFSET('YODA Header Blocks'!$A$1,0,A219)</f>
        <v>Sampling Features</v>
      </c>
      <c r="C219" s="27">
        <f t="shared" si="7"/>
        <v>178</v>
      </c>
      <c r="D219" s="27"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Values'!R",ROW()-LengthHeader,"C2:R",ROW()-LengthHeader,"C",NumFileColumns+2),FALSE))," ],["))))</f>
        <v xml:space="preserve">  - &amp;SamplingFeatureID0177 {SamplingFeatureUUID:  "", SamplingFeatureTypeCV:  "Specimen", SamplingFeatureCode:  "1202627", SamplingFeatureName:  "", SamplingFeatureDescription:  "", SamplingFeatureGeotypeCV:  Point, FeatureGeometry:  NULL, Elevation_m:  NULL, ElevationDatumCV:  NULL}</v>
      </c>
    </row>
    <row r="220" spans="1:4" x14ac:dyDescent="0.25">
      <c r="A220" s="27">
        <f t="shared" si="6"/>
        <v>14</v>
      </c>
      <c r="B220" s="27" t="str">
        <f>OFFSET('YODA Header Blocks'!$A$1,0,A220)</f>
        <v>Sampling Features</v>
      </c>
      <c r="C220" s="27">
        <f t="shared" si="7"/>
        <v>179</v>
      </c>
      <c r="D220" s="27"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Values'!R",ROW()-LengthHeader,"C2:R",ROW()-LengthHeader,"C",NumFileColumns+2),FALSE))," ],["))))</f>
        <v xml:space="preserve">  - &amp;SamplingFeatureID0178 {SamplingFeatureUUID:  "", SamplingFeatureTypeCV:  "Specimen", SamplingFeatureCode:  "1202628", SamplingFeatureName:  "", SamplingFeatureDescription:  "", SamplingFeatureGeotypeCV:  Point, FeatureGeometry:  NULL, Elevation_m:  NULL, ElevationDatumCV:  NULL}</v>
      </c>
    </row>
    <row r="221" spans="1:4" x14ac:dyDescent="0.25">
      <c r="A221" s="27">
        <f t="shared" si="6"/>
        <v>14</v>
      </c>
      <c r="B221" s="27" t="str">
        <f>OFFSET('YODA Header Blocks'!$A$1,0,A221)</f>
        <v>Sampling Features</v>
      </c>
      <c r="C221" s="27">
        <f t="shared" si="7"/>
        <v>180</v>
      </c>
      <c r="D221" s="27"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Values'!R",ROW()-LengthHeader,"C2:R",ROW()-LengthHeader,"C",NumFileColumns+2),FALSE))," ],["))))</f>
        <v xml:space="preserve">  - &amp;SamplingFeatureID0179 {SamplingFeatureUUID:  "", SamplingFeatureTypeCV:  "Specimen", SamplingFeatureCode:  "1202629", SamplingFeatureName:  "", SamplingFeatureDescription:  "", SamplingFeatureGeotypeCV:  Point, FeatureGeometry:  NULL, Elevation_m:  NULL, ElevationDatumCV:  NULL}</v>
      </c>
    </row>
    <row r="222" spans="1:4" x14ac:dyDescent="0.25">
      <c r="A222" s="27">
        <f t="shared" si="6"/>
        <v>14</v>
      </c>
      <c r="B222" s="27" t="str">
        <f>OFFSET('YODA Header Blocks'!$A$1,0,A222)</f>
        <v>Sampling Features</v>
      </c>
      <c r="C222" s="27">
        <f t="shared" si="7"/>
        <v>181</v>
      </c>
      <c r="D222" s="27"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Values'!R",ROW()-LengthHeader,"C2:R",ROW()-LengthHeader,"C",NumFileColumns+2),FALSE))," ],["))))</f>
        <v xml:space="preserve">  - &amp;SamplingFeatureID0180 {SamplingFeatureUUID:  "", SamplingFeatureTypeCV:  "Specimen", SamplingFeatureCode:  "1202630", SamplingFeatureName:  "", SamplingFeatureDescription:  "", SamplingFeatureGeotypeCV:  Point, FeatureGeometry:  NULL, Elevation_m:  NULL, ElevationDatumCV:  NULL}</v>
      </c>
    </row>
    <row r="223" spans="1:4" x14ac:dyDescent="0.25">
      <c r="A223" s="27">
        <f t="shared" si="6"/>
        <v>14</v>
      </c>
      <c r="B223" s="27" t="str">
        <f>OFFSET('YODA Header Blocks'!$A$1,0,A223)</f>
        <v>Sampling Features</v>
      </c>
      <c r="C223" s="27">
        <f t="shared" si="7"/>
        <v>182</v>
      </c>
      <c r="D223" s="27"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Values'!R",ROW()-LengthHeader,"C2:R",ROW()-LengthHeader,"C",NumFileColumns+2),FALSE))," ],["))))</f>
        <v xml:space="preserve">  - &amp;SamplingFeatureID0181 {SamplingFeatureUUID:  "", SamplingFeatureTypeCV:  "Specimen", SamplingFeatureCode:  "1202631", SamplingFeatureName:  "", SamplingFeatureDescription:  "", SamplingFeatureGeotypeCV:  Point, FeatureGeometry:  NULL, Elevation_m:  NULL, ElevationDatumCV:  NULL}</v>
      </c>
    </row>
    <row r="224" spans="1:4" x14ac:dyDescent="0.25">
      <c r="A224" s="27">
        <f t="shared" si="6"/>
        <v>14</v>
      </c>
      <c r="B224" s="27" t="str">
        <f>OFFSET('YODA Header Blocks'!$A$1,0,A224)</f>
        <v>Sampling Features</v>
      </c>
      <c r="C224" s="27">
        <f t="shared" si="7"/>
        <v>183</v>
      </c>
      <c r="D224" s="27"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Values'!R",ROW()-LengthHeader,"C2:R",ROW()-LengthHeader,"C",NumFileColumns+2),FALSE))," ],["))))</f>
        <v xml:space="preserve">  - &amp;SamplingFeatureID0182 {SamplingFeatureUUID:  "", SamplingFeatureTypeCV:  "Specimen", SamplingFeatureCode:  "1202632", SamplingFeatureName:  "", SamplingFeatureDescription:  "", SamplingFeatureGeotypeCV:  Point, FeatureGeometry:  NULL, Elevation_m:  NULL, ElevationDatumCV:  NULL}</v>
      </c>
    </row>
    <row r="225" spans="1:4" x14ac:dyDescent="0.25">
      <c r="A225" s="27">
        <f t="shared" si="6"/>
        <v>14</v>
      </c>
      <c r="B225" s="27" t="str">
        <f>OFFSET('YODA Header Blocks'!$A$1,0,A225)</f>
        <v>Sampling Features</v>
      </c>
      <c r="C225" s="27">
        <f t="shared" si="7"/>
        <v>184</v>
      </c>
      <c r="D225" s="27"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Values'!R",ROW()-LengthHeader,"C2:R",ROW()-LengthHeader,"C",NumFileColumns+2),FALSE))," ],["))))</f>
        <v xml:space="preserve">  - &amp;SamplingFeatureID0183 {SamplingFeatureUUID:  "", SamplingFeatureTypeCV:  "Specimen", SamplingFeatureCode:  "1202872", SamplingFeatureName:  "", SamplingFeatureDescription:  "", SamplingFeatureGeotypeCV:  Point, FeatureGeometry:  NULL, Elevation_m:  NULL, ElevationDatumCV:  NULL}</v>
      </c>
    </row>
    <row r="226" spans="1:4" x14ac:dyDescent="0.25">
      <c r="A226" s="27">
        <f t="shared" si="6"/>
        <v>14</v>
      </c>
      <c r="B226" s="27" t="str">
        <f>OFFSET('YODA Header Blocks'!$A$1,0,A226)</f>
        <v>Sampling Features</v>
      </c>
      <c r="C226" s="27">
        <f t="shared" si="7"/>
        <v>185</v>
      </c>
      <c r="D226" s="27"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Values'!R",ROW()-LengthHeader,"C2:R",ROW()-LengthHeader,"C",NumFileColumns+2),FALSE))," ],["))))</f>
        <v xml:space="preserve">  - &amp;SamplingFeatureID0184 {SamplingFeatureUUID:  "", SamplingFeatureTypeCV:  "Specimen", SamplingFeatureCode:  "1202870", SamplingFeatureName:  "", SamplingFeatureDescription:  "", SamplingFeatureGeotypeCV:  Point, FeatureGeometry:  NULL, Elevation_m:  NULL, ElevationDatumCV:  NULL}</v>
      </c>
    </row>
    <row r="227" spans="1:4" x14ac:dyDescent="0.25">
      <c r="A227" s="27">
        <f t="shared" si="6"/>
        <v>14</v>
      </c>
      <c r="B227" s="27" t="str">
        <f>OFFSET('YODA Header Blocks'!$A$1,0,A227)</f>
        <v>Sampling Features</v>
      </c>
      <c r="C227" s="27">
        <f t="shared" si="7"/>
        <v>186</v>
      </c>
      <c r="D227" s="27"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Values'!R",ROW()-LengthHeader,"C2:R",ROW()-LengthHeader,"C",NumFileColumns+2),FALSE))," ],["))))</f>
        <v xml:space="preserve">  - &amp;SamplingFeatureID0185 {SamplingFeatureUUID:  "", SamplingFeatureTypeCV:  "Specimen", SamplingFeatureCode:  "1202871", SamplingFeatureName:  "", SamplingFeatureDescription:  "", SamplingFeatureGeotypeCV:  Point, FeatureGeometry:  NULL, Elevation_m:  NULL, ElevationDatumCV:  NULL}</v>
      </c>
    </row>
    <row r="228" spans="1:4" x14ac:dyDescent="0.25">
      <c r="A228" s="27">
        <f t="shared" si="6"/>
        <v>14</v>
      </c>
      <c r="B228" s="27" t="str">
        <f>OFFSET('YODA Header Blocks'!$A$1,0,A228)</f>
        <v>Sampling Features</v>
      </c>
      <c r="C228" s="27">
        <f t="shared" si="7"/>
        <v>187</v>
      </c>
      <c r="D228" s="27"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Values'!R",ROW()-LengthHeader,"C2:R",ROW()-LengthHeader,"C",NumFileColumns+2),FALSE))," ],["))))</f>
        <v xml:space="preserve">  - &amp;SamplingFeatureID0186 {SamplingFeatureUUID:  "", SamplingFeatureTypeCV:  "Specimen", SamplingFeatureCode:  "1202965", SamplingFeatureName:  "", SamplingFeatureDescription:  "", SamplingFeatureGeotypeCV:  Point, FeatureGeometry:  NULL, Elevation_m:  NULL, ElevationDatumCV:  NULL}</v>
      </c>
    </row>
    <row r="229" spans="1:4" x14ac:dyDescent="0.25">
      <c r="A229" s="27">
        <f t="shared" si="6"/>
        <v>14</v>
      </c>
      <c r="B229" s="27" t="str">
        <f>OFFSET('YODA Header Blocks'!$A$1,0,A229)</f>
        <v>Sampling Features</v>
      </c>
      <c r="C229" s="27">
        <f t="shared" si="7"/>
        <v>188</v>
      </c>
      <c r="D229" s="27"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Values'!R",ROW()-LengthHeader,"C2:R",ROW()-LengthHeader,"C",NumFileColumns+2),FALSE))," ],["))))</f>
        <v xml:space="preserve">  - &amp;SamplingFeatureID0187 {SamplingFeatureUUID:  "", SamplingFeatureTypeCV:  "Specimen", SamplingFeatureCode:  "1204026", SamplingFeatureName:  "", SamplingFeatureDescription:  "", SamplingFeatureGeotypeCV:  Point, FeatureGeometry:  NULL, Elevation_m:  NULL, ElevationDatumCV:  NULL}</v>
      </c>
    </row>
    <row r="230" spans="1:4" x14ac:dyDescent="0.25">
      <c r="A230" s="27">
        <f t="shared" si="6"/>
        <v>14</v>
      </c>
      <c r="B230" s="27" t="str">
        <f>OFFSET('YODA Header Blocks'!$A$1,0,A230)</f>
        <v>Sampling Features</v>
      </c>
      <c r="C230" s="27">
        <f t="shared" si="7"/>
        <v>189</v>
      </c>
      <c r="D230" s="27"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Values'!R",ROW()-LengthHeader,"C2:R",ROW()-LengthHeader,"C",NumFileColumns+2),FALSE))," ],["))))</f>
        <v xml:space="preserve">  - &amp;SamplingFeatureID0188 {SamplingFeatureUUID:  "", SamplingFeatureTypeCV:  "Specimen", SamplingFeatureCode:  "1204028", SamplingFeatureName:  "", SamplingFeatureDescription:  "", SamplingFeatureGeotypeCV:  Point, FeatureGeometry:  NULL, Elevation_m:  NULL, ElevationDatumCV:  NULL}</v>
      </c>
    </row>
    <row r="231" spans="1:4" x14ac:dyDescent="0.25">
      <c r="A231" s="27">
        <f t="shared" si="6"/>
        <v>14</v>
      </c>
      <c r="B231" s="27" t="str">
        <f>OFFSET('YODA Header Blocks'!$A$1,0,A231)</f>
        <v>Sampling Features</v>
      </c>
      <c r="C231" s="27">
        <f t="shared" si="7"/>
        <v>190</v>
      </c>
      <c r="D231" s="27"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Values'!R",ROW()-LengthHeader,"C2:R",ROW()-LengthHeader,"C",NumFileColumns+2),FALSE))," ],["))))</f>
        <v xml:space="preserve">  - &amp;SamplingFeatureID0189 {SamplingFeatureUUID:  "", SamplingFeatureTypeCV:  "Specimen", SamplingFeatureCode:  "1204027", SamplingFeatureName:  "", SamplingFeatureDescription:  "", SamplingFeatureGeotypeCV:  Point, FeatureGeometry:  NULL, Elevation_m:  NULL, ElevationDatumCV:  NULL}</v>
      </c>
    </row>
    <row r="232" spans="1:4" x14ac:dyDescent="0.25">
      <c r="A232" s="27">
        <f t="shared" si="6"/>
        <v>14</v>
      </c>
      <c r="B232" s="27" t="str">
        <f>OFFSET('YODA Header Blocks'!$A$1,0,A232)</f>
        <v>Sampling Features</v>
      </c>
      <c r="C232" s="27">
        <f t="shared" si="7"/>
        <v>191</v>
      </c>
      <c r="D232" s="27"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Values'!R",ROW()-LengthHeader,"C2:R",ROW()-LengthHeader,"C",NumFileColumns+2),FALSE))," ],["))))</f>
        <v xml:space="preserve">  - &amp;SamplingFeatureID0190 {SamplingFeatureUUID:  "", SamplingFeatureTypeCV:  "Specimen", SamplingFeatureCode:  "1204430", SamplingFeatureName:  "", SamplingFeatureDescription:  "", SamplingFeatureGeotypeCV:  Point, FeatureGeometry:  NULL, Elevation_m:  NULL, ElevationDatumCV:  NULL}</v>
      </c>
    </row>
    <row r="233" spans="1:4" x14ac:dyDescent="0.25">
      <c r="A233" s="27">
        <f t="shared" si="6"/>
        <v>14</v>
      </c>
      <c r="B233" s="27" t="str">
        <f>OFFSET('YODA Header Blocks'!$A$1,0,A233)</f>
        <v>Sampling Features</v>
      </c>
      <c r="C233" s="27">
        <f t="shared" si="7"/>
        <v>192</v>
      </c>
      <c r="D233" s="27"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Values'!R",ROW()-LengthHeader,"C2:R",ROW()-LengthHeader,"C",NumFileColumns+2),FALSE))," ],["))))</f>
        <v xml:space="preserve">  - &amp;SamplingFeatureID0191 {SamplingFeatureUUID:  "", SamplingFeatureTypeCV:  "Specimen", SamplingFeatureCode:  "1204431", SamplingFeatureName:  "", SamplingFeatureDescription:  "", SamplingFeatureGeotypeCV:  Point, FeatureGeometry:  NULL, Elevation_m:  NULL, ElevationDatumCV:  NULL}</v>
      </c>
    </row>
    <row r="234" spans="1:4" x14ac:dyDescent="0.25">
      <c r="A234" s="27">
        <f t="shared" si="6"/>
        <v>14</v>
      </c>
      <c r="B234" s="27" t="str">
        <f>OFFSET('YODA Header Blocks'!$A$1,0,A234)</f>
        <v>Sampling Features</v>
      </c>
      <c r="C234" s="27">
        <f t="shared" si="7"/>
        <v>193</v>
      </c>
      <c r="D234" s="27"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Values'!R",ROW()-LengthHeader,"C2:R",ROW()-LengthHeader,"C",NumFileColumns+2),FALSE))," ],["))))</f>
        <v xml:space="preserve">  - &amp;SamplingFeatureID0192 {SamplingFeatureUUID:  "", SamplingFeatureTypeCV:  "Specimen", SamplingFeatureCode:  "1204593", SamplingFeatureName:  "", SamplingFeatureDescription:  "", SamplingFeatureGeotypeCV:  Point, FeatureGeometry:  NULL, Elevation_m:  NULL, ElevationDatumCV:  NULL}</v>
      </c>
    </row>
    <row r="235" spans="1:4" x14ac:dyDescent="0.25">
      <c r="A235" s="27">
        <f t="shared" si="6"/>
        <v>14</v>
      </c>
      <c r="B235" s="27" t="str">
        <f>OFFSET('YODA Header Blocks'!$A$1,0,A235)</f>
        <v>Sampling Features</v>
      </c>
      <c r="C235" s="27">
        <f t="shared" si="7"/>
        <v>194</v>
      </c>
      <c r="D235" s="27"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Values'!R",ROW()-LengthHeader,"C2:R",ROW()-LengthHeader,"C",NumFileColumns+2),FALSE))," ],["))))</f>
        <v xml:space="preserve">  - &amp;SamplingFeatureID0193 {SamplingFeatureUUID:  "", SamplingFeatureTypeCV:  "Specimen", SamplingFeatureCode:  "1204592", SamplingFeatureName:  "", SamplingFeatureDescription:  "", SamplingFeatureGeotypeCV:  Point, FeatureGeometry:  NULL, Elevation_m:  NULL, ElevationDatumCV:  NULL}</v>
      </c>
    </row>
    <row r="236" spans="1:4" x14ac:dyDescent="0.25">
      <c r="A236" s="27">
        <f t="shared" si="6"/>
        <v>14</v>
      </c>
      <c r="B236" s="27" t="str">
        <f>OFFSET('YODA Header Blocks'!$A$1,0,A236)</f>
        <v>Sampling Features</v>
      </c>
      <c r="C236" s="27">
        <f t="shared" si="7"/>
        <v>195</v>
      </c>
      <c r="D236" s="27"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Values'!R",ROW()-LengthHeader,"C2:R",ROW()-LengthHeader,"C",NumFileColumns+2),FALSE))," ],["))))</f>
        <v xml:space="preserve">  - &amp;SamplingFeatureID0194 {SamplingFeatureUUID:  "", SamplingFeatureTypeCV:  "Specimen", SamplingFeatureCode:  "1204591", SamplingFeatureName:  "", SamplingFeatureDescription:  "", SamplingFeatureGeotypeCV:  Point, FeatureGeometry:  NULL, Elevation_m:  NULL, ElevationDatumCV:  NULL}</v>
      </c>
    </row>
    <row r="237" spans="1:4" x14ac:dyDescent="0.25">
      <c r="A237" s="27">
        <f t="shared" si="6"/>
        <v>14</v>
      </c>
      <c r="B237" s="27" t="str">
        <f>OFFSET('YODA Header Blocks'!$A$1,0,A237)</f>
        <v>Sampling Features</v>
      </c>
      <c r="C237" s="27">
        <f t="shared" si="7"/>
        <v>196</v>
      </c>
      <c r="D237" s="27"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Values'!R",ROW()-LengthHeader,"C2:R",ROW()-LengthHeader,"C",NumFileColumns+2),FALSE))," ],["))))</f>
        <v xml:space="preserve">  - &amp;SamplingFeatureID0195 {SamplingFeatureUUID:  "", SamplingFeatureTypeCV:  "Specimen", SamplingFeatureCode:  "1204683", SamplingFeatureName:  "", SamplingFeatureDescription:  "", SamplingFeatureGeotypeCV:  Point, FeatureGeometry:  NULL, Elevation_m:  NULL, ElevationDatumCV:  NULL}</v>
      </c>
    </row>
    <row r="238" spans="1:4" x14ac:dyDescent="0.25">
      <c r="A238" s="27">
        <f t="shared" si="6"/>
        <v>14</v>
      </c>
      <c r="B238" s="27" t="str">
        <f>OFFSET('YODA Header Blocks'!$A$1,0,A238)</f>
        <v>Sampling Features</v>
      </c>
      <c r="C238" s="27">
        <f t="shared" si="7"/>
        <v>197</v>
      </c>
      <c r="D238" s="27"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Values'!R",ROW()-LengthHeader,"C2:R",ROW()-LengthHeader,"C",NumFileColumns+2),FALSE))," ],["))))</f>
        <v xml:space="preserve">  - &amp;SamplingFeatureID0196 {SamplingFeatureUUID:  "", SamplingFeatureTypeCV:  "Specimen", SamplingFeatureCode:  "1204684", SamplingFeatureName:  "", SamplingFeatureDescription:  "", SamplingFeatureGeotypeCV:  Point, FeatureGeometry:  NULL, Elevation_m:  NULL, ElevationDatumCV:  NULL}</v>
      </c>
    </row>
    <row r="239" spans="1:4" x14ac:dyDescent="0.25">
      <c r="A239" s="27">
        <f t="shared" si="6"/>
        <v>14</v>
      </c>
      <c r="B239" s="27" t="str">
        <f>OFFSET('YODA Header Blocks'!$A$1,0,A239)</f>
        <v>Sampling Features</v>
      </c>
      <c r="C239" s="27">
        <f t="shared" si="7"/>
        <v>198</v>
      </c>
      <c r="D239" s="27"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Values'!R",ROW()-LengthHeader,"C2:R",ROW()-LengthHeader,"C",NumFileColumns+2),FALSE))," ],["))))</f>
        <v xml:space="preserve">  - &amp;SamplingFeatureID0197 {SamplingFeatureUUID:  "", SamplingFeatureTypeCV:  "Specimen", SamplingFeatureCode:  "1300003", SamplingFeatureName:  "", SamplingFeatureDescription:  "", SamplingFeatureGeotypeCV:  Point, FeatureGeometry:  NULL, Elevation_m:  NULL, ElevationDatumCV:  NULL}</v>
      </c>
    </row>
    <row r="240" spans="1:4" x14ac:dyDescent="0.25">
      <c r="A240" s="27">
        <f t="shared" si="6"/>
        <v>14</v>
      </c>
      <c r="B240" s="27" t="str">
        <f>OFFSET('YODA Header Blocks'!$A$1,0,A240)</f>
        <v>Sampling Features</v>
      </c>
      <c r="C240" s="27">
        <f t="shared" si="7"/>
        <v>199</v>
      </c>
      <c r="D240" s="27"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Values'!R",ROW()-LengthHeader,"C2:R",ROW()-LengthHeader,"C",NumFileColumns+2),FALSE))," ],["))))</f>
        <v xml:space="preserve">  - &amp;SamplingFeatureID0198 {SamplingFeatureUUID:  "", SamplingFeatureTypeCV:  "Specimen", SamplingFeatureCode:  "1300001", SamplingFeatureName:  "", SamplingFeatureDescription:  "", SamplingFeatureGeotypeCV:  Point, FeatureGeometry:  NULL, Elevation_m:  NULL, ElevationDatumCV:  NULL}</v>
      </c>
    </row>
    <row r="241" spans="1:4" x14ac:dyDescent="0.25">
      <c r="A241" s="27">
        <f t="shared" si="6"/>
        <v>14</v>
      </c>
      <c r="B241" s="27" t="str">
        <f>OFFSET('YODA Header Blocks'!$A$1,0,A241)</f>
        <v>Sampling Features</v>
      </c>
      <c r="C241" s="27">
        <f t="shared" si="7"/>
        <v>200</v>
      </c>
      <c r="D241" s="27"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Values'!R",ROW()-LengthHeader,"C2:R",ROW()-LengthHeader,"C",NumFileColumns+2),FALSE))," ],["))))</f>
        <v xml:space="preserve">  - &amp;SamplingFeatureID0199 {SamplingFeatureUUID:  "", SamplingFeatureTypeCV:  "Specimen", SamplingFeatureCode:  "1300002", SamplingFeatureName:  "", SamplingFeatureDescription:  "", SamplingFeatureGeotypeCV:  Point, FeatureGeometry:  NULL, Elevation_m:  NULL, ElevationDatumCV:  NULL}</v>
      </c>
    </row>
    <row r="242" spans="1:4" x14ac:dyDescent="0.25">
      <c r="A242" s="27">
        <f t="shared" si="6"/>
        <v>14</v>
      </c>
      <c r="B242" s="27" t="str">
        <f>OFFSET('YODA Header Blocks'!$A$1,0,A242)</f>
        <v>Sampling Features</v>
      </c>
      <c r="C242" s="27">
        <f t="shared" si="7"/>
        <v>201</v>
      </c>
      <c r="D242" s="27"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Values'!R",ROW()-LengthHeader,"C2:R",ROW()-LengthHeader,"C",NumFileColumns+2),FALSE))," ],["))))</f>
        <v xml:space="preserve">  - &amp;SamplingFeatureID0200 {SamplingFeatureUUID:  "", SamplingFeatureTypeCV:  "Specimen", SamplingFeatureCode:  "1300176", SamplingFeatureName:  "", SamplingFeatureDescription:  "", SamplingFeatureGeotypeCV:  Point, FeatureGeometry:  NULL, Elevation_m:  NULL, ElevationDatumCV:  NULL}</v>
      </c>
    </row>
    <row r="243" spans="1:4" x14ac:dyDescent="0.25">
      <c r="A243" s="27">
        <f t="shared" si="6"/>
        <v>14</v>
      </c>
      <c r="B243" s="27" t="str">
        <f>OFFSET('YODA Header Blocks'!$A$1,0,A243)</f>
        <v>Sampling Features</v>
      </c>
      <c r="C243" s="27">
        <f t="shared" si="7"/>
        <v>202</v>
      </c>
      <c r="D243" s="27"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Values'!R",ROW()-LengthHeader,"C2:R",ROW()-LengthHeader,"C",NumFileColumns+2),FALSE))," ],["))))</f>
        <v xml:space="preserve">  - &amp;SamplingFeatureID0201 {SamplingFeatureUUID:  "", SamplingFeatureTypeCV:  "Specimen", SamplingFeatureCode:  "1300177", SamplingFeatureName:  "", SamplingFeatureDescription:  "", SamplingFeatureGeotypeCV:  Point, FeatureGeometry:  NULL, Elevation_m:  NULL, ElevationDatumCV:  NULL}</v>
      </c>
    </row>
    <row r="244" spans="1:4" x14ac:dyDescent="0.25">
      <c r="A244" s="27">
        <f t="shared" si="6"/>
        <v>14</v>
      </c>
      <c r="B244" s="27" t="str">
        <f>OFFSET('YODA Header Blocks'!$A$1,0,A244)</f>
        <v>Sampling Features</v>
      </c>
      <c r="C244" s="27">
        <f t="shared" si="7"/>
        <v>203</v>
      </c>
      <c r="D244" s="27"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Values'!R",ROW()-LengthHeader,"C2:R",ROW()-LengthHeader,"C",NumFileColumns+2),FALSE))," ],["))))</f>
        <v xml:space="preserve">  - &amp;SamplingFeatureID0202 {SamplingFeatureUUID:  "", SamplingFeatureTypeCV:  "Specimen", SamplingFeatureCode:  "1300428", SamplingFeatureName:  "", SamplingFeatureDescription:  "", SamplingFeatureGeotypeCV:  Point, FeatureGeometry:  NULL, Elevation_m:  NULL, ElevationDatumCV:  NULL}</v>
      </c>
    </row>
    <row r="245" spans="1:4" x14ac:dyDescent="0.25">
      <c r="A245" s="27">
        <f t="shared" si="6"/>
        <v>14</v>
      </c>
      <c r="B245" s="27" t="str">
        <f>OFFSET('YODA Header Blocks'!$A$1,0,A245)</f>
        <v>Sampling Features</v>
      </c>
      <c r="C245" s="27">
        <f t="shared" si="7"/>
        <v>204</v>
      </c>
      <c r="D245" s="27"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Values'!R",ROW()-LengthHeader,"C2:R",ROW()-LengthHeader,"C",NumFileColumns+2),FALSE))," ],["))))</f>
        <v xml:space="preserve">  - &amp;SamplingFeatureID0203 {SamplingFeatureUUID:  "", SamplingFeatureTypeCV:  "Specimen", SamplingFeatureCode:  "1300426", SamplingFeatureName:  "", SamplingFeatureDescription:  "", SamplingFeatureGeotypeCV:  Point, FeatureGeometry:  NULL, Elevation_m:  NULL, ElevationDatumCV:  NULL}</v>
      </c>
    </row>
    <row r="246" spans="1:4" x14ac:dyDescent="0.25">
      <c r="A246" s="27">
        <f t="shared" si="6"/>
        <v>14</v>
      </c>
      <c r="B246" s="27" t="str">
        <f>OFFSET('YODA Header Blocks'!$A$1,0,A246)</f>
        <v>Sampling Features</v>
      </c>
      <c r="C246" s="27">
        <f t="shared" si="7"/>
        <v>205</v>
      </c>
      <c r="D246" s="27"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Values'!R",ROW()-LengthHeader,"C2:R",ROW()-LengthHeader,"C",NumFileColumns+2),FALSE))," ],["))))</f>
        <v xml:space="preserve">  - &amp;SamplingFeatureID0204 {SamplingFeatureUUID:  "", SamplingFeatureTypeCV:  "Specimen", SamplingFeatureCode:  "1300427", SamplingFeatureName:  "", SamplingFeatureDescription:  "", SamplingFeatureGeotypeCV:  Point, FeatureGeometry:  NULL, Elevation_m:  NULL, ElevationDatumCV:  NULL}</v>
      </c>
    </row>
    <row r="247" spans="1:4" x14ac:dyDescent="0.25">
      <c r="A247" s="27">
        <f t="shared" si="6"/>
        <v>14</v>
      </c>
      <c r="B247" s="27" t="str">
        <f>OFFSET('YODA Header Blocks'!$A$1,0,A247)</f>
        <v>Sampling Features</v>
      </c>
      <c r="C247" s="27">
        <f t="shared" si="7"/>
        <v>206</v>
      </c>
      <c r="D247" s="27"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Values'!R",ROW()-LengthHeader,"C2:R",ROW()-LengthHeader,"C",NumFileColumns+2),FALSE))," ],["))))</f>
        <v xml:space="preserve">  - &amp;SamplingFeatureID0205 {SamplingFeatureUUID:  "", SamplingFeatureTypeCV:  "Specimen", SamplingFeatureCode:  "1300554", SamplingFeatureName:  "", SamplingFeatureDescription:  "", SamplingFeatureGeotypeCV:  Point, FeatureGeometry:  NULL, Elevation_m:  NULL, ElevationDatumCV:  NULL}</v>
      </c>
    </row>
    <row r="248" spans="1:4" x14ac:dyDescent="0.25">
      <c r="A248" s="27">
        <f t="shared" si="6"/>
        <v>14</v>
      </c>
      <c r="B248" s="27" t="str">
        <f>OFFSET('YODA Header Blocks'!$A$1,0,A248)</f>
        <v>Sampling Features</v>
      </c>
      <c r="C248" s="27">
        <f t="shared" si="7"/>
        <v>207</v>
      </c>
      <c r="D248" s="27"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Values'!R",ROW()-LengthHeader,"C2:R",ROW()-LengthHeader,"C",NumFileColumns+2),FALSE))," ],["))))</f>
        <v xml:space="preserve">  - &amp;SamplingFeatureID0206 {SamplingFeatureUUID:  "", SamplingFeatureTypeCV:  "Specimen", SamplingFeatureCode:  "1300552", SamplingFeatureName:  "", SamplingFeatureDescription:  "", SamplingFeatureGeotypeCV:  Point, FeatureGeometry:  NULL, Elevation_m:  NULL, ElevationDatumCV:  NULL}</v>
      </c>
    </row>
    <row r="249" spans="1:4" x14ac:dyDescent="0.25">
      <c r="A249" s="27">
        <f t="shared" si="6"/>
        <v>14</v>
      </c>
      <c r="B249" s="27" t="str">
        <f>OFFSET('YODA Header Blocks'!$A$1,0,A249)</f>
        <v>Sampling Features</v>
      </c>
      <c r="C249" s="27">
        <f t="shared" si="7"/>
        <v>208</v>
      </c>
      <c r="D249" s="27"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Values'!R",ROW()-LengthHeader,"C2:R",ROW()-LengthHeader,"C",NumFileColumns+2),FALSE))," ],["))))</f>
        <v xml:space="preserve">  - &amp;SamplingFeatureID0207 {SamplingFeatureUUID:  "", SamplingFeatureTypeCV:  "Specimen", SamplingFeatureCode:  "1300553", SamplingFeatureName:  "", SamplingFeatureDescription:  "", SamplingFeatureGeotypeCV:  Point, FeatureGeometry:  NULL, Elevation_m:  NULL, ElevationDatumCV:  NULL}</v>
      </c>
    </row>
    <row r="250" spans="1:4" x14ac:dyDescent="0.25">
      <c r="A250" s="27">
        <f t="shared" si="6"/>
        <v>14</v>
      </c>
      <c r="B250" s="27" t="str">
        <f>OFFSET('YODA Header Blocks'!$A$1,0,A250)</f>
        <v>Sampling Features</v>
      </c>
      <c r="C250" s="27">
        <f t="shared" si="7"/>
        <v>209</v>
      </c>
      <c r="D250" s="27"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Values'!R",ROW()-LengthHeader,"C2:R",ROW()-LengthHeader,"C",NumFileColumns+2),FALSE))," ],["))))</f>
        <v xml:space="preserve">  - &amp;SamplingFeatureID0208 {SamplingFeatureUUID:  "", SamplingFeatureTypeCV:  "Specimen", SamplingFeatureCode:  "1300760", SamplingFeatureName:  "", SamplingFeatureDescription:  "", SamplingFeatureGeotypeCV:  Point, FeatureGeometry:  NULL, Elevation_m:  NULL, ElevationDatumCV:  NULL}</v>
      </c>
    </row>
    <row r="251" spans="1:4" x14ac:dyDescent="0.25">
      <c r="A251" s="27">
        <f t="shared" si="6"/>
        <v>14</v>
      </c>
      <c r="B251" s="27" t="str">
        <f>OFFSET('YODA Header Blocks'!$A$1,0,A251)</f>
        <v>Sampling Features</v>
      </c>
      <c r="C251" s="27">
        <f t="shared" si="7"/>
        <v>210</v>
      </c>
      <c r="D251" s="27"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Values'!R",ROW()-LengthHeader,"C2:R",ROW()-LengthHeader,"C",NumFileColumns+2),FALSE))," ],["))))</f>
        <v xml:space="preserve">  - &amp;SamplingFeatureID0209 {SamplingFeatureUUID:  "", SamplingFeatureTypeCV:  "Specimen", SamplingFeatureCode:  "1300758", SamplingFeatureName:  "", SamplingFeatureDescription:  "", SamplingFeatureGeotypeCV:  Point, FeatureGeometry:  NULL, Elevation_m:  NULL, ElevationDatumCV:  NULL}</v>
      </c>
    </row>
    <row r="252" spans="1:4" x14ac:dyDescent="0.25">
      <c r="A252" s="27">
        <f t="shared" si="6"/>
        <v>14</v>
      </c>
      <c r="B252" s="27" t="str">
        <f>OFFSET('YODA Header Blocks'!$A$1,0,A252)</f>
        <v>Sampling Features</v>
      </c>
      <c r="C252" s="27">
        <f t="shared" si="7"/>
        <v>211</v>
      </c>
      <c r="D252" s="27"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Values'!R",ROW()-LengthHeader,"C2:R",ROW()-LengthHeader,"C",NumFileColumns+2),FALSE))," ],["))))</f>
        <v xml:space="preserve">  - &amp;SamplingFeatureID0210 {SamplingFeatureUUID:  "", SamplingFeatureTypeCV:  "Specimen", SamplingFeatureCode:  "1300759", SamplingFeatureName:  "", SamplingFeatureDescription:  "", SamplingFeatureGeotypeCV:  Point, FeatureGeometry:  NULL, Elevation_m:  NULL, ElevationDatumCV:  NULL}</v>
      </c>
    </row>
    <row r="253" spans="1:4" x14ac:dyDescent="0.25">
      <c r="A253" s="27">
        <f t="shared" si="6"/>
        <v>14</v>
      </c>
      <c r="B253" s="27" t="str">
        <f>OFFSET('YODA Header Blocks'!$A$1,0,A253)</f>
        <v>Sampling Features</v>
      </c>
      <c r="C253" s="27">
        <f t="shared" si="7"/>
        <v>212</v>
      </c>
      <c r="D253" s="27"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Values'!R",ROW()-LengthHeader,"C2:R",ROW()-LengthHeader,"C",NumFileColumns+2),FALSE))," ],["))))</f>
        <v xml:space="preserve">  - &amp;SamplingFeatureID0211 {SamplingFeatureUUID:  "", SamplingFeatureTypeCV:  "Specimen", SamplingFeatureCode:  "1300773", SamplingFeatureName:  "", SamplingFeatureDescription:  "", SamplingFeatureGeotypeCV:  Point, FeatureGeometry:  NULL, Elevation_m:  NULL, ElevationDatumCV:  NULL}</v>
      </c>
    </row>
    <row r="254" spans="1:4" x14ac:dyDescent="0.25">
      <c r="A254" s="27">
        <f t="shared" si="6"/>
        <v>14</v>
      </c>
      <c r="B254" s="27" t="str">
        <f>OFFSET('YODA Header Blocks'!$A$1,0,A254)</f>
        <v>Sampling Features</v>
      </c>
      <c r="C254" s="27">
        <f t="shared" si="7"/>
        <v>213</v>
      </c>
      <c r="D254" s="27"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Values'!R",ROW()-LengthHeader,"C2:R",ROW()-LengthHeader,"C",NumFileColumns+2),FALSE))," ],["))))</f>
        <v xml:space="preserve">  - &amp;SamplingFeatureID0212 {SamplingFeatureUUID:  "", SamplingFeatureTypeCV:  "Specimen", SamplingFeatureCode:  "1300774", SamplingFeatureName:  "", SamplingFeatureDescription:  "", SamplingFeatureGeotypeCV:  Point, FeatureGeometry:  NULL, Elevation_m:  NULL, ElevationDatumCV:  NULL}</v>
      </c>
    </row>
    <row r="255" spans="1:4" x14ac:dyDescent="0.25">
      <c r="A255" s="27">
        <f t="shared" si="6"/>
        <v>14</v>
      </c>
      <c r="B255" s="27" t="str">
        <f>OFFSET('YODA Header Blocks'!$A$1,0,A255)</f>
        <v>Sampling Features</v>
      </c>
      <c r="C255" s="27">
        <f t="shared" si="7"/>
        <v>214</v>
      </c>
      <c r="D255" s="27"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Values'!R",ROW()-LengthHeader,"C2:R",ROW()-LengthHeader,"C",NumFileColumns+2),FALSE))," ],["))))</f>
        <v xml:space="preserve">  - &amp;SamplingFeatureID0213 {SamplingFeatureUUID:  "", SamplingFeatureTypeCV:  "Specimen", SamplingFeatureCode:  "1300790", SamplingFeatureName:  "", SamplingFeatureDescription:  "", SamplingFeatureGeotypeCV:  Point, FeatureGeometry:  NULL, Elevation_m:  NULL, ElevationDatumCV:  NULL}</v>
      </c>
    </row>
    <row r="256" spans="1:4" x14ac:dyDescent="0.25">
      <c r="A256" s="27">
        <f t="shared" si="6"/>
        <v>14</v>
      </c>
      <c r="B256" s="27" t="str">
        <f>OFFSET('YODA Header Blocks'!$A$1,0,A256)</f>
        <v>Sampling Features</v>
      </c>
      <c r="C256" s="27">
        <f t="shared" si="7"/>
        <v>215</v>
      </c>
      <c r="D256" s="27"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Values'!R",ROW()-LengthHeader,"C2:R",ROW()-LengthHeader,"C",NumFileColumns+2),FALSE))," ],["))))</f>
        <v xml:space="preserve">  - &amp;SamplingFeatureID0214 {SamplingFeatureUUID:  "", SamplingFeatureTypeCV:  "Specimen", SamplingFeatureCode:  "1300791", SamplingFeatureName:  "", SamplingFeatureDescription:  "", SamplingFeatureGeotypeCV:  Point, FeatureGeometry:  NULL, Elevation_m:  NULL, ElevationDatumCV:  NULL}</v>
      </c>
    </row>
    <row r="257" spans="1:4" x14ac:dyDescent="0.25">
      <c r="A257" s="27">
        <f t="shared" si="6"/>
        <v>14</v>
      </c>
      <c r="B257" s="27" t="str">
        <f>OFFSET('YODA Header Blocks'!$A$1,0,A257)</f>
        <v>Sampling Features</v>
      </c>
      <c r="C257" s="27">
        <f t="shared" si="7"/>
        <v>216</v>
      </c>
      <c r="D257" s="27"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Values'!R",ROW()-LengthHeader,"C2:R",ROW()-LengthHeader,"C",NumFileColumns+2),FALSE))," ],["))))</f>
        <v xml:space="preserve">  - &amp;SamplingFeatureID0215 {SamplingFeatureUUID:  "", SamplingFeatureTypeCV:  "Specimen", SamplingFeatureCode:  "1300793", SamplingFeatureName:  "", SamplingFeatureDescription:  "", SamplingFeatureGeotypeCV:  Point, FeatureGeometry:  NULL, Elevation_m:  NULL, ElevationDatumCV:  NULL}</v>
      </c>
    </row>
    <row r="258" spans="1:4" x14ac:dyDescent="0.25">
      <c r="A258" s="27">
        <f t="shared" si="6"/>
        <v>14</v>
      </c>
      <c r="B258" s="27" t="str">
        <f>OFFSET('YODA Header Blocks'!$A$1,0,A258)</f>
        <v>Sampling Features</v>
      </c>
      <c r="C258" s="27">
        <f t="shared" si="7"/>
        <v>217</v>
      </c>
      <c r="D258" s="27"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Values'!R",ROW()-LengthHeader,"C2:R",ROW()-LengthHeader,"C",NumFileColumns+2),FALSE))," ],["))))</f>
        <v xml:space="preserve">  - &amp;SamplingFeatureID0216 {SamplingFeatureUUID:  "", SamplingFeatureTypeCV:  "Specimen", SamplingFeatureCode:  "1300794", SamplingFeatureName:  "", SamplingFeatureDescription:  "", SamplingFeatureGeotypeCV:  Point, FeatureGeometry:  NULL, Elevation_m:  NULL, ElevationDatumCV:  NULL}</v>
      </c>
    </row>
    <row r="259" spans="1:4" x14ac:dyDescent="0.25">
      <c r="A259" s="27">
        <f t="shared" si="6"/>
        <v>14</v>
      </c>
      <c r="B259" s="27" t="str">
        <f>OFFSET('YODA Header Blocks'!$A$1,0,A259)</f>
        <v>Sampling Features</v>
      </c>
      <c r="C259" s="27">
        <f t="shared" si="7"/>
        <v>218</v>
      </c>
      <c r="D259" s="27"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Values'!R",ROW()-LengthHeader,"C2:R",ROW()-LengthHeader,"C",NumFileColumns+2),FALSE))," ],["))))</f>
        <v xml:space="preserve">  - &amp;SamplingFeatureID0217 {SamplingFeatureUUID:  "", SamplingFeatureTypeCV:  "Specimen", SamplingFeatureCode:  "1300796", SamplingFeatureName:  "", SamplingFeatureDescription:  "", SamplingFeatureGeotypeCV:  Point, FeatureGeometry:  NULL, Elevation_m:  NULL, ElevationDatumCV:  NULL}</v>
      </c>
    </row>
    <row r="260" spans="1:4" x14ac:dyDescent="0.25">
      <c r="A260" s="27">
        <f t="shared" ref="A260:A323" si="8">IF(C259=INDIRECT(CONCATENATE("'YODA Header Blocks'!R2C",A259+1,":R2C",A259+1),FALSE),A259+1,A259)</f>
        <v>14</v>
      </c>
      <c r="B260" s="27" t="str">
        <f>OFFSET('YODA Header Blocks'!$A$1,0,A260)</f>
        <v>Sampling Features</v>
      </c>
      <c r="C260" s="27">
        <f t="shared" ref="C260:C323" si="9">IF(C259=SUM(INDIRECT(CONCATENATE("'YODA Header Blocks'!R2C",A259+1,":R2C",A259+1),FALSE)),1,C259+1)</f>
        <v>219</v>
      </c>
      <c r="D260" s="27"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Values'!R",ROW()-LengthHeader,"C2:R",ROW()-LengthHeader,"C",NumFileColumns+2),FALSE))," ],["))))</f>
        <v xml:space="preserve">  - &amp;SamplingFeatureID0218 {SamplingFeatureUUID:  "", SamplingFeatureTypeCV:  "Specimen", SamplingFeatureCode:  "1300797", SamplingFeatureName:  "", SamplingFeatureDescription:  "", SamplingFeatureGeotypeCV:  Point, FeatureGeometry:  NULL, Elevation_m:  NULL, ElevationDatumCV:  NULL}</v>
      </c>
    </row>
    <row r="261" spans="1:4" x14ac:dyDescent="0.25">
      <c r="A261" s="27">
        <f t="shared" si="8"/>
        <v>14</v>
      </c>
      <c r="B261" s="27" t="str">
        <f>OFFSET('YODA Header Blocks'!$A$1,0,A261)</f>
        <v>Sampling Features</v>
      </c>
      <c r="C261" s="27">
        <f t="shared" si="9"/>
        <v>220</v>
      </c>
      <c r="D261" s="27"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Values'!R",ROW()-LengthHeader,"C2:R",ROW()-LengthHeader,"C",NumFileColumns+2),FALSE))," ],["))))</f>
        <v xml:space="preserve">  - &amp;SamplingFeatureID0219 {SamplingFeatureUUID:  "", SamplingFeatureTypeCV:  "Specimen", SamplingFeatureCode:  "1300798", SamplingFeatureName:  "", SamplingFeatureDescription:  "", SamplingFeatureGeotypeCV:  Point, FeatureGeometry:  NULL, Elevation_m:  NULL, ElevationDatumCV:  NULL}</v>
      </c>
    </row>
    <row r="262" spans="1:4" x14ac:dyDescent="0.25">
      <c r="A262" s="27">
        <f t="shared" si="8"/>
        <v>14</v>
      </c>
      <c r="B262" s="27" t="str">
        <f>OFFSET('YODA Header Blocks'!$A$1,0,A262)</f>
        <v>Sampling Features</v>
      </c>
      <c r="C262" s="27">
        <f t="shared" si="9"/>
        <v>221</v>
      </c>
      <c r="D262" s="27"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Values'!R",ROW()-LengthHeader,"C2:R",ROW()-LengthHeader,"C",NumFileColumns+2),FALSE))," ],["))))</f>
        <v xml:space="preserve">  - &amp;SamplingFeatureID0220 {SamplingFeatureUUID:  "", SamplingFeatureTypeCV:  "Specimen", SamplingFeatureCode:  "1300799", SamplingFeatureName:  "", SamplingFeatureDescription:  "", SamplingFeatureGeotypeCV:  Point, FeatureGeometry:  NULL, Elevation_m:  NULL, ElevationDatumCV:  NULL}</v>
      </c>
    </row>
    <row r="263" spans="1:4" x14ac:dyDescent="0.25">
      <c r="A263" s="27">
        <f t="shared" si="8"/>
        <v>14</v>
      </c>
      <c r="B263" s="27" t="str">
        <f>OFFSET('YODA Header Blocks'!$A$1,0,A263)</f>
        <v>Sampling Features</v>
      </c>
      <c r="C263" s="27">
        <f t="shared" si="9"/>
        <v>222</v>
      </c>
      <c r="D263" s="27"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Values'!R",ROW()-LengthHeader,"C2:R",ROW()-LengthHeader,"C",NumFileColumns+2),FALSE))," ],["))))</f>
        <v xml:space="preserve">  - &amp;SamplingFeatureID0221 {SamplingFeatureUUID:  "", SamplingFeatureTypeCV:  "Specimen", SamplingFeatureCode:  "1300800", SamplingFeatureName:  "", SamplingFeatureDescription:  "", SamplingFeatureGeotypeCV:  Point, FeatureGeometry:  NULL, Elevation_m:  NULL, ElevationDatumCV:  NULL}</v>
      </c>
    </row>
    <row r="264" spans="1:4" x14ac:dyDescent="0.25">
      <c r="A264" s="27">
        <f t="shared" si="8"/>
        <v>14</v>
      </c>
      <c r="B264" s="27" t="str">
        <f>OFFSET('YODA Header Blocks'!$A$1,0,A264)</f>
        <v>Sampling Features</v>
      </c>
      <c r="C264" s="27">
        <f t="shared" si="9"/>
        <v>223</v>
      </c>
      <c r="D264" s="27"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Values'!R",ROW()-LengthHeader,"C2:R",ROW()-LengthHeader,"C",NumFileColumns+2),FALSE))," ],["))))</f>
        <v xml:space="preserve">  - &amp;SamplingFeatureID0222 {SamplingFeatureUUID:  "", SamplingFeatureTypeCV:  "Specimen", SamplingFeatureCode:  "1300801", SamplingFeatureName:  "", SamplingFeatureDescription:  "", SamplingFeatureGeotypeCV:  Point, FeatureGeometry:  NULL, Elevation_m:  NULL, ElevationDatumCV:  NULL}</v>
      </c>
    </row>
    <row r="265" spans="1:4" x14ac:dyDescent="0.25">
      <c r="A265" s="27">
        <f t="shared" si="8"/>
        <v>14</v>
      </c>
      <c r="B265" s="27" t="str">
        <f>OFFSET('YODA Header Blocks'!$A$1,0,A265)</f>
        <v>Sampling Features</v>
      </c>
      <c r="C265" s="27">
        <f t="shared" si="9"/>
        <v>224</v>
      </c>
      <c r="D265" s="27"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Values'!R",ROW()-LengthHeader,"C2:R",ROW()-LengthHeader,"C",NumFileColumns+2),FALSE))," ],["))))</f>
        <v xml:space="preserve">  - &amp;SamplingFeatureID0223 {SamplingFeatureUUID:  "", SamplingFeatureTypeCV:  "Specimen", SamplingFeatureCode:  "1301020", SamplingFeatureName:  "", SamplingFeatureDescription:  "", SamplingFeatureGeotypeCV:  Point, FeatureGeometry:  NULL, Elevation_m:  NULL, ElevationDatumCV:  NULL}</v>
      </c>
    </row>
    <row r="266" spans="1:4" x14ac:dyDescent="0.25">
      <c r="A266" s="27">
        <f t="shared" si="8"/>
        <v>14</v>
      </c>
      <c r="B266" s="27" t="str">
        <f>OFFSET('YODA Header Blocks'!$A$1,0,A266)</f>
        <v>Sampling Features</v>
      </c>
      <c r="C266" s="27">
        <f t="shared" si="9"/>
        <v>225</v>
      </c>
      <c r="D266" s="27"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Values'!R",ROW()-LengthHeader,"C2:R",ROW()-LengthHeader,"C",NumFileColumns+2),FALSE))," ],["))))</f>
        <v xml:space="preserve">  - &amp;SamplingFeatureID0224 {SamplingFeatureUUID:  "", SamplingFeatureTypeCV:  "Specimen", SamplingFeatureCode:  "1301018", SamplingFeatureName:  "", SamplingFeatureDescription:  "", SamplingFeatureGeotypeCV:  Point, FeatureGeometry:  NULL, Elevation_m:  NULL, ElevationDatumCV:  NULL}</v>
      </c>
    </row>
    <row r="267" spans="1:4" x14ac:dyDescent="0.25">
      <c r="A267" s="27">
        <f t="shared" si="8"/>
        <v>14</v>
      </c>
      <c r="B267" s="27" t="str">
        <f>OFFSET('YODA Header Blocks'!$A$1,0,A267)</f>
        <v>Sampling Features</v>
      </c>
      <c r="C267" s="27">
        <f t="shared" si="9"/>
        <v>226</v>
      </c>
      <c r="D267" s="27"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Values'!R",ROW()-LengthHeader,"C2:R",ROW()-LengthHeader,"C",NumFileColumns+2),FALSE))," ],["))))</f>
        <v xml:space="preserve">  - &amp;SamplingFeatureID0225 {SamplingFeatureUUID:  "", SamplingFeatureTypeCV:  "Specimen", SamplingFeatureCode:  "1301019", SamplingFeatureName:  "", SamplingFeatureDescription:  "", SamplingFeatureGeotypeCV:  Point, FeatureGeometry:  NULL, Elevation_m:  NULL, ElevationDatumCV:  NULL}</v>
      </c>
    </row>
    <row r="268" spans="1:4" x14ac:dyDescent="0.25">
      <c r="A268" s="27">
        <f t="shared" si="8"/>
        <v>14</v>
      </c>
      <c r="B268" s="27" t="str">
        <f>OFFSET('YODA Header Blocks'!$A$1,0,A268)</f>
        <v>Sampling Features</v>
      </c>
      <c r="C268" s="27">
        <f t="shared" si="9"/>
        <v>227</v>
      </c>
      <c r="D268" s="27"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Values'!R",ROW()-LengthHeader,"C2:R",ROW()-LengthHeader,"C",NumFileColumns+2),FALSE))," ],["))))</f>
        <v xml:space="preserve">  - &amp;SamplingFeatureID0226 {SamplingFeatureUUID:  "", SamplingFeatureTypeCV:  "Specimen", SamplingFeatureCode:  "1301208", SamplingFeatureName:  "", SamplingFeatureDescription:  "", SamplingFeatureGeotypeCV:  Point, FeatureGeometry:  NULL, Elevation_m:  NULL, ElevationDatumCV:  NULL}</v>
      </c>
    </row>
    <row r="269" spans="1:4" x14ac:dyDescent="0.25">
      <c r="A269" s="27">
        <f t="shared" si="8"/>
        <v>14</v>
      </c>
      <c r="B269" s="27" t="str">
        <f>OFFSET('YODA Header Blocks'!$A$1,0,A269)</f>
        <v>Sampling Features</v>
      </c>
      <c r="C269" s="27">
        <f t="shared" si="9"/>
        <v>228</v>
      </c>
      <c r="D269" s="27"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Values'!R",ROW()-LengthHeader,"C2:R",ROW()-LengthHeader,"C",NumFileColumns+2),FALSE))," ],["))))</f>
        <v xml:space="preserve">  - &amp;SamplingFeatureID0227 {SamplingFeatureUUID:  "", SamplingFeatureTypeCV:  "Specimen", SamplingFeatureCode:  "1301207", SamplingFeatureName:  "", SamplingFeatureDescription:  "", SamplingFeatureGeotypeCV:  Point, FeatureGeometry:  NULL, Elevation_m:  NULL, ElevationDatumCV:  NULL}</v>
      </c>
    </row>
    <row r="270" spans="1:4" x14ac:dyDescent="0.25">
      <c r="A270" s="27">
        <f t="shared" si="8"/>
        <v>14</v>
      </c>
      <c r="B270" s="27" t="str">
        <f>OFFSET('YODA Header Blocks'!$A$1,0,A270)</f>
        <v>Sampling Features</v>
      </c>
      <c r="C270" s="27">
        <f t="shared" si="9"/>
        <v>229</v>
      </c>
      <c r="D270" s="27"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Values'!R",ROW()-LengthHeader,"C2:R",ROW()-LengthHeader,"C",NumFileColumns+2),FALSE))," ],["))))</f>
        <v xml:space="preserve">  - &amp;SamplingFeatureID0228 {SamplingFeatureUUID:  "", SamplingFeatureTypeCV:  "Specimen", SamplingFeatureCode:  "1301206", SamplingFeatureName:  "", SamplingFeatureDescription:  "", SamplingFeatureGeotypeCV:  Point, FeatureGeometry:  NULL, Elevation_m:  NULL, ElevationDatumCV:  NULL}</v>
      </c>
    </row>
    <row r="271" spans="1:4" x14ac:dyDescent="0.25">
      <c r="A271" s="27">
        <f t="shared" si="8"/>
        <v>14</v>
      </c>
      <c r="B271" s="27" t="str">
        <f>OFFSET('YODA Header Blocks'!$A$1,0,A271)</f>
        <v>Sampling Features</v>
      </c>
      <c r="C271" s="27">
        <f t="shared" si="9"/>
        <v>230</v>
      </c>
      <c r="D271" s="27"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Values'!R",ROW()-LengthHeader,"C2:R",ROW()-LengthHeader,"C",NumFileColumns+2),FALSE))," ],["))))</f>
        <v xml:space="preserve">  - &amp;SamplingFeatureID0229 {SamplingFeatureUUID:  "", SamplingFeatureTypeCV:  "Specimen", SamplingFeatureCode:  "1301235", SamplingFeatureName:  "", SamplingFeatureDescription:  "", SamplingFeatureGeotypeCV:  Point, FeatureGeometry:  NULL, Elevation_m:  NULL, ElevationDatumCV:  NULL}</v>
      </c>
    </row>
    <row r="272" spans="1:4" x14ac:dyDescent="0.25">
      <c r="A272" s="27">
        <f t="shared" si="8"/>
        <v>14</v>
      </c>
      <c r="B272" s="27" t="str">
        <f>OFFSET('YODA Header Blocks'!$A$1,0,A272)</f>
        <v>Sampling Features</v>
      </c>
      <c r="C272" s="27">
        <f t="shared" si="9"/>
        <v>231</v>
      </c>
      <c r="D272" s="27"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Values'!R",ROW()-LengthHeader,"C2:R",ROW()-LengthHeader,"C",NumFileColumns+2),FALSE))," ],["))))</f>
        <v xml:space="preserve">  - &amp;SamplingFeatureID0230 {SamplingFeatureUUID:  "", SamplingFeatureTypeCV:  "Specimen", SamplingFeatureCode:  "1301236", SamplingFeatureName:  "", SamplingFeatureDescription:  "", SamplingFeatureGeotypeCV:  Point, FeatureGeometry:  NULL, Elevation_m:  NULL, ElevationDatumCV:  NULL}</v>
      </c>
    </row>
    <row r="273" spans="1:4" x14ac:dyDescent="0.25">
      <c r="A273" s="27">
        <f t="shared" si="8"/>
        <v>14</v>
      </c>
      <c r="B273" s="27" t="str">
        <f>OFFSET('YODA Header Blocks'!$A$1,0,A273)</f>
        <v>Sampling Features</v>
      </c>
      <c r="C273" s="27">
        <f t="shared" si="9"/>
        <v>232</v>
      </c>
      <c r="D273" s="27"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Values'!R",ROW()-LengthHeader,"C2:R",ROW()-LengthHeader,"C",NumFileColumns+2),FALSE))," ],["))))</f>
        <v xml:space="preserve">  - &amp;SamplingFeatureID0231 {SamplingFeatureUUID:  "", SamplingFeatureTypeCV:  "Specimen", SamplingFeatureCode:  "1301237", SamplingFeatureName:  "", SamplingFeatureDescription:  "", SamplingFeatureGeotypeCV:  Point, FeatureGeometry:  NULL, Elevation_m:  NULL, ElevationDatumCV:  NULL}</v>
      </c>
    </row>
    <row r="274" spans="1:4" x14ac:dyDescent="0.25">
      <c r="A274" s="27">
        <f t="shared" si="8"/>
        <v>14</v>
      </c>
      <c r="B274" s="27" t="str">
        <f>OFFSET('YODA Header Blocks'!$A$1,0,A274)</f>
        <v>Sampling Features</v>
      </c>
      <c r="C274" s="27">
        <f t="shared" si="9"/>
        <v>233</v>
      </c>
      <c r="D274" s="27"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Values'!R",ROW()-LengthHeader,"C2:R",ROW()-LengthHeader,"C",NumFileColumns+2),FALSE))," ],["))))</f>
        <v xml:space="preserve">  - &amp;SamplingFeatureID0232 {SamplingFeatureUUID:  "", SamplingFeatureTypeCV:  "Specimen", SamplingFeatureCode:  "1301238", SamplingFeatureName:  "", SamplingFeatureDescription:  "", SamplingFeatureGeotypeCV:  Point, FeatureGeometry:  NULL, Elevation_m:  NULL, ElevationDatumCV:  NULL}</v>
      </c>
    </row>
    <row r="275" spans="1:4" x14ac:dyDescent="0.25">
      <c r="A275" s="27">
        <f t="shared" si="8"/>
        <v>14</v>
      </c>
      <c r="B275" s="27" t="str">
        <f>OFFSET('YODA Header Blocks'!$A$1,0,A275)</f>
        <v>Sampling Features</v>
      </c>
      <c r="C275" s="27">
        <f t="shared" si="9"/>
        <v>234</v>
      </c>
      <c r="D275" s="27"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Values'!R",ROW()-LengthHeader,"C2:R",ROW()-LengthHeader,"C",NumFileColumns+2),FALSE))," ],["))))</f>
        <v xml:space="preserve">  - &amp;SamplingFeatureID0233 {SamplingFeatureUUID:  "", SamplingFeatureTypeCV:  "Specimen", SamplingFeatureCode:  "1301239", SamplingFeatureName:  "", SamplingFeatureDescription:  "", SamplingFeatureGeotypeCV:  Point, FeatureGeometry:  NULL, Elevation_m:  NULL, ElevationDatumCV:  NULL}</v>
      </c>
    </row>
    <row r="276" spans="1:4" x14ac:dyDescent="0.25">
      <c r="A276" s="27">
        <f t="shared" si="8"/>
        <v>14</v>
      </c>
      <c r="B276" s="27" t="str">
        <f>OFFSET('YODA Header Blocks'!$A$1,0,A276)</f>
        <v>Sampling Features</v>
      </c>
      <c r="C276" s="27">
        <f t="shared" si="9"/>
        <v>235</v>
      </c>
      <c r="D276" s="27"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Values'!R",ROW()-LengthHeader,"C2:R",ROW()-LengthHeader,"C",NumFileColumns+2),FALSE))," ],["))))</f>
        <v xml:space="preserve">  - &amp;SamplingFeatureID0234 {SamplingFeatureUUID:  "", SamplingFeatureTypeCV:  "Specimen", SamplingFeatureCode:  "1301239", SamplingFeatureName:  "", SamplingFeatureDescription:  "", SamplingFeatureGeotypeCV:  Point, FeatureGeometry:  NULL, Elevation_m:  NULL, ElevationDatumCV:  NULL}</v>
      </c>
    </row>
    <row r="277" spans="1:4" x14ac:dyDescent="0.25">
      <c r="A277" s="27">
        <f t="shared" si="8"/>
        <v>14</v>
      </c>
      <c r="B277" s="27" t="str">
        <f>OFFSET('YODA Header Blocks'!$A$1,0,A277)</f>
        <v>Sampling Features</v>
      </c>
      <c r="C277" s="27">
        <f t="shared" si="9"/>
        <v>236</v>
      </c>
      <c r="D277" s="27"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Values'!R",ROW()-LengthHeader,"C2:R",ROW()-LengthHeader,"C",NumFileColumns+2),FALSE))," ],["))))</f>
        <v xml:space="preserve">  - &amp;SamplingFeatureID0235 {SamplingFeatureUUID:  "", SamplingFeatureTypeCV:  "Specimen", SamplingFeatureCode:  "1301240", SamplingFeatureName:  "", SamplingFeatureDescription:  "", SamplingFeatureGeotypeCV:  Point, FeatureGeometry:  NULL, Elevation_m:  NULL, ElevationDatumCV:  NULL}</v>
      </c>
    </row>
    <row r="278" spans="1:4" x14ac:dyDescent="0.25">
      <c r="A278" s="27">
        <f t="shared" si="8"/>
        <v>14</v>
      </c>
      <c r="B278" s="27" t="str">
        <f>OFFSET('YODA Header Blocks'!$A$1,0,A278)</f>
        <v>Sampling Features</v>
      </c>
      <c r="C278" s="27">
        <f t="shared" si="9"/>
        <v>237</v>
      </c>
      <c r="D278" s="27"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Values'!R",ROW()-LengthHeader,"C2:R",ROW()-LengthHeader,"C",NumFileColumns+2),FALSE))," ],["))))</f>
        <v xml:space="preserve">  - &amp;SamplingFeatureID0236 {SamplingFeatureUUID:  "", SamplingFeatureTypeCV:  "Specimen", SamplingFeatureCode:  "1301241", SamplingFeatureName:  "", SamplingFeatureDescription:  "", SamplingFeatureGeotypeCV:  Point, FeatureGeometry:  NULL, Elevation_m:  NULL, ElevationDatumCV:  NULL}</v>
      </c>
    </row>
    <row r="279" spans="1:4" x14ac:dyDescent="0.25">
      <c r="A279" s="27">
        <f t="shared" si="8"/>
        <v>14</v>
      </c>
      <c r="B279" s="27" t="str">
        <f>OFFSET('YODA Header Blocks'!$A$1,0,A279)</f>
        <v>Sampling Features</v>
      </c>
      <c r="C279" s="27">
        <f t="shared" si="9"/>
        <v>238</v>
      </c>
      <c r="D279" s="27"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Values'!R",ROW()-LengthHeader,"C2:R",ROW()-LengthHeader,"C",NumFileColumns+2),FALSE))," ],["))))</f>
        <v xml:space="preserve">  - &amp;SamplingFeatureID0237 {SamplingFeatureUUID:  "", SamplingFeatureTypeCV:  "Specimen", SamplingFeatureCode:  "1301242", SamplingFeatureName:  "", SamplingFeatureDescription:  "", SamplingFeatureGeotypeCV:  Point, FeatureGeometry:  NULL, Elevation_m:  NULL, ElevationDatumCV:  NULL}</v>
      </c>
    </row>
    <row r="280" spans="1:4" x14ac:dyDescent="0.25">
      <c r="A280" s="27">
        <f t="shared" si="8"/>
        <v>14</v>
      </c>
      <c r="B280" s="27" t="str">
        <f>OFFSET('YODA Header Blocks'!$A$1,0,A280)</f>
        <v>Sampling Features</v>
      </c>
      <c r="C280" s="27">
        <f t="shared" si="9"/>
        <v>239</v>
      </c>
      <c r="D280" s="27"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Values'!R",ROW()-LengthHeader,"C2:R",ROW()-LengthHeader,"C",NumFileColumns+2),FALSE))," ],["))))</f>
        <v xml:space="preserve">  - &amp;SamplingFeatureID0238 {SamplingFeatureUUID:  "", SamplingFeatureTypeCV:  "Specimen", SamplingFeatureCode:  "1301243", SamplingFeatureName:  "", SamplingFeatureDescription:  "", SamplingFeatureGeotypeCV:  Point, FeatureGeometry:  NULL, Elevation_m:  NULL, ElevationDatumCV:  NULL}</v>
      </c>
    </row>
    <row r="281" spans="1:4" x14ac:dyDescent="0.25">
      <c r="A281" s="27">
        <f t="shared" si="8"/>
        <v>14</v>
      </c>
      <c r="B281" s="27" t="str">
        <f>OFFSET('YODA Header Blocks'!$A$1,0,A281)</f>
        <v>Sampling Features</v>
      </c>
      <c r="C281" s="27">
        <f t="shared" si="9"/>
        <v>240</v>
      </c>
      <c r="D281" s="27"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Values'!R",ROW()-LengthHeader,"C2:R",ROW()-LengthHeader,"C",NumFileColumns+2),FALSE))," ],["))))</f>
        <v xml:space="preserve">  - &amp;SamplingFeatureID0239 {SamplingFeatureUUID:  "", SamplingFeatureTypeCV:  "Specimen", SamplingFeatureCode:  "1301244", SamplingFeatureName:  "", SamplingFeatureDescription:  "", SamplingFeatureGeotypeCV:  Point, FeatureGeometry:  NULL, Elevation_m:  NULL, ElevationDatumCV:  NULL}</v>
      </c>
    </row>
    <row r="282" spans="1:4" x14ac:dyDescent="0.25">
      <c r="A282" s="27">
        <f t="shared" si="8"/>
        <v>14</v>
      </c>
      <c r="B282" s="27" t="str">
        <f>OFFSET('YODA Header Blocks'!$A$1,0,A282)</f>
        <v>Sampling Features</v>
      </c>
      <c r="C282" s="27">
        <f t="shared" si="9"/>
        <v>241</v>
      </c>
      <c r="D282" s="27"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Values'!R",ROW()-LengthHeader,"C2:R",ROW()-LengthHeader,"C",NumFileColumns+2),FALSE))," ],["))))</f>
        <v xml:space="preserve">  - &amp;SamplingFeatureID0240 {SamplingFeatureUUID:  "", SamplingFeatureTypeCV:  "Specimen", SamplingFeatureCode:  "1301251", SamplingFeatureName:  "", SamplingFeatureDescription:  "", SamplingFeatureGeotypeCV:  Point, FeatureGeometry:  NULL, Elevation_m:  NULL, ElevationDatumCV:  NULL}</v>
      </c>
    </row>
    <row r="283" spans="1:4" x14ac:dyDescent="0.25">
      <c r="A283" s="27">
        <f t="shared" si="8"/>
        <v>14</v>
      </c>
      <c r="B283" s="27" t="str">
        <f>OFFSET('YODA Header Blocks'!$A$1,0,A283)</f>
        <v>Sampling Features</v>
      </c>
      <c r="C283" s="27">
        <f t="shared" si="9"/>
        <v>242</v>
      </c>
      <c r="D283" s="27"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Values'!R",ROW()-LengthHeader,"C2:R",ROW()-LengthHeader,"C",NumFileColumns+2),FALSE))," ],["))))</f>
        <v xml:space="preserve">  - &amp;SamplingFeatureID0241 {SamplingFeatureUUID:  "", SamplingFeatureTypeCV:  "Specimen", SamplingFeatureCode:  "1301252", SamplingFeatureName:  "", SamplingFeatureDescription:  "", SamplingFeatureGeotypeCV:  Point, FeatureGeometry:  NULL, Elevation_m:  NULL, ElevationDatumCV:  NULL}</v>
      </c>
    </row>
    <row r="284" spans="1:4" x14ac:dyDescent="0.25">
      <c r="A284" s="27">
        <f t="shared" si="8"/>
        <v>14</v>
      </c>
      <c r="B284" s="27" t="str">
        <f>OFFSET('YODA Header Blocks'!$A$1,0,A284)</f>
        <v>Sampling Features</v>
      </c>
      <c r="C284" s="27">
        <f t="shared" si="9"/>
        <v>243</v>
      </c>
      <c r="D284" s="27"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Values'!R",ROW()-LengthHeader,"C2:R",ROW()-LengthHeader,"C",NumFileColumns+2),FALSE))," ],["))))</f>
        <v xml:space="preserve">  - &amp;SamplingFeatureID0242 {SamplingFeatureUUID:  "", SamplingFeatureTypeCV:  "Specimen", SamplingFeatureCode:  "1301253", SamplingFeatureName:  "", SamplingFeatureDescription:  "", SamplingFeatureGeotypeCV:  Point, FeatureGeometry:  NULL, Elevation_m:  NULL, ElevationDatumCV:  NULL}</v>
      </c>
    </row>
    <row r="285" spans="1:4" x14ac:dyDescent="0.25">
      <c r="A285" s="27">
        <f t="shared" si="8"/>
        <v>14</v>
      </c>
      <c r="B285" s="27" t="str">
        <f>OFFSET('YODA Header Blocks'!$A$1,0,A285)</f>
        <v>Sampling Features</v>
      </c>
      <c r="C285" s="27">
        <f t="shared" si="9"/>
        <v>244</v>
      </c>
      <c r="D285" s="27"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Values'!R",ROW()-LengthHeader,"C2:R",ROW()-LengthHeader,"C",NumFileColumns+2),FALSE))," ],["))))</f>
        <v xml:space="preserve">  - &amp;SamplingFeatureID0243 {SamplingFeatureUUID:  "", SamplingFeatureTypeCV:  "Specimen", SamplingFeatureCode:  "1301419", SamplingFeatureName:  "", SamplingFeatureDescription:  "", SamplingFeatureGeotypeCV:  Point, FeatureGeometry:  NULL, Elevation_m:  NULL, ElevationDatumCV:  NULL}</v>
      </c>
    </row>
    <row r="286" spans="1:4" x14ac:dyDescent="0.25">
      <c r="A286" s="27">
        <f t="shared" si="8"/>
        <v>14</v>
      </c>
      <c r="B286" s="27" t="str">
        <f>OFFSET('YODA Header Blocks'!$A$1,0,A286)</f>
        <v>Sampling Features</v>
      </c>
      <c r="C286" s="27">
        <f t="shared" si="9"/>
        <v>245</v>
      </c>
      <c r="D286" s="27"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Values'!R",ROW()-LengthHeader,"C2:R",ROW()-LengthHeader,"C",NumFileColumns+2),FALSE))," ],["))))</f>
        <v xml:space="preserve">  - &amp;SamplingFeatureID0244 {SamplingFeatureUUID:  "", SamplingFeatureTypeCV:  "Specimen", SamplingFeatureCode:  "1301417", SamplingFeatureName:  "", SamplingFeatureDescription:  "", SamplingFeatureGeotypeCV:  Point, FeatureGeometry:  NULL, Elevation_m:  NULL, ElevationDatumCV:  NULL}</v>
      </c>
    </row>
    <row r="287" spans="1:4" x14ac:dyDescent="0.25">
      <c r="A287" s="27">
        <f t="shared" si="8"/>
        <v>14</v>
      </c>
      <c r="B287" s="27" t="str">
        <f>OFFSET('YODA Header Blocks'!$A$1,0,A287)</f>
        <v>Sampling Features</v>
      </c>
      <c r="C287" s="27">
        <f t="shared" si="9"/>
        <v>246</v>
      </c>
      <c r="D287" s="27"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Values'!R",ROW()-LengthHeader,"C2:R",ROW()-LengthHeader,"C",NumFileColumns+2),FALSE))," ],["))))</f>
        <v xml:space="preserve">  - &amp;SamplingFeatureID0245 {SamplingFeatureUUID:  "", SamplingFeatureTypeCV:  "Specimen", SamplingFeatureCode:  "1301418", SamplingFeatureName:  "", SamplingFeatureDescription:  "", SamplingFeatureGeotypeCV:  Point, FeatureGeometry:  NULL, Elevation_m:  NULL, ElevationDatumCV:  NULL}</v>
      </c>
    </row>
    <row r="288" spans="1:4" x14ac:dyDescent="0.25">
      <c r="A288" s="27">
        <f t="shared" si="8"/>
        <v>14</v>
      </c>
      <c r="B288" s="27" t="str">
        <f>OFFSET('YODA Header Blocks'!$A$1,0,A288)</f>
        <v>Sampling Features</v>
      </c>
      <c r="C288" s="27">
        <f t="shared" si="9"/>
        <v>247</v>
      </c>
      <c r="D288" s="27"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Values'!R",ROW()-LengthHeader,"C2:R",ROW()-LengthHeader,"C",NumFileColumns+2),FALSE))," ],["))))</f>
        <v xml:space="preserve">  - &amp;SamplingFeatureID0246 {SamplingFeatureUUID:  "", SamplingFeatureTypeCV:  "Specimen", SamplingFeatureCode:  "1301708", SamplingFeatureName:  "", SamplingFeatureDescription:  "", SamplingFeatureGeotypeCV:  Point, FeatureGeometry:  NULL, Elevation_m:  NULL, ElevationDatumCV:  NULL}</v>
      </c>
    </row>
    <row r="289" spans="1:4" x14ac:dyDescent="0.25">
      <c r="A289" s="27">
        <f t="shared" si="8"/>
        <v>14</v>
      </c>
      <c r="B289" s="27" t="str">
        <f>OFFSET('YODA Header Blocks'!$A$1,0,A289)</f>
        <v>Sampling Features</v>
      </c>
      <c r="C289" s="27">
        <f t="shared" si="9"/>
        <v>248</v>
      </c>
      <c r="D289" s="27"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Values'!R",ROW()-LengthHeader,"C2:R",ROW()-LengthHeader,"C",NumFileColumns+2),FALSE))," ],["))))</f>
        <v xml:space="preserve">  - &amp;SamplingFeatureID0247 {SamplingFeatureUUID:  "", SamplingFeatureTypeCV:  "Specimen", SamplingFeatureCode:  "1301709", SamplingFeatureName:  "", SamplingFeatureDescription:  "", SamplingFeatureGeotypeCV:  Point, FeatureGeometry:  NULL, Elevation_m:  NULL, ElevationDatumCV:  NULL}</v>
      </c>
    </row>
    <row r="290" spans="1:4" x14ac:dyDescent="0.25">
      <c r="A290" s="27">
        <f t="shared" si="8"/>
        <v>14</v>
      </c>
      <c r="B290" s="27" t="str">
        <f>OFFSET('YODA Header Blocks'!$A$1,0,A290)</f>
        <v>Sampling Features</v>
      </c>
      <c r="C290" s="27">
        <f t="shared" si="9"/>
        <v>249</v>
      </c>
      <c r="D290" s="27"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Values'!R",ROW()-LengthHeader,"C2:R",ROW()-LengthHeader,"C",NumFileColumns+2),FALSE))," ],["))))</f>
        <v xml:space="preserve">  - &amp;SamplingFeatureID0248 {SamplingFeatureUUID:  "", SamplingFeatureTypeCV:  "Specimen", SamplingFeatureCode:  "1301736", SamplingFeatureName:  "", SamplingFeatureDescription:  "", SamplingFeatureGeotypeCV:  Point, FeatureGeometry:  NULL, Elevation_m:  NULL, ElevationDatumCV:  NULL}</v>
      </c>
    </row>
    <row r="291" spans="1:4" x14ac:dyDescent="0.25">
      <c r="A291" s="27">
        <f t="shared" si="8"/>
        <v>14</v>
      </c>
      <c r="B291" s="27" t="str">
        <f>OFFSET('YODA Header Blocks'!$A$1,0,A291)</f>
        <v>Sampling Features</v>
      </c>
      <c r="C291" s="27">
        <f t="shared" si="9"/>
        <v>250</v>
      </c>
      <c r="D291" s="27"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Values'!R",ROW()-LengthHeader,"C2:R",ROW()-LengthHeader,"C",NumFileColumns+2),FALSE))," ],["))))</f>
        <v xml:space="preserve">  - &amp;SamplingFeatureID0249 {SamplingFeatureUUID:  "", SamplingFeatureTypeCV:  "Specimen", SamplingFeatureCode:  "1301734", SamplingFeatureName:  "", SamplingFeatureDescription:  "", SamplingFeatureGeotypeCV:  Point, FeatureGeometry:  NULL, Elevation_m:  NULL, ElevationDatumCV:  NULL}</v>
      </c>
    </row>
    <row r="292" spans="1:4" x14ac:dyDescent="0.25">
      <c r="A292" s="27">
        <f t="shared" si="8"/>
        <v>14</v>
      </c>
      <c r="B292" s="27" t="str">
        <f>OFFSET('YODA Header Blocks'!$A$1,0,A292)</f>
        <v>Sampling Features</v>
      </c>
      <c r="C292" s="27">
        <f t="shared" si="9"/>
        <v>251</v>
      </c>
      <c r="D292" s="27"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Values'!R",ROW()-LengthHeader,"C2:R",ROW()-LengthHeader,"C",NumFileColumns+2),FALSE))," ],["))))</f>
        <v xml:space="preserve">  - &amp;SamplingFeatureID0250 {SamplingFeatureUUID:  "", SamplingFeatureTypeCV:  "Specimen", SamplingFeatureCode:  "1301735", SamplingFeatureName:  "", SamplingFeatureDescription:  "", SamplingFeatureGeotypeCV:  Point, FeatureGeometry:  NULL, Elevation_m:  NULL, ElevationDatumCV:  NULL}</v>
      </c>
    </row>
    <row r="293" spans="1:4" x14ac:dyDescent="0.25">
      <c r="A293" s="27">
        <f t="shared" si="8"/>
        <v>14</v>
      </c>
      <c r="B293" s="27" t="str">
        <f>OFFSET('YODA Header Blocks'!$A$1,0,A293)</f>
        <v>Sampling Features</v>
      </c>
      <c r="C293" s="27">
        <f t="shared" si="9"/>
        <v>252</v>
      </c>
      <c r="D293" s="27"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Values'!R",ROW()-LengthHeader,"C2:R",ROW()-LengthHeader,"C",NumFileColumns+2),FALSE))," ],["))))</f>
        <v xml:space="preserve">  - &amp;SamplingFeatureID0251 {SamplingFeatureUUID:  "", SamplingFeatureTypeCV:  "Specimen", SamplingFeatureCode:  "1302002", SamplingFeatureName:  "", SamplingFeatureDescription:  "", SamplingFeatureGeotypeCV:  Point, FeatureGeometry:  NULL, Elevation_m:  NULL, ElevationDatumCV:  NULL}</v>
      </c>
    </row>
    <row r="294" spans="1:4" x14ac:dyDescent="0.25">
      <c r="A294" s="27">
        <f t="shared" si="8"/>
        <v>14</v>
      </c>
      <c r="B294" s="27" t="str">
        <f>OFFSET('YODA Header Blocks'!$A$1,0,A294)</f>
        <v>Sampling Features</v>
      </c>
      <c r="C294" s="27">
        <f t="shared" si="9"/>
        <v>253</v>
      </c>
      <c r="D294" s="27"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Values'!R",ROW()-LengthHeader,"C2:R",ROW()-LengthHeader,"C",NumFileColumns+2),FALSE))," ],["))))</f>
        <v xml:space="preserve">  - &amp;SamplingFeatureID0252 {SamplingFeatureUUID:  "", SamplingFeatureTypeCV:  "Specimen", SamplingFeatureCode:  "1302000", SamplingFeatureName:  "", SamplingFeatureDescription:  "", SamplingFeatureGeotypeCV:  Point, FeatureGeometry:  NULL, Elevation_m:  NULL, ElevationDatumCV:  NULL}</v>
      </c>
    </row>
    <row r="295" spans="1:4" x14ac:dyDescent="0.25">
      <c r="A295" s="27">
        <f t="shared" si="8"/>
        <v>14</v>
      </c>
      <c r="B295" s="27" t="str">
        <f>OFFSET('YODA Header Blocks'!$A$1,0,A295)</f>
        <v>Sampling Features</v>
      </c>
      <c r="C295" s="27">
        <f t="shared" si="9"/>
        <v>254</v>
      </c>
      <c r="D295" s="27"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Values'!R",ROW()-LengthHeader,"C2:R",ROW()-LengthHeader,"C",NumFileColumns+2),FALSE))," ],["))))</f>
        <v xml:space="preserve">  - &amp;SamplingFeatureID0253 {SamplingFeatureUUID:  "", SamplingFeatureTypeCV:  "Specimen", SamplingFeatureCode:  "1302001", SamplingFeatureName:  "", SamplingFeatureDescription:  "", SamplingFeatureGeotypeCV:  Point, FeatureGeometry:  NULL, Elevation_m:  NULL, ElevationDatumCV:  NULL}</v>
      </c>
    </row>
    <row r="296" spans="1:4" x14ac:dyDescent="0.25">
      <c r="A296" s="27">
        <f t="shared" si="8"/>
        <v>14</v>
      </c>
      <c r="B296" s="27" t="str">
        <f>OFFSET('YODA Header Blocks'!$A$1,0,A296)</f>
        <v>Sampling Features</v>
      </c>
      <c r="C296" s="27">
        <f t="shared" si="9"/>
        <v>255</v>
      </c>
      <c r="D296" s="27"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Values'!R",ROW()-LengthHeader,"C2:R",ROW()-LengthHeader,"C",NumFileColumns+2),FALSE))," ],["))))</f>
        <v xml:space="preserve">  - &amp;SamplingFeatureID0254 {SamplingFeatureUUID:  "", SamplingFeatureTypeCV:  "Specimen", SamplingFeatureCode:  "1302171", SamplingFeatureName:  "", SamplingFeatureDescription:  "", SamplingFeatureGeotypeCV:  Point, FeatureGeometry:  NULL, Elevation_m:  NULL, ElevationDatumCV:  NULL}</v>
      </c>
    </row>
    <row r="297" spans="1:4" x14ac:dyDescent="0.25">
      <c r="A297" s="27">
        <f t="shared" si="8"/>
        <v>14</v>
      </c>
      <c r="B297" s="27" t="str">
        <f>OFFSET('YODA Header Blocks'!$A$1,0,A297)</f>
        <v>Sampling Features</v>
      </c>
      <c r="C297" s="27">
        <f t="shared" si="9"/>
        <v>256</v>
      </c>
      <c r="D297" s="27"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Values'!R",ROW()-LengthHeader,"C2:R",ROW()-LengthHeader,"C",NumFileColumns+2),FALSE))," ],["))))</f>
        <v xml:space="preserve">  - &amp;SamplingFeatureID0255 {SamplingFeatureUUID:  "", SamplingFeatureTypeCV:  "Specimen", SamplingFeatureCode:  "1302170", SamplingFeatureName:  "", SamplingFeatureDescription:  "", SamplingFeatureGeotypeCV:  Point, FeatureGeometry:  NULL, Elevation_m:  NULL, ElevationDatumCV:  NULL}</v>
      </c>
    </row>
    <row r="298" spans="1:4" x14ac:dyDescent="0.25">
      <c r="A298" s="27">
        <f t="shared" si="8"/>
        <v>14</v>
      </c>
      <c r="B298" s="27" t="str">
        <f>OFFSET('YODA Header Blocks'!$A$1,0,A298)</f>
        <v>Sampling Features</v>
      </c>
      <c r="C298" s="27">
        <f t="shared" si="9"/>
        <v>257</v>
      </c>
      <c r="D298" s="27"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Values'!R",ROW()-LengthHeader,"C2:R",ROW()-LengthHeader,"C",NumFileColumns+2),FALSE))," ],["))))</f>
        <v xml:space="preserve">  - &amp;SamplingFeatureID0256 {SamplingFeatureUUID:  "", SamplingFeatureTypeCV:  "Specimen", SamplingFeatureCode:  "1302169", SamplingFeatureName:  "", SamplingFeatureDescription:  "", SamplingFeatureGeotypeCV:  Point, FeatureGeometry:  NULL, Elevation_m:  NULL, ElevationDatumCV:  NULL}</v>
      </c>
    </row>
    <row r="299" spans="1:4" x14ac:dyDescent="0.25">
      <c r="A299" s="27">
        <f t="shared" si="8"/>
        <v>14</v>
      </c>
      <c r="B299" s="27" t="str">
        <f>OFFSET('YODA Header Blocks'!$A$1,0,A299)</f>
        <v>Sampling Features</v>
      </c>
      <c r="C299" s="27">
        <f t="shared" si="9"/>
        <v>258</v>
      </c>
      <c r="D299" s="27"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Values'!R",ROW()-LengthHeader,"C2:R",ROW()-LengthHeader,"C",NumFileColumns+2),FALSE))," ],["))))</f>
        <v xml:space="preserve">  - &amp;SamplingFeatureID0257 {SamplingFeatureUUID:  "", SamplingFeatureTypeCV:  "Specimen", SamplingFeatureCode:  "1302244", SamplingFeatureName:  "", SamplingFeatureDescription:  "", SamplingFeatureGeotypeCV:  Point, FeatureGeometry:  NULL, Elevation_m:  NULL, ElevationDatumCV:  NULL}</v>
      </c>
    </row>
    <row r="300" spans="1:4" x14ac:dyDescent="0.25">
      <c r="A300" s="27">
        <f t="shared" si="8"/>
        <v>14</v>
      </c>
      <c r="B300" s="27" t="str">
        <f>OFFSET('YODA Header Blocks'!$A$1,0,A300)</f>
        <v>Sampling Features</v>
      </c>
      <c r="C300" s="27">
        <f t="shared" si="9"/>
        <v>259</v>
      </c>
      <c r="D300" s="27"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Values'!R",ROW()-LengthHeader,"C2:R",ROW()-LengthHeader,"C",NumFileColumns+2),FALSE))," ],["))))</f>
        <v xml:space="preserve">  - &amp;SamplingFeatureID0258 {SamplingFeatureUUID:  "", SamplingFeatureTypeCV:  "Specimen", SamplingFeatureCode:  "1302245", SamplingFeatureName:  "", SamplingFeatureDescription:  "", SamplingFeatureGeotypeCV:  Point, FeatureGeometry:  NULL, Elevation_m:  NULL, ElevationDatumCV:  NULL}</v>
      </c>
    </row>
    <row r="301" spans="1:4" x14ac:dyDescent="0.25">
      <c r="A301" s="27">
        <f t="shared" si="8"/>
        <v>14</v>
      </c>
      <c r="B301" s="27" t="str">
        <f>OFFSET('YODA Header Blocks'!$A$1,0,A301)</f>
        <v>Sampling Features</v>
      </c>
      <c r="C301" s="27">
        <f t="shared" si="9"/>
        <v>260</v>
      </c>
      <c r="D301" s="27"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Values'!R",ROW()-LengthHeader,"C2:R",ROW()-LengthHeader,"C",NumFileColumns+2),FALSE))," ],["))))</f>
        <v xml:space="preserve">  - &amp;SamplingFeatureID0259 {SamplingFeatureUUID:  "", SamplingFeatureTypeCV:  "Specimen", SamplingFeatureCode:  "1302246", SamplingFeatureName:  "", SamplingFeatureDescription:  "", SamplingFeatureGeotypeCV:  Point, FeatureGeometry:  NULL, Elevation_m:  NULL, ElevationDatumCV:  NULL}</v>
      </c>
    </row>
    <row r="302" spans="1:4" x14ac:dyDescent="0.25">
      <c r="A302" s="27">
        <f t="shared" si="8"/>
        <v>14</v>
      </c>
      <c r="B302" s="27" t="str">
        <f>OFFSET('YODA Header Blocks'!$A$1,0,A302)</f>
        <v>Sampling Features</v>
      </c>
      <c r="C302" s="27">
        <f t="shared" si="9"/>
        <v>261</v>
      </c>
      <c r="D302" s="27"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Values'!R",ROW()-LengthHeader,"C2:R",ROW()-LengthHeader,"C",NumFileColumns+2),FALSE))," ],["))))</f>
        <v xml:space="preserve">  - &amp;SamplingFeatureID0260 {SamplingFeatureUUID:  "", SamplingFeatureTypeCV:  "Specimen", SamplingFeatureCode:  "1302247", SamplingFeatureName:  "", SamplingFeatureDescription:  "", SamplingFeatureGeotypeCV:  Point, FeatureGeometry:  NULL, Elevation_m:  NULL, ElevationDatumCV:  NULL}</v>
      </c>
    </row>
    <row r="303" spans="1:4" x14ac:dyDescent="0.25">
      <c r="A303" s="27">
        <f t="shared" si="8"/>
        <v>14</v>
      </c>
      <c r="B303" s="27" t="str">
        <f>OFFSET('YODA Header Blocks'!$A$1,0,A303)</f>
        <v>Sampling Features</v>
      </c>
      <c r="C303" s="27">
        <f t="shared" si="9"/>
        <v>262</v>
      </c>
      <c r="D303" s="27"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Values'!R",ROW()-LengthHeader,"C2:R",ROW()-LengthHeader,"C",NumFileColumns+2),FALSE))," ],["))))</f>
        <v xml:space="preserve">  - &amp;SamplingFeatureID0261 {SamplingFeatureUUID:  "", SamplingFeatureTypeCV:  "Specimen", SamplingFeatureCode:  "1302248", SamplingFeatureName:  "", SamplingFeatureDescription:  "", SamplingFeatureGeotypeCV:  Point, FeatureGeometry:  NULL, Elevation_m:  NULL, ElevationDatumCV:  NULL}</v>
      </c>
    </row>
    <row r="304" spans="1:4" x14ac:dyDescent="0.25">
      <c r="A304" s="27">
        <f t="shared" si="8"/>
        <v>14</v>
      </c>
      <c r="B304" s="27" t="str">
        <f>OFFSET('YODA Header Blocks'!$A$1,0,A304)</f>
        <v>Sampling Features</v>
      </c>
      <c r="C304" s="27">
        <f t="shared" si="9"/>
        <v>263</v>
      </c>
      <c r="D304" s="27"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Values'!R",ROW()-LengthHeader,"C2:R",ROW()-LengthHeader,"C",NumFileColumns+2),FALSE))," ],["))))</f>
        <v xml:space="preserve">  - &amp;SamplingFeatureID0262 {SamplingFeatureUUID:  "", SamplingFeatureTypeCV:  "Specimen", SamplingFeatureCode:  "1302249", SamplingFeatureName:  "", SamplingFeatureDescription:  "", SamplingFeatureGeotypeCV:  Point, FeatureGeometry:  NULL, Elevation_m:  NULL, ElevationDatumCV:  NULL}</v>
      </c>
    </row>
    <row r="305" spans="1:4" x14ac:dyDescent="0.25">
      <c r="A305" s="27">
        <f t="shared" si="8"/>
        <v>14</v>
      </c>
      <c r="B305" s="27" t="str">
        <f>OFFSET('YODA Header Blocks'!$A$1,0,A305)</f>
        <v>Sampling Features</v>
      </c>
      <c r="C305" s="27">
        <f t="shared" si="9"/>
        <v>264</v>
      </c>
      <c r="D305" s="27"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Values'!R",ROW()-LengthHeader,"C2:R",ROW()-LengthHeader,"C",NumFileColumns+2),FALSE))," ],["))))</f>
        <v xml:space="preserve">  - &amp;SamplingFeatureID0263 {SamplingFeatureUUID:  "", SamplingFeatureTypeCV:  "Specimen", SamplingFeatureCode:  "1302250", SamplingFeatureName:  "", SamplingFeatureDescription:  "", SamplingFeatureGeotypeCV:  Point, FeatureGeometry:  NULL, Elevation_m:  NULL, ElevationDatumCV:  NULL}</v>
      </c>
    </row>
    <row r="306" spans="1:4" x14ac:dyDescent="0.25">
      <c r="A306" s="27">
        <f t="shared" si="8"/>
        <v>14</v>
      </c>
      <c r="B306" s="27" t="str">
        <f>OFFSET('YODA Header Blocks'!$A$1,0,A306)</f>
        <v>Sampling Features</v>
      </c>
      <c r="C306" s="27">
        <f t="shared" si="9"/>
        <v>265</v>
      </c>
      <c r="D306" s="27"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Values'!R",ROW()-LengthHeader,"C2:R",ROW()-LengthHeader,"C",NumFileColumns+2),FALSE))," ],["))))</f>
        <v xml:space="preserve">  - &amp;SamplingFeatureID0264 {SamplingFeatureUUID:  "", SamplingFeatureTypeCV:  "Specimen", SamplingFeatureCode:  "1302251", SamplingFeatureName:  "", SamplingFeatureDescription:  "", SamplingFeatureGeotypeCV:  Point, FeatureGeometry:  NULL, Elevation_m:  NULL, ElevationDatumCV:  NULL}</v>
      </c>
    </row>
    <row r="307" spans="1:4" x14ac:dyDescent="0.25">
      <c r="A307" s="27">
        <f t="shared" si="8"/>
        <v>14</v>
      </c>
      <c r="B307" s="27" t="str">
        <f>OFFSET('YODA Header Blocks'!$A$1,0,A307)</f>
        <v>Sampling Features</v>
      </c>
      <c r="C307" s="27">
        <f t="shared" si="9"/>
        <v>266</v>
      </c>
      <c r="D307" s="27"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Values'!R",ROW()-LengthHeader,"C2:R",ROW()-LengthHeader,"C",NumFileColumns+2),FALSE))," ],["))))</f>
        <v xml:space="preserve">  - &amp;SamplingFeatureID0265 {SamplingFeatureUUID:  "", SamplingFeatureTypeCV:  "Specimen", SamplingFeatureCode:  "1302252", SamplingFeatureName:  "", SamplingFeatureDescription:  "", SamplingFeatureGeotypeCV:  Point, FeatureGeometry:  NULL, Elevation_m:  NULL, ElevationDatumCV:  NULL}</v>
      </c>
    </row>
    <row r="308" spans="1:4" x14ac:dyDescent="0.25">
      <c r="A308" s="27">
        <f t="shared" si="8"/>
        <v>14</v>
      </c>
      <c r="B308" s="27" t="str">
        <f>OFFSET('YODA Header Blocks'!$A$1,0,A308)</f>
        <v>Sampling Features</v>
      </c>
      <c r="C308" s="27">
        <f t="shared" si="9"/>
        <v>267</v>
      </c>
      <c r="D308" s="27"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Values'!R",ROW()-LengthHeader,"C2:R",ROW()-LengthHeader,"C",NumFileColumns+2),FALSE))," ],["))))</f>
        <v xml:space="preserve">  - &amp;SamplingFeatureID0266 {SamplingFeatureUUID:  "", SamplingFeatureTypeCV:  "Specimen", SamplingFeatureCode:  "1302253", SamplingFeatureName:  "", SamplingFeatureDescription:  "", SamplingFeatureGeotypeCV:  Point, FeatureGeometry:  NULL, Elevation_m:  NULL, ElevationDatumCV:  NULL}</v>
      </c>
    </row>
    <row r="309" spans="1:4" x14ac:dyDescent="0.25">
      <c r="A309" s="27">
        <f t="shared" si="8"/>
        <v>14</v>
      </c>
      <c r="B309" s="27" t="str">
        <f>OFFSET('YODA Header Blocks'!$A$1,0,A309)</f>
        <v>Sampling Features</v>
      </c>
      <c r="C309" s="27">
        <f t="shared" si="9"/>
        <v>268</v>
      </c>
      <c r="D309" s="27"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Values'!R",ROW()-LengthHeader,"C2:R",ROW()-LengthHeader,"C",NumFileColumns+2),FALSE))," ],["))))</f>
        <v xml:space="preserve">  - &amp;SamplingFeatureID0267 {SamplingFeatureUUID:  "", SamplingFeatureTypeCV:  "Specimen", SamplingFeatureCode:  "1302316", SamplingFeatureName:  "", SamplingFeatureDescription:  "", SamplingFeatureGeotypeCV:  Point, FeatureGeometry:  NULL, Elevation_m:  NULL, ElevationDatumCV:  NULL}</v>
      </c>
    </row>
    <row r="310" spans="1:4" x14ac:dyDescent="0.25">
      <c r="A310" s="27">
        <f t="shared" si="8"/>
        <v>14</v>
      </c>
      <c r="B310" s="27" t="str">
        <f>OFFSET('YODA Header Blocks'!$A$1,0,A310)</f>
        <v>Sampling Features</v>
      </c>
      <c r="C310" s="27">
        <f t="shared" si="9"/>
        <v>269</v>
      </c>
      <c r="D310" s="27"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Values'!R",ROW()-LengthHeader,"C2:R",ROW()-LengthHeader,"C",NumFileColumns+2),FALSE))," ],["))))</f>
        <v xml:space="preserve">  - &amp;SamplingFeatureID0268 {SamplingFeatureUUID:  "", SamplingFeatureTypeCV:  "Specimen", SamplingFeatureCode:  "1302317", SamplingFeatureName:  "", SamplingFeatureDescription:  "", SamplingFeatureGeotypeCV:  Point, FeatureGeometry:  NULL, Elevation_m:  NULL, ElevationDatumCV:  NULL}</v>
      </c>
    </row>
    <row r="311" spans="1:4" x14ac:dyDescent="0.25">
      <c r="A311" s="27">
        <f t="shared" si="8"/>
        <v>14</v>
      </c>
      <c r="B311" s="27" t="str">
        <f>OFFSET('YODA Header Blocks'!$A$1,0,A311)</f>
        <v>Sampling Features</v>
      </c>
      <c r="C311" s="27">
        <f t="shared" si="9"/>
        <v>270</v>
      </c>
      <c r="D311" s="27"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Values'!R",ROW()-LengthHeader,"C2:R",ROW()-LengthHeader,"C",NumFileColumns+2),FALSE))," ],["))))</f>
        <v xml:space="preserve">  - &amp;SamplingFeatureID0269 {SamplingFeatureUUID:  "", SamplingFeatureTypeCV:  "Specimen", SamplingFeatureCode:  "1302318", SamplingFeatureName:  "", SamplingFeatureDescription:  "", SamplingFeatureGeotypeCV:  Point, FeatureGeometry:  NULL, Elevation_m:  NULL, ElevationDatumCV:  NULL}</v>
      </c>
    </row>
    <row r="312" spans="1:4" x14ac:dyDescent="0.25">
      <c r="A312" s="27">
        <f t="shared" si="8"/>
        <v>14</v>
      </c>
      <c r="B312" s="27" t="str">
        <f>OFFSET('YODA Header Blocks'!$A$1,0,A312)</f>
        <v>Sampling Features</v>
      </c>
      <c r="C312" s="27">
        <f t="shared" si="9"/>
        <v>271</v>
      </c>
      <c r="D312" s="27"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Values'!R",ROW()-LengthHeader,"C2:R",ROW()-LengthHeader,"C",NumFileColumns+2),FALSE))," ],["))))</f>
        <v xml:space="preserve">  - &amp;SamplingFeatureID0270 {SamplingFeatureUUID:  "", SamplingFeatureTypeCV:  "Specimen", SamplingFeatureCode:  "1302320", SamplingFeatureName:  "", SamplingFeatureDescription:  "", SamplingFeatureGeotypeCV:  Point, FeatureGeometry:  NULL, Elevation_m:  NULL, ElevationDatumCV:  NULL}</v>
      </c>
    </row>
    <row r="313" spans="1:4" x14ac:dyDescent="0.25">
      <c r="A313" s="27">
        <f t="shared" si="8"/>
        <v>14</v>
      </c>
      <c r="B313" s="27" t="str">
        <f>OFFSET('YODA Header Blocks'!$A$1,0,A313)</f>
        <v>Sampling Features</v>
      </c>
      <c r="C313" s="27">
        <f t="shared" si="9"/>
        <v>272</v>
      </c>
      <c r="D313" s="27"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Values'!R",ROW()-LengthHeader,"C2:R",ROW()-LengthHeader,"C",NumFileColumns+2),FALSE))," ],["))))</f>
        <v xml:space="preserve">  - &amp;SamplingFeatureID0271 {SamplingFeatureUUID:  "", SamplingFeatureTypeCV:  "Specimen", SamplingFeatureCode:  "1302321", SamplingFeatureName:  "", SamplingFeatureDescription:  "", SamplingFeatureGeotypeCV:  Point, FeatureGeometry:  NULL, Elevation_m:  NULL, ElevationDatumCV:  NULL}</v>
      </c>
    </row>
    <row r="314" spans="1:4" x14ac:dyDescent="0.25">
      <c r="A314" s="27">
        <f t="shared" si="8"/>
        <v>14</v>
      </c>
      <c r="B314" s="27" t="str">
        <f>OFFSET('YODA Header Blocks'!$A$1,0,A314)</f>
        <v>Sampling Features</v>
      </c>
      <c r="C314" s="27">
        <f t="shared" si="9"/>
        <v>273</v>
      </c>
      <c r="D314" s="27"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Values'!R",ROW()-LengthHeader,"C2:R",ROW()-LengthHeader,"C",NumFileColumns+2),FALSE))," ],["))))</f>
        <v xml:space="preserve">  - &amp;SamplingFeatureID0272 {SamplingFeatureUUID:  "", SamplingFeatureTypeCV:  "Specimen", SamplingFeatureCode:  "1302322", SamplingFeatureName:  "", SamplingFeatureDescription:  "", SamplingFeatureGeotypeCV:  Point, FeatureGeometry:  NULL, Elevation_m:  NULL, ElevationDatumCV:  NULL}</v>
      </c>
    </row>
    <row r="315" spans="1:4" x14ac:dyDescent="0.25">
      <c r="A315" s="27">
        <f t="shared" si="8"/>
        <v>14</v>
      </c>
      <c r="B315" s="27" t="str">
        <f>OFFSET('YODA Header Blocks'!$A$1,0,A315)</f>
        <v>Sampling Features</v>
      </c>
      <c r="C315" s="27">
        <f t="shared" si="9"/>
        <v>274</v>
      </c>
      <c r="D315" s="27"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Values'!R",ROW()-LengthHeader,"C2:R",ROW()-LengthHeader,"C",NumFileColumns+2),FALSE))," ],["))))</f>
        <v xml:space="preserve">  - &amp;SamplingFeatureID0273 {SamplingFeatureUUID:  "", SamplingFeatureTypeCV:  "Specimen", SamplingFeatureCode:  "1302323", SamplingFeatureName:  "", SamplingFeatureDescription:  "", SamplingFeatureGeotypeCV:  Point, FeatureGeometry:  NULL, Elevation_m:  NULL, ElevationDatumCV:  NULL}</v>
      </c>
    </row>
    <row r="316" spans="1:4" x14ac:dyDescent="0.25">
      <c r="A316" s="27">
        <f t="shared" si="8"/>
        <v>14</v>
      </c>
      <c r="B316" s="27" t="str">
        <f>OFFSET('YODA Header Blocks'!$A$1,0,A316)</f>
        <v>Sampling Features</v>
      </c>
      <c r="C316" s="27">
        <f t="shared" si="9"/>
        <v>275</v>
      </c>
      <c r="D316" s="27"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Values'!R",ROW()-LengthHeader,"C2:R",ROW()-LengthHeader,"C",NumFileColumns+2),FALSE))," ],["))))</f>
        <v xml:space="preserve">  - &amp;SamplingFeatureID0274 {SamplingFeatureUUID:  "", SamplingFeatureTypeCV:  "Specimen", SamplingFeatureCode:  "1302324", SamplingFeatureName:  "", SamplingFeatureDescription:  "", SamplingFeatureGeotypeCV:  Point, FeatureGeometry:  NULL, Elevation_m:  NULL, ElevationDatumCV:  NULL}</v>
      </c>
    </row>
    <row r="317" spans="1:4" x14ac:dyDescent="0.25">
      <c r="A317" s="27">
        <f t="shared" si="8"/>
        <v>14</v>
      </c>
      <c r="B317" s="27" t="str">
        <f>OFFSET('YODA Header Blocks'!$A$1,0,A317)</f>
        <v>Sampling Features</v>
      </c>
      <c r="C317" s="27">
        <f t="shared" si="9"/>
        <v>276</v>
      </c>
      <c r="D317" s="27"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Values'!R",ROW()-LengthHeader,"C2:R",ROW()-LengthHeader,"C",NumFileColumns+2),FALSE))," ],["))))</f>
        <v xml:space="preserve">  - &amp;SamplingFeatureID0275 {SamplingFeatureUUID:  "", SamplingFeatureTypeCV:  "Specimen", SamplingFeatureCode:  "1302319", SamplingFeatureName:  "", SamplingFeatureDescription:  "", SamplingFeatureGeotypeCV:  Point, FeatureGeometry:  NULL, Elevation_m:  NULL, ElevationDatumCV:  NULL}</v>
      </c>
    </row>
    <row r="318" spans="1:4" x14ac:dyDescent="0.25">
      <c r="A318" s="27">
        <f t="shared" si="8"/>
        <v>14</v>
      </c>
      <c r="B318" s="27" t="str">
        <f>OFFSET('YODA Header Blocks'!$A$1,0,A318)</f>
        <v>Sampling Features</v>
      </c>
      <c r="C318" s="27">
        <f t="shared" si="9"/>
        <v>277</v>
      </c>
      <c r="D318" s="27"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Values'!R",ROW()-LengthHeader,"C2:R",ROW()-LengthHeader,"C",NumFileColumns+2),FALSE))," ],["))))</f>
        <v xml:space="preserve">  - &amp;SamplingFeatureID0276 {SamplingFeatureUUID:  "", SamplingFeatureTypeCV:  "Specimen", SamplingFeatureCode:  "1302325", SamplingFeatureName:  "", SamplingFeatureDescription:  "", SamplingFeatureGeotypeCV:  Point, FeatureGeometry:  NULL, Elevation_m:  NULL, ElevationDatumCV:  NULL}</v>
      </c>
    </row>
    <row r="319" spans="1:4" x14ac:dyDescent="0.25">
      <c r="A319" s="27">
        <f t="shared" si="8"/>
        <v>14</v>
      </c>
      <c r="B319" s="27" t="str">
        <f>OFFSET('YODA Header Blocks'!$A$1,0,A319)</f>
        <v>Sampling Features</v>
      </c>
      <c r="C319" s="27">
        <f t="shared" si="9"/>
        <v>278</v>
      </c>
      <c r="D319" s="27"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Values'!R",ROW()-LengthHeader,"C2:R",ROW()-LengthHeader,"C",NumFileColumns+2),FALSE))," ],["))))</f>
        <v xml:space="preserve">  - &amp;SamplingFeatureID0277 {SamplingFeatureUUID:  "", SamplingFeatureTypeCV:  "Specimen", SamplingFeatureCode:  "1302326", SamplingFeatureName:  "", SamplingFeatureDescription:  "", SamplingFeatureGeotypeCV:  Point, FeatureGeometry:  NULL, Elevation_m:  NULL, ElevationDatumCV:  NULL}</v>
      </c>
    </row>
    <row r="320" spans="1:4" x14ac:dyDescent="0.25">
      <c r="A320" s="27">
        <f t="shared" si="8"/>
        <v>14</v>
      </c>
      <c r="B320" s="27" t="str">
        <f>OFFSET('YODA Header Blocks'!$A$1,0,A320)</f>
        <v>Sampling Features</v>
      </c>
      <c r="C320" s="27">
        <f t="shared" si="9"/>
        <v>279</v>
      </c>
      <c r="D320" s="27"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Values'!R",ROW()-LengthHeader,"C2:R",ROW()-LengthHeader,"C",NumFileColumns+2),FALSE))," ],["))))</f>
        <v xml:space="preserve">  - &amp;SamplingFeatureID0278 {SamplingFeatureUUID:  "", SamplingFeatureTypeCV:  "Specimen", SamplingFeatureCode:  "1302331", SamplingFeatureName:  "", SamplingFeatureDescription:  "", SamplingFeatureGeotypeCV:  Point, FeatureGeometry:  NULL, Elevation_m:  NULL, ElevationDatumCV:  NULL}</v>
      </c>
    </row>
    <row r="321" spans="1:4" x14ac:dyDescent="0.25">
      <c r="A321" s="27">
        <f t="shared" si="8"/>
        <v>14</v>
      </c>
      <c r="B321" s="27" t="str">
        <f>OFFSET('YODA Header Blocks'!$A$1,0,A321)</f>
        <v>Sampling Features</v>
      </c>
      <c r="C321" s="27">
        <f t="shared" si="9"/>
        <v>280</v>
      </c>
      <c r="D321" s="27"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Values'!R",ROW()-LengthHeader,"C2:R",ROW()-LengthHeader,"C",NumFileColumns+2),FALSE))," ],["))))</f>
        <v xml:space="preserve">  - &amp;SamplingFeatureID0279 {SamplingFeatureUUID:  "", SamplingFeatureTypeCV:  "Specimen", SamplingFeatureCode:  "1302332", SamplingFeatureName:  "", SamplingFeatureDescription:  "", SamplingFeatureGeotypeCV:  Point, FeatureGeometry:  NULL, Elevation_m:  NULL, ElevationDatumCV:  NULL}</v>
      </c>
    </row>
    <row r="322" spans="1:4" x14ac:dyDescent="0.25">
      <c r="A322" s="27">
        <f t="shared" si="8"/>
        <v>14</v>
      </c>
      <c r="B322" s="27" t="str">
        <f>OFFSET('YODA Header Blocks'!$A$1,0,A322)</f>
        <v>Sampling Features</v>
      </c>
      <c r="C322" s="27">
        <f t="shared" si="9"/>
        <v>281</v>
      </c>
      <c r="D322" s="27"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Values'!R",ROW()-LengthHeader,"C2:R",ROW()-LengthHeader,"C",NumFileColumns+2),FALSE))," ],["))))</f>
        <v xml:space="preserve">  - &amp;SamplingFeatureID0280 {SamplingFeatureUUID:  "", SamplingFeatureTypeCV:  "Specimen", SamplingFeatureCode:  "1302520", SamplingFeatureName:  "", SamplingFeatureDescription:  "", SamplingFeatureGeotypeCV:  Point, FeatureGeometry:  NULL, Elevation_m:  NULL, ElevationDatumCV:  NULL}</v>
      </c>
    </row>
    <row r="323" spans="1:4" x14ac:dyDescent="0.25">
      <c r="A323" s="27">
        <f t="shared" si="8"/>
        <v>14</v>
      </c>
      <c r="B323" s="27" t="str">
        <f>OFFSET('YODA Header Blocks'!$A$1,0,A323)</f>
        <v>Sampling Features</v>
      </c>
      <c r="C323" s="27">
        <f t="shared" si="9"/>
        <v>282</v>
      </c>
      <c r="D323" s="27"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Values'!R",ROW()-LengthHeader,"C2:R",ROW()-LengthHeader,"C",NumFileColumns+2),FALSE))," ],["))))</f>
        <v xml:space="preserve">  - &amp;SamplingFeatureID0281 {SamplingFeatureUUID:  "", SamplingFeatureTypeCV:  "Specimen", SamplingFeatureCode:  "1302519", SamplingFeatureName:  "", SamplingFeatureDescription:  "", SamplingFeatureGeotypeCV:  Point, FeatureGeometry:  NULL, Elevation_m:  NULL, ElevationDatumCV:  NULL}</v>
      </c>
    </row>
    <row r="324" spans="1:4" x14ac:dyDescent="0.25">
      <c r="A324" s="27">
        <f t="shared" ref="A324:A387" si="10">IF(C323=INDIRECT(CONCATENATE("'YODA Header Blocks'!R2C",A323+1,":R2C",A323+1),FALSE),A323+1,A323)</f>
        <v>14</v>
      </c>
      <c r="B324" s="27" t="str">
        <f>OFFSET('YODA Header Blocks'!$A$1,0,A324)</f>
        <v>Sampling Features</v>
      </c>
      <c r="C324" s="27">
        <f t="shared" ref="C324:C387" si="11">IF(C323=SUM(INDIRECT(CONCATENATE("'YODA Header Blocks'!R2C",A323+1,":R2C",A323+1),FALSE)),1,C323+1)</f>
        <v>283</v>
      </c>
      <c r="D324" s="27"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Values'!R",ROW()-LengthHeader,"C2:R",ROW()-LengthHeader,"C",NumFileColumns+2),FALSE))," ],["))))</f>
        <v xml:space="preserve">  - &amp;SamplingFeatureID0282 {SamplingFeatureUUID:  "", SamplingFeatureTypeCV:  "Specimen", SamplingFeatureCode:  "1302518", SamplingFeatureName:  "", SamplingFeatureDescription:  "", SamplingFeatureGeotypeCV:  Point, FeatureGeometry:  NULL, Elevation_m:  NULL, ElevationDatumCV:  NULL}</v>
      </c>
    </row>
    <row r="325" spans="1:4" x14ac:dyDescent="0.25">
      <c r="A325" s="27">
        <f t="shared" si="10"/>
        <v>14</v>
      </c>
      <c r="B325" s="27" t="str">
        <f>OFFSET('YODA Header Blocks'!$A$1,0,A325)</f>
        <v>Sampling Features</v>
      </c>
      <c r="C325" s="27">
        <f t="shared" si="11"/>
        <v>284</v>
      </c>
      <c r="D325" s="27"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Values'!R",ROW()-LengthHeader,"C2:R",ROW()-LengthHeader,"C",NumFileColumns+2),FALSE))," ],["))))</f>
        <v xml:space="preserve">  - &amp;SamplingFeatureID0283 {SamplingFeatureUUID:  "", SamplingFeatureTypeCV:  "Specimen", SamplingFeatureCode:  "1302790", SamplingFeatureName:  "", SamplingFeatureDescription:  "", SamplingFeatureGeotypeCV:  Point, FeatureGeometry:  NULL, Elevation_m:  NULL, ElevationDatumCV:  NULL}</v>
      </c>
    </row>
    <row r="326" spans="1:4" x14ac:dyDescent="0.25">
      <c r="A326" s="27">
        <f t="shared" si="10"/>
        <v>14</v>
      </c>
      <c r="B326" s="27" t="str">
        <f>OFFSET('YODA Header Blocks'!$A$1,0,A326)</f>
        <v>Sampling Features</v>
      </c>
      <c r="C326" s="27">
        <f t="shared" si="11"/>
        <v>285</v>
      </c>
      <c r="D326" s="27"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Values'!R",ROW()-LengthHeader,"C2:R",ROW()-LengthHeader,"C",NumFileColumns+2),FALSE))," ],["))))</f>
        <v xml:space="preserve">  - &amp;SamplingFeatureID0284 {SamplingFeatureUUID:  "", SamplingFeatureTypeCV:  "Specimen", SamplingFeatureCode:  "1302789", SamplingFeatureName:  "", SamplingFeatureDescription:  "", SamplingFeatureGeotypeCV:  Point, FeatureGeometry:  NULL, Elevation_m:  NULL, ElevationDatumCV:  NULL}</v>
      </c>
    </row>
    <row r="327" spans="1:4" x14ac:dyDescent="0.25">
      <c r="A327" s="27">
        <f t="shared" si="10"/>
        <v>14</v>
      </c>
      <c r="B327" s="27" t="str">
        <f>OFFSET('YODA Header Blocks'!$A$1,0,A327)</f>
        <v>Sampling Features</v>
      </c>
      <c r="C327" s="27">
        <f t="shared" si="11"/>
        <v>286</v>
      </c>
      <c r="D327" s="27"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Values'!R",ROW()-LengthHeader,"C2:R",ROW()-LengthHeader,"C",NumFileColumns+2),FALSE))," ],["))))</f>
        <v xml:space="preserve">  - &amp;SamplingFeatureID0285 {SamplingFeatureUUID:  "", SamplingFeatureTypeCV:  "Specimen", SamplingFeatureCode:  "1302788", SamplingFeatureName:  "", SamplingFeatureDescription:  "", SamplingFeatureGeotypeCV:  Point, FeatureGeometry:  NULL, Elevation_m:  NULL, ElevationDatumCV:  NULL}</v>
      </c>
    </row>
    <row r="328" spans="1:4" x14ac:dyDescent="0.25">
      <c r="A328" s="27">
        <f t="shared" si="10"/>
        <v>15</v>
      </c>
      <c r="B328" s="27" t="str">
        <f>OFFSET('YODA Header Blocks'!$A$1,0,A328)</f>
        <v>Sampling Feature External Identifiers</v>
      </c>
      <c r="C328" s="27">
        <f t="shared" si="11"/>
        <v>1</v>
      </c>
      <c r="D328" s="27"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Values'!R",ROW()-LengthHeader,"C2:R",ROW()-LengthHeader,"C",NumFileColumns+2),FALSE))," ],["))))</f>
        <v>SamplingFeaturesExternalIdentifiers:</v>
      </c>
    </row>
    <row r="329" spans="1:4" x14ac:dyDescent="0.25">
      <c r="A329" s="27">
        <f t="shared" si="10"/>
        <v>15</v>
      </c>
      <c r="B329" s="27" t="str">
        <f>OFFSET('YODA Header Blocks'!$A$1,0,A329)</f>
        <v>Sampling Feature External Identifiers</v>
      </c>
      <c r="C329" s="27">
        <f t="shared" si="11"/>
        <v>2</v>
      </c>
      <c r="D329" s="27"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Values'!R",ROW()-LengthHeader,"C2:R",ROW()-LengthHeader,"C",NumFileColumns+2),FALSE))," ],["))))</f>
        <v xml:space="preserve">  - {SamplingFeatureObj:  *SamplingFeatureID0003, ExternalIdentifierSystemObj:  *ExternalIdentifierSystemID0003, SamplingFeatureExternalIdentifier:  "ERA", SamplingFeatureExternalIdentifierURI:  "http://app.geosamples.org/sample/igsn/ERA"}</v>
      </c>
    </row>
    <row r="330" spans="1:4" x14ac:dyDescent="0.25">
      <c r="A330" s="27">
        <f t="shared" si="10"/>
        <v>15</v>
      </c>
      <c r="B330" s="27" t="str">
        <f>OFFSET('YODA Header Blocks'!$A$1,0,A330)</f>
        <v>Sampling Feature External Identifiers</v>
      </c>
      <c r="C330" s="27">
        <f t="shared" si="11"/>
        <v>3</v>
      </c>
      <c r="D330" s="27"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Values'!R",ROW()-LengthHeader,"C2:R",ROW()-LengthHeader,"C",NumFileColumns+2),FALSE))," ],["))))</f>
        <v xml:space="preserve">  - {SamplingFeatureObj:  *SamplingFeatureID0008, ExternalIdentifierSystemObj:  *ExternalIdentifierSystemID0003, SamplingFeatureExternalIdentifier:  "AWER", SamplingFeatureExternalIdentifierURI:  "http://app.geosamples.org/sample/igsn/AWER"}</v>
      </c>
    </row>
    <row r="331" spans="1:4" x14ac:dyDescent="0.25">
      <c r="A331" s="27">
        <f t="shared" si="10"/>
        <v>16</v>
      </c>
      <c r="B331" s="27" t="str">
        <f>OFFSET('YODA Header Blocks'!$A$1,0,A331)</f>
        <v>Sites</v>
      </c>
      <c r="C331" s="27">
        <f t="shared" si="11"/>
        <v>1</v>
      </c>
      <c r="D331" s="27"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Values'!R",ROW()-LengthHeader,"C2:R",ROW()-LengthHeader,"C",NumFileColumns+2),FALSE))," ],["))))</f>
        <v>Sites:</v>
      </c>
    </row>
    <row r="332" spans="1:4" x14ac:dyDescent="0.25">
      <c r="A332" s="27">
        <f t="shared" si="10"/>
        <v>16</v>
      </c>
      <c r="B332" s="27" t="str">
        <f>OFFSET('YODA Header Blocks'!$A$1,0,A332)</f>
        <v>Sites</v>
      </c>
      <c r="C332" s="27">
        <f t="shared" si="11"/>
        <v>2</v>
      </c>
      <c r="D332" s="27"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Values'!R",ROW()-LengthHeader,"C2:R",ROW()-LengthHeader,"C",NumFileColumns+2),FALSE))," ],["))))</f>
        <v xml:space="preserve">  - {SamplingFeatureObj:  *SamplingFeatureID0001, SiteTypeCV:  "Stream", Latitude:  39.86347, Longitude:  -75.78473, SpatialReferenceObj:  *SRSID0001}</v>
      </c>
    </row>
    <row r="333" spans="1:4" x14ac:dyDescent="0.25">
      <c r="A333" s="27">
        <f t="shared" si="10"/>
        <v>16</v>
      </c>
      <c r="B333" s="27" t="str">
        <f>OFFSET('YODA Header Blocks'!$A$1,0,A333)</f>
        <v>Sites</v>
      </c>
      <c r="C333" s="27">
        <f t="shared" si="11"/>
        <v>3</v>
      </c>
      <c r="D333" s="27"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Values'!R",ROW()-LengthHeader,"C2:R",ROW()-LengthHeader,"C",NumFileColumns+2),FALSE))," ],["))))</f>
        <v xml:space="preserve">  - {SamplingFeatureObj:  *SamplingFeatureID0002, SiteTypeCV:  "Stream", Latitude:  39.86217, Longitude:  -75.77877, SpatialReferenceObj:  *SRSID0001}</v>
      </c>
    </row>
    <row r="334" spans="1:4" x14ac:dyDescent="0.25">
      <c r="A334" s="27">
        <f t="shared" si="10"/>
        <v>16</v>
      </c>
      <c r="B334" s="27" t="str">
        <f>OFFSET('YODA Header Blocks'!$A$1,0,A334)</f>
        <v>Sites</v>
      </c>
      <c r="C334" s="27">
        <f t="shared" si="11"/>
        <v>4</v>
      </c>
      <c r="D334" s="27"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Values'!R",ROW()-LengthHeader,"C2:R",ROW()-LengthHeader,"C",NumFileColumns+2),FALSE))," ],["))))</f>
        <v xml:space="preserve">  - {SamplingFeatureObj:  *SamplingFeatureID0003, SiteTypeCV:  "Stream", Latitude:  39.8615016666666, Longitude:  -75.78305, SpatialReferenceObj:  *SRSID0001}</v>
      </c>
    </row>
    <row r="335" spans="1:4" x14ac:dyDescent="0.25">
      <c r="A335" s="27">
        <f t="shared" si="10"/>
        <v>16</v>
      </c>
      <c r="B335" s="27" t="str">
        <f>OFFSET('YODA Header Blocks'!$A$1,0,A335)</f>
        <v>Sites</v>
      </c>
      <c r="C335" s="27">
        <f t="shared" si="11"/>
        <v>5</v>
      </c>
      <c r="D335" s="27"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Values'!R",ROW()-LengthHeader,"C2:R",ROW()-LengthHeader,"C",NumFileColumns+2),FALSE))," ],["))))</f>
        <v xml:space="preserve">  - {SamplingFeatureObj:  *SamplingFeatureID0004, SiteTypeCV:  "Stream", Latitude:  39.86066, Longitude:  -75.783855, SpatialReferenceObj:  *SRSID0001}</v>
      </c>
    </row>
    <row r="336" spans="1:4" x14ac:dyDescent="0.25">
      <c r="A336" s="27">
        <f t="shared" si="10"/>
        <v>16</v>
      </c>
      <c r="B336" s="27" t="str">
        <f>OFFSET('YODA Header Blocks'!$A$1,0,A336)</f>
        <v>Sites</v>
      </c>
      <c r="C336" s="27">
        <f t="shared" si="11"/>
        <v>6</v>
      </c>
      <c r="D336" s="27"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Values'!R",ROW()-LengthHeader,"C2:R",ROW()-LengthHeader,"C",NumFileColumns+2),FALSE))," ],["))))</f>
        <v xml:space="preserve">  - {SamplingFeatureObj:  *SamplingFeatureID0005, SiteTypeCV:  "Stream", Latitude:  39.864087, Longitude:  -75.785841, SpatialReferenceObj:  *SRSID0001}</v>
      </c>
    </row>
    <row r="337" spans="1:4" x14ac:dyDescent="0.25">
      <c r="A337" s="27">
        <f t="shared" si="10"/>
        <v>16</v>
      </c>
      <c r="B337" s="27" t="str">
        <f>OFFSET('YODA Header Blocks'!$A$1,0,A337)</f>
        <v>Sites</v>
      </c>
      <c r="C337" s="27">
        <f t="shared" si="11"/>
        <v>7</v>
      </c>
      <c r="D337" s="27"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Values'!R",ROW()-LengthHeader,"C2:R",ROW()-LengthHeader,"C",NumFileColumns+2),FALSE))," ],["))))</f>
        <v xml:space="preserve">  - {SamplingFeatureObj:  *SamplingFeatureID0006, SiteTypeCV:  "Stream", Latitude:  39.8594, Longitude:  -75.78381, SpatialReferenceObj:  *SRSID0001}</v>
      </c>
    </row>
    <row r="338" spans="1:4" x14ac:dyDescent="0.25">
      <c r="A338" s="27">
        <f t="shared" si="10"/>
        <v>16</v>
      </c>
      <c r="B338" s="27" t="str">
        <f>OFFSET('YODA Header Blocks'!$A$1,0,A338)</f>
        <v>Sites</v>
      </c>
      <c r="C338" s="27">
        <f t="shared" si="11"/>
        <v>8</v>
      </c>
      <c r="D338" s="27"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Values'!R",ROW()-LengthHeader,"C2:R",ROW()-LengthHeader,"C",NumFileColumns+2),FALSE))," ],["))))</f>
        <v xml:space="preserve">  - {SamplingFeatureObj:  *SamplingFeatureID0007, SiteTypeCV:  "Stream", Latitude:  39.855431, Longitude:  -75.783973, SpatialReferenceObj:  *SRSID0001}</v>
      </c>
    </row>
    <row r="339" spans="1:4" x14ac:dyDescent="0.25">
      <c r="A339" s="27">
        <f t="shared" si="10"/>
        <v>17</v>
      </c>
      <c r="B339" s="27" t="str">
        <f>OFFSET('YODA Header Blocks'!$A$1,0,A339)</f>
        <v>Specimens</v>
      </c>
      <c r="C339" s="27">
        <f t="shared" si="11"/>
        <v>1</v>
      </c>
      <c r="D339" s="27"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Values'!R",ROW()-LengthHeader,"C2:R",ROW()-LengthHeader,"C",NumFileColumns+2),FALSE))," ],["))))</f>
        <v>Specimens:</v>
      </c>
    </row>
    <row r="340" spans="1:4" x14ac:dyDescent="0.25">
      <c r="A340" s="27">
        <f t="shared" si="10"/>
        <v>17</v>
      </c>
      <c r="B340" s="27" t="str">
        <f>OFFSET('YODA Header Blocks'!$A$1,0,A340)</f>
        <v>Specimens</v>
      </c>
      <c r="C340" s="27">
        <f t="shared" si="11"/>
        <v>2</v>
      </c>
      <c r="D340" s="27"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Values'!R",ROW()-LengthHeader,"C2:R",ROW()-LengthHeader,"C",NumFileColumns+2),FALSE))," ],["))))</f>
        <v xml:space="preserve">  - {SamplingFeatureObj:  *SamplingFeatureID0008, SpecimenTypeCV:  "Core section", SpecimenMediumCV:  Mineral, IsFieldSpecimen:  "FALSE"}</v>
      </c>
    </row>
    <row r="341" spans="1:4" x14ac:dyDescent="0.25">
      <c r="A341" s="27">
        <f t="shared" si="10"/>
        <v>17</v>
      </c>
      <c r="B341" s="27" t="str">
        <f>OFFSET('YODA Header Blocks'!$A$1,0,A341)</f>
        <v>Specimens</v>
      </c>
      <c r="C341" s="27">
        <f t="shared" si="11"/>
        <v>3</v>
      </c>
      <c r="D341" s="27"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Values'!R",ROW()-LengthHeader,"C2:R",ROW()-LengthHeader,"C",NumFileColumns+2),FALSE))," ],["))))</f>
        <v xml:space="preserve">  - {SamplingFeatureObj:  *SamplingFeatureID0009, SpecimenTypeCV:  "Grab", SpecimenMediumCV:  "1327.533422", IsFieldSpecimen:  "TRUE"}</v>
      </c>
    </row>
    <row r="342" spans="1:4" x14ac:dyDescent="0.25">
      <c r="A342" s="27">
        <f t="shared" si="10"/>
        <v>17</v>
      </c>
      <c r="B342" s="27" t="str">
        <f>OFFSET('YODA Header Blocks'!$A$1,0,A342)</f>
        <v>Specimens</v>
      </c>
      <c r="C342" s="27">
        <f t="shared" si="11"/>
        <v>4</v>
      </c>
      <c r="D342" s="27"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Values'!R",ROW()-LengthHeader,"C2:R",ROW()-LengthHeader,"C",NumFileColumns+2),FALSE))," ],["))))</f>
        <v xml:space="preserve">  - {SamplingFeatureObj:  *SamplingFeatureID0010, SpecimenTypeCV:  "Grab", SpecimenMediumCV:  "PLEASE PUT A SPECIMEN MEDIUM IN ROW 3", IsFieldSpecimen:  "TRUE"}</v>
      </c>
    </row>
    <row r="343" spans="1:4" x14ac:dyDescent="0.25">
      <c r="A343" s="27">
        <f t="shared" si="10"/>
        <v>17</v>
      </c>
      <c r="B343" s="27" t="str">
        <f>OFFSET('YODA Header Blocks'!$A$1,0,A343)</f>
        <v>Specimens</v>
      </c>
      <c r="C343" s="27">
        <f t="shared" si="11"/>
        <v>5</v>
      </c>
      <c r="D343" s="27"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Values'!R",ROW()-LengthHeader,"C2:R",ROW()-LengthHeader,"C",NumFileColumns+2),FALSE))," ],["))))</f>
        <v xml:space="preserve">  - {SamplingFeatureObj:  *SamplingFeatureID0011, SpecimenTypeCV:  "Grab", SpecimenMediumCV:  "PLEASE PUT A SPECIMEN MEDIUM IN ROW 4", IsFieldSpecimen:  "TRUE"}</v>
      </c>
    </row>
    <row r="344" spans="1:4" x14ac:dyDescent="0.25">
      <c r="A344" s="27">
        <f t="shared" si="10"/>
        <v>17</v>
      </c>
      <c r="B344" s="27" t="str">
        <f>OFFSET('YODA Header Blocks'!$A$1,0,A344)</f>
        <v>Specimens</v>
      </c>
      <c r="C344" s="27">
        <f t="shared" si="11"/>
        <v>6</v>
      </c>
      <c r="D344" s="27"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Values'!R",ROW()-LengthHeader,"C2:R",ROW()-LengthHeader,"C",NumFileColumns+2),FALSE))," ],["))))</f>
        <v xml:space="preserve">  - {SamplingFeatureObj:  *SamplingFeatureID0012, SpecimenTypeCV:  "Grab", SpecimenMediumCV:  "570.7267648", IsFieldSpecimen:  "TRUE"}</v>
      </c>
    </row>
    <row r="345" spans="1:4" x14ac:dyDescent="0.25">
      <c r="A345" s="27">
        <f t="shared" si="10"/>
        <v>17</v>
      </c>
      <c r="B345" s="27" t="str">
        <f>OFFSET('YODA Header Blocks'!$A$1,0,A345)</f>
        <v>Specimens</v>
      </c>
      <c r="C345" s="27">
        <f t="shared" si="11"/>
        <v>7</v>
      </c>
      <c r="D345" s="27"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Values'!R",ROW()-LengthHeader,"C2:R",ROW()-LengthHeader,"C",NumFileColumns+2),FALSE))," ],["))))</f>
        <v xml:space="preserve">  - {SamplingFeatureObj:  *SamplingFeatureID0013, SpecimenTypeCV:  "Grab", SpecimenMediumCV:  "PLEASE PUT A SPECIMEN MEDIUM IN ROW 6", IsFieldSpecimen:  "TRUE"}</v>
      </c>
    </row>
    <row r="346" spans="1:4" x14ac:dyDescent="0.25">
      <c r="A346" s="27">
        <f t="shared" si="10"/>
        <v>17</v>
      </c>
      <c r="B346" s="27" t="str">
        <f>OFFSET('YODA Header Blocks'!$A$1,0,A346)</f>
        <v>Specimens</v>
      </c>
      <c r="C346" s="27">
        <f t="shared" si="11"/>
        <v>8</v>
      </c>
      <c r="D346" s="27"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Values'!R",ROW()-LengthHeader,"C2:R",ROW()-LengthHeader,"C",NumFileColumns+2),FALSE))," ],["))))</f>
        <v xml:space="preserve">  - {SamplingFeatureObj:  *SamplingFeatureID0014, SpecimenTypeCV:  "Grab", SpecimenMediumCV:  "PLEASE PUT A SPECIMEN MEDIUM IN ROW 7", IsFieldSpecimen:  "TRUE"}</v>
      </c>
    </row>
    <row r="347" spans="1:4" x14ac:dyDescent="0.25">
      <c r="A347" s="27">
        <f t="shared" si="10"/>
        <v>17</v>
      </c>
      <c r="B347" s="27" t="str">
        <f>OFFSET('YODA Header Blocks'!$A$1,0,A347)</f>
        <v>Specimens</v>
      </c>
      <c r="C347" s="27">
        <f t="shared" si="11"/>
        <v>9</v>
      </c>
      <c r="D347" s="27"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Values'!R",ROW()-LengthHeader,"C2:R",ROW()-LengthHeader,"C",NumFileColumns+2),FALSE))," ],["))))</f>
        <v xml:space="preserve">  - {SamplingFeatureObj:  *SamplingFeatureID0015, SpecimenTypeCV:  "Automated", SpecimenMediumCV:  "1048.060799", IsFieldSpecimen:  "TRUE"}</v>
      </c>
    </row>
    <row r="348" spans="1:4" x14ac:dyDescent="0.25">
      <c r="A348" s="27">
        <f t="shared" si="10"/>
        <v>17</v>
      </c>
      <c r="B348" s="27" t="str">
        <f>OFFSET('YODA Header Blocks'!$A$1,0,A348)</f>
        <v>Specimens</v>
      </c>
      <c r="C348" s="27">
        <f t="shared" si="11"/>
        <v>10</v>
      </c>
      <c r="D348" s="27"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Values'!R",ROW()-LengthHeader,"C2:R",ROW()-LengthHeader,"C",NumFileColumns+2),FALSE))," ],["))))</f>
        <v xml:space="preserve">  - {SamplingFeatureObj:  *SamplingFeatureID0016, SpecimenTypeCV:  "Automated", SpecimenMediumCV:  "876.4265676", IsFieldSpecimen:  "TRUE"}</v>
      </c>
    </row>
    <row r="349" spans="1:4" x14ac:dyDescent="0.25">
      <c r="A349" s="27">
        <f t="shared" si="10"/>
        <v>17</v>
      </c>
      <c r="B349" s="27" t="str">
        <f>OFFSET('YODA Header Blocks'!$A$1,0,A349)</f>
        <v>Specimens</v>
      </c>
      <c r="C349" s="27">
        <f t="shared" si="11"/>
        <v>11</v>
      </c>
      <c r="D349" s="27"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Values'!R",ROW()-LengthHeader,"C2:R",ROW()-LengthHeader,"C",NumFileColumns+2),FALSE))," ],["))))</f>
        <v xml:space="preserve">  - {SamplingFeatureObj:  *SamplingFeatureID0017, SpecimenTypeCV:  "Automated", SpecimenMediumCV:  "662.4052443", IsFieldSpecimen:  "TRUE"}</v>
      </c>
    </row>
    <row r="350" spans="1:4" x14ac:dyDescent="0.25">
      <c r="A350" s="27">
        <f t="shared" si="10"/>
        <v>17</v>
      </c>
      <c r="B350" s="27" t="str">
        <f>OFFSET('YODA Header Blocks'!$A$1,0,A350)</f>
        <v>Specimens</v>
      </c>
      <c r="C350" s="27">
        <f t="shared" si="11"/>
        <v>12</v>
      </c>
      <c r="D350" s="27"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Values'!R",ROW()-LengthHeader,"C2:R",ROW()-LengthHeader,"C",NumFileColumns+2),FALSE))," ],["))))</f>
        <v xml:space="preserve">  - {SamplingFeatureObj:  *SamplingFeatureID0018, SpecimenTypeCV:  "Automated", SpecimenMediumCV:  "557.0374162", IsFieldSpecimen:  "TRUE"}</v>
      </c>
    </row>
    <row r="351" spans="1:4" x14ac:dyDescent="0.25">
      <c r="A351" s="27">
        <f t="shared" si="10"/>
        <v>17</v>
      </c>
      <c r="B351" s="27" t="str">
        <f>OFFSET('YODA Header Blocks'!$A$1,0,A351)</f>
        <v>Specimens</v>
      </c>
      <c r="C351" s="27">
        <f t="shared" si="11"/>
        <v>13</v>
      </c>
      <c r="D351" s="27"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Values'!R",ROW()-LengthHeader,"C2:R",ROW()-LengthHeader,"C",NumFileColumns+2),FALSE))," ],["))))</f>
        <v xml:space="preserve">  - {SamplingFeatureObj:  *SamplingFeatureID0019, SpecimenTypeCV:  "Automated", SpecimenMediumCV:  "511.9874337", IsFieldSpecimen:  "TRUE"}</v>
      </c>
    </row>
    <row r="352" spans="1:4" x14ac:dyDescent="0.25">
      <c r="A352" s="27">
        <f t="shared" si="10"/>
        <v>17</v>
      </c>
      <c r="B352" s="27" t="str">
        <f>OFFSET('YODA Header Blocks'!$A$1,0,A352)</f>
        <v>Specimens</v>
      </c>
      <c r="C352" s="27">
        <f t="shared" si="11"/>
        <v>14</v>
      </c>
      <c r="D352" s="27"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Values'!R",ROW()-LengthHeader,"C2:R",ROW()-LengthHeader,"C",NumFileColumns+2),FALSE))," ],["))))</f>
        <v xml:space="preserve">  - {SamplingFeatureObj:  *SamplingFeatureID0020, SpecimenTypeCV:  "Automated", SpecimenMediumCV:  "502.0246935", IsFieldSpecimen:  "TRUE"}</v>
      </c>
    </row>
    <row r="353" spans="1:4" x14ac:dyDescent="0.25">
      <c r="A353" s="27">
        <f t="shared" si="10"/>
        <v>17</v>
      </c>
      <c r="B353" s="27" t="str">
        <f>OFFSET('YODA Header Blocks'!$A$1,0,A353)</f>
        <v>Specimens</v>
      </c>
      <c r="C353" s="27">
        <f t="shared" si="11"/>
        <v>15</v>
      </c>
      <c r="D353" s="27"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Values'!R",ROW()-LengthHeader,"C2:R",ROW()-LengthHeader,"C",NumFileColumns+2),FALSE))," ],["))))</f>
        <v xml:space="preserve">  - {SamplingFeatureObj:  *SamplingFeatureID0021, SpecimenTypeCV:  "Automated", SpecimenMediumCV:  "548.4328977", IsFieldSpecimen:  "TRUE"}</v>
      </c>
    </row>
    <row r="354" spans="1:4" x14ac:dyDescent="0.25">
      <c r="A354" s="27">
        <f t="shared" si="10"/>
        <v>17</v>
      </c>
      <c r="B354" s="27" t="str">
        <f>OFFSET('YODA Header Blocks'!$A$1,0,A354)</f>
        <v>Specimens</v>
      </c>
      <c r="C354" s="27">
        <f t="shared" si="11"/>
        <v>16</v>
      </c>
      <c r="D354" s="27"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Values'!R",ROW()-LengthHeader,"C2:R",ROW()-LengthHeader,"C",NumFileColumns+2),FALSE))," ],["))))</f>
        <v xml:space="preserve">  - {SamplingFeatureObj:  *SamplingFeatureID0022, SpecimenTypeCV:  "Automated", SpecimenMediumCV:  "586.1183522", IsFieldSpecimen:  "TRUE"}</v>
      </c>
    </row>
    <row r="355" spans="1:4" x14ac:dyDescent="0.25">
      <c r="A355" s="27">
        <f t="shared" si="10"/>
        <v>17</v>
      </c>
      <c r="B355" s="27" t="str">
        <f>OFFSET('YODA Header Blocks'!$A$1,0,A355)</f>
        <v>Specimens</v>
      </c>
      <c r="C355" s="27">
        <f t="shared" si="11"/>
        <v>17</v>
      </c>
      <c r="D355" s="27"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Values'!R",ROW()-LengthHeader,"C2:R",ROW()-LengthHeader,"C",NumFileColumns+2),FALSE))," ],["))))</f>
        <v xml:space="preserve">  - {SamplingFeatureObj:  *SamplingFeatureID0023, SpecimenTypeCV:  "Automated", SpecimenMediumCV:  "813.3572851", IsFieldSpecimen:  "TRUE"}</v>
      </c>
    </row>
    <row r="356" spans="1:4" x14ac:dyDescent="0.25">
      <c r="A356" s="27">
        <f t="shared" si="10"/>
        <v>17</v>
      </c>
      <c r="B356" s="27" t="str">
        <f>OFFSET('YODA Header Blocks'!$A$1,0,A356)</f>
        <v>Specimens</v>
      </c>
      <c r="C356" s="27">
        <f t="shared" si="11"/>
        <v>18</v>
      </c>
      <c r="D356" s="27"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Values'!R",ROW()-LengthHeader,"C2:R",ROW()-LengthHeader,"C",NumFileColumns+2),FALSE))," ],["))))</f>
        <v xml:space="preserve">  - {SamplingFeatureObj:  *SamplingFeatureID0024, SpecimenTypeCV:  "Automated", SpecimenMediumCV:  "983.3986094", IsFieldSpecimen:  "TRUE"}</v>
      </c>
    </row>
    <row r="357" spans="1:4" x14ac:dyDescent="0.25">
      <c r="A357" s="27">
        <f t="shared" si="10"/>
        <v>17</v>
      </c>
      <c r="B357" s="27" t="str">
        <f>OFFSET('YODA Header Blocks'!$A$1,0,A357)</f>
        <v>Specimens</v>
      </c>
      <c r="C357" s="27">
        <f t="shared" si="11"/>
        <v>19</v>
      </c>
      <c r="D357" s="27"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Values'!R",ROW()-LengthHeader,"C2:R",ROW()-LengthHeader,"C",NumFileColumns+2),FALSE))," ],["))))</f>
        <v xml:space="preserve">  - {SamplingFeatureObj:  *SamplingFeatureID0025, SpecimenTypeCV:  "Grab", SpecimenMediumCV:  "1242.057823", IsFieldSpecimen:  "TRUE"}</v>
      </c>
    </row>
    <row r="358" spans="1:4" x14ac:dyDescent="0.25">
      <c r="A358" s="27">
        <f t="shared" si="10"/>
        <v>17</v>
      </c>
      <c r="B358" s="27" t="str">
        <f>OFFSET('YODA Header Blocks'!$A$1,0,A358)</f>
        <v>Specimens</v>
      </c>
      <c r="C358" s="27">
        <f t="shared" si="11"/>
        <v>20</v>
      </c>
      <c r="D358" s="27"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Values'!R",ROW()-LengthHeader,"C2:R",ROW()-LengthHeader,"C",NumFileColumns+2),FALSE))," ],["))))</f>
        <v xml:space="preserve">  - {SamplingFeatureObj:  *SamplingFeatureID0026, SpecimenTypeCV:  "Automated", SpecimenMediumCV:  "PLEASE PUT A SPECIMEN MEDIUM IN ROW 19", IsFieldSpecimen:  "TRUE"}</v>
      </c>
    </row>
    <row r="359" spans="1:4" x14ac:dyDescent="0.25">
      <c r="A359" s="27">
        <f t="shared" si="10"/>
        <v>17</v>
      </c>
      <c r="B359" s="27" t="str">
        <f>OFFSET('YODA Header Blocks'!$A$1,0,A359)</f>
        <v>Specimens</v>
      </c>
      <c r="C359" s="27">
        <f t="shared" si="11"/>
        <v>21</v>
      </c>
      <c r="D359" s="27"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Values'!R",ROW()-LengthHeader,"C2:R",ROW()-LengthHeader,"C",NumFileColumns+2),FALSE))," ],["))))</f>
        <v xml:space="preserve">  - {SamplingFeatureObj:  *SamplingFeatureID0027, SpecimenTypeCV:  "Automated", SpecimenMediumCV:  "PLEASE PUT A SPECIMEN MEDIUM IN ROW 20", IsFieldSpecimen:  "TRUE"}</v>
      </c>
    </row>
    <row r="360" spans="1:4" x14ac:dyDescent="0.25">
      <c r="A360" s="27">
        <f t="shared" si="10"/>
        <v>17</v>
      </c>
      <c r="B360" s="27" t="str">
        <f>OFFSET('YODA Header Blocks'!$A$1,0,A360)</f>
        <v>Specimens</v>
      </c>
      <c r="C360" s="27">
        <f t="shared" si="11"/>
        <v>22</v>
      </c>
      <c r="D360" s="27"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Values'!R",ROW()-LengthHeader,"C2:R",ROW()-LengthHeader,"C",NumFileColumns+2),FALSE))," ],["))))</f>
        <v xml:space="preserve">  - {SamplingFeatureObj:  *SamplingFeatureID0028, SpecimenTypeCV:  "Automated", SpecimenMediumCV:  "PLEASE PUT A SPECIMEN MEDIUM IN ROW 21", IsFieldSpecimen:  "TRUE"}</v>
      </c>
    </row>
    <row r="361" spans="1:4" x14ac:dyDescent="0.25">
      <c r="A361" s="27">
        <f t="shared" si="10"/>
        <v>17</v>
      </c>
      <c r="B361" s="27" t="str">
        <f>OFFSET('YODA Header Blocks'!$A$1,0,A361)</f>
        <v>Specimens</v>
      </c>
      <c r="C361" s="27">
        <f t="shared" si="11"/>
        <v>23</v>
      </c>
      <c r="D361" s="27"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Values'!R",ROW()-LengthHeader,"C2:R",ROW()-LengthHeader,"C",NumFileColumns+2),FALSE))," ],["))))</f>
        <v xml:space="preserve">  - {SamplingFeatureObj:  *SamplingFeatureID0029, SpecimenTypeCV:  "Automated", SpecimenMediumCV:  "PLEASE PUT A SPECIMEN MEDIUM IN ROW 22", IsFieldSpecimen:  "TRUE"}</v>
      </c>
    </row>
    <row r="362" spans="1:4" x14ac:dyDescent="0.25">
      <c r="A362" s="27">
        <f t="shared" si="10"/>
        <v>17</v>
      </c>
      <c r="B362" s="27" t="str">
        <f>OFFSET('YODA Header Blocks'!$A$1,0,A362)</f>
        <v>Specimens</v>
      </c>
      <c r="C362" s="27">
        <f t="shared" si="11"/>
        <v>24</v>
      </c>
      <c r="D362" s="27"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Values'!R",ROW()-LengthHeader,"C2:R",ROW()-LengthHeader,"C",NumFileColumns+2),FALSE))," ],["))))</f>
        <v xml:space="preserve">  - {SamplingFeatureObj:  *SamplingFeatureID0030, SpecimenTypeCV:  "Automated", SpecimenMediumCV:  "PLEASE PUT A SPECIMEN MEDIUM IN ROW 23", IsFieldSpecimen:  "TRUE"}</v>
      </c>
    </row>
    <row r="363" spans="1:4" x14ac:dyDescent="0.25">
      <c r="A363" s="27">
        <f t="shared" si="10"/>
        <v>17</v>
      </c>
      <c r="B363" s="27" t="str">
        <f>OFFSET('YODA Header Blocks'!$A$1,0,A363)</f>
        <v>Specimens</v>
      </c>
      <c r="C363" s="27">
        <f t="shared" si="11"/>
        <v>25</v>
      </c>
      <c r="D363" s="27"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Values'!R",ROW()-LengthHeader,"C2:R",ROW()-LengthHeader,"C",NumFileColumns+2),FALSE))," ],["))))</f>
        <v xml:space="preserve">  - {SamplingFeatureObj:  *SamplingFeatureID0031, SpecimenTypeCV:  "Automated", SpecimenMediumCV:  "PLEASE PUT A SPECIMEN MEDIUM IN ROW 24", IsFieldSpecimen:  "TRUE"}</v>
      </c>
    </row>
    <row r="364" spans="1:4" x14ac:dyDescent="0.25">
      <c r="A364" s="27">
        <f t="shared" si="10"/>
        <v>17</v>
      </c>
      <c r="B364" s="27" t="str">
        <f>OFFSET('YODA Header Blocks'!$A$1,0,A364)</f>
        <v>Specimens</v>
      </c>
      <c r="C364" s="27">
        <f t="shared" si="11"/>
        <v>26</v>
      </c>
      <c r="D364" s="27"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Values'!R",ROW()-LengthHeader,"C2:R",ROW()-LengthHeader,"C",NumFileColumns+2),FALSE))," ],["))))</f>
        <v xml:space="preserve">  - {SamplingFeatureObj:  *SamplingFeatureID0032, SpecimenTypeCV:  "Automated", SpecimenMediumCV:  "PLEASE PUT A SPECIMEN MEDIUM IN ROW 25", IsFieldSpecimen:  "TRUE"}</v>
      </c>
    </row>
    <row r="365" spans="1:4" x14ac:dyDescent="0.25">
      <c r="A365" s="27">
        <f t="shared" si="10"/>
        <v>17</v>
      </c>
      <c r="B365" s="27" t="str">
        <f>OFFSET('YODA Header Blocks'!$A$1,0,A365)</f>
        <v>Specimens</v>
      </c>
      <c r="C365" s="27">
        <f t="shared" si="11"/>
        <v>27</v>
      </c>
      <c r="D365" s="27"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Values'!R",ROW()-LengthHeader,"C2:R",ROW()-LengthHeader,"C",NumFileColumns+2),FALSE))," ],["))))</f>
        <v xml:space="preserve">  - {SamplingFeatureObj:  *SamplingFeatureID0033, SpecimenTypeCV:  "Automated", SpecimenMediumCV:  "PLEASE PUT A SPECIMEN MEDIUM IN ROW 26", IsFieldSpecimen:  "TRUE"}</v>
      </c>
    </row>
    <row r="366" spans="1:4" x14ac:dyDescent="0.25">
      <c r="A366" s="27">
        <f t="shared" si="10"/>
        <v>17</v>
      </c>
      <c r="B366" s="27" t="str">
        <f>OFFSET('YODA Header Blocks'!$A$1,0,A366)</f>
        <v>Specimens</v>
      </c>
      <c r="C366" s="27">
        <f t="shared" si="11"/>
        <v>28</v>
      </c>
      <c r="D366" s="27"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Values'!R",ROW()-LengthHeader,"C2:R",ROW()-LengthHeader,"C",NumFileColumns+2),FALSE))," ],["))))</f>
        <v xml:space="preserve">  - {SamplingFeatureObj:  *SamplingFeatureID0034, SpecimenTypeCV:  "Automated", SpecimenMediumCV:  "PLEASE PUT A SPECIMEN MEDIUM IN ROW 27", IsFieldSpecimen:  "TRUE"}</v>
      </c>
    </row>
    <row r="367" spans="1:4" x14ac:dyDescent="0.25">
      <c r="A367" s="27">
        <f t="shared" si="10"/>
        <v>17</v>
      </c>
      <c r="B367" s="27" t="str">
        <f>OFFSET('YODA Header Blocks'!$A$1,0,A367)</f>
        <v>Specimens</v>
      </c>
      <c r="C367" s="27">
        <f t="shared" si="11"/>
        <v>29</v>
      </c>
      <c r="D367" s="27"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Values'!R",ROW()-LengthHeader,"C2:R",ROW()-LengthHeader,"C",NumFileColumns+2),FALSE))," ],["))))</f>
        <v xml:space="preserve">  - {SamplingFeatureObj:  *SamplingFeatureID0035, SpecimenTypeCV:  "Automated", SpecimenMediumCV:  "PLEASE PUT A SPECIMEN MEDIUM IN ROW 28", IsFieldSpecimen:  "TRUE"}</v>
      </c>
    </row>
    <row r="368" spans="1:4" x14ac:dyDescent="0.25">
      <c r="A368" s="27">
        <f t="shared" si="10"/>
        <v>17</v>
      </c>
      <c r="B368" s="27" t="str">
        <f>OFFSET('YODA Header Blocks'!$A$1,0,A368)</f>
        <v>Specimens</v>
      </c>
      <c r="C368" s="27">
        <f t="shared" si="11"/>
        <v>30</v>
      </c>
      <c r="D368" s="27"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Values'!R",ROW()-LengthHeader,"C2:R",ROW()-LengthHeader,"C",NumFileColumns+2),FALSE))," ],["))))</f>
        <v xml:space="preserve">  - {SamplingFeatureObj:  *SamplingFeatureID0036, SpecimenTypeCV:  "Automated", SpecimenMediumCV:  "PLEASE PUT A SPECIMEN MEDIUM IN ROW 29", IsFieldSpecimen:  "TRUE"}</v>
      </c>
    </row>
    <row r="369" spans="1:4" x14ac:dyDescent="0.25">
      <c r="A369" s="27">
        <f t="shared" si="10"/>
        <v>17</v>
      </c>
      <c r="B369" s="27" t="str">
        <f>OFFSET('YODA Header Blocks'!$A$1,0,A369)</f>
        <v>Specimens</v>
      </c>
      <c r="C369" s="27">
        <f t="shared" si="11"/>
        <v>31</v>
      </c>
      <c r="D369" s="27"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Values'!R",ROW()-LengthHeader,"C2:R",ROW()-LengthHeader,"C",NumFileColumns+2),FALSE))," ],["))))</f>
        <v xml:space="preserve">  - {SamplingFeatureObj:  *SamplingFeatureID0037, SpecimenTypeCV:  "Automated", SpecimenMediumCV:  "PLEASE PUT A SPECIMEN MEDIUM IN ROW 30", IsFieldSpecimen:  "TRUE"}</v>
      </c>
    </row>
    <row r="370" spans="1:4" x14ac:dyDescent="0.25">
      <c r="A370" s="27">
        <f t="shared" si="10"/>
        <v>17</v>
      </c>
      <c r="B370" s="27" t="str">
        <f>OFFSET('YODA Header Blocks'!$A$1,0,A370)</f>
        <v>Specimens</v>
      </c>
      <c r="C370" s="27">
        <f t="shared" si="11"/>
        <v>32</v>
      </c>
      <c r="D370" s="27"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Values'!R",ROW()-LengthHeader,"C2:R",ROW()-LengthHeader,"C",NumFileColumns+2),FALSE))," ],["))))</f>
        <v xml:space="preserve">  - {SamplingFeatureObj:  *SamplingFeatureID0038, SpecimenTypeCV:  "Grab", SpecimenMediumCV:  "PLEASE PUT A SPECIMEN MEDIUM IN ROW 31", IsFieldSpecimen:  "TRUE"}</v>
      </c>
    </row>
    <row r="371" spans="1:4" x14ac:dyDescent="0.25">
      <c r="A371" s="27">
        <f t="shared" si="10"/>
        <v>17</v>
      </c>
      <c r="B371" s="27" t="str">
        <f>OFFSET('YODA Header Blocks'!$A$1,0,A371)</f>
        <v>Specimens</v>
      </c>
      <c r="C371" s="27">
        <f t="shared" si="11"/>
        <v>33</v>
      </c>
      <c r="D371" s="27"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Values'!R",ROW()-LengthHeader,"C2:R",ROW()-LengthHeader,"C",NumFileColumns+2),FALSE))," ],["))))</f>
        <v xml:space="preserve">  - {SamplingFeatureObj:  *SamplingFeatureID0039, SpecimenTypeCV:  "Grab", SpecimenMediumCV:  "PLEASE PUT A SPECIMEN MEDIUM IN ROW 32", IsFieldSpecimen:  "TRUE"}</v>
      </c>
    </row>
    <row r="372" spans="1:4" x14ac:dyDescent="0.25">
      <c r="A372" s="27">
        <f t="shared" si="10"/>
        <v>17</v>
      </c>
      <c r="B372" s="27" t="str">
        <f>OFFSET('YODA Header Blocks'!$A$1,0,A372)</f>
        <v>Specimens</v>
      </c>
      <c r="C372" s="27">
        <f t="shared" si="11"/>
        <v>34</v>
      </c>
      <c r="D372" s="27"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Values'!R",ROW()-LengthHeader,"C2:R",ROW()-LengthHeader,"C",NumFileColumns+2),FALSE))," ],["))))</f>
        <v xml:space="preserve">  - {SamplingFeatureObj:  *SamplingFeatureID0040, SpecimenTypeCV:  "Grab", SpecimenMediumCV:  "1208.046491", IsFieldSpecimen:  "TRUE"}</v>
      </c>
    </row>
    <row r="373" spans="1:4" x14ac:dyDescent="0.25">
      <c r="A373" s="27">
        <f t="shared" si="10"/>
        <v>17</v>
      </c>
      <c r="B373" s="27" t="str">
        <f>OFFSET('YODA Header Blocks'!$A$1,0,A373)</f>
        <v>Specimens</v>
      </c>
      <c r="C373" s="27">
        <f t="shared" si="11"/>
        <v>35</v>
      </c>
      <c r="D373" s="27"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Values'!R",ROW()-LengthHeader,"C2:R",ROW()-LengthHeader,"C",NumFileColumns+2),FALSE))," ],["))))</f>
        <v xml:space="preserve">  - {SamplingFeatureObj:  *SamplingFeatureID0041, SpecimenTypeCV:  "Grab", SpecimenMediumCV:  "PLEASE PUT A SPECIMEN MEDIUM IN ROW 34", IsFieldSpecimen:  "TRUE"}</v>
      </c>
    </row>
    <row r="374" spans="1:4" x14ac:dyDescent="0.25">
      <c r="A374" s="27">
        <f t="shared" si="10"/>
        <v>17</v>
      </c>
      <c r="B374" s="27" t="str">
        <f>OFFSET('YODA Header Blocks'!$A$1,0,A374)</f>
        <v>Specimens</v>
      </c>
      <c r="C374" s="27">
        <f t="shared" si="11"/>
        <v>36</v>
      </c>
      <c r="D374" s="27"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Values'!R",ROW()-LengthHeader,"C2:R",ROW()-LengthHeader,"C",NumFileColumns+2),FALSE))," ],["))))</f>
        <v xml:space="preserve">  - {SamplingFeatureObj:  *SamplingFeatureID0042, SpecimenTypeCV:  "Grab", SpecimenMediumCV:  "PLEASE PUT A SPECIMEN MEDIUM IN ROW 35", IsFieldSpecimen:  "TRUE"}</v>
      </c>
    </row>
    <row r="375" spans="1:4" x14ac:dyDescent="0.25">
      <c r="A375" s="27">
        <f t="shared" si="10"/>
        <v>17</v>
      </c>
      <c r="B375" s="27" t="str">
        <f>OFFSET('YODA Header Blocks'!$A$1,0,A375)</f>
        <v>Specimens</v>
      </c>
      <c r="C375" s="27">
        <f t="shared" si="11"/>
        <v>37</v>
      </c>
      <c r="D375" s="27"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Values'!R",ROW()-LengthHeader,"C2:R",ROW()-LengthHeader,"C",NumFileColumns+2),FALSE))," ],["))))</f>
        <v xml:space="preserve">  - {SamplingFeatureObj:  *SamplingFeatureID0043, SpecimenTypeCV:  "Automated", SpecimenMediumCV:  "PLEASE PUT A SPECIMEN MEDIUM IN ROW 36", IsFieldSpecimen:  "TRUE"}</v>
      </c>
    </row>
    <row r="376" spans="1:4" x14ac:dyDescent="0.25">
      <c r="A376" s="27">
        <f t="shared" si="10"/>
        <v>17</v>
      </c>
      <c r="B376" s="27" t="str">
        <f>OFFSET('YODA Header Blocks'!$A$1,0,A376)</f>
        <v>Specimens</v>
      </c>
      <c r="C376" s="27">
        <f t="shared" si="11"/>
        <v>38</v>
      </c>
      <c r="D376" s="27"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Values'!R",ROW()-LengthHeader,"C2:R",ROW()-LengthHeader,"C",NumFileColumns+2),FALSE))," ],["))))</f>
        <v xml:space="preserve">  - {SamplingFeatureObj:  *SamplingFeatureID0044, SpecimenTypeCV:  "Automated", SpecimenMediumCV:  "PLEASE PUT A SPECIMEN MEDIUM IN ROW 37", IsFieldSpecimen:  "TRUE"}</v>
      </c>
    </row>
    <row r="377" spans="1:4" x14ac:dyDescent="0.25">
      <c r="A377" s="27">
        <f t="shared" si="10"/>
        <v>17</v>
      </c>
      <c r="B377" s="27" t="str">
        <f>OFFSET('YODA Header Blocks'!$A$1,0,A377)</f>
        <v>Specimens</v>
      </c>
      <c r="C377" s="27">
        <f t="shared" si="11"/>
        <v>39</v>
      </c>
      <c r="D377" s="27"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Values'!R",ROW()-LengthHeader,"C2:R",ROW()-LengthHeader,"C",NumFileColumns+2),FALSE))," ],["))))</f>
        <v xml:space="preserve">  - {SamplingFeatureObj:  *SamplingFeatureID0045, SpecimenTypeCV:  "Automated", SpecimenMediumCV:  "PLEASE PUT A SPECIMEN MEDIUM IN ROW 38", IsFieldSpecimen:  "TRUE"}</v>
      </c>
    </row>
    <row r="378" spans="1:4" x14ac:dyDescent="0.25">
      <c r="A378" s="27">
        <f t="shared" si="10"/>
        <v>17</v>
      </c>
      <c r="B378" s="27" t="str">
        <f>OFFSET('YODA Header Blocks'!$A$1,0,A378)</f>
        <v>Specimens</v>
      </c>
      <c r="C378" s="27">
        <f t="shared" si="11"/>
        <v>40</v>
      </c>
      <c r="D378" s="27"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Values'!R",ROW()-LengthHeader,"C2:R",ROW()-LengthHeader,"C",NumFileColumns+2),FALSE))," ],["))))</f>
        <v xml:space="preserve">  - {SamplingFeatureObj:  *SamplingFeatureID0046, SpecimenTypeCV:  "Automated", SpecimenMediumCV:  "1073.61656", IsFieldSpecimen:  "TRUE"}</v>
      </c>
    </row>
    <row r="379" spans="1:4" x14ac:dyDescent="0.25">
      <c r="A379" s="27">
        <f t="shared" si="10"/>
        <v>17</v>
      </c>
      <c r="B379" s="27" t="str">
        <f>OFFSET('YODA Header Blocks'!$A$1,0,A379)</f>
        <v>Specimens</v>
      </c>
      <c r="C379" s="27">
        <f t="shared" si="11"/>
        <v>41</v>
      </c>
      <c r="D379" s="27"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Values'!R",ROW()-LengthHeader,"C2:R",ROW()-LengthHeader,"C",NumFileColumns+2),FALSE))," ],["))))</f>
        <v xml:space="preserve">  - {SamplingFeatureObj:  *SamplingFeatureID0047, SpecimenTypeCV:  "Automated", SpecimenMediumCV:  "784.6809348", IsFieldSpecimen:  "TRUE"}</v>
      </c>
    </row>
    <row r="380" spans="1:4" x14ac:dyDescent="0.25">
      <c r="A380" s="27">
        <f t="shared" si="10"/>
        <v>17</v>
      </c>
      <c r="B380" s="27" t="str">
        <f>OFFSET('YODA Header Blocks'!$A$1,0,A380)</f>
        <v>Specimens</v>
      </c>
      <c r="C380" s="27">
        <f t="shared" si="11"/>
        <v>42</v>
      </c>
      <c r="D380" s="27"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Values'!R",ROW()-LengthHeader,"C2:R",ROW()-LengthHeader,"C",NumFileColumns+2),FALSE))," ],["))))</f>
        <v xml:space="preserve">  - {SamplingFeatureObj:  *SamplingFeatureID0048, SpecimenTypeCV:  "Automated", SpecimenMediumCV:  "634.0302408", IsFieldSpecimen:  "TRUE"}</v>
      </c>
    </row>
    <row r="381" spans="1:4" x14ac:dyDescent="0.25">
      <c r="A381" s="27">
        <f t="shared" si="10"/>
        <v>17</v>
      </c>
      <c r="B381" s="27" t="str">
        <f>OFFSET('YODA Header Blocks'!$A$1,0,A381)</f>
        <v>Specimens</v>
      </c>
      <c r="C381" s="27">
        <f t="shared" si="11"/>
        <v>43</v>
      </c>
      <c r="D381" s="27"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Values'!R",ROW()-LengthHeader,"C2:R",ROW()-LengthHeader,"C",NumFileColumns+2),FALSE))," ],["))))</f>
        <v xml:space="preserve">  - {SamplingFeatureObj:  *SamplingFeatureID0049, SpecimenTypeCV:  "Automated", SpecimenMediumCV:  "564.2048987", IsFieldSpecimen:  "TRUE"}</v>
      </c>
    </row>
    <row r="382" spans="1:4" x14ac:dyDescent="0.25">
      <c r="A382" s="27">
        <f t="shared" si="10"/>
        <v>17</v>
      </c>
      <c r="B382" s="27" t="str">
        <f>OFFSET('YODA Header Blocks'!$A$1,0,A382)</f>
        <v>Specimens</v>
      </c>
      <c r="C382" s="27">
        <f t="shared" si="11"/>
        <v>44</v>
      </c>
      <c r="D382" s="27"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Values'!R",ROW()-LengthHeader,"C2:R",ROW()-LengthHeader,"C",NumFileColumns+2),FALSE))," ],["))))</f>
        <v xml:space="preserve">  - {SamplingFeatureObj:  *SamplingFeatureID0050, SpecimenTypeCV:  "Automated", SpecimenMediumCV:  "495.1921279", IsFieldSpecimen:  "TRUE"}</v>
      </c>
    </row>
    <row r="383" spans="1:4" x14ac:dyDescent="0.25">
      <c r="A383" s="27">
        <f t="shared" si="10"/>
        <v>17</v>
      </c>
      <c r="B383" s="27" t="str">
        <f>OFFSET('YODA Header Blocks'!$A$1,0,A383)</f>
        <v>Specimens</v>
      </c>
      <c r="C383" s="27">
        <f t="shared" si="11"/>
        <v>45</v>
      </c>
      <c r="D383" s="27"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Values'!R",ROW()-LengthHeader,"C2:R",ROW()-LengthHeader,"C",NumFileColumns+2),FALSE))," ],["))))</f>
        <v xml:space="preserve">  - {SamplingFeatureObj:  *SamplingFeatureID0051, SpecimenTypeCV:  "Automated", SpecimenMediumCV:  "552.5075184", IsFieldSpecimen:  "TRUE"}</v>
      </c>
    </row>
    <row r="384" spans="1:4" x14ac:dyDescent="0.25">
      <c r="A384" s="27">
        <f t="shared" si="10"/>
        <v>17</v>
      </c>
      <c r="B384" s="27" t="str">
        <f>OFFSET('YODA Header Blocks'!$A$1,0,A384)</f>
        <v>Specimens</v>
      </c>
      <c r="C384" s="27">
        <f t="shared" si="11"/>
        <v>46</v>
      </c>
      <c r="D384" s="27"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Values'!R",ROW()-LengthHeader,"C2:R",ROW()-LengthHeader,"C",NumFileColumns+2),FALSE))," ],["))))</f>
        <v xml:space="preserve">  - {SamplingFeatureObj:  *SamplingFeatureID0052, SpecimenTypeCV:  "Automated", SpecimenMediumCV:  "621.7713318", IsFieldSpecimen:  "TRUE"}</v>
      </c>
    </row>
    <row r="385" spans="1:4" x14ac:dyDescent="0.25">
      <c r="A385" s="27">
        <f t="shared" si="10"/>
        <v>17</v>
      </c>
      <c r="B385" s="27" t="str">
        <f>OFFSET('YODA Header Blocks'!$A$1,0,A385)</f>
        <v>Specimens</v>
      </c>
      <c r="C385" s="27">
        <f t="shared" si="11"/>
        <v>47</v>
      </c>
      <c r="D385" s="27"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Values'!R",ROW()-LengthHeader,"C2:R",ROW()-LengthHeader,"C",NumFileColumns+2),FALSE))," ],["))))</f>
        <v xml:space="preserve">  - {SamplingFeatureObj:  *SamplingFeatureID0053, SpecimenTypeCV:  "Automated", SpecimenMediumCV:  "763.095916", IsFieldSpecimen:  "TRUE"}</v>
      </c>
    </row>
    <row r="386" spans="1:4" x14ac:dyDescent="0.25">
      <c r="A386" s="27">
        <f t="shared" si="10"/>
        <v>17</v>
      </c>
      <c r="B386" s="27" t="str">
        <f>OFFSET('YODA Header Blocks'!$A$1,0,A386)</f>
        <v>Specimens</v>
      </c>
      <c r="C386" s="27">
        <f t="shared" si="11"/>
        <v>48</v>
      </c>
      <c r="D386" s="27"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Values'!R",ROW()-LengthHeader,"C2:R",ROW()-LengthHeader,"C",NumFileColumns+2),FALSE))," ],["))))</f>
        <v xml:space="preserve">  - {SamplingFeatureObj:  *SamplingFeatureID0054, SpecimenTypeCV:  "Automated", SpecimenMediumCV:  "876.8804881", IsFieldSpecimen:  "TRUE"}</v>
      </c>
    </row>
    <row r="387" spans="1:4" x14ac:dyDescent="0.25">
      <c r="A387" s="27">
        <f t="shared" si="10"/>
        <v>17</v>
      </c>
      <c r="B387" s="27" t="str">
        <f>OFFSET('YODA Header Blocks'!$A$1,0,A387)</f>
        <v>Specimens</v>
      </c>
      <c r="C387" s="27">
        <f t="shared" si="11"/>
        <v>49</v>
      </c>
      <c r="D387" s="27"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Values'!R",ROW()-LengthHeader,"C2:R",ROW()-LengthHeader,"C",NumFileColumns+2),FALSE))," ],["))))</f>
        <v xml:space="preserve">  - {SamplingFeatureObj:  *SamplingFeatureID0055, SpecimenTypeCV:  "Automated", SpecimenMediumCV:  "944.6625475", IsFieldSpecimen:  "TRUE"}</v>
      </c>
    </row>
    <row r="388" spans="1:4" x14ac:dyDescent="0.25">
      <c r="A388" s="27">
        <f t="shared" ref="A388:A451" si="12">IF(C387=INDIRECT(CONCATENATE("'YODA Header Blocks'!R2C",A387+1,":R2C",A387+1),FALSE),A387+1,A387)</f>
        <v>17</v>
      </c>
      <c r="B388" s="27" t="str">
        <f>OFFSET('YODA Header Blocks'!$A$1,0,A388)</f>
        <v>Specimens</v>
      </c>
      <c r="C388" s="27">
        <f t="shared" ref="C388:C451" si="13">IF(C387=SUM(INDIRECT(CONCATENATE("'YODA Header Blocks'!R2C",A387+1,":R2C",A387+1),FALSE)),1,C387+1)</f>
        <v>50</v>
      </c>
      <c r="D388" s="27"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Values'!R",ROW()-LengthHeader,"C2:R",ROW()-LengthHeader,"C",NumFileColumns+2),FALSE))," ],["))))</f>
        <v xml:space="preserve">  - {SamplingFeatureObj:  *SamplingFeatureID0056, SpecimenTypeCV:  "Grab", SpecimenMediumCV:  "1095.494036", IsFieldSpecimen:  "TRUE"}</v>
      </c>
    </row>
    <row r="389" spans="1:4" x14ac:dyDescent="0.25">
      <c r="A389" s="27">
        <f t="shared" si="12"/>
        <v>17</v>
      </c>
      <c r="B389" s="27" t="str">
        <f>OFFSET('YODA Header Blocks'!$A$1,0,A389)</f>
        <v>Specimens</v>
      </c>
      <c r="C389" s="27">
        <f t="shared" si="13"/>
        <v>51</v>
      </c>
      <c r="D389" s="27"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Values'!R",ROW()-LengthHeader,"C2:R",ROW()-LengthHeader,"C",NumFileColumns+2),FALSE))," ],["))))</f>
        <v xml:space="preserve">  - {SamplingFeatureObj:  *SamplingFeatureID0057, SpecimenTypeCV:  "Grab", SpecimenMediumCV:  "1322.034792", IsFieldSpecimen:  "TRUE"}</v>
      </c>
    </row>
    <row r="390" spans="1:4" x14ac:dyDescent="0.25">
      <c r="A390" s="27">
        <f t="shared" si="12"/>
        <v>17</v>
      </c>
      <c r="B390" s="27" t="str">
        <f>OFFSET('YODA Header Blocks'!$A$1,0,A390)</f>
        <v>Specimens</v>
      </c>
      <c r="C390" s="27">
        <f t="shared" si="13"/>
        <v>52</v>
      </c>
      <c r="D390" s="27"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Values'!R",ROW()-LengthHeader,"C2:R",ROW()-LengthHeader,"C",NumFileColumns+2),FALSE))," ],["))))</f>
        <v xml:space="preserve">  - {SamplingFeatureObj:  *SamplingFeatureID0058, SpecimenTypeCV:  "Grab", SpecimenMediumCV:  "PLEASE PUT A SPECIMEN MEDIUM IN ROW 51", IsFieldSpecimen:  "TRUE"}</v>
      </c>
    </row>
    <row r="391" spans="1:4" x14ac:dyDescent="0.25">
      <c r="A391" s="27">
        <f t="shared" si="12"/>
        <v>17</v>
      </c>
      <c r="B391" s="27" t="str">
        <f>OFFSET('YODA Header Blocks'!$A$1,0,A391)</f>
        <v>Specimens</v>
      </c>
      <c r="C391" s="27">
        <f t="shared" si="13"/>
        <v>53</v>
      </c>
      <c r="D391" s="27"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Values'!R",ROW()-LengthHeader,"C2:R",ROW()-LengthHeader,"C",NumFileColumns+2),FALSE))," ],["))))</f>
        <v xml:space="preserve">  - {SamplingFeatureObj:  *SamplingFeatureID0059, SpecimenTypeCV:  "Automated", SpecimenMediumCV:  "977.139724", IsFieldSpecimen:  "TRUE"}</v>
      </c>
    </row>
    <row r="392" spans="1:4" x14ac:dyDescent="0.25">
      <c r="A392" s="27">
        <f t="shared" si="12"/>
        <v>17</v>
      </c>
      <c r="B392" s="27" t="str">
        <f>OFFSET('YODA Header Blocks'!$A$1,0,A392)</f>
        <v>Specimens</v>
      </c>
      <c r="C392" s="27">
        <f t="shared" si="13"/>
        <v>54</v>
      </c>
      <c r="D392" s="27"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Values'!R",ROW()-LengthHeader,"C2:R",ROW()-LengthHeader,"C",NumFileColumns+2),FALSE))," ],["))))</f>
        <v xml:space="preserve">  - {SamplingFeatureObj:  *SamplingFeatureID0060, SpecimenTypeCV:  "Grab", SpecimenMediumCV:  "1035.325953", IsFieldSpecimen:  "TRUE"}</v>
      </c>
    </row>
    <row r="393" spans="1:4" x14ac:dyDescent="0.25">
      <c r="A393" s="27">
        <f t="shared" si="12"/>
        <v>17</v>
      </c>
      <c r="B393" s="27" t="str">
        <f>OFFSET('YODA Header Blocks'!$A$1,0,A393)</f>
        <v>Specimens</v>
      </c>
      <c r="C393" s="27">
        <f t="shared" si="13"/>
        <v>55</v>
      </c>
      <c r="D393" s="27"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Values'!R",ROW()-LengthHeader,"C2:R",ROW()-LengthHeader,"C",NumFileColumns+2),FALSE))," ],["))))</f>
        <v xml:space="preserve">  - {SamplingFeatureObj:  *SamplingFeatureID0061, SpecimenTypeCV:  "Automated", SpecimenMediumCV:  "PLEASE PUT A SPECIMEN MEDIUM IN ROW 54", IsFieldSpecimen:  "TRUE"}</v>
      </c>
    </row>
    <row r="394" spans="1:4" x14ac:dyDescent="0.25">
      <c r="A394" s="27">
        <f t="shared" si="12"/>
        <v>17</v>
      </c>
      <c r="B394" s="27" t="str">
        <f>OFFSET('YODA Header Blocks'!$A$1,0,A394)</f>
        <v>Specimens</v>
      </c>
      <c r="C394" s="27">
        <f t="shared" si="13"/>
        <v>56</v>
      </c>
      <c r="D394" s="27"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Values'!R",ROW()-LengthHeader,"C2:R",ROW()-LengthHeader,"C",NumFileColumns+2),FALSE))," ],["))))</f>
        <v xml:space="preserve">  - {SamplingFeatureObj:  *SamplingFeatureID0062, SpecimenTypeCV:  "Automated", SpecimenMediumCV:  "PLEASE PUT A SPECIMEN MEDIUM IN ROW 55", IsFieldSpecimen:  "TRUE"}</v>
      </c>
    </row>
    <row r="395" spans="1:4" x14ac:dyDescent="0.25">
      <c r="A395" s="27">
        <f t="shared" si="12"/>
        <v>17</v>
      </c>
      <c r="B395" s="27" t="str">
        <f>OFFSET('YODA Header Blocks'!$A$1,0,A395)</f>
        <v>Specimens</v>
      </c>
      <c r="C395" s="27">
        <f t="shared" si="13"/>
        <v>57</v>
      </c>
      <c r="D395" s="27"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Values'!R",ROW()-LengthHeader,"C2:R",ROW()-LengthHeader,"C",NumFileColumns+2),FALSE))," ],["))))</f>
        <v xml:space="preserve">  - {SamplingFeatureObj:  *SamplingFeatureID0063, SpecimenTypeCV:  "Automated", SpecimenMediumCV:  "PLEASE PUT A SPECIMEN MEDIUM IN ROW 56", IsFieldSpecimen:  "TRUE"}</v>
      </c>
    </row>
    <row r="396" spans="1:4" x14ac:dyDescent="0.25">
      <c r="A396" s="27">
        <f t="shared" si="12"/>
        <v>17</v>
      </c>
      <c r="B396" s="27" t="str">
        <f>OFFSET('YODA Header Blocks'!$A$1,0,A396)</f>
        <v>Specimens</v>
      </c>
      <c r="C396" s="27">
        <f t="shared" si="13"/>
        <v>58</v>
      </c>
      <c r="D396" s="27"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Values'!R",ROW()-LengthHeader,"C2:R",ROW()-LengthHeader,"C",NumFileColumns+2),FALSE))," ],["))))</f>
        <v xml:space="preserve">  - {SamplingFeatureObj:  *SamplingFeatureID0064, SpecimenTypeCV:  "Automated", SpecimenMediumCV:  "1074.04729", IsFieldSpecimen:  "TRUE"}</v>
      </c>
    </row>
    <row r="397" spans="1:4" x14ac:dyDescent="0.25">
      <c r="A397" s="27">
        <f t="shared" si="12"/>
        <v>17</v>
      </c>
      <c r="B397" s="27" t="str">
        <f>OFFSET('YODA Header Blocks'!$A$1,0,A397)</f>
        <v>Specimens</v>
      </c>
      <c r="C397" s="27">
        <f t="shared" si="13"/>
        <v>59</v>
      </c>
      <c r="D397" s="27"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Values'!R",ROW()-LengthHeader,"C2:R",ROW()-LengthHeader,"C",NumFileColumns+2),FALSE))," ],["))))</f>
        <v xml:space="preserve">  - {SamplingFeatureObj:  *SamplingFeatureID0065, SpecimenTypeCV:  "Automated", SpecimenMediumCV:  "PLEASE PUT A SPECIMEN MEDIUM IN ROW 58", IsFieldSpecimen:  "TRUE"}</v>
      </c>
    </row>
    <row r="398" spans="1:4" x14ac:dyDescent="0.25">
      <c r="A398" s="27">
        <f t="shared" si="12"/>
        <v>17</v>
      </c>
      <c r="B398" s="27" t="str">
        <f>OFFSET('YODA Header Blocks'!$A$1,0,A398)</f>
        <v>Specimens</v>
      </c>
      <c r="C398" s="27">
        <f t="shared" si="13"/>
        <v>60</v>
      </c>
      <c r="D398" s="27"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Values'!R",ROW()-LengthHeader,"C2:R",ROW()-LengthHeader,"C",NumFileColumns+2),FALSE))," ],["))))</f>
        <v xml:space="preserve">  - {SamplingFeatureObj:  *SamplingFeatureID0066, SpecimenTypeCV:  "Automated", SpecimenMediumCV:  "PLEASE PUT A SPECIMEN MEDIUM IN ROW 59", IsFieldSpecimen:  "TRUE"}</v>
      </c>
    </row>
    <row r="399" spans="1:4" x14ac:dyDescent="0.25">
      <c r="A399" s="27">
        <f t="shared" si="12"/>
        <v>17</v>
      </c>
      <c r="B399" s="27" t="str">
        <f>OFFSET('YODA Header Blocks'!$A$1,0,A399)</f>
        <v>Specimens</v>
      </c>
      <c r="C399" s="27">
        <f t="shared" si="13"/>
        <v>61</v>
      </c>
      <c r="D399" s="27"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Values'!R",ROW()-LengthHeader,"C2:R",ROW()-LengthHeader,"C",NumFileColumns+2),FALSE))," ],["))))</f>
        <v xml:space="preserve">  - {SamplingFeatureObj:  *SamplingFeatureID0067, SpecimenTypeCV:  "Automated", SpecimenMediumCV:  "PLEASE PUT A SPECIMEN MEDIUM IN ROW 60", IsFieldSpecimen:  "TRUE"}</v>
      </c>
    </row>
    <row r="400" spans="1:4" x14ac:dyDescent="0.25">
      <c r="A400" s="27">
        <f t="shared" si="12"/>
        <v>17</v>
      </c>
      <c r="B400" s="27" t="str">
        <f>OFFSET('YODA Header Blocks'!$A$1,0,A400)</f>
        <v>Specimens</v>
      </c>
      <c r="C400" s="27">
        <f t="shared" si="13"/>
        <v>62</v>
      </c>
      <c r="D400" s="27"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Values'!R",ROW()-LengthHeader,"C2:R",ROW()-LengthHeader,"C",NumFileColumns+2),FALSE))," ],["))))</f>
        <v xml:space="preserve">  - {SamplingFeatureObj:  *SamplingFeatureID0068, SpecimenTypeCV:  "Automated", SpecimenMediumCV:  "PLEASE PUT A SPECIMEN MEDIUM IN ROW 61", IsFieldSpecimen:  "TRUE"}</v>
      </c>
    </row>
    <row r="401" spans="1:4" x14ac:dyDescent="0.25">
      <c r="A401" s="27">
        <f t="shared" si="12"/>
        <v>17</v>
      </c>
      <c r="B401" s="27" t="str">
        <f>OFFSET('YODA Header Blocks'!$A$1,0,A401)</f>
        <v>Specimens</v>
      </c>
      <c r="C401" s="27">
        <f t="shared" si="13"/>
        <v>63</v>
      </c>
      <c r="D401" s="27"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Values'!R",ROW()-LengthHeader,"C2:R",ROW()-LengthHeader,"C",NumFileColumns+2),FALSE))," ],["))))</f>
        <v xml:space="preserve">  - {SamplingFeatureObj:  *SamplingFeatureID0069, SpecimenTypeCV:  "Automated", SpecimenMediumCV:  "PLEASE PUT A SPECIMEN MEDIUM IN ROW 62", IsFieldSpecimen:  "TRUE"}</v>
      </c>
    </row>
    <row r="402" spans="1:4" x14ac:dyDescent="0.25">
      <c r="A402" s="27">
        <f t="shared" si="12"/>
        <v>17</v>
      </c>
      <c r="B402" s="27" t="str">
        <f>OFFSET('YODA Header Blocks'!$A$1,0,A402)</f>
        <v>Specimens</v>
      </c>
      <c r="C402" s="27">
        <f t="shared" si="13"/>
        <v>64</v>
      </c>
      <c r="D402" s="27"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Values'!R",ROW()-LengthHeader,"C2:R",ROW()-LengthHeader,"C",NumFileColumns+2),FALSE))," ],["))))</f>
        <v xml:space="preserve">  - {SamplingFeatureObj:  *SamplingFeatureID0070, SpecimenTypeCV:  "Automated", SpecimenMediumCV:  "PLEASE PUT A SPECIMEN MEDIUM IN ROW 63", IsFieldSpecimen:  "TRUE"}</v>
      </c>
    </row>
    <row r="403" spans="1:4" x14ac:dyDescent="0.25">
      <c r="A403" s="27">
        <f t="shared" si="12"/>
        <v>17</v>
      </c>
      <c r="B403" s="27" t="str">
        <f>OFFSET('YODA Header Blocks'!$A$1,0,A403)</f>
        <v>Specimens</v>
      </c>
      <c r="C403" s="27">
        <f t="shared" si="13"/>
        <v>65</v>
      </c>
      <c r="D403" s="27"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Values'!R",ROW()-LengthHeader,"C2:R",ROW()-LengthHeader,"C",NumFileColumns+2),FALSE))," ],["))))</f>
        <v xml:space="preserve">  - {SamplingFeatureObj:  *SamplingFeatureID0071, SpecimenTypeCV:  "Automated", SpecimenMediumCV:  "1127.968352", IsFieldSpecimen:  "TRUE"}</v>
      </c>
    </row>
    <row r="404" spans="1:4" x14ac:dyDescent="0.25">
      <c r="A404" s="27">
        <f t="shared" si="12"/>
        <v>17</v>
      </c>
      <c r="B404" s="27" t="str">
        <f>OFFSET('YODA Header Blocks'!$A$1,0,A404)</f>
        <v>Specimens</v>
      </c>
      <c r="C404" s="27">
        <f t="shared" si="13"/>
        <v>66</v>
      </c>
      <c r="D404" s="27"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Values'!R",ROW()-LengthHeader,"C2:R",ROW()-LengthHeader,"C",NumFileColumns+2),FALSE))," ],["))))</f>
        <v xml:space="preserve">  - {SamplingFeatureObj:  *SamplingFeatureID0072, SpecimenTypeCV:  "Automated", SpecimenMediumCV:  "PLEASE PUT A SPECIMEN MEDIUM IN ROW 65", IsFieldSpecimen:  "TRUE"}</v>
      </c>
    </row>
    <row r="405" spans="1:4" x14ac:dyDescent="0.25">
      <c r="A405" s="27">
        <f t="shared" si="12"/>
        <v>17</v>
      </c>
      <c r="B405" s="27" t="str">
        <f>OFFSET('YODA Header Blocks'!$A$1,0,A405)</f>
        <v>Specimens</v>
      </c>
      <c r="C405" s="27">
        <f t="shared" si="13"/>
        <v>67</v>
      </c>
      <c r="D405" s="27"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Values'!R",ROW()-LengthHeader,"C2:R",ROW()-LengthHeader,"C",NumFileColumns+2),FALSE))," ],["))))</f>
        <v xml:space="preserve">  - {SamplingFeatureObj:  *SamplingFeatureID0073, SpecimenTypeCV:  "Automated", SpecimenMediumCV:  "PLEASE PUT A SPECIMEN MEDIUM IN ROW 66", IsFieldSpecimen:  "TRUE"}</v>
      </c>
    </row>
    <row r="406" spans="1:4" x14ac:dyDescent="0.25">
      <c r="A406" s="27">
        <f t="shared" si="12"/>
        <v>17</v>
      </c>
      <c r="B406" s="27" t="str">
        <f>OFFSET('YODA Header Blocks'!$A$1,0,A406)</f>
        <v>Specimens</v>
      </c>
      <c r="C406" s="27">
        <f t="shared" si="13"/>
        <v>68</v>
      </c>
      <c r="D406" s="27"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Values'!R",ROW()-LengthHeader,"C2:R",ROW()-LengthHeader,"C",NumFileColumns+2),FALSE))," ],["))))</f>
        <v xml:space="preserve">  - {SamplingFeatureObj:  *SamplingFeatureID0074, SpecimenTypeCV:  "Automated", SpecimenMediumCV:  "PLEASE PUT A SPECIMEN MEDIUM IN ROW 67", IsFieldSpecimen:  "TRUE"}</v>
      </c>
    </row>
    <row r="407" spans="1:4" x14ac:dyDescent="0.25">
      <c r="A407" s="27">
        <f t="shared" si="12"/>
        <v>17</v>
      </c>
      <c r="B407" s="27" t="str">
        <f>OFFSET('YODA Header Blocks'!$A$1,0,A407)</f>
        <v>Specimens</v>
      </c>
      <c r="C407" s="27">
        <f t="shared" si="13"/>
        <v>69</v>
      </c>
      <c r="D407" s="27"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Values'!R",ROW()-LengthHeader,"C2:R",ROW()-LengthHeader,"C",NumFileColumns+2),FALSE))," ],["))))</f>
        <v xml:space="preserve">  - {SamplingFeatureObj:  *SamplingFeatureID0075, SpecimenTypeCV:  "Automated", SpecimenMediumCV:  "PLEASE PUT A SPECIMEN MEDIUM IN ROW 68", IsFieldSpecimen:  "TRUE"}</v>
      </c>
    </row>
    <row r="408" spans="1:4" x14ac:dyDescent="0.25">
      <c r="A408" s="27">
        <f t="shared" si="12"/>
        <v>17</v>
      </c>
      <c r="B408" s="27" t="str">
        <f>OFFSET('YODA Header Blocks'!$A$1,0,A408)</f>
        <v>Specimens</v>
      </c>
      <c r="C408" s="27">
        <f t="shared" si="13"/>
        <v>70</v>
      </c>
      <c r="D408" s="27"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Values'!R",ROW()-LengthHeader,"C2:R",ROW()-LengthHeader,"C",NumFileColumns+2),FALSE))," ],["))))</f>
        <v xml:space="preserve">  - {SamplingFeatureObj:  *SamplingFeatureID0076, SpecimenTypeCV:  "Automated", SpecimenMediumCV:  "PLEASE PUT A SPECIMEN MEDIUM IN ROW 69", IsFieldSpecimen:  "TRUE"}</v>
      </c>
    </row>
    <row r="409" spans="1:4" x14ac:dyDescent="0.25">
      <c r="A409" s="27">
        <f t="shared" si="12"/>
        <v>17</v>
      </c>
      <c r="B409" s="27" t="str">
        <f>OFFSET('YODA Header Blocks'!$A$1,0,A409)</f>
        <v>Specimens</v>
      </c>
      <c r="C409" s="27">
        <f t="shared" si="13"/>
        <v>71</v>
      </c>
      <c r="D409" s="27"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Values'!R",ROW()-LengthHeader,"C2:R",ROW()-LengthHeader,"C",NumFileColumns+2),FALSE))," ],["))))</f>
        <v xml:space="preserve">  - {SamplingFeatureObj:  *SamplingFeatureID0077, SpecimenTypeCV:  "Automated", SpecimenMediumCV:  "PLEASE PUT A SPECIMEN MEDIUM IN ROW 70", IsFieldSpecimen:  "TRUE"}</v>
      </c>
    </row>
    <row r="410" spans="1:4" x14ac:dyDescent="0.25">
      <c r="A410" s="27">
        <f t="shared" si="12"/>
        <v>17</v>
      </c>
      <c r="B410" s="27" t="str">
        <f>OFFSET('YODA Header Blocks'!$A$1,0,A410)</f>
        <v>Specimens</v>
      </c>
      <c r="C410" s="27">
        <f t="shared" si="13"/>
        <v>72</v>
      </c>
      <c r="D410" s="27"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Values'!R",ROW()-LengthHeader,"C2:R",ROW()-LengthHeader,"C",NumFileColumns+2),FALSE))," ],["))))</f>
        <v xml:space="preserve">  - {SamplingFeatureObj:  *SamplingFeatureID0078, SpecimenTypeCV:  "Automated", SpecimenMediumCV:  "PLEASE PUT A SPECIMEN MEDIUM IN ROW 71", IsFieldSpecimen:  "TRUE"}</v>
      </c>
    </row>
    <row r="411" spans="1:4" x14ac:dyDescent="0.25">
      <c r="A411" s="27">
        <f t="shared" si="12"/>
        <v>17</v>
      </c>
      <c r="B411" s="27" t="str">
        <f>OFFSET('YODA Header Blocks'!$A$1,0,A411)</f>
        <v>Specimens</v>
      </c>
      <c r="C411" s="27">
        <f t="shared" si="13"/>
        <v>73</v>
      </c>
      <c r="D411" s="27"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Values'!R",ROW()-LengthHeader,"C2:R",ROW()-LengthHeader,"C",NumFileColumns+2),FALSE))," ],["))))</f>
        <v xml:space="preserve">  - {SamplingFeatureObj:  *SamplingFeatureID0079, SpecimenTypeCV:  "Automated", SpecimenMediumCV:  "PLEASE PUT A SPECIMEN MEDIUM IN ROW 72", IsFieldSpecimen:  "TRUE"}</v>
      </c>
    </row>
    <row r="412" spans="1:4" x14ac:dyDescent="0.25">
      <c r="A412" s="27">
        <f t="shared" si="12"/>
        <v>17</v>
      </c>
      <c r="B412" s="27" t="str">
        <f>OFFSET('YODA Header Blocks'!$A$1,0,A412)</f>
        <v>Specimens</v>
      </c>
      <c r="C412" s="27">
        <f t="shared" si="13"/>
        <v>74</v>
      </c>
      <c r="D412" s="27"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Values'!R",ROW()-LengthHeader,"C2:R",ROW()-LengthHeader,"C",NumFileColumns+2),FALSE))," ],["))))</f>
        <v xml:space="preserve">  - {SamplingFeatureObj:  *SamplingFeatureID0080, SpecimenTypeCV:  "Grab", SpecimenMediumCV:  "1357.882645", IsFieldSpecimen:  "TRUE"}</v>
      </c>
    </row>
    <row r="413" spans="1:4" x14ac:dyDescent="0.25">
      <c r="A413" s="27">
        <f t="shared" si="12"/>
        <v>17</v>
      </c>
      <c r="B413" s="27" t="str">
        <f>OFFSET('YODA Header Blocks'!$A$1,0,A413)</f>
        <v>Specimens</v>
      </c>
      <c r="C413" s="27">
        <f t="shared" si="13"/>
        <v>75</v>
      </c>
      <c r="D413" s="27"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Values'!R",ROW()-LengthHeader,"C2:R",ROW()-LengthHeader,"C",NumFileColumns+2),FALSE))," ],["))))</f>
        <v xml:space="preserve">  - {SamplingFeatureObj:  *SamplingFeatureID0081, SpecimenTypeCV:  "Grab", SpecimenMediumCV:  "1344.553305", IsFieldSpecimen:  "TRUE"}</v>
      </c>
    </row>
    <row r="414" spans="1:4" x14ac:dyDescent="0.25">
      <c r="A414" s="27">
        <f t="shared" si="12"/>
        <v>17</v>
      </c>
      <c r="B414" s="27" t="str">
        <f>OFFSET('YODA Header Blocks'!$A$1,0,A414)</f>
        <v>Specimens</v>
      </c>
      <c r="C414" s="27">
        <f t="shared" si="13"/>
        <v>76</v>
      </c>
      <c r="D414" s="27"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Values'!R",ROW()-LengthHeader,"C2:R",ROW()-LengthHeader,"C",NumFileColumns+2),FALSE))," ],["))))</f>
        <v xml:space="preserve">  - {SamplingFeatureObj:  *SamplingFeatureID0082, SpecimenTypeCV:  "Grab", SpecimenMediumCV:  "1235.967273", IsFieldSpecimen:  "TRUE"}</v>
      </c>
    </row>
    <row r="415" spans="1:4" x14ac:dyDescent="0.25">
      <c r="A415" s="27">
        <f t="shared" si="12"/>
        <v>17</v>
      </c>
      <c r="B415" s="27" t="str">
        <f>OFFSET('YODA Header Blocks'!$A$1,0,A415)</f>
        <v>Specimens</v>
      </c>
      <c r="C415" s="27">
        <f t="shared" si="13"/>
        <v>77</v>
      </c>
      <c r="D415" s="27"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Values'!R",ROW()-LengthHeader,"C2:R",ROW()-LengthHeader,"C",NumFileColumns+2),FALSE))," ],["))))</f>
        <v xml:space="preserve">  - {SamplingFeatureObj:  *SamplingFeatureID0083, SpecimenTypeCV:  "Grab", SpecimenMediumCV:  "1350.323926", IsFieldSpecimen:  "TRUE"}</v>
      </c>
    </row>
    <row r="416" spans="1:4" x14ac:dyDescent="0.25">
      <c r="A416" s="27">
        <f t="shared" si="12"/>
        <v>17</v>
      </c>
      <c r="B416" s="27" t="str">
        <f>OFFSET('YODA Header Blocks'!$A$1,0,A416)</f>
        <v>Specimens</v>
      </c>
      <c r="C416" s="27">
        <f t="shared" si="13"/>
        <v>78</v>
      </c>
      <c r="D416" s="27"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Values'!R",ROW()-LengthHeader,"C2:R",ROW()-LengthHeader,"C",NumFileColumns+2),FALSE))," ],["))))</f>
        <v xml:space="preserve">  - {SamplingFeatureObj:  *SamplingFeatureID0084, SpecimenTypeCV:  "Grab", SpecimenMediumCV:  "1265.243235", IsFieldSpecimen:  "TRUE"}</v>
      </c>
    </row>
    <row r="417" spans="1:4" x14ac:dyDescent="0.25">
      <c r="A417" s="27">
        <f t="shared" si="12"/>
        <v>17</v>
      </c>
      <c r="B417" s="27" t="str">
        <f>OFFSET('YODA Header Blocks'!$A$1,0,A417)</f>
        <v>Specimens</v>
      </c>
      <c r="C417" s="27">
        <f t="shared" si="13"/>
        <v>79</v>
      </c>
      <c r="D417" s="27"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Values'!R",ROW()-LengthHeader,"C2:R",ROW()-LengthHeader,"C",NumFileColumns+2),FALSE))," ],["))))</f>
        <v xml:space="preserve">  - {SamplingFeatureObj:  *SamplingFeatureID0085, SpecimenTypeCV:  "Grab", SpecimenMediumCV:  "1256.912717", IsFieldSpecimen:  "TRUE"}</v>
      </c>
    </row>
    <row r="418" spans="1:4" x14ac:dyDescent="0.25">
      <c r="A418" s="27">
        <f t="shared" si="12"/>
        <v>17</v>
      </c>
      <c r="B418" s="27" t="str">
        <f>OFFSET('YODA Header Blocks'!$A$1,0,A418)</f>
        <v>Specimens</v>
      </c>
      <c r="C418" s="27">
        <f t="shared" si="13"/>
        <v>80</v>
      </c>
      <c r="D418" s="27"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Values'!R",ROW()-LengthHeader,"C2:R",ROW()-LengthHeader,"C",NumFileColumns+2),FALSE))," ],["))))</f>
        <v xml:space="preserve">  - {SamplingFeatureObj:  *SamplingFeatureID0086, SpecimenTypeCV:  "Grab", SpecimenMediumCV:  "1128.35035", IsFieldSpecimen:  "TRUE"}</v>
      </c>
    </row>
    <row r="419" spans="1:4" x14ac:dyDescent="0.25">
      <c r="A419" s="27">
        <f t="shared" si="12"/>
        <v>17</v>
      </c>
      <c r="B419" s="27" t="str">
        <f>OFFSET('YODA Header Blocks'!$A$1,0,A419)</f>
        <v>Specimens</v>
      </c>
      <c r="C419" s="27">
        <f t="shared" si="13"/>
        <v>81</v>
      </c>
      <c r="D419" s="27"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Values'!R",ROW()-LengthHeader,"C2:R",ROW()-LengthHeader,"C",NumFileColumns+2),FALSE))," ],["))))</f>
        <v xml:space="preserve">  - {SamplingFeatureObj:  *SamplingFeatureID0087, SpecimenTypeCV:  "Grab", SpecimenMediumCV:  "1291.301309", IsFieldSpecimen:  "TRUE"}</v>
      </c>
    </row>
    <row r="420" spans="1:4" x14ac:dyDescent="0.25">
      <c r="A420" s="27">
        <f t="shared" si="12"/>
        <v>17</v>
      </c>
      <c r="B420" s="27" t="str">
        <f>OFFSET('YODA Header Blocks'!$A$1,0,A420)</f>
        <v>Specimens</v>
      </c>
      <c r="C420" s="27">
        <f t="shared" si="13"/>
        <v>82</v>
      </c>
      <c r="D420" s="27"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Values'!R",ROW()-LengthHeader,"C2:R",ROW()-LengthHeader,"C",NumFileColumns+2),FALSE))," ],["))))</f>
        <v xml:space="preserve">  - {SamplingFeatureObj:  *SamplingFeatureID0088, SpecimenTypeCV:  "Grab", SpecimenMediumCV:  "1288.421588", IsFieldSpecimen:  "TRUE"}</v>
      </c>
    </row>
    <row r="421" spans="1:4" x14ac:dyDescent="0.25">
      <c r="A421" s="27">
        <f t="shared" si="12"/>
        <v>17</v>
      </c>
      <c r="B421" s="27" t="str">
        <f>OFFSET('YODA Header Blocks'!$A$1,0,A421)</f>
        <v>Specimens</v>
      </c>
      <c r="C421" s="27">
        <f t="shared" si="13"/>
        <v>83</v>
      </c>
      <c r="D421" s="27"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Values'!R",ROW()-LengthHeader,"C2:R",ROW()-LengthHeader,"C",NumFileColumns+2),FALSE))," ],["))))</f>
        <v xml:space="preserve">  - {SamplingFeatureObj:  *SamplingFeatureID0089, SpecimenTypeCV:  "Grab", SpecimenMediumCV:  "1231.934299", IsFieldSpecimen:  "TRUE"}</v>
      </c>
    </row>
    <row r="422" spans="1:4" x14ac:dyDescent="0.25">
      <c r="A422" s="27">
        <f t="shared" si="12"/>
        <v>17</v>
      </c>
      <c r="B422" s="27" t="str">
        <f>OFFSET('YODA Header Blocks'!$A$1,0,A422)</f>
        <v>Specimens</v>
      </c>
      <c r="C422" s="27">
        <f t="shared" si="13"/>
        <v>84</v>
      </c>
      <c r="D422" s="27"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Values'!R",ROW()-LengthHeader,"C2:R",ROW()-LengthHeader,"C",NumFileColumns+2),FALSE))," ],["))))</f>
        <v xml:space="preserve">  - {SamplingFeatureObj:  *SamplingFeatureID0090, SpecimenTypeCV:  "Grab", SpecimenMediumCV:  "PLEASE PUT A SPECIMEN MEDIUM IN ROW 83", IsFieldSpecimen:  "TRUE"}</v>
      </c>
    </row>
    <row r="423" spans="1:4" x14ac:dyDescent="0.25">
      <c r="A423" s="27">
        <f t="shared" si="12"/>
        <v>17</v>
      </c>
      <c r="B423" s="27" t="str">
        <f>OFFSET('YODA Header Blocks'!$A$1,0,A423)</f>
        <v>Specimens</v>
      </c>
      <c r="C423" s="27">
        <f t="shared" si="13"/>
        <v>85</v>
      </c>
      <c r="D423" s="27"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Values'!R",ROW()-LengthHeader,"C2:R",ROW()-LengthHeader,"C",NumFileColumns+2),FALSE))," ],["))))</f>
        <v xml:space="preserve">  - {SamplingFeatureObj:  *SamplingFeatureID0091, SpecimenTypeCV:  "Grab", SpecimenMediumCV:  "PLEASE PUT A SPECIMEN MEDIUM IN ROW 84", IsFieldSpecimen:  "TRUE"}</v>
      </c>
    </row>
    <row r="424" spans="1:4" x14ac:dyDescent="0.25">
      <c r="A424" s="27">
        <f t="shared" si="12"/>
        <v>17</v>
      </c>
      <c r="B424" s="27" t="str">
        <f>OFFSET('YODA Header Blocks'!$A$1,0,A424)</f>
        <v>Specimens</v>
      </c>
      <c r="C424" s="27">
        <f t="shared" si="13"/>
        <v>86</v>
      </c>
      <c r="D424" s="27"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Values'!R",ROW()-LengthHeader,"C2:R",ROW()-LengthHeader,"C",NumFileColumns+2),FALSE))," ],["))))</f>
        <v xml:space="preserve">  - {SamplingFeatureObj:  *SamplingFeatureID0092, SpecimenTypeCV:  "Grab", SpecimenMediumCV:  "1267.870137", IsFieldSpecimen:  "TRUE"}</v>
      </c>
    </row>
    <row r="425" spans="1:4" x14ac:dyDescent="0.25">
      <c r="A425" s="27">
        <f t="shared" si="12"/>
        <v>17</v>
      </c>
      <c r="B425" s="27" t="str">
        <f>OFFSET('YODA Header Blocks'!$A$1,0,A425)</f>
        <v>Specimens</v>
      </c>
      <c r="C425" s="27">
        <f t="shared" si="13"/>
        <v>87</v>
      </c>
      <c r="D425" s="27"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Values'!R",ROW()-LengthHeader,"C2:R",ROW()-LengthHeader,"C",NumFileColumns+2),FALSE))," ],["))))</f>
        <v xml:space="preserve">  - {SamplingFeatureObj:  *SamplingFeatureID0093, SpecimenTypeCV:  "Grab", SpecimenMediumCV:  "PLEASE PUT A SPECIMEN MEDIUM IN ROW 86", IsFieldSpecimen:  "TRUE"}</v>
      </c>
    </row>
    <row r="426" spans="1:4" x14ac:dyDescent="0.25">
      <c r="A426" s="27">
        <f t="shared" si="12"/>
        <v>17</v>
      </c>
      <c r="B426" s="27" t="str">
        <f>OFFSET('YODA Header Blocks'!$A$1,0,A426)</f>
        <v>Specimens</v>
      </c>
      <c r="C426" s="27">
        <f t="shared" si="13"/>
        <v>88</v>
      </c>
      <c r="D426" s="27"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Values'!R",ROW()-LengthHeader,"C2:R",ROW()-LengthHeader,"C",NumFileColumns+2),FALSE))," ],["))))</f>
        <v xml:space="preserve">  - {SamplingFeatureObj:  *SamplingFeatureID0094, SpecimenTypeCV:  "Grab", SpecimenMediumCV:  "1193.079986", IsFieldSpecimen:  "TRUE"}</v>
      </c>
    </row>
    <row r="427" spans="1:4" x14ac:dyDescent="0.25">
      <c r="A427" s="27">
        <f t="shared" si="12"/>
        <v>17</v>
      </c>
      <c r="B427" s="27" t="str">
        <f>OFFSET('YODA Header Blocks'!$A$1,0,A427)</f>
        <v>Specimens</v>
      </c>
      <c r="C427" s="27">
        <f t="shared" si="13"/>
        <v>89</v>
      </c>
      <c r="D427" s="27"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Values'!R",ROW()-LengthHeader,"C2:R",ROW()-LengthHeader,"C",NumFileColumns+2),FALSE))," ],["))))</f>
        <v xml:space="preserve">  - {SamplingFeatureObj:  *SamplingFeatureID0095, SpecimenTypeCV:  "Automated", SpecimenMediumCV:  "958.1705012", IsFieldSpecimen:  "TRUE"}</v>
      </c>
    </row>
    <row r="428" spans="1:4" x14ac:dyDescent="0.25">
      <c r="A428" s="27">
        <f t="shared" si="12"/>
        <v>17</v>
      </c>
      <c r="B428" s="27" t="str">
        <f>OFFSET('YODA Header Blocks'!$A$1,0,A428)</f>
        <v>Specimens</v>
      </c>
      <c r="C428" s="27">
        <f t="shared" si="13"/>
        <v>90</v>
      </c>
      <c r="D428" s="27"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Values'!R",ROW()-LengthHeader,"C2:R",ROW()-LengthHeader,"C",NumFileColumns+2),FALSE))," ],["))))</f>
        <v xml:space="preserve">  - {SamplingFeatureObj:  *SamplingFeatureID0096, SpecimenTypeCV:  "Automated", SpecimenMediumCV:  "884.3030977", IsFieldSpecimen:  "TRUE"}</v>
      </c>
    </row>
    <row r="429" spans="1:4" x14ac:dyDescent="0.25">
      <c r="A429" s="27">
        <f t="shared" si="12"/>
        <v>17</v>
      </c>
      <c r="B429" s="27" t="str">
        <f>OFFSET('YODA Header Blocks'!$A$1,0,A429)</f>
        <v>Specimens</v>
      </c>
      <c r="C429" s="27">
        <f t="shared" si="13"/>
        <v>91</v>
      </c>
      <c r="D429" s="27"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Values'!R",ROW()-LengthHeader,"C2:R",ROW()-LengthHeader,"C",NumFileColumns+2),FALSE))," ],["))))</f>
        <v xml:space="preserve">  - {SamplingFeatureObj:  *SamplingFeatureID0097, SpecimenTypeCV:  "Automated", SpecimenMediumCV:  "824.3210082", IsFieldSpecimen:  "TRUE"}</v>
      </c>
    </row>
    <row r="430" spans="1:4" x14ac:dyDescent="0.25">
      <c r="A430" s="27">
        <f t="shared" si="12"/>
        <v>17</v>
      </c>
      <c r="B430" s="27" t="str">
        <f>OFFSET('YODA Header Blocks'!$A$1,0,A430)</f>
        <v>Specimens</v>
      </c>
      <c r="C430" s="27">
        <f t="shared" si="13"/>
        <v>92</v>
      </c>
      <c r="D430" s="27"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Values'!R",ROW()-LengthHeader,"C2:R",ROW()-LengthHeader,"C",NumFileColumns+2),FALSE))," ],["))))</f>
        <v xml:space="preserve">  - {SamplingFeatureObj:  *SamplingFeatureID0098, SpecimenTypeCV:  "Automated", SpecimenMediumCV:  "625.9038129", IsFieldSpecimen:  "TRUE"}</v>
      </c>
    </row>
    <row r="431" spans="1:4" x14ac:dyDescent="0.25">
      <c r="A431" s="27">
        <f t="shared" si="12"/>
        <v>17</v>
      </c>
      <c r="B431" s="27" t="str">
        <f>OFFSET('YODA Header Blocks'!$A$1,0,A431)</f>
        <v>Specimens</v>
      </c>
      <c r="C431" s="27">
        <f t="shared" si="13"/>
        <v>93</v>
      </c>
      <c r="D431" s="27"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Values'!R",ROW()-LengthHeader,"C2:R",ROW()-LengthHeader,"C",NumFileColumns+2),FALSE))," ],["))))</f>
        <v xml:space="preserve">  - {SamplingFeatureObj:  *SamplingFeatureID0099, SpecimenTypeCV:  "Automated", SpecimenMediumCV:  "632.7262113", IsFieldSpecimen:  "TRUE"}</v>
      </c>
    </row>
    <row r="432" spans="1:4" x14ac:dyDescent="0.25">
      <c r="A432" s="27">
        <f t="shared" si="12"/>
        <v>17</v>
      </c>
      <c r="B432" s="27" t="str">
        <f>OFFSET('YODA Header Blocks'!$A$1,0,A432)</f>
        <v>Specimens</v>
      </c>
      <c r="C432" s="27">
        <f t="shared" si="13"/>
        <v>94</v>
      </c>
      <c r="D432" s="27"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Values'!R",ROW()-LengthHeader,"C2:R",ROW()-LengthHeader,"C",NumFileColumns+2),FALSE))," ],["))))</f>
        <v xml:space="preserve">  - {SamplingFeatureObj:  *SamplingFeatureID0100, SpecimenTypeCV:  "Automated", SpecimenMediumCV:  "502.6257961", IsFieldSpecimen:  "TRUE"}</v>
      </c>
    </row>
    <row r="433" spans="1:4" x14ac:dyDescent="0.25">
      <c r="A433" s="27">
        <f t="shared" si="12"/>
        <v>17</v>
      </c>
      <c r="B433" s="27" t="str">
        <f>OFFSET('YODA Header Blocks'!$A$1,0,A433)</f>
        <v>Specimens</v>
      </c>
      <c r="C433" s="27">
        <f t="shared" si="13"/>
        <v>95</v>
      </c>
      <c r="D433" s="27"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Values'!R",ROW()-LengthHeader,"C2:R",ROW()-LengthHeader,"C",NumFileColumns+2),FALSE))," ],["))))</f>
        <v xml:space="preserve">  - {SamplingFeatureObj:  *SamplingFeatureID0101, SpecimenTypeCV:  "Automated", SpecimenMediumCV:  "449.2878742", IsFieldSpecimen:  "TRUE"}</v>
      </c>
    </row>
    <row r="434" spans="1:4" x14ac:dyDescent="0.25">
      <c r="A434" s="27">
        <f t="shared" si="12"/>
        <v>17</v>
      </c>
      <c r="B434" s="27" t="str">
        <f>OFFSET('YODA Header Blocks'!$A$1,0,A434)</f>
        <v>Specimens</v>
      </c>
      <c r="C434" s="27">
        <f t="shared" si="13"/>
        <v>96</v>
      </c>
      <c r="D434" s="27"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Values'!R",ROW()-LengthHeader,"C2:R",ROW()-LengthHeader,"C",NumFileColumns+2),FALSE))," ],["))))</f>
        <v xml:space="preserve">  - {SamplingFeatureObj:  *SamplingFeatureID0102, SpecimenTypeCV:  "Automated", SpecimenMediumCV:  "475.5877575", IsFieldSpecimen:  "TRUE"}</v>
      </c>
    </row>
    <row r="435" spans="1:4" x14ac:dyDescent="0.25">
      <c r="A435" s="27">
        <f t="shared" si="12"/>
        <v>17</v>
      </c>
      <c r="B435" s="27" t="str">
        <f>OFFSET('YODA Header Blocks'!$A$1,0,A435)</f>
        <v>Specimens</v>
      </c>
      <c r="C435" s="27">
        <f t="shared" si="13"/>
        <v>97</v>
      </c>
      <c r="D435" s="27"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Values'!R",ROW()-LengthHeader,"C2:R",ROW()-LengthHeader,"C",NumFileColumns+2),FALSE))," ],["))))</f>
        <v xml:space="preserve">  - {SamplingFeatureObj:  *SamplingFeatureID0103, SpecimenTypeCV:  "Automated", SpecimenMediumCV:  "698.1123458", IsFieldSpecimen:  "TRUE"}</v>
      </c>
    </row>
    <row r="436" spans="1:4" x14ac:dyDescent="0.25">
      <c r="A436" s="27">
        <f t="shared" si="12"/>
        <v>17</v>
      </c>
      <c r="B436" s="27" t="str">
        <f>OFFSET('YODA Header Blocks'!$A$1,0,A436)</f>
        <v>Specimens</v>
      </c>
      <c r="C436" s="27">
        <f t="shared" si="13"/>
        <v>98</v>
      </c>
      <c r="D436" s="27"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Values'!R",ROW()-LengthHeader,"C2:R",ROW()-LengthHeader,"C",NumFileColumns+2),FALSE))," ],["))))</f>
        <v xml:space="preserve">  - {SamplingFeatureObj:  *SamplingFeatureID0104, SpecimenTypeCV:  "Automated", SpecimenMediumCV:  "809.6893027", IsFieldSpecimen:  "TRUE"}</v>
      </c>
    </row>
    <row r="437" spans="1:4" x14ac:dyDescent="0.25">
      <c r="A437" s="27">
        <f t="shared" si="12"/>
        <v>17</v>
      </c>
      <c r="B437" s="27" t="str">
        <f>OFFSET('YODA Header Blocks'!$A$1,0,A437)</f>
        <v>Specimens</v>
      </c>
      <c r="C437" s="27">
        <f t="shared" si="13"/>
        <v>99</v>
      </c>
      <c r="D437" s="27"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Values'!R",ROW()-LengthHeader,"C2:R",ROW()-LengthHeader,"C",NumFileColumns+2),FALSE))," ],["))))</f>
        <v xml:space="preserve">  - {SamplingFeatureObj:  *SamplingFeatureID0105, SpecimenTypeCV:  "Grab", SpecimenMediumCV:  "1199.483215", IsFieldSpecimen:  "TRUE"}</v>
      </c>
    </row>
    <row r="438" spans="1:4" x14ac:dyDescent="0.25">
      <c r="A438" s="27">
        <f t="shared" si="12"/>
        <v>17</v>
      </c>
      <c r="B438" s="27" t="str">
        <f>OFFSET('YODA Header Blocks'!$A$1,0,A438)</f>
        <v>Specimens</v>
      </c>
      <c r="C438" s="27">
        <f t="shared" si="13"/>
        <v>100</v>
      </c>
      <c r="D438" s="27"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Values'!R",ROW()-LengthHeader,"C2:R",ROW()-LengthHeader,"C",NumFileColumns+2),FALSE))," ],["))))</f>
        <v xml:space="preserve">  - {SamplingFeatureObj:  *SamplingFeatureID0106, SpecimenTypeCV:  "Grab", SpecimenMediumCV:  "1186.81862", IsFieldSpecimen:  "TRUE"}</v>
      </c>
    </row>
    <row r="439" spans="1:4" x14ac:dyDescent="0.25">
      <c r="A439" s="27">
        <f t="shared" si="12"/>
        <v>17</v>
      </c>
      <c r="B439" s="27" t="str">
        <f>OFFSET('YODA Header Blocks'!$A$1,0,A439)</f>
        <v>Specimens</v>
      </c>
      <c r="C439" s="27">
        <f t="shared" si="13"/>
        <v>101</v>
      </c>
      <c r="D439" s="27"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Values'!R",ROW()-LengthHeader,"C2:R",ROW()-LengthHeader,"C",NumFileColumns+2),FALSE))," ],["))))</f>
        <v xml:space="preserve">  - {SamplingFeatureObj:  *SamplingFeatureID0107, SpecimenTypeCV:  "Grab", SpecimenMediumCV:  "1117.783055", IsFieldSpecimen:  "TRUE"}</v>
      </c>
    </row>
    <row r="440" spans="1:4" x14ac:dyDescent="0.25">
      <c r="A440" s="27">
        <f t="shared" si="12"/>
        <v>17</v>
      </c>
      <c r="B440" s="27" t="str">
        <f>OFFSET('YODA Header Blocks'!$A$1,0,A440)</f>
        <v>Specimens</v>
      </c>
      <c r="C440" s="27">
        <f t="shared" si="13"/>
        <v>102</v>
      </c>
      <c r="D440" s="27"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Values'!R",ROW()-LengthHeader,"C2:R",ROW()-LengthHeader,"C",NumFileColumns+2),FALSE))," ],["))))</f>
        <v xml:space="preserve">  - {SamplingFeatureObj:  *SamplingFeatureID0108, SpecimenTypeCV:  "Grab", SpecimenMediumCV:  "1189.75084", IsFieldSpecimen:  "TRUE"}</v>
      </c>
    </row>
    <row r="441" spans="1:4" x14ac:dyDescent="0.25">
      <c r="A441" s="27">
        <f t="shared" si="12"/>
        <v>17</v>
      </c>
      <c r="B441" s="27" t="str">
        <f>OFFSET('YODA Header Blocks'!$A$1,0,A441)</f>
        <v>Specimens</v>
      </c>
      <c r="C441" s="27">
        <f t="shared" si="13"/>
        <v>103</v>
      </c>
      <c r="D441" s="27"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Values'!R",ROW()-LengthHeader,"C2:R",ROW()-LengthHeader,"C",NumFileColumns+2),FALSE))," ],["))))</f>
        <v xml:space="preserve">  - {SamplingFeatureObj:  *SamplingFeatureID0109, SpecimenTypeCV:  "Grab", SpecimenMediumCV:  "1112.500548", IsFieldSpecimen:  "TRUE"}</v>
      </c>
    </row>
    <row r="442" spans="1:4" x14ac:dyDescent="0.25">
      <c r="A442" s="27">
        <f t="shared" si="12"/>
        <v>17</v>
      </c>
      <c r="B442" s="27" t="str">
        <f>OFFSET('YODA Header Blocks'!$A$1,0,A442)</f>
        <v>Specimens</v>
      </c>
      <c r="C442" s="27">
        <f t="shared" si="13"/>
        <v>104</v>
      </c>
      <c r="D442" s="27"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Values'!R",ROW()-LengthHeader,"C2:R",ROW()-LengthHeader,"C",NumFileColumns+2),FALSE))," ],["))))</f>
        <v xml:space="preserve">  - {SamplingFeatureObj:  *SamplingFeatureID0110, SpecimenTypeCV:  "Grab", SpecimenMediumCV:  "1178.485531", IsFieldSpecimen:  "TRUE"}</v>
      </c>
    </row>
    <row r="443" spans="1:4" x14ac:dyDescent="0.25">
      <c r="A443" s="27">
        <f t="shared" si="12"/>
        <v>17</v>
      </c>
      <c r="B443" s="27" t="str">
        <f>OFFSET('YODA Header Blocks'!$A$1,0,A443)</f>
        <v>Specimens</v>
      </c>
      <c r="C443" s="27">
        <f t="shared" si="13"/>
        <v>105</v>
      </c>
      <c r="D443" s="27"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Values'!R",ROW()-LengthHeader,"C2:R",ROW()-LengthHeader,"C",NumFileColumns+2),FALSE))," ],["))))</f>
        <v xml:space="preserve">  - {SamplingFeatureObj:  *SamplingFeatureID0111, SpecimenTypeCV:  "Automated", SpecimenMediumCV:  "501.3690704", IsFieldSpecimen:  "TRUE"}</v>
      </c>
    </row>
    <row r="444" spans="1:4" x14ac:dyDescent="0.25">
      <c r="A444" s="27">
        <f t="shared" si="12"/>
        <v>17</v>
      </c>
      <c r="B444" s="27" t="str">
        <f>OFFSET('YODA Header Blocks'!$A$1,0,A444)</f>
        <v>Specimens</v>
      </c>
      <c r="C444" s="27">
        <f t="shared" si="13"/>
        <v>106</v>
      </c>
      <c r="D444" s="27"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Values'!R",ROW()-LengthHeader,"C2:R",ROW()-LengthHeader,"C",NumFileColumns+2),FALSE))," ],["))))</f>
        <v xml:space="preserve">  - {SamplingFeatureObj:  *SamplingFeatureID0112, SpecimenTypeCV:  "Automated", SpecimenMediumCV:  "1059.032604", IsFieldSpecimen:  "TRUE"}</v>
      </c>
    </row>
    <row r="445" spans="1:4" x14ac:dyDescent="0.25">
      <c r="A445" s="27">
        <f t="shared" si="12"/>
        <v>17</v>
      </c>
      <c r="B445" s="27" t="str">
        <f>OFFSET('YODA Header Blocks'!$A$1,0,A445)</f>
        <v>Specimens</v>
      </c>
      <c r="C445" s="27">
        <f t="shared" si="13"/>
        <v>107</v>
      </c>
      <c r="D445" s="27"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Values'!R",ROW()-LengthHeader,"C2:R",ROW()-LengthHeader,"C",NumFileColumns+2),FALSE))," ],["))))</f>
        <v xml:space="preserve">  - {SamplingFeatureObj:  *SamplingFeatureID0113, SpecimenTypeCV:  "Automated", SpecimenMediumCV:  "390.2634418", IsFieldSpecimen:  "TRUE"}</v>
      </c>
    </row>
    <row r="446" spans="1:4" x14ac:dyDescent="0.25">
      <c r="A446" s="27">
        <f t="shared" si="12"/>
        <v>17</v>
      </c>
      <c r="B446" s="27" t="str">
        <f>OFFSET('YODA Header Blocks'!$A$1,0,A446)</f>
        <v>Specimens</v>
      </c>
      <c r="C446" s="27">
        <f t="shared" si="13"/>
        <v>108</v>
      </c>
      <c r="D446" s="27"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Values'!R",ROW()-LengthHeader,"C2:R",ROW()-LengthHeader,"C",NumFileColumns+2),FALSE))," ],["))))</f>
        <v xml:space="preserve">  - {SamplingFeatureObj:  *SamplingFeatureID0114, SpecimenTypeCV:  "Automated", SpecimenMediumCV:  "850.9793138", IsFieldSpecimen:  "TRUE"}</v>
      </c>
    </row>
    <row r="447" spans="1:4" x14ac:dyDescent="0.25">
      <c r="A447" s="27">
        <f t="shared" si="12"/>
        <v>17</v>
      </c>
      <c r="B447" s="27" t="str">
        <f>OFFSET('YODA Header Blocks'!$A$1,0,A447)</f>
        <v>Specimens</v>
      </c>
      <c r="C447" s="27">
        <f t="shared" si="13"/>
        <v>109</v>
      </c>
      <c r="D447" s="27"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Values'!R",ROW()-LengthHeader,"C2:R",ROW()-LengthHeader,"C",NumFileColumns+2),FALSE))," ],["))))</f>
        <v xml:space="preserve">  - {SamplingFeatureObj:  *SamplingFeatureID0115, SpecimenTypeCV:  "Automated", SpecimenMediumCV:  "771.7780808", IsFieldSpecimen:  "TRUE"}</v>
      </c>
    </row>
    <row r="448" spans="1:4" x14ac:dyDescent="0.25">
      <c r="A448" s="27">
        <f t="shared" si="12"/>
        <v>17</v>
      </c>
      <c r="B448" s="27" t="str">
        <f>OFFSET('YODA Header Blocks'!$A$1,0,A448)</f>
        <v>Specimens</v>
      </c>
      <c r="C448" s="27">
        <f t="shared" si="13"/>
        <v>110</v>
      </c>
      <c r="D448" s="27"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Values'!R",ROW()-LengthHeader,"C2:R",ROW()-LengthHeader,"C",NumFileColumns+2),FALSE))," ],["))))</f>
        <v xml:space="preserve">  - {SamplingFeatureObj:  *SamplingFeatureID0116, SpecimenTypeCV:  "Automated", SpecimenMediumCV:  "323.9633189", IsFieldSpecimen:  "TRUE"}</v>
      </c>
    </row>
    <row r="449" spans="1:4" x14ac:dyDescent="0.25">
      <c r="A449" s="27">
        <f t="shared" si="12"/>
        <v>17</v>
      </c>
      <c r="B449" s="27" t="str">
        <f>OFFSET('YODA Header Blocks'!$A$1,0,A449)</f>
        <v>Specimens</v>
      </c>
      <c r="C449" s="27">
        <f t="shared" si="13"/>
        <v>111</v>
      </c>
      <c r="D449" s="27"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Values'!R",ROW()-LengthHeader,"C2:R",ROW()-LengthHeader,"C",NumFileColumns+2),FALSE))," ],["))))</f>
        <v xml:space="preserve">  - {SamplingFeatureObj:  *SamplingFeatureID0117, SpecimenTypeCV:  "Automated", SpecimenMediumCV:  "634.3742899", IsFieldSpecimen:  "TRUE"}</v>
      </c>
    </row>
    <row r="450" spans="1:4" x14ac:dyDescent="0.25">
      <c r="A450" s="27">
        <f t="shared" si="12"/>
        <v>17</v>
      </c>
      <c r="B450" s="27" t="str">
        <f>OFFSET('YODA Header Blocks'!$A$1,0,A450)</f>
        <v>Specimens</v>
      </c>
      <c r="C450" s="27">
        <f t="shared" si="13"/>
        <v>112</v>
      </c>
      <c r="D450" s="27"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Values'!R",ROW()-LengthHeader,"C2:R",ROW()-LengthHeader,"C",NumFileColumns+2),FALSE))," ],["))))</f>
        <v xml:space="preserve">  - {SamplingFeatureObj:  *SamplingFeatureID0118, SpecimenTypeCV:  "Automated", SpecimenMediumCV:  "195.8759784", IsFieldSpecimen:  "TRUE"}</v>
      </c>
    </row>
    <row r="451" spans="1:4" x14ac:dyDescent="0.25">
      <c r="A451" s="27">
        <f t="shared" si="12"/>
        <v>17</v>
      </c>
      <c r="B451" s="27" t="str">
        <f>OFFSET('YODA Header Blocks'!$A$1,0,A451)</f>
        <v>Specimens</v>
      </c>
      <c r="C451" s="27">
        <f t="shared" si="13"/>
        <v>113</v>
      </c>
      <c r="D451" s="27"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Values'!R",ROW()-LengthHeader,"C2:R",ROW()-LengthHeader,"C",NumFileColumns+2),FALSE))," ],["))))</f>
        <v xml:space="preserve">  - {SamplingFeatureObj:  *SamplingFeatureID0119, SpecimenTypeCV:  "Automated", SpecimenMediumCV:  "416.6658325", IsFieldSpecimen:  "TRUE"}</v>
      </c>
    </row>
    <row r="452" spans="1:4" x14ac:dyDescent="0.25">
      <c r="A452" s="27">
        <f t="shared" ref="A452:A515" si="14">IF(C451=INDIRECT(CONCATENATE("'YODA Header Blocks'!R2C",A451+1,":R2C",A451+1),FALSE),A451+1,A451)</f>
        <v>17</v>
      </c>
      <c r="B452" s="27" t="str">
        <f>OFFSET('YODA Header Blocks'!$A$1,0,A452)</f>
        <v>Specimens</v>
      </c>
      <c r="C452" s="27">
        <f t="shared" ref="C452:C515" si="15">IF(C451=SUM(INDIRECT(CONCATENATE("'YODA Header Blocks'!R2C",A451+1,":R2C",A451+1),FALSE)),1,C451+1)</f>
        <v>114</v>
      </c>
      <c r="D452" s="27"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Values'!R",ROW()-LengthHeader,"C2:R",ROW()-LengthHeader,"C",NumFileColumns+2),FALSE))," ],["))))</f>
        <v xml:space="preserve">  - {SamplingFeatureObj:  *SamplingFeatureID0120, SpecimenTypeCV:  "Automated", SpecimenMediumCV:  "338.7387402", IsFieldSpecimen:  "TRUE"}</v>
      </c>
    </row>
    <row r="453" spans="1:4" x14ac:dyDescent="0.25">
      <c r="A453" s="27">
        <f t="shared" si="14"/>
        <v>17</v>
      </c>
      <c r="B453" s="27" t="str">
        <f>OFFSET('YODA Header Blocks'!$A$1,0,A453)</f>
        <v>Specimens</v>
      </c>
      <c r="C453" s="27">
        <f t="shared" si="15"/>
        <v>115</v>
      </c>
      <c r="D453" s="27"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Values'!R",ROW()-LengthHeader,"C2:R",ROW()-LengthHeader,"C",NumFileColumns+2),FALSE))," ],["))))</f>
        <v xml:space="preserve">  - {SamplingFeatureObj:  *SamplingFeatureID0121, SpecimenTypeCV:  "Automated", SpecimenMediumCV:  "394.5595921", IsFieldSpecimen:  "TRUE"}</v>
      </c>
    </row>
    <row r="454" spans="1:4" x14ac:dyDescent="0.25">
      <c r="A454" s="27">
        <f t="shared" si="14"/>
        <v>17</v>
      </c>
      <c r="B454" s="27" t="str">
        <f>OFFSET('YODA Header Blocks'!$A$1,0,A454)</f>
        <v>Specimens</v>
      </c>
      <c r="C454" s="27">
        <f t="shared" si="15"/>
        <v>116</v>
      </c>
      <c r="D454" s="27"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Values'!R",ROW()-LengthHeader,"C2:R",ROW()-LengthHeader,"C",NumFileColumns+2),FALSE))," ],["))))</f>
        <v xml:space="preserve">  - {SamplingFeatureObj:  *SamplingFeatureID0122, SpecimenTypeCV:  "Automated", SpecimenMediumCV:  "473.1762211", IsFieldSpecimen:  "TRUE"}</v>
      </c>
    </row>
    <row r="455" spans="1:4" x14ac:dyDescent="0.25">
      <c r="A455" s="27">
        <f t="shared" si="14"/>
        <v>17</v>
      </c>
      <c r="B455" s="27" t="str">
        <f>OFFSET('YODA Header Blocks'!$A$1,0,A455)</f>
        <v>Specimens</v>
      </c>
      <c r="C455" s="27">
        <f t="shared" si="15"/>
        <v>117</v>
      </c>
      <c r="D455" s="27"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Values'!R",ROW()-LengthHeader,"C2:R",ROW()-LengthHeader,"C",NumFileColumns+2),FALSE))," ],["))))</f>
        <v xml:space="preserve">  - {SamplingFeatureObj:  *SamplingFeatureID0123, SpecimenTypeCV:  "Automated", SpecimenMediumCV:  "202.5184964", IsFieldSpecimen:  "TRUE"}</v>
      </c>
    </row>
    <row r="456" spans="1:4" x14ac:dyDescent="0.25">
      <c r="A456" s="27">
        <f t="shared" si="14"/>
        <v>17</v>
      </c>
      <c r="B456" s="27" t="str">
        <f>OFFSET('YODA Header Blocks'!$A$1,0,A456)</f>
        <v>Specimens</v>
      </c>
      <c r="C456" s="27">
        <f t="shared" si="15"/>
        <v>118</v>
      </c>
      <c r="D456" s="27"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Values'!R",ROW()-LengthHeader,"C2:R",ROW()-LengthHeader,"C",NumFileColumns+2),FALSE))," ],["))))</f>
        <v xml:space="preserve">  - {SamplingFeatureObj:  *SamplingFeatureID0124, SpecimenTypeCV:  "Automated", SpecimenMediumCV:  "670.6142664", IsFieldSpecimen:  "TRUE"}</v>
      </c>
    </row>
    <row r="457" spans="1:4" x14ac:dyDescent="0.25">
      <c r="A457" s="27">
        <f t="shared" si="14"/>
        <v>17</v>
      </c>
      <c r="B457" s="27" t="str">
        <f>OFFSET('YODA Header Blocks'!$A$1,0,A457)</f>
        <v>Specimens</v>
      </c>
      <c r="C457" s="27">
        <f t="shared" si="15"/>
        <v>119</v>
      </c>
      <c r="D457" s="27"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Values'!R",ROW()-LengthHeader,"C2:R",ROW()-LengthHeader,"C",NumFileColumns+2),FALSE))," ],["))))</f>
        <v xml:space="preserve">  - {SamplingFeatureObj:  *SamplingFeatureID0125, SpecimenTypeCV:  "Automated", SpecimenMediumCV:  "241.3465531", IsFieldSpecimen:  "TRUE"}</v>
      </c>
    </row>
    <row r="458" spans="1:4" x14ac:dyDescent="0.25">
      <c r="A458" s="27">
        <f t="shared" si="14"/>
        <v>17</v>
      </c>
      <c r="B458" s="27" t="str">
        <f>OFFSET('YODA Header Blocks'!$A$1,0,A458)</f>
        <v>Specimens</v>
      </c>
      <c r="C458" s="27">
        <f t="shared" si="15"/>
        <v>120</v>
      </c>
      <c r="D458" s="27"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Values'!R",ROW()-LengthHeader,"C2:R",ROW()-LengthHeader,"C",NumFileColumns+2),FALSE))," ],["))))</f>
        <v xml:space="preserve">  - {SamplingFeatureObj:  *SamplingFeatureID0126, SpecimenTypeCV:  "Automated", SpecimenMediumCV:  "853.703363", IsFieldSpecimen:  "TRUE"}</v>
      </c>
    </row>
    <row r="459" spans="1:4" x14ac:dyDescent="0.25">
      <c r="A459" s="27">
        <f t="shared" si="14"/>
        <v>17</v>
      </c>
      <c r="B459" s="27" t="str">
        <f>OFFSET('YODA Header Blocks'!$A$1,0,A459)</f>
        <v>Specimens</v>
      </c>
      <c r="C459" s="27">
        <f t="shared" si="15"/>
        <v>121</v>
      </c>
      <c r="D459" s="27"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Values'!R",ROW()-LengthHeader,"C2:R",ROW()-LengthHeader,"C",NumFileColumns+2),FALSE))," ],["))))</f>
        <v xml:space="preserve">  - {SamplingFeatureObj:  *SamplingFeatureID0127, SpecimenTypeCV:  "Grab", SpecimenMediumCV:  "PLEASE PUT A SPECIMEN MEDIUM IN ROW 120", IsFieldSpecimen:  "TRUE"}</v>
      </c>
    </row>
    <row r="460" spans="1:4" x14ac:dyDescent="0.25">
      <c r="A460" s="27">
        <f t="shared" si="14"/>
        <v>17</v>
      </c>
      <c r="B460" s="27" t="str">
        <f>OFFSET('YODA Header Blocks'!$A$1,0,A460)</f>
        <v>Specimens</v>
      </c>
      <c r="C460" s="27">
        <f t="shared" si="15"/>
        <v>122</v>
      </c>
      <c r="D460" s="27"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Values'!R",ROW()-LengthHeader,"C2:R",ROW()-LengthHeader,"C",NumFileColumns+2),FALSE))," ],["))))</f>
        <v xml:space="preserve">  - {SamplingFeatureObj:  *SamplingFeatureID0128, SpecimenTypeCV:  "Grab", SpecimenMediumCV:  "PLEASE PUT A SPECIMEN MEDIUM IN ROW 121", IsFieldSpecimen:  "TRUE"}</v>
      </c>
    </row>
    <row r="461" spans="1:4" x14ac:dyDescent="0.25">
      <c r="A461" s="27">
        <f t="shared" si="14"/>
        <v>17</v>
      </c>
      <c r="B461" s="27" t="str">
        <f>OFFSET('YODA Header Blocks'!$A$1,0,A461)</f>
        <v>Specimens</v>
      </c>
      <c r="C461" s="27">
        <f t="shared" si="15"/>
        <v>123</v>
      </c>
      <c r="D461" s="27"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Values'!R",ROW()-LengthHeader,"C2:R",ROW()-LengthHeader,"C",NumFileColumns+2),FALSE))," ],["))))</f>
        <v xml:space="preserve">  - {SamplingFeatureObj:  *SamplingFeatureID0129, SpecimenTypeCV:  "Grab", SpecimenMediumCV:  "1159.093252", IsFieldSpecimen:  "TRUE"}</v>
      </c>
    </row>
    <row r="462" spans="1:4" x14ac:dyDescent="0.25">
      <c r="A462" s="27">
        <f t="shared" si="14"/>
        <v>17</v>
      </c>
      <c r="B462" s="27" t="str">
        <f>OFFSET('YODA Header Blocks'!$A$1,0,A462)</f>
        <v>Specimens</v>
      </c>
      <c r="C462" s="27">
        <f t="shared" si="15"/>
        <v>124</v>
      </c>
      <c r="D462" s="27"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Values'!R",ROW()-LengthHeader,"C2:R",ROW()-LengthHeader,"C",NumFileColumns+2),FALSE))," ],["))))</f>
        <v xml:space="preserve">  - {SamplingFeatureObj:  *SamplingFeatureID0130, SpecimenTypeCV:  "Grab", SpecimenMediumCV:  "1132.152979", IsFieldSpecimen:  "TRUE"}</v>
      </c>
    </row>
    <row r="463" spans="1:4" x14ac:dyDescent="0.25">
      <c r="A463" s="27">
        <f t="shared" si="14"/>
        <v>17</v>
      </c>
      <c r="B463" s="27" t="str">
        <f>OFFSET('YODA Header Blocks'!$A$1,0,A463)</f>
        <v>Specimens</v>
      </c>
      <c r="C463" s="27">
        <f t="shared" si="15"/>
        <v>125</v>
      </c>
      <c r="D463" s="27"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Values'!R",ROW()-LengthHeader,"C2:R",ROW()-LengthHeader,"C",NumFileColumns+2),FALSE))," ],["))))</f>
        <v xml:space="preserve">  - {SamplingFeatureObj:  *SamplingFeatureID0131, SpecimenTypeCV:  "Grab", SpecimenMediumCV:  "1078.067419", IsFieldSpecimen:  "TRUE"}</v>
      </c>
    </row>
    <row r="464" spans="1:4" x14ac:dyDescent="0.25">
      <c r="A464" s="27">
        <f t="shared" si="14"/>
        <v>17</v>
      </c>
      <c r="B464" s="27" t="str">
        <f>OFFSET('YODA Header Blocks'!$A$1,0,A464)</f>
        <v>Specimens</v>
      </c>
      <c r="C464" s="27">
        <f t="shared" si="15"/>
        <v>126</v>
      </c>
      <c r="D464" s="27"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Values'!R",ROW()-LengthHeader,"C2:R",ROW()-LengthHeader,"C",NumFileColumns+2),FALSE))," ],["))))</f>
        <v xml:space="preserve">  - {SamplingFeatureObj:  *SamplingFeatureID0132, SpecimenTypeCV:  "Automated", SpecimenMediumCV:  "PLEASE PUT A SPECIMEN MEDIUM IN ROW 125", IsFieldSpecimen:  "TRUE"}</v>
      </c>
    </row>
    <row r="465" spans="1:4" x14ac:dyDescent="0.25">
      <c r="A465" s="27">
        <f t="shared" si="14"/>
        <v>17</v>
      </c>
      <c r="B465" s="27" t="str">
        <f>OFFSET('YODA Header Blocks'!$A$1,0,A465)</f>
        <v>Specimens</v>
      </c>
      <c r="C465" s="27">
        <f t="shared" si="15"/>
        <v>127</v>
      </c>
      <c r="D465" s="27"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Values'!R",ROW()-LengthHeader,"C2:R",ROW()-LengthHeader,"C",NumFileColumns+2),FALSE))," ],["))))</f>
        <v xml:space="preserve">  - {SamplingFeatureObj:  *SamplingFeatureID0133, SpecimenTypeCV:  "Automated", SpecimenMediumCV:  "PLEASE PUT A SPECIMEN MEDIUM IN ROW 126", IsFieldSpecimen:  "TRUE"}</v>
      </c>
    </row>
    <row r="466" spans="1:4" x14ac:dyDescent="0.25">
      <c r="A466" s="27">
        <f t="shared" si="14"/>
        <v>17</v>
      </c>
      <c r="B466" s="27" t="str">
        <f>OFFSET('YODA Header Blocks'!$A$1,0,A466)</f>
        <v>Specimens</v>
      </c>
      <c r="C466" s="27">
        <f t="shared" si="15"/>
        <v>128</v>
      </c>
      <c r="D466" s="27"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Values'!R",ROW()-LengthHeader,"C2:R",ROW()-LengthHeader,"C",NumFileColumns+2),FALSE))," ],["))))</f>
        <v xml:space="preserve">  - {SamplingFeatureObj:  *SamplingFeatureID0134, SpecimenTypeCV:  "Automated", SpecimenMediumCV:  "PLEASE PUT A SPECIMEN MEDIUM IN ROW 127", IsFieldSpecimen:  "TRUE"}</v>
      </c>
    </row>
    <row r="467" spans="1:4" x14ac:dyDescent="0.25">
      <c r="A467" s="27">
        <f t="shared" si="14"/>
        <v>17</v>
      </c>
      <c r="B467" s="27" t="str">
        <f>OFFSET('YODA Header Blocks'!$A$1,0,A467)</f>
        <v>Specimens</v>
      </c>
      <c r="C467" s="27">
        <f t="shared" si="15"/>
        <v>129</v>
      </c>
      <c r="D467" s="27"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Values'!R",ROW()-LengthHeader,"C2:R",ROW()-LengthHeader,"C",NumFileColumns+2),FALSE))," ],["))))</f>
        <v xml:space="preserve">  - {SamplingFeatureObj:  *SamplingFeatureID0135, SpecimenTypeCV:  "Grab", SpecimenMediumCV:  "1198.798924", IsFieldSpecimen:  "TRUE"}</v>
      </c>
    </row>
    <row r="468" spans="1:4" x14ac:dyDescent="0.25">
      <c r="A468" s="27">
        <f t="shared" si="14"/>
        <v>17</v>
      </c>
      <c r="B468" s="27" t="str">
        <f>OFFSET('YODA Header Blocks'!$A$1,0,A468)</f>
        <v>Specimens</v>
      </c>
      <c r="C468" s="27">
        <f t="shared" si="15"/>
        <v>130</v>
      </c>
      <c r="D468" s="27"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Values'!R",ROW()-LengthHeader,"C2:R",ROW()-LengthHeader,"C",NumFileColumns+2),FALSE))," ],["))))</f>
        <v xml:space="preserve">  - {SamplingFeatureObj:  *SamplingFeatureID0136, SpecimenTypeCV:  "Grab", SpecimenMediumCV:  "1128.434324", IsFieldSpecimen:  "TRUE"}</v>
      </c>
    </row>
    <row r="469" spans="1:4" x14ac:dyDescent="0.25">
      <c r="A469" s="27">
        <f t="shared" si="14"/>
        <v>17</v>
      </c>
      <c r="B469" s="27" t="str">
        <f>OFFSET('YODA Header Blocks'!$A$1,0,A469)</f>
        <v>Specimens</v>
      </c>
      <c r="C469" s="27">
        <f t="shared" si="15"/>
        <v>131</v>
      </c>
      <c r="D469" s="27"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Values'!R",ROW()-LengthHeader,"C2:R",ROW()-LengthHeader,"C",NumFileColumns+2),FALSE))," ],["))))</f>
        <v xml:space="preserve">  - {SamplingFeatureObj:  *SamplingFeatureID0137, SpecimenTypeCV:  "Grab", SpecimenMediumCV:  "1182.589456", IsFieldSpecimen:  "TRUE"}</v>
      </c>
    </row>
    <row r="470" spans="1:4" x14ac:dyDescent="0.25">
      <c r="A470" s="27">
        <f t="shared" si="14"/>
        <v>17</v>
      </c>
      <c r="B470" s="27" t="str">
        <f>OFFSET('YODA Header Blocks'!$A$1,0,A470)</f>
        <v>Specimens</v>
      </c>
      <c r="C470" s="27">
        <f t="shared" si="15"/>
        <v>132</v>
      </c>
      <c r="D470" s="27"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Values'!R",ROW()-LengthHeader,"C2:R",ROW()-LengthHeader,"C",NumFileColumns+2),FALSE))," ],["))))</f>
        <v xml:space="preserve">  - {SamplingFeatureObj:  *SamplingFeatureID0138, SpecimenTypeCV:  "Grab", SpecimenMediumCV:  "1261.674928", IsFieldSpecimen:  "TRUE"}</v>
      </c>
    </row>
    <row r="471" spans="1:4" x14ac:dyDescent="0.25">
      <c r="A471" s="27">
        <f t="shared" si="14"/>
        <v>17</v>
      </c>
      <c r="B471" s="27" t="str">
        <f>OFFSET('YODA Header Blocks'!$A$1,0,A471)</f>
        <v>Specimens</v>
      </c>
      <c r="C471" s="27">
        <f t="shared" si="15"/>
        <v>133</v>
      </c>
      <c r="D471" s="27"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Values'!R",ROW()-LengthHeader,"C2:R",ROW()-LengthHeader,"C",NumFileColumns+2),FALSE))," ],["))))</f>
        <v xml:space="preserve">  - {SamplingFeatureObj:  *SamplingFeatureID0139, SpecimenTypeCV:  "Grab", SpecimenMediumCV:  "1186.18696", IsFieldSpecimen:  "TRUE"}</v>
      </c>
    </row>
    <row r="472" spans="1:4" x14ac:dyDescent="0.25">
      <c r="A472" s="27">
        <f t="shared" si="14"/>
        <v>17</v>
      </c>
      <c r="B472" s="27" t="str">
        <f>OFFSET('YODA Header Blocks'!$A$1,0,A472)</f>
        <v>Specimens</v>
      </c>
      <c r="C472" s="27">
        <f t="shared" si="15"/>
        <v>134</v>
      </c>
      <c r="D472" s="27"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Values'!R",ROW()-LengthHeader,"C2:R",ROW()-LengthHeader,"C",NumFileColumns+2),FALSE))," ],["))))</f>
        <v xml:space="preserve">  - {SamplingFeatureObj:  *SamplingFeatureID0140, SpecimenTypeCV:  "Grab", SpecimenMediumCV:  "1252.236197", IsFieldSpecimen:  "TRUE"}</v>
      </c>
    </row>
    <row r="473" spans="1:4" x14ac:dyDescent="0.25">
      <c r="A473" s="27">
        <f t="shared" si="14"/>
        <v>17</v>
      </c>
      <c r="B473" s="27" t="str">
        <f>OFFSET('YODA Header Blocks'!$A$1,0,A473)</f>
        <v>Specimens</v>
      </c>
      <c r="C473" s="27">
        <f t="shared" si="15"/>
        <v>135</v>
      </c>
      <c r="D473" s="27"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Values'!R",ROW()-LengthHeader,"C2:R",ROW()-LengthHeader,"C",NumFileColumns+2),FALSE))," ],["))))</f>
        <v xml:space="preserve">  - {SamplingFeatureObj:  *SamplingFeatureID0141, SpecimenTypeCV:  "Grab", SpecimenMediumCV:  "PLEASE PUT A SPECIMEN MEDIUM IN ROW 134", IsFieldSpecimen:  "TRUE"}</v>
      </c>
    </row>
    <row r="474" spans="1:4" x14ac:dyDescent="0.25">
      <c r="A474" s="27">
        <f t="shared" si="14"/>
        <v>17</v>
      </c>
      <c r="B474" s="27" t="str">
        <f>OFFSET('YODA Header Blocks'!$A$1,0,A474)</f>
        <v>Specimens</v>
      </c>
      <c r="C474" s="27">
        <f t="shared" si="15"/>
        <v>136</v>
      </c>
      <c r="D474" s="27"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Values'!R",ROW()-LengthHeader,"C2:R",ROW()-LengthHeader,"C",NumFileColumns+2),FALSE))," ],["))))</f>
        <v xml:space="preserve">  - {SamplingFeatureObj:  *SamplingFeatureID0142, SpecimenTypeCV:  "Grab", SpecimenMediumCV:  "PLEASE PUT A SPECIMEN MEDIUM IN ROW 135", IsFieldSpecimen:  "TRUE"}</v>
      </c>
    </row>
    <row r="475" spans="1:4" x14ac:dyDescent="0.25">
      <c r="A475" s="27">
        <f t="shared" si="14"/>
        <v>17</v>
      </c>
      <c r="B475" s="27" t="str">
        <f>OFFSET('YODA Header Blocks'!$A$1,0,A475)</f>
        <v>Specimens</v>
      </c>
      <c r="C475" s="27">
        <f t="shared" si="15"/>
        <v>137</v>
      </c>
      <c r="D475" s="27"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Values'!R",ROW()-LengthHeader,"C2:R",ROW()-LengthHeader,"C",NumFileColumns+2),FALSE))," ],["))))</f>
        <v xml:space="preserve">  - {SamplingFeatureObj:  *SamplingFeatureID0143, SpecimenTypeCV:  "Automated", SpecimenMediumCV:  "1259.376144", IsFieldSpecimen:  "TRUE"}</v>
      </c>
    </row>
    <row r="476" spans="1:4" x14ac:dyDescent="0.25">
      <c r="A476" s="27">
        <f t="shared" si="14"/>
        <v>17</v>
      </c>
      <c r="B476" s="27" t="str">
        <f>OFFSET('YODA Header Blocks'!$A$1,0,A476)</f>
        <v>Specimens</v>
      </c>
      <c r="C476" s="27">
        <f t="shared" si="15"/>
        <v>138</v>
      </c>
      <c r="D476" s="27"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Values'!R",ROW()-LengthHeader,"C2:R",ROW()-LengthHeader,"C",NumFileColumns+2),FALSE))," ],["))))</f>
        <v xml:space="preserve">  - {SamplingFeatureObj:  *SamplingFeatureID0144, SpecimenTypeCV:  "Automated", SpecimenMediumCV:  "1227.988686", IsFieldSpecimen:  "TRUE"}</v>
      </c>
    </row>
    <row r="477" spans="1:4" x14ac:dyDescent="0.25">
      <c r="A477" s="27">
        <f t="shared" si="14"/>
        <v>17</v>
      </c>
      <c r="B477" s="27" t="str">
        <f>OFFSET('YODA Header Blocks'!$A$1,0,A477)</f>
        <v>Specimens</v>
      </c>
      <c r="C477" s="27">
        <f t="shared" si="15"/>
        <v>139</v>
      </c>
      <c r="D477" s="27"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Values'!R",ROW()-LengthHeader,"C2:R",ROW()-LengthHeader,"C",NumFileColumns+2),FALSE))," ],["))))</f>
        <v xml:space="preserve">  - {SamplingFeatureObj:  *SamplingFeatureID0145, SpecimenTypeCV:  "Automated", SpecimenMediumCV:  "1129.308161", IsFieldSpecimen:  "TRUE"}</v>
      </c>
    </row>
    <row r="478" spans="1:4" x14ac:dyDescent="0.25">
      <c r="A478" s="27">
        <f t="shared" si="14"/>
        <v>17</v>
      </c>
      <c r="B478" s="27" t="str">
        <f>OFFSET('YODA Header Blocks'!$A$1,0,A478)</f>
        <v>Specimens</v>
      </c>
      <c r="C478" s="27">
        <f t="shared" si="15"/>
        <v>140</v>
      </c>
      <c r="D478" s="27"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Values'!R",ROW()-LengthHeader,"C2:R",ROW()-LengthHeader,"C",NumFileColumns+2),FALSE))," ],["))))</f>
        <v xml:space="preserve">  - {SamplingFeatureObj:  *SamplingFeatureID0146, SpecimenTypeCV:  "Automated", SpecimenMediumCV:  "834.0399702", IsFieldSpecimen:  "TRUE"}</v>
      </c>
    </row>
    <row r="479" spans="1:4" x14ac:dyDescent="0.25">
      <c r="A479" s="27">
        <f t="shared" si="14"/>
        <v>17</v>
      </c>
      <c r="B479" s="27" t="str">
        <f>OFFSET('YODA Header Blocks'!$A$1,0,A479)</f>
        <v>Specimens</v>
      </c>
      <c r="C479" s="27">
        <f t="shared" si="15"/>
        <v>141</v>
      </c>
      <c r="D479" s="27"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Values'!R",ROW()-LengthHeader,"C2:R",ROW()-LengthHeader,"C",NumFileColumns+2),FALSE))," ],["))))</f>
        <v xml:space="preserve">  - {SamplingFeatureObj:  *SamplingFeatureID0147, SpecimenTypeCV:  "Automated", SpecimenMediumCV:  "682.6668804", IsFieldSpecimen:  "TRUE"}</v>
      </c>
    </row>
    <row r="480" spans="1:4" x14ac:dyDescent="0.25">
      <c r="A480" s="27">
        <f t="shared" si="14"/>
        <v>17</v>
      </c>
      <c r="B480" s="27" t="str">
        <f>OFFSET('YODA Header Blocks'!$A$1,0,A480)</f>
        <v>Specimens</v>
      </c>
      <c r="C480" s="27">
        <f t="shared" si="15"/>
        <v>142</v>
      </c>
      <c r="D480" s="27"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Values'!R",ROW()-LengthHeader,"C2:R",ROW()-LengthHeader,"C",NumFileColumns+2),FALSE))," ],["))))</f>
        <v xml:space="preserve">  - {SamplingFeatureObj:  *SamplingFeatureID0148, SpecimenTypeCV:  "Automated", SpecimenMediumCV:  "580.3083011", IsFieldSpecimen:  "TRUE"}</v>
      </c>
    </row>
    <row r="481" spans="1:4" x14ac:dyDescent="0.25">
      <c r="A481" s="27">
        <f t="shared" si="14"/>
        <v>17</v>
      </c>
      <c r="B481" s="27" t="str">
        <f>OFFSET('YODA Header Blocks'!$A$1,0,A481)</f>
        <v>Specimens</v>
      </c>
      <c r="C481" s="27">
        <f t="shared" si="15"/>
        <v>143</v>
      </c>
      <c r="D481" s="27"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Values'!R",ROW()-LengthHeader,"C2:R",ROW()-LengthHeader,"C",NumFileColumns+2),FALSE))," ],["))))</f>
        <v xml:space="preserve">  - {SamplingFeatureObj:  *SamplingFeatureID0149, SpecimenTypeCV:  "Automated", SpecimenMediumCV:  "550.007748", IsFieldSpecimen:  "TRUE"}</v>
      </c>
    </row>
    <row r="482" spans="1:4" x14ac:dyDescent="0.25">
      <c r="A482" s="27">
        <f t="shared" si="14"/>
        <v>17</v>
      </c>
      <c r="B482" s="27" t="str">
        <f>OFFSET('YODA Header Blocks'!$A$1,0,A482)</f>
        <v>Specimens</v>
      </c>
      <c r="C482" s="27">
        <f t="shared" si="15"/>
        <v>144</v>
      </c>
      <c r="D482" s="27"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Values'!R",ROW()-LengthHeader,"C2:R",ROW()-LengthHeader,"C",NumFileColumns+2),FALSE))," ],["))))</f>
        <v xml:space="preserve">  - {SamplingFeatureObj:  *SamplingFeatureID0150, SpecimenTypeCV:  "Automated", SpecimenMediumCV:  "632.6677443", IsFieldSpecimen:  "TRUE"}</v>
      </c>
    </row>
    <row r="483" spans="1:4" x14ac:dyDescent="0.25">
      <c r="A483" s="27">
        <f t="shared" si="14"/>
        <v>17</v>
      </c>
      <c r="B483" s="27" t="str">
        <f>OFFSET('YODA Header Blocks'!$A$1,0,A483)</f>
        <v>Specimens</v>
      </c>
      <c r="C483" s="27">
        <f t="shared" si="15"/>
        <v>145</v>
      </c>
      <c r="D483" s="27"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Values'!R",ROW()-LengthHeader,"C2:R",ROW()-LengthHeader,"C",NumFileColumns+2),FALSE))," ],["))))</f>
        <v xml:space="preserve">  - {SamplingFeatureObj:  *SamplingFeatureID0151, SpecimenTypeCV:  "Automated", SpecimenMediumCV:  "883.4998332", IsFieldSpecimen:  "TRUE"}</v>
      </c>
    </row>
    <row r="484" spans="1:4" x14ac:dyDescent="0.25">
      <c r="A484" s="27">
        <f t="shared" si="14"/>
        <v>17</v>
      </c>
      <c r="B484" s="27" t="str">
        <f>OFFSET('YODA Header Blocks'!$A$1,0,A484)</f>
        <v>Specimens</v>
      </c>
      <c r="C484" s="27">
        <f t="shared" si="15"/>
        <v>146</v>
      </c>
      <c r="D484" s="27"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Values'!R",ROW()-LengthHeader,"C2:R",ROW()-LengthHeader,"C",NumFileColumns+2),FALSE))," ],["))))</f>
        <v xml:space="preserve">  - {SamplingFeatureObj:  *SamplingFeatureID0152, SpecimenTypeCV:  "Automated", SpecimenMediumCV:  "1125.15437", IsFieldSpecimen:  "TRUE"}</v>
      </c>
    </row>
    <row r="485" spans="1:4" x14ac:dyDescent="0.25">
      <c r="A485" s="27">
        <f t="shared" si="14"/>
        <v>17</v>
      </c>
      <c r="B485" s="27" t="str">
        <f>OFFSET('YODA Header Blocks'!$A$1,0,A485)</f>
        <v>Specimens</v>
      </c>
      <c r="C485" s="27">
        <f t="shared" si="15"/>
        <v>147</v>
      </c>
      <c r="D485" s="27"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Values'!R",ROW()-LengthHeader,"C2:R",ROW()-LengthHeader,"C",NumFileColumns+2),FALSE))," ],["))))</f>
        <v xml:space="preserve">  - {SamplingFeatureObj:  *SamplingFeatureID0153, SpecimenTypeCV:  "Grab", SpecimenMediumCV:  "1300.434976", IsFieldSpecimen:  "TRUE"}</v>
      </c>
    </row>
    <row r="486" spans="1:4" x14ac:dyDescent="0.25">
      <c r="A486" s="27">
        <f t="shared" si="14"/>
        <v>17</v>
      </c>
      <c r="B486" s="27" t="str">
        <f>OFFSET('YODA Header Blocks'!$A$1,0,A486)</f>
        <v>Specimens</v>
      </c>
      <c r="C486" s="27">
        <f t="shared" si="15"/>
        <v>148</v>
      </c>
      <c r="D486" s="27"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Values'!R",ROW()-LengthHeader,"C2:R",ROW()-LengthHeader,"C",NumFileColumns+2),FALSE))," ],["))))</f>
        <v xml:space="preserve">  - {SamplingFeatureObj:  *SamplingFeatureID0154, SpecimenTypeCV:  "Grab", SpecimenMediumCV:  "1257.854549", IsFieldSpecimen:  "TRUE"}</v>
      </c>
    </row>
    <row r="487" spans="1:4" x14ac:dyDescent="0.25">
      <c r="A487" s="27">
        <f t="shared" si="14"/>
        <v>17</v>
      </c>
      <c r="B487" s="27" t="str">
        <f>OFFSET('YODA Header Blocks'!$A$1,0,A487)</f>
        <v>Specimens</v>
      </c>
      <c r="C487" s="27">
        <f t="shared" si="15"/>
        <v>149</v>
      </c>
      <c r="D487" s="27"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Values'!R",ROW()-LengthHeader,"C2:R",ROW()-LengthHeader,"C",NumFileColumns+2),FALSE))," ],["))))</f>
        <v xml:space="preserve">  - {SamplingFeatureObj:  *SamplingFeatureID0155, SpecimenTypeCV:  "Grab", SpecimenMediumCV:  "1222.423251", IsFieldSpecimen:  "TRUE"}</v>
      </c>
    </row>
    <row r="488" spans="1:4" x14ac:dyDescent="0.25">
      <c r="A488" s="27">
        <f t="shared" si="14"/>
        <v>17</v>
      </c>
      <c r="B488" s="27" t="str">
        <f>OFFSET('YODA Header Blocks'!$A$1,0,A488)</f>
        <v>Specimens</v>
      </c>
      <c r="C488" s="27">
        <f t="shared" si="15"/>
        <v>150</v>
      </c>
      <c r="D488" s="27"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Values'!R",ROW()-LengthHeader,"C2:R",ROW()-LengthHeader,"C",NumFileColumns+2),FALSE))," ],["))))</f>
        <v xml:space="preserve">  - {SamplingFeatureObj:  *SamplingFeatureID0156, SpecimenTypeCV:  "Grab", SpecimenMediumCV:  "1392.592455", IsFieldSpecimen:  "TRUE"}</v>
      </c>
    </row>
    <row r="489" spans="1:4" x14ac:dyDescent="0.25">
      <c r="A489" s="27">
        <f t="shared" si="14"/>
        <v>17</v>
      </c>
      <c r="B489" s="27" t="str">
        <f>OFFSET('YODA Header Blocks'!$A$1,0,A489)</f>
        <v>Specimens</v>
      </c>
      <c r="C489" s="27">
        <f t="shared" si="15"/>
        <v>151</v>
      </c>
      <c r="D489" s="27"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Values'!R",ROW()-LengthHeader,"C2:R",ROW()-LengthHeader,"C",NumFileColumns+2),FALSE))," ],["))))</f>
        <v xml:space="preserve">  - {SamplingFeatureObj:  *SamplingFeatureID0157, SpecimenTypeCV:  "Grab", SpecimenMediumCV:  "1378.652258", IsFieldSpecimen:  "TRUE"}</v>
      </c>
    </row>
    <row r="490" spans="1:4" x14ac:dyDescent="0.25">
      <c r="A490" s="27">
        <f t="shared" si="14"/>
        <v>17</v>
      </c>
      <c r="B490" s="27" t="str">
        <f>OFFSET('YODA Header Blocks'!$A$1,0,A490)</f>
        <v>Specimens</v>
      </c>
      <c r="C490" s="27">
        <f t="shared" si="15"/>
        <v>152</v>
      </c>
      <c r="D490" s="27"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Values'!R",ROW()-LengthHeader,"C2:R",ROW()-LengthHeader,"C",NumFileColumns+2),FALSE))," ],["))))</f>
        <v xml:space="preserve">  - {SamplingFeatureObj:  *SamplingFeatureID0158, SpecimenTypeCV:  "Grab", SpecimenMediumCV:  "1297.24692", IsFieldSpecimen:  "TRUE"}</v>
      </c>
    </row>
    <row r="491" spans="1:4" x14ac:dyDescent="0.25">
      <c r="A491" s="27">
        <f t="shared" si="14"/>
        <v>17</v>
      </c>
      <c r="B491" s="27" t="str">
        <f>OFFSET('YODA Header Blocks'!$A$1,0,A491)</f>
        <v>Specimens</v>
      </c>
      <c r="C491" s="27">
        <f t="shared" si="15"/>
        <v>153</v>
      </c>
      <c r="D491" s="27"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Values'!R",ROW()-LengthHeader,"C2:R",ROW()-LengthHeader,"C",NumFileColumns+2),FALSE))," ],["))))</f>
        <v xml:space="preserve">  - {SamplingFeatureObj:  *SamplingFeatureID0159, SpecimenTypeCV:  "Grab", SpecimenMediumCV:  "PLEASE PUT A SPECIMEN MEDIUM IN ROW 152", IsFieldSpecimen:  "TRUE"}</v>
      </c>
    </row>
    <row r="492" spans="1:4" x14ac:dyDescent="0.25">
      <c r="A492" s="27">
        <f t="shared" si="14"/>
        <v>17</v>
      </c>
      <c r="B492" s="27" t="str">
        <f>OFFSET('YODA Header Blocks'!$A$1,0,A492)</f>
        <v>Specimens</v>
      </c>
      <c r="C492" s="27">
        <f t="shared" si="15"/>
        <v>154</v>
      </c>
      <c r="D492" s="27"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Values'!R",ROW()-LengthHeader,"C2:R",ROW()-LengthHeader,"C",NumFileColumns+2),FALSE))," ],["))))</f>
        <v xml:space="preserve">  - {SamplingFeatureObj:  *SamplingFeatureID0160, SpecimenTypeCV:  "Grab", SpecimenMediumCV:  "1403.677439", IsFieldSpecimen:  "TRUE"}</v>
      </c>
    </row>
    <row r="493" spans="1:4" x14ac:dyDescent="0.25">
      <c r="A493" s="27">
        <f t="shared" si="14"/>
        <v>17</v>
      </c>
      <c r="B493" s="27" t="str">
        <f>OFFSET('YODA Header Blocks'!$A$1,0,A493)</f>
        <v>Specimens</v>
      </c>
      <c r="C493" s="27">
        <f t="shared" si="15"/>
        <v>155</v>
      </c>
      <c r="D493" s="27"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Values'!R",ROW()-LengthHeader,"C2:R",ROW()-LengthHeader,"C",NumFileColumns+2),FALSE))," ],["))))</f>
        <v xml:space="preserve">  - {SamplingFeatureObj:  *SamplingFeatureID0161, SpecimenTypeCV:  "Grab", SpecimenMediumCV:  "1411.204515", IsFieldSpecimen:  "TRUE"}</v>
      </c>
    </row>
    <row r="494" spans="1:4" x14ac:dyDescent="0.25">
      <c r="A494" s="27">
        <f t="shared" si="14"/>
        <v>17</v>
      </c>
      <c r="B494" s="27" t="str">
        <f>OFFSET('YODA Header Blocks'!$A$1,0,A494)</f>
        <v>Specimens</v>
      </c>
      <c r="C494" s="27">
        <f t="shared" si="15"/>
        <v>156</v>
      </c>
      <c r="D494" s="27"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Values'!R",ROW()-LengthHeader,"C2:R",ROW()-LengthHeader,"C",NumFileColumns+2),FALSE))," ],["))))</f>
        <v xml:space="preserve">  - {SamplingFeatureObj:  *SamplingFeatureID0162, SpecimenTypeCV:  "Grab", SpecimenMediumCV:  "1346.024666", IsFieldSpecimen:  "TRUE"}</v>
      </c>
    </row>
    <row r="495" spans="1:4" x14ac:dyDescent="0.25">
      <c r="A495" s="27">
        <f t="shared" si="14"/>
        <v>17</v>
      </c>
      <c r="B495" s="27" t="str">
        <f>OFFSET('YODA Header Blocks'!$A$1,0,A495)</f>
        <v>Specimens</v>
      </c>
      <c r="C495" s="27">
        <f t="shared" si="15"/>
        <v>157</v>
      </c>
      <c r="D495" s="27"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Values'!R",ROW()-LengthHeader,"C2:R",ROW()-LengthHeader,"C",NumFileColumns+2),FALSE))," ],["))))</f>
        <v xml:space="preserve">  - {SamplingFeatureObj:  *SamplingFeatureID0163, SpecimenTypeCV:  "Grab", SpecimenMediumCV:  "PLEASE PUT A SPECIMEN MEDIUM IN ROW 156", IsFieldSpecimen:  "TRUE"}</v>
      </c>
    </row>
    <row r="496" spans="1:4" x14ac:dyDescent="0.25">
      <c r="A496" s="27">
        <f t="shared" si="14"/>
        <v>17</v>
      </c>
      <c r="B496" s="27" t="str">
        <f>OFFSET('YODA Header Blocks'!$A$1,0,A496)</f>
        <v>Specimens</v>
      </c>
      <c r="C496" s="27">
        <f t="shared" si="15"/>
        <v>158</v>
      </c>
      <c r="D496" s="27"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Values'!R",ROW()-LengthHeader,"C2:R",ROW()-LengthHeader,"C",NumFileColumns+2),FALSE))," ],["))))</f>
        <v xml:space="preserve">  - {SamplingFeatureObj:  *SamplingFeatureID0164, SpecimenTypeCV:  "Grab", SpecimenMediumCV:  "1434.712499", IsFieldSpecimen:  "TRUE"}</v>
      </c>
    </row>
    <row r="497" spans="1:4" x14ac:dyDescent="0.25">
      <c r="A497" s="27">
        <f t="shared" si="14"/>
        <v>17</v>
      </c>
      <c r="B497" s="27" t="str">
        <f>OFFSET('YODA Header Blocks'!$A$1,0,A497)</f>
        <v>Specimens</v>
      </c>
      <c r="C497" s="27">
        <f t="shared" si="15"/>
        <v>159</v>
      </c>
      <c r="D497" s="27"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Values'!R",ROW()-LengthHeader,"C2:R",ROW()-LengthHeader,"C",NumFileColumns+2),FALSE))," ],["))))</f>
        <v xml:space="preserve">  - {SamplingFeatureObj:  *SamplingFeatureID0165, SpecimenTypeCV:  "Grab", SpecimenMediumCV:  "1376.144837", IsFieldSpecimen:  "TRUE"}</v>
      </c>
    </row>
    <row r="498" spans="1:4" x14ac:dyDescent="0.25">
      <c r="A498" s="27">
        <f t="shared" si="14"/>
        <v>17</v>
      </c>
      <c r="B498" s="27" t="str">
        <f>OFFSET('YODA Header Blocks'!$A$1,0,A498)</f>
        <v>Specimens</v>
      </c>
      <c r="C498" s="27">
        <f t="shared" si="15"/>
        <v>160</v>
      </c>
      <c r="D498" s="27"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Values'!R",ROW()-LengthHeader,"C2:R",ROW()-LengthHeader,"C",NumFileColumns+2),FALSE))," ],["))))</f>
        <v xml:space="preserve">  - {SamplingFeatureObj:  *SamplingFeatureID0166, SpecimenTypeCV:  "Grab", SpecimenMediumCV:  "1436.712583", IsFieldSpecimen:  "TRUE"}</v>
      </c>
    </row>
    <row r="499" spans="1:4" x14ac:dyDescent="0.25">
      <c r="A499" s="27">
        <f t="shared" si="14"/>
        <v>17</v>
      </c>
      <c r="B499" s="27" t="str">
        <f>OFFSET('YODA Header Blocks'!$A$1,0,A499)</f>
        <v>Specimens</v>
      </c>
      <c r="C499" s="27">
        <f t="shared" si="15"/>
        <v>161</v>
      </c>
      <c r="D499" s="27"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Values'!R",ROW()-LengthHeader,"C2:R",ROW()-LengthHeader,"C",NumFileColumns+2),FALSE))," ],["))))</f>
        <v xml:space="preserve">  - {SamplingFeatureObj:  *SamplingFeatureID0167, SpecimenTypeCV:  "Grab", SpecimenMediumCV:  "PLEASE PUT A SPECIMEN MEDIUM IN ROW 160", IsFieldSpecimen:  "TRUE"}</v>
      </c>
    </row>
    <row r="500" spans="1:4" x14ac:dyDescent="0.25">
      <c r="A500" s="27">
        <f t="shared" si="14"/>
        <v>17</v>
      </c>
      <c r="B500" s="27" t="str">
        <f>OFFSET('YODA Header Blocks'!$A$1,0,A500)</f>
        <v>Specimens</v>
      </c>
      <c r="C500" s="27">
        <f t="shared" si="15"/>
        <v>162</v>
      </c>
      <c r="D500" s="27"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Values'!R",ROW()-LengthHeader,"C2:R",ROW()-LengthHeader,"C",NumFileColumns+2),FALSE))," ],["))))</f>
        <v xml:space="preserve">  - {SamplingFeatureObj:  *SamplingFeatureID0168, SpecimenTypeCV:  "Grab", SpecimenMediumCV:  "1466.212761", IsFieldSpecimen:  "TRUE"}</v>
      </c>
    </row>
    <row r="501" spans="1:4" x14ac:dyDescent="0.25">
      <c r="A501" s="27">
        <f t="shared" si="14"/>
        <v>17</v>
      </c>
      <c r="B501" s="27" t="str">
        <f>OFFSET('YODA Header Blocks'!$A$1,0,A501)</f>
        <v>Specimens</v>
      </c>
      <c r="C501" s="27">
        <f t="shared" si="15"/>
        <v>163</v>
      </c>
      <c r="D501" s="27"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Values'!R",ROW()-LengthHeader,"C2:R",ROW()-LengthHeader,"C",NumFileColumns+2),FALSE))," ],["))))</f>
        <v xml:space="preserve">  - {SamplingFeatureObj:  *SamplingFeatureID0169, SpecimenTypeCV:  "Grab", SpecimenMediumCV:  "1385.410815", IsFieldSpecimen:  "TRUE"}</v>
      </c>
    </row>
    <row r="502" spans="1:4" x14ac:dyDescent="0.25">
      <c r="A502" s="27">
        <f t="shared" si="14"/>
        <v>17</v>
      </c>
      <c r="B502" s="27" t="str">
        <f>OFFSET('YODA Header Blocks'!$A$1,0,A502)</f>
        <v>Specimens</v>
      </c>
      <c r="C502" s="27">
        <f t="shared" si="15"/>
        <v>164</v>
      </c>
      <c r="D502" s="27"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Values'!R",ROW()-LengthHeader,"C2:R",ROW()-LengthHeader,"C",NumFileColumns+2),FALSE))," ],["))))</f>
        <v xml:space="preserve">  - {SamplingFeatureObj:  *SamplingFeatureID0170, SpecimenTypeCV:  "Grab", SpecimenMediumCV:  "1431.521502", IsFieldSpecimen:  "TRUE"}</v>
      </c>
    </row>
    <row r="503" spans="1:4" x14ac:dyDescent="0.25">
      <c r="A503" s="27">
        <f t="shared" si="14"/>
        <v>17</v>
      </c>
      <c r="B503" s="27" t="str">
        <f>OFFSET('YODA Header Blocks'!$A$1,0,A503)</f>
        <v>Specimens</v>
      </c>
      <c r="C503" s="27">
        <f t="shared" si="15"/>
        <v>165</v>
      </c>
      <c r="D503" s="27"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Values'!R",ROW()-LengthHeader,"C2:R",ROW()-LengthHeader,"C",NumFileColumns+2),FALSE))," ],["))))</f>
        <v xml:space="preserve">  - {SamplingFeatureObj:  *SamplingFeatureID0171, SpecimenTypeCV:  "Automated", SpecimenMediumCV:  "PLEASE PUT A SPECIMEN MEDIUM IN ROW 164", IsFieldSpecimen:  "TRUE"}</v>
      </c>
    </row>
    <row r="504" spans="1:4" x14ac:dyDescent="0.25">
      <c r="A504" s="27">
        <f t="shared" si="14"/>
        <v>17</v>
      </c>
      <c r="B504" s="27" t="str">
        <f>OFFSET('YODA Header Blocks'!$A$1,0,A504)</f>
        <v>Specimens</v>
      </c>
      <c r="C504" s="27">
        <f t="shared" si="15"/>
        <v>166</v>
      </c>
      <c r="D504" s="27"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Values'!R",ROW()-LengthHeader,"C2:R",ROW()-LengthHeader,"C",NumFileColumns+2),FALSE))," ],["))))</f>
        <v xml:space="preserve">  - {SamplingFeatureObj:  *SamplingFeatureID0172, SpecimenTypeCV:  "Automated", SpecimenMediumCV:  "PLEASE PUT A SPECIMEN MEDIUM IN ROW 165", IsFieldSpecimen:  "TRUE"}</v>
      </c>
    </row>
    <row r="505" spans="1:4" x14ac:dyDescent="0.25">
      <c r="A505" s="27">
        <f t="shared" si="14"/>
        <v>17</v>
      </c>
      <c r="B505" s="27" t="str">
        <f>OFFSET('YODA Header Blocks'!$A$1,0,A505)</f>
        <v>Specimens</v>
      </c>
      <c r="C505" s="27">
        <f t="shared" si="15"/>
        <v>167</v>
      </c>
      <c r="D505" s="27"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Values'!R",ROW()-LengthHeader,"C2:R",ROW()-LengthHeader,"C",NumFileColumns+2),FALSE))," ],["))))</f>
        <v xml:space="preserve">  - {SamplingFeatureObj:  *SamplingFeatureID0173, SpecimenTypeCV:  "Automated", SpecimenMediumCV:  "1168.943399", IsFieldSpecimen:  "TRUE"}</v>
      </c>
    </row>
    <row r="506" spans="1:4" x14ac:dyDescent="0.25">
      <c r="A506" s="27">
        <f t="shared" si="14"/>
        <v>17</v>
      </c>
      <c r="B506" s="27" t="str">
        <f>OFFSET('YODA Header Blocks'!$A$1,0,A506)</f>
        <v>Specimens</v>
      </c>
      <c r="C506" s="27">
        <f t="shared" si="15"/>
        <v>168</v>
      </c>
      <c r="D506" s="27"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Values'!R",ROW()-LengthHeader,"C2:R",ROW()-LengthHeader,"C",NumFileColumns+2),FALSE))," ],["))))</f>
        <v xml:space="preserve">  - {SamplingFeatureObj:  *SamplingFeatureID0174, SpecimenTypeCV:  "Automated", SpecimenMediumCV:  "1112.017077", IsFieldSpecimen:  "TRUE"}</v>
      </c>
    </row>
    <row r="507" spans="1:4" x14ac:dyDescent="0.25">
      <c r="A507" s="27">
        <f t="shared" si="14"/>
        <v>17</v>
      </c>
      <c r="B507" s="27" t="str">
        <f>OFFSET('YODA Header Blocks'!$A$1,0,A507)</f>
        <v>Specimens</v>
      </c>
      <c r="C507" s="27">
        <f t="shared" si="15"/>
        <v>169</v>
      </c>
      <c r="D507" s="27"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Values'!R",ROW()-LengthHeader,"C2:R",ROW()-LengthHeader,"C",NumFileColumns+2),FALSE))," ],["))))</f>
        <v xml:space="preserve">  - {SamplingFeatureObj:  *SamplingFeatureID0175, SpecimenTypeCV:  "Automated", SpecimenMediumCV:  "724.361044", IsFieldSpecimen:  "TRUE"}</v>
      </c>
    </row>
    <row r="508" spans="1:4" x14ac:dyDescent="0.25">
      <c r="A508" s="27">
        <f t="shared" si="14"/>
        <v>17</v>
      </c>
      <c r="B508" s="27" t="str">
        <f>OFFSET('YODA Header Blocks'!$A$1,0,A508)</f>
        <v>Specimens</v>
      </c>
      <c r="C508" s="27">
        <f t="shared" si="15"/>
        <v>170</v>
      </c>
      <c r="D508" s="27"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Values'!R",ROW()-LengthHeader,"C2:R",ROW()-LengthHeader,"C",NumFileColumns+2),FALSE))," ],["))))</f>
        <v xml:space="preserve">  - {SamplingFeatureObj:  *SamplingFeatureID0176, SpecimenTypeCV:  "Automated", SpecimenMediumCV:  "851.6735086", IsFieldSpecimen:  "TRUE"}</v>
      </c>
    </row>
    <row r="509" spans="1:4" x14ac:dyDescent="0.25">
      <c r="A509" s="27">
        <f t="shared" si="14"/>
        <v>17</v>
      </c>
      <c r="B509" s="27" t="str">
        <f>OFFSET('YODA Header Blocks'!$A$1,0,A509)</f>
        <v>Specimens</v>
      </c>
      <c r="C509" s="27">
        <f t="shared" si="15"/>
        <v>171</v>
      </c>
      <c r="D509" s="27"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Values'!R",ROW()-LengthHeader,"C2:R",ROW()-LengthHeader,"C",NumFileColumns+2),FALSE))," ],["))))</f>
        <v xml:space="preserve">  - {SamplingFeatureObj:  *SamplingFeatureID0177, SpecimenTypeCV:  "Automated", SpecimenMediumCV:  "737.6610234", IsFieldSpecimen:  "TRUE"}</v>
      </c>
    </row>
    <row r="510" spans="1:4" x14ac:dyDescent="0.25">
      <c r="A510" s="27">
        <f t="shared" si="14"/>
        <v>17</v>
      </c>
      <c r="B510" s="27" t="str">
        <f>OFFSET('YODA Header Blocks'!$A$1,0,A510)</f>
        <v>Specimens</v>
      </c>
      <c r="C510" s="27">
        <f t="shared" si="15"/>
        <v>172</v>
      </c>
      <c r="D510" s="27"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Values'!R",ROW()-LengthHeader,"C2:R",ROW()-LengthHeader,"C",NumFileColumns+2),FALSE))," ],["))))</f>
        <v xml:space="preserve">  - {SamplingFeatureObj:  *SamplingFeatureID0178, SpecimenTypeCV:  "Automated", SpecimenMediumCV:  "714.5746506", IsFieldSpecimen:  "TRUE"}</v>
      </c>
    </row>
    <row r="511" spans="1:4" x14ac:dyDescent="0.25">
      <c r="A511" s="27">
        <f t="shared" si="14"/>
        <v>17</v>
      </c>
      <c r="B511" s="27" t="str">
        <f>OFFSET('YODA Header Blocks'!$A$1,0,A511)</f>
        <v>Specimens</v>
      </c>
      <c r="C511" s="27">
        <f t="shared" si="15"/>
        <v>173</v>
      </c>
      <c r="D511" s="27"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Values'!R",ROW()-LengthHeader,"C2:R",ROW()-LengthHeader,"C",NumFileColumns+2),FALSE))," ],["))))</f>
        <v xml:space="preserve">  - {SamplingFeatureObj:  *SamplingFeatureID0179, SpecimenTypeCV:  "Automated", SpecimenMediumCV:  "767.9636951", IsFieldSpecimen:  "TRUE"}</v>
      </c>
    </row>
    <row r="512" spans="1:4" x14ac:dyDescent="0.25">
      <c r="A512" s="27">
        <f t="shared" si="14"/>
        <v>17</v>
      </c>
      <c r="B512" s="27" t="str">
        <f>OFFSET('YODA Header Blocks'!$A$1,0,A512)</f>
        <v>Specimens</v>
      </c>
      <c r="C512" s="27">
        <f t="shared" si="15"/>
        <v>174</v>
      </c>
      <c r="D512" s="27"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Values'!R",ROW()-LengthHeader,"C2:R",ROW()-LengthHeader,"C",NumFileColumns+2),FALSE))," ],["))))</f>
        <v xml:space="preserve">  - {SamplingFeatureObj:  *SamplingFeatureID0180, SpecimenTypeCV:  "Automated", SpecimenMediumCV:  "886.2544054", IsFieldSpecimen:  "TRUE"}</v>
      </c>
    </row>
    <row r="513" spans="1:4" x14ac:dyDescent="0.25">
      <c r="A513" s="27">
        <f t="shared" si="14"/>
        <v>17</v>
      </c>
      <c r="B513" s="27" t="str">
        <f>OFFSET('YODA Header Blocks'!$A$1,0,A513)</f>
        <v>Specimens</v>
      </c>
      <c r="C513" s="27">
        <f t="shared" si="15"/>
        <v>175</v>
      </c>
      <c r="D513" s="27"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Values'!R",ROW()-LengthHeader,"C2:R",ROW()-LengthHeader,"C",NumFileColumns+2),FALSE))," ],["))))</f>
        <v xml:space="preserve">  - {SamplingFeatureObj:  *SamplingFeatureID0181, SpecimenTypeCV:  "Automated", SpecimenMediumCV:  "946.4797264", IsFieldSpecimen:  "TRUE"}</v>
      </c>
    </row>
    <row r="514" spans="1:4" x14ac:dyDescent="0.25">
      <c r="A514" s="27">
        <f t="shared" si="14"/>
        <v>17</v>
      </c>
      <c r="B514" s="27" t="str">
        <f>OFFSET('YODA Header Blocks'!$A$1,0,A514)</f>
        <v>Specimens</v>
      </c>
      <c r="C514" s="27">
        <f t="shared" si="15"/>
        <v>176</v>
      </c>
      <c r="D514" s="27"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Values'!R",ROW()-LengthHeader,"C2:R",ROW()-LengthHeader,"C",NumFileColumns+2),FALSE))," ],["))))</f>
        <v xml:space="preserve">  - {SamplingFeatureObj:  *SamplingFeatureID0182, SpecimenTypeCV:  "Automated", SpecimenMediumCV:  "1125.896183", IsFieldSpecimen:  "TRUE"}</v>
      </c>
    </row>
    <row r="515" spans="1:4" x14ac:dyDescent="0.25">
      <c r="A515" s="27">
        <f t="shared" si="14"/>
        <v>17</v>
      </c>
      <c r="B515" s="27" t="str">
        <f>OFFSET('YODA Header Blocks'!$A$1,0,A515)</f>
        <v>Specimens</v>
      </c>
      <c r="C515" s="27">
        <f t="shared" si="15"/>
        <v>177</v>
      </c>
      <c r="D515" s="27"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Values'!R",ROW()-LengthHeader,"C2:R",ROW()-LengthHeader,"C",NumFileColumns+2),FALSE))," ],["))))</f>
        <v xml:space="preserve">  - {SamplingFeatureObj:  *SamplingFeatureID0183, SpecimenTypeCV:  "Grab", SpecimenMediumCV:  "1347.68812", IsFieldSpecimen:  "TRUE"}</v>
      </c>
    </row>
    <row r="516" spans="1:4" x14ac:dyDescent="0.25">
      <c r="A516" s="27">
        <f t="shared" ref="A516:A579" si="16">IF(C515=INDIRECT(CONCATENATE("'YODA Header Blocks'!R2C",A515+1,":R2C",A515+1),FALSE),A515+1,A515)</f>
        <v>17</v>
      </c>
      <c r="B516" s="27" t="str">
        <f>OFFSET('YODA Header Blocks'!$A$1,0,A516)</f>
        <v>Specimens</v>
      </c>
      <c r="C516" s="27">
        <f t="shared" ref="C516:C579" si="17">IF(C515=SUM(INDIRECT(CONCATENATE("'YODA Header Blocks'!R2C",A515+1,":R2C",A515+1),FALSE)),1,C515+1)</f>
        <v>178</v>
      </c>
      <c r="D516" s="27"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Values'!R",ROW()-LengthHeader,"C2:R",ROW()-LengthHeader,"C",NumFileColumns+2),FALSE))," ],["))))</f>
        <v xml:space="preserve">  - {SamplingFeatureObj:  *SamplingFeatureID0184, SpecimenTypeCV:  "Grab", SpecimenMediumCV:  "1294.142931", IsFieldSpecimen:  "TRUE"}</v>
      </c>
    </row>
    <row r="517" spans="1:4" x14ac:dyDescent="0.25">
      <c r="A517" s="27">
        <f t="shared" si="16"/>
        <v>17</v>
      </c>
      <c r="B517" s="27" t="str">
        <f>OFFSET('YODA Header Blocks'!$A$1,0,A517)</f>
        <v>Specimens</v>
      </c>
      <c r="C517" s="27">
        <f t="shared" si="17"/>
        <v>179</v>
      </c>
      <c r="D517" s="27"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Values'!R",ROW()-LengthHeader,"C2:R",ROW()-LengthHeader,"C",NumFileColumns+2),FALSE))," ],["))))</f>
        <v xml:space="preserve">  - {SamplingFeatureObj:  *SamplingFeatureID0185, SpecimenTypeCV:  "Grab", SpecimenMediumCV:  "1246.021896", IsFieldSpecimen:  "TRUE"}</v>
      </c>
    </row>
    <row r="518" spans="1:4" x14ac:dyDescent="0.25">
      <c r="A518" s="27">
        <f t="shared" si="16"/>
        <v>17</v>
      </c>
      <c r="B518" s="27" t="str">
        <f>OFFSET('YODA Header Blocks'!$A$1,0,A518)</f>
        <v>Specimens</v>
      </c>
      <c r="C518" s="27">
        <f t="shared" si="17"/>
        <v>180</v>
      </c>
      <c r="D518" s="27"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Values'!R",ROW()-LengthHeader,"C2:R",ROW()-LengthHeader,"C",NumFileColumns+2),FALSE))," ],["))))</f>
        <v xml:space="preserve">  - {SamplingFeatureObj:  *SamplingFeatureID0186, SpecimenTypeCV:  "Grab", SpecimenMediumCV:  "PLEASE PUT A SPECIMEN MEDIUM IN ROW 179", IsFieldSpecimen:  "TRUE"}</v>
      </c>
    </row>
    <row r="519" spans="1:4" x14ac:dyDescent="0.25">
      <c r="A519" s="27">
        <f t="shared" si="16"/>
        <v>17</v>
      </c>
      <c r="B519" s="27" t="str">
        <f>OFFSET('YODA Header Blocks'!$A$1,0,A519)</f>
        <v>Specimens</v>
      </c>
      <c r="C519" s="27">
        <f t="shared" si="17"/>
        <v>181</v>
      </c>
      <c r="D519" s="27"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Values'!R",ROW()-LengthHeader,"C2:R",ROW()-LengthHeader,"C",NumFileColumns+2),FALSE))," ],["))))</f>
        <v xml:space="preserve">  - {SamplingFeatureObj:  *SamplingFeatureID0187, SpecimenTypeCV:  "Grab", SpecimenMediumCV:  "1329.700781", IsFieldSpecimen:  "TRUE"}</v>
      </c>
    </row>
    <row r="520" spans="1:4" x14ac:dyDescent="0.25">
      <c r="A520" s="27">
        <f t="shared" si="16"/>
        <v>17</v>
      </c>
      <c r="B520" s="27" t="str">
        <f>OFFSET('YODA Header Blocks'!$A$1,0,A520)</f>
        <v>Specimens</v>
      </c>
      <c r="C520" s="27">
        <f t="shared" si="17"/>
        <v>182</v>
      </c>
      <c r="D520" s="27"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Values'!R",ROW()-LengthHeader,"C2:R",ROW()-LengthHeader,"C",NumFileColumns+2),FALSE))," ],["))))</f>
        <v xml:space="preserve">  - {SamplingFeatureObj:  *SamplingFeatureID0188, SpecimenTypeCV:  "Grab", SpecimenMediumCV:  "1359.325544", IsFieldSpecimen:  "TRUE"}</v>
      </c>
    </row>
    <row r="521" spans="1:4" x14ac:dyDescent="0.25">
      <c r="A521" s="27">
        <f t="shared" si="16"/>
        <v>17</v>
      </c>
      <c r="B521" s="27" t="str">
        <f>OFFSET('YODA Header Blocks'!$A$1,0,A521)</f>
        <v>Specimens</v>
      </c>
      <c r="C521" s="27">
        <f t="shared" si="17"/>
        <v>183</v>
      </c>
      <c r="D521" s="27"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Values'!R",ROW()-LengthHeader,"C2:R",ROW()-LengthHeader,"C",NumFileColumns+2),FALSE))," ],["))))</f>
        <v xml:space="preserve">  - {SamplingFeatureObj:  *SamplingFeatureID0189, SpecimenTypeCV:  "Grab", SpecimenMediumCV:  "1276.139157", IsFieldSpecimen:  "TRUE"}</v>
      </c>
    </row>
    <row r="522" spans="1:4" x14ac:dyDescent="0.25">
      <c r="A522" s="27">
        <f t="shared" si="16"/>
        <v>17</v>
      </c>
      <c r="B522" s="27" t="str">
        <f>OFFSET('YODA Header Blocks'!$A$1,0,A522)</f>
        <v>Specimens</v>
      </c>
      <c r="C522" s="27">
        <f t="shared" si="17"/>
        <v>184</v>
      </c>
      <c r="D522" s="27"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Values'!R",ROW()-LengthHeader,"C2:R",ROW()-LengthHeader,"C",NumFileColumns+2),FALSE))," ],["))))</f>
        <v xml:space="preserve">  - {SamplingFeatureObj:  *SamplingFeatureID0190, SpecimenTypeCV:  "Grab", SpecimenMediumCV:  "PLEASE PUT A SPECIMEN MEDIUM IN ROW 183", IsFieldSpecimen:  "TRUE"}</v>
      </c>
    </row>
    <row r="523" spans="1:4" x14ac:dyDescent="0.25">
      <c r="A523" s="27">
        <f t="shared" si="16"/>
        <v>17</v>
      </c>
      <c r="B523" s="27" t="str">
        <f>OFFSET('YODA Header Blocks'!$A$1,0,A523)</f>
        <v>Specimens</v>
      </c>
      <c r="C523" s="27">
        <f t="shared" si="17"/>
        <v>185</v>
      </c>
      <c r="D523" s="27"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Values'!R",ROW()-LengthHeader,"C2:R",ROW()-LengthHeader,"C",NumFileColumns+2),FALSE))," ],["))))</f>
        <v xml:space="preserve">  - {SamplingFeatureObj:  *SamplingFeatureID0191, SpecimenTypeCV:  "Grab", SpecimenMediumCV:  "PLEASE PUT A SPECIMEN MEDIUM IN ROW 184", IsFieldSpecimen:  "TRUE"}</v>
      </c>
    </row>
    <row r="524" spans="1:4" x14ac:dyDescent="0.25">
      <c r="A524" s="27">
        <f t="shared" si="16"/>
        <v>17</v>
      </c>
      <c r="B524" s="27" t="str">
        <f>OFFSET('YODA Header Blocks'!$A$1,0,A524)</f>
        <v>Specimens</v>
      </c>
      <c r="C524" s="27">
        <f t="shared" si="17"/>
        <v>186</v>
      </c>
      <c r="D524" s="27"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Values'!R",ROW()-LengthHeader,"C2:R",ROW()-LengthHeader,"C",NumFileColumns+2),FALSE))," ],["))))</f>
        <v xml:space="preserve">  - {SamplingFeatureObj:  *SamplingFeatureID0192, SpecimenTypeCV:  "Grab", SpecimenMediumCV:  "1381.888225", IsFieldSpecimen:  "TRUE"}</v>
      </c>
    </row>
    <row r="525" spans="1:4" x14ac:dyDescent="0.25">
      <c r="A525" s="27">
        <f t="shared" si="16"/>
        <v>17</v>
      </c>
      <c r="B525" s="27" t="str">
        <f>OFFSET('YODA Header Blocks'!$A$1,0,A525)</f>
        <v>Specimens</v>
      </c>
      <c r="C525" s="27">
        <f t="shared" si="17"/>
        <v>187</v>
      </c>
      <c r="D525" s="27"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Values'!R",ROW()-LengthHeader,"C2:R",ROW()-LengthHeader,"C",NumFileColumns+2),FALSE))," ],["))))</f>
        <v xml:space="preserve">  - {SamplingFeatureObj:  *SamplingFeatureID0193, SpecimenTypeCV:  "Grab", SpecimenMediumCV:  "1292.620838", IsFieldSpecimen:  "TRUE"}</v>
      </c>
    </row>
    <row r="526" spans="1:4" x14ac:dyDescent="0.25">
      <c r="A526" s="27">
        <f t="shared" si="16"/>
        <v>17</v>
      </c>
      <c r="B526" s="27" t="str">
        <f>OFFSET('YODA Header Blocks'!$A$1,0,A526)</f>
        <v>Specimens</v>
      </c>
      <c r="C526" s="27">
        <f t="shared" si="17"/>
        <v>188</v>
      </c>
      <c r="D526" s="27"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Values'!R",ROW()-LengthHeader,"C2:R",ROW()-LengthHeader,"C",NumFileColumns+2),FALSE))," ],["))))</f>
        <v xml:space="preserve">  - {SamplingFeatureObj:  *SamplingFeatureID0194, SpecimenTypeCV:  "Grab", SpecimenMediumCV:  "1352.872562", IsFieldSpecimen:  "TRUE"}</v>
      </c>
    </row>
    <row r="527" spans="1:4" x14ac:dyDescent="0.25">
      <c r="A527" s="27">
        <f t="shared" si="16"/>
        <v>17</v>
      </c>
      <c r="B527" s="27" t="str">
        <f>OFFSET('YODA Header Blocks'!$A$1,0,A527)</f>
        <v>Specimens</v>
      </c>
      <c r="C527" s="27">
        <f t="shared" si="17"/>
        <v>189</v>
      </c>
      <c r="D527" s="27"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Values'!R",ROW()-LengthHeader,"C2:R",ROW()-LengthHeader,"C",NumFileColumns+2),FALSE))," ],["))))</f>
        <v xml:space="preserve">  - {SamplingFeatureObj:  *SamplingFeatureID0195, SpecimenTypeCV:  "Grab", SpecimenMediumCV:  "PLEASE PUT A SPECIMEN MEDIUM IN ROW 188", IsFieldSpecimen:  "TRUE"}</v>
      </c>
    </row>
    <row r="528" spans="1:4" x14ac:dyDescent="0.25">
      <c r="A528" s="27">
        <f t="shared" si="16"/>
        <v>17</v>
      </c>
      <c r="B528" s="27" t="str">
        <f>OFFSET('YODA Header Blocks'!$A$1,0,A528)</f>
        <v>Specimens</v>
      </c>
      <c r="C528" s="27">
        <f t="shared" si="17"/>
        <v>190</v>
      </c>
      <c r="D528" s="27"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Values'!R",ROW()-LengthHeader,"C2:R",ROW()-LengthHeader,"C",NumFileColumns+2),FALSE))," ],["))))</f>
        <v xml:space="preserve">  - {SamplingFeatureObj:  *SamplingFeatureID0196, SpecimenTypeCV:  "Grab", SpecimenMediumCV:  "PLEASE PUT A SPECIMEN MEDIUM IN ROW 189", IsFieldSpecimen:  "TRUE"}</v>
      </c>
    </row>
    <row r="529" spans="1:4" x14ac:dyDescent="0.25">
      <c r="A529" s="27">
        <f t="shared" si="16"/>
        <v>17</v>
      </c>
      <c r="B529" s="27" t="str">
        <f>OFFSET('YODA Header Blocks'!$A$1,0,A529)</f>
        <v>Specimens</v>
      </c>
      <c r="C529" s="27">
        <f t="shared" si="17"/>
        <v>191</v>
      </c>
      <c r="D529" s="27"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Values'!R",ROW()-LengthHeader,"C2:R",ROW()-LengthHeader,"C",NumFileColumns+2),FALSE))," ],["))))</f>
        <v xml:space="preserve">  - {SamplingFeatureObj:  *SamplingFeatureID0197, SpecimenTypeCV:  "Grab", SpecimenMediumCV:  "1344.574748", IsFieldSpecimen:  "TRUE"}</v>
      </c>
    </row>
    <row r="530" spans="1:4" x14ac:dyDescent="0.25">
      <c r="A530" s="27">
        <f t="shared" si="16"/>
        <v>17</v>
      </c>
      <c r="B530" s="27" t="str">
        <f>OFFSET('YODA Header Blocks'!$A$1,0,A530)</f>
        <v>Specimens</v>
      </c>
      <c r="C530" s="27">
        <f t="shared" si="17"/>
        <v>192</v>
      </c>
      <c r="D530" s="27"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Values'!R",ROW()-LengthHeader,"C2:R",ROW()-LengthHeader,"C",NumFileColumns+2),FALSE))," ],["))))</f>
        <v xml:space="preserve">  - {SamplingFeatureObj:  *SamplingFeatureID0198, SpecimenTypeCV:  "Grab", SpecimenMediumCV:  "1322.239578", IsFieldSpecimen:  "TRUE"}</v>
      </c>
    </row>
    <row r="531" spans="1:4" x14ac:dyDescent="0.25">
      <c r="A531" s="27">
        <f t="shared" si="16"/>
        <v>17</v>
      </c>
      <c r="B531" s="27" t="str">
        <f>OFFSET('YODA Header Blocks'!$A$1,0,A531)</f>
        <v>Specimens</v>
      </c>
      <c r="C531" s="27">
        <f t="shared" si="17"/>
        <v>193</v>
      </c>
      <c r="D531" s="27"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Values'!R",ROW()-LengthHeader,"C2:R",ROW()-LengthHeader,"C",NumFileColumns+2),FALSE))," ],["))))</f>
        <v xml:space="preserve">  - {SamplingFeatureObj:  *SamplingFeatureID0199, SpecimenTypeCV:  "Grab", SpecimenMediumCV:  "1250.395659", IsFieldSpecimen:  "TRUE"}</v>
      </c>
    </row>
    <row r="532" spans="1:4" x14ac:dyDescent="0.25">
      <c r="A532" s="27">
        <f t="shared" si="16"/>
        <v>17</v>
      </c>
      <c r="B532" s="27" t="str">
        <f>OFFSET('YODA Header Blocks'!$A$1,0,A532)</f>
        <v>Specimens</v>
      </c>
      <c r="C532" s="27">
        <f t="shared" si="17"/>
        <v>194</v>
      </c>
      <c r="D532" s="27"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Values'!R",ROW()-LengthHeader,"C2:R",ROW()-LengthHeader,"C",NumFileColumns+2),FALSE))," ],["))))</f>
        <v xml:space="preserve">  - {SamplingFeatureObj:  *SamplingFeatureID0200, SpecimenTypeCV:  "Grab", SpecimenMediumCV:  "PLEASE PUT A SPECIMEN MEDIUM IN ROW 193", IsFieldSpecimen:  "TRUE"}</v>
      </c>
    </row>
    <row r="533" spans="1:4" x14ac:dyDescent="0.25">
      <c r="A533" s="27">
        <f t="shared" si="16"/>
        <v>17</v>
      </c>
      <c r="B533" s="27" t="str">
        <f>OFFSET('YODA Header Blocks'!$A$1,0,A533)</f>
        <v>Specimens</v>
      </c>
      <c r="C533" s="27">
        <f t="shared" si="17"/>
        <v>195</v>
      </c>
      <c r="D533" s="27"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Values'!R",ROW()-LengthHeader,"C2:R",ROW()-LengthHeader,"C",NumFileColumns+2),FALSE))," ],["))))</f>
        <v xml:space="preserve">  - {SamplingFeatureObj:  *SamplingFeatureID0201, SpecimenTypeCV:  "Grab", SpecimenMediumCV:  "PLEASE PUT A SPECIMEN MEDIUM IN ROW 194", IsFieldSpecimen:  "TRUE"}</v>
      </c>
    </row>
    <row r="534" spans="1:4" x14ac:dyDescent="0.25">
      <c r="A534" s="27">
        <f t="shared" si="16"/>
        <v>17</v>
      </c>
      <c r="B534" s="27" t="str">
        <f>OFFSET('YODA Header Blocks'!$A$1,0,A534)</f>
        <v>Specimens</v>
      </c>
      <c r="C534" s="27">
        <f t="shared" si="17"/>
        <v>196</v>
      </c>
      <c r="D534" s="27"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Values'!R",ROW()-LengthHeader,"C2:R",ROW()-LengthHeader,"C",NumFileColumns+2),FALSE))," ],["))))</f>
        <v xml:space="preserve">  - {SamplingFeatureObj:  *SamplingFeatureID0202, SpecimenTypeCV:  "Grab", SpecimenMediumCV:  "PLEASE PUT A SPECIMEN MEDIUM IN ROW 195", IsFieldSpecimen:  "TRUE"}</v>
      </c>
    </row>
    <row r="535" spans="1:4" x14ac:dyDescent="0.25">
      <c r="A535" s="27">
        <f t="shared" si="16"/>
        <v>17</v>
      </c>
      <c r="B535" s="27" t="str">
        <f>OFFSET('YODA Header Blocks'!$A$1,0,A535)</f>
        <v>Specimens</v>
      </c>
      <c r="C535" s="27">
        <f t="shared" si="17"/>
        <v>197</v>
      </c>
      <c r="D535" s="27"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Values'!R",ROW()-LengthHeader,"C2:R",ROW()-LengthHeader,"C",NumFileColumns+2),FALSE))," ],["))))</f>
        <v xml:space="preserve">  - {SamplingFeatureObj:  *SamplingFeatureID0203, SpecimenTypeCV:  "Grab", SpecimenMediumCV:  "1263.915352", IsFieldSpecimen:  "TRUE"}</v>
      </c>
    </row>
    <row r="536" spans="1:4" x14ac:dyDescent="0.25">
      <c r="A536" s="27">
        <f t="shared" si="16"/>
        <v>17</v>
      </c>
      <c r="B536" s="27" t="str">
        <f>OFFSET('YODA Header Blocks'!$A$1,0,A536)</f>
        <v>Specimens</v>
      </c>
      <c r="C536" s="27">
        <f t="shared" si="17"/>
        <v>198</v>
      </c>
      <c r="D536" s="27"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Values'!R",ROW()-LengthHeader,"C2:R",ROW()-LengthHeader,"C",NumFileColumns+2),FALSE))," ],["))))</f>
        <v xml:space="preserve">  - {SamplingFeatureObj:  *SamplingFeatureID0204, SpecimenTypeCV:  "Grab", SpecimenMediumCV:  "1198.98817", IsFieldSpecimen:  "TRUE"}</v>
      </c>
    </row>
    <row r="537" spans="1:4" x14ac:dyDescent="0.25">
      <c r="A537" s="27">
        <f t="shared" si="16"/>
        <v>17</v>
      </c>
      <c r="B537" s="27" t="str">
        <f>OFFSET('YODA Header Blocks'!$A$1,0,A537)</f>
        <v>Specimens</v>
      </c>
      <c r="C537" s="27">
        <f t="shared" si="17"/>
        <v>199</v>
      </c>
      <c r="D537" s="27"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Values'!R",ROW()-LengthHeader,"C2:R",ROW()-LengthHeader,"C",NumFileColumns+2),FALSE))," ],["))))</f>
        <v xml:space="preserve">  - {SamplingFeatureObj:  *SamplingFeatureID0205, SpecimenTypeCV:  "Grab", SpecimenMediumCV:  "1261.869196", IsFieldSpecimen:  "TRUE"}</v>
      </c>
    </row>
    <row r="538" spans="1:4" x14ac:dyDescent="0.25">
      <c r="A538" s="27">
        <f t="shared" si="16"/>
        <v>17</v>
      </c>
      <c r="B538" s="27" t="str">
        <f>OFFSET('YODA Header Blocks'!$A$1,0,A538)</f>
        <v>Specimens</v>
      </c>
      <c r="C538" s="27">
        <f t="shared" si="17"/>
        <v>200</v>
      </c>
      <c r="D538" s="27"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Values'!R",ROW()-LengthHeader,"C2:R",ROW()-LengthHeader,"C",NumFileColumns+2),FALSE))," ],["))))</f>
        <v xml:space="preserve">  - {SamplingFeatureObj:  *SamplingFeatureID0206, SpecimenTypeCV:  "Grab", SpecimenMediumCV:  "1250.794995", IsFieldSpecimen:  "TRUE"}</v>
      </c>
    </row>
    <row r="539" spans="1:4" x14ac:dyDescent="0.25">
      <c r="A539" s="27">
        <f t="shared" si="16"/>
        <v>17</v>
      </c>
      <c r="B539" s="27" t="str">
        <f>OFFSET('YODA Header Blocks'!$A$1,0,A539)</f>
        <v>Specimens</v>
      </c>
      <c r="C539" s="27">
        <f t="shared" si="17"/>
        <v>201</v>
      </c>
      <c r="D539" s="27"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Values'!R",ROW()-LengthHeader,"C2:R",ROW()-LengthHeader,"C",NumFileColumns+2),FALSE))," ],["))))</f>
        <v xml:space="preserve">  - {SamplingFeatureObj:  *SamplingFeatureID0207, SpecimenTypeCV:  "Grab", SpecimenMediumCV:  "1180.209209", IsFieldSpecimen:  "TRUE"}</v>
      </c>
    </row>
    <row r="540" spans="1:4" x14ac:dyDescent="0.25">
      <c r="A540" s="27">
        <f t="shared" si="16"/>
        <v>17</v>
      </c>
      <c r="B540" s="27" t="str">
        <f>OFFSET('YODA Header Blocks'!$A$1,0,A540)</f>
        <v>Specimens</v>
      </c>
      <c r="C540" s="27">
        <f t="shared" si="17"/>
        <v>202</v>
      </c>
      <c r="D540" s="27"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Values'!R",ROW()-LengthHeader,"C2:R",ROW()-LengthHeader,"C",NumFileColumns+2),FALSE))," ],["))))</f>
        <v xml:space="preserve">  - {SamplingFeatureObj:  *SamplingFeatureID0208, SpecimenTypeCV:  "Grab", SpecimenMediumCV:  "PLEASE PUT A SPECIMEN MEDIUM IN ROW 201", IsFieldSpecimen:  "TRUE"}</v>
      </c>
    </row>
    <row r="541" spans="1:4" x14ac:dyDescent="0.25">
      <c r="A541" s="27">
        <f t="shared" si="16"/>
        <v>17</v>
      </c>
      <c r="B541" s="27" t="str">
        <f>OFFSET('YODA Header Blocks'!$A$1,0,A541)</f>
        <v>Specimens</v>
      </c>
      <c r="C541" s="27">
        <f t="shared" si="17"/>
        <v>203</v>
      </c>
      <c r="D541" s="27"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Values'!R",ROW()-LengthHeader,"C2:R",ROW()-LengthHeader,"C",NumFileColumns+2),FALSE))," ],["))))</f>
        <v xml:space="preserve">  - {SamplingFeatureObj:  *SamplingFeatureID0209, SpecimenTypeCV:  "Grab", SpecimenMediumCV:  "PLEASE PUT A SPECIMEN MEDIUM IN ROW 202", IsFieldSpecimen:  "TRUE"}</v>
      </c>
    </row>
    <row r="542" spans="1:4" x14ac:dyDescent="0.25">
      <c r="A542" s="27">
        <f t="shared" si="16"/>
        <v>17</v>
      </c>
      <c r="B542" s="27" t="str">
        <f>OFFSET('YODA Header Blocks'!$A$1,0,A542)</f>
        <v>Specimens</v>
      </c>
      <c r="C542" s="27">
        <f t="shared" si="17"/>
        <v>204</v>
      </c>
      <c r="D542" s="27"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Values'!R",ROW()-LengthHeader,"C2:R",ROW()-LengthHeader,"C",NumFileColumns+2),FALSE))," ],["))))</f>
        <v xml:space="preserve">  - {SamplingFeatureObj:  *SamplingFeatureID0210, SpecimenTypeCV:  "Grab", SpecimenMediumCV:  "PLEASE PUT A SPECIMEN MEDIUM IN ROW 203", IsFieldSpecimen:  "TRUE"}</v>
      </c>
    </row>
    <row r="543" spans="1:4" x14ac:dyDescent="0.25">
      <c r="A543" s="27">
        <f t="shared" si="16"/>
        <v>17</v>
      </c>
      <c r="B543" s="27" t="str">
        <f>OFFSET('YODA Header Blocks'!$A$1,0,A543)</f>
        <v>Specimens</v>
      </c>
      <c r="C543" s="27">
        <f t="shared" si="17"/>
        <v>205</v>
      </c>
      <c r="D543" s="27"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Values'!R",ROW()-LengthHeader,"C2:R",ROW()-LengthHeader,"C",NumFileColumns+2),FALSE))," ],["))))</f>
        <v xml:space="preserve">  - {SamplingFeatureObj:  *SamplingFeatureID0211, SpecimenTypeCV:  "Grab", SpecimenMediumCV:  "PLEASE PUT A SPECIMEN MEDIUM IN ROW 204", IsFieldSpecimen:  "TRUE"}</v>
      </c>
    </row>
    <row r="544" spans="1:4" x14ac:dyDescent="0.25">
      <c r="A544" s="27">
        <f t="shared" si="16"/>
        <v>17</v>
      </c>
      <c r="B544" s="27" t="str">
        <f>OFFSET('YODA Header Blocks'!$A$1,0,A544)</f>
        <v>Specimens</v>
      </c>
      <c r="C544" s="27">
        <f t="shared" si="17"/>
        <v>206</v>
      </c>
      <c r="D544" s="27"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Values'!R",ROW()-LengthHeader,"C2:R",ROW()-LengthHeader,"C",NumFileColumns+2),FALSE))," ],["))))</f>
        <v xml:space="preserve">  - {SamplingFeatureObj:  *SamplingFeatureID0212, SpecimenTypeCV:  "Grab", SpecimenMediumCV:  "PLEASE PUT A SPECIMEN MEDIUM IN ROW 205", IsFieldSpecimen:  "TRUE"}</v>
      </c>
    </row>
    <row r="545" spans="1:4" x14ac:dyDescent="0.25">
      <c r="A545" s="27">
        <f t="shared" si="16"/>
        <v>17</v>
      </c>
      <c r="B545" s="27" t="str">
        <f>OFFSET('YODA Header Blocks'!$A$1,0,A545)</f>
        <v>Specimens</v>
      </c>
      <c r="C545" s="27">
        <f t="shared" si="17"/>
        <v>207</v>
      </c>
      <c r="D545" s="27"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Values'!R",ROW()-LengthHeader,"C2:R",ROW()-LengthHeader,"C",NumFileColumns+2),FALSE))," ],["))))</f>
        <v xml:space="preserve">  - {SamplingFeatureObj:  *SamplingFeatureID0213, SpecimenTypeCV:  "Automated", SpecimenMediumCV:  "PLEASE PUT A SPECIMEN MEDIUM IN ROW 206", IsFieldSpecimen:  "TRUE"}</v>
      </c>
    </row>
    <row r="546" spans="1:4" x14ac:dyDescent="0.25">
      <c r="A546" s="27">
        <f t="shared" si="16"/>
        <v>17</v>
      </c>
      <c r="B546" s="27" t="str">
        <f>OFFSET('YODA Header Blocks'!$A$1,0,A546)</f>
        <v>Specimens</v>
      </c>
      <c r="C546" s="27">
        <f t="shared" si="17"/>
        <v>208</v>
      </c>
      <c r="D546" s="27"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Values'!R",ROW()-LengthHeader,"C2:R",ROW()-LengthHeader,"C",NumFileColumns+2),FALSE))," ],["))))</f>
        <v xml:space="preserve">  - {SamplingFeatureObj:  *SamplingFeatureID0214, SpecimenTypeCV:  "Automated", SpecimenMediumCV:  "PLEASE PUT A SPECIMEN MEDIUM IN ROW 207", IsFieldSpecimen:  "TRUE"}</v>
      </c>
    </row>
    <row r="547" spans="1:4" x14ac:dyDescent="0.25">
      <c r="A547" s="27">
        <f t="shared" si="16"/>
        <v>17</v>
      </c>
      <c r="B547" s="27" t="str">
        <f>OFFSET('YODA Header Blocks'!$A$1,0,A547)</f>
        <v>Specimens</v>
      </c>
      <c r="C547" s="27">
        <f t="shared" si="17"/>
        <v>209</v>
      </c>
      <c r="D547" s="27"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Values'!R",ROW()-LengthHeader,"C2:R",ROW()-LengthHeader,"C",NumFileColumns+2),FALSE))," ],["))))</f>
        <v xml:space="preserve">  - {SamplingFeatureObj:  *SamplingFeatureID0215, SpecimenTypeCV:  "Automated", SpecimenMediumCV:  "1137.14964", IsFieldSpecimen:  "TRUE"}</v>
      </c>
    </row>
    <row r="548" spans="1:4" x14ac:dyDescent="0.25">
      <c r="A548" s="27">
        <f t="shared" si="16"/>
        <v>17</v>
      </c>
      <c r="B548" s="27" t="str">
        <f>OFFSET('YODA Header Blocks'!$A$1,0,A548)</f>
        <v>Specimens</v>
      </c>
      <c r="C548" s="27">
        <f t="shared" si="17"/>
        <v>210</v>
      </c>
      <c r="D548" s="27"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Values'!R",ROW()-LengthHeader,"C2:R",ROW()-LengthHeader,"C",NumFileColumns+2),FALSE))," ],["))))</f>
        <v xml:space="preserve">  - {SamplingFeatureObj:  *SamplingFeatureID0216, SpecimenTypeCV:  "Automated", SpecimenMediumCV:  "PLEASE PUT A SPECIMEN MEDIUM IN ROW 209", IsFieldSpecimen:  "TRUE"}</v>
      </c>
    </row>
    <row r="549" spans="1:4" x14ac:dyDescent="0.25">
      <c r="A549" s="27">
        <f t="shared" si="16"/>
        <v>17</v>
      </c>
      <c r="B549" s="27" t="str">
        <f>OFFSET('YODA Header Blocks'!$A$1,0,A549)</f>
        <v>Specimens</v>
      </c>
      <c r="C549" s="27">
        <f t="shared" si="17"/>
        <v>211</v>
      </c>
      <c r="D549" s="27"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Values'!R",ROW()-LengthHeader,"C2:R",ROW()-LengthHeader,"C",NumFileColumns+2),FALSE))," ],["))))</f>
        <v xml:space="preserve">  - {SamplingFeatureObj:  *SamplingFeatureID0217, SpecimenTypeCV:  "Automated", SpecimenMediumCV:  "PLEASE PUT A SPECIMEN MEDIUM IN ROW 210", IsFieldSpecimen:  "TRUE"}</v>
      </c>
    </row>
    <row r="550" spans="1:4" x14ac:dyDescent="0.25">
      <c r="A550" s="27">
        <f t="shared" si="16"/>
        <v>17</v>
      </c>
      <c r="B550" s="27" t="str">
        <f>OFFSET('YODA Header Blocks'!$A$1,0,A550)</f>
        <v>Specimens</v>
      </c>
      <c r="C550" s="27">
        <f t="shared" si="17"/>
        <v>212</v>
      </c>
      <c r="D550" s="27"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Values'!R",ROW()-LengthHeader,"C2:R",ROW()-LengthHeader,"C",NumFileColumns+2),FALSE))," ],["))))</f>
        <v xml:space="preserve">  - {SamplingFeatureObj:  *SamplingFeatureID0218, SpecimenTypeCV:  "Automated", SpecimenMediumCV:  "PLEASE PUT A SPECIMEN MEDIUM IN ROW 211", IsFieldSpecimen:  "TRUE"}</v>
      </c>
    </row>
    <row r="551" spans="1:4" x14ac:dyDescent="0.25">
      <c r="A551" s="27">
        <f t="shared" si="16"/>
        <v>17</v>
      </c>
      <c r="B551" s="27" t="str">
        <f>OFFSET('YODA Header Blocks'!$A$1,0,A551)</f>
        <v>Specimens</v>
      </c>
      <c r="C551" s="27">
        <f t="shared" si="17"/>
        <v>213</v>
      </c>
      <c r="D551" s="27"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Values'!R",ROW()-LengthHeader,"C2:R",ROW()-LengthHeader,"C",NumFileColumns+2),FALSE))," ],["))))</f>
        <v xml:space="preserve">  - {SamplingFeatureObj:  *SamplingFeatureID0219, SpecimenTypeCV:  "Automated", SpecimenMediumCV:  "PLEASE PUT A SPECIMEN MEDIUM IN ROW 212", IsFieldSpecimen:  "TRUE"}</v>
      </c>
    </row>
    <row r="552" spans="1:4" x14ac:dyDescent="0.25">
      <c r="A552" s="27">
        <f t="shared" si="16"/>
        <v>17</v>
      </c>
      <c r="B552" s="27" t="str">
        <f>OFFSET('YODA Header Blocks'!$A$1,0,A552)</f>
        <v>Specimens</v>
      </c>
      <c r="C552" s="27">
        <f t="shared" si="17"/>
        <v>214</v>
      </c>
      <c r="D552" s="27"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Values'!R",ROW()-LengthHeader,"C2:R",ROW()-LengthHeader,"C",NumFileColumns+2),FALSE))," ],["))))</f>
        <v xml:space="preserve">  - {SamplingFeatureObj:  *SamplingFeatureID0220, SpecimenTypeCV:  "Automated", SpecimenMediumCV:  "PLEASE PUT A SPECIMEN MEDIUM IN ROW 213", IsFieldSpecimen:  "TRUE"}</v>
      </c>
    </row>
    <row r="553" spans="1:4" x14ac:dyDescent="0.25">
      <c r="A553" s="27">
        <f t="shared" si="16"/>
        <v>17</v>
      </c>
      <c r="B553" s="27" t="str">
        <f>OFFSET('YODA Header Blocks'!$A$1,0,A553)</f>
        <v>Specimens</v>
      </c>
      <c r="C553" s="27">
        <f t="shared" si="17"/>
        <v>215</v>
      </c>
      <c r="D553" s="27"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Values'!R",ROW()-LengthHeader,"C2:R",ROW()-LengthHeader,"C",NumFileColumns+2),FALSE))," ],["))))</f>
        <v xml:space="preserve">  - {SamplingFeatureObj:  *SamplingFeatureID0221, SpecimenTypeCV:  "Automated", SpecimenMediumCV:  "1062.790944", IsFieldSpecimen:  "TRUE"}</v>
      </c>
    </row>
    <row r="554" spans="1:4" x14ac:dyDescent="0.25">
      <c r="A554" s="27">
        <f t="shared" si="16"/>
        <v>17</v>
      </c>
      <c r="B554" s="27" t="str">
        <f>OFFSET('YODA Header Blocks'!$A$1,0,A554)</f>
        <v>Specimens</v>
      </c>
      <c r="C554" s="27">
        <f t="shared" si="17"/>
        <v>216</v>
      </c>
      <c r="D554" s="27"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Values'!R",ROW()-LengthHeader,"C2:R",ROW()-LengthHeader,"C",NumFileColumns+2),FALSE))," ],["))))</f>
        <v xml:space="preserve">  - {SamplingFeatureObj:  *SamplingFeatureID0222, SpecimenTypeCV:  "Automated", SpecimenMediumCV:  "PLEASE PUT A SPECIMEN MEDIUM IN ROW 215", IsFieldSpecimen:  "TRUE"}</v>
      </c>
    </row>
    <row r="555" spans="1:4" x14ac:dyDescent="0.25">
      <c r="A555" s="27">
        <f t="shared" si="16"/>
        <v>17</v>
      </c>
      <c r="B555" s="27" t="str">
        <f>OFFSET('YODA Header Blocks'!$A$1,0,A555)</f>
        <v>Specimens</v>
      </c>
      <c r="C555" s="27">
        <f t="shared" si="17"/>
        <v>217</v>
      </c>
      <c r="D555" s="27"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Values'!R",ROW()-LengthHeader,"C2:R",ROW()-LengthHeader,"C",NumFileColumns+2),FALSE))," ],["))))</f>
        <v xml:space="preserve">  - {SamplingFeatureObj:  *SamplingFeatureID0223, SpecimenTypeCV:  "Grab", SpecimenMediumCV:  "PLEASE PUT A SPECIMEN MEDIUM IN ROW 216", IsFieldSpecimen:  "TRUE"}</v>
      </c>
    </row>
    <row r="556" spans="1:4" x14ac:dyDescent="0.25">
      <c r="A556" s="27">
        <f t="shared" si="16"/>
        <v>17</v>
      </c>
      <c r="B556" s="27" t="str">
        <f>OFFSET('YODA Header Blocks'!$A$1,0,A556)</f>
        <v>Specimens</v>
      </c>
      <c r="C556" s="27">
        <f t="shared" si="17"/>
        <v>218</v>
      </c>
      <c r="D556" s="27"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Values'!R",ROW()-LengthHeader,"C2:R",ROW()-LengthHeader,"C",NumFileColumns+2),FALSE))," ],["))))</f>
        <v xml:space="preserve">  - {SamplingFeatureObj:  *SamplingFeatureID0224, SpecimenTypeCV:  "Grab", SpecimenMediumCV:  "PLEASE PUT A SPECIMEN MEDIUM IN ROW 217", IsFieldSpecimen:  "TRUE"}</v>
      </c>
    </row>
    <row r="557" spans="1:4" x14ac:dyDescent="0.25">
      <c r="A557" s="27">
        <f t="shared" si="16"/>
        <v>17</v>
      </c>
      <c r="B557" s="27" t="str">
        <f>OFFSET('YODA Header Blocks'!$A$1,0,A557)</f>
        <v>Specimens</v>
      </c>
      <c r="C557" s="27">
        <f t="shared" si="17"/>
        <v>219</v>
      </c>
      <c r="D557" s="27"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Values'!R",ROW()-LengthHeader,"C2:R",ROW()-LengthHeader,"C",NumFileColumns+2),FALSE))," ],["))))</f>
        <v xml:space="preserve">  - {SamplingFeatureObj:  *SamplingFeatureID0225, SpecimenTypeCV:  "Grab", SpecimenMediumCV:  "PLEASE PUT A SPECIMEN MEDIUM IN ROW 218", IsFieldSpecimen:  "TRUE"}</v>
      </c>
    </row>
    <row r="558" spans="1:4" x14ac:dyDescent="0.25">
      <c r="A558" s="27">
        <f t="shared" si="16"/>
        <v>17</v>
      </c>
      <c r="B558" s="27" t="str">
        <f>OFFSET('YODA Header Blocks'!$A$1,0,A558)</f>
        <v>Specimens</v>
      </c>
      <c r="C558" s="27">
        <f t="shared" si="17"/>
        <v>220</v>
      </c>
      <c r="D558" s="27"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Values'!R",ROW()-LengthHeader,"C2:R",ROW()-LengthHeader,"C",NumFileColumns+2),FALSE))," ],["))))</f>
        <v xml:space="preserve">  - {SamplingFeatureObj:  *SamplingFeatureID0226, SpecimenTypeCV:  "Grab", SpecimenMediumCV:  "1431.840801", IsFieldSpecimen:  "TRUE"}</v>
      </c>
    </row>
    <row r="559" spans="1:4" x14ac:dyDescent="0.25">
      <c r="A559" s="27">
        <f t="shared" si="16"/>
        <v>17</v>
      </c>
      <c r="B559" s="27" t="str">
        <f>OFFSET('YODA Header Blocks'!$A$1,0,A559)</f>
        <v>Specimens</v>
      </c>
      <c r="C559" s="27">
        <f t="shared" si="17"/>
        <v>221</v>
      </c>
      <c r="D559" s="27"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Values'!R",ROW()-LengthHeader,"C2:R",ROW()-LengthHeader,"C",NumFileColumns+2),FALSE))," ],["))))</f>
        <v xml:space="preserve">  - {SamplingFeatureObj:  *SamplingFeatureID0227, SpecimenTypeCV:  "Grab", SpecimenMediumCV:  "1336.4446", IsFieldSpecimen:  "TRUE"}</v>
      </c>
    </row>
    <row r="560" spans="1:4" x14ac:dyDescent="0.25">
      <c r="A560" s="27">
        <f t="shared" si="16"/>
        <v>17</v>
      </c>
      <c r="B560" s="27" t="str">
        <f>OFFSET('YODA Header Blocks'!$A$1,0,A560)</f>
        <v>Specimens</v>
      </c>
      <c r="C560" s="27">
        <f t="shared" si="17"/>
        <v>222</v>
      </c>
      <c r="D560" s="27"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Values'!R",ROW()-LengthHeader,"C2:R",ROW()-LengthHeader,"C",NumFileColumns+2),FALSE))," ],["))))</f>
        <v xml:space="preserve">  - {SamplingFeatureObj:  *SamplingFeatureID0228, SpecimenTypeCV:  "Grab", SpecimenMediumCV:  "1406.258676", IsFieldSpecimen:  "TRUE"}</v>
      </c>
    </row>
    <row r="561" spans="1:4" x14ac:dyDescent="0.25">
      <c r="A561" s="27">
        <f t="shared" si="16"/>
        <v>17</v>
      </c>
      <c r="B561" s="27" t="str">
        <f>OFFSET('YODA Header Blocks'!$A$1,0,A561)</f>
        <v>Specimens</v>
      </c>
      <c r="C561" s="27">
        <f t="shared" si="17"/>
        <v>223</v>
      </c>
      <c r="D561" s="27"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Values'!R",ROW()-LengthHeader,"C2:R",ROW()-LengthHeader,"C",NumFileColumns+2),FALSE))," ],["))))</f>
        <v xml:space="preserve">  - {SamplingFeatureObj:  *SamplingFeatureID0229, SpecimenTypeCV:  "Automated", SpecimenMediumCV:  "1333.151728", IsFieldSpecimen:  "TRUE"}</v>
      </c>
    </row>
    <row r="562" spans="1:4" x14ac:dyDescent="0.25">
      <c r="A562" s="27">
        <f t="shared" si="16"/>
        <v>17</v>
      </c>
      <c r="B562" s="27" t="str">
        <f>OFFSET('YODA Header Blocks'!$A$1,0,A562)</f>
        <v>Specimens</v>
      </c>
      <c r="C562" s="27">
        <f t="shared" si="17"/>
        <v>224</v>
      </c>
      <c r="D562" s="27"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Values'!R",ROW()-LengthHeader,"C2:R",ROW()-LengthHeader,"C",NumFileColumns+2),FALSE))," ],["))))</f>
        <v xml:space="preserve">  - {SamplingFeatureObj:  *SamplingFeatureID0230, SpecimenTypeCV:  "Automated", SpecimenMediumCV:  "1054.154583", IsFieldSpecimen:  "TRUE"}</v>
      </c>
    </row>
    <row r="563" spans="1:4" x14ac:dyDescent="0.25">
      <c r="A563" s="27">
        <f t="shared" si="16"/>
        <v>17</v>
      </c>
      <c r="B563" s="27" t="str">
        <f>OFFSET('YODA Header Blocks'!$A$1,0,A563)</f>
        <v>Specimens</v>
      </c>
      <c r="C563" s="27">
        <f t="shared" si="17"/>
        <v>225</v>
      </c>
      <c r="D563" s="27"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Values'!R",ROW()-LengthHeader,"C2:R",ROW()-LengthHeader,"C",NumFileColumns+2),FALSE))," ],["))))</f>
        <v xml:space="preserve">  - {SamplingFeatureObj:  *SamplingFeatureID0231, SpecimenTypeCV:  "Automated", SpecimenMediumCV:  "708.3089095", IsFieldSpecimen:  "TRUE"}</v>
      </c>
    </row>
    <row r="564" spans="1:4" x14ac:dyDescent="0.25">
      <c r="A564" s="27">
        <f t="shared" si="16"/>
        <v>17</v>
      </c>
      <c r="B564" s="27" t="str">
        <f>OFFSET('YODA Header Blocks'!$A$1,0,A564)</f>
        <v>Specimens</v>
      </c>
      <c r="C564" s="27">
        <f t="shared" si="17"/>
        <v>226</v>
      </c>
      <c r="D564" s="27"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Values'!R",ROW()-LengthHeader,"C2:R",ROW()-LengthHeader,"C",NumFileColumns+2),FALSE))," ],["))))</f>
        <v xml:space="preserve">  - {SamplingFeatureObj:  *SamplingFeatureID0232, SpecimenTypeCV:  "Automated", SpecimenMediumCV:  "698.5806851", IsFieldSpecimen:  "TRUE"}</v>
      </c>
    </row>
    <row r="565" spans="1:4" x14ac:dyDescent="0.25">
      <c r="A565" s="27">
        <f t="shared" si="16"/>
        <v>17</v>
      </c>
      <c r="B565" s="27" t="str">
        <f>OFFSET('YODA Header Blocks'!$A$1,0,A565)</f>
        <v>Specimens</v>
      </c>
      <c r="C565" s="27">
        <f t="shared" si="17"/>
        <v>227</v>
      </c>
      <c r="D565" s="27"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Values'!R",ROW()-LengthHeader,"C2:R",ROW()-LengthHeader,"C",NumFileColumns+2),FALSE))," ],["))))</f>
        <v xml:space="preserve">  - {SamplingFeatureObj:  *SamplingFeatureID0233, SpecimenTypeCV:  "Automated", SpecimenMediumCV:  "668.2429253", IsFieldSpecimen:  "TRUE"}</v>
      </c>
    </row>
    <row r="566" spans="1:4" x14ac:dyDescent="0.25">
      <c r="A566" s="27">
        <f t="shared" si="16"/>
        <v>17</v>
      </c>
      <c r="B566" s="27" t="str">
        <f>OFFSET('YODA Header Blocks'!$A$1,0,A566)</f>
        <v>Specimens</v>
      </c>
      <c r="C566" s="27">
        <f t="shared" si="17"/>
        <v>228</v>
      </c>
      <c r="D566" s="27"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Values'!R",ROW()-LengthHeader,"C2:R",ROW()-LengthHeader,"C",NumFileColumns+2),FALSE))," ],["))))</f>
        <v xml:space="preserve">  - {SamplingFeatureObj:  *SamplingFeatureID0234, SpecimenTypeCV:  "Automated", SpecimenMediumCV:  "668.2429253", IsFieldSpecimen:  "TRUE"}</v>
      </c>
    </row>
    <row r="567" spans="1:4" x14ac:dyDescent="0.25">
      <c r="A567" s="27">
        <f t="shared" si="16"/>
        <v>17</v>
      </c>
      <c r="B567" s="27" t="str">
        <f>OFFSET('YODA Header Blocks'!$A$1,0,A567)</f>
        <v>Specimens</v>
      </c>
      <c r="C567" s="27">
        <f t="shared" si="17"/>
        <v>229</v>
      </c>
      <c r="D567" s="27"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Values'!R",ROW()-LengthHeader,"C2:R",ROW()-LengthHeader,"C",NumFileColumns+2),FALSE))," ],["))))</f>
        <v xml:space="preserve">  - {SamplingFeatureObj:  *SamplingFeatureID0235, SpecimenTypeCV:  "Automated", SpecimenMediumCV:  "482.8325881", IsFieldSpecimen:  "TRUE"}</v>
      </c>
    </row>
    <row r="568" spans="1:4" x14ac:dyDescent="0.25">
      <c r="A568" s="27">
        <f t="shared" si="16"/>
        <v>17</v>
      </c>
      <c r="B568" s="27" t="str">
        <f>OFFSET('YODA Header Blocks'!$A$1,0,A568)</f>
        <v>Specimens</v>
      </c>
      <c r="C568" s="27">
        <f t="shared" si="17"/>
        <v>230</v>
      </c>
      <c r="D568" s="27"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Values'!R",ROW()-LengthHeader,"C2:R",ROW()-LengthHeader,"C",NumFileColumns+2),FALSE))," ],["))))</f>
        <v xml:space="preserve">  - {SamplingFeatureObj:  *SamplingFeatureID0236, SpecimenTypeCV:  "Automated", SpecimenMediumCV:  "536.045681", IsFieldSpecimen:  "TRUE"}</v>
      </c>
    </row>
    <row r="569" spans="1:4" x14ac:dyDescent="0.25">
      <c r="A569" s="27">
        <f t="shared" si="16"/>
        <v>17</v>
      </c>
      <c r="B569" s="27" t="str">
        <f>OFFSET('YODA Header Blocks'!$A$1,0,A569)</f>
        <v>Specimens</v>
      </c>
      <c r="C569" s="27">
        <f t="shared" si="17"/>
        <v>231</v>
      </c>
      <c r="D569" s="27"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Values'!R",ROW()-LengthHeader,"C2:R",ROW()-LengthHeader,"C",NumFileColumns+2),FALSE))," ],["))))</f>
        <v xml:space="preserve">  - {SamplingFeatureObj:  *SamplingFeatureID0237, SpecimenTypeCV:  "Automated", SpecimenMediumCV:  "722.8506051", IsFieldSpecimen:  "TRUE"}</v>
      </c>
    </row>
    <row r="570" spans="1:4" x14ac:dyDescent="0.25">
      <c r="A570" s="27">
        <f t="shared" si="16"/>
        <v>17</v>
      </c>
      <c r="B570" s="27" t="str">
        <f>OFFSET('YODA Header Blocks'!$A$1,0,A570)</f>
        <v>Specimens</v>
      </c>
      <c r="C570" s="27">
        <f t="shared" si="17"/>
        <v>232</v>
      </c>
      <c r="D570" s="27"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Values'!R",ROW()-LengthHeader,"C2:R",ROW()-LengthHeader,"C",NumFileColumns+2),FALSE))," ],["))))</f>
        <v xml:space="preserve">  - {SamplingFeatureObj:  *SamplingFeatureID0238, SpecimenTypeCV:  "Automated", SpecimenMediumCV:  "857.7579578", IsFieldSpecimen:  "TRUE"}</v>
      </c>
    </row>
    <row r="571" spans="1:4" x14ac:dyDescent="0.25">
      <c r="A571" s="27">
        <f t="shared" si="16"/>
        <v>17</v>
      </c>
      <c r="B571" s="27" t="str">
        <f>OFFSET('YODA Header Blocks'!$A$1,0,A571)</f>
        <v>Specimens</v>
      </c>
      <c r="C571" s="27">
        <f t="shared" si="17"/>
        <v>233</v>
      </c>
      <c r="D571" s="27"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Values'!R",ROW()-LengthHeader,"C2:R",ROW()-LengthHeader,"C",NumFileColumns+2),FALSE))," ],["))))</f>
        <v xml:space="preserve">  - {SamplingFeatureObj:  *SamplingFeatureID0239, SpecimenTypeCV:  "Automated", SpecimenMediumCV:  "1071.912788", IsFieldSpecimen:  "TRUE"}</v>
      </c>
    </row>
    <row r="572" spans="1:4" x14ac:dyDescent="0.25">
      <c r="A572" s="27">
        <f t="shared" si="16"/>
        <v>17</v>
      </c>
      <c r="B572" s="27" t="str">
        <f>OFFSET('YODA Header Blocks'!$A$1,0,A572)</f>
        <v>Specimens</v>
      </c>
      <c r="C572" s="27">
        <f t="shared" si="17"/>
        <v>234</v>
      </c>
      <c r="D572" s="27"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Values'!R",ROW()-LengthHeader,"C2:R",ROW()-LengthHeader,"C",NumFileColumns+2),FALSE))," ],["))))</f>
        <v xml:space="preserve">  - {SamplingFeatureObj:  *SamplingFeatureID0240, SpecimenTypeCV:  "Automated", SpecimenMediumCV:  "PLEASE PUT A SPECIMEN MEDIUM IN ROW 233", IsFieldSpecimen:  "TRUE"}</v>
      </c>
    </row>
    <row r="573" spans="1:4" x14ac:dyDescent="0.25">
      <c r="A573" s="27">
        <f t="shared" si="16"/>
        <v>17</v>
      </c>
      <c r="B573" s="27" t="str">
        <f>OFFSET('YODA Header Blocks'!$A$1,0,A573)</f>
        <v>Specimens</v>
      </c>
      <c r="C573" s="27">
        <f t="shared" si="17"/>
        <v>235</v>
      </c>
      <c r="D573" s="27"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Values'!R",ROW()-LengthHeader,"C2:R",ROW()-LengthHeader,"C",NumFileColumns+2),FALSE))," ],["))))</f>
        <v xml:space="preserve">  - {SamplingFeatureObj:  *SamplingFeatureID0241, SpecimenTypeCV:  "Automated", SpecimenMediumCV:  "PLEASE PUT A SPECIMEN MEDIUM IN ROW 234", IsFieldSpecimen:  "TRUE"}</v>
      </c>
    </row>
    <row r="574" spans="1:4" x14ac:dyDescent="0.25">
      <c r="A574" s="27">
        <f t="shared" si="16"/>
        <v>17</v>
      </c>
      <c r="B574" s="27" t="str">
        <f>OFFSET('YODA Header Blocks'!$A$1,0,A574)</f>
        <v>Specimens</v>
      </c>
      <c r="C574" s="27">
        <f t="shared" si="17"/>
        <v>236</v>
      </c>
      <c r="D574" s="27"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Values'!R",ROW()-LengthHeader,"C2:R",ROW()-LengthHeader,"C",NumFileColumns+2),FALSE))," ],["))))</f>
        <v xml:space="preserve">  - {SamplingFeatureObj:  *SamplingFeatureID0242, SpecimenTypeCV:  "Automated", SpecimenMediumCV:  "PLEASE PUT A SPECIMEN MEDIUM IN ROW 235", IsFieldSpecimen:  "TRUE"}</v>
      </c>
    </row>
    <row r="575" spans="1:4" x14ac:dyDescent="0.25">
      <c r="A575" s="27">
        <f t="shared" si="16"/>
        <v>17</v>
      </c>
      <c r="B575" s="27" t="str">
        <f>OFFSET('YODA Header Blocks'!$A$1,0,A575)</f>
        <v>Specimens</v>
      </c>
      <c r="C575" s="27">
        <f t="shared" si="17"/>
        <v>237</v>
      </c>
      <c r="D575" s="27"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Values'!R",ROW()-LengthHeader,"C2:R",ROW()-LengthHeader,"C",NumFileColumns+2),FALSE))," ],["))))</f>
        <v xml:space="preserve">  - {SamplingFeatureObj:  *SamplingFeatureID0243, SpecimenTypeCV:  "Grab", SpecimenMediumCV:  "PLEASE PUT A SPECIMEN MEDIUM IN ROW 236", IsFieldSpecimen:  "TRUE"}</v>
      </c>
    </row>
    <row r="576" spans="1:4" x14ac:dyDescent="0.25">
      <c r="A576" s="27">
        <f t="shared" si="16"/>
        <v>17</v>
      </c>
      <c r="B576" s="27" t="str">
        <f>OFFSET('YODA Header Blocks'!$A$1,0,A576)</f>
        <v>Specimens</v>
      </c>
      <c r="C576" s="27">
        <f t="shared" si="17"/>
        <v>238</v>
      </c>
      <c r="D576" s="27"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Values'!R",ROW()-LengthHeader,"C2:R",ROW()-LengthHeader,"C",NumFileColumns+2),FALSE))," ],["))))</f>
        <v xml:space="preserve">  - {SamplingFeatureObj:  *SamplingFeatureID0244, SpecimenTypeCV:  "Grab", SpecimenMediumCV:  "PLEASE PUT A SPECIMEN MEDIUM IN ROW 237", IsFieldSpecimen:  "TRUE"}</v>
      </c>
    </row>
    <row r="577" spans="1:4" x14ac:dyDescent="0.25">
      <c r="A577" s="27">
        <f t="shared" si="16"/>
        <v>17</v>
      </c>
      <c r="B577" s="27" t="str">
        <f>OFFSET('YODA Header Blocks'!$A$1,0,A577)</f>
        <v>Specimens</v>
      </c>
      <c r="C577" s="27">
        <f t="shared" si="17"/>
        <v>239</v>
      </c>
      <c r="D577" s="27"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Values'!R",ROW()-LengthHeader,"C2:R",ROW()-LengthHeader,"C",NumFileColumns+2),FALSE))," ],["))))</f>
        <v xml:space="preserve">  - {SamplingFeatureObj:  *SamplingFeatureID0245, SpecimenTypeCV:  "Grab", SpecimenMediumCV:  "PLEASE PUT A SPECIMEN MEDIUM IN ROW 238", IsFieldSpecimen:  "TRUE"}</v>
      </c>
    </row>
    <row r="578" spans="1:4" x14ac:dyDescent="0.25">
      <c r="A578" s="27">
        <f t="shared" si="16"/>
        <v>17</v>
      </c>
      <c r="B578" s="27" t="str">
        <f>OFFSET('YODA Header Blocks'!$A$1,0,A578)</f>
        <v>Specimens</v>
      </c>
      <c r="C578" s="27">
        <f t="shared" si="17"/>
        <v>240</v>
      </c>
      <c r="D578" s="27"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Values'!R",ROW()-LengthHeader,"C2:R",ROW()-LengthHeader,"C",NumFileColumns+2),FALSE))," ],["))))</f>
        <v xml:space="preserve">  - {SamplingFeatureObj:  *SamplingFeatureID0246, SpecimenTypeCV:  "Grab", SpecimenMediumCV:  "PLEASE PUT A SPECIMEN MEDIUM IN ROW 239", IsFieldSpecimen:  "TRUE"}</v>
      </c>
    </row>
    <row r="579" spans="1:4" x14ac:dyDescent="0.25">
      <c r="A579" s="27">
        <f t="shared" si="16"/>
        <v>17</v>
      </c>
      <c r="B579" s="27" t="str">
        <f>OFFSET('YODA Header Blocks'!$A$1,0,A579)</f>
        <v>Specimens</v>
      </c>
      <c r="C579" s="27">
        <f t="shared" si="17"/>
        <v>241</v>
      </c>
      <c r="D579" s="27"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Values'!R",ROW()-LengthHeader,"C2:R",ROW()-LengthHeader,"C",NumFileColumns+2),FALSE))," ],["))))</f>
        <v xml:space="preserve">  - {SamplingFeatureObj:  *SamplingFeatureID0247, SpecimenTypeCV:  "Grab", SpecimenMediumCV:  "PLEASE PUT A SPECIMEN MEDIUM IN ROW 240", IsFieldSpecimen:  "TRUE"}</v>
      </c>
    </row>
    <row r="580" spans="1:4" x14ac:dyDescent="0.25">
      <c r="A580" s="27">
        <f t="shared" ref="A580:A643" si="18">IF(C579=INDIRECT(CONCATENATE("'YODA Header Blocks'!R2C",A579+1,":R2C",A579+1),FALSE),A579+1,A579)</f>
        <v>17</v>
      </c>
      <c r="B580" s="27" t="str">
        <f>OFFSET('YODA Header Blocks'!$A$1,0,A580)</f>
        <v>Specimens</v>
      </c>
      <c r="C580" s="27">
        <f t="shared" ref="C580:C643" si="19">IF(C579=SUM(INDIRECT(CONCATENATE("'YODA Header Blocks'!R2C",A579+1,":R2C",A579+1),FALSE)),1,C579+1)</f>
        <v>242</v>
      </c>
      <c r="D580" s="27"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Values'!R",ROW()-LengthHeader,"C2:R",ROW()-LengthHeader,"C",NumFileColumns+2),FALSE))," ],["))))</f>
        <v xml:space="preserve">  - {SamplingFeatureObj:  *SamplingFeatureID0248, SpecimenTypeCV:  "Grab", SpecimenMediumCV:  "PLEASE PUT A SPECIMEN MEDIUM IN ROW 241", IsFieldSpecimen:  "TRUE"}</v>
      </c>
    </row>
    <row r="581" spans="1:4" x14ac:dyDescent="0.25">
      <c r="A581" s="27">
        <f t="shared" si="18"/>
        <v>17</v>
      </c>
      <c r="B581" s="27" t="str">
        <f>OFFSET('YODA Header Blocks'!$A$1,0,A581)</f>
        <v>Specimens</v>
      </c>
      <c r="C581" s="27">
        <f t="shared" si="19"/>
        <v>243</v>
      </c>
      <c r="D581" s="27"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Values'!R",ROW()-LengthHeader,"C2:R",ROW()-LengthHeader,"C",NumFileColumns+2),FALSE))," ],["))))</f>
        <v xml:space="preserve">  - {SamplingFeatureObj:  *SamplingFeatureID0249, SpecimenTypeCV:  "Grab", SpecimenMediumCV:  "PLEASE PUT A SPECIMEN MEDIUM IN ROW 242", IsFieldSpecimen:  "TRUE"}</v>
      </c>
    </row>
    <row r="582" spans="1:4" x14ac:dyDescent="0.25">
      <c r="A582" s="27">
        <f t="shared" si="18"/>
        <v>17</v>
      </c>
      <c r="B582" s="27" t="str">
        <f>OFFSET('YODA Header Blocks'!$A$1,0,A582)</f>
        <v>Specimens</v>
      </c>
      <c r="C582" s="27">
        <f t="shared" si="19"/>
        <v>244</v>
      </c>
      <c r="D582" s="27"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Values'!R",ROW()-LengthHeader,"C2:R",ROW()-LengthHeader,"C",NumFileColumns+2),FALSE))," ],["))))</f>
        <v xml:space="preserve">  - {SamplingFeatureObj:  *SamplingFeatureID0250, SpecimenTypeCV:  "Grab", SpecimenMediumCV:  "PLEASE PUT A SPECIMEN MEDIUM IN ROW 243", IsFieldSpecimen:  "TRUE"}</v>
      </c>
    </row>
    <row r="583" spans="1:4" x14ac:dyDescent="0.25">
      <c r="A583" s="27">
        <f t="shared" si="18"/>
        <v>17</v>
      </c>
      <c r="B583" s="27" t="str">
        <f>OFFSET('YODA Header Blocks'!$A$1,0,A583)</f>
        <v>Specimens</v>
      </c>
      <c r="C583" s="27">
        <f t="shared" si="19"/>
        <v>245</v>
      </c>
      <c r="D583" s="27"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Values'!R",ROW()-LengthHeader,"C2:R",ROW()-LengthHeader,"C",NumFileColumns+2),FALSE))," ],["))))</f>
        <v xml:space="preserve">  - {SamplingFeatureObj:  *SamplingFeatureID0251, SpecimenTypeCV:  "Grab", SpecimenMediumCV:  "PLEASE PUT A SPECIMEN MEDIUM IN ROW 244", IsFieldSpecimen:  "TRUE"}</v>
      </c>
    </row>
    <row r="584" spans="1:4" x14ac:dyDescent="0.25">
      <c r="A584" s="27">
        <f t="shared" si="18"/>
        <v>17</v>
      </c>
      <c r="B584" s="27" t="str">
        <f>OFFSET('YODA Header Blocks'!$A$1,0,A584)</f>
        <v>Specimens</v>
      </c>
      <c r="C584" s="27">
        <f t="shared" si="19"/>
        <v>246</v>
      </c>
      <c r="D584" s="27"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Values'!R",ROW()-LengthHeader,"C2:R",ROW()-LengthHeader,"C",NumFileColumns+2),FALSE))," ],["))))</f>
        <v xml:space="preserve">  - {SamplingFeatureObj:  *SamplingFeatureID0252, SpecimenTypeCV:  "Grab", SpecimenMediumCV:  "PLEASE PUT A SPECIMEN MEDIUM IN ROW 245", IsFieldSpecimen:  "TRUE"}</v>
      </c>
    </row>
    <row r="585" spans="1:4" x14ac:dyDescent="0.25">
      <c r="A585" s="27">
        <f t="shared" si="18"/>
        <v>17</v>
      </c>
      <c r="B585" s="27" t="str">
        <f>OFFSET('YODA Header Blocks'!$A$1,0,A585)</f>
        <v>Specimens</v>
      </c>
      <c r="C585" s="27">
        <f t="shared" si="19"/>
        <v>247</v>
      </c>
      <c r="D585" s="27"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Values'!R",ROW()-LengthHeader,"C2:R",ROW()-LengthHeader,"C",NumFileColumns+2),FALSE))," ],["))))</f>
        <v xml:space="preserve">  - {SamplingFeatureObj:  *SamplingFeatureID0253, SpecimenTypeCV:  "Grab", SpecimenMediumCV:  "PLEASE PUT A SPECIMEN MEDIUM IN ROW 246", IsFieldSpecimen:  "TRUE"}</v>
      </c>
    </row>
    <row r="586" spans="1:4" x14ac:dyDescent="0.25">
      <c r="A586" s="27">
        <f t="shared" si="18"/>
        <v>17</v>
      </c>
      <c r="B586" s="27" t="str">
        <f>OFFSET('YODA Header Blocks'!$A$1,0,A586)</f>
        <v>Specimens</v>
      </c>
      <c r="C586" s="27">
        <f t="shared" si="19"/>
        <v>248</v>
      </c>
      <c r="D586" s="27"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Values'!R",ROW()-LengthHeader,"C2:R",ROW()-LengthHeader,"C",NumFileColumns+2),FALSE))," ],["))))</f>
        <v xml:space="preserve">  - {SamplingFeatureObj:  *SamplingFeatureID0254, SpecimenTypeCV:  "Grab", SpecimenMediumCV:  "PLEASE PUT A SPECIMEN MEDIUM IN ROW 247", IsFieldSpecimen:  "TRUE"}</v>
      </c>
    </row>
    <row r="587" spans="1:4" x14ac:dyDescent="0.25">
      <c r="A587" s="27">
        <f t="shared" si="18"/>
        <v>17</v>
      </c>
      <c r="B587" s="27" t="str">
        <f>OFFSET('YODA Header Blocks'!$A$1,0,A587)</f>
        <v>Specimens</v>
      </c>
      <c r="C587" s="27">
        <f t="shared" si="19"/>
        <v>249</v>
      </c>
      <c r="D587" s="27"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Values'!R",ROW()-LengthHeader,"C2:R",ROW()-LengthHeader,"C",NumFileColumns+2),FALSE))," ],["))))</f>
        <v xml:space="preserve">  - {SamplingFeatureObj:  *SamplingFeatureID0255, SpecimenTypeCV:  "Grab", SpecimenMediumCV:  "PLEASE PUT A SPECIMEN MEDIUM IN ROW 248", IsFieldSpecimen:  "TRUE"}</v>
      </c>
    </row>
    <row r="588" spans="1:4" x14ac:dyDescent="0.25">
      <c r="A588" s="27">
        <f t="shared" si="18"/>
        <v>17</v>
      </c>
      <c r="B588" s="27" t="str">
        <f>OFFSET('YODA Header Blocks'!$A$1,0,A588)</f>
        <v>Specimens</v>
      </c>
      <c r="C588" s="27">
        <f t="shared" si="19"/>
        <v>250</v>
      </c>
      <c r="D588" s="27"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Values'!R",ROW()-LengthHeader,"C2:R",ROW()-LengthHeader,"C",NumFileColumns+2),FALSE))," ],["))))</f>
        <v xml:space="preserve">  - {SamplingFeatureObj:  *SamplingFeatureID0256, SpecimenTypeCV:  "Grab", SpecimenMediumCV:  "PLEASE PUT A SPECIMEN MEDIUM IN ROW 249", IsFieldSpecimen:  "TRUE"}</v>
      </c>
    </row>
    <row r="589" spans="1:4" x14ac:dyDescent="0.25">
      <c r="A589" s="27">
        <f t="shared" si="18"/>
        <v>17</v>
      </c>
      <c r="B589" s="27" t="str">
        <f>OFFSET('YODA Header Blocks'!$A$1,0,A589)</f>
        <v>Specimens</v>
      </c>
      <c r="C589" s="27">
        <f t="shared" si="19"/>
        <v>251</v>
      </c>
      <c r="D589" s="27"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Values'!R",ROW()-LengthHeader,"C2:R",ROW()-LengthHeader,"C",NumFileColumns+2),FALSE))," ],["))))</f>
        <v xml:space="preserve">  - {SamplingFeatureObj:  *SamplingFeatureID0257, SpecimenTypeCV:  "Automated", SpecimenMediumCV:  "PLEASE PUT A SPECIMEN MEDIUM IN ROW 250", IsFieldSpecimen:  "TRUE"}</v>
      </c>
    </row>
    <row r="590" spans="1:4" x14ac:dyDescent="0.25">
      <c r="A590" s="27">
        <f t="shared" si="18"/>
        <v>17</v>
      </c>
      <c r="B590" s="27" t="str">
        <f>OFFSET('YODA Header Blocks'!$A$1,0,A590)</f>
        <v>Specimens</v>
      </c>
      <c r="C590" s="27">
        <f t="shared" si="19"/>
        <v>252</v>
      </c>
      <c r="D590" s="27"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Values'!R",ROW()-LengthHeader,"C2:R",ROW()-LengthHeader,"C",NumFileColumns+2),FALSE))," ],["))))</f>
        <v xml:space="preserve">  - {SamplingFeatureObj:  *SamplingFeatureID0258, SpecimenTypeCV:  "Automated", SpecimenMediumCV:  "PLEASE PUT A SPECIMEN MEDIUM IN ROW 251", IsFieldSpecimen:  "TRUE"}</v>
      </c>
    </row>
    <row r="591" spans="1:4" x14ac:dyDescent="0.25">
      <c r="A591" s="27">
        <f t="shared" si="18"/>
        <v>17</v>
      </c>
      <c r="B591" s="27" t="str">
        <f>OFFSET('YODA Header Blocks'!$A$1,0,A591)</f>
        <v>Specimens</v>
      </c>
      <c r="C591" s="27">
        <f t="shared" si="19"/>
        <v>253</v>
      </c>
      <c r="D591" s="27"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Values'!R",ROW()-LengthHeader,"C2:R",ROW()-LengthHeader,"C",NumFileColumns+2),FALSE))," ],["))))</f>
        <v xml:space="preserve">  - {SamplingFeatureObj:  *SamplingFeatureID0259, SpecimenTypeCV:  "Automated", SpecimenMediumCV:  "PLEASE PUT A SPECIMEN MEDIUM IN ROW 252", IsFieldSpecimen:  "TRUE"}</v>
      </c>
    </row>
    <row r="592" spans="1:4" x14ac:dyDescent="0.25">
      <c r="A592" s="27">
        <f t="shared" si="18"/>
        <v>17</v>
      </c>
      <c r="B592" s="27" t="str">
        <f>OFFSET('YODA Header Blocks'!$A$1,0,A592)</f>
        <v>Specimens</v>
      </c>
      <c r="C592" s="27">
        <f t="shared" si="19"/>
        <v>254</v>
      </c>
      <c r="D592" s="27"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Values'!R",ROW()-LengthHeader,"C2:R",ROW()-LengthHeader,"C",NumFileColumns+2),FALSE))," ],["))))</f>
        <v xml:space="preserve">  - {SamplingFeatureObj:  *SamplingFeatureID0260, SpecimenTypeCV:  "Automated", SpecimenMediumCV:  "PLEASE PUT A SPECIMEN MEDIUM IN ROW 253", IsFieldSpecimen:  "TRUE"}</v>
      </c>
    </row>
    <row r="593" spans="1:4" x14ac:dyDescent="0.25">
      <c r="A593" s="27">
        <f t="shared" si="18"/>
        <v>17</v>
      </c>
      <c r="B593" s="27" t="str">
        <f>OFFSET('YODA Header Blocks'!$A$1,0,A593)</f>
        <v>Specimens</v>
      </c>
      <c r="C593" s="27">
        <f t="shared" si="19"/>
        <v>255</v>
      </c>
      <c r="D593" s="27"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Values'!R",ROW()-LengthHeader,"C2:R",ROW()-LengthHeader,"C",NumFileColumns+2),FALSE))," ],["))))</f>
        <v xml:space="preserve">  - {SamplingFeatureObj:  *SamplingFeatureID0261, SpecimenTypeCV:  "Automated", SpecimenMediumCV:  "PLEASE PUT A SPECIMEN MEDIUM IN ROW 254", IsFieldSpecimen:  "TRUE"}</v>
      </c>
    </row>
    <row r="594" spans="1:4" x14ac:dyDescent="0.25">
      <c r="A594" s="27">
        <f t="shared" si="18"/>
        <v>17</v>
      </c>
      <c r="B594" s="27" t="str">
        <f>OFFSET('YODA Header Blocks'!$A$1,0,A594)</f>
        <v>Specimens</v>
      </c>
      <c r="C594" s="27">
        <f t="shared" si="19"/>
        <v>256</v>
      </c>
      <c r="D594" s="27"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Values'!R",ROW()-LengthHeader,"C2:R",ROW()-LengthHeader,"C",NumFileColumns+2),FALSE))," ],["))))</f>
        <v xml:space="preserve">  - {SamplingFeatureObj:  *SamplingFeatureID0262, SpecimenTypeCV:  "Automated", SpecimenMediumCV:  "PLEASE PUT A SPECIMEN MEDIUM IN ROW 255", IsFieldSpecimen:  "TRUE"}</v>
      </c>
    </row>
    <row r="595" spans="1:4" x14ac:dyDescent="0.25">
      <c r="A595" s="27">
        <f t="shared" si="18"/>
        <v>17</v>
      </c>
      <c r="B595" s="27" t="str">
        <f>OFFSET('YODA Header Blocks'!$A$1,0,A595)</f>
        <v>Specimens</v>
      </c>
      <c r="C595" s="27">
        <f t="shared" si="19"/>
        <v>257</v>
      </c>
      <c r="D595" s="27"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Values'!R",ROW()-LengthHeader,"C2:R",ROW()-LengthHeader,"C",NumFileColumns+2),FALSE))," ],["))))</f>
        <v xml:space="preserve">  - {SamplingFeatureObj:  *SamplingFeatureID0263, SpecimenTypeCV:  "Automated", SpecimenMediumCV:  "PLEASE PUT A SPECIMEN MEDIUM IN ROW 256", IsFieldSpecimen:  "TRUE"}</v>
      </c>
    </row>
    <row r="596" spans="1:4" x14ac:dyDescent="0.25">
      <c r="A596" s="27">
        <f t="shared" si="18"/>
        <v>17</v>
      </c>
      <c r="B596" s="27" t="str">
        <f>OFFSET('YODA Header Blocks'!$A$1,0,A596)</f>
        <v>Specimens</v>
      </c>
      <c r="C596" s="27">
        <f t="shared" si="19"/>
        <v>258</v>
      </c>
      <c r="D596" s="27"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Values'!R",ROW()-LengthHeader,"C2:R",ROW()-LengthHeader,"C",NumFileColumns+2),FALSE))," ],["))))</f>
        <v xml:space="preserve">  - {SamplingFeatureObj:  *SamplingFeatureID0264, SpecimenTypeCV:  "Automated", SpecimenMediumCV:  "PLEASE PUT A SPECIMEN MEDIUM IN ROW 257", IsFieldSpecimen:  "TRUE"}</v>
      </c>
    </row>
    <row r="597" spans="1:4" x14ac:dyDescent="0.25">
      <c r="A597" s="27">
        <f t="shared" si="18"/>
        <v>17</v>
      </c>
      <c r="B597" s="27" t="str">
        <f>OFFSET('YODA Header Blocks'!$A$1,0,A597)</f>
        <v>Specimens</v>
      </c>
      <c r="C597" s="27">
        <f t="shared" si="19"/>
        <v>259</v>
      </c>
      <c r="D597" s="27"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Values'!R",ROW()-LengthHeader,"C2:R",ROW()-LengthHeader,"C",NumFileColumns+2),FALSE))," ],["))))</f>
        <v xml:space="preserve">  - {SamplingFeatureObj:  *SamplingFeatureID0265, SpecimenTypeCV:  "Automated", SpecimenMediumCV:  "PLEASE PUT A SPECIMEN MEDIUM IN ROW 258", IsFieldSpecimen:  "TRUE"}</v>
      </c>
    </row>
    <row r="598" spans="1:4" x14ac:dyDescent="0.25">
      <c r="A598" s="27">
        <f t="shared" si="18"/>
        <v>17</v>
      </c>
      <c r="B598" s="27" t="str">
        <f>OFFSET('YODA Header Blocks'!$A$1,0,A598)</f>
        <v>Specimens</v>
      </c>
      <c r="C598" s="27">
        <f t="shared" si="19"/>
        <v>260</v>
      </c>
      <c r="D598" s="27"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Values'!R",ROW()-LengthHeader,"C2:R",ROW()-LengthHeader,"C",NumFileColumns+2),FALSE))," ],["))))</f>
        <v xml:space="preserve">  - {SamplingFeatureObj:  *SamplingFeatureID0266, SpecimenTypeCV:  "Automated", SpecimenMediumCV:  "PLEASE PUT A SPECIMEN MEDIUM IN ROW 259", IsFieldSpecimen:  "TRUE"}</v>
      </c>
    </row>
    <row r="599" spans="1:4" x14ac:dyDescent="0.25">
      <c r="A599" s="27">
        <f t="shared" si="18"/>
        <v>17</v>
      </c>
      <c r="B599" s="27" t="str">
        <f>OFFSET('YODA Header Blocks'!$A$1,0,A599)</f>
        <v>Specimens</v>
      </c>
      <c r="C599" s="27">
        <f t="shared" si="19"/>
        <v>261</v>
      </c>
      <c r="D599" s="27"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Values'!R",ROW()-LengthHeader,"C2:R",ROW()-LengthHeader,"C",NumFileColumns+2),FALSE))," ],["))))</f>
        <v xml:space="preserve">  - {SamplingFeatureObj:  *SamplingFeatureID0267, SpecimenTypeCV:  "Automated", SpecimenMediumCV:  "PLEASE PUT A SPECIMEN MEDIUM IN ROW 260", IsFieldSpecimen:  "TRUE"}</v>
      </c>
    </row>
    <row r="600" spans="1:4" x14ac:dyDescent="0.25">
      <c r="A600" s="27">
        <f t="shared" si="18"/>
        <v>17</v>
      </c>
      <c r="B600" s="27" t="str">
        <f>OFFSET('YODA Header Blocks'!$A$1,0,A600)</f>
        <v>Specimens</v>
      </c>
      <c r="C600" s="27">
        <f t="shared" si="19"/>
        <v>262</v>
      </c>
      <c r="D600" s="27"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Values'!R",ROW()-LengthHeader,"C2:R",ROW()-LengthHeader,"C",NumFileColumns+2),FALSE))," ],["))))</f>
        <v xml:space="preserve">  - {SamplingFeatureObj:  *SamplingFeatureID0268, SpecimenTypeCV:  "Automated", SpecimenMediumCV:  "PLEASE PUT A SPECIMEN MEDIUM IN ROW 261", IsFieldSpecimen:  "TRUE"}</v>
      </c>
    </row>
    <row r="601" spans="1:4" x14ac:dyDescent="0.25">
      <c r="A601" s="27">
        <f t="shared" si="18"/>
        <v>17</v>
      </c>
      <c r="B601" s="27" t="str">
        <f>OFFSET('YODA Header Blocks'!$A$1,0,A601)</f>
        <v>Specimens</v>
      </c>
      <c r="C601" s="27">
        <f t="shared" si="19"/>
        <v>263</v>
      </c>
      <c r="D601" s="27"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Values'!R",ROW()-LengthHeader,"C2:R",ROW()-LengthHeader,"C",NumFileColumns+2),FALSE))," ],["))))</f>
        <v xml:space="preserve">  - {SamplingFeatureObj:  *SamplingFeatureID0269, SpecimenTypeCV:  "Automated", SpecimenMediumCV:  "PLEASE PUT A SPECIMEN MEDIUM IN ROW 262", IsFieldSpecimen:  "TRUE"}</v>
      </c>
    </row>
    <row r="602" spans="1:4" x14ac:dyDescent="0.25">
      <c r="A602" s="27">
        <f t="shared" si="18"/>
        <v>17</v>
      </c>
      <c r="B602" s="27" t="str">
        <f>OFFSET('YODA Header Blocks'!$A$1,0,A602)</f>
        <v>Specimens</v>
      </c>
      <c r="C602" s="27">
        <f t="shared" si="19"/>
        <v>264</v>
      </c>
      <c r="D602" s="27"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Values'!R",ROW()-LengthHeader,"C2:R",ROW()-LengthHeader,"C",NumFileColumns+2),FALSE))," ],["))))</f>
        <v xml:space="preserve">  - {SamplingFeatureObj:  *SamplingFeatureID0270, SpecimenTypeCV:  "Automated", SpecimenMediumCV:  "PLEASE PUT A SPECIMEN MEDIUM IN ROW 263", IsFieldSpecimen:  "TRUE"}</v>
      </c>
    </row>
    <row r="603" spans="1:4" x14ac:dyDescent="0.25">
      <c r="A603" s="27">
        <f t="shared" si="18"/>
        <v>17</v>
      </c>
      <c r="B603" s="27" t="str">
        <f>OFFSET('YODA Header Blocks'!$A$1,0,A603)</f>
        <v>Specimens</v>
      </c>
      <c r="C603" s="27">
        <f t="shared" si="19"/>
        <v>265</v>
      </c>
      <c r="D603" s="27"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Values'!R",ROW()-LengthHeader,"C2:R",ROW()-LengthHeader,"C",NumFileColumns+2),FALSE))," ],["))))</f>
        <v xml:space="preserve">  - {SamplingFeatureObj:  *SamplingFeatureID0271, SpecimenTypeCV:  "Automated", SpecimenMediumCV:  "PLEASE PUT A SPECIMEN MEDIUM IN ROW 264", IsFieldSpecimen:  "TRUE"}</v>
      </c>
    </row>
    <row r="604" spans="1:4" x14ac:dyDescent="0.25">
      <c r="A604" s="27">
        <f t="shared" si="18"/>
        <v>17</v>
      </c>
      <c r="B604" s="27" t="str">
        <f>OFFSET('YODA Header Blocks'!$A$1,0,A604)</f>
        <v>Specimens</v>
      </c>
      <c r="C604" s="27">
        <f t="shared" si="19"/>
        <v>266</v>
      </c>
      <c r="D604" s="27"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Values'!R",ROW()-LengthHeader,"C2:R",ROW()-LengthHeader,"C",NumFileColumns+2),FALSE))," ],["))))</f>
        <v xml:space="preserve">  - {SamplingFeatureObj:  *SamplingFeatureID0272, SpecimenTypeCV:  "Automated", SpecimenMediumCV:  "PLEASE PUT A SPECIMEN MEDIUM IN ROW 265", IsFieldSpecimen:  "TRUE"}</v>
      </c>
    </row>
    <row r="605" spans="1:4" x14ac:dyDescent="0.25">
      <c r="A605" s="27">
        <f t="shared" si="18"/>
        <v>17</v>
      </c>
      <c r="B605" s="27" t="str">
        <f>OFFSET('YODA Header Blocks'!$A$1,0,A605)</f>
        <v>Specimens</v>
      </c>
      <c r="C605" s="27">
        <f t="shared" si="19"/>
        <v>267</v>
      </c>
      <c r="D605" s="27"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Values'!R",ROW()-LengthHeader,"C2:R",ROW()-LengthHeader,"C",NumFileColumns+2),FALSE))," ],["))))</f>
        <v xml:space="preserve">  - {SamplingFeatureObj:  *SamplingFeatureID0273, SpecimenTypeCV:  "Automated", SpecimenMediumCV:  "PLEASE PUT A SPECIMEN MEDIUM IN ROW 266", IsFieldSpecimen:  "TRUE"}</v>
      </c>
    </row>
    <row r="606" spans="1:4" x14ac:dyDescent="0.25">
      <c r="A606" s="27">
        <f t="shared" si="18"/>
        <v>17</v>
      </c>
      <c r="B606" s="27" t="str">
        <f>OFFSET('YODA Header Blocks'!$A$1,0,A606)</f>
        <v>Specimens</v>
      </c>
      <c r="C606" s="27">
        <f t="shared" si="19"/>
        <v>268</v>
      </c>
      <c r="D606" s="27"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Values'!R",ROW()-LengthHeader,"C2:R",ROW()-LengthHeader,"C",NumFileColumns+2),FALSE))," ],["))))</f>
        <v xml:space="preserve">  - {SamplingFeatureObj:  *SamplingFeatureID0274, SpecimenTypeCV:  "Automated", SpecimenMediumCV:  "PLEASE PUT A SPECIMEN MEDIUM IN ROW 267", IsFieldSpecimen:  "TRUE"}</v>
      </c>
    </row>
    <row r="607" spans="1:4" x14ac:dyDescent="0.25">
      <c r="A607" s="27">
        <f t="shared" si="18"/>
        <v>17</v>
      </c>
      <c r="B607" s="27" t="str">
        <f>OFFSET('YODA Header Blocks'!$A$1,0,A607)</f>
        <v>Specimens</v>
      </c>
      <c r="C607" s="27">
        <f t="shared" si="19"/>
        <v>269</v>
      </c>
      <c r="D607" s="27"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Values'!R",ROW()-LengthHeader,"C2:R",ROW()-LengthHeader,"C",NumFileColumns+2),FALSE))," ],["))))</f>
        <v xml:space="preserve">  - {SamplingFeatureObj:  *SamplingFeatureID0275, SpecimenTypeCV:  "Automated", SpecimenMediumCV:  "PLEASE PUT A SPECIMEN MEDIUM IN ROW 268", IsFieldSpecimen:  "TRUE"}</v>
      </c>
    </row>
    <row r="608" spans="1:4" x14ac:dyDescent="0.25">
      <c r="A608" s="27">
        <f t="shared" si="18"/>
        <v>17</v>
      </c>
      <c r="B608" s="27" t="str">
        <f>OFFSET('YODA Header Blocks'!$A$1,0,A608)</f>
        <v>Specimens</v>
      </c>
      <c r="C608" s="27">
        <f t="shared" si="19"/>
        <v>270</v>
      </c>
      <c r="D608" s="27"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Values'!R",ROW()-LengthHeader,"C2:R",ROW()-LengthHeader,"C",NumFileColumns+2),FALSE))," ],["))))</f>
        <v xml:space="preserve">  - {SamplingFeatureObj:  *SamplingFeatureID0276, SpecimenTypeCV:  "Automated", SpecimenMediumCV:  "PLEASE PUT A SPECIMEN MEDIUM IN ROW 269", IsFieldSpecimen:  "TRUE"}</v>
      </c>
    </row>
    <row r="609" spans="1:4" x14ac:dyDescent="0.25">
      <c r="A609" s="27">
        <f t="shared" si="18"/>
        <v>17</v>
      </c>
      <c r="B609" s="27" t="str">
        <f>OFFSET('YODA Header Blocks'!$A$1,0,A609)</f>
        <v>Specimens</v>
      </c>
      <c r="C609" s="27">
        <f t="shared" si="19"/>
        <v>271</v>
      </c>
      <c r="D609" s="27"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Values'!R",ROW()-LengthHeader,"C2:R",ROW()-LengthHeader,"C",NumFileColumns+2),FALSE))," ],["))))</f>
        <v xml:space="preserve">  - {SamplingFeatureObj:  *SamplingFeatureID0277, SpecimenTypeCV:  "Automated", SpecimenMediumCV:  "PLEASE PUT A SPECIMEN MEDIUM IN ROW 270", IsFieldSpecimen:  "TRUE"}</v>
      </c>
    </row>
    <row r="610" spans="1:4" x14ac:dyDescent="0.25">
      <c r="A610" s="27">
        <f t="shared" si="18"/>
        <v>17</v>
      </c>
      <c r="B610" s="27" t="str">
        <f>OFFSET('YODA Header Blocks'!$A$1,0,A610)</f>
        <v>Specimens</v>
      </c>
      <c r="C610" s="27">
        <f t="shared" si="19"/>
        <v>272</v>
      </c>
      <c r="D610" s="27"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Values'!R",ROW()-LengthHeader,"C2:R",ROW()-LengthHeader,"C",NumFileColumns+2),FALSE))," ],["))))</f>
        <v xml:space="preserve">  - {SamplingFeatureObj:  *SamplingFeatureID0278, SpecimenTypeCV:  "Grab", SpecimenMediumCV:  "PLEASE PUT A SPECIMEN MEDIUM IN ROW 271", IsFieldSpecimen:  "TRUE"}</v>
      </c>
    </row>
    <row r="611" spans="1:4" x14ac:dyDescent="0.25">
      <c r="A611" s="27">
        <f t="shared" si="18"/>
        <v>17</v>
      </c>
      <c r="B611" s="27" t="str">
        <f>OFFSET('YODA Header Blocks'!$A$1,0,A611)</f>
        <v>Specimens</v>
      </c>
      <c r="C611" s="27">
        <f t="shared" si="19"/>
        <v>273</v>
      </c>
      <c r="D611" s="27"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Values'!R",ROW()-LengthHeader,"C2:R",ROW()-LengthHeader,"C",NumFileColumns+2),FALSE))," ],["))))</f>
        <v xml:space="preserve">  - {SamplingFeatureObj:  *SamplingFeatureID0279, SpecimenTypeCV:  "Grab", SpecimenMediumCV:  "PLEASE PUT A SPECIMEN MEDIUM IN ROW 272", IsFieldSpecimen:  "TRUE"}</v>
      </c>
    </row>
    <row r="612" spans="1:4" x14ac:dyDescent="0.25">
      <c r="A612" s="27">
        <f t="shared" si="18"/>
        <v>17</v>
      </c>
      <c r="B612" s="27" t="str">
        <f>OFFSET('YODA Header Blocks'!$A$1,0,A612)</f>
        <v>Specimens</v>
      </c>
      <c r="C612" s="27">
        <f t="shared" si="19"/>
        <v>274</v>
      </c>
      <c r="D612" s="27"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Values'!R",ROW()-LengthHeader,"C2:R",ROW()-LengthHeader,"C",NumFileColumns+2),FALSE))," ],["))))</f>
        <v xml:space="preserve">  - {SamplingFeatureObj:  *SamplingFeatureID0280, SpecimenTypeCV:  "Grab", SpecimenMediumCV:  "PLEASE PUT A SPECIMEN MEDIUM IN ROW 273", IsFieldSpecimen:  "TRUE"}</v>
      </c>
    </row>
    <row r="613" spans="1:4" x14ac:dyDescent="0.25">
      <c r="A613" s="27">
        <f t="shared" si="18"/>
        <v>17</v>
      </c>
      <c r="B613" s="27" t="str">
        <f>OFFSET('YODA Header Blocks'!$A$1,0,A613)</f>
        <v>Specimens</v>
      </c>
      <c r="C613" s="27">
        <f t="shared" si="19"/>
        <v>275</v>
      </c>
      <c r="D613" s="27"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Values'!R",ROW()-LengthHeader,"C2:R",ROW()-LengthHeader,"C",NumFileColumns+2),FALSE))," ],["))))</f>
        <v xml:space="preserve">  - {SamplingFeatureObj:  *SamplingFeatureID0281, SpecimenTypeCV:  "Grab", SpecimenMediumCV:  "PLEASE PUT A SPECIMEN MEDIUM IN ROW 274", IsFieldSpecimen:  "TRUE"}</v>
      </c>
    </row>
    <row r="614" spans="1:4" x14ac:dyDescent="0.25">
      <c r="A614" s="27">
        <f t="shared" si="18"/>
        <v>17</v>
      </c>
      <c r="B614" s="27" t="str">
        <f>OFFSET('YODA Header Blocks'!$A$1,0,A614)</f>
        <v>Specimens</v>
      </c>
      <c r="C614" s="27">
        <f t="shared" si="19"/>
        <v>276</v>
      </c>
      <c r="D614" s="27"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Values'!R",ROW()-LengthHeader,"C2:R",ROW()-LengthHeader,"C",NumFileColumns+2),FALSE))," ],["))))</f>
        <v xml:space="preserve">  - {SamplingFeatureObj:  *SamplingFeatureID0282, SpecimenTypeCV:  "Grab", SpecimenMediumCV:  "PLEASE PUT A SPECIMEN MEDIUM IN ROW 275", IsFieldSpecimen:  "TRUE"}</v>
      </c>
    </row>
    <row r="615" spans="1:4" x14ac:dyDescent="0.25">
      <c r="A615" s="27">
        <f t="shared" si="18"/>
        <v>17</v>
      </c>
      <c r="B615" s="27" t="str">
        <f>OFFSET('YODA Header Blocks'!$A$1,0,A615)</f>
        <v>Specimens</v>
      </c>
      <c r="C615" s="27">
        <f t="shared" si="19"/>
        <v>277</v>
      </c>
      <c r="D615" s="27"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Values'!R",ROW()-LengthHeader,"C2:R",ROW()-LengthHeader,"C",NumFileColumns+2),FALSE))," ],["))))</f>
        <v xml:space="preserve">  - {SamplingFeatureObj:  *SamplingFeatureID0283, SpecimenTypeCV:  "Grab", SpecimenMediumCV:  "PLEASE PUT A SPECIMEN MEDIUM IN ROW 276", IsFieldSpecimen:  "TRUE"}</v>
      </c>
    </row>
    <row r="616" spans="1:4" x14ac:dyDescent="0.25">
      <c r="A616" s="27">
        <f t="shared" si="18"/>
        <v>17</v>
      </c>
      <c r="B616" s="27" t="str">
        <f>OFFSET('YODA Header Blocks'!$A$1,0,A616)</f>
        <v>Specimens</v>
      </c>
      <c r="C616" s="27">
        <f t="shared" si="19"/>
        <v>278</v>
      </c>
      <c r="D616" s="27"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Values'!R",ROW()-LengthHeader,"C2:R",ROW()-LengthHeader,"C",NumFileColumns+2),FALSE))," ],["))))</f>
        <v xml:space="preserve">  - {SamplingFeatureObj:  *SamplingFeatureID0284, SpecimenTypeCV:  "Grab", SpecimenMediumCV:  "PLEASE PUT A SPECIMEN MEDIUM IN ROW 277", IsFieldSpecimen:  "TRUE"}</v>
      </c>
    </row>
    <row r="617" spans="1:4" x14ac:dyDescent="0.25">
      <c r="A617" s="27">
        <f t="shared" si="18"/>
        <v>17</v>
      </c>
      <c r="B617" s="27" t="str">
        <f>OFFSET('YODA Header Blocks'!$A$1,0,A617)</f>
        <v>Specimens</v>
      </c>
      <c r="C617" s="27">
        <f t="shared" si="19"/>
        <v>279</v>
      </c>
      <c r="D617" s="27"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Values'!R",ROW()-LengthHeader,"C2:R",ROW()-LengthHeader,"C",NumFileColumns+2),FALSE))," ],["))))</f>
        <v xml:space="preserve">  - {SamplingFeatureObj:  *SamplingFeatureID0285, SpecimenTypeCV:  "Grab", SpecimenMediumCV:  "PLEASE PUT A SPECIMEN MEDIUM IN ROW 278", IsFieldSpecimen:  "TRUE"}</v>
      </c>
    </row>
    <row r="618" spans="1:4" x14ac:dyDescent="0.25">
      <c r="A618" s="27">
        <f t="shared" si="18"/>
        <v>18</v>
      </c>
      <c r="B618" s="27" t="str">
        <f>OFFSET('YODA Header Blocks'!$A$1,0,A618)</f>
        <v>SpatialOffsets</v>
      </c>
      <c r="C618" s="27">
        <f t="shared" si="19"/>
        <v>1</v>
      </c>
      <c r="D618" s="27"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Values'!R",ROW()-LengthHeader,"C2:R",ROW()-LengthHeader,"C",NumFileColumns+2),FALSE))," ],["))))</f>
        <v/>
      </c>
    </row>
    <row r="619" spans="1:4" x14ac:dyDescent="0.25">
      <c r="A619" s="27">
        <f t="shared" si="18"/>
        <v>19</v>
      </c>
      <c r="B619" s="27" t="str">
        <f>OFFSET('YODA Header Blocks'!$A$1,0,A619)</f>
        <v>RelatedFeatures</v>
      </c>
      <c r="C619" s="27">
        <f t="shared" si="19"/>
        <v>1</v>
      </c>
      <c r="D619" s="27"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Values'!R",ROW()-LengthHeader,"C2:R",ROW()-LengthHeader,"C",NumFileColumns+2),FALSE))," ],["))))</f>
        <v/>
      </c>
    </row>
    <row r="620" spans="1:4" x14ac:dyDescent="0.25">
      <c r="A620" s="27">
        <f t="shared" si="18"/>
        <v>20</v>
      </c>
      <c r="B620" s="27" t="str">
        <f>OFFSET('YODA Header Blocks'!$A$1,0,A620)</f>
        <v>Methods</v>
      </c>
      <c r="C620" s="27">
        <f t="shared" si="19"/>
        <v>1</v>
      </c>
      <c r="D620" s="27"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Values'!R",ROW()-LengthHeader,"C2:R",ROW()-LengthHeader,"C",NumFileColumns+2),FALSE))," ],["))))</f>
        <v>Methods:</v>
      </c>
    </row>
    <row r="621" spans="1:4" x14ac:dyDescent="0.25">
      <c r="A621" s="27">
        <f t="shared" si="18"/>
        <v>20</v>
      </c>
      <c r="B621" s="27" t="str">
        <f>OFFSET('YODA Header Blocks'!$A$1,0,A621)</f>
        <v>Methods</v>
      </c>
      <c r="C621" s="27">
        <f t="shared" si="19"/>
        <v>2</v>
      </c>
      <c r="D621" s="27"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Values'!R",ROW()-LengthHeader,"C2:R",ROW()-LengthHeader,"C",NumFileColumns+2),FALSE))," ],["))))</f>
        <v xml:space="preserve">  - &amp;MethodID0001 {MethodTypeCV:  "Observation", MethodCode:  "Mettler", MethodName:  "Mettler", MethodDescription:  "Measured with a mettler combined pH/Conductivity meter", MethodLink:  "", OrganizationObj: *OrganizationID0001}</v>
      </c>
    </row>
    <row r="622" spans="1:4" x14ac:dyDescent="0.25">
      <c r="A622" s="27">
        <f t="shared" si="18"/>
        <v>20</v>
      </c>
      <c r="B622" s="27" t="str">
        <f>OFFSET('YODA Header Blocks'!$A$1,0,A622)</f>
        <v>Methods</v>
      </c>
      <c r="C622" s="27">
        <f t="shared" si="19"/>
        <v>3</v>
      </c>
      <c r="D622" s="27"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Values'!R",ROW()-LengthHeader,"C2:R",ROW()-LengthHeader,"C",NumFileColumns+2),FALSE))," ],["))))</f>
        <v xml:space="preserve">  - &amp;MethodID0002 {MethodTypeCV:  "Observation", MethodCode:  "Sievers", MethodName:  "DOC_Siev", MethodDescription:  "Measured with a Sievers 900", MethodLink:  "", OrganizationObj: *OrganizationID0001}</v>
      </c>
    </row>
    <row r="623" spans="1:4" x14ac:dyDescent="0.25">
      <c r="A623" s="27">
        <f t="shared" si="18"/>
        <v>20</v>
      </c>
      <c r="B623" s="27" t="str">
        <f>OFFSET('YODA Header Blocks'!$A$1,0,A623)</f>
        <v>Methods</v>
      </c>
      <c r="C623" s="27">
        <f t="shared" si="19"/>
        <v>4</v>
      </c>
      <c r="D623" s="27"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Values'!R",ROW()-LengthHeader,"C2:R",ROW()-LengthHeader,"C",NumFileColumns+2),FALSE))," ],["))))</f>
        <v xml:space="preserve">  - &amp;MethodID0003 {MethodTypeCV:  "Observation", MethodCode:  "Mettler_ALK", MethodName:  "Alkalinity by Autotitration", MethodDescription:  "Alkalinity measured by Autotitration", MethodLink:  "", OrganizationObj: *OrganizationID0001}</v>
      </c>
    </row>
    <row r="624" spans="1:4" x14ac:dyDescent="0.25">
      <c r="A624" s="27">
        <f t="shared" si="18"/>
        <v>20</v>
      </c>
      <c r="B624" s="27" t="str">
        <f>OFFSET('YODA Header Blocks'!$A$1,0,A624)</f>
        <v>Methods</v>
      </c>
      <c r="C624" s="27">
        <f t="shared" si="19"/>
        <v>5</v>
      </c>
      <c r="D624" s="27"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Values'!R",ROW()-LengthHeader,"C2:R",ROW()-LengthHeader,"C",NumFileColumns+2),FALSE))," ],["))))</f>
        <v xml:space="preserve">  - &amp;MethodID0004 {MethodTypeCV:  "Observation", MethodCode:  "Dionex", MethodName:  "Dionex", MethodDescription:  "Measured with a Dionex Ion Chromatograph", MethodLink:  "", OrganizationObj: *OrganizationID0001}</v>
      </c>
    </row>
    <row r="625" spans="1:4" x14ac:dyDescent="0.25">
      <c r="A625" s="27">
        <f t="shared" si="18"/>
        <v>20</v>
      </c>
      <c r="B625" s="27" t="str">
        <f>OFFSET('YODA Header Blocks'!$A$1,0,A625)</f>
        <v>Methods</v>
      </c>
      <c r="C625" s="27">
        <f t="shared" si="19"/>
        <v>6</v>
      </c>
      <c r="D625" s="27"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Values'!R",ROW()-LengthHeader,"C2:R",ROW()-LengthHeader,"C",NumFileColumns+2),FALSE))," ],["))))</f>
        <v xml:space="preserve">  - &amp;MethodID0005 {MethodTypeCV:  "Observation", MethodCode:  "ICP-OES", MethodName:  "ICP-OES", MethodDescription:  "Measured via an ICP-OES", MethodLink:  "", OrganizationObj: *OrganizationID0001}</v>
      </c>
    </row>
    <row r="626" spans="1:4" x14ac:dyDescent="0.25">
      <c r="A626" s="27">
        <f t="shared" si="18"/>
        <v>21</v>
      </c>
      <c r="B626" s="27" t="str">
        <f>OFFSET('YODA Header Blocks'!$A$1,0,A626)</f>
        <v>Variables</v>
      </c>
      <c r="C626" s="27">
        <f t="shared" si="19"/>
        <v>1</v>
      </c>
      <c r="D626" s="27"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Values'!R",ROW()-LengthHeader,"C2:R",ROW()-LengthHeader,"C",NumFileColumns+2),FALSE))," ],["))))</f>
        <v>Variables:</v>
      </c>
    </row>
    <row r="627" spans="1:4" x14ac:dyDescent="0.25">
      <c r="A627" s="27">
        <f t="shared" si="18"/>
        <v>21</v>
      </c>
      <c r="B627" s="27" t="str">
        <f>OFFSET('YODA Header Blocks'!$A$1,0,A627)</f>
        <v>Variables</v>
      </c>
      <c r="C627" s="27">
        <f t="shared" si="19"/>
        <v>2</v>
      </c>
      <c r="D627" s="27"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Values'!R",ROW()-LengthHeader,"C2:R",ROW()-LengthHeader,"C",NumFileColumns+2),FALSE))," ],["))))</f>
        <v xml:space="preserve">  - &amp;VariableID0001 {VariableTypeCV:  "Water quality", VariableCode:  "pH_mettler", VariableNameCV:  "pH", VariableDefinition:  "", SpecciationCV:  "", NoDataValue:  "NULL"}</v>
      </c>
    </row>
    <row r="628" spans="1:4" x14ac:dyDescent="0.25">
      <c r="A628" s="27">
        <f t="shared" si="18"/>
        <v>21</v>
      </c>
      <c r="B628" s="27" t="str">
        <f>OFFSET('YODA Header Blocks'!$A$1,0,A628)</f>
        <v>Variables</v>
      </c>
      <c r="C628" s="27">
        <f t="shared" si="19"/>
        <v>3</v>
      </c>
      <c r="D628" s="27"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Values'!R",ROW()-LengthHeader,"C2:R",ROW()-LengthHeader,"C",NumFileColumns+2),FALSE))," ],["))))</f>
        <v xml:space="preserve">  - &amp;VariableID0002 {VariableTypeCV:  "Water quality", VariableCode:  "cond_mettler", VariableNameCV:  "Specific conductance", VariableDefinition:  "", SpecciationCV:  "", NoDataValue:  "NULL"}</v>
      </c>
    </row>
    <row r="629" spans="1:4" x14ac:dyDescent="0.25">
      <c r="A629" s="27">
        <f t="shared" si="18"/>
        <v>21</v>
      </c>
      <c r="B629" s="27" t="str">
        <f>OFFSET('YODA Header Blocks'!$A$1,0,A629)</f>
        <v>Variables</v>
      </c>
      <c r="C629" s="27">
        <f t="shared" si="19"/>
        <v>4</v>
      </c>
      <c r="D629" s="27"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Values'!R",ROW()-LengthHeader,"C2:R",ROW()-LengthHeader,"C",NumFileColumns+2),FALSE))," ],["))))</f>
        <v xml:space="preserve">  - &amp;VariableID0003 {VariableTypeCV:  "Chemistry", VariableCode:  "mndoc", VariableNameCV:  "Carbon, dissolved organic", VariableDefinition:  "", SpecciationCV:  "", NoDataValue:  "NULL"}</v>
      </c>
    </row>
    <row r="630" spans="1:4" x14ac:dyDescent="0.25">
      <c r="A630" s="27">
        <f t="shared" si="18"/>
        <v>21</v>
      </c>
      <c r="B630" s="27" t="str">
        <f>OFFSET('YODA Header Blocks'!$A$1,0,A630)</f>
        <v>Variables</v>
      </c>
      <c r="C630" s="27">
        <f t="shared" si="19"/>
        <v>5</v>
      </c>
      <c r="D630" s="27"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Values'!R",ROW()-LengthHeader,"C2:R",ROW()-LengthHeader,"C",NumFileColumns+2),FALSE))," ],["))))</f>
        <v xml:space="preserve">  - &amp;VariableID0004 {VariableTypeCV:  "Chemistry", VariableCode:  "alk_auto", VariableNameCV:  "Alkalinity, total", VariableDefinition:  "", SpecciationCV:  "", NoDataValue:  "NULL"}</v>
      </c>
    </row>
    <row r="631" spans="1:4" x14ac:dyDescent="0.25">
      <c r="A631" s="27">
        <f t="shared" si="18"/>
        <v>21</v>
      </c>
      <c r="B631" s="27" t="str">
        <f>OFFSET('YODA Header Blocks'!$A$1,0,A631)</f>
        <v>Variables</v>
      </c>
      <c r="C631" s="27">
        <f t="shared" si="19"/>
        <v>6</v>
      </c>
      <c r="D631" s="27"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Values'!R",ROW()-LengthHeader,"C2:R",ROW()-LengthHeader,"C",NumFileColumns+2),FALSE))," ],["))))</f>
        <v xml:space="preserve">  - &amp;VariableID0005 {VariableTypeCV:  "Chemistry", VariableCode:  "dionex_no3", VariableNameCV:  "Nitrogen, nitrate (NO3)", VariableDefinition:  "", SpecciationCV:  "", NoDataValue:  "NULL"}</v>
      </c>
    </row>
    <row r="632" spans="1:4" x14ac:dyDescent="0.25">
      <c r="A632" s="27">
        <f t="shared" si="18"/>
        <v>21</v>
      </c>
      <c r="B632" s="27" t="str">
        <f>OFFSET('YODA Header Blocks'!$A$1,0,A632)</f>
        <v>Variables</v>
      </c>
      <c r="C632" s="27">
        <f t="shared" si="19"/>
        <v>7</v>
      </c>
      <c r="D632" s="27"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Values'!R",ROW()-LengthHeader,"C2:R",ROW()-LengthHeader,"C",NumFileColumns+2),FALSE))," ],["))))</f>
        <v xml:space="preserve">  - &amp;VariableID0006 {VariableTypeCV:  "Chemistry", VariableCode:  "icp_ca", VariableNameCV:  "Calcium, dissolved", VariableDefinition:  "", SpecciationCV:  "", NoDataValue:  "NULL"}</v>
      </c>
    </row>
    <row r="633" spans="1:4" x14ac:dyDescent="0.25">
      <c r="A633" s="27">
        <f t="shared" si="18"/>
        <v>22</v>
      </c>
      <c r="B633" s="27" t="str">
        <f>OFFSET('YODA Header Blocks'!$A$1,0,A633)</f>
        <v>Units</v>
      </c>
      <c r="C633" s="27">
        <f t="shared" si="19"/>
        <v>1</v>
      </c>
      <c r="D633" s="27"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Values'!R",ROW()-LengthHeader,"C2:R",ROW()-LengthHeader,"C",NumFileColumns+2),FALSE))," ],["))))</f>
        <v/>
      </c>
    </row>
    <row r="634" spans="1:4" x14ac:dyDescent="0.25">
      <c r="A634" s="27">
        <f t="shared" si="18"/>
        <v>23</v>
      </c>
      <c r="B634" s="27" t="str">
        <f>OFFSET('YODA Header Blocks'!$A$1,0,A634)</f>
        <v>Processing Levels</v>
      </c>
      <c r="C634" s="27">
        <f t="shared" si="19"/>
        <v>1</v>
      </c>
      <c r="D634" s="27"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Values'!R",ROW()-LengthHeader,"C2:R",ROW()-LengthHeader,"C",NumFileColumns+2),FALSE))," ],["))))</f>
        <v>Processing Levels:</v>
      </c>
    </row>
    <row r="635" spans="1:4" x14ac:dyDescent="0.25">
      <c r="A635" s="27">
        <f t="shared" si="18"/>
        <v>23</v>
      </c>
      <c r="B635" s="27" t="str">
        <f>OFFSET('YODA Header Blocks'!$A$1,0,A635)</f>
        <v>Processing Levels</v>
      </c>
      <c r="C635" s="27">
        <f t="shared" si="19"/>
        <v>2</v>
      </c>
      <c r="D635" s="27"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Values'!R",ROW()-LengthHeader,"C2:R",ROW()-LengthHeader,"C",NumFileColumns+2),FALSE)),"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636" spans="1:4" x14ac:dyDescent="0.25">
      <c r="A636" s="27">
        <f t="shared" si="18"/>
        <v>23</v>
      </c>
      <c r="B636" s="27" t="str">
        <f>OFFSET('YODA Header Blocks'!$A$1,0,A636)</f>
        <v>Processing Levels</v>
      </c>
      <c r="C636" s="27">
        <f t="shared" si="19"/>
        <v>3</v>
      </c>
      <c r="D636" s="27"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Values'!R",ROW()-LengthHeader,"C2:R",ROW()-LengthHeader,"C",NumFileColumns+2),FALSE)),"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637" spans="1:4" x14ac:dyDescent="0.25">
      <c r="A637" s="27">
        <f t="shared" si="18"/>
        <v>23</v>
      </c>
      <c r="B637" s="27" t="str">
        <f>OFFSET('YODA Header Blocks'!$A$1,0,A637)</f>
        <v>Processing Levels</v>
      </c>
      <c r="C637" s="27">
        <f t="shared" si="19"/>
        <v>4</v>
      </c>
      <c r="D637" s="27"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Values'!R",ROW()-LengthHeader,"C2:R",ROW()-LengthHeader,"C",NumFileColumns+2),FALSE)),"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638" spans="1:4" x14ac:dyDescent="0.25">
      <c r="A638" s="27">
        <f t="shared" si="18"/>
        <v>23</v>
      </c>
      <c r="B638" s="27" t="str">
        <f>OFFSET('YODA Header Blocks'!$A$1,0,A638)</f>
        <v>Processing Levels</v>
      </c>
      <c r="C638" s="27">
        <f t="shared" si="19"/>
        <v>5</v>
      </c>
      <c r="D638" s="27"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Values'!R",ROW()-LengthHeader,"C2:R",ROW()-LengthHeader,"C",NumFileColumns+2),FALSE)),"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639" spans="1:4" x14ac:dyDescent="0.25">
      <c r="A639" s="27">
        <f t="shared" si="18"/>
        <v>23</v>
      </c>
      <c r="B639" s="27" t="str">
        <f>OFFSET('YODA Header Blocks'!$A$1,0,A639)</f>
        <v>Processing Levels</v>
      </c>
      <c r="C639" s="27">
        <f t="shared" si="19"/>
        <v>6</v>
      </c>
      <c r="D639" s="27"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Values'!R",ROW()-LengthHeader,"C2:R",ROW()-LengthHeader,"C",NumFileColumns+2),FALSE)),"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640" spans="1:4" x14ac:dyDescent="0.25">
      <c r="A640" s="27">
        <f t="shared" si="18"/>
        <v>24</v>
      </c>
      <c r="B640" s="27" t="str">
        <f>OFFSET('YODA Header Blocks'!$A$1,0,A640)</f>
        <v>Actions</v>
      </c>
      <c r="C640" s="27">
        <f t="shared" si="19"/>
        <v>1</v>
      </c>
      <c r="D640" s="27"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Values'!R",ROW()-LengthHeader,"C2:R",ROW()-LengthHeader,"C",NumFileColumns+2),FALSE))," ],["))))</f>
        <v>Actions:</v>
      </c>
    </row>
    <row r="641" spans="1:4" x14ac:dyDescent="0.25">
      <c r="A641" s="27">
        <f t="shared" si="18"/>
        <v>24</v>
      </c>
      <c r="B641" s="27" t="str">
        <f>OFFSET('YODA Header Blocks'!$A$1,0,A641)</f>
        <v>Actions</v>
      </c>
      <c r="C641" s="27">
        <f t="shared" si="19"/>
        <v>2</v>
      </c>
      <c r="D641" s="27"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Values'!R",ROW()-LengthHeader,"C2:R",ROW()-LengthHeader,"C",NumFileColumns+2),FALSE))," ],["))))</f>
        <v>PLEASE FILL IN A METHOD FOR EACH DATA COLUMN</v>
      </c>
    </row>
    <row r="642" spans="1:4" x14ac:dyDescent="0.25">
      <c r="A642" s="27">
        <f t="shared" si="18"/>
        <v>24</v>
      </c>
      <c r="B642" s="27" t="str">
        <f>OFFSET('YODA Header Blocks'!$A$1,0,A642)</f>
        <v>Actions</v>
      </c>
      <c r="C642" s="27">
        <f t="shared" si="19"/>
        <v>3</v>
      </c>
      <c r="D642" s="27"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Values'!R",ROW()-LengthHeader,"C2:R",ROW()-LengthHeader,"C",NumFileColumns+2),FALSE))," ],["))))</f>
        <v>PLEASE FILL IN A METHOD FOR EACH DATA COLUMN</v>
      </c>
    </row>
    <row r="643" spans="1:4" x14ac:dyDescent="0.25">
      <c r="A643" s="27">
        <f t="shared" si="18"/>
        <v>24</v>
      </c>
      <c r="B643" s="27" t="str">
        <f>OFFSET('YODA Header Blocks'!$A$1,0,A643)</f>
        <v>Actions</v>
      </c>
      <c r="C643" s="27">
        <f t="shared" si="19"/>
        <v>4</v>
      </c>
      <c r="D643" s="27"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Values'!R",ROW()-LengthHeader,"C2:R",ROW()-LengthHeader,"C",NumFileColumns+2),FALSE))," ],["))))</f>
        <v>PLEASE FILL IN A METHOD FOR EACH DATA COLUMN</v>
      </c>
    </row>
    <row r="644" spans="1:4" x14ac:dyDescent="0.25">
      <c r="A644" s="27">
        <f t="shared" ref="A644:A707" si="20">IF(C643=INDIRECT(CONCATENATE("'YODA Header Blocks'!R2C",A643+1,":R2C",A643+1),FALSE),A643+1,A643)</f>
        <v>24</v>
      </c>
      <c r="B644" s="27" t="str">
        <f>OFFSET('YODA Header Blocks'!$A$1,0,A644)</f>
        <v>Actions</v>
      </c>
      <c r="C644" s="27">
        <f t="shared" ref="C644:C707" si="21">IF(C643=SUM(INDIRECT(CONCATENATE("'YODA Header Blocks'!R2C",A643+1,":R2C",A643+1),FALSE)),1,C643+1)</f>
        <v>5</v>
      </c>
      <c r="D644" s="27"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Values'!R",ROW()-LengthHeader,"C2:R",ROW()-LengthHeader,"C",NumFileColumns+2),FALSE))," ],["))))</f>
        <v>PLEASE FILL IN A METHOD FOR EACH DATA COLUMN</v>
      </c>
    </row>
    <row r="645" spans="1:4" x14ac:dyDescent="0.25">
      <c r="A645" s="27">
        <f t="shared" si="20"/>
        <v>24</v>
      </c>
      <c r="B645" s="27" t="str">
        <f>OFFSET('YODA Header Blocks'!$A$1,0,A645)</f>
        <v>Actions</v>
      </c>
      <c r="C645" s="27">
        <f t="shared" si="21"/>
        <v>6</v>
      </c>
      <c r="D645" s="27"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Values'!R",ROW()-LengthHeader,"C2:R",ROW()-LengthHeader,"C",NumFileColumns+2),FALSE))," ],["))))</f>
        <v>PLEASE FILL IN A METHOD FOR EACH DATA COLUMN</v>
      </c>
    </row>
    <row r="646" spans="1:4" x14ac:dyDescent="0.25">
      <c r="A646" s="27">
        <f t="shared" si="20"/>
        <v>24</v>
      </c>
      <c r="B646" s="27" t="str">
        <f>OFFSET('YODA Header Blocks'!$A$1,0,A646)</f>
        <v>Actions</v>
      </c>
      <c r="C646" s="27">
        <f t="shared" si="21"/>
        <v>7</v>
      </c>
      <c r="D646" s="27"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Values'!R",ROW()-LengthHeader,"C2:R",ROW()-LengthHeader,"C",NumFileColumns+2),FALSE))," ],["))))</f>
        <v>PLEASE FILL IN A METHOD FOR EACH DATA COLUMN</v>
      </c>
    </row>
    <row r="647" spans="1:4" x14ac:dyDescent="0.25">
      <c r="A647" s="27">
        <f t="shared" si="20"/>
        <v>24</v>
      </c>
      <c r="B647" s="27" t="str">
        <f>OFFSET('YODA Header Blocks'!$A$1,0,A647)</f>
        <v>Actions</v>
      </c>
      <c r="C647" s="27">
        <f t="shared" si="21"/>
        <v>8</v>
      </c>
      <c r="D647" s="27"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Values'!R",ROW()-LengthHeader,"C2:R",ROW()-LengthHeader,"C",NumFileColumns+2),FALSE))," ],["))))</f>
        <v xml:space="preserve">  - &amp;ActionID0007 {ActionTypeCV:  "Observation", MethodObj: *MethodID0001, BeginDateTime:  NULL, BeginDateTimeUTCOffset:  NULL, EndDateTime:  NULL, EndDateTimeUTCOffset:  NULL, ActionDescription:  "Generic observation action generated by YODA TimeSeries Template", ActionFileLink:  NULL}</v>
      </c>
    </row>
    <row r="648" spans="1:4" x14ac:dyDescent="0.25">
      <c r="A648" s="27">
        <f t="shared" si="20"/>
        <v>24</v>
      </c>
      <c r="B648" s="27" t="str">
        <f>OFFSET('YODA Header Blocks'!$A$1,0,A648)</f>
        <v>Actions</v>
      </c>
      <c r="C648" s="27">
        <f t="shared" si="21"/>
        <v>9</v>
      </c>
      <c r="D648" s="27"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Values'!R",ROW()-LengthHeader,"C2:R",ROW()-LengthHeader,"C",NumFileColumns+2),FALSE))," ],["))))</f>
        <v xml:space="preserve">  - &amp;ActionID0008 {ActionTypeCV:  "Observation", MethodObj: *MethodID0001, BeginDateTime:  NULL, BeginDateTimeUTCOffset:  NULL, EndDateTime:  NULL, EndDateTimeUTCOffset:  NULL, ActionDescription:  "Generic observation action generated by YODA TimeSeries Template", ActionFileLink:  NULL}</v>
      </c>
    </row>
    <row r="649" spans="1:4" x14ac:dyDescent="0.25">
      <c r="A649" s="27">
        <f t="shared" si="20"/>
        <v>24</v>
      </c>
      <c r="B649" s="27" t="str">
        <f>OFFSET('YODA Header Blocks'!$A$1,0,A649)</f>
        <v>Actions</v>
      </c>
      <c r="C649" s="27">
        <f t="shared" si="21"/>
        <v>10</v>
      </c>
      <c r="D649" s="27"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Values'!R",ROW()-LengthHeader,"C2:R",ROW()-LengthHeader,"C",NumFileColumns+2),FALSE))," ],["))))</f>
        <v xml:space="preserve">  - &amp;ActionID0009 {ActionTypeCV:  "Observation", MethodObj: *MethodID0002, BeginDateTime:  NULL, BeginDateTimeUTCOffset:  NULL, EndDateTime:  NULL, EndDateTimeUTCOffset:  NULL, ActionDescription:  "Generic observation action generated by YODA TimeSeries Template", ActionFileLink:  NULL}</v>
      </c>
    </row>
    <row r="650" spans="1:4" x14ac:dyDescent="0.25">
      <c r="A650" s="27">
        <f t="shared" si="20"/>
        <v>24</v>
      </c>
      <c r="B650" s="27" t="str">
        <f>OFFSET('YODA Header Blocks'!$A$1,0,A650)</f>
        <v>Actions</v>
      </c>
      <c r="C650" s="27">
        <f t="shared" si="21"/>
        <v>11</v>
      </c>
      <c r="D650" s="27"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Values'!R",ROW()-LengthHeader,"C2:R",ROW()-LengthHeader,"C",NumFileColumns+2),FALSE))," ],["))))</f>
        <v xml:space="preserve">  - &amp;ActionID0010 {ActionTypeCV:  "Observation", MethodObj: *MethodID0003, BeginDateTime:  NULL, BeginDateTimeUTCOffset:  NULL, EndDateTime:  NULL, EndDateTimeUTCOffset:  NULL, ActionDescription:  "Generic observation action generated by YODA TimeSeries Template", ActionFileLink:  NULL}</v>
      </c>
    </row>
    <row r="651" spans="1:4" x14ac:dyDescent="0.25">
      <c r="A651" s="27">
        <f t="shared" si="20"/>
        <v>24</v>
      </c>
      <c r="B651" s="27" t="str">
        <f>OFFSET('YODA Header Blocks'!$A$1,0,A651)</f>
        <v>Actions</v>
      </c>
      <c r="C651" s="27">
        <f t="shared" si="21"/>
        <v>12</v>
      </c>
      <c r="D651" s="27"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Values'!R",ROW()-LengthHeader,"C2:R",ROW()-LengthHeader,"C",NumFileColumns+2),FALSE))," ],["))))</f>
        <v xml:space="preserve">  - &amp;ActionID0011 {ActionTypeCV:  "Observation", MethodObj: *MethodID0004, BeginDateTime:  NULL, BeginDateTimeUTCOffset:  NULL, EndDateTime:  NULL, EndDateTimeUTCOffset:  NULL, ActionDescription:  "Generic observation action generated by YODA TimeSeries Template", ActionFileLink:  NULL}</v>
      </c>
    </row>
    <row r="652" spans="1:4" x14ac:dyDescent="0.25">
      <c r="A652" s="27">
        <f t="shared" si="20"/>
        <v>24</v>
      </c>
      <c r="B652" s="27" t="str">
        <f>OFFSET('YODA Header Blocks'!$A$1,0,A652)</f>
        <v>Actions</v>
      </c>
      <c r="C652" s="27">
        <f t="shared" si="21"/>
        <v>13</v>
      </c>
      <c r="D652" s="27"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Values'!R",ROW()-LengthHeader,"C2:R",ROW()-LengthHeader,"C",NumFileColumns+2),FALSE))," ],["))))</f>
        <v xml:space="preserve">  - &amp;ActionID0012 {ActionTypeCV:  "Observation", MethodObj: *MethodID0005, BeginDateTime:  NULL, BeginDateTimeUTCOffset:  NULL, EndDateTime:  NULL, EndDateTimeUTCOffset:  NULL, ActionDescription:  "Generic observation action generated by YODA TimeSeries Template", ActionFileLink:  NULL}</v>
      </c>
    </row>
    <row r="653" spans="1:4" x14ac:dyDescent="0.25">
      <c r="A653" s="27">
        <f t="shared" si="20"/>
        <v>24</v>
      </c>
      <c r="B653" s="27" t="str">
        <f>OFFSET('YODA Header Blocks'!$A$1,0,A653)</f>
        <v>Actions</v>
      </c>
      <c r="C653" s="27">
        <f t="shared" si="21"/>
        <v>14</v>
      </c>
      <c r="D653" s="27"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Values'!R",ROW()-LengthHeader,"C2:R",ROW()-LengthHeader,"C",NumFileColumns+2),FALSE))," ],["))))</f>
        <v>PLEASE FILL IN A METHOD FOR EACH DATA COLUMN</v>
      </c>
    </row>
    <row r="654" spans="1:4" x14ac:dyDescent="0.25">
      <c r="A654" s="27">
        <f t="shared" si="20"/>
        <v>24</v>
      </c>
      <c r="B654" s="27" t="str">
        <f>OFFSET('YODA Header Blocks'!$A$1,0,A654)</f>
        <v>Actions</v>
      </c>
      <c r="C654" s="27">
        <f t="shared" si="21"/>
        <v>15</v>
      </c>
      <c r="D654" s="27"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Values'!R",ROW()-LengthHeader,"C2:R",ROW()-LengthHeader,"C",NumFileColumns+2),FALSE))," ],["))))</f>
        <v>PLEASE FILL IN A METHOD FOR EACH DATA COLUMN</v>
      </c>
    </row>
    <row r="655" spans="1:4" x14ac:dyDescent="0.25">
      <c r="A655" s="27">
        <f t="shared" si="20"/>
        <v>24</v>
      </c>
      <c r="B655" s="27" t="str">
        <f>OFFSET('YODA Header Blocks'!$A$1,0,A655)</f>
        <v>Actions</v>
      </c>
      <c r="C655" s="27">
        <f t="shared" si="21"/>
        <v>16</v>
      </c>
      <c r="D655" s="27"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Values'!R",ROW()-LengthHeader,"C2:R",ROW()-LengthHeader,"C",NumFileColumns+2),FALSE))," ],["))))</f>
        <v>PLEASE FILL IN A METHOD FOR EACH DATA COLUMN</v>
      </c>
    </row>
    <row r="656" spans="1:4" x14ac:dyDescent="0.25">
      <c r="A656" s="27">
        <f t="shared" si="20"/>
        <v>25</v>
      </c>
      <c r="B656" s="27" t="str">
        <f>OFFSET('YODA Header Blocks'!$A$1,0,A656)</f>
        <v>Feature Actions</v>
      </c>
      <c r="C656" s="27">
        <f t="shared" si="21"/>
        <v>1</v>
      </c>
      <c r="D656" s="27"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Values'!R",ROW()-LengthHeader,"C2:R",ROW()-LengthHeader,"C",NumFileColumns+2),FALSE))," ],["))))</f>
        <v>FeatureActions:</v>
      </c>
    </row>
    <row r="657" spans="1:4" x14ac:dyDescent="0.25">
      <c r="A657" s="27">
        <f t="shared" si="20"/>
        <v>25</v>
      </c>
      <c r="B657" s="27" t="str">
        <f>OFFSET('YODA Header Blocks'!$A$1,0,A657)</f>
        <v>Feature Actions</v>
      </c>
      <c r="C657" s="27">
        <f t="shared" si="21"/>
        <v>2</v>
      </c>
      <c r="D657" s="27"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Values'!R",ROW()-LengthHeader,"C2:R",ROW()-LengthHeader,"C",NumFileColumns+2),FALSE))," ],["))))</f>
        <v>PLEASE FILL IN A SAMPLING FEATURE FOR EACH DATA COLUMN</v>
      </c>
    </row>
    <row r="658" spans="1:4" x14ac:dyDescent="0.25">
      <c r="A658" s="27">
        <f t="shared" si="20"/>
        <v>25</v>
      </c>
      <c r="B658" s="27" t="str">
        <f>OFFSET('YODA Header Blocks'!$A$1,0,A658)</f>
        <v>Feature Actions</v>
      </c>
      <c r="C658" s="27">
        <f t="shared" si="21"/>
        <v>3</v>
      </c>
      <c r="D658" s="27"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Values'!R",ROW()-LengthHeader,"C2:R",ROW()-LengthHeader,"C",NumFileColumns+2),FALSE))," ],["))))</f>
        <v>PLEASE FILL IN A SAMPLING FEATURE FOR EACH DATA COLUMN</v>
      </c>
    </row>
    <row r="659" spans="1:4" x14ac:dyDescent="0.25">
      <c r="A659" s="27">
        <f t="shared" si="20"/>
        <v>25</v>
      </c>
      <c r="B659" s="27" t="str">
        <f>OFFSET('YODA Header Blocks'!$A$1,0,A659)</f>
        <v>Feature Actions</v>
      </c>
      <c r="C659" s="27">
        <f t="shared" si="21"/>
        <v>4</v>
      </c>
      <c r="D659" s="27"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Values'!R",ROW()-LengthHeader,"C2:R",ROW()-LengthHeader,"C",NumFileColumns+2),FALSE))," ],["))))</f>
        <v>PLEASE FILL IN A SAMPLING FEATURE FOR EACH DATA COLUMN</v>
      </c>
    </row>
    <row r="660" spans="1:4" x14ac:dyDescent="0.25">
      <c r="A660" s="27">
        <f t="shared" si="20"/>
        <v>25</v>
      </c>
      <c r="B660" s="27" t="str">
        <f>OFFSET('YODA Header Blocks'!$A$1,0,A660)</f>
        <v>Feature Actions</v>
      </c>
      <c r="C660" s="27">
        <f t="shared" si="21"/>
        <v>5</v>
      </c>
      <c r="D660" s="27"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Values'!R",ROW()-LengthHeader,"C2:R",ROW()-LengthHeader,"C",NumFileColumns+2),FALSE))," ],["))))</f>
        <v>PLEASE FILL IN A SAMPLING FEATURE FOR EACH DATA COLUMN</v>
      </c>
    </row>
    <row r="661" spans="1:4" x14ac:dyDescent="0.25">
      <c r="A661" s="27">
        <f t="shared" si="20"/>
        <v>25</v>
      </c>
      <c r="B661" s="27" t="str">
        <f>OFFSET('YODA Header Blocks'!$A$1,0,A661)</f>
        <v>Feature Actions</v>
      </c>
      <c r="C661" s="27">
        <f t="shared" si="21"/>
        <v>6</v>
      </c>
      <c r="D661" s="27"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Values'!R",ROW()-LengthHeader,"C2:R",ROW()-LengthHeader,"C",NumFileColumns+2),FALSE))," ],["))))</f>
        <v>PLEASE FILL IN A SAMPLING FEATURE FOR EACH DATA COLUMN</v>
      </c>
    </row>
    <row r="662" spans="1:4" x14ac:dyDescent="0.25">
      <c r="A662" s="27">
        <f t="shared" si="20"/>
        <v>25</v>
      </c>
      <c r="B662" s="27" t="str">
        <f>OFFSET('YODA Header Blocks'!$A$1,0,A662)</f>
        <v>Feature Actions</v>
      </c>
      <c r="C662" s="27">
        <f t="shared" si="21"/>
        <v>7</v>
      </c>
      <c r="D662" s="27"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Values'!R",ROW()-LengthHeader,"C2:R",ROW()-LengthHeader,"C",NumFileColumns+2),FALSE))," ],["))))</f>
        <v>PLEASE FILL IN A SAMPLING FEATURE FOR EACH DATA COLUMN</v>
      </c>
    </row>
    <row r="663" spans="1:4" x14ac:dyDescent="0.25">
      <c r="A663" s="27">
        <f t="shared" si="20"/>
        <v>25</v>
      </c>
      <c r="B663" s="27" t="str">
        <f>OFFSET('YODA Header Blocks'!$A$1,0,A663)</f>
        <v>Feature Actions</v>
      </c>
      <c r="C663" s="27">
        <f t="shared" si="21"/>
        <v>8</v>
      </c>
      <c r="D663" s="27" t="e">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Values'!R",ROW()-LengthHeader,"C2:R",ROW()-LengthHeader,"C",NumFileColumns+2),FALSE))," ],["))))</f>
        <v>#REF!</v>
      </c>
    </row>
    <row r="664" spans="1:4" x14ac:dyDescent="0.25">
      <c r="A664" s="27">
        <f t="shared" si="20"/>
        <v>25</v>
      </c>
      <c r="B664" s="27" t="str">
        <f>OFFSET('YODA Header Blocks'!$A$1,0,A664)</f>
        <v>Feature Actions</v>
      </c>
      <c r="C664" s="27">
        <f t="shared" si="21"/>
        <v>9</v>
      </c>
      <c r="D664" s="27" t="e">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Values'!R",ROW()-LengthHeader,"C2:R",ROW()-LengthHeader,"C",NumFileColumns+2),FALSE))," ],["))))</f>
        <v>#REF!</v>
      </c>
    </row>
    <row r="665" spans="1:4" x14ac:dyDescent="0.25">
      <c r="A665" s="27">
        <f t="shared" si="20"/>
        <v>25</v>
      </c>
      <c r="B665" s="27" t="str">
        <f>OFFSET('YODA Header Blocks'!$A$1,0,A665)</f>
        <v>Feature Actions</v>
      </c>
      <c r="C665" s="27">
        <f t="shared" si="21"/>
        <v>10</v>
      </c>
      <c r="D665" s="27" t="e">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Values'!R",ROW()-LengthHeader,"C2:R",ROW()-LengthHeader,"C",NumFileColumns+2),FALSE))," ],["))))</f>
        <v>#REF!</v>
      </c>
    </row>
    <row r="666" spans="1:4" x14ac:dyDescent="0.25">
      <c r="A666" s="27">
        <f t="shared" si="20"/>
        <v>25</v>
      </c>
      <c r="B666" s="27" t="str">
        <f>OFFSET('YODA Header Blocks'!$A$1,0,A666)</f>
        <v>Feature Actions</v>
      </c>
      <c r="C666" s="27">
        <f t="shared" si="21"/>
        <v>11</v>
      </c>
      <c r="D666" s="27" t="e">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Values'!R",ROW()-LengthHeader,"C2:R",ROW()-LengthHeader,"C",NumFileColumns+2),FALSE))," ],["))))</f>
        <v>#REF!</v>
      </c>
    </row>
    <row r="667" spans="1:4" x14ac:dyDescent="0.25">
      <c r="A667" s="27">
        <f t="shared" si="20"/>
        <v>25</v>
      </c>
      <c r="B667" s="27" t="str">
        <f>OFFSET('YODA Header Blocks'!$A$1,0,A667)</f>
        <v>Feature Actions</v>
      </c>
      <c r="C667" s="27">
        <f t="shared" si="21"/>
        <v>12</v>
      </c>
      <c r="D667" s="27" t="e">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Values'!R",ROW()-LengthHeader,"C2:R",ROW()-LengthHeader,"C",NumFileColumns+2),FALSE))," ],["))))</f>
        <v>#REF!</v>
      </c>
    </row>
    <row r="668" spans="1:4" x14ac:dyDescent="0.25">
      <c r="A668" s="27">
        <f t="shared" si="20"/>
        <v>25</v>
      </c>
      <c r="B668" s="27" t="str">
        <f>OFFSET('YODA Header Blocks'!$A$1,0,A668)</f>
        <v>Feature Actions</v>
      </c>
      <c r="C668" s="27">
        <f t="shared" si="21"/>
        <v>13</v>
      </c>
      <c r="D668" s="27" t="e">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Values'!R",ROW()-LengthHeader,"C2:R",ROW()-LengthHeader,"C",NumFileColumns+2),FALSE))," ],["))))</f>
        <v>#REF!</v>
      </c>
    </row>
    <row r="669" spans="1:4" x14ac:dyDescent="0.25">
      <c r="A669" s="27">
        <f t="shared" si="20"/>
        <v>25</v>
      </c>
      <c r="B669" s="27" t="str">
        <f>OFFSET('YODA Header Blocks'!$A$1,0,A669)</f>
        <v>Feature Actions</v>
      </c>
      <c r="C669" s="27">
        <f t="shared" si="21"/>
        <v>14</v>
      </c>
      <c r="D669" s="27"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Values'!R",ROW()-LengthHeader,"C2:R",ROW()-LengthHeader,"C",NumFileColumns+2),FALSE))," ],["))))</f>
        <v>PLEASE FILL IN A SAMPLING FEATURE FOR EACH DATA COLUMN</v>
      </c>
    </row>
    <row r="670" spans="1:4" x14ac:dyDescent="0.25">
      <c r="A670" s="27">
        <f t="shared" si="20"/>
        <v>25</v>
      </c>
      <c r="B670" s="27" t="str">
        <f>OFFSET('YODA Header Blocks'!$A$1,0,A670)</f>
        <v>Feature Actions</v>
      </c>
      <c r="C670" s="27">
        <f t="shared" si="21"/>
        <v>15</v>
      </c>
      <c r="D670" s="27"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Values'!R",ROW()-LengthHeader,"C2:R",ROW()-LengthHeader,"C",NumFileColumns+2),FALSE))," ],["))))</f>
        <v>PLEASE FILL IN A SAMPLING FEATURE FOR EACH DATA COLUMN</v>
      </c>
    </row>
    <row r="671" spans="1:4" x14ac:dyDescent="0.25">
      <c r="A671" s="27">
        <f t="shared" si="20"/>
        <v>25</v>
      </c>
      <c r="B671" s="27" t="str">
        <f>OFFSET('YODA Header Blocks'!$A$1,0,A671)</f>
        <v>Feature Actions</v>
      </c>
      <c r="C671" s="27">
        <f t="shared" si="21"/>
        <v>16</v>
      </c>
      <c r="D671" s="27"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Values'!R",ROW()-LengthHeader,"C2:R",ROW()-LengthHeader,"C",NumFileColumns+2),FALSE))," ],["))))</f>
        <v>PLEASE FILL IN A SAMPLING FEATURE FOR EACH DATA COLUMN</v>
      </c>
    </row>
    <row r="672" spans="1:4" x14ac:dyDescent="0.25">
      <c r="A672" s="27">
        <f t="shared" si="20"/>
        <v>26</v>
      </c>
      <c r="B672" s="27" t="str">
        <f>OFFSET('YODA Header Blocks'!$A$1,0,A672)</f>
        <v>Action By</v>
      </c>
      <c r="C672" s="27">
        <f t="shared" si="21"/>
        <v>1</v>
      </c>
      <c r="D672" s="27"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Values'!R",ROW()-LengthHeader,"C2:R",ROW()-LengthHeader,"C",NumFileColumns+2),FALSE))," ],["))))</f>
        <v>ActionBy:</v>
      </c>
    </row>
    <row r="673" spans="1:4" x14ac:dyDescent="0.25">
      <c r="A673" s="27">
        <f t="shared" si="20"/>
        <v>26</v>
      </c>
      <c r="B673" s="27" t="str">
        <f>OFFSET('YODA Header Blocks'!$A$1,0,A673)</f>
        <v>Action By</v>
      </c>
      <c r="C673" s="27">
        <f t="shared" si="21"/>
        <v>2</v>
      </c>
      <c r="D673" s="27"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Values'!R",ROW()-LengthHeader,"C2:R",ROW()-LengthHeader,"C",NumFileColumns+2),FALSE))," ],["))))</f>
        <v>PLEASE FILL IN A PERSON RESPONSIBLE FOR EACH DATA COLUMN</v>
      </c>
    </row>
    <row r="674" spans="1:4" x14ac:dyDescent="0.25">
      <c r="A674" s="27">
        <f t="shared" si="20"/>
        <v>26</v>
      </c>
      <c r="B674" s="27" t="str">
        <f>OFFSET('YODA Header Blocks'!$A$1,0,A674)</f>
        <v>Action By</v>
      </c>
      <c r="C674" s="27">
        <f t="shared" si="21"/>
        <v>3</v>
      </c>
      <c r="D674" s="27"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Values'!R",ROW()-LengthHeader,"C2:R",ROW()-LengthHeader,"C",NumFileColumns+2),FALSE))," ],["))))</f>
        <v>PLEASE FILL IN A PERSON RESPONSIBLE FOR EACH DATA COLUMN</v>
      </c>
    </row>
    <row r="675" spans="1:4" x14ac:dyDescent="0.25">
      <c r="A675" s="27">
        <f t="shared" si="20"/>
        <v>26</v>
      </c>
      <c r="B675" s="27" t="str">
        <f>OFFSET('YODA Header Blocks'!$A$1,0,A675)</f>
        <v>Action By</v>
      </c>
      <c r="C675" s="27">
        <f t="shared" si="21"/>
        <v>4</v>
      </c>
      <c r="D675" s="27"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Values'!R",ROW()-LengthHeader,"C2:R",ROW()-LengthHeader,"C",NumFileColumns+2),FALSE))," ],["))))</f>
        <v>PLEASE FILL IN A PERSON RESPONSIBLE FOR EACH DATA COLUMN</v>
      </c>
    </row>
    <row r="676" spans="1:4" x14ac:dyDescent="0.25">
      <c r="A676" s="27">
        <f t="shared" si="20"/>
        <v>26</v>
      </c>
      <c r="B676" s="27" t="str">
        <f>OFFSET('YODA Header Blocks'!$A$1,0,A676)</f>
        <v>Action By</v>
      </c>
      <c r="C676" s="27">
        <f t="shared" si="21"/>
        <v>5</v>
      </c>
      <c r="D676" s="27"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Values'!R",ROW()-LengthHeader,"C2:R",ROW()-LengthHeader,"C",NumFileColumns+2),FALSE))," ],["))))</f>
        <v>PLEASE FILL IN A PERSON RESPONSIBLE FOR EACH DATA COLUMN</v>
      </c>
    </row>
    <row r="677" spans="1:4" x14ac:dyDescent="0.25">
      <c r="A677" s="27">
        <f t="shared" si="20"/>
        <v>26</v>
      </c>
      <c r="B677" s="27" t="str">
        <f>OFFSET('YODA Header Blocks'!$A$1,0,A677)</f>
        <v>Action By</v>
      </c>
      <c r="C677" s="27">
        <f t="shared" si="21"/>
        <v>6</v>
      </c>
      <c r="D677" s="27"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Values'!R",ROW()-LengthHeader,"C2:R",ROW()-LengthHeader,"C",NumFileColumns+2),FALSE))," ],["))))</f>
        <v>PLEASE FILL IN A PERSON RESPONSIBLE FOR EACH DATA COLUMN</v>
      </c>
    </row>
    <row r="678" spans="1:4" x14ac:dyDescent="0.25">
      <c r="A678" s="27">
        <f t="shared" si="20"/>
        <v>26</v>
      </c>
      <c r="B678" s="27" t="str">
        <f>OFFSET('YODA Header Blocks'!$A$1,0,A678)</f>
        <v>Action By</v>
      </c>
      <c r="C678" s="27">
        <f t="shared" si="21"/>
        <v>7</v>
      </c>
      <c r="D678" s="27"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Values'!R",ROW()-LengthHeader,"C2:R",ROW()-LengthHeader,"C",NumFileColumns+2),FALSE))," ],["))))</f>
        <v>PLEASE FILL IN A PERSON RESPONSIBLE FOR EACH DATA COLUMN</v>
      </c>
    </row>
    <row r="679" spans="1:4" x14ac:dyDescent="0.25">
      <c r="A679" s="27">
        <f t="shared" si="20"/>
        <v>26</v>
      </c>
      <c r="B679" s="27" t="str">
        <f>OFFSET('YODA Header Blocks'!$A$1,0,A679)</f>
        <v>Action By</v>
      </c>
      <c r="C679" s="27">
        <f t="shared" si="21"/>
        <v>8</v>
      </c>
      <c r="D679" s="27"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Values'!R",ROW()-LengthHeader,"C2:R",ROW()-LengthHeader,"C",NumFileColumns+2),FALSE))," ],["))))</f>
        <v>PLEASE FILL IN A PERSON RESPONSIBLE FOR EACH DATA COLUMN</v>
      </c>
    </row>
    <row r="680" spans="1:4" x14ac:dyDescent="0.25">
      <c r="A680" s="27">
        <f t="shared" si="20"/>
        <v>26</v>
      </c>
      <c r="B680" s="27" t="str">
        <f>OFFSET('YODA Header Blocks'!$A$1,0,A680)</f>
        <v>Action By</v>
      </c>
      <c r="C680" s="27">
        <f t="shared" si="21"/>
        <v>9</v>
      </c>
      <c r="D680" s="27"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Values'!R",ROW()-LengthHeader,"C2:R",ROW()-LengthHeader,"C",NumFileColumns+2),FALSE))," ],["))))</f>
        <v>PLEASE FILL IN A PERSON RESPONSIBLE FOR EACH DATA COLUMN</v>
      </c>
    </row>
    <row r="681" spans="1:4" x14ac:dyDescent="0.25">
      <c r="A681" s="27">
        <f t="shared" si="20"/>
        <v>26</v>
      </c>
      <c r="B681" s="27" t="str">
        <f>OFFSET('YODA Header Blocks'!$A$1,0,A681)</f>
        <v>Action By</v>
      </c>
      <c r="C681" s="27">
        <f t="shared" si="21"/>
        <v>10</v>
      </c>
      <c r="D681" s="27"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Values'!R",ROW()-LengthHeader,"C2:R",ROW()-LengthHeader,"C",NumFileColumns+2),FALSE))," ],["))))</f>
        <v>PLEASE FILL IN A PERSON RESPONSIBLE FOR EACH DATA COLUMN</v>
      </c>
    </row>
    <row r="682" spans="1:4" x14ac:dyDescent="0.25">
      <c r="A682" s="27">
        <f t="shared" si="20"/>
        <v>26</v>
      </c>
      <c r="B682" s="27" t="str">
        <f>OFFSET('YODA Header Blocks'!$A$1,0,A682)</f>
        <v>Action By</v>
      </c>
      <c r="C682" s="27">
        <f t="shared" si="21"/>
        <v>11</v>
      </c>
      <c r="D682" s="27"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Values'!R",ROW()-LengthHeader,"C2:R",ROW()-LengthHeader,"C",NumFileColumns+2),FALSE))," ],["))))</f>
        <v>PLEASE FILL IN A PERSON RESPONSIBLE FOR EACH DATA COLUMN</v>
      </c>
    </row>
    <row r="683" spans="1:4" x14ac:dyDescent="0.25">
      <c r="A683" s="27">
        <f t="shared" si="20"/>
        <v>26</v>
      </c>
      <c r="B683" s="27" t="str">
        <f>OFFSET('YODA Header Blocks'!$A$1,0,A683)</f>
        <v>Action By</v>
      </c>
      <c r="C683" s="27">
        <f t="shared" si="21"/>
        <v>12</v>
      </c>
      <c r="D683" s="27"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Values'!R",ROW()-LengthHeader,"C2:R",ROW()-LengthHeader,"C",NumFileColumns+2),FALSE))," ],["))))</f>
        <v>PLEASE FILL IN A PERSON RESPONSIBLE FOR EACH DATA COLUMN</v>
      </c>
    </row>
    <row r="684" spans="1:4" x14ac:dyDescent="0.25">
      <c r="A684" s="27">
        <f t="shared" si="20"/>
        <v>26</v>
      </c>
      <c r="B684" s="27" t="str">
        <f>OFFSET('YODA Header Blocks'!$A$1,0,A684)</f>
        <v>Action By</v>
      </c>
      <c r="C684" s="27">
        <f t="shared" si="21"/>
        <v>13</v>
      </c>
      <c r="D684" s="27"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Values'!R",ROW()-LengthHeader,"C2:R",ROW()-LengthHeader,"C",NumFileColumns+2),FALSE))," ],["))))</f>
        <v>PLEASE FILL IN A PERSON RESPONSIBLE FOR EACH DATA COLUMN</v>
      </c>
    </row>
    <row r="685" spans="1:4" x14ac:dyDescent="0.25">
      <c r="A685" s="27">
        <f t="shared" si="20"/>
        <v>26</v>
      </c>
      <c r="B685" s="27" t="str">
        <f>OFFSET('YODA Header Blocks'!$A$1,0,A685)</f>
        <v>Action By</v>
      </c>
      <c r="C685" s="27">
        <f t="shared" si="21"/>
        <v>14</v>
      </c>
      <c r="D685" s="27"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Values'!R",ROW()-LengthHeader,"C2:R",ROW()-LengthHeader,"C",NumFileColumns+2),FALSE))," ],["))))</f>
        <v>PLEASE FILL IN A PERSON RESPONSIBLE FOR EACH DATA COLUMN</v>
      </c>
    </row>
    <row r="686" spans="1:4" x14ac:dyDescent="0.25">
      <c r="A686" s="27">
        <f t="shared" si="20"/>
        <v>26</v>
      </c>
      <c r="B686" s="27" t="str">
        <f>OFFSET('YODA Header Blocks'!$A$1,0,A686)</f>
        <v>Action By</v>
      </c>
      <c r="C686" s="27">
        <f t="shared" si="21"/>
        <v>15</v>
      </c>
      <c r="D686" s="27"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Values'!R",ROW()-LengthHeader,"C2:R",ROW()-LengthHeader,"C",NumFileColumns+2),FALSE))," ],["))))</f>
        <v>PLEASE FILL IN A PERSON RESPONSIBLE FOR EACH DATA COLUMN</v>
      </c>
    </row>
    <row r="687" spans="1:4" x14ac:dyDescent="0.25">
      <c r="A687" s="27">
        <f t="shared" si="20"/>
        <v>26</v>
      </c>
      <c r="B687" s="27" t="str">
        <f>OFFSET('YODA Header Blocks'!$A$1,0,A687)</f>
        <v>Action By</v>
      </c>
      <c r="C687" s="27">
        <f t="shared" si="21"/>
        <v>16</v>
      </c>
      <c r="D687" s="27"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Values'!R",ROW()-LengthHeader,"C2:R",ROW()-LengthHeader,"C",NumFileColumns+2),FALSE))," ],["))))</f>
        <v>PLEASE FILL IN A PERSON RESPONSIBLE FOR EACH DATA COLUMN</v>
      </c>
    </row>
    <row r="688" spans="1:4" x14ac:dyDescent="0.25">
      <c r="A688" s="27">
        <f t="shared" si="20"/>
        <v>27</v>
      </c>
      <c r="B688" s="27" t="str">
        <f>OFFSET('YODA Header Blocks'!$A$1,0,A688)</f>
        <v>Results</v>
      </c>
      <c r="C688" s="27">
        <f t="shared" si="21"/>
        <v>1</v>
      </c>
      <c r="D688" s="27"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Values'!R",ROW()-LengthHeader,"C2:R",ROW()-LengthHeader,"C",NumFileColumns+2),FALSE))," ],["))))</f>
        <v>Results:</v>
      </c>
    </row>
    <row r="689" spans="1:4" x14ac:dyDescent="0.25">
      <c r="A689" s="27">
        <f t="shared" si="20"/>
        <v>27</v>
      </c>
      <c r="B689" s="27" t="str">
        <f>OFFSET('YODA Header Blocks'!$A$1,0,A689)</f>
        <v>Results</v>
      </c>
      <c r="C689" s="27">
        <f t="shared" si="21"/>
        <v>2</v>
      </c>
      <c r="D689" s="27" t="e">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Values'!R",ROW()-LengthHeader,"C2:R",ROW()-LengthHeader,"C",NumFileColumns+2),FALSE))," ],["))))</f>
        <v>#REF!</v>
      </c>
    </row>
    <row r="690" spans="1:4" x14ac:dyDescent="0.25">
      <c r="A690" s="27">
        <f t="shared" si="20"/>
        <v>28</v>
      </c>
      <c r="B690" s="27" t="str">
        <f>OFFSET('YODA Header Blocks'!$A$1,0,A690)</f>
        <v>DataSets Results</v>
      </c>
      <c r="C690" s="27">
        <f t="shared" si="21"/>
        <v>1</v>
      </c>
      <c r="D690" s="27"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Values'!R",ROW()-LengthHeader,"C2:R",ROW()-LengthHeader,"C",NumFileColumns+2),FALSE))," ],["))))</f>
        <v>DataSetsResults:</v>
      </c>
    </row>
    <row r="691" spans="1:4" x14ac:dyDescent="0.25">
      <c r="A691" s="27">
        <f t="shared" si="20"/>
        <v>28</v>
      </c>
      <c r="B691" s="27" t="str">
        <f>OFFSET('YODA Header Blocks'!$A$1,0,A691)</f>
        <v>DataSets Results</v>
      </c>
      <c r="C691" s="27">
        <f t="shared" si="21"/>
        <v>2</v>
      </c>
      <c r="D691" s="27"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Values'!R",ROW()-LengthHeader,"C2:R",ROW()-LengthHeader,"C",NumFileColumns+2),FALSE))," ],["))))</f>
        <v xml:space="preserve">  - {DataSetObj: *DataSetID0001, ResultObj: *ResultID0001}</v>
      </c>
    </row>
    <row r="692" spans="1:4" x14ac:dyDescent="0.25">
      <c r="A692" s="27">
        <f t="shared" si="20"/>
        <v>28</v>
      </c>
      <c r="B692" s="27" t="str">
        <f>OFFSET('YODA Header Blocks'!$A$1,0,A692)</f>
        <v>DataSets Results</v>
      </c>
      <c r="C692" s="27">
        <f t="shared" si="21"/>
        <v>3</v>
      </c>
      <c r="D692" s="27"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Values'!R",ROW()-LengthHeader,"C2:R",ROW()-LengthHeader,"C",NumFileColumns+2),FALSE))," ],["))))</f>
        <v xml:space="preserve">  - {DataSetObj: *DataSetID0001, ResultObj: *ResultID0002}</v>
      </c>
    </row>
    <row r="693" spans="1:4" x14ac:dyDescent="0.25">
      <c r="A693" s="27">
        <f t="shared" si="20"/>
        <v>28</v>
      </c>
      <c r="B693" s="27" t="str">
        <f>OFFSET('YODA Header Blocks'!$A$1,0,A693)</f>
        <v>DataSets Results</v>
      </c>
      <c r="C693" s="27">
        <f t="shared" si="21"/>
        <v>4</v>
      </c>
      <c r="D693" s="27"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Values'!R",ROW()-LengthHeader,"C2:R",ROW()-LengthHeader,"C",NumFileColumns+2),FALSE))," ],["))))</f>
        <v xml:space="preserve">  - {DataSetObj: *DataSetID0001, ResultObj: *ResultID0003}</v>
      </c>
    </row>
    <row r="694" spans="1:4" x14ac:dyDescent="0.25">
      <c r="A694" s="27">
        <f t="shared" si="20"/>
        <v>28</v>
      </c>
      <c r="B694" s="27" t="str">
        <f>OFFSET('YODA Header Blocks'!$A$1,0,A694)</f>
        <v>DataSets Results</v>
      </c>
      <c r="C694" s="27">
        <f t="shared" si="21"/>
        <v>5</v>
      </c>
      <c r="D694" s="27"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Values'!R",ROW()-LengthHeader,"C2:R",ROW()-LengthHeader,"C",NumFileColumns+2),FALSE))," ],["))))</f>
        <v xml:space="preserve">  - {DataSetObj: *DataSetID0001, ResultObj: *ResultID0004}</v>
      </c>
    </row>
    <row r="695" spans="1:4" x14ac:dyDescent="0.25">
      <c r="A695" s="27">
        <f t="shared" si="20"/>
        <v>28</v>
      </c>
      <c r="B695" s="27" t="str">
        <f>OFFSET('YODA Header Blocks'!$A$1,0,A695)</f>
        <v>DataSets Results</v>
      </c>
      <c r="C695" s="27">
        <f t="shared" si="21"/>
        <v>6</v>
      </c>
      <c r="D695" s="27"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Values'!R",ROW()-LengthHeader,"C2:R",ROW()-LengthHeader,"C",NumFileColumns+2),FALSE))," ],["))))</f>
        <v xml:space="preserve">  - {DataSetObj: *DataSetID0001, ResultObj: *ResultID0005}</v>
      </c>
    </row>
    <row r="696" spans="1:4" x14ac:dyDescent="0.25">
      <c r="A696" s="27">
        <f t="shared" si="20"/>
        <v>28</v>
      </c>
      <c r="B696" s="27" t="str">
        <f>OFFSET('YODA Header Blocks'!$A$1,0,A696)</f>
        <v>DataSets Results</v>
      </c>
      <c r="C696" s="27">
        <f t="shared" si="21"/>
        <v>7</v>
      </c>
      <c r="D696" s="27"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Values'!R",ROW()-LengthHeader,"C2:R",ROW()-LengthHeader,"C",NumFileColumns+2),FALSE))," ],["))))</f>
        <v xml:space="preserve">  - {DataSetObj: *DataSetID0001, ResultObj: *ResultID0006}</v>
      </c>
    </row>
    <row r="697" spans="1:4" x14ac:dyDescent="0.25">
      <c r="A697" s="27">
        <f t="shared" si="20"/>
        <v>28</v>
      </c>
      <c r="B697" s="27" t="str">
        <f>OFFSET('YODA Header Blocks'!$A$1,0,A697)</f>
        <v>DataSets Results</v>
      </c>
      <c r="C697" s="27">
        <f t="shared" si="21"/>
        <v>8</v>
      </c>
      <c r="D697" s="27"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Values'!R",ROW()-LengthHeader,"C2:R",ROW()-LengthHeader,"C",NumFileColumns+2),FALSE))," ],["))))</f>
        <v xml:space="preserve">  - {DataSetObj: *DataSetID0001, ResultObj: *ResultID0007}</v>
      </c>
    </row>
    <row r="698" spans="1:4" x14ac:dyDescent="0.25">
      <c r="A698" s="27">
        <f t="shared" si="20"/>
        <v>28</v>
      </c>
      <c r="B698" s="27" t="str">
        <f>OFFSET('YODA Header Blocks'!$A$1,0,A698)</f>
        <v>DataSets Results</v>
      </c>
      <c r="C698" s="27">
        <f t="shared" si="21"/>
        <v>9</v>
      </c>
      <c r="D698" s="27"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Values'!R",ROW()-LengthHeader,"C2:R",ROW()-LengthHeader,"C",NumFileColumns+2),FALSE))," ],["))))</f>
        <v xml:space="preserve">  - {DataSetObj: *DataSetID0001, ResultObj: *ResultID0008}</v>
      </c>
    </row>
    <row r="699" spans="1:4" x14ac:dyDescent="0.25">
      <c r="A699" s="27">
        <f t="shared" si="20"/>
        <v>28</v>
      </c>
      <c r="B699" s="27" t="str">
        <f>OFFSET('YODA Header Blocks'!$A$1,0,A699)</f>
        <v>DataSets Results</v>
      </c>
      <c r="C699" s="27">
        <f t="shared" si="21"/>
        <v>10</v>
      </c>
      <c r="D699" s="27"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Values'!R",ROW()-LengthHeader,"C2:R",ROW()-LengthHeader,"C",NumFileColumns+2),FALSE))," ],["))))</f>
        <v xml:space="preserve">  - {DataSetObj: *DataSetID0001, ResultObj: *ResultID0009}</v>
      </c>
    </row>
    <row r="700" spans="1:4" x14ac:dyDescent="0.25">
      <c r="A700" s="27">
        <f t="shared" si="20"/>
        <v>28</v>
      </c>
      <c r="B700" s="27" t="str">
        <f>OFFSET('YODA Header Blocks'!$A$1,0,A700)</f>
        <v>DataSets Results</v>
      </c>
      <c r="C700" s="27">
        <f t="shared" si="21"/>
        <v>11</v>
      </c>
      <c r="D700" s="27"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Values'!R",ROW()-LengthHeader,"C2:R",ROW()-LengthHeader,"C",NumFileColumns+2),FALSE))," ],["))))</f>
        <v xml:space="preserve">  - {DataSetObj: *DataSetID0001, ResultObj: *ResultID0010}</v>
      </c>
    </row>
    <row r="701" spans="1:4" x14ac:dyDescent="0.25">
      <c r="A701" s="27">
        <f t="shared" si="20"/>
        <v>28</v>
      </c>
      <c r="B701" s="27" t="str">
        <f>OFFSET('YODA Header Blocks'!$A$1,0,A701)</f>
        <v>DataSets Results</v>
      </c>
      <c r="C701" s="27">
        <f t="shared" si="21"/>
        <v>12</v>
      </c>
      <c r="D701" s="27"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Values'!R",ROW()-LengthHeader,"C2:R",ROW()-LengthHeader,"C",NumFileColumns+2),FALSE))," ],["))))</f>
        <v xml:space="preserve">  - {DataSetObj: *DataSetID0001, ResultObj: *ResultID0011}</v>
      </c>
    </row>
    <row r="702" spans="1:4" x14ac:dyDescent="0.25">
      <c r="A702" s="27">
        <f t="shared" si="20"/>
        <v>28</v>
      </c>
      <c r="B702" s="27" t="str">
        <f>OFFSET('YODA Header Blocks'!$A$1,0,A702)</f>
        <v>DataSets Results</v>
      </c>
      <c r="C702" s="27">
        <f t="shared" si="21"/>
        <v>13</v>
      </c>
      <c r="D702" s="27"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Values'!R",ROW()-LengthHeader,"C2:R",ROW()-LengthHeader,"C",NumFileColumns+2),FALSE))," ],["))))</f>
        <v xml:space="preserve">  - {DataSetObj: *DataSetID0001, ResultObj: *ResultID0012}</v>
      </c>
    </row>
    <row r="703" spans="1:4" x14ac:dyDescent="0.25">
      <c r="A703" s="27">
        <f t="shared" si="20"/>
        <v>28</v>
      </c>
      <c r="B703" s="27" t="str">
        <f>OFFSET('YODA Header Blocks'!$A$1,0,A703)</f>
        <v>DataSets Results</v>
      </c>
      <c r="C703" s="27">
        <f t="shared" si="21"/>
        <v>14</v>
      </c>
      <c r="D703" s="27"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Values'!R",ROW()-LengthHeader,"C2:R",ROW()-LengthHeader,"C",NumFileColumns+2),FALSE))," ],["))))</f>
        <v xml:space="preserve">  - {DataSetObj: *DataSetID0001, ResultObj: *ResultID0013}</v>
      </c>
    </row>
    <row r="704" spans="1:4" x14ac:dyDescent="0.25">
      <c r="A704" s="27">
        <f t="shared" si="20"/>
        <v>28</v>
      </c>
      <c r="B704" s="27" t="str">
        <f>OFFSET('YODA Header Blocks'!$A$1,0,A704)</f>
        <v>DataSets Results</v>
      </c>
      <c r="C704" s="27">
        <f t="shared" si="21"/>
        <v>15</v>
      </c>
      <c r="D704" s="27"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Values'!R",ROW()-LengthHeader,"C2:R",ROW()-LengthHeader,"C",NumFileColumns+2),FALSE))," ],["))))</f>
        <v xml:space="preserve">  - {DataSetObj: *DataSetID0001, ResultObj: *ResultID0014}</v>
      </c>
    </row>
    <row r="705" spans="1:4" x14ac:dyDescent="0.25">
      <c r="A705" s="27">
        <f t="shared" si="20"/>
        <v>28</v>
      </c>
      <c r="B705" s="27" t="str">
        <f>OFFSET('YODA Header Blocks'!$A$1,0,A705)</f>
        <v>DataSets Results</v>
      </c>
      <c r="C705" s="27">
        <f t="shared" si="21"/>
        <v>16</v>
      </c>
      <c r="D705" s="27"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Values'!R",ROW()-LengthHeader,"C2:R",ROW()-LengthHeader,"C",NumFileColumns+2),FALSE))," ],["))))</f>
        <v xml:space="preserve">  - {DataSetObj: *DataSetID0001, ResultObj: *ResultID0015}</v>
      </c>
    </row>
    <row r="706" spans="1:4" x14ac:dyDescent="0.25">
      <c r="A706" s="27">
        <f t="shared" si="20"/>
        <v>29</v>
      </c>
      <c r="B706" s="27" t="str">
        <f>OFFSET('YODA Header Blocks'!$A$1,0,A706)</f>
        <v>Time Series Results</v>
      </c>
      <c r="C706" s="27">
        <f t="shared" si="21"/>
        <v>1</v>
      </c>
      <c r="D706" s="27">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Values'!R",ROW()-LengthHeader,"C2:R",ROW()-LengthHeader,"C",NumFileColumns+2),FALSE))," ],["))))</f>
        <v>0</v>
      </c>
    </row>
    <row r="707" spans="1:4" x14ac:dyDescent="0.25">
      <c r="A707" s="27">
        <f t="shared" si="20"/>
        <v>30</v>
      </c>
      <c r="B707" s="27" t="str">
        <f>OFFSET('YODA Header Blocks'!$A$1,0,A707)</f>
        <v>Time Series Result Values</v>
      </c>
      <c r="C707" s="27">
        <f t="shared" si="21"/>
        <v>1</v>
      </c>
      <c r="D707" s="27">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Values'!R",ROW()-LengthHeader,"C2:R",ROW()-LengthHeader,"C",NumFileColumns+2),FALSE))," ],["))))</f>
        <v>0</v>
      </c>
    </row>
    <row r="708" spans="1:4" x14ac:dyDescent="0.25">
      <c r="A708" s="27">
        <f t="shared" ref="A708:A712" si="22">IF(C707=INDIRECT(CONCATENATE("'YODA Header Blocks'!R2C",A707+1,":R2C",A707+1),FALSE),A707+1,A707)</f>
        <v>31</v>
      </c>
      <c r="B708" s="27" t="str">
        <f>OFFSET('YODA Header Blocks'!$A$1,0,A708)</f>
        <v>Measurement Results</v>
      </c>
      <c r="C708" s="27">
        <f t="shared" ref="C708:C712" si="23">IF(C707=SUM(INDIRECT(CONCATENATE("'YODA Header Blocks'!R2C",A707+1,":R2C",A707+1),FALSE)),1,C707+1)</f>
        <v>1</v>
      </c>
      <c r="D708" s="27"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Values'!R",ROW()-LengthHeader,"C2:R",ROW()-LengthHeader,"C",NumFileColumns+2),FALSE))," ],["))))</f>
        <v>TimeSeriesResults:</v>
      </c>
    </row>
    <row r="709" spans="1:4" x14ac:dyDescent="0.25">
      <c r="A709" s="27">
        <f t="shared" si="22"/>
        <v>32</v>
      </c>
      <c r="B709" s="27" t="str">
        <f>OFFSET('YODA Header Blocks'!$A$1,0,A709)</f>
        <v>Measurement Result Values</v>
      </c>
      <c r="C709" s="27">
        <f t="shared" si="23"/>
        <v>1</v>
      </c>
      <c r="D709" s="27"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Values'!R",ROW()-LengthHeader,"C2:R",ROW()-LengthHeader,"C",NumFileColumns+2),FALSE))," ],["))))</f>
        <v>MeasurementResultValues:</v>
      </c>
    </row>
    <row r="710" spans="1:4" x14ac:dyDescent="0.25">
      <c r="A710" s="27">
        <f t="shared" si="22"/>
        <v>33</v>
      </c>
      <c r="B710" s="27" t="str">
        <f>OFFSET('YODA Header Blocks'!$A$1,0,A710)</f>
        <v>Data Helper</v>
      </c>
      <c r="C710" s="27">
        <f t="shared" si="23"/>
        <v>1</v>
      </c>
      <c r="D710" s="27"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Values'!R",ROW()-LengthHeader,"C2:R",ROW()-LengthHeader,"C",NumFileColumns+2),FALSE))," ],["))))</f>
        <v xml:space="preserve">  Data:</v>
      </c>
    </row>
    <row r="711" spans="1:4" x14ac:dyDescent="0.25">
      <c r="A711" s="27">
        <f t="shared" si="22"/>
        <v>34</v>
      </c>
      <c r="B711" s="27" t="str">
        <f>OFFSET('YODA Header Blocks'!$A$1,0,A711)</f>
        <v>Data Helper2</v>
      </c>
      <c r="C711" s="27">
        <f t="shared" si="23"/>
        <v>1</v>
      </c>
      <c r="D711" s="27"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Values'!R",ROW()-LengthHeader,"C2:R",ROW()-LengthHeader,"C",NumFileColumns+2),FALSE))," ],["))))</f>
        <v xml:space="preserve">  - [[</v>
      </c>
    </row>
    <row r="712" spans="1:4" x14ac:dyDescent="0.25">
      <c r="A712" s="27">
        <f t="shared" si="22"/>
        <v>34</v>
      </c>
      <c r="B712" s="27" t="str">
        <f>OFFSET('YODA Header Blocks'!$A$1,0,A712)</f>
        <v>Data Helper2</v>
      </c>
      <c r="C712" s="27">
        <f t="shared" si="23"/>
        <v>2</v>
      </c>
      <c r="D712" s="27"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Values'!R",ROW()-LengthHeader,"C2:R",ROW()-LengthHeader,"C",NumFileColumns+2),FALSE))," ],["))))</f>
        <v>ValueDateTime, ValueDateTimeUTCOffset, datetime, UTC Offset, sampno, site, samplemethod, Field Sample, Person Name, pH, conductivity, mndoc, alknewgran_ueql, Dionex_Nitrate_N_ppm, icp_ca, dt2, utc2 ],[</v>
      </c>
    </row>
    <row r="713" spans="1:4" x14ac:dyDescent="0.25">
      <c r="D713" s="27"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Values'!R",ROW()-LengthHeader,"C2:R",ROW()-LengthHeader,"C",NumFileColumns+2),FALSE))," ],["))))</f>
        <v>"2011-01-05 15:36:00", -5, 1100003, STA2, Grab, TRUE, Sara Geleskie Damiano, 6.93, 222, 1.034, 1327.533422, 3.9202, 1/21/2011 4:58, -7 ],[</v>
      </c>
    </row>
    <row r="714" spans="1:4" x14ac:dyDescent="0.25">
      <c r="D714" s="27"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Values'!R",ROW()-LengthHeader,"C2:R",ROW()-LengthHeader,"C",NumFileColumns+2),FALSE))," ],["))))</f>
        <v>"2011-01-14 13:23:00", -5, 1100072, WLYATSPENCER, Grab, TRUE, Sara Geleskie Damiano, 6.75, 717, 3.0611, 1/30/2011 3:45, -7 ],[</v>
      </c>
    </row>
    <row r="715" spans="1:4" x14ac:dyDescent="0.25">
      <c r="D715" s="27"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Values'!R",ROW()-LengthHeader,"C2:R",ROW()-LengthHeader,"C",NumFileColumns+2),FALSE))," ],["))))</f>
        <v>"2011-01-14 14:45:00", -5, 1100073, WLYMOUTH, Grab, TRUE, Sara Geleskie Damiano, 7.29, 421, 12.2859, 1/20/2011 22:25, -7 ],[</v>
      </c>
    </row>
    <row r="716" spans="1:4" x14ac:dyDescent="0.25">
      <c r="D716" s="27"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Values'!R",ROW()-LengthHeader,"C2:R",ROW()-LengthHeader,"C",NumFileColumns+2),FALSE))," ],["))))</f>
        <v>"2011-02-02 14:54:00", -5, 1100185, STA2, Grab, TRUE, Sara Geleskie Damiano, 6.16, 161.2, 7.27, 570.7267648, 1.3999, 2/20/2011 13:30, -7 ],[</v>
      </c>
    </row>
    <row r="717" spans="1:4" x14ac:dyDescent="0.25">
      <c r="D717" s="27"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Values'!R",ROW()-LengthHeader,"C2:R",ROW()-LengthHeader,"C",NumFileColumns+2),FALSE))," ],["))))</f>
        <v>"2011-02-14 15:28:00", -5, 1100229, WLYATSPENCER, Grab, TRUE, Sara Geleskie Damiano, 6.73, 268, 1.1673, 2/24/2011 11:53, -7 ],[</v>
      </c>
    </row>
    <row r="718" spans="1:4" x14ac:dyDescent="0.25">
      <c r="D718" s="27"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Values'!R",ROW()-LengthHeader,"C2:R",ROW()-LengthHeader,"C",NumFileColumns+2),FALSE))," ],["))))</f>
        <v>"2011-02-14 16:49:00", -5, 1100230, WLYMOUTH, Grab, TRUE, Sara Geleskie Damiano, 6.94, 277, 3.3207, 3/5/2011 12:46, -7 ],[</v>
      </c>
    </row>
    <row r="719" spans="1:4" x14ac:dyDescent="0.25">
      <c r="D719" s="27"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Values'!R",ROW()-LengthHeader,"C2:R",ROW()-LengthHeader,"C",NumFileColumns+2),FALSE))," ],["))))</f>
        <v>"2011-02-25 02:00:00", -5, 1100285, WCCPH, Automated, TRUE, Michael D Gentile, 8.01, 251, 2.083, 1048.060799, 3.3733, 3/14/2011 23:20, -7 ],[</v>
      </c>
    </row>
    <row r="720" spans="1:4" x14ac:dyDescent="0.25">
      <c r="D720" s="27"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Values'!R",ROW()-LengthHeader,"C2:R",ROW()-LengthHeader,"C",NumFileColumns+2),FALSE))," ],["))))</f>
        <v>"2011-02-25 05:00:00", -5, 1100286, WCCPH, Automated, TRUE, Michael D Gentile, 8.06, 208, 5, 876.4265676, 2.5248, 3/5/2011 5:52, -7 ],[</v>
      </c>
    </row>
    <row r="721" spans="4:4" x14ac:dyDescent="0.25">
      <c r="D721" s="27"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Values'!R",ROW()-LengthHeader,"C2:R",ROW()-LengthHeader,"C",NumFileColumns+2),FALSE))," ],["))))</f>
        <v>"2011-02-25 07:00:00", -5, 1100287, WCCPH, Automated, TRUE, Michael D Gentile, 7.66, 164.4, 7.36, 662.4052443, 1.7346, 3/2/2011 7:13, -7 ],[</v>
      </c>
    </row>
    <row r="722" spans="4:4" x14ac:dyDescent="0.25">
      <c r="D722" s="27"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Values'!R",ROW()-LengthHeader,"C2:R",ROW()-LengthHeader,"C",NumFileColumns+2),FALSE))," ],["))))</f>
        <v>"2011-02-25 09:00:00", -5, 1100288, WCCPH, Automated, TRUE, Michael D Gentile, 7.58,  , 8.493, 557.0374162, 1.3195, 3/9/2011 17:32, -7 ],[</v>
      </c>
    </row>
    <row r="723" spans="4:4" x14ac:dyDescent="0.25">
      <c r="D723" s="27"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Values'!R",ROW()-LengthHeader,"C2:R",ROW()-LengthHeader,"C",NumFileColumns+2),FALSE))," ],["))))</f>
        <v>"2011-02-25 10:00:00", -5, 1100289, WCCPH, Automated, TRUE, Michael D Gentile, 7.58, 119.9, 8.507, 511.9874337, 1.32, 3/10/2011 12:26, -7 ],[</v>
      </c>
    </row>
    <row r="724" spans="4:4" x14ac:dyDescent="0.25">
      <c r="D724" s="27"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Values'!R",ROW()-LengthHeader,"C2:R",ROW()-LengthHeader,"C",NumFileColumns+2),FALSE))," ],["))))</f>
        <v>"2011-02-25 12:00:00", -5, 1100290, WCCPH, Automated, TRUE, Michael D Gentile, 7.47, 116.2, 8.573, 502.0246935, 1.2861, 3/5/2011 4:54, -7 ],[</v>
      </c>
    </row>
    <row r="725" spans="4:4" x14ac:dyDescent="0.25">
      <c r="D725" s="27"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Values'!R",ROW()-LengthHeader,"C2:R",ROW()-LengthHeader,"C",NumFileColumns+2),FALSE))," ],["))))</f>
        <v>"2011-02-25 14:00:00", -5, 1100291, WCCPH, Automated, TRUE, Michael D Gentile, 7.88, 226, 8.04, 548.4328977, 1.4149, 3/9/2011 7:15, -7 ],[</v>
      </c>
    </row>
    <row r="726" spans="4:4" x14ac:dyDescent="0.25">
      <c r="D726" s="27"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Values'!R",ROW()-LengthHeader,"C2:R",ROW()-LengthHeader,"C",NumFileColumns+2),FALSE))," ],["))))</f>
        <v>"2011-02-25 16:00:00", -5, 1100292, WCCPH, Automated, TRUE, Michael D Gentile, 7.62, 135.5, 8.373, 586.1183522, 1.5512, 3/12/2011 11:17, -7 ],[</v>
      </c>
    </row>
    <row r="727" spans="4:4" x14ac:dyDescent="0.25">
      <c r="D727" s="27"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Values'!R",ROW()-LengthHeader,"C2:R",ROW()-LengthHeader,"C",NumFileColumns+2),FALSE))," ],["))))</f>
        <v>"2011-02-25 23:00:00", -5, 1100293, WCCPH, Automated, TRUE, Michael D Gentile, 7.72, 183.5, 2.583, 813.3572851, 2.3633, 3/1/2011 1:53, -7 ],[</v>
      </c>
    </row>
    <row r="728" spans="4:4" x14ac:dyDescent="0.25">
      <c r="D728" s="27"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Values'!R",ROW()-LengthHeader,"C2:R",ROW()-LengthHeader,"C",NumFileColumns+2),FALSE))," ],["))))</f>
        <v>"2011-02-26 14:00:00", -5, 1100294, WCCPH, Automated, TRUE, Michael D Gentile, 7.61, 129.2, 1.055, 983.3986094, 3.1939, 3/16/2011 9:37, -7 ],[</v>
      </c>
    </row>
    <row r="729" spans="4:4" x14ac:dyDescent="0.25">
      <c r="D729" s="27"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Values'!R",ROW()-LengthHeader,"C2:R",ROW()-LengthHeader,"C",NumFileColumns+2),FALSE))," ],["))))</f>
        <v>"2011-03-02 13:04:00", -5, 1100338, STA2, Grab, TRUE, Sara Geleskie Damiano, 6.91, 209, 1.413, 1242.057823, 3.4064, 3/12/2011 1:06, -7 ],[</v>
      </c>
    </row>
    <row r="730" spans="4:4" x14ac:dyDescent="0.25">
      <c r="D730" s="27"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Values'!R",ROW()-LengthHeader,"C2:R",ROW()-LengthHeader,"C",NumFileColumns+2),FALSE))," ],["))))</f>
        <v>"2011-03-06 10:00:00", -5, 1100356, WCCPH, Automated, TRUE, Michael D Gentile, 7.6, 218, 2.354, 3.8839, 3/22/2011 9:15, -7 ],[</v>
      </c>
    </row>
    <row r="731" spans="4:4" x14ac:dyDescent="0.25">
      <c r="D731" s="27"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Values'!R",ROW()-LengthHeader,"C2:R",ROW()-LengthHeader,"C",NumFileColumns+2),FALSE))," ],["))))</f>
        <v>"2011-03-06 13:00:00", -5, 1100357, WCCPH, Automated, TRUE, Michael D Gentile, 7.38, 212, 3.019, 3.6582, 3/24/2011 0:28, -7 ],[</v>
      </c>
    </row>
    <row r="732" spans="4:4" x14ac:dyDescent="0.25">
      <c r="D732" s="27"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Values'!R",ROW()-LengthHeader,"C2:R",ROW()-LengthHeader,"C",NumFileColumns+2),FALSE))," ],["))))</f>
        <v>"2011-03-06 17:30:00", -5, 1100358, WCCPH, Automated, TRUE, Michael D Gentile, 7.39, 168.3, 6.088, 2.7576, 3/21/2011 23:49, -7 ],[</v>
      </c>
    </row>
    <row r="733" spans="4:4" x14ac:dyDescent="0.25">
      <c r="D733" s="27"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Values'!R",ROW()-LengthHeader,"C2:R",ROW()-LengthHeader,"C",NumFileColumns+2),FALSE))," ],["))))</f>
        <v>"2011-03-06 19:00:00", -5, 1100359, WCCPH, Automated, TRUE, Michael D Gentile, 7.31, 129.8, 8.408, 1.9297, 3/13/2011 21:12, -7 ],[</v>
      </c>
    </row>
    <row r="734" spans="4:4" x14ac:dyDescent="0.25">
      <c r="D734" s="27"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Values'!R",ROW()-LengthHeader,"C2:R",ROW()-LengthHeader,"C",NumFileColumns+2),FALSE))," ],["))))</f>
        <v>"2011-03-06 20:30:00", -5, 1100360, WCCPH, Automated, TRUE, Michael D Gentile, 7.08, 105.5, 9.792, 1.9088, 3/21/2011 10:48, -7 ],[</v>
      </c>
    </row>
    <row r="735" spans="4:4" x14ac:dyDescent="0.25">
      <c r="D735" s="27"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Values'!R",ROW()-LengthHeader,"C2:R",ROW()-LengthHeader,"C",NumFileColumns+2),FALSE))," ],["))))</f>
        <v>"2011-03-06 22:00:00", -5, 1100361, WCCPH, Automated, TRUE, Michael D Gentile, 7.24, 96.3, 9.52, 0.9955, 3/24/2011 22:48, -7 ],[</v>
      </c>
    </row>
    <row r="736" spans="4:4" x14ac:dyDescent="0.25">
      <c r="D736" s="27"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Values'!R",ROW()-LengthHeader,"C2:R",ROW()-LengthHeader,"C",NumFileColumns+2),FALSE))," ],["))))</f>
        <v>"2011-03-06 23:30:00", -5, 1100362, WCCPH, Automated, TRUE, Michael D Gentile, 7.22, 97.6, 9.336, 1.0399, 3/16/2011 16:38, -7 ],[</v>
      </c>
    </row>
    <row r="737" spans="4:4" x14ac:dyDescent="0.25">
      <c r="D737" s="27"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Values'!R",ROW()-LengthHeader,"C2:R",ROW()-LengthHeader,"C",NumFileColumns+2),FALSE))," ],["))))</f>
        <v>"2011-03-07 02:30:00", -5, 1100363, WCCPH, Automated, TRUE, Michael D Gentile, 7.25, 98.9, 8.952, 1.0529, 3/24/2011 18:49, -7 ],[</v>
      </c>
    </row>
    <row r="738" spans="4:4" x14ac:dyDescent="0.25">
      <c r="D738" s="27"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Values'!R",ROW()-LengthHeader,"C2:R",ROW()-LengthHeader,"C",NumFileColumns+2),FALSE))," ],["))))</f>
        <v>"2011-03-07 04:00:00", -4, 1100364, WCCPH, Automated, TRUE, Michael D Gentile, 7.02, 106.4, 8.496, 1.1631, 3/20/2011 11:52, -7 ],[</v>
      </c>
    </row>
    <row r="739" spans="4:4" x14ac:dyDescent="0.25">
      <c r="D739" s="27"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Values'!R",ROW()-LengthHeader,"C2:R",ROW()-LengthHeader,"C",NumFileColumns+2),FALSE))," ],["))))</f>
        <v>"2011-03-07 05:30:00", -5, 1100365, WCCPH, Automated, TRUE, Michael D Gentile, 7.28, 117.5, 7.896, 1.3868, 3/21/2011 10:56, -7 ],[</v>
      </c>
    </row>
    <row r="740" spans="4:4" x14ac:dyDescent="0.25">
      <c r="D740" s="27"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Values'!R",ROW()-LengthHeader,"C2:R",ROW()-LengthHeader,"C",NumFileColumns+2),FALSE))," ],["))))</f>
        <v>"2011-03-07 07:00:00", -5, 1100366, WCCPH, Automated, TRUE, Michael D Gentile, 7.34, 129.1, 7.576, 1.6222, 3/21/2011 22:34, -7 ],[</v>
      </c>
    </row>
    <row r="741" spans="4:4" x14ac:dyDescent="0.25">
      <c r="D741" s="27"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Values'!R",ROW()-LengthHeader,"C2:R",ROW()-LengthHeader,"C",NumFileColumns+2),FALSE))," ],["))))</f>
        <v>"2011-03-07 11:30:00", -5, 1100367, WCCPH, Automated, TRUE, Michael D Gentile, 7.43, 162.7, 5.704, 2.1259, 3/7/2011 13:55, -7 ],[</v>
      </c>
    </row>
    <row r="742" spans="4:4" x14ac:dyDescent="0.25">
      <c r="D742" s="27"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Values'!R",ROW()-LengthHeader,"C2:R",ROW()-LengthHeader,"C",NumFileColumns+2),FALSE))," ],["))))</f>
        <v>"2011-03-14 16:48:00", -4, 1100429, WLYATSPENCER, Grab, TRUE, Sara Geleskie Damiano, 6.73, 480, 6.6342, 3/30/2011 1:00, -7 ],[</v>
      </c>
    </row>
    <row r="743" spans="4:4" x14ac:dyDescent="0.25">
      <c r="D743" s="27"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Values'!R",ROW()-LengthHeader,"C2:R",ROW()-LengthHeader,"C",NumFileColumns+2),FALSE))," ],["))))</f>
        <v>"2011-03-14 17:11:00", -4, 1100430, WLYMOUTH, Grab, TRUE, Sara Geleskie Damiano, 7.14, 346, 9.3012, 3/22/2011 20:09, -7 ],[</v>
      </c>
    </row>
    <row r="744" spans="4:4" x14ac:dyDescent="0.25">
      <c r="D744" s="27"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Values'!R",ROW()-LengthHeader,"C2:R",ROW()-LengthHeader,"C",NumFileColumns+2),FALSE))," ],["))))</f>
        <v>"2011-04-06 15:04:00", -4, 1100553, STA2, Grab, TRUE, Sara Geleskie Damiano, 6.99, 202, 1.497, 1208.046491, 3.2324, 4/16/2011 17:55, -7 ],[</v>
      </c>
    </row>
    <row r="745" spans="4:4" x14ac:dyDescent="0.25">
      <c r="D745" s="27"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Values'!R",ROW()-LengthHeader,"C2:R",ROW()-LengthHeader,"C",NumFileColumns+2),FALSE))," ],["))))</f>
        <v>"2011-04-11 14:25:00", -4, 1100563, WLYATSPENCER, Grab, TRUE, Sara Geleskie Damiano, 6.92, 291, 2.7702, 4/17/2011 17:23, -7 ],[</v>
      </c>
    </row>
    <row r="746" spans="4:4" x14ac:dyDescent="0.25">
      <c r="D746" s="27"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Values'!R",ROW()-LengthHeader,"C2:R",ROW()-LengthHeader,"C",NumFileColumns+2),FALSE))," ],["))))</f>
        <v>"2011-04-11 16:21:00", -4, 1100564, WLYMOUTH, Grab, TRUE, Sara Geleskie Damiano, 7.48, 369, 8.9139, 4/12/2011 10:21, -7 ],[</v>
      </c>
    </row>
    <row r="747" spans="4:4" x14ac:dyDescent="0.25">
      <c r="D747" s="27"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Values'!R",ROW()-LengthHeader,"C2:R",ROW()-LengthHeader,"C",NumFileColumns+2),FALSE))," ],["))))</f>
        <v>"2011-04-13 00:00:00", -4, 1100585, WCCPH, Automated, TRUE, Michael D Gentile, 7.32, 150, 7.92, 1.5914, 4/28/2011 8:01, -7 ],[</v>
      </c>
    </row>
    <row r="748" spans="4:4" x14ac:dyDescent="0.25">
      <c r="D748" s="27"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Values'!R",ROW()-LengthHeader,"C2:R",ROW()-LengthHeader,"C",NumFileColumns+2),FALSE))," ],["))))</f>
        <v>"2011-04-13 01:00:00", -4, 1100586, WCCPH, Automated, TRUE, Michael D Gentile, 7.09, 144.6, 7.313, 1.4037, 4/21/2011 18:38, -7 ],[</v>
      </c>
    </row>
    <row r="749" spans="4:4" x14ac:dyDescent="0.25">
      <c r="D749" s="27"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Values'!R",ROW()-LengthHeader,"C2:R",ROW()-LengthHeader,"C",NumFileColumns+2),FALSE))," ],["))))</f>
        <v>"2011-04-13 02:00:00", -4, 1100587, WCCPH, Automated, TRUE, Michael D Gentile, 7.23, 128.7, 8.61, 1.15, 4/16/2011 22:54, -7 ],[</v>
      </c>
    </row>
    <row r="750" spans="4:4" x14ac:dyDescent="0.25">
      <c r="D750" s="27"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Values'!R",ROW()-LengthHeader,"C2:R",ROW()-LengthHeader,"C",NumFileColumns+2),FALSE))," ],["))))</f>
        <v>"2011-04-16 14:00:00", -4, 1100604, WCCPH, Automated, TRUE, Michael D Gentile, 7.81, 215, 2.54, 1073.61656, 3.0603, 5/6/2011 0:05, -7 ],[</v>
      </c>
    </row>
    <row r="751" spans="4:4" x14ac:dyDescent="0.25">
      <c r="D751" s="27"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Values'!R",ROW()-LengthHeader,"C2:R",ROW()-LengthHeader,"C",NumFileColumns+2),FALSE))," ],["))))</f>
        <v>"2011-04-16 17:00:00", -4, 1100605, WCCPH, Automated, TRUE, Michael D Gentile, 7.61, 145.5, 6.68, 784.6809348, 1.4239, 5/6/2011 14:29, -7 ],[</v>
      </c>
    </row>
    <row r="752" spans="4:4" x14ac:dyDescent="0.25">
      <c r="D752" s="27"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Values'!R",ROW()-LengthHeader,"C2:R",ROW()-LengthHeader,"C",NumFileColumns+2),FALSE))," ],["))))</f>
        <v>"2011-04-16 19:00:00", -4, 1100606, WCCPH, Automated, TRUE, Michael D Gentile, 7.39, 121.2, 7.88, 634.0302408, 0.9761, 4/20/2011 15:25, -7 ],[</v>
      </c>
    </row>
    <row r="753" spans="4:4" x14ac:dyDescent="0.25">
      <c r="D753" s="27"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Values'!R",ROW()-LengthHeader,"C2:R",ROW()-LengthHeader,"C",NumFileColumns+2),FALSE))," ],["))))</f>
        <v>"2011-04-16 20:00:00", -4, 1100607, WCCPH, Automated, TRUE, Michael D Gentile, 7.38, 107.1, 7.973, 564.2048987, 0.8714, 5/2/2011 6:51, -7 ],[</v>
      </c>
    </row>
    <row r="754" spans="4:4" x14ac:dyDescent="0.25">
      <c r="D754" s="27"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Values'!R",ROW()-LengthHeader,"C2:R",ROW()-LengthHeader,"C",NumFileColumns+2),FALSE))," ],["))))</f>
        <v>"2011-04-16 21:00:00", -4, 1100608, WCCPH, Automated, TRUE, Michael D Gentile, 7.38, 91.8, 8.347, 495.1921279, 0.6794, 4/30/2011 5:30, -7 ],[</v>
      </c>
    </row>
    <row r="755" spans="4:4" x14ac:dyDescent="0.25">
      <c r="D755" s="27"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Values'!R",ROW()-LengthHeader,"C2:R",ROW()-LengthHeader,"C",NumFileColumns+2),FALSE))," ],["))))</f>
        <v>"2011-04-16 22:00:00", -4, 1100609, WCCPH, Automated, TRUE, Michael D Gentile, 7.47, 98.1, 8.04, 552.5075184, 0.8334, 4/19/2011 0:34, -7 ],[</v>
      </c>
    </row>
    <row r="756" spans="4:4" x14ac:dyDescent="0.25">
      <c r="D756" s="27"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Values'!R",ROW()-LengthHeader,"C2:R",ROW()-LengthHeader,"C",NumFileColumns+2),FALSE))," ],["))))</f>
        <v>"2011-04-17 01:00:00", -4, 1100610, WCCPH, Automated, TRUE, Michael D Gentile, 7.52, 106.8, 8.333, 621.7713318, 0.9403, 4/21/2011 9:29, -7 ],[</v>
      </c>
    </row>
    <row r="757" spans="4:4" x14ac:dyDescent="0.25">
      <c r="D757" s="27"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Values'!R",ROW()-LengthHeader,"C2:R",ROW()-LengthHeader,"C",NumFileColumns+2),FALSE))," ],["))))</f>
        <v>"2011-04-17 05:00:00", -4, 1100611, WCCPH, Automated, TRUE, Michael D Gentile, 7.66, 137.7, 7.147, 763.095916, 1.471, 4/17/2011 7:51, -7 ],[</v>
      </c>
    </row>
    <row r="758" spans="4:4" x14ac:dyDescent="0.25">
      <c r="D758" s="27"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Values'!R",ROW()-LengthHeader,"C2:R",ROW()-LengthHeader,"C",NumFileColumns+2),FALSE))," ],["))))</f>
        <v>"2011-04-17 09:00:00", -4, 1100612, WCCPH, Automated, TRUE, Michael D Gentile, 7.75, 163.4, 5.32, 876.8804881, 1.9767, 4/30/2011 1:34, -7 ],[</v>
      </c>
    </row>
    <row r="759" spans="4:4" x14ac:dyDescent="0.25">
      <c r="D759" s="27"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Values'!R",ROW()-LengthHeader,"C2:R",ROW()-LengthHeader,"C",NumFileColumns+2),FALSE))," ],["))))</f>
        <v>"2011-04-17 13:00:00", -4, 1100613, WCCPH, Automated, TRUE, Michael D Gentile, 7.79, 180.7, 4.08, 944.6625475, 2.3449, 5/3/2011 5:16, -7 ],[</v>
      </c>
    </row>
    <row r="760" spans="4:4" x14ac:dyDescent="0.25">
      <c r="D760" s="27"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Values'!R",ROW()-LengthHeader,"C2:R",ROW()-LengthHeader,"C",NumFileColumns+2),FALSE))," ],["))))</f>
        <v>"2011-05-04 15:20:00", -4, 1100741, STA2, Grab, TRUE, Sara Geleskie Damiano, 6.56, 172.15, 6.028, 1095.494036, 2.0329, 5/22/2011 15:29, -7 ],[</v>
      </c>
    </row>
    <row r="761" spans="4:4" x14ac:dyDescent="0.25">
      <c r="D761" s="27"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Values'!R",ROW()-LengthHeader,"C2:R",ROW()-LengthHeader,"C",NumFileColumns+2),FALSE))," ],["))))</f>
        <v>"2011-06-01 14:03:00", -4, 1101233, STA2, Grab, TRUE, Sara Geleskie Damiano, 6.62, 225, 1.736, 1322.034792, 3.6877, 6/12/2011 18:42, -7 ],[</v>
      </c>
    </row>
    <row r="762" spans="4:4" x14ac:dyDescent="0.25">
      <c r="D762" s="27"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Values'!R",ROW()-LengthHeader,"C2:R",ROW()-LengthHeader,"C",NumFileColumns+2),FALSE))," ],["))))</f>
        <v>"2011-06-13 17:07:00", -4, 1101468, WLYMOUTH, Grab, TRUE, Sara Geleskie Damiano, 7.34, 406, 10.9327, 6/30/2011 23:15, -7 ],[</v>
      </c>
    </row>
    <row r="763" spans="4:4" x14ac:dyDescent="0.25">
      <c r="D763" s="27"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Values'!R",ROW()-LengthHeader,"C2:R",ROW()-LengthHeader,"C",NumFileColumns+2),FALSE))," ],["))))</f>
        <v>"2011-06-24 12:45:00", -4, 1101579, WCCPH, Automated, TRUE, J Denis Newbold, 7.29, 200.75, 5.703, 977.139724, 3.6281, 6/28/2011 8:33, -7 ],[</v>
      </c>
    </row>
    <row r="764" spans="4:4" x14ac:dyDescent="0.25">
      <c r="D764" s="27"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Values'!R",ROW()-LengthHeader,"C2:R",ROW()-LengthHeader,"C",NumFileColumns+2),FALSE))," ],["))))</f>
        <v>"2011-06-24 13:36:00", -4, 1101580, WCCPH, Grab, TRUE, J Denis Newbold, 7.11, 205, 5.746, 1035.325953, 3.629, 7/7/2011 16:18, -7 ],[</v>
      </c>
    </row>
    <row r="765" spans="4:4" x14ac:dyDescent="0.25">
      <c r="D765" s="27"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Values'!R",ROW()-LengthHeader,"C2:R",ROW()-LengthHeader,"C",NumFileColumns+2),FALSE))," ],["))))</f>
        <v>"2011-06-24 14:06:00", -4, 1101581, WCCPH, Automated, TRUE, Sara Geleskie Damiano, 7.45, 212, 6/25/2011 15:04, -7 ],[</v>
      </c>
    </row>
    <row r="766" spans="4:4" x14ac:dyDescent="0.25">
      <c r="D766" s="27"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Values'!R",ROW()-LengthHeader,"C2:R",ROW()-LengthHeader,"C",NumFileColumns+2),FALSE))," ],["))))</f>
        <v>"2011-06-24 14:36:00", -4, 1101582, WCCPH, Automated, TRUE, Sara Geleskie Damiano, 7.45, 208, 7/4/2011 13:53, -7 ],[</v>
      </c>
    </row>
    <row r="767" spans="4:4" x14ac:dyDescent="0.25">
      <c r="D767" s="27"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Values'!R",ROW()-LengthHeader,"C2:R",ROW()-LengthHeader,"C",NumFileColumns+2),FALSE))," ],["))))</f>
        <v>"2011-06-24 15:06:00", -4, 1101583, WCCPH, Automated, TRUE, Sara Geleskie Damiano, 7.47, 211, 6/30/2011 16:08, -7 ],[</v>
      </c>
    </row>
    <row r="768" spans="4:4" x14ac:dyDescent="0.25">
      <c r="D768" s="27"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Values'!R",ROW()-LengthHeader,"C2:R",ROW()-LengthHeader,"C",NumFileColumns+2),FALSE))," ],["))))</f>
        <v>"2011-06-24 15:36:00", -4, 1101584, WCCPH, Automated, TRUE, Sara Geleskie Damiano, 7.44, 212, 4.844, 1074.04729, 3.3656, 6/25/2011 12:08, -7 ],[</v>
      </c>
    </row>
    <row r="769" spans="4:4" x14ac:dyDescent="0.25">
      <c r="D769" s="27"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Values'!R",ROW()-LengthHeader,"C2:R",ROW()-LengthHeader,"C",NumFileColumns+2),FALSE))," ],["))))</f>
        <v>"2011-06-24 16:06:00", -4, 1101585, WCCPH, Automated, TRUE, Sara Geleskie Damiano, 7.47, 217, 6/26/2011 2:49, -7 ],[</v>
      </c>
    </row>
    <row r="770" spans="4:4" x14ac:dyDescent="0.25">
      <c r="D770" s="27"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Values'!R",ROW()-LengthHeader,"C2:R",ROW()-LengthHeader,"C",NumFileColumns+2),FALSE))," ],["))))</f>
        <v>"2011-06-24 16:36:00", -4, 1101586, WCCPH, Automated, TRUE, Sara Geleskie Damiano, 7.49, 219, 7/12/2011 21:41, -7 ],[</v>
      </c>
    </row>
    <row r="771" spans="4:4" x14ac:dyDescent="0.25">
      <c r="D771" s="27"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Values'!R",ROW()-LengthHeader,"C2:R",ROW()-LengthHeader,"C",NumFileColumns+2),FALSE))," ],["))))</f>
        <v>"2011-06-24 17:06:00", -4, 1101587, WCCPH, Automated, TRUE, Sara Geleskie Damiano, 7.47, 221, 6/26/2011 4:56, -7 ],[</v>
      </c>
    </row>
    <row r="772" spans="4:4" x14ac:dyDescent="0.25">
      <c r="D772" s="27"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Values'!R",ROW()-LengthHeader,"C2:R",ROW()-LengthHeader,"C",NumFileColumns+2),FALSE))," ],["))))</f>
        <v>"2011-06-24 17:30:00", -4, 1101589, WCCPH, Automated, TRUE, Sara Geleskie Damiano, 7.72, 223, 7/9/2011 7:51, -7 ],[</v>
      </c>
    </row>
    <row r="773" spans="4:4" x14ac:dyDescent="0.25">
      <c r="D773" s="27"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Values'!R",ROW()-LengthHeader,"C2:R",ROW()-LengthHeader,"C",NumFileColumns+2),FALSE))," ],["))))</f>
        <v>"2011-06-24 19:00:00", -4, 1101590, WCCPH, Automated, TRUE, Sara Geleskie Damiano, 7.66, 226, 7/13/2011 13:25, -7 ],[</v>
      </c>
    </row>
    <row r="774" spans="4:4" x14ac:dyDescent="0.25">
      <c r="D774" s="27"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Values'!R",ROW()-LengthHeader,"C2:R",ROW()-LengthHeader,"C",NumFileColumns+2),FALSE))," ],["))))</f>
        <v>"2011-06-24 20:30:00", -4, 1101591, WCCPH, Automated, TRUE, Sara Geleskie Damiano, 7.65, 225, 7/3/2011 8:39, -7 ],[</v>
      </c>
    </row>
    <row r="775" spans="4:4" x14ac:dyDescent="0.25">
      <c r="D775" s="27"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Values'!R",ROW()-LengthHeader,"C2:R",ROW()-LengthHeader,"C",NumFileColumns+2),FALSE))," ],["))))</f>
        <v>"2011-06-24 22:00:00", -4, 1101592, WCCPH, Automated, TRUE, Sara Geleskie Damiano, 7.65, 220, 4.574, 1127.968352, 3.4697, 6/26/2011 10:54, -7 ],[</v>
      </c>
    </row>
    <row r="776" spans="4:4" x14ac:dyDescent="0.25">
      <c r="D776" s="27"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Values'!R",ROW()-LengthHeader,"C2:R",ROW()-LengthHeader,"C",NumFileColumns+2),FALSE))," ],["))))</f>
        <v>"2011-06-24 23:30:00", -4, 1101593, WCCPH, Automated, TRUE, Sara Geleskie Damiano, 7.67, 226, 7/8/2011 2:39, -7 ],[</v>
      </c>
    </row>
    <row r="777" spans="4:4" x14ac:dyDescent="0.25">
      <c r="D777" s="27"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Values'!R",ROW()-LengthHeader,"C2:R",ROW()-LengthHeader,"C",NumFileColumns+2),FALSE))," ],["))))</f>
        <v>"2011-06-25 01:00:00", -4, 1101594, WCCPH, Automated, TRUE, Sara Geleskie Damiano, 7.7, 229, 7/7/2011 7:37, -7 ],[</v>
      </c>
    </row>
    <row r="778" spans="4:4" x14ac:dyDescent="0.25">
      <c r="D778" s="27"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Values'!R",ROW()-LengthHeader,"C2:R",ROW()-LengthHeader,"C",NumFileColumns+2),FALSE))," ],["))))</f>
        <v>"2011-06-25 02:30:00", -4, 1101595, WCCPH, Automated, TRUE, Sara Geleskie Damiano, 7.68, 230, 6/27/2011 20:07, -7 ],[</v>
      </c>
    </row>
    <row r="779" spans="4:4" x14ac:dyDescent="0.25">
      <c r="D779" s="27"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Values'!R",ROW()-LengthHeader,"C2:R",ROW()-LengthHeader,"C",NumFileColumns+2),FALSE))," ],["))))</f>
        <v>"2011-06-25 04:00:00", -4, 1101596, WCCPH, Automated, TRUE, Sara Geleskie Damiano, 7.71, 231, 6/30/2011 13:15, -7 ],[</v>
      </c>
    </row>
    <row r="780" spans="4:4" x14ac:dyDescent="0.25">
      <c r="D780" s="27"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Values'!R",ROW()-LengthHeader,"C2:R",ROW()-LengthHeader,"C",NumFileColumns+2),FALSE))," ],["))))</f>
        <v>"2011-06-25 05:30:00", -4, 1101597, WCCPH, Automated, TRUE, Sara Geleskie Damiano, 7.5, 234, 6/28/2011 17:01, -7 ],[</v>
      </c>
    </row>
    <row r="781" spans="4:4" x14ac:dyDescent="0.25">
      <c r="D781" s="27"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Values'!R",ROW()-LengthHeader,"C2:R",ROW()-LengthHeader,"C",NumFileColumns+2),FALSE))," ],["))))</f>
        <v>"2011-06-25 07:00:00", -4, 1101598, WCCPH, Automated, TRUE, Sara Geleskie Damiano, 7.7, 233, 7/6/2011 2:20, -7 ],[</v>
      </c>
    </row>
    <row r="782" spans="4:4" x14ac:dyDescent="0.25">
      <c r="D782" s="27"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Values'!R",ROW()-LengthHeader,"C2:R",ROW()-LengthHeader,"C",NumFileColumns+2),FALSE))," ],["))))</f>
        <v>"2011-06-25 08:30:00", -4, 1101599, WCCPH, Automated, TRUE, Sara Geleskie Damiano, 7.71, 233, 7/8/2011 3:22, -7 ],[</v>
      </c>
    </row>
    <row r="783" spans="4:4" x14ac:dyDescent="0.25">
      <c r="D783" s="27"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Values'!R",ROW()-LengthHeader,"C2:R",ROW()-LengthHeader,"C",NumFileColumns+2),FALSE))," ],["))))</f>
        <v>"2011-06-25 10:00:00", -4, 1101600, WCCPH, Automated, TRUE, Sara Geleskie Damiano, 7.61, 231, 7/6/2011 21:04, -7 ],[</v>
      </c>
    </row>
    <row r="784" spans="4:4" x14ac:dyDescent="0.25">
      <c r="D784" s="27"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Values'!R",ROW()-LengthHeader,"C2:R",ROW()-LengthHeader,"C",NumFileColumns+2),FALSE))," ],["))))</f>
        <v>"2011-07-07 17:21:00", -4, 1101773, STA2, Grab, TRUE, Sara Geleskie Damiano, 6.19, 228.5, 1.43, 1357.882645, 3.6748, 7/12/2011 5:24, -7 ],[</v>
      </c>
    </row>
    <row r="785" spans="4:4" x14ac:dyDescent="0.25">
      <c r="D785" s="27"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Values'!R",ROW()-LengthHeader,"C2:R",ROW()-LengthHeader,"C",NumFileColumns+2),FALSE))," ],["))))</f>
        <v>"2011-08-03 10:27:00", -4, 1102196, WCD478, Grab, TRUE, Sara Geleskie Damiano, 6.75, 236.5, 1.58, 1344.553305, 3.6771, 8/3/2011 10:37, -7 ],[</v>
      </c>
    </row>
    <row r="786" spans="4:4" x14ac:dyDescent="0.25">
      <c r="D786" s="27"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Values'!R",ROW()-LengthHeader,"C2:R",ROW()-LengthHeader,"C",NumFileColumns+2),FALSE))," ],["))))</f>
        <v>"2011-08-03 11:00:00", -4, 1102197, WCCLAB, Grab, TRUE, Sara Geleskie Damiano, 7.23, 227.5, 1.446, 1235.967273, 3.9413, 8/11/2011 14:31, -7 ],[</v>
      </c>
    </row>
    <row r="787" spans="4:4" x14ac:dyDescent="0.25">
      <c r="D787" s="27"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Values'!R",ROW()-LengthHeader,"C2:R",ROW()-LengthHeader,"C",NumFileColumns+2),FALSE))," ],["))))</f>
        <v>"2011-08-03 12:37:00", -4, 1102198, STA2, Grab, TRUE, Sara Geleskie Damiano, 7.28, 227.5, 1.342, 1350.323926, 3.7028, 8/20/2011 19:37, -7 ],[</v>
      </c>
    </row>
    <row r="788" spans="4:4" x14ac:dyDescent="0.25">
      <c r="D788" s="27"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Values'!R",ROW()-LengthHeader,"C2:R",ROW()-LengthHeader,"C",NumFileColumns+2),FALSE))," ],["))))</f>
        <v>"2011-09-14 13:37:00", -4, 1103088, WCD478, Grab, TRUE, Sara Geleskie Damiano, 6.98, 251, 1.88, 1265.243235, 3.8039, 9/26/2011 23:25, -7 ],[</v>
      </c>
    </row>
    <row r="789" spans="4:4" x14ac:dyDescent="0.25">
      <c r="D789" s="27"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Values'!R",ROW()-LengthHeader,"C2:R",ROW()-LengthHeader,"C",NumFileColumns+2),FALSE))," ],["))))</f>
        <v>"2011-09-14 14:31:00", -4, 1103090, STA2, Grab, TRUE, Sara Geleskie Damiano, 6.92, 240, 1.838, 1256.912717, 3.5762, 10/1/2011 7:09, -7 ],[</v>
      </c>
    </row>
    <row r="790" spans="4:4" x14ac:dyDescent="0.25">
      <c r="D790" s="27"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Values'!R",ROW()-LengthHeader,"C2:R",ROW()-LengthHeader,"C",NumFileColumns+2),FALSE))," ],["))))</f>
        <v>"2011-09-14 15:30:00", -4, 1103089, WCCLAB, Grab, TRUE, Sara Geleskie Damiano, 6.89, 250, 1.892, 1128.35035, 3.807, 9/16/2011 1:00, -7 ],[</v>
      </c>
    </row>
    <row r="791" spans="4:4" x14ac:dyDescent="0.25">
      <c r="D791" s="27"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Values'!R",ROW()-LengthHeader,"C2:R",ROW()-LengthHeader,"C",NumFileColumns+2),FALSE))," ],["))))</f>
        <v>"2011-10-05 10:47:00", -4, 1103341, WCD478, Grab, TRUE, Sara Geleskie Damiano, 7.708, 226, 1.714, 1291.301309, 3.7261, 10/10/2011 6:06, -7 ],[</v>
      </c>
    </row>
    <row r="792" spans="4:4" x14ac:dyDescent="0.25">
      <c r="D792" s="27"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Values'!R",ROW()-LengthHeader,"C2:R",ROW()-LengthHeader,"C",NumFileColumns+2),FALSE))," ],["))))</f>
        <v>"2011-10-05 11:48:00", -4, 1103343, STA2, Grab, TRUE, Sara Geleskie Damiano, 7.62, 218.5, 1.712, 1288.421588, 3.5302, 10/24/2011 22:51, -7 ],[</v>
      </c>
    </row>
    <row r="793" spans="4:4" x14ac:dyDescent="0.25">
      <c r="D793" s="27"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Values'!R",ROW()-LengthHeader,"C2:R",ROW()-LengthHeader,"C",NumFileColumns+2),FALSE))," ],["))))</f>
        <v>"2011-10-05 16:24:00", -4, 1103342, WCCLAB, Grab, TRUE, J Denis Newbold, 7.63, 220, 1.77, 1231.934299, 3.7629, 10/10/2011 17:03, -7 ],[</v>
      </c>
    </row>
    <row r="794" spans="4:4" x14ac:dyDescent="0.25">
      <c r="D794" s="27"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Values'!R",ROW()-LengthHeader,"C2:R",ROW()-LengthHeader,"C",NumFileColumns+2),FALSE))," ],["))))</f>
        <v>"2011-10-11 18:44:00", -4, 1103386, WLYATSPENCER, Grab, TRUE, Sara Geleskie Damiano, 6.976, 293, 1.4884, 10/30/2011 22:15, -7 ],[</v>
      </c>
    </row>
    <row r="795" spans="4:4" x14ac:dyDescent="0.25">
      <c r="D795" s="27"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Values'!R",ROW()-LengthHeader,"C2:R",ROW()-LengthHeader,"C",NumFileColumns+2),FALSE))," ],["))))</f>
        <v>"2011-10-11 19:11:00", -4, 1103387, WLYMOUTH, Grab, TRUE, Sara Geleskie Damiano, 7.458, 356, 9.7346, 10/28/2011 5:42, -7 ],[</v>
      </c>
    </row>
    <row r="796" spans="4:4" x14ac:dyDescent="0.25">
      <c r="D796" s="27"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Values'!R",ROW()-LengthHeader,"C2:R",ROW()-LengthHeader,"C",NumFileColumns+2),FALSE))," ],["))))</f>
        <v>"2011-11-02 12:17:00", -4, 1103685, WCD478, Grab, TRUE, Sara Geleskie Damiano, 7.694, 190.1, 1.808, 1267.870137, 3.7192, 11/15/2011 0:16, -7 ],[</v>
      </c>
    </row>
    <row r="797" spans="4:4" x14ac:dyDescent="0.25">
      <c r="D797" s="27"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Values'!R",ROW()-LengthHeader,"C2:R",ROW()-LengthHeader,"C",NumFileColumns+2),FALSE))," ],["))))</f>
        <v>"2011-11-02 13:27:00", -4, 1103687, STA2, Grab, TRUE, Sara Geleskie Damiano, 7.675, 199.3, 1.781, 3.5465, 11/11/2011 15:54, -7 ],[</v>
      </c>
    </row>
    <row r="798" spans="4:4" x14ac:dyDescent="0.25">
      <c r="D798" s="27"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Values'!R",ROW()-LengthHeader,"C2:R",ROW()-LengthHeader,"C",NumFileColumns+2),FALSE))," ],["))))</f>
        <v>"2011-11-02 14:11:00", -4, 1103686, WCCLAB, Grab, TRUE, Sara Geleskie Damiano, 7.711, 199.1, 1.857, 1193.079986, 3.7437, 11/17/2011 18:04, -7 ],[</v>
      </c>
    </row>
    <row r="799" spans="4:4" x14ac:dyDescent="0.25">
      <c r="D799" s="27"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Values'!R",ROW()-LengthHeader,"C2:R",ROW()-LengthHeader,"C",NumFileColumns+2),FALSE))," ],["))))</f>
        <v>"2011-11-22 12:00:00", -5, 1104011, WCCPH, Automated, TRUE, Sara Geleskie Damiano, 7.567, 202, 2.812, 958.1705012, 3.5222, 12/6/2011 3:41, -7 ],[</v>
      </c>
    </row>
    <row r="800" spans="4:4" x14ac:dyDescent="0.25">
      <c r="D800" s="27"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Values'!R",ROW()-LengthHeader,"C2:R",ROW()-LengthHeader,"C",NumFileColumns+2),FALSE))," ],["))))</f>
        <v>"2011-11-22 18:00:00", -5, 1104012, WCCPH, Automated, TRUE, Sara Geleskie Damiano, 7.44, 181.7, 6.014, 884.3030977, 2.3818, 12/1/2011 23:46, -7 ],[</v>
      </c>
    </row>
    <row r="801" spans="4:4" x14ac:dyDescent="0.25">
      <c r="D801" s="27"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Values'!R",ROW()-LengthHeader,"C2:R",ROW()-LengthHeader,"C",NumFileColumns+2),FALSE))," ],["))))</f>
        <v>"2011-11-22 20:00:00", -5, 1104013, WCCPH, Automated, TRUE, Sara Geleskie Damiano, 7.275, 140.6, 9.306, 824.3210082, 1.5264, 12/10/2011 12:58, -7 ],[</v>
      </c>
    </row>
    <row r="802" spans="4:4" x14ac:dyDescent="0.25">
      <c r="D802" s="27"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Values'!R",ROW()-LengthHeader,"C2:R",ROW()-LengthHeader,"C",NumFileColumns+2),FALSE))," ],["))))</f>
        <v>"2011-11-22 22:00:00", -5, 1104014, WCCPH, Automated, TRUE, Sara Geleskie Damiano, 7.189, 106.2, 10.924, 625.9038129, 1.0838, 11/24/2011 0:16, -7 ],[</v>
      </c>
    </row>
    <row r="803" spans="4:4" x14ac:dyDescent="0.25">
      <c r="D803" s="27"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Values'!R",ROW()-LengthHeader,"C2:R",ROW()-LengthHeader,"C",NumFileColumns+2),FALSE))," ],["))))</f>
        <v>"2011-11-23 04:00:00", -5, 1104015, WCCPH, Automated, TRUE, Sara Geleskie Damiano, 7.178, 106.4, 9.332, 632.7262113, 1.2443, 11/27/2011 7:57, -7 ],[</v>
      </c>
    </row>
    <row r="804" spans="4:4" x14ac:dyDescent="0.25">
      <c r="D804" s="27"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Values'!R",ROW()-LengthHeader,"C2:R",ROW()-LengthHeader,"C",NumFileColumns+2),FALSE))," ],["))))</f>
        <v>"2011-11-23 05:00:00", -5, 1104016, WCCPH, Automated, TRUE, Sara Geleskie Damiano, 7.051, 85.8, 9.42, 502.6257961, 0.9683, 12/10/2011 8:59, -7 ],[</v>
      </c>
    </row>
    <row r="805" spans="4:4" x14ac:dyDescent="0.25">
      <c r="D805" s="27"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Values'!R",ROW()-LengthHeader,"C2:R",ROW()-LengthHeader,"C",NumFileColumns+2),FALSE))," ],["))))</f>
        <v>"2011-11-23 06:00:00", -5, 1104017, WCCPH, Automated, TRUE, Sara Geleskie Damiano, 7.064, 70.8, 9.672, 449.2878742, 0.7692, 12/3/2011 1:41, -7 ],[</v>
      </c>
    </row>
    <row r="806" spans="4:4" x14ac:dyDescent="0.25">
      <c r="D806" s="27"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Values'!R",ROW()-LengthHeader,"C2:R",ROW()-LengthHeader,"C",NumFileColumns+2),FALSE))," ],["))))</f>
        <v>"2011-11-23 07:00:00", -5, 1104018, WCCPH, Automated, TRUE, Sara Geleskie Damiano, 7.105, 76.5, 10.052, 475.5877575, 0.7991, 12/8/2011 16:10, -7 ],[</v>
      </c>
    </row>
    <row r="807" spans="4:4" x14ac:dyDescent="0.25">
      <c r="D807" s="27"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Values'!R",ROW()-LengthHeader,"C2:R",ROW()-LengthHeader,"C",NumFileColumns+2),FALSE))," ],["))))</f>
        <v>"2011-11-23 11:00:00", -5, 1104019, WCCPH, Automated, TRUE, Sara Geleskie Damiano, 7.19, 111.7, 8.532, 698.1123458, 1.5231, 12/7/2011 23:59, -7 ],[</v>
      </c>
    </row>
    <row r="808" spans="4:4" x14ac:dyDescent="0.25">
      <c r="D808" s="27"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Values'!R",ROW()-LengthHeader,"C2:R",ROW()-LengthHeader,"C",NumFileColumns+2),FALSE))," ],["))))</f>
        <v>"2011-11-23 15:00:00", -5, 1104020, WCCPH, Automated, TRUE, Sara Geleskie Damiano, 7.315, 130, 8.088, 809.6893027, 1.6701, 12/11/2011 11:19, -7 ],[</v>
      </c>
    </row>
    <row r="809" spans="4:4" x14ac:dyDescent="0.25">
      <c r="D809" s="27"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Values'!R",ROW()-LengthHeader,"C2:R",ROW()-LengthHeader,"C",NumFileColumns+2),FALSE))," ],["))))</f>
        <v>"2011-12-14 11:59:00", -5, 1104171, STA2, Grab, TRUE, Sara Geleskie Damiano, 7.46, 184.5, 1.294, 1199.483215, 3.7983, 1/2/2012 16:45, -7 ],[</v>
      </c>
    </row>
    <row r="810" spans="4:4" x14ac:dyDescent="0.25">
      <c r="D810" s="27"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Values'!R",ROW()-LengthHeader,"C2:R",ROW()-LengthHeader,"C",NumFileColumns+2),FALSE))," ],["))))</f>
        <v>"2011-12-14 12:32:00", -5, 1104169, WCD478, Grab, TRUE, Sara Geleskie Damiano, 7.501, 184.7, 1.216, 1186.81862, 4.109, 1/2/2012 23:11, -7 ],[</v>
      </c>
    </row>
    <row r="811" spans="4:4" x14ac:dyDescent="0.25">
      <c r="D811" s="27"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Values'!R",ROW()-LengthHeader,"C2:R",ROW()-LengthHeader,"C",NumFileColumns+2),FALSE))," ],["))))</f>
        <v>"2011-12-14 12:50:00", -5, 1104170, WCCLAB, Grab, TRUE, Sara Geleskie Damiano, 7.452, 189.8, 1.294, 1117.783055, 4.025, 12/23/2011 12:43, -7 ],[</v>
      </c>
    </row>
    <row r="812" spans="4:4" x14ac:dyDescent="0.25">
      <c r="D812" s="27"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Values'!R",ROW()-LengthHeader,"C2:R",ROW()-LengthHeader,"C",NumFileColumns+2),FALSE))," ],["))))</f>
        <v>"2012-01-04 13:36:00", -5, 1200024, STA2, Grab, TRUE, Sara Geleskie Damiano, 7.473, 192.1, 0.802, 1189.75084, 4.1292, 1/6/2012 11:23, -7 ],[</v>
      </c>
    </row>
    <row r="813" spans="4:4" x14ac:dyDescent="0.25">
      <c r="D813" s="27"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Values'!R",ROW()-LengthHeader,"C2:R",ROW()-LengthHeader,"C",NumFileColumns+2),FALSE))," ],["))))</f>
        <v>"2012-01-04 14:18:00", -5, 1200023, WCCLAB, Grab, TRUE, Sara Geleskie Damiano, 7.268, 194.6, 0.798, 1112.500548, 4.4061, 1/9/2012 9:29, -7 ],[</v>
      </c>
    </row>
    <row r="814" spans="4:4" x14ac:dyDescent="0.25">
      <c r="D814" s="27"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Values'!R",ROW()-LengthHeader,"C2:R",ROW()-LengthHeader,"C",NumFileColumns+2),FALSE))," ],["))))</f>
        <v>"2012-01-04 14:43:00", -5, 1200022, WCD478, Grab, TRUE, Sara Geleskie Damiano, 7.459, 204, 0.782, 1178.485531, 3.6818, 1/11/2012 23:12, -7 ],[</v>
      </c>
    </row>
    <row r="815" spans="4:4" x14ac:dyDescent="0.25">
      <c r="D815" s="27"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Values'!R",ROW()-LengthHeader,"C2:R",ROW()-LengthHeader,"C",NumFileColumns+2),FALSE))," ],["))))</f>
        <v>"2012-01-11 19:00:00", -5, 1200045, BOULTON_PATH, Automated, TRUE, Diana L Karwan, 7.356, 153.4, 1.008, 501.3690704, 3.4653, 1/23/2012 10:59, -7 ],[</v>
      </c>
    </row>
    <row r="816" spans="4:4" x14ac:dyDescent="0.25">
      <c r="D816" s="27"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Values'!R",ROW()-LengthHeader,"C2:R",ROW()-LengthHeader,"C",NumFileColumns+2),FALSE))," ],["))))</f>
        <v>"2012-01-11 20:00:00", -5, 1200030, WCCPH, Automated, TRUE, Michael D Gentile, 7.605, 228, 1.144, 1059.032604, 4.0959, 1/28/2012 22:23, -7 ],[</v>
      </c>
    </row>
    <row r="817" spans="4:4" x14ac:dyDescent="0.25">
      <c r="D817" s="27"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Values'!R",ROW()-LengthHeader,"C2:R",ROW()-LengthHeader,"C",NumFileColumns+2),FALSE))," ],["))))</f>
        <v>"2012-01-12 00:00:00", -5, 1200046, BOULTON_PATH, Automated, TRUE, Diana L Karwan, 7.264, 132, 2.576, 390.2634418, 3.1014, 1/22/2012 2:52, -7 ],[</v>
      </c>
    </row>
    <row r="818" spans="4:4" x14ac:dyDescent="0.25">
      <c r="D818" s="27"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Values'!R",ROW()-LengthHeader,"C2:R",ROW()-LengthHeader,"C",NumFileColumns+2),FALSE))," ],["))))</f>
        <v>"2012-01-12 01:00:00", -5, 1200031, WCCPH, Automated, TRUE, Michael D Gentile, 7.493, 193.3, 2.411, 850.9793138, 3.4398, 1/18/2012 18:50, -7 ],[</v>
      </c>
    </row>
    <row r="819" spans="4:4" x14ac:dyDescent="0.25">
      <c r="D819" s="27"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Values'!R",ROW()-LengthHeader,"C2:R",ROW()-LengthHeader,"C",NumFileColumns+2),FALSE))," ],["))))</f>
        <v>"2012-01-12 03:00:00", -5, 1200032, WCCPH, Automated, TRUE, Michael D Gentile, 7.419, 166.4, 4.707, 771.7780808, 2.3197, 1/24/2012 4:14, -7 ],[</v>
      </c>
    </row>
    <row r="820" spans="4:4" x14ac:dyDescent="0.25">
      <c r="D820" s="27"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Values'!R",ROW()-LengthHeader,"C2:R",ROW()-LengthHeader,"C",NumFileColumns+2),FALSE))," ],["))))</f>
        <v>"2012-01-12 04:00:00", -5, 1200047, BOULTON_PATH, Automated, TRUE, Diana L Karwan, 6.945, 118.6, 3.288, 323.9633189, 3.2843, 1/27/2012 7:26, -7 ],[</v>
      </c>
    </row>
    <row r="821" spans="4:4" x14ac:dyDescent="0.25">
      <c r="D821" s="27"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Values'!R",ROW()-LengthHeader,"C2:R",ROW()-LengthHeader,"C",NumFileColumns+2),FALSE))," ],["))))</f>
        <v>"2012-01-12 05:00:00", -5, 1200033, WCCPH, Automated, TRUE, Michael D Gentile, 7.19, 131.1, 6.053, 634.3742899, 1.6394, 1/19/2012 7:25, -7 ],[</v>
      </c>
    </row>
    <row r="822" spans="4:4" x14ac:dyDescent="0.25">
      <c r="D822" s="27"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Values'!R",ROW()-LengthHeader,"C2:R",ROW()-LengthHeader,"C",NumFileColumns+2),FALSE))," ],["))))</f>
        <v>"2012-01-12 05:00:00", -5, 1200048, BOULTON_PATH, Automated, TRUE, Diana L Karwan, 6.941, 74.8, 3.375, 195.8759784, 2.1496, 1/12/2012 19:10, -7 ],[</v>
      </c>
    </row>
    <row r="823" spans="4:4" x14ac:dyDescent="0.25">
      <c r="D823" s="27"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Values'!R",ROW()-LengthHeader,"C2:R",ROW()-LengthHeader,"C",NumFileColumns+2),FALSE))," ],["))))</f>
        <v>"2012-01-12 06:00:00", -5, 1200034, WCCPH, Automated, TRUE, Michael D Gentile, 7.065, 86.3, 5.893, 416.6658325, 0.9234, 1/21/2012 5:54, -7 ],[</v>
      </c>
    </row>
    <row r="824" spans="4:4" x14ac:dyDescent="0.25">
      <c r="D824" s="27"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Values'!R",ROW()-LengthHeader,"C2:R",ROW()-LengthHeader,"C",NumFileColumns+2),FALSE))," ],["))))</f>
        <v>"2012-01-12 07:00:00", -5, 1200035, WCCPH, Automated, TRUE, Michael D Gentile, 7.069, 65.8, 6.44, 338.7387402, 0.6632, 1/13/2012 17:06, -7 ],[</v>
      </c>
    </row>
    <row r="825" spans="4:4" x14ac:dyDescent="0.25">
      <c r="D825" s="27"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Values'!R",ROW()-LengthHeader,"C2:R",ROW()-LengthHeader,"C",NumFileColumns+2),FALSE))," ],["))))</f>
        <v>"2012-01-12 08:00:00", -5, 1200036, WCCPH, Automated, TRUE, Michael D Gentile, 7.106, 70.8, 6.56, 394.5595921, 0.7129, 1/22/2012 16:38, -7 ],[</v>
      </c>
    </row>
    <row r="826" spans="4:4" x14ac:dyDescent="0.25">
      <c r="D826" s="27"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Values'!R",ROW()-LengthHeader,"C2:R",ROW()-LengthHeader,"C",NumFileColumns+2),FALSE))," ],["))))</f>
        <v>"2012-01-12 09:00:00", -5, 1200037, WCCPH, Automated, TRUE, Michael D Gentile, 7.179, 86.3, 6.493, 473.1762211, 0.9414, 1/14/2012 12:00, -7 ],[</v>
      </c>
    </row>
    <row r="827" spans="4:4" x14ac:dyDescent="0.25">
      <c r="D827" s="27"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Values'!R",ROW()-LengthHeader,"C2:R",ROW()-LengthHeader,"C",NumFileColumns+2),FALSE))," ],["))))</f>
        <v>"2012-01-12 10:00:00", -5, 1200049, BOULTON_PATH, Automated, TRUE, Diana L Karwan, 7.027, 80.1, 4.627, 202.5184964, 2.8592, 1/22/2012 1:35, -7 ],[</v>
      </c>
    </row>
    <row r="828" spans="4:4" x14ac:dyDescent="0.25">
      <c r="D828" s="27"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Values'!R",ROW()-LengthHeader,"C2:R",ROW()-LengthHeader,"C",NumFileColumns+2),FALSE))," ],["))))</f>
        <v>"2012-01-12 13:00:00", -5, 1200038, WCCPH, Automated, TRUE, Sara Geleskie Damiano, 7.388, 119.9, 5.187, 670.6142664, 1.7061, 1/19/2012 0:36, -7 ],[</v>
      </c>
    </row>
    <row r="829" spans="4:4" x14ac:dyDescent="0.25">
      <c r="D829" s="27"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Values'!R",ROW()-LengthHeader,"C2:R",ROW()-LengthHeader,"C",NumFileColumns+2),FALSE))," ],["))))</f>
        <v>"2012-01-12 14:00:00", -5, 1200050, BOULTON_PATH, Automated, TRUE, Diana L Karwan, 7.254, 84.6, 2.999, 241.3465531, 3.3077, 1/17/2012 6:24, -7 ],[</v>
      </c>
    </row>
    <row r="830" spans="4:4" x14ac:dyDescent="0.25">
      <c r="D830" s="27"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Values'!R",ROW()-LengthHeader,"C2:R",ROW()-LengthHeader,"C",NumFileColumns+2),FALSE))," ],["))))</f>
        <v>"2012-01-12 19:00:00", -5, 1200039, WCCPH, Automated, TRUE, Sara Geleskie Damiano, 7.448, 156.7, 3.439, 853.703363, 2.4734, 1/29/2012 15:49, -7 ],[</v>
      </c>
    </row>
    <row r="831" spans="4:4" x14ac:dyDescent="0.25">
      <c r="D831" s="27"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Values'!R",ROW()-LengthHeader,"C2:R",ROW()-LengthHeader,"C",NumFileColumns+2),FALSE))," ],["))))</f>
        <v>"2012-01-26 12:13:00", -5, 1200090, WLYATSPENCER, Grab, TRUE, Sara Geleskie Damiano, 6.844, 268, 1.97, 4.6278, 2/2/2012 19:45, -7 ],[</v>
      </c>
    </row>
    <row r="832" spans="4:4" x14ac:dyDescent="0.25">
      <c r="D832" s="27"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Values'!R",ROW()-LengthHeader,"C2:R",ROW()-LengthHeader,"C",NumFileColumns+2),FALSE))," ],["))))</f>
        <v>"2012-01-26 12:57:00", -5, 1200091, WLYMOUTH, Grab, TRUE, Sara Geleskie Damiano, 7.342, 321, 1.413, 9.2428, 1/30/2012 3:38, -7 ],[</v>
      </c>
    </row>
    <row r="833" spans="4:4" x14ac:dyDescent="0.25">
      <c r="D833" s="27"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Values'!R",ROW()-LengthHeader,"C2:R",ROW()-LengthHeader,"C",NumFileColumns+2),FALSE))," ],["))))</f>
        <v>"2012-02-01 12:57:00", -5, 1200138, STA2, Grab, TRUE, Sara Geleskie Damiano, 7.522, 178.8, 0.933, 1159.093252, 3.7629, 2/18/2012 5:54, -7 ],[</v>
      </c>
    </row>
    <row r="834" spans="4:4" x14ac:dyDescent="0.25">
      <c r="D834" s="27"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Values'!R",ROW()-LengthHeader,"C2:R",ROW()-LengthHeader,"C",NumFileColumns+2),FALSE))," ],["))))</f>
        <v>"2012-02-01 14:19:00", -5, 1200136, WCD478, Grab, TRUE, Sara Geleskie Damiano, 7.68, 181.2, 0.946, 1132.152979, 4.0262, 2/3/2012 22:39, -7 ],[</v>
      </c>
    </row>
    <row r="835" spans="4:4" x14ac:dyDescent="0.25">
      <c r="D835" s="27"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Values'!R",ROW()-LengthHeader,"C2:R",ROW()-LengthHeader,"C",NumFileColumns+2),FALSE))," ],["))))</f>
        <v>"2012-02-01 14:38:00", -5, 1200137, WCCLAB, Grab, TRUE, Sara Geleskie Damiano, 7.507, 183.6, 0.966, 1078.067419, 4.0162, 2/14/2012 23:27, -7 ],[</v>
      </c>
    </row>
    <row r="836" spans="4:4" x14ac:dyDescent="0.25">
      <c r="D836" s="27"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Values'!R",ROW()-LengthHeader,"C2:R",ROW()-LengthHeader,"C",NumFileColumns+2),FALSE))," ],["))))</f>
        <v>"2012-02-29 14:00:00", -5, 1200292, WCCPH, Automated, TRUE, Diana L Karwan, 7.475, 135.2, 4.483, 3/17/2012 14:52, -7 ],[</v>
      </c>
    </row>
    <row r="837" spans="4:4" x14ac:dyDescent="0.25">
      <c r="D837" s="27"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Values'!R",ROW()-LengthHeader,"C2:R",ROW()-LengthHeader,"C",NumFileColumns+2),FALSE))," ],["))))</f>
        <v>"2012-02-29 22:00:00", -5, 1200293, WCCPH, Automated, TRUE, Diana L Karwan, 7.311, 115.4, 5.423, 3/5/2012 10:05, -7 ],[</v>
      </c>
    </row>
    <row r="838" spans="4:4" x14ac:dyDescent="0.25">
      <c r="D838" s="27"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Values'!R",ROW()-LengthHeader,"C2:R",ROW()-LengthHeader,"C",NumFileColumns+2),FALSE))," ],["))))</f>
        <v>"2012-03-01 09:00:00", -5, 1200294, WCCPH, Automated, TRUE, Diana L Karwan, 7.448, 154.2, 3.083, 3/20/2012 16:28, -7 ],[</v>
      </c>
    </row>
    <row r="839" spans="4:4" x14ac:dyDescent="0.25">
      <c r="D839" s="27"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Values'!R",ROW()-LengthHeader,"C2:R",ROW()-LengthHeader,"C",NumFileColumns+2),FALSE))," ],["))))</f>
        <v>"2012-03-07 13:39:00", -5, 1200346, STA2, Grab, TRUE, Sara Geleskie Damiano, 7.582, 184.6, 1.047, 1198.798924, 3.7881, 3/12/2012 17:36, -7 ],[</v>
      </c>
    </row>
    <row r="840" spans="4:4" x14ac:dyDescent="0.25">
      <c r="D840" s="27"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Values'!R",ROW()-LengthHeader,"C2:R",ROW()-LengthHeader,"C",NumFileColumns+2),FALSE))," ],["))))</f>
        <v>"2012-03-07 15:30:00", -5, 1200345, WCCLAB, Grab, TRUE, Sara Geleskie Damiano, 7.54, 176.8, 1.15, 1128.434324, 4.0792, 3/18/2012 13:20, -7 ],[</v>
      </c>
    </row>
    <row r="841" spans="4:4" x14ac:dyDescent="0.25">
      <c r="D841" s="27"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Values'!R",ROW()-LengthHeader,"C2:R",ROW()-LengthHeader,"C",NumFileColumns+2),FALSE))," ],["))))</f>
        <v>"2012-03-07 15:47:00", -5, 1200344, WCD478, Grab, TRUE, Sara Geleskie Damiano, 7.543, 180.7, 1.093, 1182.589456, 4.0665, 3/9/2012 21:13, -7 ],[</v>
      </c>
    </row>
    <row r="842" spans="4:4" x14ac:dyDescent="0.25">
      <c r="D842" s="27"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Values'!R",ROW()-LengthHeader,"C2:R",ROW()-LengthHeader,"C",NumFileColumns+2),FALSE))," ],["))))</f>
        <v>"2012-04-04 15:52:00", -4, 1200517, STA2, Grab, TRUE, Sara Geleskie Damiano, 7.505, 184.8, 1.353, 1261.674928, 3.396, 4/10/2012 5:38, -7 ],[</v>
      </c>
    </row>
    <row r="843" spans="4:4" x14ac:dyDescent="0.25">
      <c r="D843" s="27"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Values'!R",ROW()-LengthHeader,"C2:R",ROW()-LengthHeader,"C",NumFileColumns+2),FALSE))," ],["))))</f>
        <v>"2012-04-04 16:40:00", -4, 1200516, WCCLAB, Grab, TRUE, Sara Geleskie Damiano, 7.705, 192.8, 1.31, 1186.18696, 3.7467, 4/13/2012 14:11, -7 ],[</v>
      </c>
    </row>
    <row r="844" spans="4:4" x14ac:dyDescent="0.25">
      <c r="D844" s="27"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Values'!R",ROW()-LengthHeader,"C2:R",ROW()-LengthHeader,"C",NumFileColumns+2),FALSE))," ],["))))</f>
        <v>"2012-04-04 17:05:00", -4, 1200515, WCD478, Grab, TRUE, Sara Geleskie Damiano, 7.79, 181.3, 1.31, 1252.236197, 3.7239, 4/18/2012 23:19, -7 ],[</v>
      </c>
    </row>
    <row r="845" spans="4:4" x14ac:dyDescent="0.25">
      <c r="D845" s="27"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Values'!R",ROW()-LengthHeader,"C2:R",ROW()-LengthHeader,"C",NumFileColumns+2),FALSE))," ],["))))</f>
        <v>"2012-04-10 17:59:00", -4, 1200529, WLYATSPENCER, Grab, TRUE, Sara Geleskie Damiano, 7.022, 379, 2.55, 3.5766, 4/24/2012 5:06, -7 ],[</v>
      </c>
    </row>
    <row r="846" spans="4:4" x14ac:dyDescent="0.25">
      <c r="D846" s="27"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Values'!R",ROW()-LengthHeader,"C2:R",ROW()-LengthHeader,"C",NumFileColumns+2),FALSE))," ],["))))</f>
        <v>"2012-04-10 18:21:00", -4, 1200530, WLYMOUTH, Grab, TRUE, Sara Geleskie Damiano, 7.585, 401, 1.327, 11.1021, 4/12/2012 21:33, -7 ],[</v>
      </c>
    </row>
    <row r="847" spans="4:4" x14ac:dyDescent="0.25">
      <c r="D847" s="27"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Values'!R",ROW()-LengthHeader,"C2:R",ROW()-LengthHeader,"C",NumFileColumns+2),FALSE))," ],["))))</f>
        <v>"2012-04-21 14:00:00", -4, 1200779, WCCPH, Automated, TRUE, Diana L Karwan, 7.632, 209, 2.664, 1259.376144, 3.4027, 5/7/2012 9:00, -7 ],[</v>
      </c>
    </row>
    <row r="848" spans="4:4" x14ac:dyDescent="0.25">
      <c r="D848" s="27"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Values'!R",ROW()-LengthHeader,"C2:R",ROW()-LengthHeader,"C",NumFileColumns+2),FALSE))," ],["))))</f>
        <v>"2012-04-22 11:00:00", -4, 1200780, WCCPH, Automated, TRUE, Diana L Karwan, 7.766, 211, 2.397, 1227.988686, 3.4157, 4/27/2012 23:51, -7 ],[</v>
      </c>
    </row>
    <row r="849" spans="4:4" x14ac:dyDescent="0.25">
      <c r="D849" s="27"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Values'!R",ROW()-LengthHeader,"C2:R",ROW()-LengthHeader,"C",NumFileColumns+2),FALSE))," ],["))))</f>
        <v>"2012-04-22 16:00:00", -4, 1200781, WCCPH, Automated, TRUE, Diana L Karwan, 7.614, 190.5, 3.632, 1129.308161, 2.7587, 5/8/2012 20:58, -7 ],[</v>
      </c>
    </row>
    <row r="850" spans="4:4" x14ac:dyDescent="0.25">
      <c r="D850" s="27"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Values'!R",ROW()-LengthHeader,"C2:R",ROW()-LengthHeader,"C",NumFileColumns+2),FALSE))," ],["))))</f>
        <v>"2012-04-22 20:00:00", -4, 1200782, WCCPH, Automated, TRUE, Diana L Karwan, 7.462, 148.3, 7.92, 834.0399702, 1.5793, 4/27/2012 15:38, -7 ],[</v>
      </c>
    </row>
    <row r="851" spans="4:4" x14ac:dyDescent="0.25">
      <c r="D851" s="27"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Values'!R",ROW()-LengthHeader,"C2:R",ROW()-LengthHeader,"C",NumFileColumns+2),FALSE))," ],["))))</f>
        <v>"2012-04-22 21:00:00", -4, 1200783, WCCPH, Automated, TRUE, Diana L Karwan, 7.335, 120.2, 9.24, 682.6668804, 1.1954, 5/9/2012 5:19, -7 ],[</v>
      </c>
    </row>
    <row r="852" spans="4:4" x14ac:dyDescent="0.25">
      <c r="D852" s="27"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Values'!R",ROW()-LengthHeader,"C2:R",ROW()-LengthHeader,"C",NumFileColumns+2),FALSE))," ],["))))</f>
        <v>"2012-04-22 22:00:00", -4, 1200784, WCCPH, Automated, TRUE, Diana L Karwan, 7.336, 100.8, 10.027, 580.3083011, 0.9674, 4/26/2012 19:23, -7 ],[</v>
      </c>
    </row>
    <row r="853" spans="4:4" x14ac:dyDescent="0.25">
      <c r="D853" s="27"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Values'!R",ROW()-LengthHeader,"C2:R",ROW()-LengthHeader,"C",NumFileColumns+2),FALSE))," ],["))))</f>
        <v>"2012-04-22 23:00:00", -4, 1200785, WCCPH, Automated, TRUE, Diana L Karwan, 7.262, 93.1, 10.227, 550.007748, 0.8905, 5/7/2012 3:57, -7 ],[</v>
      </c>
    </row>
    <row r="854" spans="4:4" x14ac:dyDescent="0.25">
      <c r="D854" s="27"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Values'!R",ROW()-LengthHeader,"C2:R",ROW()-LengthHeader,"C",NumFileColumns+2),FALSE))," ],["))))</f>
        <v>"2012-04-23 03:00:00", -4, 1200789, WCCPH, Automated, TRUE, Diana L Karwan, 7.321, 108.1, 9.427, 632.6677443, 1.0879, 4/26/2012 16:24, -7 ],[</v>
      </c>
    </row>
    <row r="855" spans="4:4" x14ac:dyDescent="0.25">
      <c r="D855" s="27"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Values'!R",ROW()-LengthHeader,"C2:R",ROW()-LengthHeader,"C",NumFileColumns+2),FALSE))," ],["))))</f>
        <v>"2012-04-23 10:00:00", -4, 1200790, WCCPH, Automated, TRUE, Diana L Karwan, 7.488, 153.5, 6.4, 883.4998332, 1.8666, 5/9/2012 0:59, -7 ],[</v>
      </c>
    </row>
    <row r="856" spans="4:4" x14ac:dyDescent="0.25">
      <c r="D856" s="27"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Values'!R",ROW()-LengthHeader,"C2:R",ROW()-LengthHeader,"C",NumFileColumns+2),FALSE))," ],["))))</f>
        <v>"2012-04-24 03:00:00", -4, 1200791, WCCPH, Automated, TRUE, Diana L Karwan, 7.519, 167.8, 2.735, 1125.15437, 3.0978, 4/25/2012 6:24, -7 ],[</v>
      </c>
    </row>
    <row r="857" spans="4:4" x14ac:dyDescent="0.25">
      <c r="D857" s="27"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Values'!R",ROW()-LengthHeader,"C2:R",ROW()-LengthHeader,"C",NumFileColumns+2),FALSE))," ],["))))</f>
        <v>"2012-05-02 13:21:00", -4, 1200881, STA2, Grab, TRUE, Sara Geleskie Damiano, 7.453, 181.6, 1.92, 1300.434976, 3.0327, 5/3/2012 20:12, -7 ],[</v>
      </c>
    </row>
    <row r="858" spans="4:4" x14ac:dyDescent="0.25">
      <c r="D858" s="27"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Values'!R",ROW()-LengthHeader,"C2:R",ROW()-LengthHeader,"C",NumFileColumns+2),FALSE))," ],["))))</f>
        <v>"2012-05-02 14:17:00", -4, 1200879, WCD478, Grab, TRUE, Sara Geleskie Damiano, 7.74, 189.6, 1.65, 1257.854549, 3.5011, 5/17/2012 11:02, -7 ],[</v>
      </c>
    </row>
    <row r="859" spans="4:4" x14ac:dyDescent="0.25">
      <c r="D859" s="27"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Values'!R",ROW()-LengthHeader,"C2:R",ROW()-LengthHeader,"C",NumFileColumns+2),FALSE))," ],["))))</f>
        <v>"2012-05-02 15:03:00", -4, 1200880, WCCLAB, Grab, TRUE, Sara Geleskie Damiano, 7.592, 192.2, 1.87, 1222.423251, 3.3414, 5/10/2012 2:52, -7 ],[</v>
      </c>
    </row>
    <row r="860" spans="4:4" x14ac:dyDescent="0.25">
      <c r="D860" s="27"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Values'!R",ROW()-LengthHeader,"C2:R",ROW()-LengthHeader,"C",NumFileColumns+2),FALSE))," ],["))))</f>
        <v>"2012-06-06 15:38:00", -4, 1201280, STA2, Grab, TRUE, Sara Geleskie Damiano, 7.505, 213, 1.334, 1392.592455, 3.4992, 6/8/2012 12:15, -7 ],[</v>
      </c>
    </row>
    <row r="861" spans="4:4" x14ac:dyDescent="0.25">
      <c r="D861" s="27"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Values'!R",ROW()-LengthHeader,"C2:R",ROW()-LengthHeader,"C",NumFileColumns+2),FALSE))," ],["))))</f>
        <v>"2012-06-06 16:09:00", -4, 1201278, WCD478, Grab, TRUE, Sara Geleskie Damiano, 7.663, 207, 1.402, 1378.652258, 3.6892, 6/15/2012 22:36, -7 ],[</v>
      </c>
    </row>
    <row r="862" spans="4:4" x14ac:dyDescent="0.25">
      <c r="D862" s="27"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Values'!R",ROW()-LengthHeader,"C2:R",ROW()-LengthHeader,"C",NumFileColumns+2),FALSE))," ],["))))</f>
        <v>"2012-06-06 16:31:00", -4, 1201279, WCCLAB, Grab, TRUE, Sara Geleskie Damiano, 7.546, 223, 1.378, 1297.24692, 3.7732, 6/26/2012 12:45, -7 ],[</v>
      </c>
    </row>
    <row r="863" spans="4:4" x14ac:dyDescent="0.25">
      <c r="D863" s="27"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Values'!R",ROW()-LengthHeader,"C2:R",ROW()-LengthHeader,"C",NumFileColumns+2),FALSE))," ],["))))</f>
        <v>"2012-06-22 18:48:00", -4, 1201403, WLYMOUTH, Grab, TRUE, Sara Geleskie Damiano, 7.546, 424, 1.643, 11.8854, 7/12/2012 4:28, -7 ],[</v>
      </c>
    </row>
    <row r="864" spans="4:4" x14ac:dyDescent="0.25">
      <c r="D864" s="27"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Values'!R",ROW()-LengthHeader,"C2:R",ROW()-LengthHeader,"C",NumFileColumns+2),FALSE))," ],["))))</f>
        <v>"2012-07-11 16:53:00", -4, 1201706, STA2, Grab, TRUE, Sara Geleskie Damiano, 7.659, 203, 1.213, 1403.677439, 3.7189, 7/21/2012 20:29, -7 ],[</v>
      </c>
    </row>
    <row r="865" spans="4:4" x14ac:dyDescent="0.25">
      <c r="D865" s="27"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Values'!R",ROW()-LengthHeader,"C2:R",ROW()-LengthHeader,"C",NumFileColumns+2),FALSE))," ],["))))</f>
        <v>"2012-07-11 17:28:00", -4, 1201704, WCD478, Grab, TRUE, Sara Geleskie Damiano, 7.987, 189.9, 1.28, 1411.204515, 3.8707, 7/27/2012 16:19, -7 ],[</v>
      </c>
    </row>
    <row r="866" spans="4:4" x14ac:dyDescent="0.25">
      <c r="D866" s="27"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Values'!R",ROW()-LengthHeader,"C2:R",ROW()-LengthHeader,"C",NumFileColumns+2),FALSE))," ],["))))</f>
        <v>"2012-07-11 18:07:00", -4, 1201705, WCCLAB, Grab, TRUE, Sara Geleskie Damiano, 7.722, 201, 1.25, 1346.024666, 4.0084, 7/16/2012 10:35, -7 ],[</v>
      </c>
    </row>
    <row r="867" spans="4:4" x14ac:dyDescent="0.25">
      <c r="D867" s="27"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Values'!R",ROW()-LengthHeader,"C2:R",ROW()-LengthHeader,"C",NumFileColumns+2),FALSE))," ],["))))</f>
        <v>"2012-07-18 16:31:00", -4, 1201756, WLYMOUTH, Grab, TRUE, Sara Geleskie Damiano, 7.464, 451, 2.023, 12.4695, 8/6/2012 1:45, -7 ],[</v>
      </c>
    </row>
    <row r="868" spans="4:4" x14ac:dyDescent="0.25">
      <c r="D868" s="27"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Values'!R",ROW()-LengthHeader,"C2:R",ROW()-LengthHeader,"C",NumFileColumns+2),FALSE))," ],["))))</f>
        <v>"2012-08-08 15:50:00", -4, 1202111, WCD478, Grab, TRUE, Sara Geleskie Damiano, 7.69, 219, 1.514, 1434.712499, 3.5637, 8/14/2012 19:03, -7 ],[</v>
      </c>
    </row>
    <row r="869" spans="4:4" x14ac:dyDescent="0.25">
      <c r="D869" s="27"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Values'!R",ROW()-LengthHeader,"C2:R",ROW()-LengthHeader,"C",NumFileColumns+2),FALSE))," ],["))))</f>
        <v>"2012-08-08 16:41:00", -4, 1202112, WCCLAB, Grab, TRUE, Sara Geleskie Damiano, 7.604, 211, 1.408, 1376.144837, 3.8052, 8/22/2012 16:54, -7 ],[</v>
      </c>
    </row>
    <row r="870" spans="4:4" x14ac:dyDescent="0.25">
      <c r="D870" s="27"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Values'!R",ROW()-LengthHeader,"C2:R",ROW()-LengthHeader,"C",NumFileColumns+2),FALSE))," ],["))))</f>
        <v>"2012-08-08 17:18:00", -4, 1202113, STA2, Grab, TRUE, Sara Geleskie Damiano, 7.563, 204, 1.338, 1436.712583, 3.5631, 8/17/2012 11:53, -7 ],[</v>
      </c>
    </row>
    <row r="871" spans="4:4" x14ac:dyDescent="0.25">
      <c r="D871" s="27"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Values'!R",ROW()-LengthHeader,"C2:R",ROW()-LengthHeader,"C",NumFileColumns+2),FALSE))," ],["))))</f>
        <v>"2012-08-16 13:49:00", -4, 1202219, WLYMOUTH, Grab, TRUE, Sara Geleskie Damiano, 7.827, 474, 2.036, 12.4665, 8/19/2012 1:08, -7 ],[</v>
      </c>
    </row>
    <row r="872" spans="4:4" x14ac:dyDescent="0.25">
      <c r="D872" s="27"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Values'!R",ROW()-LengthHeader,"C2:R",ROW()-LengthHeader,"C",NumFileColumns+2),FALSE))," ],["))))</f>
        <v>"2012-09-05 11:02:00", -4, 1202392, STA2, Grab, TRUE, Sara Geleskie Damiano, 7.445, 211, 2.377, 1466.212761, 3.3224, 9/14/2012 14:58, -7 ],[</v>
      </c>
    </row>
    <row r="873" spans="4:4" x14ac:dyDescent="0.25">
      <c r="D873" s="27"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Values'!R",ROW()-LengthHeader,"C2:R",ROW()-LengthHeader,"C",NumFileColumns+2),FALSE))," ],["))))</f>
        <v>"2012-09-05 12:23:00", -4, 1202391, WCCLAB, Grab, TRUE, Sara Geleskie Damiano, 7.429, 207, 2.42, 1385.410815, 3.5831, 9/7/2012 17:35, -7 ],[</v>
      </c>
    </row>
    <row r="874" spans="4:4" x14ac:dyDescent="0.25">
      <c r="D874" s="27"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Values'!R",ROW()-LengthHeader,"C2:R",ROW()-LengthHeader,"C",NumFileColumns+2),FALSE))," ],["))))</f>
        <v>"2012-09-05 12:58:00", -4, 1202390, WCD478, Grab, TRUE, Sara Geleskie Damiano, 7.69, 213, 2.53, 1431.521502, 2.5915, 9/8/2012 3:00, -7 ],[</v>
      </c>
    </row>
    <row r="875" spans="4:4" x14ac:dyDescent="0.25">
      <c r="D875" s="27"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Values'!R",ROW()-LengthHeader,"C2:R",ROW()-LengthHeader,"C",NumFileColumns+2),FALSE))," ],["))))</f>
        <v>"2012-09-18 01:00:00", -4, 1202621, WCCPH, Automated, TRUE, Michael D Gentile, 9/25/2012 19:55, -7 ],[</v>
      </c>
    </row>
    <row r="876" spans="4:4" x14ac:dyDescent="0.25">
      <c r="D876" s="27"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Values'!R",ROW()-LengthHeader,"C2:R",ROW()-LengthHeader,"C",NumFileColumns+2),FALSE))," ],["))))</f>
        <v>"2012-09-18 07:00:00", -4, 1202622, WCCPH, Automated, TRUE, Michael D Gentile, 10/2/2012 11:23, -7 ],[</v>
      </c>
    </row>
    <row r="877" spans="4:4" x14ac:dyDescent="0.25">
      <c r="D877" s="27"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Values'!R",ROW()-LengthHeader,"C2:R",ROW()-LengthHeader,"C",NumFileColumns+2),FALSE))," ],["))))</f>
        <v>"2012-09-18 16:00:00", -4, 1202623, WCCPH, Automated, TRUE, Michael D Gentile, 8.027, 215, 5.273, 1168.943399, 2.8032, 9/22/2012 5:12, -7 ],[</v>
      </c>
    </row>
    <row r="878" spans="4:4" x14ac:dyDescent="0.25">
      <c r="D878" s="27"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Values'!R",ROW()-LengthHeader,"C2:R",ROW()-LengthHeader,"C",NumFileColumns+2),FALSE))," ],["))))</f>
        <v>"2012-09-18 17:00:00", -4, 1202624, WCCPH, Automated, TRUE, Michael D Gentile, 7.903, 204, 5.047, 1112.017077, 2.6474, 9/22/2012 5:22, -7 ],[</v>
      </c>
    </row>
    <row r="879" spans="4:4" x14ac:dyDescent="0.25">
      <c r="D879" s="27"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Values'!R",ROW()-LengthHeader,"C2:R",ROW()-LengthHeader,"C",NumFileColumns+2),FALSE))," ],["))))</f>
        <v>"2012-09-18 18:00:00", -4, 1202625, WCCPH, Automated, TRUE, Michael D Gentile, 7.611, 152.3, 8.04, 724.361044, 1.8281, 10/6/2012 10:52, -7 ],[</v>
      </c>
    </row>
    <row r="880" spans="4:4" x14ac:dyDescent="0.25">
      <c r="D880" s="27"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Values'!R",ROW()-LengthHeader,"C2:R",ROW()-LengthHeader,"C",NumFileColumns+2),FALSE))," ],["))))</f>
        <v>"2012-09-18 19:00:00", -4, 1202626, WCCPH, Automated, TRUE, Michael D Gentile, 7.619, 166.4, 7.677, 851.6735086, 0.0207, 9/28/2012 17:51, -7 ],[</v>
      </c>
    </row>
    <row r="881" spans="4:4" x14ac:dyDescent="0.25">
      <c r="D881" s="27"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Values'!R",ROW()-LengthHeader,"C2:R",ROW()-LengthHeader,"C",NumFileColumns+2),FALSE))," ],["))))</f>
        <v>"2012-09-18 20:00:00", -4, 1202627, WCCPH, Automated, TRUE, Michael D Gentile, 7.976, 158.1, 8.483, 737.6610234, 1.8071, 9/19/2012 21:06, -7 ],[</v>
      </c>
    </row>
    <row r="882" spans="4:4" x14ac:dyDescent="0.25">
      <c r="D882" s="27"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Values'!R",ROW()-LengthHeader,"C2:R",ROW()-LengthHeader,"C",NumFileColumns+2),FALSE))," ],["))))</f>
        <v>"2012-09-18 21:00:00", -4, 1202628, WCCPH, Automated, TRUE, Michael D Gentile, 7.818, 160.8, 9.117, 714.5746506, 1.7418, 9/19/2012 19:55, -7 ],[</v>
      </c>
    </row>
    <row r="883" spans="4:4" x14ac:dyDescent="0.25">
      <c r="D883" s="27"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Values'!R",ROW()-LengthHeader,"C2:R",ROW()-LengthHeader,"C",NumFileColumns+2),FALSE))," ],["))))</f>
        <v>"2012-09-18 23:00:00", -4, 1202629, WCCPH, Automated, TRUE, Michael D Gentile, 7.932, 204, 9.287, 767.9636951, 1.6595, 9/29/2012 17:55, -7 ],[</v>
      </c>
    </row>
    <row r="884" spans="4:4" x14ac:dyDescent="0.25">
      <c r="D884" s="27"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Values'!R",ROW()-LengthHeader,"C2:R",ROW()-LengthHeader,"C",NumFileColumns+2),FALSE))," ],["))))</f>
        <v>"2012-09-19 01:00:00", -4, 1202630, WCCPH, Automated, TRUE, Michael D Gentile, 7.893, 195.4, 8.777, 886.2544054, 1.9222, 9/27/2012 3:42, -7 ],[</v>
      </c>
    </row>
    <row r="885" spans="4:4" x14ac:dyDescent="0.25">
      <c r="D885" s="27"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Values'!R",ROW()-LengthHeader,"C2:R",ROW()-LengthHeader,"C",NumFileColumns+2),FALSE))," ],["))))</f>
        <v>"2012-09-19 04:00:00", -4, 1202631, WCCPH, Automated, TRUE, Michael D Gentile, 7.91, 202, 8.423, 946.4797264, 2.1573, 9/22/2012 14:38, -7 ],[</v>
      </c>
    </row>
    <row r="886" spans="4:4" x14ac:dyDescent="0.25">
      <c r="D886" s="27"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Values'!R",ROW()-LengthHeader,"C2:R",ROW()-LengthHeader,"C",NumFileColumns+2),FALSE))," ],["))))</f>
        <v>"2012-09-19 10:00:00", -4, 1202632, WCCPH, Automated, TRUE, Michael D Gentile, 8.001, 225, 5.803, 1125.896183, 2.6024, 9/25/2012 16:43, -7 ],[</v>
      </c>
    </row>
    <row r="887" spans="4:4" x14ac:dyDescent="0.25">
      <c r="D887" s="27"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Values'!R",ROW()-LengthHeader,"C2:R",ROW()-LengthHeader,"C",NumFileColumns+2),FALSE))," ],["))))</f>
        <v>"2012-10-03 16:00:00", -4, 1202872, STA2, Grab, TRUE, Sara Geleskie Damiano, 7.417, 197.1, 3.293, 1347.68812, 2.7824, 10/10/2012 8:14, -7 ],[</v>
      </c>
    </row>
    <row r="888" spans="4:4" x14ac:dyDescent="0.25">
      <c r="D888" s="27"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Values'!R",ROW()-LengthHeader,"C2:R",ROW()-LengthHeader,"C",NumFileColumns+2),FALSE))," ],["))))</f>
        <v>"2012-10-03 16:42:00", -4, 1202870, WCD478, Grab, TRUE, Sara Geleskie Damiano, 7.552, 209, 3.74, 1294.142931, 2.7064, 10/22/2012 4:21, -7 ],[</v>
      </c>
    </row>
    <row r="889" spans="4:4" x14ac:dyDescent="0.25">
      <c r="D889" s="27"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Values'!R",ROW()-LengthHeader,"C2:R",ROW()-LengthHeader,"C",NumFileColumns+2),FALSE))," ],["))))</f>
        <v>"2012-10-03 17:15:00", -4, 1202871, WCCLAB, Grab, TRUE, Sara Geleskie Damiano, 7.471, 199.4, 3.513, 1246.021896, 2.9111, 10/4/2012 1:58, -7 ],[</v>
      </c>
    </row>
    <row r="890" spans="4:4" x14ac:dyDescent="0.25">
      <c r="D890" s="27"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Values'!R",ROW()-LengthHeader,"C2:R",ROW()-LengthHeader,"C",NumFileColumns+2),FALSE))," ],["))))</f>
        <v>"2012-10-11 14:56:00", -4, 1202965, WLYMOUTH, Grab, TRUE, Sara Geleskie Damiano, 7.495, 416, 1.91, 11.2152, 10/17/2012 19:55, -7 ],[</v>
      </c>
    </row>
    <row r="891" spans="4:4" x14ac:dyDescent="0.25">
      <c r="D891" s="27"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Values'!R",ROW()-LengthHeader,"C2:R",ROW()-LengthHeader,"C",NumFileColumns+2),FALSE))," ],["))))</f>
        <v>"2012-11-14 17:01:00", -5, 1204026, WCD478, Grab, TRUE, Jennifer R Matkov, 7.6, 212, 1.702, 1329.700781, 3.618, 11/16/2012 0:08, -7 ],[</v>
      </c>
    </row>
    <row r="892" spans="4:4" x14ac:dyDescent="0.25">
      <c r="D892" s="27"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Values'!R",ROW()-LengthHeader,"C2:R",ROW()-LengthHeader,"C",NumFileColumns+2),FALSE))," ],["))))</f>
        <v>"2012-11-14 17:10:00", -5, 1204028, STA2, Grab, TRUE, Sara Geleskie Damiano, 7.496, 189.1, 1.662, 1359.325544, 3.4056, 11/25/2012 14:20, -7 ],[</v>
      </c>
    </row>
    <row r="893" spans="4:4" x14ac:dyDescent="0.25">
      <c r="D893" s="27"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Values'!R",ROW()-LengthHeader,"C2:R",ROW()-LengthHeader,"C",NumFileColumns+2),FALSE))," ],["))))</f>
        <v>"2012-11-14 17:33:00", -5, 1204027, WCCLAB, Grab, TRUE, Sara Geleskie Damiano, 7.526, 200, 1.666, 1276.139157, 3.6707, 11/28/2012 20:31, -7 ],[</v>
      </c>
    </row>
    <row r="894" spans="4:4" x14ac:dyDescent="0.25">
      <c r="D894" s="27"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Values'!R",ROW()-LengthHeader,"C2:R",ROW()-LengthHeader,"C",NumFileColumns+2),FALSE))," ],["))))</f>
        <v>"2012-11-28 13:08:00", -5, 1204430, WLYATSPENCER, Grab, TRUE, Sara Geleskie Damiano, 6.995, 398, 4.64, 2.518, 12/4/2012 2:19, -7 ],[</v>
      </c>
    </row>
    <row r="895" spans="4:4" x14ac:dyDescent="0.25">
      <c r="D895" s="27"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Values'!R",ROW()-LengthHeader,"C2:R",ROW()-LengthHeader,"C",NumFileColumns+2),FALSE))," ],["))))</f>
        <v>"2012-11-28 13:32:00", -5, 1204431, WLYMOUTH, Grab, TRUE, Sara Geleskie Damiano, 7.473, 400, 1.883, 10.5049, 12/4/2012 22:24, -7 ],[</v>
      </c>
    </row>
    <row r="896" spans="4:4" x14ac:dyDescent="0.25">
      <c r="D896" s="27"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Values'!R",ROW()-LengthHeader,"C2:R",ROW()-LengthHeader,"C",NumFileColumns+2),FALSE))," ],["))))</f>
        <v>"2012-12-05 13:15:00", -5, 1204593, STA2, Grab, TRUE, Sara Geleskie Damiano, 7.862, 200, 1.343, 1381.888225, 3.2168, 12/9/2012 15:15, -7 ],[</v>
      </c>
    </row>
    <row r="897" spans="4:4" x14ac:dyDescent="0.25">
      <c r="D897" s="27"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Values'!R",ROW()-LengthHeader,"C2:R",ROW()-LengthHeader,"C",NumFileColumns+2),FALSE))," ],["))))</f>
        <v>"2012-12-05 14:12:00", -5, 1204592, WCCLAB, Grab, TRUE, Sara Geleskie Damiano, 8.519, 202, 1.407, 1292.620838, 3.8312, 12/17/2012 21:25, -7 ],[</v>
      </c>
    </row>
    <row r="898" spans="4:4" x14ac:dyDescent="0.25">
      <c r="D898" s="27"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Values'!R",ROW()-LengthHeader,"C2:R",ROW()-LengthHeader,"C",NumFileColumns+2),FALSE))," ],["))))</f>
        <v>"2012-12-05 14:40:00", -5, 1204591, WCD478, Grab, TRUE, Sara Geleskie Damiano, 8.486, 199.4, 1.413, 1352.872562, 3.7852, 12/9/2012 15:01, -7 ],[</v>
      </c>
    </row>
    <row r="899" spans="4:4" x14ac:dyDescent="0.25">
      <c r="D899" s="27"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Values'!R",ROW()-LengthHeader,"C2:R",ROW()-LengthHeader,"C",NumFileColumns+2),FALSE))," ],["))))</f>
        <v>"2012-12-12 16:23:00", -5, 1204683, WLYATSPENCER, Grab, TRUE, Sara Geleskie Damiano, 6.866, 378, 2.83, 3.0767, 12/14/2012 4:46, -7 ],[</v>
      </c>
    </row>
    <row r="900" spans="4:4" x14ac:dyDescent="0.25">
      <c r="D900" s="27"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Values'!R",ROW()-LengthHeader,"C2:R",ROW()-LengthHeader,"C",NumFileColumns+2),FALSE))," ],["))))</f>
        <v>"2012-12-12 16:44:00", -5, 1204684, WLYMOUTH, Grab, TRUE, Sara Geleskie Damiano, 7.451, 364, 1.593, 10.9716, 12/16/2012 8:40, -7 ],[</v>
      </c>
    </row>
    <row r="901" spans="4:4" x14ac:dyDescent="0.25">
      <c r="D901" s="27"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Values'!R",ROW()-LengthHeader,"C2:R",ROW()-LengthHeader,"C",NumFileColumns+2),FALSE))," ],["))))</f>
        <v>"2013-01-03 13:46:00", -5, 1300003, STA2, Grab, TRUE, Sara Geleskie Damiano, 7.581, 209, 1.07, 1344.574748, 3.7624, 1/20/2013 15:28, -7 ],[</v>
      </c>
    </row>
    <row r="902" spans="4:4" x14ac:dyDescent="0.25">
      <c r="D902" s="27"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Values'!R",ROW()-LengthHeader,"C2:R",ROW()-LengthHeader,"C",NumFileColumns+2),FALSE))," ],["))))</f>
        <v>"2013-01-03 14:34:00", -5, 1300001, WCD478, Grab, TRUE, Sara Geleskie Damiano, 7.633, 206, 1.073, 1322.239578, 4.3122, 1/14/2013 22:32, -7 ],[</v>
      </c>
    </row>
    <row r="903" spans="4:4" x14ac:dyDescent="0.25">
      <c r="D903" s="27"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Values'!R",ROW()-LengthHeader,"C2:R",ROW()-LengthHeader,"C",NumFileColumns+2),FALSE))," ],["))))</f>
        <v>"2013-01-03 14:57:00", -5, 1300002, WCCLAB, Grab, TRUE, Sara Geleskie Damiano, 7.526, 203, 1.12, 1250.395659, 4.3432, 1/11/2013 1:14, -7 ],[</v>
      </c>
    </row>
    <row r="904" spans="4:4" x14ac:dyDescent="0.25">
      <c r="D904" s="27"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Values'!R",ROW()-LengthHeader,"C2:R",ROW()-LengthHeader,"C",NumFileColumns+2),FALSE))," ],["))))</f>
        <v>"2013-01-17 14:00:00", -5, 1300176, WLYATSPENCER, Grab, TRUE, Sara Geleskie Damiano, 6.852, 240, 8.003, 1.5004, 1/23/2013 14:57, -7 ],[</v>
      </c>
    </row>
    <row r="905" spans="4:4" x14ac:dyDescent="0.25">
      <c r="D905" s="27"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Values'!R",ROW()-LengthHeader,"C2:R",ROW()-LengthHeader,"C",NumFileColumns+2),FALSE))," ],["))))</f>
        <v>"2013-01-17 14:39:00", -5, 1300177, WLYMOUTH, Grab, TRUE, Sara Geleskie Damiano, 7.317, 310, 2.697, 8.3204, 1/25/2013 13:16, -7 ],[</v>
      </c>
    </row>
    <row r="906" spans="4:4" x14ac:dyDescent="0.25">
      <c r="D906" s="27"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Values'!R",ROW()-LengthHeader,"C2:R",ROW()-LengthHeader,"C",NumFileColumns+2),FALSE))," ],["))))</f>
        <v>"2013-02-13 16:31:00", -5, 1300428, STA2, Grab, TRUE, Sara Geleskie Damiano, 7.626, 213, 1.189, 3.4665, 24.745, 2/17/2013 12:02, -7 ],[</v>
      </c>
    </row>
    <row r="907" spans="4:4" x14ac:dyDescent="0.25">
      <c r="D907" s="27"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Values'!R",ROW()-LengthHeader,"C2:R",ROW()-LengthHeader,"C",NumFileColumns+2),FALSE))," ],["))))</f>
        <v>"2013-02-13 16:35:00", -5, 1300426, WCD478, Grab, TRUE, Jennifer R Matkov, 7.629, 224, 1.234, 1263.915352, 3.7302, 24.384, 2/16/2013 2:08, -7 ],[</v>
      </c>
    </row>
    <row r="908" spans="4:4" x14ac:dyDescent="0.25">
      <c r="D908" s="27"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Values'!R",ROW()-LengthHeader,"C2:R",ROW()-LengthHeader,"C",NumFileColumns+2),FALSE))," ],["))))</f>
        <v>"2013-02-13 16:49:00", -5, 1300427, WCCLAB, Grab, TRUE, Sara Geleskie Damiano, 7.442, 206, 1.193, 1198.98817, 3.748, 22.865, 2/15/2013 9:06, -7 ],[</v>
      </c>
    </row>
    <row r="909" spans="4:4" x14ac:dyDescent="0.25">
      <c r="D909" s="27"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Values'!R",ROW()-LengthHeader,"C2:R",ROW()-LengthHeader,"C",NumFileColumns+2),FALSE))," ],["))))</f>
        <v>"2013-03-06 15:46:00", -5, 1300554, STA2, Grab, TRUE, Sara Geleskie Damiano, 7.669, 213, 1.67, 1261.869196, 3.2923, 24.236, 3/12/2013 0:48, -7 ],[</v>
      </c>
    </row>
    <row r="910" spans="4:4" x14ac:dyDescent="0.25">
      <c r="D910" s="27"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Values'!R",ROW()-LengthHeader,"C2:R",ROW()-LengthHeader,"C",NumFileColumns+2),FALSE))," ],["))))</f>
        <v>"2013-03-06 16:15:00", -5, 1300552, WCD478, Grab, TRUE, Sara Geleskie Damiano, 7.571, 204, 1.53, 1250.794995, 3.6176, 23.332, 3/15/2013 15:12, -7 ],[</v>
      </c>
    </row>
    <row r="911" spans="4:4" x14ac:dyDescent="0.25">
      <c r="D911" s="27"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Values'!R",ROW()-LengthHeader,"C2:R",ROW()-LengthHeader,"C",NumFileColumns+2),FALSE))," ],["))))</f>
        <v>"2013-03-06 16:33:00", -5, 1300553, WCCLAB, Grab, TRUE, Sara Geleskie Damiano, 7.597, 206, 1.617, 1180.209209, 3.5536, 23.449, 3/19/2013 4:23, -7 ],[</v>
      </c>
    </row>
    <row r="912" spans="4:4" x14ac:dyDescent="0.25">
      <c r="D912" s="27"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Values'!R",ROW()-LengthHeader,"C2:R",ROW()-LengthHeader,"C",NumFileColumns+2),FALSE))," ],["))))</f>
        <v>"2013-04-03 15:04:00", -4, 1300760, STA2, Grab, TRUE, Sara Geleskie Damiano, 7.53, 207, 1.19, 3.4446, 24.002, 4/9/2013 7:02, -7 ],[</v>
      </c>
    </row>
    <row r="913" spans="4:4" x14ac:dyDescent="0.25">
      <c r="D913" s="27"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Values'!R",ROW()-LengthHeader,"C2:R",ROW()-LengthHeader,"C",NumFileColumns+2),FALSE))," ],["))))</f>
        <v>"2013-04-03 15:34:00", -4, 1300758, WCD478, Grab, TRUE, Sara Geleskie Damiano, 7.808, 216, 1.2, 3.7097, 24.966, 4/21/2013 4:47, -7 ],[</v>
      </c>
    </row>
    <row r="914" spans="4:4" x14ac:dyDescent="0.25">
      <c r="D914" s="27"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Values'!R",ROW()-LengthHeader,"C2:R",ROW()-LengthHeader,"C",NumFileColumns+2),FALSE))," ],["))))</f>
        <v>"2013-04-03 15:54:00", -4, 1300759, WCCLAB, Grab, TRUE, Sara Geleskie Damiano, 7.619, 213, 1.21, 3.7281, 23.614, 4/18/2013 3:24, -7 ],[</v>
      </c>
    </row>
    <row r="915" spans="4:4" x14ac:dyDescent="0.25">
      <c r="D915" s="27"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Values'!R",ROW()-LengthHeader,"C2:R",ROW()-LengthHeader,"C",NumFileColumns+2),FALSE))," ],["))))</f>
        <v>"2013-04-09 14:04:00", -4, 1300773, WLYATSPENCER, Grab, TRUE, Sara Geleskie Damiano, 6.865, 374, 1.8416, 41.084, 4/11/2013 10:29, -7 ],[</v>
      </c>
    </row>
    <row r="916" spans="4:4" x14ac:dyDescent="0.25">
      <c r="D916" s="27"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Values'!R",ROW()-LengthHeader,"C2:R",ROW()-LengthHeader,"C",NumFileColumns+2),FALSE))," ],["))))</f>
        <v>"2013-04-09 14:45:00", -4, 1300774, WLYMOUTH, Grab, TRUE, Sara Geleskie Damiano, 7.951, 409, 1.85, 9.5555, 38.443, 4/20/2013 15:25, -7 ],[</v>
      </c>
    </row>
    <row r="917" spans="4:4" x14ac:dyDescent="0.25">
      <c r="D917" s="27"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Values'!R",ROW()-LengthHeader,"C2:R",ROW()-LengthHeader,"C",NumFileColumns+2),FALSE))," ],["))))</f>
        <v>"2013-04-12 05:00:00", -4, 1300790, WCCPH, Automated, TRUE, Sherman L Roberts, 7.724, 216, 1.87, 3.3751, 26.1, 4/12/2013 9:54, -7 ],[</v>
      </c>
    </row>
    <row r="918" spans="4:4" x14ac:dyDescent="0.25">
      <c r="D918" s="27"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Values'!R",ROW()-LengthHeader,"C2:R",ROW()-LengthHeader,"C",NumFileColumns+2),FALSE))," ],["))))</f>
        <v>"2013-04-12 09:00:00", -4, 1300791, WCCPH, Automated, TRUE, Sherman L Roberts, 7.784, 204, 2.673, 3.2637, 23.9, 4/20/2013 21:54, -7 ],[</v>
      </c>
    </row>
    <row r="919" spans="4:4" x14ac:dyDescent="0.25">
      <c r="D919" s="27"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Values'!R",ROW()-LengthHeader,"C2:R",ROW()-LengthHeader,"C",NumFileColumns+2),FALSE))," ],["))))</f>
        <v>"2013-04-12 11:00:00", -4, 1300793, WCCPH, Automated, TRUE, Sherman L Roberts, 7.661, 198.8, 4.307, 1137.14964, 2.8711, 21.948, 4/19/2013 22:50, -7 ],[</v>
      </c>
    </row>
    <row r="920" spans="4:4" x14ac:dyDescent="0.25">
      <c r="D920" s="27"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Values'!R",ROW()-LengthHeader,"C2:R",ROW()-LengthHeader,"C",NumFileColumns+2),FALSE))," ],["))))</f>
        <v>"2013-04-12 12:00:00", -4, 1300794, WCCPH, Automated, TRUE, Sherman L Roberts, 7.601, 191.6, 4.403, 2.8606, 20.984, 4/16/2013 7:29, -7 ],[</v>
      </c>
    </row>
    <row r="921" spans="4:4" x14ac:dyDescent="0.25">
      <c r="D921" s="27"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Values'!R",ROW()-LengthHeader,"C2:R",ROW()-LengthHeader,"C",NumFileColumns+2),FALSE))," ],["))))</f>
        <v>"2013-04-12 15:00:00", -4, 1300796, WCCPH, Automated, TRUE, Sherman L Roberts, 7.66, 189.3, 6.427, 2.248, 20.205, 4/21/2013 14:42, -7 ],[</v>
      </c>
    </row>
    <row r="922" spans="4:4" x14ac:dyDescent="0.25">
      <c r="D922" s="27"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Values'!R",ROW()-LengthHeader,"C2:R",ROW()-LengthHeader,"C",NumFileColumns+2),FALSE))," ],["))))</f>
        <v>"2013-04-12 21:00:00", -4, 1300797, WCCPH, Automated, TRUE, Sherman L Roberts, 7.654, 201, 4.697, 2.5742, 21.397, 4/29/2013 15:35, -7 ],[</v>
      </c>
    </row>
    <row r="923" spans="4:4" x14ac:dyDescent="0.25">
      <c r="D923" s="27"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Values'!R",ROW()-LengthHeader,"C2:R",ROW()-LengthHeader,"C",NumFileColumns+2),FALSE))," ],["))))</f>
        <v>"2013-04-12 23:00:00", -4, 1300798, WCCPH, Automated, TRUE, Sherman L Roberts, 7.639, 197.9, 4.38, 2.5, 20.559, 5/2/2013 16:17, -7 ],[</v>
      </c>
    </row>
    <row r="924" spans="4:4" x14ac:dyDescent="0.25">
      <c r="D924" s="27"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Values'!R",ROW()-LengthHeader,"C2:R",ROW()-LengthHeader,"C",NumFileColumns+2),FALSE))," ],["))))</f>
        <v>"2013-04-13 01:00:00", -4, 1300799, WCCPH, Automated, TRUE, Sherman L Roberts, 7.649, 173.1, 6.31, 1.9328, 15.921, 4/16/2013 20:22, -7 ],[</v>
      </c>
    </row>
    <row r="925" spans="4:4" x14ac:dyDescent="0.25">
      <c r="D925" s="27"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Values'!R",ROW()-LengthHeader,"C2:R",ROW()-LengthHeader,"C",NumFileColumns+2),FALSE))," ],["))))</f>
        <v>"2013-04-13 07:00:00", -4, 1300800, WCCPH, Automated, TRUE, Sherman L Roberts, 7.548, 188.3, 6.14, 1062.790944, 2.3155, 17.197, 4/24/2013 18:54, -7 ],[</v>
      </c>
    </row>
    <row r="926" spans="4:4" x14ac:dyDescent="0.25">
      <c r="D926" s="27"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Values'!R",ROW()-LengthHeader,"C2:R",ROW()-LengthHeader,"C",NumFileColumns+2),FALSE))," ],["))))</f>
        <v>"2013-04-14 07:00:00", -4, 1300801, WCCPH, Automated, TRUE, Sherman L Roberts, 7.635, 223, 2.133, 3.2156, 20.713, 4/28/2013 16:50, -7 ],[</v>
      </c>
    </row>
    <row r="927" spans="4:4" x14ac:dyDescent="0.25">
      <c r="D927" s="27"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Values'!R",ROW()-LengthHeader,"C2:R",ROW()-LengthHeader,"C",NumFileColumns+2),FALSE))," ],["))))</f>
        <v>"2013-05-01 16:56:00", -4, 1301020, STA2, Grab, TRUE, Sara Geleskie Damiano, 7.803, 204, 1.697, 3.0982, 21.475, 5/11/2013 11:31, -7 ],[</v>
      </c>
    </row>
    <row r="928" spans="4:4" x14ac:dyDescent="0.25">
      <c r="D928" s="27"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Values'!R",ROW()-LengthHeader,"C2:R",ROW()-LengthHeader,"C",NumFileColumns+2),FALSE))," ],["))))</f>
        <v>"2013-05-01 17:25:00", -4, 1301018, WCD478, Grab, TRUE, Sara Geleskie Damiano, 8.064, 194.2, 1.69, 3.3305, 21.611, 5/16/2013 12:12, -7 ],[</v>
      </c>
    </row>
    <row r="929" spans="4:4" x14ac:dyDescent="0.25">
      <c r="D929" s="27"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Values'!R",ROW()-LengthHeader,"C2:R",ROW()-LengthHeader,"C",NumFileColumns+2),FALSE))," ],["))))</f>
        <v>"2013-05-01 17:48:00", -4, 1301019, WCCLAB, Grab, TRUE, Sara Geleskie Damiano, 7.835, 198.7, 1.657, 3.3799, 21.835, 5/8/2013 8:45, -7 ],[</v>
      </c>
    </row>
    <row r="930" spans="4:4" x14ac:dyDescent="0.25">
      <c r="D930" s="27"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Values'!R",ROW()-LengthHeader,"C2:R",ROW()-LengthHeader,"C",NumFileColumns+2),FALSE))," ],["))))</f>
        <v>"2013-06-06 11:03:00", -4, 1301208, STA2, Grab, TRUE, Sara Geleskie Damiano, 7.614, 209, 1.357, 1431.840801, 3.4248, 23.745, 6/8/2013 20:04, -7 ],[</v>
      </c>
    </row>
    <row r="931" spans="4:4" x14ac:dyDescent="0.25">
      <c r="D931" s="27"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Values'!R",ROW()-LengthHeader,"C2:R",ROW()-LengthHeader,"C",NumFileColumns+2),FALSE))," ],["))))</f>
        <v>"2013-06-06 11:25:00", -4, 1301207, WCCLAB, Grab, TRUE, Sara Geleskie Damiano, 7.662, 207, 1.41, 1336.4446, 3.6887, 22.12, 6/22/2013 11:25, -7 ],[</v>
      </c>
    </row>
    <row r="932" spans="4:4" x14ac:dyDescent="0.25">
      <c r="D932" s="27"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Values'!R",ROW()-LengthHeader,"C2:R",ROW()-LengthHeader,"C",NumFileColumns+2),FALSE))," ],["))))</f>
        <v>"2013-06-06 11:56:00", -4, 1301206, WCD478, Grab, TRUE, Sara Geleskie Damiano, 7.894, 214, 1.47, 1406.258676, 3.5849, 22.628, 6/8/2013 3:23, -7 ],[</v>
      </c>
    </row>
    <row r="933" spans="4:4" x14ac:dyDescent="0.25">
      <c r="D933" s="27"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Values'!R",ROW()-LengthHeader,"C2:R",ROW()-LengthHeader,"C",NumFileColumns+2),FALSE))," ],["))))</f>
        <v>"2013-06-06 19:00:00", -4, 1301235, WCCPH, Automated, TRUE, Michael D Gentile, 7.971, 223, 2.201, 1333.151728, 3.5997, 21.72, 6/17/2013 21:15, -7 ],[</v>
      </c>
    </row>
    <row r="934" spans="4:4" x14ac:dyDescent="0.25">
      <c r="D934" s="27"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Values'!R",ROW()-LengthHeader,"C2:R",ROW()-LengthHeader,"C",NumFileColumns+2),FALSE))," ],["))))</f>
        <v>"2013-06-07 06:00:00", -4, 1301236, WCCPH, Automated, TRUE, Michael D Gentile, 7.543, 171.3, 8.747, 1054.154583, 1.8902, 17.933, 6/13/2013 7:29, -7 ],[</v>
      </c>
    </row>
    <row r="935" spans="4:4" x14ac:dyDescent="0.25">
      <c r="D935" s="27"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Values'!R",ROW()-LengthHeader,"C2:R",ROW()-LengthHeader,"C",NumFileColumns+2),FALSE))," ],["))))</f>
        <v>"2013-06-07 09:00:00", -4, 1301237, WCCPH, Automated, TRUE, Michael D Gentile, 7.601, 169.5, 13.027, 708.3089095, 2.3528, 12.269, 6/14/2013 22:07, -7 ],[</v>
      </c>
    </row>
    <row r="936" spans="4:4" x14ac:dyDescent="0.25">
      <c r="D936" s="27"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Values'!R",ROW()-LengthHeader,"C2:R",ROW()-LengthHeader,"C",NumFileColumns+2),FALSE))," ],["))))</f>
        <v>"2013-06-07 12:00:00", -4, 1301238, WCCPH, Automated, TRUE, Michael D Gentile, 7.392, 131, 13.227, 698.5806851, 2.6923, 11.375, 6/15/2013 23:41, -7 ],[</v>
      </c>
    </row>
    <row r="937" spans="4:4" x14ac:dyDescent="0.25">
      <c r="D937" s="27"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Values'!R",ROW()-LengthHeader,"C2:R",ROW()-LengthHeader,"C",NumFileColumns+2),FALSE))," ],["))))</f>
        <v>"2013-06-07 15:00:00", -4, 1301239, WCCPH, Automated, TRUE, Michael D Gentile, 7.211, 141.3, 668.2429253, 4.4364, 13.464, 6/23/2013 20:51, -7 ],[</v>
      </c>
    </row>
    <row r="938" spans="4:4" x14ac:dyDescent="0.25">
      <c r="D938" s="27"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Values'!R",ROW()-LengthHeader,"C2:R",ROW()-LengthHeader,"C",NumFileColumns+2),FALSE))," ],["))))</f>
        <v>"2013-06-07 15:00:00", -4, 1301239, WCCPH, Automated, TRUE, Michael D Gentile, 7.211, 141.3, 668.2429253, 4.4364, 13.464, 6/23/2013 2:55, -7 ],[</v>
      </c>
    </row>
    <row r="939" spans="4:4" x14ac:dyDescent="0.25">
      <c r="D939" s="27"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Values'!R",ROW()-LengthHeader,"C2:R",ROW()-LengthHeader,"C",NumFileColumns+2),FALSE))," ],["))))</f>
        <v>"2013-06-07 17:00:00", -4, 1301240, WCCPH, Automated, TRUE, Michael D Gentile, 7.033, 110.5, 13.173, 482.8325881, 4.0946, 9.943, 6/19/2013 5:55, -7 ],[</v>
      </c>
    </row>
    <row r="940" spans="4:4" x14ac:dyDescent="0.25">
      <c r="D940" s="27"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Values'!R",ROW()-LengthHeader,"C2:R",ROW()-LengthHeader,"C",NumFileColumns+2),FALSE))," ],["))))</f>
        <v>"2013-06-07 19:00:00", -4, 1301241, WCCPH, Automated, TRUE, Michael D Gentile, 7.086, 99.9, 12.307, 536.045681, 2.751, 9.183, 6/21/2013 6:05, -7 ],[</v>
      </c>
    </row>
    <row r="941" spans="4:4" x14ac:dyDescent="0.25">
      <c r="D941" s="27"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Values'!R",ROW()-LengthHeader,"C2:R",ROW()-LengthHeader,"C",NumFileColumns+2),FALSE))," ],["))))</f>
        <v>"2013-06-08 00:00:00", -4, 1301242, WCCPH, Automated, TRUE, Michael D Gentile, 7.261, 119.8, 12.187, 722.8506051, 2.2509, 10.645, 6/20/2013 16:37, -7 ],[</v>
      </c>
    </row>
    <row r="942" spans="4:4" x14ac:dyDescent="0.25">
      <c r="D942" s="27"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Values'!R",ROW()-LengthHeader,"C2:R",ROW()-LengthHeader,"C",NumFileColumns+2),FALSE))," ],["))))</f>
        <v>"2013-06-08 04:00:00", -4, 1301243, WCCPH, Automated, TRUE, Michael D Gentile, 7.39, 143.7, 10.547, 857.7579578, 2.6513, 14.629, 6/19/2013 7:58, -7 ],[</v>
      </c>
    </row>
    <row r="943" spans="4:4" x14ac:dyDescent="0.25">
      <c r="D943" s="27"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Values'!R",ROW()-LengthHeader,"C2:R",ROW()-LengthHeader,"C",NumFileColumns+2),FALSE))," ],["))))</f>
        <v>"2013-06-08 14:00:00", -4, 1301244, WCCPH, Automated, TRUE, Michael D Gentile, 7.544, 177.2, 6.267, 1071.912788, 2.6074, 17.486, 6/11/2013 20:23, -7 ],[</v>
      </c>
    </row>
    <row r="944" spans="4:4" x14ac:dyDescent="0.25">
      <c r="D944" s="27"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Values'!R",ROW()-LengthHeader,"C2:R",ROW()-LengthHeader,"C",NumFileColumns+2),FALSE))," ],["))))</f>
        <v>"2013-06-10 19:00:00", -4, 1301251, WCCPH, Automated, TRUE, Sherman L Roberts, 7.495, 128.6, 12.733, 1.7795, 6/23/2013 4:15, -7 ],[</v>
      </c>
    </row>
    <row r="945" spans="4:4" x14ac:dyDescent="0.25">
      <c r="D945" s="27"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Values'!R",ROW()-LengthHeader,"C2:R",ROW()-LengthHeader,"C",NumFileColumns+2),FALSE))," ],["))))</f>
        <v>"2013-06-11 00:00:00", -4, 1301252, WCCPH, Automated, TRUE, Sherman L Roberts, 7.349, 124.8, 14.253, 1.5599, 6/23/2013 14:29, -7 ],[</v>
      </c>
    </row>
    <row r="946" spans="4:4" x14ac:dyDescent="0.25">
      <c r="D946" s="27"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Values'!R",ROW()-LengthHeader,"C2:R",ROW()-LengthHeader,"C",NumFileColumns+2),FALSE))," ],["))))</f>
        <v>"2013-06-11 01:00:00", -4, 1301253, WCCPH, Automated, TRUE, Sherman L Roberts, 7.306, 29.1, 13.6, 1.3868, 6/13/2013 16:35, -7 ],[</v>
      </c>
    </row>
    <row r="947" spans="4:4" x14ac:dyDescent="0.25">
      <c r="D947" s="27"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Values'!R",ROW()-LengthHeader,"C2:R",ROW()-LengthHeader,"C",NumFileColumns+2),FALSE))," ],["))))</f>
        <v>"2013-07-10 14:35:00", -4, 1301419, STA2, Grab, TRUE, Sara Geleskie Damiano, 8.208, 231, 2.73, 2.9634, 21.628, 7/13/2013 16:44, -7 ],[</v>
      </c>
    </row>
    <row r="948" spans="4:4" x14ac:dyDescent="0.25">
      <c r="D948" s="27"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Values'!R",ROW()-LengthHeader,"C2:R",ROW()-LengthHeader,"C",NumFileColumns+2),FALSE))," ],["))))</f>
        <v>"2013-07-10 15:25:00", -4, 1301417, WCD478, Grab, TRUE, Sara Geleskie Damiano, 8.264, 244, 2.803, 3.1842, 22.908, 7/19/2013 20:23, -7 ],[</v>
      </c>
    </row>
    <row r="949" spans="4:4" x14ac:dyDescent="0.25">
      <c r="D949" s="27"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Values'!R",ROW()-LengthHeader,"C2:R",ROW()-LengthHeader,"C",NumFileColumns+2),FALSE))," ],["))))</f>
        <v>"2013-07-10 15:43:00", -4, 1301418, WCCLAB, Grab, TRUE, Sara Geleskie Damiano, 8.198, 237, 2.767, 3.2264, 20.644, 7/12/2013 13:36, -7 ],[</v>
      </c>
    </row>
    <row r="950" spans="4:4" x14ac:dyDescent="0.25">
      <c r="D950" s="27"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Values'!R",ROW()-LengthHeader,"C2:R",ROW()-LengthHeader,"C",NumFileColumns+2),FALSE))," ],["))))</f>
        <v>"2013-08-06 14:52:00", -4, 1301708, WLYATSPENCER, Grab, TRUE, Jennifer R Matkov, 7.226, 251, 5.933, 1.0343, 26.115, 8/23/2013 21:38, -7 ],[</v>
      </c>
    </row>
    <row r="951" spans="4:4" x14ac:dyDescent="0.25">
      <c r="D951" s="27"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Values'!R",ROW()-LengthHeader,"C2:R",ROW()-LengthHeader,"C",NumFileColumns+2),FALSE))," ],["))))</f>
        <v>"2013-08-06 17:00:00", -4, 1301709, WLYMOUTH, Grab, TRUE, Sara Geleskie Damiano, 7.409, 416, 2.06, 9.3663, 35.563, 8/14/2013 2:06, -7 ],[</v>
      </c>
    </row>
    <row r="952" spans="4:4" x14ac:dyDescent="0.25">
      <c r="D952" s="27"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Values'!R",ROW()-LengthHeader,"C2:R",ROW()-LengthHeader,"C",NumFileColumns+2),FALSE))," ],["))))</f>
        <v>"2013-08-07 16:11:00", -4, 1301736, STA2, Grab, TRUE, Sara Geleskie Damiano, 8.109, 223, 1.597, 3.3509, 22.686, 8/9/2013 13:33, -7 ],[</v>
      </c>
    </row>
    <row r="953" spans="4:4" x14ac:dyDescent="0.25">
      <c r="D953" s="27"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Values'!R",ROW()-LengthHeader,"C2:R",ROW()-LengthHeader,"C",NumFileColumns+2),FALSE))," ],["))))</f>
        <v>"2013-08-07 16:36:00", -4, 1301734, WCD478, Grab, TRUE, Sara Geleskie Damiano, 7.867, 254, 1.593, 3.5965, 21.987, 8/23/2013 6:53, -7 ],[</v>
      </c>
    </row>
    <row r="954" spans="4:4" x14ac:dyDescent="0.25">
      <c r="D954" s="27"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Values'!R",ROW()-LengthHeader,"C2:R",ROW()-LengthHeader,"C",NumFileColumns+2),FALSE))," ],["))))</f>
        <v>"2013-08-07 16:56:00", -4, 1301735, WCCLAB, Grab, TRUE, Sara Geleskie Damiano, 7.751, 217, 1.597, 3.6477, 21.925, 8/11/2013 16:38, -7 ],[</v>
      </c>
    </row>
    <row r="955" spans="4:4" x14ac:dyDescent="0.25">
      <c r="D955" s="27"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Values'!R",ROW()-LengthHeader,"C2:R",ROW()-LengthHeader,"C",NumFileColumns+2),FALSE))," ],["))))</f>
        <v>"2013-09-04 15:50:00", -4, 1302002, STA2, Grab, TRUE, Sara Geleskie Damiano, 7.536, 229, 1.46, 3.4495, 21.396, 9/19/2013 6:32, -7 ],[</v>
      </c>
    </row>
    <row r="956" spans="4:4" x14ac:dyDescent="0.25">
      <c r="D956" s="27"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Values'!R",ROW()-LengthHeader,"C2:R",ROW()-LengthHeader,"C",NumFileColumns+2),FALSE))," ],["))))</f>
        <v>"2013-09-04 16:23:00", -4, 1302000, WCD478, Grab, TRUE, Sara Geleskie Damiano, 7.908, 218, 1.537, 3.5738, 23.481, 9/14/2013 18:20, -7 ],[</v>
      </c>
    </row>
    <row r="957" spans="4:4" x14ac:dyDescent="0.25">
      <c r="D957" s="27"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Values'!R",ROW()-LengthHeader,"C2:R",ROW()-LengthHeader,"C",NumFileColumns+2),FALSE))," ],["))))</f>
        <v>"2013-09-04 16:49:00", -4, 1302001, WCCLAB, Grab, TRUE, Sara Geleskie Damiano, 7.806, 224, 1.523, 3.6761, 20.806, 9/15/2013 18:54, -7 ],[</v>
      </c>
    </row>
    <row r="958" spans="4:4" x14ac:dyDescent="0.25">
      <c r="D958" s="27"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Values'!R",ROW()-LengthHeader,"C2:R",ROW()-LengthHeader,"C",NumFileColumns+2),FALSE))," ],["))))</f>
        <v>"2013-10-02 13:44:00", -4, 1302171, STA2, Grab, TRUE, Sara Geleskie Damiano, 7.624, 207, 1.333, 3.4622, 21.499, 10/14/2013 17:55, -7 ],[</v>
      </c>
    </row>
    <row r="959" spans="4:4" x14ac:dyDescent="0.25">
      <c r="D959" s="27"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Values'!R",ROW()-LengthHeader,"C2:R",ROW()-LengthHeader,"C",NumFileColumns+2),FALSE))," ],["))))</f>
        <v>"2013-10-02 14:05:00", -4, 1302170, WCCLAB, Grab, TRUE, Sara Geleskie Damiano, 7.586, 211, 1.433, 3.7339, 20.984, 10/14/2013 14:12, -7 ],[</v>
      </c>
    </row>
    <row r="960" spans="4:4" x14ac:dyDescent="0.25">
      <c r="D960" s="27"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Values'!R",ROW()-LengthHeader,"C2:R",ROW()-LengthHeader,"C",NumFileColumns+2),FALSE))," ],["))))</f>
        <v>"2013-10-02 15:25:00", -4, 1302169, WCD478, Grab, TRUE, Jennifer R Matkov, 7.767, 228, 1.423, 3.6772, 22.969, 10/8/2013 10:37, -7 ],[</v>
      </c>
    </row>
    <row r="961" spans="4:4" x14ac:dyDescent="0.25">
      <c r="D961" s="27"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Values'!R",ROW()-LengthHeader,"C2:R",ROW()-LengthHeader,"C",NumFileColumns+2),FALSE))," ],["))))</f>
        <v>"2013-10-07 12:00:00", -4, 1302244, WCCPH, Automated, TRUE, Sherman L Roberts, 7.98, 232, 2.237, 10/20/2013 22:32, -7 ],[</v>
      </c>
    </row>
    <row r="962" spans="4:4" x14ac:dyDescent="0.25">
      <c r="D962" s="27"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Values'!R",ROW()-LengthHeader,"C2:R",ROW()-LengthHeader,"C",NumFileColumns+2),FALSE))," ],["))))</f>
        <v>"2013-10-07 14:00:00", -4, 1302245, WCCPH, Automated, TRUE, Sherman L Roberts, 7.747, 219, 3.48, 10/26/2013 10:50, -7 ],[</v>
      </c>
    </row>
    <row r="963" spans="4:4" x14ac:dyDescent="0.25">
      <c r="D963" s="27"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Values'!R",ROW()-LengthHeader,"C2:R",ROW()-LengthHeader,"C",NumFileColumns+2),FALSE))," ],["))))</f>
        <v>"2013-10-07 15:00:00", -4, 1302246, WCCPH, Automated, TRUE, Sherman L Roberts, 7.53, 198.1, 6.807, 10/11/2013 5:04, -7 ],[</v>
      </c>
    </row>
    <row r="964" spans="4:4" x14ac:dyDescent="0.25">
      <c r="D964" s="27"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Values'!R",ROW()-LengthHeader,"C2:R",ROW()-LengthHeader,"C",NumFileColumns+2),FALSE))," ],["))))</f>
        <v>"2013-10-07 16:00:00", -4, 1302247, WCCPH, Automated, TRUE, Sherman L Roberts, 7.567, 202, 7.36, 10/16/2013 15:35, -7 ],[</v>
      </c>
    </row>
    <row r="965" spans="4:4" x14ac:dyDescent="0.25">
      <c r="D965" s="27"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Values'!R",ROW()-LengthHeader,"C2:R",ROW()-LengthHeader,"C",NumFileColumns+2),FALSE))," ],["))))</f>
        <v>"2013-10-07 17:00:00", -4, 1302248, WCCPH, Automated, TRUE, Sherman L Roberts, 7.571, 203, 10.367, 10/19/2013 5:46, -7 ],[</v>
      </c>
    </row>
    <row r="966" spans="4:4" x14ac:dyDescent="0.25">
      <c r="D966" s="27"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Values'!R",ROW()-LengthHeader,"C2:R",ROW()-LengthHeader,"C",NumFileColumns+2),FALSE))," ],["))))</f>
        <v>"2013-10-07 18:00:00", -4, 1302249, WCCPH, Automated, TRUE, Sherman L Roberts, 7.459, 192.3, 13.167, 10/23/2013 18:25, -7 ],[</v>
      </c>
    </row>
    <row r="967" spans="4:4" x14ac:dyDescent="0.25">
      <c r="D967" s="27"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Values'!R",ROW()-LengthHeader,"C2:R",ROW()-LengthHeader,"C",NumFileColumns+2),FALSE))," ],["))))</f>
        <v>"2013-10-07 20:00:00", -4, 1302250, WCCPH, Automated, TRUE, Sherman L Roberts, 7.505, 195.8, 13.967, 10/13/2013 2:21, -7 ],[</v>
      </c>
    </row>
    <row r="968" spans="4:4" x14ac:dyDescent="0.25">
      <c r="D968" s="27"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Values'!R",ROW()-LengthHeader,"C2:R",ROW()-LengthHeader,"C",NumFileColumns+2),FALSE))," ],["))))</f>
        <v>"2013-10-07 23:00:00", -4, 1302251, WCCPH, Automated, TRUE, Sherman L Roberts, 7.591, 209, 11.867, 10/15/2013 20:12, -7 ],[</v>
      </c>
    </row>
    <row r="969" spans="4:4" x14ac:dyDescent="0.25">
      <c r="D969" s="27"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Values'!R",ROW()-LengthHeader,"C2:R",ROW()-LengthHeader,"C",NumFileColumns+2),FALSE))," ],["))))</f>
        <v>"2013-10-08 04:00:00", -4, 1302252, WCCPH, Automated, TRUE, Sherman L Roberts, 7.673, 226, 8.153, 10/9/2013 17:16, -7 ],[</v>
      </c>
    </row>
    <row r="970" spans="4:4" x14ac:dyDescent="0.25">
      <c r="D970" s="27"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Values'!R",ROW()-LengthHeader,"C2:R",ROW()-LengthHeader,"C",NumFileColumns+2),FALSE))," ],["))))</f>
        <v>"2013-10-08 08:00:00", -4, 1302253, WCCPH, Automated, TRUE, Sherman L Roberts, 7.665, 232, 5.81, 10/8/2013 20:15, -7 ],[</v>
      </c>
    </row>
    <row r="971" spans="4:4" x14ac:dyDescent="0.25">
      <c r="D971" s="27"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Values'!R",ROW()-LengthHeader,"C2:R",ROW()-LengthHeader,"C",NumFileColumns+2),FALSE))," ],["))))</f>
        <v>"2013-10-09 22:00:00", -4, 1302316, WCCPH, Automated, TRUE, Sherman L Roberts, 239, 2.387, 10/16/2013 22:01, -7 ],[</v>
      </c>
    </row>
    <row r="972" spans="4:4" x14ac:dyDescent="0.25">
      <c r="D972" s="27"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Values'!R",ROW()-LengthHeader,"C2:R",ROW()-LengthHeader,"C",NumFileColumns+2),FALSE))," ],["))))</f>
        <v>"2013-10-10 14:00:00", -4, 1302317, WCCPH, Automated, TRUE, Sherman L Roberts, 226, 3.423, 10/19/2013 13:17, -7 ],[</v>
      </c>
    </row>
    <row r="973" spans="4:4" x14ac:dyDescent="0.25">
      <c r="D973" s="27"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Values'!R",ROW()-LengthHeader,"C2:R",ROW()-LengthHeader,"C",NumFileColumns+2),FALSE))," ],["))))</f>
        <v>"2013-10-10 18:00:00", -4, 1302318, WCCPH, Automated, TRUE, Sherman L Roberts, 207, 8.437, 10/25/2013 22:13, -7 ],[</v>
      </c>
    </row>
    <row r="974" spans="4:4" x14ac:dyDescent="0.25">
      <c r="D974" s="27"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Values'!R",ROW()-LengthHeader,"C2:R",ROW()-LengthHeader,"C",NumFileColumns+2),FALSE))," ],["))))</f>
        <v>"2013-10-11 02:00:00", -4, 1302320, WCCPH, Automated, TRUE, Sherman L Roberts, 126.4, 12.4, 10/12/2013 2:25, -7 ],[</v>
      </c>
    </row>
    <row r="975" spans="4:4" x14ac:dyDescent="0.25">
      <c r="D975" s="27"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Values'!R",ROW()-LengthHeader,"C2:R",ROW()-LengthHeader,"C",NumFileColumns+2),FALSE))," ],["))))</f>
        <v>"2013-10-11 08:00:00", -4, 1302321, WCCPH, Automated, TRUE, Sherman L Roberts, 87.9, 12.033, 10/28/2013 15:38, -7 ],[</v>
      </c>
    </row>
    <row r="976" spans="4:4" x14ac:dyDescent="0.25">
      <c r="D976" s="27"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Values'!R",ROW()-LengthHeader,"C2:R",ROW()-LengthHeader,"C",NumFileColumns+2),FALSE))," ],["))))</f>
        <v>"2013-10-11 10:00:00", -4, 1302322, WCCPH, Automated, TRUE, Sherman L Roberts, 86.6, 11.733, 10/20/2013 18:56, -7 ],[</v>
      </c>
    </row>
    <row r="977" spans="4:4" x14ac:dyDescent="0.25">
      <c r="D977" s="27"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Values'!R",ROW()-LengthHeader,"C2:R",ROW()-LengthHeader,"C",NumFileColumns+2),FALSE))," ],["))))</f>
        <v>"2013-10-11 16:00:00", -4, 1302323, WCCPH, Automated, TRUE, Sherman L Roberts, 120, 11.633, 10/31/2013 10:42, -7 ],[</v>
      </c>
    </row>
    <row r="978" spans="4:4" x14ac:dyDescent="0.25">
      <c r="D978" s="27"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Values'!R",ROW()-LengthHeader,"C2:R",ROW()-LengthHeader,"C",NumFileColumns+2),FALSE))," ],["))))</f>
        <v>"2013-10-11 22:00:00", -4, 1302324, WCCPH, Automated, TRUE, Sherman L Roberts, 151.1, 10.533, 10/21/2013 4:50, -7 ],[</v>
      </c>
    </row>
    <row r="979" spans="4:4" x14ac:dyDescent="0.25">
      <c r="D979" s="27"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Values'!R",ROW()-LengthHeader,"C2:R",ROW()-LengthHeader,"C",NumFileColumns+2),FALSE))," ],["))))</f>
        <v>"2013-10-12 00:00:00", -4, 1302319, WCCPH, Automated, TRUE, Sherman L Roberts, 197.5, 9.23, 10/27/2013 6:54, -7 ],[</v>
      </c>
    </row>
    <row r="980" spans="4:4" x14ac:dyDescent="0.25">
      <c r="D980" s="27"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Values'!R",ROW()-LengthHeader,"C2:R",ROW()-LengthHeader,"C",NumFileColumns+2),FALSE))," ],["))))</f>
        <v>"2013-10-12 14:00:00", -4, 1302325, WCCPH, Automated, TRUE, Sherman L Roberts, 202, 5.317, 10/29/2013 0:57, -7 ],[</v>
      </c>
    </row>
    <row r="981" spans="4:4" x14ac:dyDescent="0.25">
      <c r="D981" s="27"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Values'!R",ROW()-LengthHeader,"C2:R",ROW()-LengthHeader,"C",NumFileColumns+2),FALSE))," ],["))))</f>
        <v>"2013-10-13 14:00:00", -4, 1302326, WCCPH, Automated, TRUE, Sherman L Roberts, 227, 2.553, 10/31/2013 10:06, -7 ],[</v>
      </c>
    </row>
    <row r="982" spans="4:4" x14ac:dyDescent="0.25">
      <c r="D982" s="27"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Values'!R",ROW()-LengthHeader,"C2:R",ROW()-LengthHeader,"C",NumFileColumns+2),FALSE))," ],["))))</f>
        <v>"2013-10-16 12:15:00", -4, 1302331, WLYATSPENCER, Grab, TRUE, Jennifer R Matkov, 6.934, 283, 8.67, 1.2412, 18.505, 10/22/2013 20:57, -7 ],[</v>
      </c>
    </row>
    <row r="983" spans="4:4" x14ac:dyDescent="0.25">
      <c r="D983" s="27"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Values'!R",ROW()-LengthHeader,"C2:R",ROW()-LengthHeader,"C",NumFileColumns+2),FALSE))," ],["))))</f>
        <v>"2013-10-16 14:00:00", -4, 1302332, WLYMOUTH, Grab, TRUE, Jennifer R Matkov, 7.187, 382, 2.147, 10.2527, 30.967, 10/27/2013 10:37, -7 ],[</v>
      </c>
    </row>
    <row r="984" spans="4:4" x14ac:dyDescent="0.25">
      <c r="D984" s="27"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Values'!R",ROW()-LengthHeader,"C2:R",ROW()-LengthHeader,"C",NumFileColumns+2),FALSE))," ],["))))</f>
        <v>"2013-11-06 11:30:00", -4, 1302520, STA2, Grab, TRUE, Jennifer R Matkov, 7.658, 228, 1.603, 3.457, 20.305, 11/18/2013 9:54, -7 ],[</v>
      </c>
    </row>
    <row r="985" spans="4:4" x14ac:dyDescent="0.25">
      <c r="D985" s="27"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Values'!R",ROW()-LengthHeader,"C2:R",ROW()-LengthHeader,"C",NumFileColumns+2),FALSE))," ],["))))</f>
        <v>"2013-11-06 13:25:00", -4, 1302519, WCCLAB, Grab, TRUE, Jennifer R Matkov, 7.825, 229, 1.67, 3.7268, 23.713, 11/23/2013 2:32, -7 ],[</v>
      </c>
    </row>
    <row r="986" spans="4:4" x14ac:dyDescent="0.25">
      <c r="D986" s="27"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Values'!R",ROW()-LengthHeader,"C2:R",ROW()-LengthHeader,"C",NumFileColumns+2),FALSE))," ],["))))</f>
        <v>"2013-11-06 14:09:00", -4, 1302518, WCD478, Grab, TRUE, Jennifer R Matkov, 7.998, 240, 1.627, 3.6615, 21.629, 11/17/2013 0:25, -7 ],[</v>
      </c>
    </row>
    <row r="987" spans="4:4" x14ac:dyDescent="0.25">
      <c r="D987" s="27"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Values'!R",ROW()-LengthHeader,"C2:R",ROW()-LengthHeader,"C",NumFileColumns+2),FALSE))," ],["))))</f>
        <v>"2013-12-12 10:11:00", -5, 1302790, STA2, Grab, TRUE, Jennifer R Matkov, 7.596, 215, 1.457, 3.5085, 21.396, 12/21/2013 22:14, -7 ],[</v>
      </c>
    </row>
    <row r="988" spans="4:4" x14ac:dyDescent="0.25">
      <c r="D988" s="27"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Values'!R",ROW()-LengthHeader,"C2:R",ROW()-LengthHeader,"C",NumFileColumns+2),FALSE))," ],["))))</f>
        <v>"2013-12-12 13:40:00", -5, 1302789, WCCLAB, Grab, TRUE, Jennifer R Matkov, 7.6, 215, 1.497, 3.8081, 12.435, 12/26/2013 20:22, -7 ],[</v>
      </c>
    </row>
    <row r="989" spans="4:4" x14ac:dyDescent="0.25">
      <c r="D989" s="27"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Values'!R",ROW()-LengthHeader,"C2:R",ROW()-LengthHeader,"C",NumFileColumns+2),FALSE))," ],["))))</f>
        <v>"2013-12-12 14:10:00", -5, 1302788, WCD478, Grab, TRUE, Jennifer R Matkov, 7.611, 231, 1.563, 3.7841, 14.281, 12/14/2013 21:19, -7 ],[</v>
      </c>
    </row>
    <row r="990" spans="4:4" x14ac:dyDescent="0.25">
      <c r="D990" s="27"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Values'!R",ROW()-LengthHeader,"C2:R",ROW()-LengthHeader,"C",NumFileColumns+2),FALSE))," ],["))))</f>
        <v>]]</v>
      </c>
    </row>
    <row r="991" spans="4:4" x14ac:dyDescent="0.25">
      <c r="D991" s="27"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Values'!R",ROW()-LengthHeader,"C2:R",ROW()-LengthHeader,"C",NumFileColumns+2),FALSE))," ],["))))</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85"/>
  <sheetViews>
    <sheetView workbookViewId="0">
      <selection sqref="A1:A990"/>
    </sheetView>
  </sheetViews>
  <sheetFormatPr defaultRowHeight="15" x14ac:dyDescent="0.25"/>
  <sheetData>
    <row r="1" spans="1:1" x14ac:dyDescent="0.25">
      <c r="A1" t="s">
        <v>134</v>
      </c>
    </row>
    <row r="2" spans="1:1" x14ac:dyDescent="0.25">
      <c r="A2" t="s">
        <v>1344</v>
      </c>
    </row>
    <row r="3" spans="1:1" x14ac:dyDescent="0.25">
      <c r="A3" t="s">
        <v>1538</v>
      </c>
    </row>
    <row r="4" spans="1:1" x14ac:dyDescent="0.25">
      <c r="A4" t="s">
        <v>1224</v>
      </c>
    </row>
    <row r="5" spans="1:1" x14ac:dyDescent="0.25">
      <c r="A5" t="s">
        <v>1881</v>
      </c>
    </row>
    <row r="6" spans="1:1" x14ac:dyDescent="0.25">
      <c r="A6" t="s">
        <v>177</v>
      </c>
    </row>
    <row r="7" spans="1:1" x14ac:dyDescent="0.25">
      <c r="A7" t="s">
        <v>1539</v>
      </c>
    </row>
    <row r="8" spans="1:1" x14ac:dyDescent="0.25">
      <c r="A8" t="s">
        <v>1882</v>
      </c>
    </row>
    <row r="9" spans="1:1" x14ac:dyDescent="0.25">
      <c r="A9" s="153" t="s">
        <v>1540</v>
      </c>
    </row>
    <row r="10" spans="1:1" x14ac:dyDescent="0.25">
      <c r="A10" t="s">
        <v>1541</v>
      </c>
    </row>
    <row r="11" spans="1:1" x14ac:dyDescent="0.25">
      <c r="A11" t="s">
        <v>1542</v>
      </c>
    </row>
    <row r="12" spans="1:1" x14ac:dyDescent="0.25">
      <c r="A12" t="s">
        <v>1543</v>
      </c>
    </row>
    <row r="13" spans="1:1" x14ac:dyDescent="0.25">
      <c r="A13" t="s">
        <v>1544</v>
      </c>
    </row>
    <row r="14" spans="1:1" x14ac:dyDescent="0.25">
      <c r="A14" t="s">
        <v>1545</v>
      </c>
    </row>
    <row r="15" spans="1:1" x14ac:dyDescent="0.25">
      <c r="A15" t="s">
        <v>1546</v>
      </c>
    </row>
    <row r="16" spans="1:1" x14ac:dyDescent="0.25">
      <c r="A16" t="s">
        <v>175</v>
      </c>
    </row>
    <row r="17" spans="1:1" x14ac:dyDescent="0.25">
      <c r="A17" t="s">
        <v>1547</v>
      </c>
    </row>
    <row r="18" spans="1:1" x14ac:dyDescent="0.25">
      <c r="A18" t="s">
        <v>1548</v>
      </c>
    </row>
    <row r="19" spans="1:1" x14ac:dyDescent="0.25">
      <c r="A19" t="s">
        <v>1549</v>
      </c>
    </row>
    <row r="20" spans="1:1" x14ac:dyDescent="0.25">
      <c r="A20" t="s">
        <v>1550</v>
      </c>
    </row>
    <row r="21" spans="1:1" x14ac:dyDescent="0.25">
      <c r="A21" t="s">
        <v>1551</v>
      </c>
    </row>
    <row r="22" spans="1:1" x14ac:dyDescent="0.25">
      <c r="A22" t="s">
        <v>1552</v>
      </c>
    </row>
    <row r="23" spans="1:1" x14ac:dyDescent="0.25">
      <c r="A23" t="s">
        <v>1553</v>
      </c>
    </row>
    <row r="24" spans="1:1" x14ac:dyDescent="0.25">
      <c r="A24" t="s">
        <v>1554</v>
      </c>
    </row>
    <row r="25" spans="1:1" x14ac:dyDescent="0.25">
      <c r="A25" t="s">
        <v>178</v>
      </c>
    </row>
    <row r="26" spans="1:1" x14ac:dyDescent="0.25">
      <c r="A26" t="s">
        <v>1555</v>
      </c>
    </row>
    <row r="27" spans="1:1" x14ac:dyDescent="0.25">
      <c r="A27" t="s">
        <v>1556</v>
      </c>
    </row>
    <row r="28" spans="1:1" x14ac:dyDescent="0.25">
      <c r="A28" t="s">
        <v>1557</v>
      </c>
    </row>
    <row r="29" spans="1:1" x14ac:dyDescent="0.25">
      <c r="A29" t="s">
        <v>1558</v>
      </c>
    </row>
    <row r="30" spans="1:1" x14ac:dyDescent="0.25">
      <c r="A30" t="s">
        <v>1559</v>
      </c>
    </row>
    <row r="31" spans="1:1" x14ac:dyDescent="0.25">
      <c r="A31" t="s">
        <v>1560</v>
      </c>
    </row>
    <row r="32" spans="1:1" x14ac:dyDescent="0.25">
      <c r="A32" t="s">
        <v>1561</v>
      </c>
    </row>
    <row r="33" spans="1:1" x14ac:dyDescent="0.25">
      <c r="A33" t="s">
        <v>1562</v>
      </c>
    </row>
    <row r="34" spans="1:1" x14ac:dyDescent="0.25">
      <c r="A34" t="s">
        <v>1563</v>
      </c>
    </row>
    <row r="35" spans="1:1" x14ac:dyDescent="0.25">
      <c r="A35" t="s">
        <v>1564</v>
      </c>
    </row>
    <row r="36" spans="1:1" x14ac:dyDescent="0.25">
      <c r="A36" t="s">
        <v>1565</v>
      </c>
    </row>
    <row r="37" spans="1:1" x14ac:dyDescent="0.25">
      <c r="A37" t="s">
        <v>1566</v>
      </c>
    </row>
    <row r="38" spans="1:1" x14ac:dyDescent="0.25">
      <c r="A38" t="s">
        <v>214</v>
      </c>
    </row>
    <row r="39" spans="1:1" x14ac:dyDescent="0.25">
      <c r="A39" t="s">
        <v>1567</v>
      </c>
    </row>
    <row r="40" spans="1:1" x14ac:dyDescent="0.25">
      <c r="A40" t="s">
        <v>215</v>
      </c>
    </row>
    <row r="41" spans="1:1" x14ac:dyDescent="0.25">
      <c r="A41" t="s">
        <v>1883</v>
      </c>
    </row>
    <row r="42" spans="1:1" x14ac:dyDescent="0.25">
      <c r="A42" t="s">
        <v>1884</v>
      </c>
    </row>
    <row r="43" spans="1:1" x14ac:dyDescent="0.25">
      <c r="A43" t="s">
        <v>1885</v>
      </c>
    </row>
    <row r="44" spans="1:1" x14ac:dyDescent="0.25">
      <c r="A44" t="s">
        <v>1886</v>
      </c>
    </row>
    <row r="45" spans="1:1" x14ac:dyDescent="0.25">
      <c r="A45" t="s">
        <v>1887</v>
      </c>
    </row>
    <row r="46" spans="1:1" x14ac:dyDescent="0.25">
      <c r="A46" t="s">
        <v>1888</v>
      </c>
    </row>
    <row r="47" spans="1:1" x14ac:dyDescent="0.25">
      <c r="A47" t="s">
        <v>1889</v>
      </c>
    </row>
    <row r="48" spans="1:1" x14ac:dyDescent="0.25">
      <c r="A48" t="s">
        <v>2190</v>
      </c>
    </row>
    <row r="49" spans="1:1" x14ac:dyDescent="0.25">
      <c r="A49" t="s">
        <v>2191</v>
      </c>
    </row>
    <row r="50" spans="1:1" x14ac:dyDescent="0.25">
      <c r="A50" t="s">
        <v>2192</v>
      </c>
    </row>
    <row r="51" spans="1:1" x14ac:dyDescent="0.25">
      <c r="A51" t="s">
        <v>2193</v>
      </c>
    </row>
    <row r="52" spans="1:1" x14ac:dyDescent="0.25">
      <c r="A52" t="s">
        <v>2194</v>
      </c>
    </row>
    <row r="53" spans="1:1" x14ac:dyDescent="0.25">
      <c r="A53" t="s">
        <v>2195</v>
      </c>
    </row>
    <row r="54" spans="1:1" x14ac:dyDescent="0.25">
      <c r="A54" t="s">
        <v>2196</v>
      </c>
    </row>
    <row r="55" spans="1:1" x14ac:dyDescent="0.25">
      <c r="A55" t="s">
        <v>2197</v>
      </c>
    </row>
    <row r="56" spans="1:1" x14ac:dyDescent="0.25">
      <c r="A56" t="s">
        <v>2198</v>
      </c>
    </row>
    <row r="57" spans="1:1" x14ac:dyDescent="0.25">
      <c r="A57" t="s">
        <v>2199</v>
      </c>
    </row>
    <row r="58" spans="1:1" x14ac:dyDescent="0.25">
      <c r="A58" t="s">
        <v>2200</v>
      </c>
    </row>
    <row r="59" spans="1:1" x14ac:dyDescent="0.25">
      <c r="A59" t="s">
        <v>2201</v>
      </c>
    </row>
    <row r="60" spans="1:1" x14ac:dyDescent="0.25">
      <c r="A60" t="s">
        <v>2202</v>
      </c>
    </row>
    <row r="61" spans="1:1" x14ac:dyDescent="0.25">
      <c r="A61" t="s">
        <v>2203</v>
      </c>
    </row>
    <row r="62" spans="1:1" x14ac:dyDescent="0.25">
      <c r="A62" t="s">
        <v>2204</v>
      </c>
    </row>
    <row r="63" spans="1:1" x14ac:dyDescent="0.25">
      <c r="A63" t="s">
        <v>2205</v>
      </c>
    </row>
    <row r="64" spans="1:1" x14ac:dyDescent="0.25">
      <c r="A64" t="s">
        <v>2206</v>
      </c>
    </row>
    <row r="65" spans="1:1" x14ac:dyDescent="0.25">
      <c r="A65" t="s">
        <v>2207</v>
      </c>
    </row>
    <row r="66" spans="1:1" x14ac:dyDescent="0.25">
      <c r="A66" t="s">
        <v>2208</v>
      </c>
    </row>
    <row r="67" spans="1:1" x14ac:dyDescent="0.25">
      <c r="A67" t="s">
        <v>2209</v>
      </c>
    </row>
    <row r="68" spans="1:1" x14ac:dyDescent="0.25">
      <c r="A68" t="s">
        <v>2210</v>
      </c>
    </row>
    <row r="69" spans="1:1" x14ac:dyDescent="0.25">
      <c r="A69" t="s">
        <v>2211</v>
      </c>
    </row>
    <row r="70" spans="1:1" x14ac:dyDescent="0.25">
      <c r="A70" t="s">
        <v>2212</v>
      </c>
    </row>
    <row r="71" spans="1:1" x14ac:dyDescent="0.25">
      <c r="A71" t="s">
        <v>2213</v>
      </c>
    </row>
    <row r="72" spans="1:1" x14ac:dyDescent="0.25">
      <c r="A72" t="s">
        <v>2214</v>
      </c>
    </row>
    <row r="73" spans="1:1" x14ac:dyDescent="0.25">
      <c r="A73" t="s">
        <v>2215</v>
      </c>
    </row>
    <row r="74" spans="1:1" x14ac:dyDescent="0.25">
      <c r="A74" t="s">
        <v>2216</v>
      </c>
    </row>
    <row r="75" spans="1:1" x14ac:dyDescent="0.25">
      <c r="A75" t="s">
        <v>2217</v>
      </c>
    </row>
    <row r="76" spans="1:1" x14ac:dyDescent="0.25">
      <c r="A76" t="s">
        <v>2218</v>
      </c>
    </row>
    <row r="77" spans="1:1" x14ac:dyDescent="0.25">
      <c r="A77" t="s">
        <v>2219</v>
      </c>
    </row>
    <row r="78" spans="1:1" x14ac:dyDescent="0.25">
      <c r="A78" t="s">
        <v>2220</v>
      </c>
    </row>
    <row r="79" spans="1:1" x14ac:dyDescent="0.25">
      <c r="A79" t="s">
        <v>2221</v>
      </c>
    </row>
    <row r="80" spans="1:1" x14ac:dyDescent="0.25">
      <c r="A80" t="s">
        <v>2222</v>
      </c>
    </row>
    <row r="81" spans="1:1" x14ac:dyDescent="0.25">
      <c r="A81" t="s">
        <v>2223</v>
      </c>
    </row>
    <row r="82" spans="1:1" x14ac:dyDescent="0.25">
      <c r="A82" t="s">
        <v>2224</v>
      </c>
    </row>
    <row r="83" spans="1:1" x14ac:dyDescent="0.25">
      <c r="A83" t="s">
        <v>2225</v>
      </c>
    </row>
    <row r="84" spans="1:1" x14ac:dyDescent="0.25">
      <c r="A84" t="s">
        <v>2226</v>
      </c>
    </row>
    <row r="85" spans="1:1" x14ac:dyDescent="0.25">
      <c r="A85" t="s">
        <v>2227</v>
      </c>
    </row>
    <row r="86" spans="1:1" x14ac:dyDescent="0.25">
      <c r="A86" t="s">
        <v>2228</v>
      </c>
    </row>
    <row r="87" spans="1:1" x14ac:dyDescent="0.25">
      <c r="A87" t="s">
        <v>2229</v>
      </c>
    </row>
    <row r="88" spans="1:1" x14ac:dyDescent="0.25">
      <c r="A88" t="s">
        <v>2230</v>
      </c>
    </row>
    <row r="89" spans="1:1" x14ac:dyDescent="0.25">
      <c r="A89" t="s">
        <v>2231</v>
      </c>
    </row>
    <row r="90" spans="1:1" x14ac:dyDescent="0.25">
      <c r="A90" t="s">
        <v>2232</v>
      </c>
    </row>
    <row r="91" spans="1:1" x14ac:dyDescent="0.25">
      <c r="A91" t="s">
        <v>2233</v>
      </c>
    </row>
    <row r="92" spans="1:1" x14ac:dyDescent="0.25">
      <c r="A92" t="s">
        <v>2234</v>
      </c>
    </row>
    <row r="93" spans="1:1" x14ac:dyDescent="0.25">
      <c r="A93" t="s">
        <v>2235</v>
      </c>
    </row>
    <row r="94" spans="1:1" x14ac:dyDescent="0.25">
      <c r="A94" t="s">
        <v>2236</v>
      </c>
    </row>
    <row r="95" spans="1:1" x14ac:dyDescent="0.25">
      <c r="A95" t="s">
        <v>2237</v>
      </c>
    </row>
    <row r="96" spans="1:1" x14ac:dyDescent="0.25">
      <c r="A96" t="s">
        <v>2238</v>
      </c>
    </row>
    <row r="97" spans="1:1" x14ac:dyDescent="0.25">
      <c r="A97" t="s">
        <v>2239</v>
      </c>
    </row>
    <row r="98" spans="1:1" x14ac:dyDescent="0.25">
      <c r="A98" t="s">
        <v>2240</v>
      </c>
    </row>
    <row r="99" spans="1:1" x14ac:dyDescent="0.25">
      <c r="A99" t="s">
        <v>2241</v>
      </c>
    </row>
    <row r="100" spans="1:1" x14ac:dyDescent="0.25">
      <c r="A100" t="s">
        <v>2242</v>
      </c>
    </row>
    <row r="101" spans="1:1" x14ac:dyDescent="0.25">
      <c r="A101" t="s">
        <v>2243</v>
      </c>
    </row>
    <row r="102" spans="1:1" x14ac:dyDescent="0.25">
      <c r="A102" t="s">
        <v>2244</v>
      </c>
    </row>
    <row r="103" spans="1:1" x14ac:dyDescent="0.25">
      <c r="A103" t="s">
        <v>2245</v>
      </c>
    </row>
    <row r="104" spans="1:1" x14ac:dyDescent="0.25">
      <c r="A104" t="s">
        <v>2246</v>
      </c>
    </row>
    <row r="105" spans="1:1" x14ac:dyDescent="0.25">
      <c r="A105" t="s">
        <v>2247</v>
      </c>
    </row>
    <row r="106" spans="1:1" x14ac:dyDescent="0.25">
      <c r="A106" t="s">
        <v>2248</v>
      </c>
    </row>
    <row r="107" spans="1:1" x14ac:dyDescent="0.25">
      <c r="A107" t="s">
        <v>2249</v>
      </c>
    </row>
    <row r="108" spans="1:1" x14ac:dyDescent="0.25">
      <c r="A108" t="s">
        <v>2250</v>
      </c>
    </row>
    <row r="109" spans="1:1" x14ac:dyDescent="0.25">
      <c r="A109" t="s">
        <v>2251</v>
      </c>
    </row>
    <row r="110" spans="1:1" x14ac:dyDescent="0.25">
      <c r="A110" t="s">
        <v>2252</v>
      </c>
    </row>
    <row r="111" spans="1:1" x14ac:dyDescent="0.25">
      <c r="A111" t="s">
        <v>2253</v>
      </c>
    </row>
    <row r="112" spans="1:1" x14ac:dyDescent="0.25">
      <c r="A112" t="s">
        <v>2254</v>
      </c>
    </row>
    <row r="113" spans="1:1" x14ac:dyDescent="0.25">
      <c r="A113" t="s">
        <v>2255</v>
      </c>
    </row>
    <row r="114" spans="1:1" x14ac:dyDescent="0.25">
      <c r="A114" t="s">
        <v>2256</v>
      </c>
    </row>
    <row r="115" spans="1:1" x14ac:dyDescent="0.25">
      <c r="A115" t="s">
        <v>2257</v>
      </c>
    </row>
    <row r="116" spans="1:1" x14ac:dyDescent="0.25">
      <c r="A116" t="s">
        <v>2258</v>
      </c>
    </row>
    <row r="117" spans="1:1" x14ac:dyDescent="0.25">
      <c r="A117" t="s">
        <v>2259</v>
      </c>
    </row>
    <row r="118" spans="1:1" x14ac:dyDescent="0.25">
      <c r="A118" t="s">
        <v>2260</v>
      </c>
    </row>
    <row r="119" spans="1:1" x14ac:dyDescent="0.25">
      <c r="A119" t="s">
        <v>2261</v>
      </c>
    </row>
    <row r="120" spans="1:1" x14ac:dyDescent="0.25">
      <c r="A120" t="s">
        <v>2262</v>
      </c>
    </row>
    <row r="121" spans="1:1" x14ac:dyDescent="0.25">
      <c r="A121" t="s">
        <v>2263</v>
      </c>
    </row>
    <row r="122" spans="1:1" x14ac:dyDescent="0.25">
      <c r="A122" t="s">
        <v>2264</v>
      </c>
    </row>
    <row r="123" spans="1:1" x14ac:dyDescent="0.25">
      <c r="A123" t="s">
        <v>2265</v>
      </c>
    </row>
    <row r="124" spans="1:1" x14ac:dyDescent="0.25">
      <c r="A124" t="s">
        <v>2266</v>
      </c>
    </row>
    <row r="125" spans="1:1" x14ac:dyDescent="0.25">
      <c r="A125" t="s">
        <v>2267</v>
      </c>
    </row>
    <row r="126" spans="1:1" x14ac:dyDescent="0.25">
      <c r="A126" t="s">
        <v>2268</v>
      </c>
    </row>
    <row r="127" spans="1:1" x14ac:dyDescent="0.25">
      <c r="A127" t="s">
        <v>2269</v>
      </c>
    </row>
    <row r="128" spans="1:1" x14ac:dyDescent="0.25">
      <c r="A128" t="s">
        <v>2270</v>
      </c>
    </row>
    <row r="129" spans="1:1" x14ac:dyDescent="0.25">
      <c r="A129" t="s">
        <v>2271</v>
      </c>
    </row>
    <row r="130" spans="1:1" x14ac:dyDescent="0.25">
      <c r="A130" t="s">
        <v>2272</v>
      </c>
    </row>
    <row r="131" spans="1:1" x14ac:dyDescent="0.25">
      <c r="A131" t="s">
        <v>2273</v>
      </c>
    </row>
    <row r="132" spans="1:1" x14ac:dyDescent="0.25">
      <c r="A132" t="s">
        <v>2274</v>
      </c>
    </row>
    <row r="133" spans="1:1" x14ac:dyDescent="0.25">
      <c r="A133" t="s">
        <v>2275</v>
      </c>
    </row>
    <row r="134" spans="1:1" x14ac:dyDescent="0.25">
      <c r="A134" t="s">
        <v>2276</v>
      </c>
    </row>
    <row r="135" spans="1:1" x14ac:dyDescent="0.25">
      <c r="A135" t="s">
        <v>2277</v>
      </c>
    </row>
    <row r="136" spans="1:1" x14ac:dyDescent="0.25">
      <c r="A136" t="s">
        <v>2278</v>
      </c>
    </row>
    <row r="137" spans="1:1" x14ac:dyDescent="0.25">
      <c r="A137" t="s">
        <v>2279</v>
      </c>
    </row>
    <row r="138" spans="1:1" x14ac:dyDescent="0.25">
      <c r="A138" t="s">
        <v>2280</v>
      </c>
    </row>
    <row r="139" spans="1:1" x14ac:dyDescent="0.25">
      <c r="A139" t="s">
        <v>2281</v>
      </c>
    </row>
    <row r="140" spans="1:1" x14ac:dyDescent="0.25">
      <c r="A140" t="s">
        <v>2282</v>
      </c>
    </row>
    <row r="141" spans="1:1" x14ac:dyDescent="0.25">
      <c r="A141" t="s">
        <v>2283</v>
      </c>
    </row>
    <row r="142" spans="1:1" x14ac:dyDescent="0.25">
      <c r="A142" t="s">
        <v>2284</v>
      </c>
    </row>
    <row r="143" spans="1:1" x14ac:dyDescent="0.25">
      <c r="A143" t="s">
        <v>2285</v>
      </c>
    </row>
    <row r="144" spans="1:1" x14ac:dyDescent="0.25">
      <c r="A144" t="s">
        <v>2286</v>
      </c>
    </row>
    <row r="145" spans="1:1" x14ac:dyDescent="0.25">
      <c r="A145" t="s">
        <v>2287</v>
      </c>
    </row>
    <row r="146" spans="1:1" x14ac:dyDescent="0.25">
      <c r="A146" t="s">
        <v>2288</v>
      </c>
    </row>
    <row r="147" spans="1:1" x14ac:dyDescent="0.25">
      <c r="A147" t="s">
        <v>2289</v>
      </c>
    </row>
    <row r="148" spans="1:1" x14ac:dyDescent="0.25">
      <c r="A148" t="s">
        <v>2290</v>
      </c>
    </row>
    <row r="149" spans="1:1" x14ac:dyDescent="0.25">
      <c r="A149" t="s">
        <v>2291</v>
      </c>
    </row>
    <row r="150" spans="1:1" x14ac:dyDescent="0.25">
      <c r="A150" t="s">
        <v>2292</v>
      </c>
    </row>
    <row r="151" spans="1:1" x14ac:dyDescent="0.25">
      <c r="A151" t="s">
        <v>2293</v>
      </c>
    </row>
    <row r="152" spans="1:1" x14ac:dyDescent="0.25">
      <c r="A152" t="s">
        <v>2294</v>
      </c>
    </row>
    <row r="153" spans="1:1" x14ac:dyDescent="0.25">
      <c r="A153" t="s">
        <v>2295</v>
      </c>
    </row>
    <row r="154" spans="1:1" x14ac:dyDescent="0.25">
      <c r="A154" t="s">
        <v>2296</v>
      </c>
    </row>
    <row r="155" spans="1:1" x14ac:dyDescent="0.25">
      <c r="A155" t="s">
        <v>2297</v>
      </c>
    </row>
    <row r="156" spans="1:1" x14ac:dyDescent="0.25">
      <c r="A156" t="s">
        <v>2298</v>
      </c>
    </row>
    <row r="157" spans="1:1" x14ac:dyDescent="0.25">
      <c r="A157" t="s">
        <v>2299</v>
      </c>
    </row>
    <row r="158" spans="1:1" x14ac:dyDescent="0.25">
      <c r="A158" t="s">
        <v>2300</v>
      </c>
    </row>
    <row r="159" spans="1:1" x14ac:dyDescent="0.25">
      <c r="A159" t="s">
        <v>2301</v>
      </c>
    </row>
    <row r="160" spans="1:1" x14ac:dyDescent="0.25">
      <c r="A160" t="s">
        <v>2302</v>
      </c>
    </row>
    <row r="161" spans="1:1" x14ac:dyDescent="0.25">
      <c r="A161" t="s">
        <v>2303</v>
      </c>
    </row>
    <row r="162" spans="1:1" x14ac:dyDescent="0.25">
      <c r="A162" t="s">
        <v>2304</v>
      </c>
    </row>
    <row r="163" spans="1:1" x14ac:dyDescent="0.25">
      <c r="A163" t="s">
        <v>2305</v>
      </c>
    </row>
    <row r="164" spans="1:1" x14ac:dyDescent="0.25">
      <c r="A164" t="s">
        <v>2306</v>
      </c>
    </row>
    <row r="165" spans="1:1" x14ac:dyDescent="0.25">
      <c r="A165" t="s">
        <v>2307</v>
      </c>
    </row>
    <row r="166" spans="1:1" x14ac:dyDescent="0.25">
      <c r="A166" t="s">
        <v>2308</v>
      </c>
    </row>
    <row r="167" spans="1:1" x14ac:dyDescent="0.25">
      <c r="A167" t="s">
        <v>2309</v>
      </c>
    </row>
    <row r="168" spans="1:1" x14ac:dyDescent="0.25">
      <c r="A168" t="s">
        <v>2310</v>
      </c>
    </row>
    <row r="169" spans="1:1" x14ac:dyDescent="0.25">
      <c r="A169" t="s">
        <v>2311</v>
      </c>
    </row>
    <row r="170" spans="1:1" x14ac:dyDescent="0.25">
      <c r="A170" t="s">
        <v>2312</v>
      </c>
    </row>
    <row r="171" spans="1:1" x14ac:dyDescent="0.25">
      <c r="A171" t="s">
        <v>2313</v>
      </c>
    </row>
    <row r="172" spans="1:1" x14ac:dyDescent="0.25">
      <c r="A172" t="s">
        <v>2314</v>
      </c>
    </row>
    <row r="173" spans="1:1" x14ac:dyDescent="0.25">
      <c r="A173" t="s">
        <v>2315</v>
      </c>
    </row>
    <row r="174" spans="1:1" x14ac:dyDescent="0.25">
      <c r="A174" t="s">
        <v>2316</v>
      </c>
    </row>
    <row r="175" spans="1:1" x14ac:dyDescent="0.25">
      <c r="A175" t="s">
        <v>2317</v>
      </c>
    </row>
    <row r="176" spans="1:1" x14ac:dyDescent="0.25">
      <c r="A176" t="s">
        <v>2318</v>
      </c>
    </row>
    <row r="177" spans="1:1" x14ac:dyDescent="0.25">
      <c r="A177" t="s">
        <v>2319</v>
      </c>
    </row>
    <row r="178" spans="1:1" x14ac:dyDescent="0.25">
      <c r="A178" t="s">
        <v>2320</v>
      </c>
    </row>
    <row r="179" spans="1:1" x14ac:dyDescent="0.25">
      <c r="A179" t="s">
        <v>2321</v>
      </c>
    </row>
    <row r="180" spans="1:1" x14ac:dyDescent="0.25">
      <c r="A180" t="s">
        <v>2322</v>
      </c>
    </row>
    <row r="181" spans="1:1" x14ac:dyDescent="0.25">
      <c r="A181" t="s">
        <v>2323</v>
      </c>
    </row>
    <row r="182" spans="1:1" x14ac:dyDescent="0.25">
      <c r="A182" t="s">
        <v>2324</v>
      </c>
    </row>
    <row r="183" spans="1:1" x14ac:dyDescent="0.25">
      <c r="A183" t="s">
        <v>2325</v>
      </c>
    </row>
    <row r="184" spans="1:1" x14ac:dyDescent="0.25">
      <c r="A184" t="s">
        <v>2326</v>
      </c>
    </row>
    <row r="185" spans="1:1" x14ac:dyDescent="0.25">
      <c r="A185" t="s">
        <v>2327</v>
      </c>
    </row>
    <row r="186" spans="1:1" x14ac:dyDescent="0.25">
      <c r="A186" t="s">
        <v>2328</v>
      </c>
    </row>
    <row r="187" spans="1:1" x14ac:dyDescent="0.25">
      <c r="A187" t="s">
        <v>2329</v>
      </c>
    </row>
    <row r="188" spans="1:1" x14ac:dyDescent="0.25">
      <c r="A188" t="s">
        <v>2330</v>
      </c>
    </row>
    <row r="189" spans="1:1" x14ac:dyDescent="0.25">
      <c r="A189" t="s">
        <v>2331</v>
      </c>
    </row>
    <row r="190" spans="1:1" x14ac:dyDescent="0.25">
      <c r="A190" t="s">
        <v>2332</v>
      </c>
    </row>
    <row r="191" spans="1:1" x14ac:dyDescent="0.25">
      <c r="A191" t="s">
        <v>2333</v>
      </c>
    </row>
    <row r="192" spans="1:1" x14ac:dyDescent="0.25">
      <c r="A192" t="s">
        <v>2334</v>
      </c>
    </row>
    <row r="193" spans="1:1" x14ac:dyDescent="0.25">
      <c r="A193" t="s">
        <v>2335</v>
      </c>
    </row>
    <row r="194" spans="1:1" x14ac:dyDescent="0.25">
      <c r="A194" t="s">
        <v>2336</v>
      </c>
    </row>
    <row r="195" spans="1:1" x14ac:dyDescent="0.25">
      <c r="A195" t="s">
        <v>2337</v>
      </c>
    </row>
    <row r="196" spans="1:1" x14ac:dyDescent="0.25">
      <c r="A196" t="s">
        <v>2338</v>
      </c>
    </row>
    <row r="197" spans="1:1" x14ac:dyDescent="0.25">
      <c r="A197" t="s">
        <v>2339</v>
      </c>
    </row>
    <row r="198" spans="1:1" x14ac:dyDescent="0.25">
      <c r="A198" t="s">
        <v>2340</v>
      </c>
    </row>
    <row r="199" spans="1:1" x14ac:dyDescent="0.25">
      <c r="A199" t="s">
        <v>2341</v>
      </c>
    </row>
    <row r="200" spans="1:1" x14ac:dyDescent="0.25">
      <c r="A200" t="s">
        <v>2342</v>
      </c>
    </row>
    <row r="201" spans="1:1" x14ac:dyDescent="0.25">
      <c r="A201" t="s">
        <v>2343</v>
      </c>
    </row>
    <row r="202" spans="1:1" x14ac:dyDescent="0.25">
      <c r="A202" t="s">
        <v>2344</v>
      </c>
    </row>
    <row r="203" spans="1:1" x14ac:dyDescent="0.25">
      <c r="A203" t="s">
        <v>2345</v>
      </c>
    </row>
    <row r="204" spans="1:1" x14ac:dyDescent="0.25">
      <c r="A204" t="s">
        <v>2346</v>
      </c>
    </row>
    <row r="205" spans="1:1" x14ac:dyDescent="0.25">
      <c r="A205" t="s">
        <v>2347</v>
      </c>
    </row>
    <row r="206" spans="1:1" x14ac:dyDescent="0.25">
      <c r="A206" t="s">
        <v>2348</v>
      </c>
    </row>
    <row r="207" spans="1:1" x14ac:dyDescent="0.25">
      <c r="A207" t="s">
        <v>2349</v>
      </c>
    </row>
    <row r="208" spans="1:1" x14ac:dyDescent="0.25">
      <c r="A208" t="s">
        <v>2350</v>
      </c>
    </row>
    <row r="209" spans="1:1" x14ac:dyDescent="0.25">
      <c r="A209" t="s">
        <v>2351</v>
      </c>
    </row>
    <row r="210" spans="1:1" x14ac:dyDescent="0.25">
      <c r="A210" t="s">
        <v>2352</v>
      </c>
    </row>
    <row r="211" spans="1:1" x14ac:dyDescent="0.25">
      <c r="A211" t="s">
        <v>2353</v>
      </c>
    </row>
    <row r="212" spans="1:1" x14ac:dyDescent="0.25">
      <c r="A212" t="s">
        <v>2354</v>
      </c>
    </row>
    <row r="213" spans="1:1" x14ac:dyDescent="0.25">
      <c r="A213" t="s">
        <v>2355</v>
      </c>
    </row>
    <row r="214" spans="1:1" x14ac:dyDescent="0.25">
      <c r="A214" t="s">
        <v>2356</v>
      </c>
    </row>
    <row r="215" spans="1:1" x14ac:dyDescent="0.25">
      <c r="A215" t="s">
        <v>2357</v>
      </c>
    </row>
    <row r="216" spans="1:1" x14ac:dyDescent="0.25">
      <c r="A216" t="s">
        <v>2358</v>
      </c>
    </row>
    <row r="217" spans="1:1" x14ac:dyDescent="0.25">
      <c r="A217" t="s">
        <v>2359</v>
      </c>
    </row>
    <row r="218" spans="1:1" x14ac:dyDescent="0.25">
      <c r="A218" t="s">
        <v>2360</v>
      </c>
    </row>
    <row r="219" spans="1:1" x14ac:dyDescent="0.25">
      <c r="A219" t="s">
        <v>2361</v>
      </c>
    </row>
    <row r="220" spans="1:1" x14ac:dyDescent="0.25">
      <c r="A220" t="s">
        <v>2362</v>
      </c>
    </row>
    <row r="221" spans="1:1" x14ac:dyDescent="0.25">
      <c r="A221" t="s">
        <v>2363</v>
      </c>
    </row>
    <row r="222" spans="1:1" x14ac:dyDescent="0.25">
      <c r="A222" t="s">
        <v>2364</v>
      </c>
    </row>
    <row r="223" spans="1:1" x14ac:dyDescent="0.25">
      <c r="A223" t="s">
        <v>2365</v>
      </c>
    </row>
    <row r="224" spans="1:1" x14ac:dyDescent="0.25">
      <c r="A224" t="s">
        <v>2366</v>
      </c>
    </row>
    <row r="225" spans="1:1" x14ac:dyDescent="0.25">
      <c r="A225" t="s">
        <v>2367</v>
      </c>
    </row>
    <row r="226" spans="1:1" x14ac:dyDescent="0.25">
      <c r="A226" t="s">
        <v>2368</v>
      </c>
    </row>
    <row r="227" spans="1:1" x14ac:dyDescent="0.25">
      <c r="A227" t="s">
        <v>2369</v>
      </c>
    </row>
    <row r="228" spans="1:1" x14ac:dyDescent="0.25">
      <c r="A228" t="s">
        <v>2370</v>
      </c>
    </row>
    <row r="229" spans="1:1" x14ac:dyDescent="0.25">
      <c r="A229" t="s">
        <v>2371</v>
      </c>
    </row>
    <row r="230" spans="1:1" x14ac:dyDescent="0.25">
      <c r="A230" t="s">
        <v>2372</v>
      </c>
    </row>
    <row r="231" spans="1:1" x14ac:dyDescent="0.25">
      <c r="A231" t="s">
        <v>2373</v>
      </c>
    </row>
    <row r="232" spans="1:1" x14ac:dyDescent="0.25">
      <c r="A232" t="s">
        <v>2374</v>
      </c>
    </row>
    <row r="233" spans="1:1" x14ac:dyDescent="0.25">
      <c r="A233" t="s">
        <v>2375</v>
      </c>
    </row>
    <row r="234" spans="1:1" x14ac:dyDescent="0.25">
      <c r="A234" t="s">
        <v>2376</v>
      </c>
    </row>
    <row r="235" spans="1:1" x14ac:dyDescent="0.25">
      <c r="A235" t="s">
        <v>2377</v>
      </c>
    </row>
    <row r="236" spans="1:1" x14ac:dyDescent="0.25">
      <c r="A236" t="s">
        <v>2378</v>
      </c>
    </row>
    <row r="237" spans="1:1" x14ac:dyDescent="0.25">
      <c r="A237" t="s">
        <v>2379</v>
      </c>
    </row>
    <row r="238" spans="1:1" x14ac:dyDescent="0.25">
      <c r="A238" t="s">
        <v>2380</v>
      </c>
    </row>
    <row r="239" spans="1:1" x14ac:dyDescent="0.25">
      <c r="A239" t="s">
        <v>2381</v>
      </c>
    </row>
    <row r="240" spans="1:1" x14ac:dyDescent="0.25">
      <c r="A240" t="s">
        <v>2382</v>
      </c>
    </row>
    <row r="241" spans="1:1" x14ac:dyDescent="0.25">
      <c r="A241" t="s">
        <v>2383</v>
      </c>
    </row>
    <row r="242" spans="1:1" x14ac:dyDescent="0.25">
      <c r="A242" t="s">
        <v>2384</v>
      </c>
    </row>
    <row r="243" spans="1:1" x14ac:dyDescent="0.25">
      <c r="A243" t="s">
        <v>2385</v>
      </c>
    </row>
    <row r="244" spans="1:1" x14ac:dyDescent="0.25">
      <c r="A244" t="s">
        <v>2386</v>
      </c>
    </row>
    <row r="245" spans="1:1" x14ac:dyDescent="0.25">
      <c r="A245" t="s">
        <v>2387</v>
      </c>
    </row>
    <row r="246" spans="1:1" x14ac:dyDescent="0.25">
      <c r="A246" t="s">
        <v>2388</v>
      </c>
    </row>
    <row r="247" spans="1:1" x14ac:dyDescent="0.25">
      <c r="A247" t="s">
        <v>2389</v>
      </c>
    </row>
    <row r="248" spans="1:1" x14ac:dyDescent="0.25">
      <c r="A248" t="s">
        <v>2390</v>
      </c>
    </row>
    <row r="249" spans="1:1" x14ac:dyDescent="0.25">
      <c r="A249" t="s">
        <v>2391</v>
      </c>
    </row>
    <row r="250" spans="1:1" x14ac:dyDescent="0.25">
      <c r="A250" t="s">
        <v>2392</v>
      </c>
    </row>
    <row r="251" spans="1:1" x14ac:dyDescent="0.25">
      <c r="A251" t="s">
        <v>2393</v>
      </c>
    </row>
    <row r="252" spans="1:1" x14ac:dyDescent="0.25">
      <c r="A252" t="s">
        <v>2394</v>
      </c>
    </row>
    <row r="253" spans="1:1" x14ac:dyDescent="0.25">
      <c r="A253" t="s">
        <v>2395</v>
      </c>
    </row>
    <row r="254" spans="1:1" x14ac:dyDescent="0.25">
      <c r="A254" t="s">
        <v>2396</v>
      </c>
    </row>
    <row r="255" spans="1:1" x14ac:dyDescent="0.25">
      <c r="A255" t="s">
        <v>2397</v>
      </c>
    </row>
    <row r="256" spans="1:1" x14ac:dyDescent="0.25">
      <c r="A256" t="s">
        <v>2398</v>
      </c>
    </row>
    <row r="257" spans="1:1" x14ac:dyDescent="0.25">
      <c r="A257" t="s">
        <v>2399</v>
      </c>
    </row>
    <row r="258" spans="1:1" x14ac:dyDescent="0.25">
      <c r="A258" t="s">
        <v>2400</v>
      </c>
    </row>
    <row r="259" spans="1:1" x14ac:dyDescent="0.25">
      <c r="A259" t="s">
        <v>2401</v>
      </c>
    </row>
    <row r="260" spans="1:1" x14ac:dyDescent="0.25">
      <c r="A260" t="s">
        <v>2402</v>
      </c>
    </row>
    <row r="261" spans="1:1" x14ac:dyDescent="0.25">
      <c r="A261" t="s">
        <v>2403</v>
      </c>
    </row>
    <row r="262" spans="1:1" x14ac:dyDescent="0.25">
      <c r="A262" t="s">
        <v>2404</v>
      </c>
    </row>
    <row r="263" spans="1:1" x14ac:dyDescent="0.25">
      <c r="A263" t="s">
        <v>2405</v>
      </c>
    </row>
    <row r="264" spans="1:1" x14ac:dyDescent="0.25">
      <c r="A264" t="s">
        <v>2406</v>
      </c>
    </row>
    <row r="265" spans="1:1" x14ac:dyDescent="0.25">
      <c r="A265" t="s">
        <v>2407</v>
      </c>
    </row>
    <row r="266" spans="1:1" x14ac:dyDescent="0.25">
      <c r="A266" t="s">
        <v>2408</v>
      </c>
    </row>
    <row r="267" spans="1:1" x14ac:dyDescent="0.25">
      <c r="A267" t="s">
        <v>2409</v>
      </c>
    </row>
    <row r="268" spans="1:1" x14ac:dyDescent="0.25">
      <c r="A268" t="s">
        <v>2410</v>
      </c>
    </row>
    <row r="269" spans="1:1" x14ac:dyDescent="0.25">
      <c r="A269" t="s">
        <v>2411</v>
      </c>
    </row>
    <row r="270" spans="1:1" x14ac:dyDescent="0.25">
      <c r="A270" t="s">
        <v>2412</v>
      </c>
    </row>
    <row r="271" spans="1:1" x14ac:dyDescent="0.25">
      <c r="A271" t="s">
        <v>2413</v>
      </c>
    </row>
    <row r="272" spans="1:1" x14ac:dyDescent="0.25">
      <c r="A272" t="s">
        <v>2414</v>
      </c>
    </row>
    <row r="273" spans="1:1" x14ac:dyDescent="0.25">
      <c r="A273" t="s">
        <v>1890</v>
      </c>
    </row>
    <row r="274" spans="1:1" x14ac:dyDescent="0.25">
      <c r="A274" t="s">
        <v>2415</v>
      </c>
    </row>
    <row r="275" spans="1:1" x14ac:dyDescent="0.25">
      <c r="A275" t="s">
        <v>2416</v>
      </c>
    </row>
    <row r="276" spans="1:1" x14ac:dyDescent="0.25">
      <c r="A276" t="s">
        <v>2417</v>
      </c>
    </row>
    <row r="277" spans="1:1" x14ac:dyDescent="0.25">
      <c r="A277" t="s">
        <v>2418</v>
      </c>
    </row>
    <row r="278" spans="1:1" x14ac:dyDescent="0.25">
      <c r="A278" t="s">
        <v>2419</v>
      </c>
    </row>
    <row r="279" spans="1:1" x14ac:dyDescent="0.25">
      <c r="A279" t="s">
        <v>2420</v>
      </c>
    </row>
    <row r="280" spans="1:1" x14ac:dyDescent="0.25">
      <c r="A280" t="s">
        <v>2421</v>
      </c>
    </row>
    <row r="281" spans="1:1" x14ac:dyDescent="0.25">
      <c r="A281" t="s">
        <v>2422</v>
      </c>
    </row>
    <row r="282" spans="1:1" x14ac:dyDescent="0.25">
      <c r="A282" t="s">
        <v>2423</v>
      </c>
    </row>
    <row r="283" spans="1:1" x14ac:dyDescent="0.25">
      <c r="A283" t="s">
        <v>2424</v>
      </c>
    </row>
    <row r="284" spans="1:1" x14ac:dyDescent="0.25">
      <c r="A284" t="s">
        <v>2425</v>
      </c>
    </row>
    <row r="285" spans="1:1" x14ac:dyDescent="0.25">
      <c r="A285" t="s">
        <v>2426</v>
      </c>
    </row>
    <row r="286" spans="1:1" x14ac:dyDescent="0.25">
      <c r="A286" t="s">
        <v>2427</v>
      </c>
    </row>
    <row r="287" spans="1:1" x14ac:dyDescent="0.25">
      <c r="A287" t="s">
        <v>2428</v>
      </c>
    </row>
    <row r="288" spans="1:1" x14ac:dyDescent="0.25">
      <c r="A288" t="s">
        <v>2429</v>
      </c>
    </row>
    <row r="289" spans="1:1" x14ac:dyDescent="0.25">
      <c r="A289" t="s">
        <v>2430</v>
      </c>
    </row>
    <row r="290" spans="1:1" x14ac:dyDescent="0.25">
      <c r="A290" t="s">
        <v>2431</v>
      </c>
    </row>
    <row r="291" spans="1:1" x14ac:dyDescent="0.25">
      <c r="A291" t="s">
        <v>2432</v>
      </c>
    </row>
    <row r="292" spans="1:1" x14ac:dyDescent="0.25">
      <c r="A292" t="s">
        <v>2433</v>
      </c>
    </row>
    <row r="293" spans="1:1" x14ac:dyDescent="0.25">
      <c r="A293" t="s">
        <v>2434</v>
      </c>
    </row>
    <row r="294" spans="1:1" x14ac:dyDescent="0.25">
      <c r="A294" t="s">
        <v>2435</v>
      </c>
    </row>
    <row r="295" spans="1:1" x14ac:dyDescent="0.25">
      <c r="A295" t="s">
        <v>2436</v>
      </c>
    </row>
    <row r="296" spans="1:1" x14ac:dyDescent="0.25">
      <c r="A296" t="s">
        <v>2437</v>
      </c>
    </row>
    <row r="297" spans="1:1" x14ac:dyDescent="0.25">
      <c r="A297" t="s">
        <v>2438</v>
      </c>
    </row>
    <row r="298" spans="1:1" x14ac:dyDescent="0.25">
      <c r="A298" t="s">
        <v>2439</v>
      </c>
    </row>
    <row r="299" spans="1:1" x14ac:dyDescent="0.25">
      <c r="A299" t="s">
        <v>2440</v>
      </c>
    </row>
    <row r="300" spans="1:1" x14ac:dyDescent="0.25">
      <c r="A300" t="s">
        <v>2441</v>
      </c>
    </row>
    <row r="301" spans="1:1" x14ac:dyDescent="0.25">
      <c r="A301" t="s">
        <v>2442</v>
      </c>
    </row>
    <row r="302" spans="1:1" x14ac:dyDescent="0.25">
      <c r="A302" t="s">
        <v>2443</v>
      </c>
    </row>
    <row r="303" spans="1:1" x14ac:dyDescent="0.25">
      <c r="A303" t="s">
        <v>2444</v>
      </c>
    </row>
    <row r="304" spans="1:1" x14ac:dyDescent="0.25">
      <c r="A304" t="s">
        <v>2445</v>
      </c>
    </row>
    <row r="305" spans="1:1" x14ac:dyDescent="0.25">
      <c r="A305" t="s">
        <v>2446</v>
      </c>
    </row>
    <row r="306" spans="1:1" x14ac:dyDescent="0.25">
      <c r="A306" t="s">
        <v>2447</v>
      </c>
    </row>
    <row r="307" spans="1:1" x14ac:dyDescent="0.25">
      <c r="A307" t="s">
        <v>2448</v>
      </c>
    </row>
    <row r="308" spans="1:1" x14ac:dyDescent="0.25">
      <c r="A308" t="s">
        <v>2449</v>
      </c>
    </row>
    <row r="309" spans="1:1" x14ac:dyDescent="0.25">
      <c r="A309" t="s">
        <v>2450</v>
      </c>
    </row>
    <row r="310" spans="1:1" x14ac:dyDescent="0.25">
      <c r="A310" t="s">
        <v>2451</v>
      </c>
    </row>
    <row r="311" spans="1:1" x14ac:dyDescent="0.25">
      <c r="A311" t="s">
        <v>2452</v>
      </c>
    </row>
    <row r="312" spans="1:1" x14ac:dyDescent="0.25">
      <c r="A312" t="s">
        <v>2453</v>
      </c>
    </row>
    <row r="313" spans="1:1" x14ac:dyDescent="0.25">
      <c r="A313" t="s">
        <v>2454</v>
      </c>
    </row>
    <row r="314" spans="1:1" x14ac:dyDescent="0.25">
      <c r="A314" t="s">
        <v>2455</v>
      </c>
    </row>
    <row r="315" spans="1:1" x14ac:dyDescent="0.25">
      <c r="A315" t="s">
        <v>2456</v>
      </c>
    </row>
    <row r="316" spans="1:1" x14ac:dyDescent="0.25">
      <c r="A316" t="s">
        <v>2457</v>
      </c>
    </row>
    <row r="317" spans="1:1" x14ac:dyDescent="0.25">
      <c r="A317" t="s">
        <v>2458</v>
      </c>
    </row>
    <row r="318" spans="1:1" x14ac:dyDescent="0.25">
      <c r="A318" t="s">
        <v>2459</v>
      </c>
    </row>
    <row r="319" spans="1:1" x14ac:dyDescent="0.25">
      <c r="A319" t="s">
        <v>2460</v>
      </c>
    </row>
    <row r="320" spans="1:1" x14ac:dyDescent="0.25">
      <c r="A320" t="s">
        <v>2461</v>
      </c>
    </row>
    <row r="321" spans="1:1" x14ac:dyDescent="0.25">
      <c r="A321" t="s">
        <v>2462</v>
      </c>
    </row>
    <row r="322" spans="1:1" x14ac:dyDescent="0.25">
      <c r="A322" t="s">
        <v>2463</v>
      </c>
    </row>
    <row r="323" spans="1:1" x14ac:dyDescent="0.25">
      <c r="A323" t="s">
        <v>2464</v>
      </c>
    </row>
    <row r="324" spans="1:1" x14ac:dyDescent="0.25">
      <c r="A324" t="s">
        <v>2465</v>
      </c>
    </row>
    <row r="325" spans="1:1" x14ac:dyDescent="0.25">
      <c r="A325" t="s">
        <v>2466</v>
      </c>
    </row>
    <row r="326" spans="1:1" x14ac:dyDescent="0.25">
      <c r="A326" t="s">
        <v>2469</v>
      </c>
    </row>
    <row r="327" spans="1:1" x14ac:dyDescent="0.25">
      <c r="A327" t="s">
        <v>2470</v>
      </c>
    </row>
    <row r="328" spans="1:1" x14ac:dyDescent="0.25">
      <c r="A328" t="s">
        <v>2471</v>
      </c>
    </row>
    <row r="329" spans="1:1" x14ac:dyDescent="0.25">
      <c r="A329" t="s">
        <v>1568</v>
      </c>
    </row>
    <row r="330" spans="1:1" x14ac:dyDescent="0.25">
      <c r="A330" t="s">
        <v>1569</v>
      </c>
    </row>
    <row r="331" spans="1:1" x14ac:dyDescent="0.25">
      <c r="A331" t="s">
        <v>1570</v>
      </c>
    </row>
    <row r="332" spans="1:1" x14ac:dyDescent="0.25">
      <c r="A332" t="s">
        <v>1571</v>
      </c>
    </row>
    <row r="333" spans="1:1" x14ac:dyDescent="0.25">
      <c r="A333" t="s">
        <v>1572</v>
      </c>
    </row>
    <row r="334" spans="1:1" x14ac:dyDescent="0.25">
      <c r="A334" t="s">
        <v>1573</v>
      </c>
    </row>
    <row r="335" spans="1:1" x14ac:dyDescent="0.25">
      <c r="A335" t="s">
        <v>1574</v>
      </c>
    </row>
    <row r="336" spans="1:1" x14ac:dyDescent="0.25">
      <c r="A336" t="s">
        <v>1575</v>
      </c>
    </row>
    <row r="337" spans="1:1" x14ac:dyDescent="0.25">
      <c r="A337" t="s">
        <v>1576</v>
      </c>
    </row>
    <row r="338" spans="1:1" x14ac:dyDescent="0.25">
      <c r="A338" t="s">
        <v>1910</v>
      </c>
    </row>
    <row r="339" spans="1:1" x14ac:dyDescent="0.25">
      <c r="A339" t="s">
        <v>2472</v>
      </c>
    </row>
    <row r="340" spans="1:1" x14ac:dyDescent="0.25">
      <c r="A340" t="s">
        <v>1911</v>
      </c>
    </row>
    <row r="341" spans="1:1" x14ac:dyDescent="0.25">
      <c r="A341" t="s">
        <v>1912</v>
      </c>
    </row>
    <row r="342" spans="1:1" x14ac:dyDescent="0.25">
      <c r="A342" t="s">
        <v>1913</v>
      </c>
    </row>
    <row r="343" spans="1:1" x14ac:dyDescent="0.25">
      <c r="A343" t="s">
        <v>1914</v>
      </c>
    </row>
    <row r="344" spans="1:1" x14ac:dyDescent="0.25">
      <c r="A344" t="s">
        <v>1915</v>
      </c>
    </row>
    <row r="345" spans="1:1" x14ac:dyDescent="0.25">
      <c r="A345" t="s">
        <v>1916</v>
      </c>
    </row>
    <row r="346" spans="1:1" x14ac:dyDescent="0.25">
      <c r="A346" t="s">
        <v>1917</v>
      </c>
    </row>
    <row r="347" spans="1:1" x14ac:dyDescent="0.25">
      <c r="A347" t="s">
        <v>1918</v>
      </c>
    </row>
    <row r="348" spans="1:1" x14ac:dyDescent="0.25">
      <c r="A348" t="s">
        <v>1919</v>
      </c>
    </row>
    <row r="349" spans="1:1" x14ac:dyDescent="0.25">
      <c r="A349" t="s">
        <v>1920</v>
      </c>
    </row>
    <row r="350" spans="1:1" x14ac:dyDescent="0.25">
      <c r="A350" t="s">
        <v>1921</v>
      </c>
    </row>
    <row r="351" spans="1:1" x14ac:dyDescent="0.25">
      <c r="A351" t="s">
        <v>1922</v>
      </c>
    </row>
    <row r="352" spans="1:1" x14ac:dyDescent="0.25">
      <c r="A352" t="s">
        <v>1923</v>
      </c>
    </row>
    <row r="353" spans="1:1" x14ac:dyDescent="0.25">
      <c r="A353" t="s">
        <v>1924</v>
      </c>
    </row>
    <row r="354" spans="1:1" x14ac:dyDescent="0.25">
      <c r="A354" t="s">
        <v>1925</v>
      </c>
    </row>
    <row r="355" spans="1:1" x14ac:dyDescent="0.25">
      <c r="A355" t="s">
        <v>1926</v>
      </c>
    </row>
    <row r="356" spans="1:1" x14ac:dyDescent="0.25">
      <c r="A356" t="s">
        <v>1927</v>
      </c>
    </row>
    <row r="357" spans="1:1" x14ac:dyDescent="0.25">
      <c r="A357" t="s">
        <v>1928</v>
      </c>
    </row>
    <row r="358" spans="1:1" x14ac:dyDescent="0.25">
      <c r="A358" t="s">
        <v>1929</v>
      </c>
    </row>
    <row r="359" spans="1:1" x14ac:dyDescent="0.25">
      <c r="A359" t="s">
        <v>1930</v>
      </c>
    </row>
    <row r="360" spans="1:1" x14ac:dyDescent="0.25">
      <c r="A360" t="s">
        <v>1931</v>
      </c>
    </row>
    <row r="361" spans="1:1" x14ac:dyDescent="0.25">
      <c r="A361" t="s">
        <v>1932</v>
      </c>
    </row>
    <row r="362" spans="1:1" x14ac:dyDescent="0.25">
      <c r="A362" t="s">
        <v>1933</v>
      </c>
    </row>
    <row r="363" spans="1:1" x14ac:dyDescent="0.25">
      <c r="A363" t="s">
        <v>1934</v>
      </c>
    </row>
    <row r="364" spans="1:1" x14ac:dyDescent="0.25">
      <c r="A364" t="s">
        <v>1935</v>
      </c>
    </row>
    <row r="365" spans="1:1" x14ac:dyDescent="0.25">
      <c r="A365" t="s">
        <v>1936</v>
      </c>
    </row>
    <row r="366" spans="1:1" x14ac:dyDescent="0.25">
      <c r="A366" t="s">
        <v>1937</v>
      </c>
    </row>
    <row r="367" spans="1:1" x14ac:dyDescent="0.25">
      <c r="A367" t="s">
        <v>1938</v>
      </c>
    </row>
    <row r="368" spans="1:1" x14ac:dyDescent="0.25">
      <c r="A368" t="s">
        <v>1939</v>
      </c>
    </row>
    <row r="369" spans="1:1" x14ac:dyDescent="0.25">
      <c r="A369" t="s">
        <v>1940</v>
      </c>
    </row>
    <row r="370" spans="1:1" x14ac:dyDescent="0.25">
      <c r="A370" t="s">
        <v>1941</v>
      </c>
    </row>
    <row r="371" spans="1:1" x14ac:dyDescent="0.25">
      <c r="A371" t="s">
        <v>1942</v>
      </c>
    </row>
    <row r="372" spans="1:1" x14ac:dyDescent="0.25">
      <c r="A372" t="s">
        <v>1943</v>
      </c>
    </row>
    <row r="373" spans="1:1" x14ac:dyDescent="0.25">
      <c r="A373" t="s">
        <v>1944</v>
      </c>
    </row>
    <row r="374" spans="1:1" x14ac:dyDescent="0.25">
      <c r="A374" t="s">
        <v>1945</v>
      </c>
    </row>
    <row r="375" spans="1:1" x14ac:dyDescent="0.25">
      <c r="A375" t="s">
        <v>1946</v>
      </c>
    </row>
    <row r="376" spans="1:1" x14ac:dyDescent="0.25">
      <c r="A376" t="s">
        <v>1947</v>
      </c>
    </row>
    <row r="377" spans="1:1" x14ac:dyDescent="0.25">
      <c r="A377" t="s">
        <v>1948</v>
      </c>
    </row>
    <row r="378" spans="1:1" x14ac:dyDescent="0.25">
      <c r="A378" t="s">
        <v>1949</v>
      </c>
    </row>
    <row r="379" spans="1:1" x14ac:dyDescent="0.25">
      <c r="A379" t="s">
        <v>1950</v>
      </c>
    </row>
    <row r="380" spans="1:1" x14ac:dyDescent="0.25">
      <c r="A380" t="s">
        <v>1951</v>
      </c>
    </row>
    <row r="381" spans="1:1" x14ac:dyDescent="0.25">
      <c r="A381" t="s">
        <v>1952</v>
      </c>
    </row>
    <row r="382" spans="1:1" x14ac:dyDescent="0.25">
      <c r="A382" t="s">
        <v>1953</v>
      </c>
    </row>
    <row r="383" spans="1:1" x14ac:dyDescent="0.25">
      <c r="A383" t="s">
        <v>1954</v>
      </c>
    </row>
    <row r="384" spans="1:1" x14ac:dyDescent="0.25">
      <c r="A384" t="s">
        <v>1955</v>
      </c>
    </row>
    <row r="385" spans="1:1" x14ac:dyDescent="0.25">
      <c r="A385" t="s">
        <v>1956</v>
      </c>
    </row>
    <row r="386" spans="1:1" x14ac:dyDescent="0.25">
      <c r="A386" t="s">
        <v>1957</v>
      </c>
    </row>
    <row r="387" spans="1:1" x14ac:dyDescent="0.25">
      <c r="A387" t="s">
        <v>1958</v>
      </c>
    </row>
    <row r="388" spans="1:1" x14ac:dyDescent="0.25">
      <c r="A388" t="s">
        <v>1959</v>
      </c>
    </row>
    <row r="389" spans="1:1" x14ac:dyDescent="0.25">
      <c r="A389" t="s">
        <v>1960</v>
      </c>
    </row>
    <row r="390" spans="1:1" x14ac:dyDescent="0.25">
      <c r="A390" t="s">
        <v>1961</v>
      </c>
    </row>
    <row r="391" spans="1:1" x14ac:dyDescent="0.25">
      <c r="A391" t="s">
        <v>1962</v>
      </c>
    </row>
    <row r="392" spans="1:1" x14ac:dyDescent="0.25">
      <c r="A392" t="s">
        <v>1963</v>
      </c>
    </row>
    <row r="393" spans="1:1" x14ac:dyDescent="0.25">
      <c r="A393" t="s">
        <v>1964</v>
      </c>
    </row>
    <row r="394" spans="1:1" x14ac:dyDescent="0.25">
      <c r="A394" t="s">
        <v>1965</v>
      </c>
    </row>
    <row r="395" spans="1:1" x14ac:dyDescent="0.25">
      <c r="A395" t="s">
        <v>1966</v>
      </c>
    </row>
    <row r="396" spans="1:1" x14ac:dyDescent="0.25">
      <c r="A396" t="s">
        <v>1967</v>
      </c>
    </row>
    <row r="397" spans="1:1" x14ac:dyDescent="0.25">
      <c r="A397" t="s">
        <v>1968</v>
      </c>
    </row>
    <row r="398" spans="1:1" x14ac:dyDescent="0.25">
      <c r="A398" t="s">
        <v>1969</v>
      </c>
    </row>
    <row r="399" spans="1:1" x14ac:dyDescent="0.25">
      <c r="A399" t="s">
        <v>1970</v>
      </c>
    </row>
    <row r="400" spans="1:1" x14ac:dyDescent="0.25">
      <c r="A400" t="s">
        <v>1971</v>
      </c>
    </row>
    <row r="401" spans="1:1" x14ac:dyDescent="0.25">
      <c r="A401" t="s">
        <v>1972</v>
      </c>
    </row>
    <row r="402" spans="1:1" x14ac:dyDescent="0.25">
      <c r="A402" t="s">
        <v>1973</v>
      </c>
    </row>
    <row r="403" spans="1:1" x14ac:dyDescent="0.25">
      <c r="A403" t="s">
        <v>1974</v>
      </c>
    </row>
    <row r="404" spans="1:1" x14ac:dyDescent="0.25">
      <c r="A404" t="s">
        <v>1975</v>
      </c>
    </row>
    <row r="405" spans="1:1" x14ac:dyDescent="0.25">
      <c r="A405" t="s">
        <v>1976</v>
      </c>
    </row>
    <row r="406" spans="1:1" x14ac:dyDescent="0.25">
      <c r="A406" t="s">
        <v>1977</v>
      </c>
    </row>
    <row r="407" spans="1:1" x14ac:dyDescent="0.25">
      <c r="A407" t="s">
        <v>1978</v>
      </c>
    </row>
    <row r="408" spans="1:1" x14ac:dyDescent="0.25">
      <c r="A408" t="s">
        <v>1979</v>
      </c>
    </row>
    <row r="409" spans="1:1" x14ac:dyDescent="0.25">
      <c r="A409" t="s">
        <v>1980</v>
      </c>
    </row>
    <row r="410" spans="1:1" x14ac:dyDescent="0.25">
      <c r="A410" t="s">
        <v>1981</v>
      </c>
    </row>
    <row r="411" spans="1:1" x14ac:dyDescent="0.25">
      <c r="A411" t="s">
        <v>1982</v>
      </c>
    </row>
    <row r="412" spans="1:1" x14ac:dyDescent="0.25">
      <c r="A412" t="s">
        <v>1983</v>
      </c>
    </row>
    <row r="413" spans="1:1" x14ac:dyDescent="0.25">
      <c r="A413" t="s">
        <v>1984</v>
      </c>
    </row>
    <row r="414" spans="1:1" x14ac:dyDescent="0.25">
      <c r="A414" t="s">
        <v>1985</v>
      </c>
    </row>
    <row r="415" spans="1:1" x14ac:dyDescent="0.25">
      <c r="A415" t="s">
        <v>1986</v>
      </c>
    </row>
    <row r="416" spans="1:1" x14ac:dyDescent="0.25">
      <c r="A416" t="s">
        <v>1987</v>
      </c>
    </row>
    <row r="417" spans="1:1" x14ac:dyDescent="0.25">
      <c r="A417" t="s">
        <v>1988</v>
      </c>
    </row>
    <row r="418" spans="1:1" x14ac:dyDescent="0.25">
      <c r="A418" t="s">
        <v>1989</v>
      </c>
    </row>
    <row r="419" spans="1:1" x14ac:dyDescent="0.25">
      <c r="A419" t="s">
        <v>1990</v>
      </c>
    </row>
    <row r="420" spans="1:1" x14ac:dyDescent="0.25">
      <c r="A420" t="s">
        <v>1991</v>
      </c>
    </row>
    <row r="421" spans="1:1" x14ac:dyDescent="0.25">
      <c r="A421" t="s">
        <v>1992</v>
      </c>
    </row>
    <row r="422" spans="1:1" x14ac:dyDescent="0.25">
      <c r="A422" t="s">
        <v>1993</v>
      </c>
    </row>
    <row r="423" spans="1:1" x14ac:dyDescent="0.25">
      <c r="A423" t="s">
        <v>1994</v>
      </c>
    </row>
    <row r="424" spans="1:1" x14ac:dyDescent="0.25">
      <c r="A424" t="s">
        <v>1995</v>
      </c>
    </row>
    <row r="425" spans="1:1" x14ac:dyDescent="0.25">
      <c r="A425" t="s">
        <v>1996</v>
      </c>
    </row>
    <row r="426" spans="1:1" x14ac:dyDescent="0.25">
      <c r="A426" t="s">
        <v>1997</v>
      </c>
    </row>
    <row r="427" spans="1:1" x14ac:dyDescent="0.25">
      <c r="A427" t="s">
        <v>1998</v>
      </c>
    </row>
    <row r="428" spans="1:1" x14ac:dyDescent="0.25">
      <c r="A428" t="s">
        <v>1999</v>
      </c>
    </row>
    <row r="429" spans="1:1" x14ac:dyDescent="0.25">
      <c r="A429" t="s">
        <v>2000</v>
      </c>
    </row>
    <row r="430" spans="1:1" x14ac:dyDescent="0.25">
      <c r="A430" t="s">
        <v>2001</v>
      </c>
    </row>
    <row r="431" spans="1:1" x14ac:dyDescent="0.25">
      <c r="A431" t="s">
        <v>2002</v>
      </c>
    </row>
    <row r="432" spans="1:1" x14ac:dyDescent="0.25">
      <c r="A432" t="s">
        <v>2003</v>
      </c>
    </row>
    <row r="433" spans="1:1" x14ac:dyDescent="0.25">
      <c r="A433" t="s">
        <v>2004</v>
      </c>
    </row>
    <row r="434" spans="1:1" x14ac:dyDescent="0.25">
      <c r="A434" t="s">
        <v>2005</v>
      </c>
    </row>
    <row r="435" spans="1:1" x14ac:dyDescent="0.25">
      <c r="A435" t="s">
        <v>2006</v>
      </c>
    </row>
    <row r="436" spans="1:1" x14ac:dyDescent="0.25">
      <c r="A436" t="s">
        <v>2007</v>
      </c>
    </row>
    <row r="437" spans="1:1" x14ac:dyDescent="0.25">
      <c r="A437" t="s">
        <v>2008</v>
      </c>
    </row>
    <row r="438" spans="1:1" x14ac:dyDescent="0.25">
      <c r="A438" t="s">
        <v>2009</v>
      </c>
    </row>
    <row r="439" spans="1:1" x14ac:dyDescent="0.25">
      <c r="A439" t="s">
        <v>2010</v>
      </c>
    </row>
    <row r="440" spans="1:1" x14ac:dyDescent="0.25">
      <c r="A440" t="s">
        <v>2011</v>
      </c>
    </row>
    <row r="441" spans="1:1" x14ac:dyDescent="0.25">
      <c r="A441" t="s">
        <v>2012</v>
      </c>
    </row>
    <row r="442" spans="1:1" x14ac:dyDescent="0.25">
      <c r="A442" t="s">
        <v>2013</v>
      </c>
    </row>
    <row r="443" spans="1:1" x14ac:dyDescent="0.25">
      <c r="A443" t="s">
        <v>2014</v>
      </c>
    </row>
    <row r="444" spans="1:1" x14ac:dyDescent="0.25">
      <c r="A444" t="s">
        <v>2015</v>
      </c>
    </row>
    <row r="445" spans="1:1" x14ac:dyDescent="0.25">
      <c r="A445" t="s">
        <v>2016</v>
      </c>
    </row>
    <row r="446" spans="1:1" x14ac:dyDescent="0.25">
      <c r="A446" t="s">
        <v>2017</v>
      </c>
    </row>
    <row r="447" spans="1:1" x14ac:dyDescent="0.25">
      <c r="A447" t="s">
        <v>2018</v>
      </c>
    </row>
    <row r="448" spans="1:1" x14ac:dyDescent="0.25">
      <c r="A448" t="s">
        <v>2019</v>
      </c>
    </row>
    <row r="449" spans="1:1" x14ac:dyDescent="0.25">
      <c r="A449" t="s">
        <v>2020</v>
      </c>
    </row>
    <row r="450" spans="1:1" x14ac:dyDescent="0.25">
      <c r="A450" t="s">
        <v>2021</v>
      </c>
    </row>
    <row r="451" spans="1:1" x14ac:dyDescent="0.25">
      <c r="A451" t="s">
        <v>2022</v>
      </c>
    </row>
    <row r="452" spans="1:1" x14ac:dyDescent="0.25">
      <c r="A452" t="s">
        <v>2023</v>
      </c>
    </row>
    <row r="453" spans="1:1" x14ac:dyDescent="0.25">
      <c r="A453" t="s">
        <v>2024</v>
      </c>
    </row>
    <row r="454" spans="1:1" x14ac:dyDescent="0.25">
      <c r="A454" t="s">
        <v>2025</v>
      </c>
    </row>
    <row r="455" spans="1:1" x14ac:dyDescent="0.25">
      <c r="A455" t="s">
        <v>2026</v>
      </c>
    </row>
    <row r="456" spans="1:1" x14ac:dyDescent="0.25">
      <c r="A456" t="s">
        <v>2027</v>
      </c>
    </row>
    <row r="457" spans="1:1" x14ac:dyDescent="0.25">
      <c r="A457" t="s">
        <v>2028</v>
      </c>
    </row>
    <row r="458" spans="1:1" x14ac:dyDescent="0.25">
      <c r="A458" t="s">
        <v>2029</v>
      </c>
    </row>
    <row r="459" spans="1:1" x14ac:dyDescent="0.25">
      <c r="A459" t="s">
        <v>2030</v>
      </c>
    </row>
    <row r="460" spans="1:1" x14ac:dyDescent="0.25">
      <c r="A460" t="s">
        <v>2031</v>
      </c>
    </row>
    <row r="461" spans="1:1" x14ac:dyDescent="0.25">
      <c r="A461" t="s">
        <v>2032</v>
      </c>
    </row>
    <row r="462" spans="1:1" x14ac:dyDescent="0.25">
      <c r="A462" t="s">
        <v>2033</v>
      </c>
    </row>
    <row r="463" spans="1:1" x14ac:dyDescent="0.25">
      <c r="A463" t="s">
        <v>2034</v>
      </c>
    </row>
    <row r="464" spans="1:1" x14ac:dyDescent="0.25">
      <c r="A464" t="s">
        <v>2035</v>
      </c>
    </row>
    <row r="465" spans="1:1" x14ac:dyDescent="0.25">
      <c r="A465" t="s">
        <v>2036</v>
      </c>
    </row>
    <row r="466" spans="1:1" x14ac:dyDescent="0.25">
      <c r="A466" t="s">
        <v>2037</v>
      </c>
    </row>
    <row r="467" spans="1:1" x14ac:dyDescent="0.25">
      <c r="A467" t="s">
        <v>2038</v>
      </c>
    </row>
    <row r="468" spans="1:1" x14ac:dyDescent="0.25">
      <c r="A468" t="s">
        <v>2039</v>
      </c>
    </row>
    <row r="469" spans="1:1" x14ac:dyDescent="0.25">
      <c r="A469" t="s">
        <v>2040</v>
      </c>
    </row>
    <row r="470" spans="1:1" x14ac:dyDescent="0.25">
      <c r="A470" t="s">
        <v>2041</v>
      </c>
    </row>
    <row r="471" spans="1:1" x14ac:dyDescent="0.25">
      <c r="A471" t="s">
        <v>2042</v>
      </c>
    </row>
    <row r="472" spans="1:1" x14ac:dyDescent="0.25">
      <c r="A472" t="s">
        <v>2043</v>
      </c>
    </row>
    <row r="473" spans="1:1" x14ac:dyDescent="0.25">
      <c r="A473" t="s">
        <v>2044</v>
      </c>
    </row>
    <row r="474" spans="1:1" x14ac:dyDescent="0.25">
      <c r="A474" t="s">
        <v>2045</v>
      </c>
    </row>
    <row r="475" spans="1:1" x14ac:dyDescent="0.25">
      <c r="A475" t="s">
        <v>2046</v>
      </c>
    </row>
    <row r="476" spans="1:1" x14ac:dyDescent="0.25">
      <c r="A476" t="s">
        <v>2047</v>
      </c>
    </row>
    <row r="477" spans="1:1" x14ac:dyDescent="0.25">
      <c r="A477" t="s">
        <v>2048</v>
      </c>
    </row>
    <row r="478" spans="1:1" x14ac:dyDescent="0.25">
      <c r="A478" t="s">
        <v>2049</v>
      </c>
    </row>
    <row r="479" spans="1:1" x14ac:dyDescent="0.25">
      <c r="A479" t="s">
        <v>2050</v>
      </c>
    </row>
    <row r="480" spans="1:1" x14ac:dyDescent="0.25">
      <c r="A480" t="s">
        <v>2051</v>
      </c>
    </row>
    <row r="481" spans="1:1" x14ac:dyDescent="0.25">
      <c r="A481" t="s">
        <v>2052</v>
      </c>
    </row>
    <row r="482" spans="1:1" x14ac:dyDescent="0.25">
      <c r="A482" t="s">
        <v>2053</v>
      </c>
    </row>
    <row r="483" spans="1:1" x14ac:dyDescent="0.25">
      <c r="A483" t="s">
        <v>2054</v>
      </c>
    </row>
    <row r="484" spans="1:1" x14ac:dyDescent="0.25">
      <c r="A484" t="s">
        <v>2055</v>
      </c>
    </row>
    <row r="485" spans="1:1" x14ac:dyDescent="0.25">
      <c r="A485" t="s">
        <v>2056</v>
      </c>
    </row>
    <row r="486" spans="1:1" x14ac:dyDescent="0.25">
      <c r="A486" t="s">
        <v>2057</v>
      </c>
    </row>
    <row r="487" spans="1:1" x14ac:dyDescent="0.25">
      <c r="A487" t="s">
        <v>2058</v>
      </c>
    </row>
    <row r="488" spans="1:1" x14ac:dyDescent="0.25">
      <c r="A488" t="s">
        <v>2059</v>
      </c>
    </row>
    <row r="489" spans="1:1" x14ac:dyDescent="0.25">
      <c r="A489" t="s">
        <v>2060</v>
      </c>
    </row>
    <row r="490" spans="1:1" x14ac:dyDescent="0.25">
      <c r="A490" t="s">
        <v>2061</v>
      </c>
    </row>
    <row r="491" spans="1:1" x14ac:dyDescent="0.25">
      <c r="A491" t="s">
        <v>2062</v>
      </c>
    </row>
    <row r="492" spans="1:1" x14ac:dyDescent="0.25">
      <c r="A492" t="s">
        <v>2063</v>
      </c>
    </row>
    <row r="493" spans="1:1" x14ac:dyDescent="0.25">
      <c r="A493" t="s">
        <v>2064</v>
      </c>
    </row>
    <row r="494" spans="1:1" x14ac:dyDescent="0.25">
      <c r="A494" t="s">
        <v>2065</v>
      </c>
    </row>
    <row r="495" spans="1:1" x14ac:dyDescent="0.25">
      <c r="A495" t="s">
        <v>2066</v>
      </c>
    </row>
    <row r="496" spans="1:1" x14ac:dyDescent="0.25">
      <c r="A496" t="s">
        <v>2067</v>
      </c>
    </row>
    <row r="497" spans="1:1" x14ac:dyDescent="0.25">
      <c r="A497" t="s">
        <v>2068</v>
      </c>
    </row>
    <row r="498" spans="1:1" x14ac:dyDescent="0.25">
      <c r="A498" t="s">
        <v>2069</v>
      </c>
    </row>
    <row r="499" spans="1:1" x14ac:dyDescent="0.25">
      <c r="A499" t="s">
        <v>2070</v>
      </c>
    </row>
    <row r="500" spans="1:1" x14ac:dyDescent="0.25">
      <c r="A500" t="s">
        <v>2071</v>
      </c>
    </row>
    <row r="501" spans="1:1" x14ac:dyDescent="0.25">
      <c r="A501" t="s">
        <v>2072</v>
      </c>
    </row>
    <row r="502" spans="1:1" x14ac:dyDescent="0.25">
      <c r="A502" t="s">
        <v>2073</v>
      </c>
    </row>
    <row r="503" spans="1:1" x14ac:dyDescent="0.25">
      <c r="A503" t="s">
        <v>2074</v>
      </c>
    </row>
    <row r="504" spans="1:1" x14ac:dyDescent="0.25">
      <c r="A504" t="s">
        <v>2075</v>
      </c>
    </row>
    <row r="505" spans="1:1" x14ac:dyDescent="0.25">
      <c r="A505" t="s">
        <v>2076</v>
      </c>
    </row>
    <row r="506" spans="1:1" x14ac:dyDescent="0.25">
      <c r="A506" t="s">
        <v>2077</v>
      </c>
    </row>
    <row r="507" spans="1:1" x14ac:dyDescent="0.25">
      <c r="A507" t="s">
        <v>2078</v>
      </c>
    </row>
    <row r="508" spans="1:1" x14ac:dyDescent="0.25">
      <c r="A508" t="s">
        <v>2079</v>
      </c>
    </row>
    <row r="509" spans="1:1" x14ac:dyDescent="0.25">
      <c r="A509" t="s">
        <v>2080</v>
      </c>
    </row>
    <row r="510" spans="1:1" x14ac:dyDescent="0.25">
      <c r="A510" t="s">
        <v>2081</v>
      </c>
    </row>
    <row r="511" spans="1:1" x14ac:dyDescent="0.25">
      <c r="A511" t="s">
        <v>2082</v>
      </c>
    </row>
    <row r="512" spans="1:1" x14ac:dyDescent="0.25">
      <c r="A512" t="s">
        <v>2083</v>
      </c>
    </row>
    <row r="513" spans="1:1" x14ac:dyDescent="0.25">
      <c r="A513" t="s">
        <v>2084</v>
      </c>
    </row>
    <row r="514" spans="1:1" x14ac:dyDescent="0.25">
      <c r="A514" t="s">
        <v>2085</v>
      </c>
    </row>
    <row r="515" spans="1:1" x14ac:dyDescent="0.25">
      <c r="A515" t="s">
        <v>2086</v>
      </c>
    </row>
    <row r="516" spans="1:1" x14ac:dyDescent="0.25">
      <c r="A516" t="s">
        <v>2087</v>
      </c>
    </row>
    <row r="517" spans="1:1" x14ac:dyDescent="0.25">
      <c r="A517" t="s">
        <v>2088</v>
      </c>
    </row>
    <row r="518" spans="1:1" x14ac:dyDescent="0.25">
      <c r="A518" t="s">
        <v>2089</v>
      </c>
    </row>
    <row r="519" spans="1:1" x14ac:dyDescent="0.25">
      <c r="A519" t="s">
        <v>2090</v>
      </c>
    </row>
    <row r="520" spans="1:1" x14ac:dyDescent="0.25">
      <c r="A520" t="s">
        <v>2091</v>
      </c>
    </row>
    <row r="521" spans="1:1" x14ac:dyDescent="0.25">
      <c r="A521" t="s">
        <v>2092</v>
      </c>
    </row>
    <row r="522" spans="1:1" x14ac:dyDescent="0.25">
      <c r="A522" t="s">
        <v>2093</v>
      </c>
    </row>
    <row r="523" spans="1:1" x14ac:dyDescent="0.25">
      <c r="A523" t="s">
        <v>2094</v>
      </c>
    </row>
    <row r="524" spans="1:1" x14ac:dyDescent="0.25">
      <c r="A524" t="s">
        <v>2095</v>
      </c>
    </row>
    <row r="525" spans="1:1" x14ac:dyDescent="0.25">
      <c r="A525" t="s">
        <v>2096</v>
      </c>
    </row>
    <row r="526" spans="1:1" x14ac:dyDescent="0.25">
      <c r="A526" t="s">
        <v>2097</v>
      </c>
    </row>
    <row r="527" spans="1:1" x14ac:dyDescent="0.25">
      <c r="A527" t="s">
        <v>2098</v>
      </c>
    </row>
    <row r="528" spans="1:1" x14ac:dyDescent="0.25">
      <c r="A528" t="s">
        <v>2099</v>
      </c>
    </row>
    <row r="529" spans="1:1" x14ac:dyDescent="0.25">
      <c r="A529" t="s">
        <v>2100</v>
      </c>
    </row>
    <row r="530" spans="1:1" x14ac:dyDescent="0.25">
      <c r="A530" t="s">
        <v>2101</v>
      </c>
    </row>
    <row r="531" spans="1:1" x14ac:dyDescent="0.25">
      <c r="A531" t="s">
        <v>2102</v>
      </c>
    </row>
    <row r="532" spans="1:1" x14ac:dyDescent="0.25">
      <c r="A532" t="s">
        <v>2103</v>
      </c>
    </row>
    <row r="533" spans="1:1" x14ac:dyDescent="0.25">
      <c r="A533" t="s">
        <v>2104</v>
      </c>
    </row>
    <row r="534" spans="1:1" x14ac:dyDescent="0.25">
      <c r="A534" t="s">
        <v>2105</v>
      </c>
    </row>
    <row r="535" spans="1:1" x14ac:dyDescent="0.25">
      <c r="A535" t="s">
        <v>2106</v>
      </c>
    </row>
    <row r="536" spans="1:1" x14ac:dyDescent="0.25">
      <c r="A536" t="s">
        <v>2107</v>
      </c>
    </row>
    <row r="537" spans="1:1" x14ac:dyDescent="0.25">
      <c r="A537" t="s">
        <v>2108</v>
      </c>
    </row>
    <row r="538" spans="1:1" x14ac:dyDescent="0.25">
      <c r="A538" t="s">
        <v>2109</v>
      </c>
    </row>
    <row r="539" spans="1:1" x14ac:dyDescent="0.25">
      <c r="A539" t="s">
        <v>2110</v>
      </c>
    </row>
    <row r="540" spans="1:1" x14ac:dyDescent="0.25">
      <c r="A540" t="s">
        <v>2111</v>
      </c>
    </row>
    <row r="541" spans="1:1" x14ac:dyDescent="0.25">
      <c r="A541" t="s">
        <v>2112</v>
      </c>
    </row>
    <row r="542" spans="1:1" x14ac:dyDescent="0.25">
      <c r="A542" t="s">
        <v>2113</v>
      </c>
    </row>
    <row r="543" spans="1:1" x14ac:dyDescent="0.25">
      <c r="A543" t="s">
        <v>2114</v>
      </c>
    </row>
    <row r="544" spans="1:1" x14ac:dyDescent="0.25">
      <c r="A544" t="s">
        <v>2115</v>
      </c>
    </row>
    <row r="545" spans="1:1" x14ac:dyDescent="0.25">
      <c r="A545" t="s">
        <v>2116</v>
      </c>
    </row>
    <row r="546" spans="1:1" x14ac:dyDescent="0.25">
      <c r="A546" t="s">
        <v>2117</v>
      </c>
    </row>
    <row r="547" spans="1:1" x14ac:dyDescent="0.25">
      <c r="A547" t="s">
        <v>2118</v>
      </c>
    </row>
    <row r="548" spans="1:1" x14ac:dyDescent="0.25">
      <c r="A548" t="s">
        <v>2119</v>
      </c>
    </row>
    <row r="549" spans="1:1" x14ac:dyDescent="0.25">
      <c r="A549" t="s">
        <v>2120</v>
      </c>
    </row>
    <row r="550" spans="1:1" x14ac:dyDescent="0.25">
      <c r="A550" t="s">
        <v>2121</v>
      </c>
    </row>
    <row r="551" spans="1:1" x14ac:dyDescent="0.25">
      <c r="A551" t="s">
        <v>2122</v>
      </c>
    </row>
    <row r="552" spans="1:1" x14ac:dyDescent="0.25">
      <c r="A552" t="s">
        <v>2123</v>
      </c>
    </row>
    <row r="553" spans="1:1" x14ac:dyDescent="0.25">
      <c r="A553" t="s">
        <v>2124</v>
      </c>
    </row>
    <row r="554" spans="1:1" x14ac:dyDescent="0.25">
      <c r="A554" t="s">
        <v>2125</v>
      </c>
    </row>
    <row r="555" spans="1:1" x14ac:dyDescent="0.25">
      <c r="A555" t="s">
        <v>2126</v>
      </c>
    </row>
    <row r="556" spans="1:1" x14ac:dyDescent="0.25">
      <c r="A556" t="s">
        <v>2127</v>
      </c>
    </row>
    <row r="557" spans="1:1" x14ac:dyDescent="0.25">
      <c r="A557" t="s">
        <v>2128</v>
      </c>
    </row>
    <row r="558" spans="1:1" x14ac:dyDescent="0.25">
      <c r="A558" t="s">
        <v>2129</v>
      </c>
    </row>
    <row r="559" spans="1:1" x14ac:dyDescent="0.25">
      <c r="A559" t="s">
        <v>2130</v>
      </c>
    </row>
    <row r="560" spans="1:1" x14ac:dyDescent="0.25">
      <c r="A560" t="s">
        <v>2131</v>
      </c>
    </row>
    <row r="561" spans="1:1" x14ac:dyDescent="0.25">
      <c r="A561" t="s">
        <v>2132</v>
      </c>
    </row>
    <row r="562" spans="1:1" x14ac:dyDescent="0.25">
      <c r="A562" t="s">
        <v>2133</v>
      </c>
    </row>
    <row r="563" spans="1:1" x14ac:dyDescent="0.25">
      <c r="A563" t="s">
        <v>1902</v>
      </c>
    </row>
    <row r="564" spans="1:1" x14ac:dyDescent="0.25">
      <c r="A564" t="s">
        <v>2134</v>
      </c>
    </row>
    <row r="565" spans="1:1" x14ac:dyDescent="0.25">
      <c r="A565" t="s">
        <v>2135</v>
      </c>
    </row>
    <row r="566" spans="1:1" x14ac:dyDescent="0.25">
      <c r="A566" t="s">
        <v>2136</v>
      </c>
    </row>
    <row r="567" spans="1:1" x14ac:dyDescent="0.25">
      <c r="A567" t="s">
        <v>2137</v>
      </c>
    </row>
    <row r="568" spans="1:1" x14ac:dyDescent="0.25">
      <c r="A568" t="s">
        <v>2138</v>
      </c>
    </row>
    <row r="569" spans="1:1" x14ac:dyDescent="0.25">
      <c r="A569" t="s">
        <v>2139</v>
      </c>
    </row>
    <row r="570" spans="1:1" x14ac:dyDescent="0.25">
      <c r="A570" t="s">
        <v>2140</v>
      </c>
    </row>
    <row r="571" spans="1:1" x14ac:dyDescent="0.25">
      <c r="A571" t="s">
        <v>2141</v>
      </c>
    </row>
    <row r="572" spans="1:1" x14ac:dyDescent="0.25">
      <c r="A572" t="s">
        <v>2142</v>
      </c>
    </row>
    <row r="573" spans="1:1" x14ac:dyDescent="0.25">
      <c r="A573" t="s">
        <v>2143</v>
      </c>
    </row>
    <row r="574" spans="1:1" x14ac:dyDescent="0.25">
      <c r="A574" t="s">
        <v>2144</v>
      </c>
    </row>
    <row r="575" spans="1:1" x14ac:dyDescent="0.25">
      <c r="A575" t="s">
        <v>2145</v>
      </c>
    </row>
    <row r="576" spans="1:1" x14ac:dyDescent="0.25">
      <c r="A576" t="s">
        <v>2146</v>
      </c>
    </row>
    <row r="577" spans="1:1" x14ac:dyDescent="0.25">
      <c r="A577" t="s">
        <v>2147</v>
      </c>
    </row>
    <row r="578" spans="1:1" x14ac:dyDescent="0.25">
      <c r="A578" t="s">
        <v>2148</v>
      </c>
    </row>
    <row r="579" spans="1:1" x14ac:dyDescent="0.25">
      <c r="A579" t="s">
        <v>2149</v>
      </c>
    </row>
    <row r="580" spans="1:1" x14ac:dyDescent="0.25">
      <c r="A580" t="s">
        <v>2150</v>
      </c>
    </row>
    <row r="581" spans="1:1" x14ac:dyDescent="0.25">
      <c r="A581" t="s">
        <v>2151</v>
      </c>
    </row>
    <row r="582" spans="1:1" x14ac:dyDescent="0.25">
      <c r="A582" t="s">
        <v>2152</v>
      </c>
    </row>
    <row r="583" spans="1:1" x14ac:dyDescent="0.25">
      <c r="A583" t="s">
        <v>2153</v>
      </c>
    </row>
    <row r="584" spans="1:1" x14ac:dyDescent="0.25">
      <c r="A584" t="s">
        <v>2154</v>
      </c>
    </row>
    <row r="585" spans="1:1" x14ac:dyDescent="0.25">
      <c r="A585" t="s">
        <v>2155</v>
      </c>
    </row>
    <row r="586" spans="1:1" x14ac:dyDescent="0.25">
      <c r="A586" t="s">
        <v>2156</v>
      </c>
    </row>
    <row r="587" spans="1:1" x14ac:dyDescent="0.25">
      <c r="A587" t="s">
        <v>2157</v>
      </c>
    </row>
    <row r="588" spans="1:1" x14ac:dyDescent="0.25">
      <c r="A588" t="s">
        <v>2158</v>
      </c>
    </row>
    <row r="589" spans="1:1" x14ac:dyDescent="0.25">
      <c r="A589" t="s">
        <v>2159</v>
      </c>
    </row>
    <row r="590" spans="1:1" x14ac:dyDescent="0.25">
      <c r="A590" t="s">
        <v>2160</v>
      </c>
    </row>
    <row r="591" spans="1:1" x14ac:dyDescent="0.25">
      <c r="A591" t="s">
        <v>2161</v>
      </c>
    </row>
    <row r="592" spans="1:1" x14ac:dyDescent="0.25">
      <c r="A592" t="s">
        <v>2162</v>
      </c>
    </row>
    <row r="593" spans="1:1" x14ac:dyDescent="0.25">
      <c r="A593" t="s">
        <v>2163</v>
      </c>
    </row>
    <row r="594" spans="1:1" x14ac:dyDescent="0.25">
      <c r="A594" t="s">
        <v>2164</v>
      </c>
    </row>
    <row r="595" spans="1:1" x14ac:dyDescent="0.25">
      <c r="A595" t="s">
        <v>2165</v>
      </c>
    </row>
    <row r="596" spans="1:1" x14ac:dyDescent="0.25">
      <c r="A596" t="s">
        <v>2166</v>
      </c>
    </row>
    <row r="597" spans="1:1" x14ac:dyDescent="0.25">
      <c r="A597" t="s">
        <v>2167</v>
      </c>
    </row>
    <row r="598" spans="1:1" x14ac:dyDescent="0.25">
      <c r="A598" t="s">
        <v>2168</v>
      </c>
    </row>
    <row r="599" spans="1:1" x14ac:dyDescent="0.25">
      <c r="A599" t="s">
        <v>2169</v>
      </c>
    </row>
    <row r="600" spans="1:1" x14ac:dyDescent="0.25">
      <c r="A600" t="s">
        <v>2170</v>
      </c>
    </row>
    <row r="601" spans="1:1" x14ac:dyDescent="0.25">
      <c r="A601" t="s">
        <v>2171</v>
      </c>
    </row>
    <row r="602" spans="1:1" x14ac:dyDescent="0.25">
      <c r="A602" t="s">
        <v>2172</v>
      </c>
    </row>
    <row r="603" spans="1:1" x14ac:dyDescent="0.25">
      <c r="A603" t="s">
        <v>2173</v>
      </c>
    </row>
    <row r="604" spans="1:1" x14ac:dyDescent="0.25">
      <c r="A604" t="s">
        <v>2174</v>
      </c>
    </row>
    <row r="605" spans="1:1" x14ac:dyDescent="0.25">
      <c r="A605" t="s">
        <v>2175</v>
      </c>
    </row>
    <row r="606" spans="1:1" x14ac:dyDescent="0.25">
      <c r="A606" t="s">
        <v>2176</v>
      </c>
    </row>
    <row r="607" spans="1:1" x14ac:dyDescent="0.25">
      <c r="A607" t="s">
        <v>2177</v>
      </c>
    </row>
    <row r="608" spans="1:1" x14ac:dyDescent="0.25">
      <c r="A608" t="s">
        <v>2178</v>
      </c>
    </row>
    <row r="609" spans="1:1" x14ac:dyDescent="0.25">
      <c r="A609" t="s">
        <v>2179</v>
      </c>
    </row>
    <row r="610" spans="1:1" x14ac:dyDescent="0.25">
      <c r="A610" t="s">
        <v>2180</v>
      </c>
    </row>
    <row r="611" spans="1:1" x14ac:dyDescent="0.25">
      <c r="A611" t="s">
        <v>2181</v>
      </c>
    </row>
    <row r="612" spans="1:1" x14ac:dyDescent="0.25">
      <c r="A612" t="s">
        <v>2182</v>
      </c>
    </row>
    <row r="613" spans="1:1" x14ac:dyDescent="0.25">
      <c r="A613" t="s">
        <v>2183</v>
      </c>
    </row>
    <row r="614" spans="1:1" x14ac:dyDescent="0.25">
      <c r="A614" t="s">
        <v>2184</v>
      </c>
    </row>
    <row r="615" spans="1:1" x14ac:dyDescent="0.25">
      <c r="A615" t="s">
        <v>2185</v>
      </c>
    </row>
    <row r="616" spans="1:1" x14ac:dyDescent="0.25">
      <c r="A616" t="s">
        <v>274</v>
      </c>
    </row>
    <row r="617" spans="1:1" x14ac:dyDescent="0.25">
      <c r="A617" t="s">
        <v>1891</v>
      </c>
    </row>
    <row r="618" spans="1:1" x14ac:dyDescent="0.25">
      <c r="A618" t="s">
        <v>1892</v>
      </c>
    </row>
    <row r="619" spans="1:1" x14ac:dyDescent="0.25">
      <c r="A619" t="s">
        <v>1893</v>
      </c>
    </row>
    <row r="620" spans="1:1" x14ac:dyDescent="0.25">
      <c r="A620" t="s">
        <v>1894</v>
      </c>
    </row>
    <row r="621" spans="1:1" x14ac:dyDescent="0.25">
      <c r="A621" t="s">
        <v>1895</v>
      </c>
    </row>
    <row r="622" spans="1:1" x14ac:dyDescent="0.25">
      <c r="A622" t="s">
        <v>1080</v>
      </c>
    </row>
    <row r="623" spans="1:1" x14ac:dyDescent="0.25">
      <c r="A623" t="s">
        <v>1896</v>
      </c>
    </row>
    <row r="624" spans="1:1" x14ac:dyDescent="0.25">
      <c r="A624" t="s">
        <v>1897</v>
      </c>
    </row>
    <row r="625" spans="1:1" x14ac:dyDescent="0.25">
      <c r="A625" t="s">
        <v>1898</v>
      </c>
    </row>
    <row r="626" spans="1:1" x14ac:dyDescent="0.25">
      <c r="A626" t="s">
        <v>1899</v>
      </c>
    </row>
    <row r="627" spans="1:1" x14ac:dyDescent="0.25">
      <c r="A627" t="s">
        <v>1900</v>
      </c>
    </row>
    <row r="628" spans="1:1" x14ac:dyDescent="0.25">
      <c r="A628" t="s">
        <v>1901</v>
      </c>
    </row>
    <row r="629" spans="1:1" x14ac:dyDescent="0.25">
      <c r="A629" t="s">
        <v>1182</v>
      </c>
    </row>
    <row r="630" spans="1:1" x14ac:dyDescent="0.25">
      <c r="A630" t="s">
        <v>1577</v>
      </c>
    </row>
    <row r="631" spans="1:1" x14ac:dyDescent="0.25">
      <c r="A631" t="s">
        <v>1578</v>
      </c>
    </row>
    <row r="632" spans="1:1" x14ac:dyDescent="0.25">
      <c r="A632" t="s">
        <v>1579</v>
      </c>
    </row>
    <row r="633" spans="1:1" x14ac:dyDescent="0.25">
      <c r="A633" t="s">
        <v>1580</v>
      </c>
    </row>
    <row r="634" spans="1:1" x14ac:dyDescent="0.25">
      <c r="A634" t="s">
        <v>1581</v>
      </c>
    </row>
    <row r="635" spans="1:1" x14ac:dyDescent="0.25">
      <c r="A635" t="s">
        <v>1186</v>
      </c>
    </row>
    <row r="636" spans="1:1" x14ac:dyDescent="0.25">
      <c r="A636" t="s">
        <v>1582</v>
      </c>
    </row>
    <row r="637" spans="1:1" x14ac:dyDescent="0.25">
      <c r="A637" t="s">
        <v>1582</v>
      </c>
    </row>
    <row r="638" spans="1:1" x14ac:dyDescent="0.25">
      <c r="A638" t="s">
        <v>1582</v>
      </c>
    </row>
    <row r="639" spans="1:1" x14ac:dyDescent="0.25">
      <c r="A639" t="s">
        <v>1582</v>
      </c>
    </row>
    <row r="640" spans="1:1" x14ac:dyDescent="0.25">
      <c r="A640" t="s">
        <v>1582</v>
      </c>
    </row>
    <row r="641" spans="1:1" x14ac:dyDescent="0.25">
      <c r="A641" t="s">
        <v>1582</v>
      </c>
    </row>
    <row r="642" spans="1:1" x14ac:dyDescent="0.25">
      <c r="A642" t="s">
        <v>1583</v>
      </c>
    </row>
    <row r="643" spans="1:1" x14ac:dyDescent="0.25">
      <c r="A643" t="s">
        <v>1584</v>
      </c>
    </row>
    <row r="644" spans="1:1" x14ac:dyDescent="0.25">
      <c r="A644" t="s">
        <v>1585</v>
      </c>
    </row>
    <row r="645" spans="1:1" x14ac:dyDescent="0.25">
      <c r="A645" t="s">
        <v>1586</v>
      </c>
    </row>
    <row r="646" spans="1:1" x14ac:dyDescent="0.25">
      <c r="A646" t="s">
        <v>1587</v>
      </c>
    </row>
    <row r="647" spans="1:1" x14ac:dyDescent="0.25">
      <c r="A647" t="s">
        <v>1588</v>
      </c>
    </row>
    <row r="648" spans="1:1" x14ac:dyDescent="0.25">
      <c r="A648" t="s">
        <v>1582</v>
      </c>
    </row>
    <row r="649" spans="1:1" x14ac:dyDescent="0.25">
      <c r="A649" t="s">
        <v>1582</v>
      </c>
    </row>
    <row r="650" spans="1:1" x14ac:dyDescent="0.25">
      <c r="A650" t="s">
        <v>1582</v>
      </c>
    </row>
    <row r="651" spans="1:1" x14ac:dyDescent="0.25">
      <c r="A651" t="s">
        <v>1188</v>
      </c>
    </row>
    <row r="652" spans="1:1" x14ac:dyDescent="0.25">
      <c r="A652" t="s">
        <v>1589</v>
      </c>
    </row>
    <row r="653" spans="1:1" x14ac:dyDescent="0.25">
      <c r="A653" t="s">
        <v>1589</v>
      </c>
    </row>
    <row r="654" spans="1:1" x14ac:dyDescent="0.25">
      <c r="A654" t="s">
        <v>1589</v>
      </c>
    </row>
    <row r="655" spans="1:1" x14ac:dyDescent="0.25">
      <c r="A655" t="s">
        <v>1589</v>
      </c>
    </row>
    <row r="656" spans="1:1" x14ac:dyDescent="0.25">
      <c r="A656" t="s">
        <v>1589</v>
      </c>
    </row>
    <row r="657" spans="1:1" x14ac:dyDescent="0.25">
      <c r="A657" t="s">
        <v>1589</v>
      </c>
    </row>
    <row r="658" spans="1:1" x14ac:dyDescent="0.25">
      <c r="A658" t="e">
        <v>#REF!</v>
      </c>
    </row>
    <row r="659" spans="1:1" x14ac:dyDescent="0.25">
      <c r="A659" t="e">
        <v>#REF!</v>
      </c>
    </row>
    <row r="660" spans="1:1" x14ac:dyDescent="0.25">
      <c r="A660" t="e">
        <v>#REF!</v>
      </c>
    </row>
    <row r="661" spans="1:1" x14ac:dyDescent="0.25">
      <c r="A661" t="e">
        <v>#REF!</v>
      </c>
    </row>
    <row r="662" spans="1:1" x14ac:dyDescent="0.25">
      <c r="A662" t="e">
        <v>#REF!</v>
      </c>
    </row>
    <row r="663" spans="1:1" x14ac:dyDescent="0.25">
      <c r="A663" t="e">
        <v>#REF!</v>
      </c>
    </row>
    <row r="664" spans="1:1" x14ac:dyDescent="0.25">
      <c r="A664" t="s">
        <v>1589</v>
      </c>
    </row>
    <row r="665" spans="1:1" x14ac:dyDescent="0.25">
      <c r="A665" t="s">
        <v>1589</v>
      </c>
    </row>
    <row r="666" spans="1:1" x14ac:dyDescent="0.25">
      <c r="A666" t="s">
        <v>1589</v>
      </c>
    </row>
    <row r="667" spans="1:1" x14ac:dyDescent="0.25">
      <c r="A667" t="s">
        <v>1343</v>
      </c>
    </row>
    <row r="668" spans="1:1" x14ac:dyDescent="0.25">
      <c r="A668" t="s">
        <v>1590</v>
      </c>
    </row>
    <row r="669" spans="1:1" x14ac:dyDescent="0.25">
      <c r="A669" t="s">
        <v>1590</v>
      </c>
    </row>
    <row r="670" spans="1:1" x14ac:dyDescent="0.25">
      <c r="A670" t="s">
        <v>1590</v>
      </c>
    </row>
    <row r="671" spans="1:1" x14ac:dyDescent="0.25">
      <c r="A671" t="s">
        <v>1590</v>
      </c>
    </row>
    <row r="672" spans="1:1" x14ac:dyDescent="0.25">
      <c r="A672" t="s">
        <v>1590</v>
      </c>
    </row>
    <row r="673" spans="1:1" x14ac:dyDescent="0.25">
      <c r="A673" t="s">
        <v>1590</v>
      </c>
    </row>
    <row r="674" spans="1:1" x14ac:dyDescent="0.25">
      <c r="A674" t="s">
        <v>1590</v>
      </c>
    </row>
    <row r="675" spans="1:1" x14ac:dyDescent="0.25">
      <c r="A675" t="s">
        <v>1590</v>
      </c>
    </row>
    <row r="676" spans="1:1" x14ac:dyDescent="0.25">
      <c r="A676" t="s">
        <v>1590</v>
      </c>
    </row>
    <row r="677" spans="1:1" x14ac:dyDescent="0.25">
      <c r="A677" t="s">
        <v>1590</v>
      </c>
    </row>
    <row r="678" spans="1:1" x14ac:dyDescent="0.25">
      <c r="A678" t="s">
        <v>1590</v>
      </c>
    </row>
    <row r="679" spans="1:1" x14ac:dyDescent="0.25">
      <c r="A679" t="s">
        <v>1590</v>
      </c>
    </row>
    <row r="680" spans="1:1" x14ac:dyDescent="0.25">
      <c r="A680" t="s">
        <v>1590</v>
      </c>
    </row>
    <row r="681" spans="1:1" x14ac:dyDescent="0.25">
      <c r="A681" t="s">
        <v>1590</v>
      </c>
    </row>
    <row r="682" spans="1:1" x14ac:dyDescent="0.25">
      <c r="A682" t="s">
        <v>1590</v>
      </c>
    </row>
    <row r="683" spans="1:1" x14ac:dyDescent="0.25">
      <c r="A683" t="s">
        <v>1190</v>
      </c>
    </row>
    <row r="684" spans="1:1" x14ac:dyDescent="0.25">
      <c r="A684" t="e">
        <v>#REF!</v>
      </c>
    </row>
    <row r="685" spans="1:1" x14ac:dyDescent="0.25">
      <c r="A685" t="s">
        <v>1334</v>
      </c>
    </row>
    <row r="686" spans="1:1" x14ac:dyDescent="0.25">
      <c r="A686" t="s">
        <v>1591</v>
      </c>
    </row>
    <row r="687" spans="1:1" x14ac:dyDescent="0.25">
      <c r="A687" t="s">
        <v>1592</v>
      </c>
    </row>
    <row r="688" spans="1:1" x14ac:dyDescent="0.25">
      <c r="A688" t="s">
        <v>1593</v>
      </c>
    </row>
    <row r="689" spans="1:1" x14ac:dyDescent="0.25">
      <c r="A689" t="s">
        <v>1594</v>
      </c>
    </row>
    <row r="690" spans="1:1" x14ac:dyDescent="0.25">
      <c r="A690" t="s">
        <v>1595</v>
      </c>
    </row>
    <row r="691" spans="1:1" x14ac:dyDescent="0.25">
      <c r="A691" t="s">
        <v>1596</v>
      </c>
    </row>
    <row r="692" spans="1:1" x14ac:dyDescent="0.25">
      <c r="A692" t="s">
        <v>1597</v>
      </c>
    </row>
    <row r="693" spans="1:1" x14ac:dyDescent="0.25">
      <c r="A693" t="s">
        <v>1598</v>
      </c>
    </row>
    <row r="694" spans="1:1" x14ac:dyDescent="0.25">
      <c r="A694" t="s">
        <v>1599</v>
      </c>
    </row>
    <row r="695" spans="1:1" x14ac:dyDescent="0.25">
      <c r="A695" t="s">
        <v>1600</v>
      </c>
    </row>
    <row r="696" spans="1:1" x14ac:dyDescent="0.25">
      <c r="A696" t="s">
        <v>1601</v>
      </c>
    </row>
    <row r="697" spans="1:1" x14ac:dyDescent="0.25">
      <c r="A697" t="s">
        <v>1602</v>
      </c>
    </row>
    <row r="698" spans="1:1" x14ac:dyDescent="0.25">
      <c r="A698" t="s">
        <v>1603</v>
      </c>
    </row>
    <row r="699" spans="1:1" x14ac:dyDescent="0.25">
      <c r="A699" t="s">
        <v>1604</v>
      </c>
    </row>
    <row r="700" spans="1:1" x14ac:dyDescent="0.25">
      <c r="A700" t="s">
        <v>1605</v>
      </c>
    </row>
    <row r="701" spans="1:1" x14ac:dyDescent="0.25">
      <c r="A701">
        <v>0</v>
      </c>
    </row>
    <row r="702" spans="1:1" x14ac:dyDescent="0.25">
      <c r="A702">
        <v>0</v>
      </c>
    </row>
    <row r="703" spans="1:1" x14ac:dyDescent="0.25">
      <c r="A703" t="s">
        <v>1191</v>
      </c>
    </row>
    <row r="704" spans="1:1" x14ac:dyDescent="0.25">
      <c r="A704" t="s">
        <v>1450</v>
      </c>
    </row>
    <row r="705" spans="1:1" x14ac:dyDescent="0.25">
      <c r="A705" t="s">
        <v>1202</v>
      </c>
    </row>
    <row r="706" spans="1:1" x14ac:dyDescent="0.25">
      <c r="A706" t="s">
        <v>1205</v>
      </c>
    </row>
    <row r="707" spans="1:1" x14ac:dyDescent="0.25">
      <c r="A707" t="s">
        <v>1606</v>
      </c>
    </row>
    <row r="708" spans="1:1" x14ac:dyDescent="0.25">
      <c r="A708" t="s">
        <v>1607</v>
      </c>
    </row>
    <row r="709" spans="1:1" x14ac:dyDescent="0.25">
      <c r="A709" t="s">
        <v>1608</v>
      </c>
    </row>
    <row r="710" spans="1:1" x14ac:dyDescent="0.25">
      <c r="A710" t="s">
        <v>2186</v>
      </c>
    </row>
    <row r="711" spans="1:1" x14ac:dyDescent="0.25">
      <c r="A711" t="s">
        <v>1609</v>
      </c>
    </row>
    <row r="712" spans="1:1" x14ac:dyDescent="0.25">
      <c r="A712" t="s">
        <v>2187</v>
      </c>
    </row>
    <row r="713" spans="1:1" x14ac:dyDescent="0.25">
      <c r="A713" t="s">
        <v>1610</v>
      </c>
    </row>
    <row r="714" spans="1:1" x14ac:dyDescent="0.25">
      <c r="A714" t="s">
        <v>1611</v>
      </c>
    </row>
    <row r="715" spans="1:1" x14ac:dyDescent="0.25">
      <c r="A715" t="s">
        <v>1612</v>
      </c>
    </row>
    <row r="716" spans="1:1" x14ac:dyDescent="0.25">
      <c r="A716" t="s">
        <v>2188</v>
      </c>
    </row>
    <row r="717" spans="1:1" x14ac:dyDescent="0.25">
      <c r="A717" t="s">
        <v>1613</v>
      </c>
    </row>
    <row r="718" spans="1:1" x14ac:dyDescent="0.25">
      <c r="A718" t="s">
        <v>2189</v>
      </c>
    </row>
    <row r="719" spans="1:1" x14ac:dyDescent="0.25">
      <c r="A719" t="s">
        <v>1614</v>
      </c>
    </row>
    <row r="720" spans="1:1" x14ac:dyDescent="0.25">
      <c r="A720" t="s">
        <v>1615</v>
      </c>
    </row>
    <row r="721" spans="1:1" x14ac:dyDescent="0.25">
      <c r="A721" t="s">
        <v>1616</v>
      </c>
    </row>
    <row r="722" spans="1:1" x14ac:dyDescent="0.25">
      <c r="A722" t="s">
        <v>1617</v>
      </c>
    </row>
    <row r="723" spans="1:1" x14ac:dyDescent="0.25">
      <c r="A723" t="s">
        <v>1618</v>
      </c>
    </row>
    <row r="724" spans="1:1" x14ac:dyDescent="0.25">
      <c r="A724" t="s">
        <v>1619</v>
      </c>
    </row>
    <row r="725" spans="1:1" x14ac:dyDescent="0.25">
      <c r="A725" t="s">
        <v>1620</v>
      </c>
    </row>
    <row r="726" spans="1:1" x14ac:dyDescent="0.25">
      <c r="A726" t="s">
        <v>1621</v>
      </c>
    </row>
    <row r="727" spans="1:1" x14ac:dyDescent="0.25">
      <c r="A727" t="s">
        <v>1622</v>
      </c>
    </row>
    <row r="728" spans="1:1" x14ac:dyDescent="0.25">
      <c r="A728" t="s">
        <v>1623</v>
      </c>
    </row>
    <row r="729" spans="1:1" x14ac:dyDescent="0.25">
      <c r="A729" t="s">
        <v>1624</v>
      </c>
    </row>
    <row r="730" spans="1:1" x14ac:dyDescent="0.25">
      <c r="A730" t="s">
        <v>1625</v>
      </c>
    </row>
    <row r="731" spans="1:1" x14ac:dyDescent="0.25">
      <c r="A731" t="s">
        <v>1626</v>
      </c>
    </row>
    <row r="732" spans="1:1" x14ac:dyDescent="0.25">
      <c r="A732" t="s">
        <v>1627</v>
      </c>
    </row>
    <row r="733" spans="1:1" x14ac:dyDescent="0.25">
      <c r="A733" t="s">
        <v>1628</v>
      </c>
    </row>
    <row r="734" spans="1:1" x14ac:dyDescent="0.25">
      <c r="A734" t="s">
        <v>1629</v>
      </c>
    </row>
    <row r="735" spans="1:1" x14ac:dyDescent="0.25">
      <c r="A735" t="s">
        <v>1630</v>
      </c>
    </row>
    <row r="736" spans="1:1" x14ac:dyDescent="0.25">
      <c r="A736" t="s">
        <v>1631</v>
      </c>
    </row>
    <row r="737" spans="1:1" x14ac:dyDescent="0.25">
      <c r="A737" t="s">
        <v>1632</v>
      </c>
    </row>
    <row r="738" spans="1:1" x14ac:dyDescent="0.25">
      <c r="A738" t="s">
        <v>1633</v>
      </c>
    </row>
    <row r="739" spans="1:1" x14ac:dyDescent="0.25">
      <c r="A739" t="s">
        <v>1634</v>
      </c>
    </row>
    <row r="740" spans="1:1" x14ac:dyDescent="0.25">
      <c r="A740" t="s">
        <v>1635</v>
      </c>
    </row>
    <row r="741" spans="1:1" x14ac:dyDescent="0.25">
      <c r="A741" t="s">
        <v>1636</v>
      </c>
    </row>
    <row r="742" spans="1:1" x14ac:dyDescent="0.25">
      <c r="A742" t="s">
        <v>1637</v>
      </c>
    </row>
    <row r="743" spans="1:1" x14ac:dyDescent="0.25">
      <c r="A743" t="s">
        <v>1638</v>
      </c>
    </row>
    <row r="744" spans="1:1" x14ac:dyDescent="0.25">
      <c r="A744" t="s">
        <v>1639</v>
      </c>
    </row>
    <row r="745" spans="1:1" x14ac:dyDescent="0.25">
      <c r="A745" t="s">
        <v>1640</v>
      </c>
    </row>
    <row r="746" spans="1:1" x14ac:dyDescent="0.25">
      <c r="A746" t="s">
        <v>1641</v>
      </c>
    </row>
    <row r="747" spans="1:1" x14ac:dyDescent="0.25">
      <c r="A747" t="s">
        <v>1642</v>
      </c>
    </row>
    <row r="748" spans="1:1" x14ac:dyDescent="0.25">
      <c r="A748" t="s">
        <v>1643</v>
      </c>
    </row>
    <row r="749" spans="1:1" x14ac:dyDescent="0.25">
      <c r="A749" t="s">
        <v>1644</v>
      </c>
    </row>
    <row r="750" spans="1:1" x14ac:dyDescent="0.25">
      <c r="A750" t="s">
        <v>1645</v>
      </c>
    </row>
    <row r="751" spans="1:1" x14ac:dyDescent="0.25">
      <c r="A751" t="s">
        <v>1646</v>
      </c>
    </row>
    <row r="752" spans="1:1" x14ac:dyDescent="0.25">
      <c r="A752" t="s">
        <v>1647</v>
      </c>
    </row>
    <row r="753" spans="1:1" x14ac:dyDescent="0.25">
      <c r="A753" t="s">
        <v>1648</v>
      </c>
    </row>
    <row r="754" spans="1:1" x14ac:dyDescent="0.25">
      <c r="A754" t="s">
        <v>1649</v>
      </c>
    </row>
    <row r="755" spans="1:1" x14ac:dyDescent="0.25">
      <c r="A755" t="s">
        <v>1650</v>
      </c>
    </row>
    <row r="756" spans="1:1" x14ac:dyDescent="0.25">
      <c r="A756" t="s">
        <v>1651</v>
      </c>
    </row>
    <row r="757" spans="1:1" x14ac:dyDescent="0.25">
      <c r="A757" t="s">
        <v>1652</v>
      </c>
    </row>
    <row r="758" spans="1:1" x14ac:dyDescent="0.25">
      <c r="A758" t="s">
        <v>1653</v>
      </c>
    </row>
    <row r="759" spans="1:1" x14ac:dyDescent="0.25">
      <c r="A759" t="s">
        <v>1654</v>
      </c>
    </row>
    <row r="760" spans="1:1" x14ac:dyDescent="0.25">
      <c r="A760" t="s">
        <v>1655</v>
      </c>
    </row>
    <row r="761" spans="1:1" x14ac:dyDescent="0.25">
      <c r="A761" t="s">
        <v>1656</v>
      </c>
    </row>
    <row r="762" spans="1:1" x14ac:dyDescent="0.25">
      <c r="A762" t="s">
        <v>1657</v>
      </c>
    </row>
    <row r="763" spans="1:1" x14ac:dyDescent="0.25">
      <c r="A763" t="s">
        <v>1658</v>
      </c>
    </row>
    <row r="764" spans="1:1" x14ac:dyDescent="0.25">
      <c r="A764" t="s">
        <v>1659</v>
      </c>
    </row>
    <row r="765" spans="1:1" x14ac:dyDescent="0.25">
      <c r="A765" t="s">
        <v>1660</v>
      </c>
    </row>
    <row r="766" spans="1:1" x14ac:dyDescent="0.25">
      <c r="A766" t="s">
        <v>1661</v>
      </c>
    </row>
    <row r="767" spans="1:1" x14ac:dyDescent="0.25">
      <c r="A767" t="s">
        <v>1662</v>
      </c>
    </row>
    <row r="768" spans="1:1" x14ac:dyDescent="0.25">
      <c r="A768" t="s">
        <v>1663</v>
      </c>
    </row>
    <row r="769" spans="1:1" x14ac:dyDescent="0.25">
      <c r="A769" t="s">
        <v>1664</v>
      </c>
    </row>
    <row r="770" spans="1:1" x14ac:dyDescent="0.25">
      <c r="A770" t="s">
        <v>1665</v>
      </c>
    </row>
    <row r="771" spans="1:1" x14ac:dyDescent="0.25">
      <c r="A771" t="s">
        <v>1666</v>
      </c>
    </row>
    <row r="772" spans="1:1" x14ac:dyDescent="0.25">
      <c r="A772" t="s">
        <v>1667</v>
      </c>
    </row>
    <row r="773" spans="1:1" x14ac:dyDescent="0.25">
      <c r="A773" t="s">
        <v>1668</v>
      </c>
    </row>
    <row r="774" spans="1:1" x14ac:dyDescent="0.25">
      <c r="A774" t="s">
        <v>1669</v>
      </c>
    </row>
    <row r="775" spans="1:1" x14ac:dyDescent="0.25">
      <c r="A775" t="s">
        <v>1670</v>
      </c>
    </row>
    <row r="776" spans="1:1" x14ac:dyDescent="0.25">
      <c r="A776" t="s">
        <v>1671</v>
      </c>
    </row>
    <row r="777" spans="1:1" x14ac:dyDescent="0.25">
      <c r="A777" t="s">
        <v>1672</v>
      </c>
    </row>
    <row r="778" spans="1:1" x14ac:dyDescent="0.25">
      <c r="A778" t="s">
        <v>1673</v>
      </c>
    </row>
    <row r="779" spans="1:1" x14ac:dyDescent="0.25">
      <c r="A779" t="s">
        <v>1674</v>
      </c>
    </row>
    <row r="780" spans="1:1" x14ac:dyDescent="0.25">
      <c r="A780" t="s">
        <v>1675</v>
      </c>
    </row>
    <row r="781" spans="1:1" x14ac:dyDescent="0.25">
      <c r="A781" t="s">
        <v>1676</v>
      </c>
    </row>
    <row r="782" spans="1:1" x14ac:dyDescent="0.25">
      <c r="A782" t="s">
        <v>1677</v>
      </c>
    </row>
    <row r="783" spans="1:1" x14ac:dyDescent="0.25">
      <c r="A783" t="s">
        <v>1678</v>
      </c>
    </row>
    <row r="784" spans="1:1" x14ac:dyDescent="0.25">
      <c r="A784" t="s">
        <v>1679</v>
      </c>
    </row>
    <row r="785" spans="1:1" x14ac:dyDescent="0.25">
      <c r="A785" t="s">
        <v>1680</v>
      </c>
    </row>
    <row r="786" spans="1:1" x14ac:dyDescent="0.25">
      <c r="A786" t="s">
        <v>1681</v>
      </c>
    </row>
    <row r="787" spans="1:1" x14ac:dyDescent="0.25">
      <c r="A787" t="s">
        <v>1682</v>
      </c>
    </row>
    <row r="788" spans="1:1" x14ac:dyDescent="0.25">
      <c r="A788" t="s">
        <v>1683</v>
      </c>
    </row>
    <row r="789" spans="1:1" x14ac:dyDescent="0.25">
      <c r="A789" t="s">
        <v>1684</v>
      </c>
    </row>
    <row r="790" spans="1:1" x14ac:dyDescent="0.25">
      <c r="A790" t="s">
        <v>1685</v>
      </c>
    </row>
    <row r="791" spans="1:1" x14ac:dyDescent="0.25">
      <c r="A791" t="s">
        <v>1686</v>
      </c>
    </row>
    <row r="792" spans="1:1" x14ac:dyDescent="0.25">
      <c r="A792" t="s">
        <v>1687</v>
      </c>
    </row>
    <row r="793" spans="1:1" x14ac:dyDescent="0.25">
      <c r="A793" t="s">
        <v>1688</v>
      </c>
    </row>
    <row r="794" spans="1:1" x14ac:dyDescent="0.25">
      <c r="A794" t="s">
        <v>1689</v>
      </c>
    </row>
    <row r="795" spans="1:1" x14ac:dyDescent="0.25">
      <c r="A795" t="s">
        <v>1690</v>
      </c>
    </row>
    <row r="796" spans="1:1" x14ac:dyDescent="0.25">
      <c r="A796" t="s">
        <v>1691</v>
      </c>
    </row>
    <row r="797" spans="1:1" x14ac:dyDescent="0.25">
      <c r="A797" t="s">
        <v>1692</v>
      </c>
    </row>
    <row r="798" spans="1:1" x14ac:dyDescent="0.25">
      <c r="A798" t="s">
        <v>1693</v>
      </c>
    </row>
    <row r="799" spans="1:1" x14ac:dyDescent="0.25">
      <c r="A799" t="s">
        <v>1694</v>
      </c>
    </row>
    <row r="800" spans="1:1" x14ac:dyDescent="0.25">
      <c r="A800" t="s">
        <v>1695</v>
      </c>
    </row>
    <row r="801" spans="1:1" x14ac:dyDescent="0.25">
      <c r="A801" t="s">
        <v>1696</v>
      </c>
    </row>
    <row r="802" spans="1:1" x14ac:dyDescent="0.25">
      <c r="A802" t="s">
        <v>1697</v>
      </c>
    </row>
    <row r="803" spans="1:1" x14ac:dyDescent="0.25">
      <c r="A803" t="s">
        <v>1698</v>
      </c>
    </row>
    <row r="804" spans="1:1" x14ac:dyDescent="0.25">
      <c r="A804" t="s">
        <v>1699</v>
      </c>
    </row>
    <row r="805" spans="1:1" x14ac:dyDescent="0.25">
      <c r="A805" t="s">
        <v>1700</v>
      </c>
    </row>
    <row r="806" spans="1:1" x14ac:dyDescent="0.25">
      <c r="A806" t="s">
        <v>1701</v>
      </c>
    </row>
    <row r="807" spans="1:1" x14ac:dyDescent="0.25">
      <c r="A807" t="s">
        <v>1702</v>
      </c>
    </row>
    <row r="808" spans="1:1" x14ac:dyDescent="0.25">
      <c r="A808" t="s">
        <v>1703</v>
      </c>
    </row>
    <row r="809" spans="1:1" x14ac:dyDescent="0.25">
      <c r="A809" t="s">
        <v>1704</v>
      </c>
    </row>
    <row r="810" spans="1:1" x14ac:dyDescent="0.25">
      <c r="A810" t="s">
        <v>1705</v>
      </c>
    </row>
    <row r="811" spans="1:1" x14ac:dyDescent="0.25">
      <c r="A811" t="s">
        <v>1706</v>
      </c>
    </row>
    <row r="812" spans="1:1" x14ac:dyDescent="0.25">
      <c r="A812" t="s">
        <v>1707</v>
      </c>
    </row>
    <row r="813" spans="1:1" x14ac:dyDescent="0.25">
      <c r="A813" t="s">
        <v>1708</v>
      </c>
    </row>
    <row r="814" spans="1:1" x14ac:dyDescent="0.25">
      <c r="A814" t="s">
        <v>1709</v>
      </c>
    </row>
    <row r="815" spans="1:1" x14ac:dyDescent="0.25">
      <c r="A815" t="s">
        <v>1710</v>
      </c>
    </row>
    <row r="816" spans="1:1" x14ac:dyDescent="0.25">
      <c r="A816" t="s">
        <v>1711</v>
      </c>
    </row>
    <row r="817" spans="1:1" x14ac:dyDescent="0.25">
      <c r="A817" t="s">
        <v>1712</v>
      </c>
    </row>
    <row r="818" spans="1:1" x14ac:dyDescent="0.25">
      <c r="A818" t="s">
        <v>1713</v>
      </c>
    </row>
    <row r="819" spans="1:1" x14ac:dyDescent="0.25">
      <c r="A819" t="s">
        <v>1714</v>
      </c>
    </row>
    <row r="820" spans="1:1" x14ac:dyDescent="0.25">
      <c r="A820" t="s">
        <v>1715</v>
      </c>
    </row>
    <row r="821" spans="1:1" x14ac:dyDescent="0.25">
      <c r="A821" t="s">
        <v>1716</v>
      </c>
    </row>
    <row r="822" spans="1:1" x14ac:dyDescent="0.25">
      <c r="A822" t="s">
        <v>1717</v>
      </c>
    </row>
    <row r="823" spans="1:1" x14ac:dyDescent="0.25">
      <c r="A823" t="s">
        <v>1718</v>
      </c>
    </row>
    <row r="824" spans="1:1" x14ac:dyDescent="0.25">
      <c r="A824" t="s">
        <v>1719</v>
      </c>
    </row>
    <row r="825" spans="1:1" x14ac:dyDescent="0.25">
      <c r="A825" t="s">
        <v>1720</v>
      </c>
    </row>
    <row r="826" spans="1:1" x14ac:dyDescent="0.25">
      <c r="A826" t="s">
        <v>1721</v>
      </c>
    </row>
    <row r="827" spans="1:1" x14ac:dyDescent="0.25">
      <c r="A827" t="s">
        <v>1722</v>
      </c>
    </row>
    <row r="828" spans="1:1" x14ac:dyDescent="0.25">
      <c r="A828" t="s">
        <v>1723</v>
      </c>
    </row>
    <row r="829" spans="1:1" x14ac:dyDescent="0.25">
      <c r="A829" t="s">
        <v>1724</v>
      </c>
    </row>
    <row r="830" spans="1:1" x14ac:dyDescent="0.25">
      <c r="A830" t="s">
        <v>1725</v>
      </c>
    </row>
    <row r="831" spans="1:1" x14ac:dyDescent="0.25">
      <c r="A831" t="s">
        <v>1726</v>
      </c>
    </row>
    <row r="832" spans="1:1" x14ac:dyDescent="0.25">
      <c r="A832" t="s">
        <v>1727</v>
      </c>
    </row>
    <row r="833" spans="1:1" x14ac:dyDescent="0.25">
      <c r="A833" t="s">
        <v>1728</v>
      </c>
    </row>
    <row r="834" spans="1:1" x14ac:dyDescent="0.25">
      <c r="A834" t="s">
        <v>1729</v>
      </c>
    </row>
    <row r="835" spans="1:1" x14ac:dyDescent="0.25">
      <c r="A835" t="s">
        <v>1730</v>
      </c>
    </row>
    <row r="836" spans="1:1" x14ac:dyDescent="0.25">
      <c r="A836" t="s">
        <v>1731</v>
      </c>
    </row>
    <row r="837" spans="1:1" x14ac:dyDescent="0.25">
      <c r="A837" t="s">
        <v>1732</v>
      </c>
    </row>
    <row r="838" spans="1:1" x14ac:dyDescent="0.25">
      <c r="A838" t="s">
        <v>1733</v>
      </c>
    </row>
    <row r="839" spans="1:1" x14ac:dyDescent="0.25">
      <c r="A839" t="s">
        <v>1734</v>
      </c>
    </row>
    <row r="840" spans="1:1" x14ac:dyDescent="0.25">
      <c r="A840" t="s">
        <v>1735</v>
      </c>
    </row>
    <row r="841" spans="1:1" x14ac:dyDescent="0.25">
      <c r="A841" t="s">
        <v>1736</v>
      </c>
    </row>
    <row r="842" spans="1:1" x14ac:dyDescent="0.25">
      <c r="A842" t="s">
        <v>1737</v>
      </c>
    </row>
    <row r="843" spans="1:1" x14ac:dyDescent="0.25">
      <c r="A843" t="s">
        <v>1738</v>
      </c>
    </row>
    <row r="844" spans="1:1" x14ac:dyDescent="0.25">
      <c r="A844" t="s">
        <v>1739</v>
      </c>
    </row>
    <row r="845" spans="1:1" x14ac:dyDescent="0.25">
      <c r="A845" t="s">
        <v>1740</v>
      </c>
    </row>
    <row r="846" spans="1:1" x14ac:dyDescent="0.25">
      <c r="A846" t="s">
        <v>1741</v>
      </c>
    </row>
    <row r="847" spans="1:1" x14ac:dyDescent="0.25">
      <c r="A847" t="s">
        <v>1742</v>
      </c>
    </row>
    <row r="848" spans="1:1" x14ac:dyDescent="0.25">
      <c r="A848" t="s">
        <v>1743</v>
      </c>
    </row>
    <row r="849" spans="1:1" x14ac:dyDescent="0.25">
      <c r="A849" t="s">
        <v>1744</v>
      </c>
    </row>
    <row r="850" spans="1:1" x14ac:dyDescent="0.25">
      <c r="A850" t="s">
        <v>1745</v>
      </c>
    </row>
    <row r="851" spans="1:1" x14ac:dyDescent="0.25">
      <c r="A851" t="s">
        <v>1746</v>
      </c>
    </row>
    <row r="852" spans="1:1" x14ac:dyDescent="0.25">
      <c r="A852" t="s">
        <v>1747</v>
      </c>
    </row>
    <row r="853" spans="1:1" x14ac:dyDescent="0.25">
      <c r="A853" t="s">
        <v>1748</v>
      </c>
    </row>
    <row r="854" spans="1:1" x14ac:dyDescent="0.25">
      <c r="A854" t="s">
        <v>1749</v>
      </c>
    </row>
    <row r="855" spans="1:1" x14ac:dyDescent="0.25">
      <c r="A855" t="s">
        <v>1750</v>
      </c>
    </row>
    <row r="856" spans="1:1" x14ac:dyDescent="0.25">
      <c r="A856" t="s">
        <v>1751</v>
      </c>
    </row>
    <row r="857" spans="1:1" x14ac:dyDescent="0.25">
      <c r="A857" t="s">
        <v>1752</v>
      </c>
    </row>
    <row r="858" spans="1:1" x14ac:dyDescent="0.25">
      <c r="A858" t="s">
        <v>1753</v>
      </c>
    </row>
    <row r="859" spans="1:1" x14ac:dyDescent="0.25">
      <c r="A859" t="s">
        <v>1754</v>
      </c>
    </row>
    <row r="860" spans="1:1" x14ac:dyDescent="0.25">
      <c r="A860" t="s">
        <v>1755</v>
      </c>
    </row>
    <row r="861" spans="1:1" x14ac:dyDescent="0.25">
      <c r="A861" t="s">
        <v>1756</v>
      </c>
    </row>
    <row r="862" spans="1:1" x14ac:dyDescent="0.25">
      <c r="A862" t="s">
        <v>1757</v>
      </c>
    </row>
    <row r="863" spans="1:1" x14ac:dyDescent="0.25">
      <c r="A863" t="s">
        <v>1758</v>
      </c>
    </row>
    <row r="864" spans="1:1" x14ac:dyDescent="0.25">
      <c r="A864" t="s">
        <v>1759</v>
      </c>
    </row>
    <row r="865" spans="1:1" x14ac:dyDescent="0.25">
      <c r="A865" t="s">
        <v>1760</v>
      </c>
    </row>
    <row r="866" spans="1:1" x14ac:dyDescent="0.25">
      <c r="A866" t="s">
        <v>1761</v>
      </c>
    </row>
    <row r="867" spans="1:1" x14ac:dyDescent="0.25">
      <c r="A867" t="s">
        <v>1762</v>
      </c>
    </row>
    <row r="868" spans="1:1" x14ac:dyDescent="0.25">
      <c r="A868" t="s">
        <v>1763</v>
      </c>
    </row>
    <row r="869" spans="1:1" x14ac:dyDescent="0.25">
      <c r="A869" t="s">
        <v>1764</v>
      </c>
    </row>
    <row r="870" spans="1:1" x14ac:dyDescent="0.25">
      <c r="A870" t="s">
        <v>1765</v>
      </c>
    </row>
    <row r="871" spans="1:1" x14ac:dyDescent="0.25">
      <c r="A871" t="s">
        <v>1766</v>
      </c>
    </row>
    <row r="872" spans="1:1" x14ac:dyDescent="0.25">
      <c r="A872" t="s">
        <v>1767</v>
      </c>
    </row>
    <row r="873" spans="1:1" x14ac:dyDescent="0.25">
      <c r="A873" t="s">
        <v>1768</v>
      </c>
    </row>
    <row r="874" spans="1:1" x14ac:dyDescent="0.25">
      <c r="A874" t="s">
        <v>1769</v>
      </c>
    </row>
    <row r="875" spans="1:1" x14ac:dyDescent="0.25">
      <c r="A875" t="s">
        <v>1770</v>
      </c>
    </row>
    <row r="876" spans="1:1" x14ac:dyDescent="0.25">
      <c r="A876" t="s">
        <v>1771</v>
      </c>
    </row>
    <row r="877" spans="1:1" x14ac:dyDescent="0.25">
      <c r="A877" t="s">
        <v>1772</v>
      </c>
    </row>
    <row r="878" spans="1:1" x14ac:dyDescent="0.25">
      <c r="A878" t="s">
        <v>1773</v>
      </c>
    </row>
    <row r="879" spans="1:1" x14ac:dyDescent="0.25">
      <c r="A879" t="s">
        <v>1774</v>
      </c>
    </row>
    <row r="880" spans="1:1" x14ac:dyDescent="0.25">
      <c r="A880" t="s">
        <v>1775</v>
      </c>
    </row>
    <row r="881" spans="1:1" x14ac:dyDescent="0.25">
      <c r="A881" t="s">
        <v>1776</v>
      </c>
    </row>
    <row r="882" spans="1:1" x14ac:dyDescent="0.25">
      <c r="A882" t="s">
        <v>1777</v>
      </c>
    </row>
    <row r="883" spans="1:1" x14ac:dyDescent="0.25">
      <c r="A883" t="s">
        <v>1778</v>
      </c>
    </row>
    <row r="884" spans="1:1" x14ac:dyDescent="0.25">
      <c r="A884" t="s">
        <v>1779</v>
      </c>
    </row>
    <row r="885" spans="1:1" x14ac:dyDescent="0.25">
      <c r="A885" t="s">
        <v>1780</v>
      </c>
    </row>
    <row r="886" spans="1:1" x14ac:dyDescent="0.25">
      <c r="A886" t="s">
        <v>1781</v>
      </c>
    </row>
    <row r="887" spans="1:1" x14ac:dyDescent="0.25">
      <c r="A887" t="s">
        <v>1782</v>
      </c>
    </row>
    <row r="888" spans="1:1" x14ac:dyDescent="0.25">
      <c r="A888" t="s">
        <v>1783</v>
      </c>
    </row>
    <row r="889" spans="1:1" x14ac:dyDescent="0.25">
      <c r="A889" t="s">
        <v>1784</v>
      </c>
    </row>
    <row r="890" spans="1:1" x14ac:dyDescent="0.25">
      <c r="A890" t="s">
        <v>1785</v>
      </c>
    </row>
    <row r="891" spans="1:1" x14ac:dyDescent="0.25">
      <c r="A891" t="s">
        <v>1786</v>
      </c>
    </row>
    <row r="892" spans="1:1" x14ac:dyDescent="0.25">
      <c r="A892" t="s">
        <v>1787</v>
      </c>
    </row>
    <row r="893" spans="1:1" x14ac:dyDescent="0.25">
      <c r="A893" t="s">
        <v>1788</v>
      </c>
    </row>
    <row r="894" spans="1:1" x14ac:dyDescent="0.25">
      <c r="A894" t="s">
        <v>1789</v>
      </c>
    </row>
    <row r="895" spans="1:1" x14ac:dyDescent="0.25">
      <c r="A895" t="s">
        <v>1790</v>
      </c>
    </row>
    <row r="896" spans="1:1" x14ac:dyDescent="0.25">
      <c r="A896" t="s">
        <v>1791</v>
      </c>
    </row>
    <row r="897" spans="1:1" x14ac:dyDescent="0.25">
      <c r="A897" t="s">
        <v>1792</v>
      </c>
    </row>
    <row r="898" spans="1:1" x14ac:dyDescent="0.25">
      <c r="A898" t="s">
        <v>1793</v>
      </c>
    </row>
    <row r="899" spans="1:1" x14ac:dyDescent="0.25">
      <c r="A899" t="s">
        <v>1794</v>
      </c>
    </row>
    <row r="900" spans="1:1" x14ac:dyDescent="0.25">
      <c r="A900" t="s">
        <v>1795</v>
      </c>
    </row>
    <row r="901" spans="1:1" x14ac:dyDescent="0.25">
      <c r="A901" t="s">
        <v>1796</v>
      </c>
    </row>
    <row r="902" spans="1:1" x14ac:dyDescent="0.25">
      <c r="A902" t="s">
        <v>1797</v>
      </c>
    </row>
    <row r="903" spans="1:1" x14ac:dyDescent="0.25">
      <c r="A903" t="s">
        <v>1798</v>
      </c>
    </row>
    <row r="904" spans="1:1" x14ac:dyDescent="0.25">
      <c r="A904" t="s">
        <v>1799</v>
      </c>
    </row>
    <row r="905" spans="1:1" x14ac:dyDescent="0.25">
      <c r="A905" t="s">
        <v>1800</v>
      </c>
    </row>
    <row r="906" spans="1:1" x14ac:dyDescent="0.25">
      <c r="A906" t="s">
        <v>1801</v>
      </c>
    </row>
    <row r="907" spans="1:1" x14ac:dyDescent="0.25">
      <c r="A907" t="s">
        <v>1802</v>
      </c>
    </row>
    <row r="908" spans="1:1" x14ac:dyDescent="0.25">
      <c r="A908" t="s">
        <v>1803</v>
      </c>
    </row>
    <row r="909" spans="1:1" x14ac:dyDescent="0.25">
      <c r="A909" t="s">
        <v>1804</v>
      </c>
    </row>
    <row r="910" spans="1:1" x14ac:dyDescent="0.25">
      <c r="A910" t="s">
        <v>1805</v>
      </c>
    </row>
    <row r="911" spans="1:1" x14ac:dyDescent="0.25">
      <c r="A911" t="s">
        <v>1806</v>
      </c>
    </row>
    <row r="912" spans="1:1" x14ac:dyDescent="0.25">
      <c r="A912" t="s">
        <v>1807</v>
      </c>
    </row>
    <row r="913" spans="1:1" x14ac:dyDescent="0.25">
      <c r="A913" t="s">
        <v>1808</v>
      </c>
    </row>
    <row r="914" spans="1:1" x14ac:dyDescent="0.25">
      <c r="A914" t="s">
        <v>1809</v>
      </c>
    </row>
    <row r="915" spans="1:1" x14ac:dyDescent="0.25">
      <c r="A915" t="s">
        <v>1810</v>
      </c>
    </row>
    <row r="916" spans="1:1" x14ac:dyDescent="0.25">
      <c r="A916" t="s">
        <v>1811</v>
      </c>
    </row>
    <row r="917" spans="1:1" x14ac:dyDescent="0.25">
      <c r="A917" t="s">
        <v>1812</v>
      </c>
    </row>
    <row r="918" spans="1:1" x14ac:dyDescent="0.25">
      <c r="A918" t="s">
        <v>1813</v>
      </c>
    </row>
    <row r="919" spans="1:1" x14ac:dyDescent="0.25">
      <c r="A919" t="s">
        <v>1814</v>
      </c>
    </row>
    <row r="920" spans="1:1" x14ac:dyDescent="0.25">
      <c r="A920" t="s">
        <v>1815</v>
      </c>
    </row>
    <row r="921" spans="1:1" x14ac:dyDescent="0.25">
      <c r="A921" t="s">
        <v>1816</v>
      </c>
    </row>
    <row r="922" spans="1:1" x14ac:dyDescent="0.25">
      <c r="A922" t="s">
        <v>1817</v>
      </c>
    </row>
    <row r="923" spans="1:1" x14ac:dyDescent="0.25">
      <c r="A923" t="s">
        <v>1818</v>
      </c>
    </row>
    <row r="924" spans="1:1" x14ac:dyDescent="0.25">
      <c r="A924" t="s">
        <v>1819</v>
      </c>
    </row>
    <row r="925" spans="1:1" x14ac:dyDescent="0.25">
      <c r="A925" t="s">
        <v>1820</v>
      </c>
    </row>
    <row r="926" spans="1:1" x14ac:dyDescent="0.25">
      <c r="A926" t="s">
        <v>1821</v>
      </c>
    </row>
    <row r="927" spans="1:1" x14ac:dyDescent="0.25">
      <c r="A927" t="s">
        <v>1822</v>
      </c>
    </row>
    <row r="928" spans="1:1" x14ac:dyDescent="0.25">
      <c r="A928" t="s">
        <v>1823</v>
      </c>
    </row>
    <row r="929" spans="1:1" x14ac:dyDescent="0.25">
      <c r="A929" t="s">
        <v>1824</v>
      </c>
    </row>
    <row r="930" spans="1:1" x14ac:dyDescent="0.25">
      <c r="A930" t="s">
        <v>1825</v>
      </c>
    </row>
    <row r="931" spans="1:1" x14ac:dyDescent="0.25">
      <c r="A931" t="s">
        <v>1826</v>
      </c>
    </row>
    <row r="932" spans="1:1" x14ac:dyDescent="0.25">
      <c r="A932" t="s">
        <v>1827</v>
      </c>
    </row>
    <row r="933" spans="1:1" x14ac:dyDescent="0.25">
      <c r="A933" t="s">
        <v>1828</v>
      </c>
    </row>
    <row r="934" spans="1:1" x14ac:dyDescent="0.25">
      <c r="A934" t="s">
        <v>1829</v>
      </c>
    </row>
    <row r="935" spans="1:1" x14ac:dyDescent="0.25">
      <c r="A935" t="s">
        <v>1830</v>
      </c>
    </row>
    <row r="936" spans="1:1" x14ac:dyDescent="0.25">
      <c r="A936" t="s">
        <v>1831</v>
      </c>
    </row>
    <row r="937" spans="1:1" x14ac:dyDescent="0.25">
      <c r="A937" t="s">
        <v>1832</v>
      </c>
    </row>
    <row r="938" spans="1:1" x14ac:dyDescent="0.25">
      <c r="A938" t="s">
        <v>1833</v>
      </c>
    </row>
    <row r="939" spans="1:1" x14ac:dyDescent="0.25">
      <c r="A939" t="s">
        <v>1834</v>
      </c>
    </row>
    <row r="940" spans="1:1" x14ac:dyDescent="0.25">
      <c r="A940" t="s">
        <v>1835</v>
      </c>
    </row>
    <row r="941" spans="1:1" x14ac:dyDescent="0.25">
      <c r="A941" t="s">
        <v>1836</v>
      </c>
    </row>
    <row r="942" spans="1:1" x14ac:dyDescent="0.25">
      <c r="A942" t="s">
        <v>1837</v>
      </c>
    </row>
    <row r="943" spans="1:1" x14ac:dyDescent="0.25">
      <c r="A943" t="s">
        <v>1838</v>
      </c>
    </row>
    <row r="944" spans="1:1" x14ac:dyDescent="0.25">
      <c r="A944" t="s">
        <v>1839</v>
      </c>
    </row>
    <row r="945" spans="1:1" x14ac:dyDescent="0.25">
      <c r="A945" t="s">
        <v>1840</v>
      </c>
    </row>
    <row r="946" spans="1:1" x14ac:dyDescent="0.25">
      <c r="A946" t="s">
        <v>1841</v>
      </c>
    </row>
    <row r="947" spans="1:1" x14ac:dyDescent="0.25">
      <c r="A947" t="s">
        <v>1842</v>
      </c>
    </row>
    <row r="948" spans="1:1" x14ac:dyDescent="0.25">
      <c r="A948" t="s">
        <v>1843</v>
      </c>
    </row>
    <row r="949" spans="1:1" x14ac:dyDescent="0.25">
      <c r="A949" t="s">
        <v>1844</v>
      </c>
    </row>
    <row r="950" spans="1:1" x14ac:dyDescent="0.25">
      <c r="A950" t="s">
        <v>1845</v>
      </c>
    </row>
    <row r="951" spans="1:1" x14ac:dyDescent="0.25">
      <c r="A951" t="s">
        <v>1846</v>
      </c>
    </row>
    <row r="952" spans="1:1" x14ac:dyDescent="0.25">
      <c r="A952" t="s">
        <v>1847</v>
      </c>
    </row>
    <row r="953" spans="1:1" x14ac:dyDescent="0.25">
      <c r="A953" t="s">
        <v>1848</v>
      </c>
    </row>
    <row r="954" spans="1:1" x14ac:dyDescent="0.25">
      <c r="A954" t="s">
        <v>1849</v>
      </c>
    </row>
    <row r="955" spans="1:1" x14ac:dyDescent="0.25">
      <c r="A955" t="s">
        <v>1850</v>
      </c>
    </row>
    <row r="956" spans="1:1" x14ac:dyDescent="0.25">
      <c r="A956" t="s">
        <v>1851</v>
      </c>
    </row>
    <row r="957" spans="1:1" x14ac:dyDescent="0.25">
      <c r="A957" t="s">
        <v>1852</v>
      </c>
    </row>
    <row r="958" spans="1:1" x14ac:dyDescent="0.25">
      <c r="A958" t="s">
        <v>1853</v>
      </c>
    </row>
    <row r="959" spans="1:1" x14ac:dyDescent="0.25">
      <c r="A959" t="s">
        <v>1854</v>
      </c>
    </row>
    <row r="960" spans="1:1" x14ac:dyDescent="0.25">
      <c r="A960" t="s">
        <v>1855</v>
      </c>
    </row>
    <row r="961" spans="1:1" x14ac:dyDescent="0.25">
      <c r="A961" t="s">
        <v>1856</v>
      </c>
    </row>
    <row r="962" spans="1:1" x14ac:dyDescent="0.25">
      <c r="A962" t="s">
        <v>1857</v>
      </c>
    </row>
    <row r="963" spans="1:1" x14ac:dyDescent="0.25">
      <c r="A963" t="s">
        <v>1858</v>
      </c>
    </row>
    <row r="964" spans="1:1" x14ac:dyDescent="0.25">
      <c r="A964" t="s">
        <v>1859</v>
      </c>
    </row>
    <row r="965" spans="1:1" x14ac:dyDescent="0.25">
      <c r="A965" t="s">
        <v>1860</v>
      </c>
    </row>
    <row r="966" spans="1:1" x14ac:dyDescent="0.25">
      <c r="A966" t="s">
        <v>1861</v>
      </c>
    </row>
    <row r="967" spans="1:1" x14ac:dyDescent="0.25">
      <c r="A967" t="s">
        <v>1862</v>
      </c>
    </row>
    <row r="968" spans="1:1" x14ac:dyDescent="0.25">
      <c r="A968" t="s">
        <v>1863</v>
      </c>
    </row>
    <row r="969" spans="1:1" x14ac:dyDescent="0.25">
      <c r="A969" t="s">
        <v>1864</v>
      </c>
    </row>
    <row r="970" spans="1:1" x14ac:dyDescent="0.25">
      <c r="A970" t="s">
        <v>1865</v>
      </c>
    </row>
    <row r="971" spans="1:1" x14ac:dyDescent="0.25">
      <c r="A971" t="s">
        <v>1866</v>
      </c>
    </row>
    <row r="972" spans="1:1" x14ac:dyDescent="0.25">
      <c r="A972" t="s">
        <v>1867</v>
      </c>
    </row>
    <row r="973" spans="1:1" x14ac:dyDescent="0.25">
      <c r="A973" t="s">
        <v>1868</v>
      </c>
    </row>
    <row r="974" spans="1:1" x14ac:dyDescent="0.25">
      <c r="A974" t="s">
        <v>1869</v>
      </c>
    </row>
    <row r="975" spans="1:1" x14ac:dyDescent="0.25">
      <c r="A975" t="s">
        <v>1870</v>
      </c>
    </row>
    <row r="976" spans="1:1" x14ac:dyDescent="0.25">
      <c r="A976" t="s">
        <v>1871</v>
      </c>
    </row>
    <row r="977" spans="1:1" x14ac:dyDescent="0.25">
      <c r="A977" t="s">
        <v>1872</v>
      </c>
    </row>
    <row r="978" spans="1:1" x14ac:dyDescent="0.25">
      <c r="A978" t="s">
        <v>1873</v>
      </c>
    </row>
    <row r="979" spans="1:1" x14ac:dyDescent="0.25">
      <c r="A979" t="s">
        <v>1874</v>
      </c>
    </row>
    <row r="980" spans="1:1" x14ac:dyDescent="0.25">
      <c r="A980" t="s">
        <v>1875</v>
      </c>
    </row>
    <row r="981" spans="1:1" x14ac:dyDescent="0.25">
      <c r="A981" t="s">
        <v>1876</v>
      </c>
    </row>
    <row r="982" spans="1:1" x14ac:dyDescent="0.25">
      <c r="A982" t="s">
        <v>1877</v>
      </c>
    </row>
    <row r="983" spans="1:1" x14ac:dyDescent="0.25">
      <c r="A983" t="s">
        <v>1878</v>
      </c>
    </row>
    <row r="984" spans="1:1" x14ac:dyDescent="0.25">
      <c r="A984" t="s">
        <v>1879</v>
      </c>
    </row>
    <row r="985" spans="1:1" x14ac:dyDescent="0.25">
      <c r="A985" t="s">
        <v>1880</v>
      </c>
    </row>
  </sheetData>
  <conditionalFormatting sqref="A1:A1048576">
    <cfRule type="containsText" dxfId="19"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A4" workbookViewId="0">
      <selection activeCell="C2" sqref="C2:C31"/>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201</v>
      </c>
      <c r="C1" s="1" t="s">
        <v>1407</v>
      </c>
      <c r="D1" s="1" t="s">
        <v>193</v>
      </c>
      <c r="E1" s="1" t="s">
        <v>194</v>
      </c>
      <c r="F1" s="1" t="s">
        <v>200</v>
      </c>
      <c r="G1" s="1" t="s">
        <v>195</v>
      </c>
      <c r="H1" s="1" t="s">
        <v>196</v>
      </c>
      <c r="I1" s="1" t="s">
        <v>197</v>
      </c>
      <c r="J1" s="1" t="s">
        <v>198</v>
      </c>
      <c r="K1" s="1" t="s">
        <v>199</v>
      </c>
      <c r="L1" s="1" t="s">
        <v>202</v>
      </c>
      <c r="M1" s="1" t="s">
        <v>235</v>
      </c>
      <c r="N1" s="1" t="s">
        <v>246</v>
      </c>
      <c r="O1" s="1" t="s">
        <v>287</v>
      </c>
      <c r="P1" s="1" t="s">
        <v>289</v>
      </c>
      <c r="Q1" s="3" t="s">
        <v>1139</v>
      </c>
      <c r="R1" s="1" t="s">
        <v>1145</v>
      </c>
      <c r="S1" s="1" t="s">
        <v>1146</v>
      </c>
      <c r="T1" s="1" t="s">
        <v>1156</v>
      </c>
      <c r="U1" s="1" t="s">
        <v>1172</v>
      </c>
      <c r="V1" s="1" t="s">
        <v>1187</v>
      </c>
      <c r="W1" s="1" t="s">
        <v>1421</v>
      </c>
    </row>
    <row r="2" spans="1:23" x14ac:dyDescent="0.25">
      <c r="A2" t="b">
        <v>0</v>
      </c>
      <c r="B2" s="2" t="s">
        <v>174</v>
      </c>
      <c r="C2" s="2" t="s">
        <v>1156</v>
      </c>
      <c r="D2" t="s">
        <v>14</v>
      </c>
      <c r="E2" t="s">
        <v>1086</v>
      </c>
      <c r="F2" t="s">
        <v>29</v>
      </c>
      <c r="G2" t="s">
        <v>47</v>
      </c>
      <c r="H2" t="s">
        <v>55</v>
      </c>
      <c r="I2" t="s">
        <v>104</v>
      </c>
      <c r="J2" t="s">
        <v>131</v>
      </c>
      <c r="K2" t="s">
        <v>181</v>
      </c>
      <c r="L2" t="s">
        <v>203</v>
      </c>
      <c r="M2" t="s">
        <v>1116</v>
      </c>
      <c r="N2" t="s">
        <v>251</v>
      </c>
      <c r="O2" t="s">
        <v>1123</v>
      </c>
      <c r="P2" t="s">
        <v>290</v>
      </c>
      <c r="Q2" t="s">
        <v>1140</v>
      </c>
      <c r="R2" t="s">
        <v>1147</v>
      </c>
      <c r="S2" t="s">
        <v>1152</v>
      </c>
      <c r="T2" t="s">
        <v>1157</v>
      </c>
      <c r="U2" t="s">
        <v>1173</v>
      </c>
      <c r="V2" t="s">
        <v>251</v>
      </c>
      <c r="W2" t="s">
        <v>1422</v>
      </c>
    </row>
    <row r="3" spans="1:23" x14ac:dyDescent="0.25">
      <c r="A3" t="b">
        <v>1</v>
      </c>
      <c r="C3" s="5" t="s">
        <v>1486</v>
      </c>
      <c r="D3" t="s">
        <v>152</v>
      </c>
      <c r="E3" t="s">
        <v>1088</v>
      </c>
      <c r="F3" t="s">
        <v>39</v>
      </c>
      <c r="G3" t="s">
        <v>48</v>
      </c>
      <c r="H3" t="s">
        <v>56</v>
      </c>
      <c r="I3" t="s">
        <v>1090</v>
      </c>
      <c r="J3" t="s">
        <v>132</v>
      </c>
      <c r="K3" t="s">
        <v>182</v>
      </c>
      <c r="L3" t="s">
        <v>204</v>
      </c>
      <c r="M3" t="s">
        <v>1117</v>
      </c>
      <c r="N3" t="s">
        <v>252</v>
      </c>
      <c r="O3" t="s">
        <v>1124</v>
      </c>
      <c r="P3" t="s">
        <v>291</v>
      </c>
      <c r="Q3" t="s">
        <v>1141</v>
      </c>
      <c r="R3" t="s">
        <v>1148</v>
      </c>
      <c r="S3" t="s">
        <v>1153</v>
      </c>
      <c r="T3" t="s">
        <v>1158</v>
      </c>
      <c r="U3" t="s">
        <v>1174</v>
      </c>
      <c r="V3" t="s">
        <v>252</v>
      </c>
      <c r="W3" t="s">
        <v>1423</v>
      </c>
    </row>
    <row r="4" spans="1:23" x14ac:dyDescent="0.25">
      <c r="C4" s="5" t="s">
        <v>1487</v>
      </c>
      <c r="D4" t="s">
        <v>154</v>
      </c>
      <c r="E4" t="s">
        <v>113</v>
      </c>
      <c r="F4" t="s">
        <v>1089</v>
      </c>
      <c r="G4" t="s">
        <v>49</v>
      </c>
      <c r="H4" t="s">
        <v>57</v>
      </c>
      <c r="I4" t="s">
        <v>1091</v>
      </c>
      <c r="J4" t="s">
        <v>133</v>
      </c>
      <c r="K4" t="s">
        <v>1095</v>
      </c>
      <c r="L4" t="s">
        <v>205</v>
      </c>
      <c r="M4" t="s">
        <v>34</v>
      </c>
      <c r="N4" t="s">
        <v>253</v>
      </c>
      <c r="O4" t="s">
        <v>1125</v>
      </c>
      <c r="P4" t="s">
        <v>292</v>
      </c>
      <c r="Q4" t="s">
        <v>1142</v>
      </c>
      <c r="R4" t="s">
        <v>1149</v>
      </c>
      <c r="S4" t="s">
        <v>1154</v>
      </c>
      <c r="T4" t="s">
        <v>1159</v>
      </c>
      <c r="U4" t="s">
        <v>1175</v>
      </c>
      <c r="V4" t="s">
        <v>253</v>
      </c>
      <c r="W4" t="s">
        <v>208</v>
      </c>
    </row>
    <row r="5" spans="1:23" x14ac:dyDescent="0.25">
      <c r="C5" s="5" t="s">
        <v>1145</v>
      </c>
      <c r="D5" t="s">
        <v>155</v>
      </c>
      <c r="E5" t="s">
        <v>1085</v>
      </c>
      <c r="F5" t="s">
        <v>34</v>
      </c>
      <c r="G5" t="s">
        <v>50</v>
      </c>
      <c r="H5" t="s">
        <v>58</v>
      </c>
      <c r="I5" t="s">
        <v>1092</v>
      </c>
      <c r="J5" t="s">
        <v>14</v>
      </c>
      <c r="K5" t="s">
        <v>186</v>
      </c>
      <c r="L5" t="s">
        <v>206</v>
      </c>
      <c r="M5" t="s">
        <v>1118</v>
      </c>
      <c r="N5" t="s">
        <v>254</v>
      </c>
      <c r="O5" t="s">
        <v>1126</v>
      </c>
      <c r="P5" t="s">
        <v>293</v>
      </c>
      <c r="Q5" t="s">
        <v>1143</v>
      </c>
      <c r="R5" t="s">
        <v>1150</v>
      </c>
      <c r="S5" t="s">
        <v>1155</v>
      </c>
      <c r="T5" t="s">
        <v>1160</v>
      </c>
      <c r="V5" t="s">
        <v>254</v>
      </c>
      <c r="W5" t="s">
        <v>1424</v>
      </c>
    </row>
    <row r="6" spans="1:23" x14ac:dyDescent="0.25">
      <c r="C6" s="5" t="s">
        <v>1485</v>
      </c>
      <c r="D6" t="s">
        <v>156</v>
      </c>
      <c r="E6" t="s">
        <v>1087</v>
      </c>
      <c r="F6" t="s">
        <v>43</v>
      </c>
      <c r="G6" t="s">
        <v>51</v>
      </c>
      <c r="H6" t="s">
        <v>59</v>
      </c>
      <c r="I6" t="s">
        <v>1093</v>
      </c>
      <c r="K6" t="s">
        <v>1096</v>
      </c>
      <c r="L6" t="s">
        <v>47</v>
      </c>
      <c r="M6" t="s">
        <v>1119</v>
      </c>
      <c r="N6" t="s">
        <v>255</v>
      </c>
      <c r="O6" t="s">
        <v>1127</v>
      </c>
      <c r="P6" t="s">
        <v>294</v>
      </c>
      <c r="Q6" t="s">
        <v>1144</v>
      </c>
      <c r="R6" t="s">
        <v>1151</v>
      </c>
      <c r="S6" t="s">
        <v>14</v>
      </c>
      <c r="T6" t="s">
        <v>1161</v>
      </c>
      <c r="V6" t="s">
        <v>255</v>
      </c>
      <c r="W6" t="s">
        <v>1425</v>
      </c>
    </row>
    <row r="7" spans="1:23" x14ac:dyDescent="0.25">
      <c r="C7" s="5" t="s">
        <v>1481</v>
      </c>
      <c r="D7" t="s">
        <v>157</v>
      </c>
      <c r="F7" t="s">
        <v>42</v>
      </c>
      <c r="G7" t="s">
        <v>52</v>
      </c>
      <c r="H7" t="s">
        <v>60</v>
      </c>
      <c r="I7" t="s">
        <v>105</v>
      </c>
      <c r="K7" t="s">
        <v>1097</v>
      </c>
      <c r="L7" t="s">
        <v>113</v>
      </c>
      <c r="M7" t="s">
        <v>236</v>
      </c>
      <c r="N7" t="s">
        <v>256</v>
      </c>
      <c r="O7" t="s">
        <v>1128</v>
      </c>
      <c r="P7" t="s">
        <v>295</v>
      </c>
      <c r="T7" t="s">
        <v>1162</v>
      </c>
      <c r="V7" t="s">
        <v>256</v>
      </c>
      <c r="W7" t="s">
        <v>1426</v>
      </c>
    </row>
    <row r="8" spans="1:23" x14ac:dyDescent="0.25">
      <c r="C8" s="5" t="s">
        <v>1408</v>
      </c>
      <c r="D8" t="s">
        <v>158</v>
      </c>
      <c r="F8" t="s">
        <v>30</v>
      </c>
      <c r="G8" t="s">
        <v>53</v>
      </c>
      <c r="H8" t="s">
        <v>61</v>
      </c>
      <c r="I8" t="s">
        <v>106</v>
      </c>
      <c r="K8" t="s">
        <v>1098</v>
      </c>
      <c r="L8" t="s">
        <v>207</v>
      </c>
      <c r="M8" t="s">
        <v>237</v>
      </c>
      <c r="N8" t="s">
        <v>257</v>
      </c>
      <c r="O8" t="s">
        <v>1129</v>
      </c>
      <c r="P8" t="s">
        <v>296</v>
      </c>
      <c r="T8" t="s">
        <v>1163</v>
      </c>
      <c r="V8" t="s">
        <v>257</v>
      </c>
      <c r="W8" t="s">
        <v>1427</v>
      </c>
    </row>
    <row r="9" spans="1:23" x14ac:dyDescent="0.25">
      <c r="C9" s="5" t="s">
        <v>1516</v>
      </c>
      <c r="D9" t="s">
        <v>153</v>
      </c>
      <c r="F9" t="s">
        <v>31</v>
      </c>
      <c r="G9" t="s">
        <v>54</v>
      </c>
      <c r="H9" t="s">
        <v>62</v>
      </c>
      <c r="I9" t="s">
        <v>107</v>
      </c>
      <c r="K9" t="s">
        <v>1099</v>
      </c>
      <c r="L9" t="s">
        <v>208</v>
      </c>
      <c r="M9" t="s">
        <v>1120</v>
      </c>
      <c r="N9" t="s">
        <v>258</v>
      </c>
      <c r="O9" t="s">
        <v>1130</v>
      </c>
      <c r="P9" t="s">
        <v>297</v>
      </c>
      <c r="T9" t="s">
        <v>1164</v>
      </c>
      <c r="V9" t="s">
        <v>258</v>
      </c>
      <c r="W9" t="s">
        <v>8</v>
      </c>
    </row>
    <row r="10" spans="1:23" x14ac:dyDescent="0.25">
      <c r="C10" s="5" t="s">
        <v>1510</v>
      </c>
      <c r="D10" t="s">
        <v>159</v>
      </c>
      <c r="F10" t="s">
        <v>32</v>
      </c>
      <c r="H10" t="s">
        <v>63</v>
      </c>
      <c r="I10" t="s">
        <v>108</v>
      </c>
      <c r="K10" t="s">
        <v>1100</v>
      </c>
      <c r="L10" t="s">
        <v>209</v>
      </c>
      <c r="M10" t="s">
        <v>1121</v>
      </c>
      <c r="N10" t="s">
        <v>259</v>
      </c>
      <c r="O10" t="s">
        <v>1131</v>
      </c>
      <c r="P10" t="s">
        <v>298</v>
      </c>
      <c r="T10" t="s">
        <v>1165</v>
      </c>
      <c r="V10" t="s">
        <v>259</v>
      </c>
      <c r="W10" t="s">
        <v>9</v>
      </c>
    </row>
    <row r="11" spans="1:23" x14ac:dyDescent="0.25">
      <c r="C11" s="5" t="s">
        <v>1904</v>
      </c>
      <c r="D11" t="s">
        <v>160</v>
      </c>
      <c r="F11" t="s">
        <v>33</v>
      </c>
      <c r="H11" t="s">
        <v>64</v>
      </c>
      <c r="I11" t="s">
        <v>109</v>
      </c>
      <c r="K11" t="s">
        <v>1101</v>
      </c>
      <c r="L11" t="s">
        <v>13</v>
      </c>
      <c r="M11" t="s">
        <v>238</v>
      </c>
      <c r="N11" t="s">
        <v>260</v>
      </c>
      <c r="O11" t="s">
        <v>1132</v>
      </c>
      <c r="P11" t="s">
        <v>299</v>
      </c>
      <c r="T11" t="s">
        <v>1166</v>
      </c>
      <c r="V11" t="s">
        <v>260</v>
      </c>
      <c r="W11" t="s">
        <v>10</v>
      </c>
    </row>
    <row r="12" spans="1:23" x14ac:dyDescent="0.25">
      <c r="C12" s="5" t="s">
        <v>1411</v>
      </c>
      <c r="D12" t="s">
        <v>161</v>
      </c>
      <c r="F12" t="s">
        <v>38</v>
      </c>
      <c r="H12" t="s">
        <v>65</v>
      </c>
      <c r="I12" t="s">
        <v>110</v>
      </c>
      <c r="K12" t="s">
        <v>1102</v>
      </c>
      <c r="L12" t="s">
        <v>210</v>
      </c>
      <c r="M12" t="s">
        <v>1122</v>
      </c>
      <c r="N12" t="s">
        <v>261</v>
      </c>
      <c r="O12" t="s">
        <v>1133</v>
      </c>
      <c r="P12" t="s">
        <v>300</v>
      </c>
      <c r="T12" t="s">
        <v>1167</v>
      </c>
      <c r="V12" t="s">
        <v>261</v>
      </c>
      <c r="W12" t="s">
        <v>11</v>
      </c>
    </row>
    <row r="13" spans="1:23" x14ac:dyDescent="0.25">
      <c r="C13" s="5" t="s">
        <v>1146</v>
      </c>
      <c r="D13" t="s">
        <v>162</v>
      </c>
      <c r="F13" t="s">
        <v>41</v>
      </c>
      <c r="H13" t="s">
        <v>66</v>
      </c>
      <c r="I13" t="s">
        <v>111</v>
      </c>
      <c r="K13" t="s">
        <v>1103</v>
      </c>
      <c r="L13" t="s">
        <v>211</v>
      </c>
      <c r="N13" t="s">
        <v>262</v>
      </c>
      <c r="O13" t="s">
        <v>1134</v>
      </c>
      <c r="P13" t="s">
        <v>301</v>
      </c>
      <c r="T13" t="s">
        <v>1168</v>
      </c>
      <c r="V13" t="s">
        <v>262</v>
      </c>
      <c r="W13" t="s">
        <v>12</v>
      </c>
    </row>
    <row r="14" spans="1:23" x14ac:dyDescent="0.25">
      <c r="C14" s="5" t="s">
        <v>1522</v>
      </c>
      <c r="D14" t="s">
        <v>163</v>
      </c>
      <c r="F14" t="s">
        <v>35</v>
      </c>
      <c r="H14" t="s">
        <v>67</v>
      </c>
      <c r="I14" t="s">
        <v>112</v>
      </c>
      <c r="K14" t="s">
        <v>1104</v>
      </c>
      <c r="L14" t="s">
        <v>212</v>
      </c>
      <c r="N14" t="s">
        <v>263</v>
      </c>
      <c r="O14" t="s">
        <v>1135</v>
      </c>
      <c r="P14" t="s">
        <v>302</v>
      </c>
      <c r="T14" t="s">
        <v>1169</v>
      </c>
      <c r="V14" t="s">
        <v>263</v>
      </c>
      <c r="W14" t="s">
        <v>13</v>
      </c>
    </row>
    <row r="15" spans="1:23" x14ac:dyDescent="0.25">
      <c r="C15" s="5" t="s">
        <v>1139</v>
      </c>
      <c r="D15" t="s">
        <v>164</v>
      </c>
      <c r="F15" t="s">
        <v>27</v>
      </c>
      <c r="H15" t="s">
        <v>68</v>
      </c>
      <c r="I15" t="s">
        <v>113</v>
      </c>
      <c r="K15" t="s">
        <v>1105</v>
      </c>
      <c r="L15" t="s">
        <v>213</v>
      </c>
      <c r="N15" t="s">
        <v>264</v>
      </c>
      <c r="O15" t="s">
        <v>1136</v>
      </c>
      <c r="P15" t="s">
        <v>303</v>
      </c>
      <c r="T15" t="s">
        <v>14</v>
      </c>
      <c r="V15" t="s">
        <v>264</v>
      </c>
      <c r="W15" t="s">
        <v>288</v>
      </c>
    </row>
    <row r="16" spans="1:23" x14ac:dyDescent="0.25">
      <c r="C16" s="5" t="s">
        <v>1138</v>
      </c>
      <c r="D16" t="s">
        <v>165</v>
      </c>
      <c r="F16" t="s">
        <v>40</v>
      </c>
      <c r="H16" t="s">
        <v>69</v>
      </c>
      <c r="I16" t="s">
        <v>114</v>
      </c>
      <c r="K16" t="s">
        <v>1106</v>
      </c>
      <c r="L16" t="s">
        <v>14</v>
      </c>
      <c r="N16" t="s">
        <v>265</v>
      </c>
      <c r="O16" t="s">
        <v>7</v>
      </c>
      <c r="P16" t="s">
        <v>304</v>
      </c>
      <c r="T16" t="s">
        <v>1170</v>
      </c>
      <c r="V16" t="s">
        <v>265</v>
      </c>
    </row>
    <row r="17" spans="3:22" x14ac:dyDescent="0.25">
      <c r="C17" s="5" t="s">
        <v>202</v>
      </c>
      <c r="D17" t="s">
        <v>150</v>
      </c>
      <c r="F17" t="s">
        <v>26</v>
      </c>
      <c r="H17" t="s">
        <v>70</v>
      </c>
      <c r="I17" t="s">
        <v>115</v>
      </c>
      <c r="K17" t="s">
        <v>1107</v>
      </c>
      <c r="N17" t="s">
        <v>266</v>
      </c>
      <c r="O17" t="s">
        <v>8</v>
      </c>
      <c r="P17" t="s">
        <v>305</v>
      </c>
      <c r="V17" t="s">
        <v>266</v>
      </c>
    </row>
    <row r="18" spans="3:22" x14ac:dyDescent="0.25">
      <c r="C18" s="5" t="s">
        <v>1903</v>
      </c>
      <c r="D18" t="s">
        <v>166</v>
      </c>
      <c r="F18" t="s">
        <v>44</v>
      </c>
      <c r="H18" t="s">
        <v>71</v>
      </c>
      <c r="I18" t="s">
        <v>116</v>
      </c>
      <c r="K18" t="s">
        <v>1108</v>
      </c>
      <c r="N18" t="s">
        <v>267</v>
      </c>
      <c r="O18" t="s">
        <v>9</v>
      </c>
      <c r="P18" t="s">
        <v>306</v>
      </c>
      <c r="V18" t="s">
        <v>267</v>
      </c>
    </row>
    <row r="19" spans="3:22" x14ac:dyDescent="0.25">
      <c r="C19" s="5" t="s">
        <v>1521</v>
      </c>
      <c r="D19" t="s">
        <v>167</v>
      </c>
      <c r="F19" t="s">
        <v>36</v>
      </c>
      <c r="H19" t="s">
        <v>72</v>
      </c>
      <c r="I19" t="s">
        <v>117</v>
      </c>
      <c r="K19" t="s">
        <v>1109</v>
      </c>
      <c r="N19" t="s">
        <v>268</v>
      </c>
      <c r="O19" t="s">
        <v>10</v>
      </c>
      <c r="P19" t="s">
        <v>307</v>
      </c>
      <c r="V19" t="s">
        <v>268</v>
      </c>
    </row>
    <row r="20" spans="3:22" x14ac:dyDescent="0.25">
      <c r="C20" s="5" t="s">
        <v>1483</v>
      </c>
      <c r="D20" t="s">
        <v>168</v>
      </c>
      <c r="F20" t="s">
        <v>28</v>
      </c>
      <c r="H20" t="s">
        <v>73</v>
      </c>
      <c r="I20" t="s">
        <v>118</v>
      </c>
      <c r="K20" t="s">
        <v>1110</v>
      </c>
      <c r="N20" t="s">
        <v>269</v>
      </c>
      <c r="O20" t="s">
        <v>11</v>
      </c>
      <c r="P20" t="s">
        <v>308</v>
      </c>
      <c r="V20" t="s">
        <v>269</v>
      </c>
    </row>
    <row r="21" spans="3:22" x14ac:dyDescent="0.25">
      <c r="C21" s="5" t="s">
        <v>1448</v>
      </c>
      <c r="D21" t="s">
        <v>149</v>
      </c>
      <c r="F21" t="s">
        <v>37</v>
      </c>
      <c r="H21" t="s">
        <v>74</v>
      </c>
      <c r="I21" t="s">
        <v>119</v>
      </c>
      <c r="K21" t="s">
        <v>1111</v>
      </c>
      <c r="N21" t="s">
        <v>270</v>
      </c>
      <c r="O21" t="s">
        <v>12</v>
      </c>
      <c r="P21" t="s">
        <v>309</v>
      </c>
      <c r="V21" t="s">
        <v>270</v>
      </c>
    </row>
    <row r="22" spans="3:22" x14ac:dyDescent="0.25">
      <c r="C22" s="5" t="s">
        <v>1431</v>
      </c>
      <c r="D22" t="s">
        <v>148</v>
      </c>
      <c r="F22" t="s">
        <v>46</v>
      </c>
      <c r="H22" t="s">
        <v>75</v>
      </c>
      <c r="I22" t="s">
        <v>120</v>
      </c>
      <c r="K22" t="s">
        <v>183</v>
      </c>
      <c r="N22" t="s">
        <v>271</v>
      </c>
      <c r="O22" t="s">
        <v>13</v>
      </c>
      <c r="P22" t="s">
        <v>310</v>
      </c>
      <c r="V22" t="s">
        <v>271</v>
      </c>
    </row>
    <row r="23" spans="3:22" x14ac:dyDescent="0.25">
      <c r="C23" s="5" t="s">
        <v>1482</v>
      </c>
      <c r="D23" t="s">
        <v>169</v>
      </c>
      <c r="F23" t="s">
        <v>45</v>
      </c>
      <c r="H23" t="s">
        <v>76</v>
      </c>
      <c r="I23" t="s">
        <v>121</v>
      </c>
      <c r="K23" t="s">
        <v>184</v>
      </c>
      <c r="N23" t="s">
        <v>272</v>
      </c>
      <c r="O23" t="s">
        <v>14</v>
      </c>
      <c r="P23" t="s">
        <v>311</v>
      </c>
      <c r="V23" t="s">
        <v>272</v>
      </c>
    </row>
    <row r="24" spans="3:22" x14ac:dyDescent="0.25">
      <c r="C24" s="5" t="s">
        <v>197</v>
      </c>
      <c r="D24" t="s">
        <v>170</v>
      </c>
      <c r="H24" t="s">
        <v>77</v>
      </c>
      <c r="I24" t="s">
        <v>122</v>
      </c>
      <c r="K24" t="s">
        <v>1112</v>
      </c>
      <c r="N24" t="s">
        <v>273</v>
      </c>
      <c r="O24" t="s">
        <v>288</v>
      </c>
      <c r="P24" t="s">
        <v>312</v>
      </c>
      <c r="V24" t="s">
        <v>273</v>
      </c>
    </row>
    <row r="25" spans="3:22" x14ac:dyDescent="0.25">
      <c r="C25" s="5" t="s">
        <v>1449</v>
      </c>
      <c r="D25" t="s">
        <v>171</v>
      </c>
      <c r="H25" t="s">
        <v>78</v>
      </c>
      <c r="I25" t="s">
        <v>1094</v>
      </c>
      <c r="K25" t="s">
        <v>1113</v>
      </c>
      <c r="N25" t="s">
        <v>14</v>
      </c>
      <c r="P25" t="s">
        <v>313</v>
      </c>
    </row>
    <row r="26" spans="3:22" x14ac:dyDescent="0.25">
      <c r="C26" s="5" t="s">
        <v>1428</v>
      </c>
      <c r="D26" t="s">
        <v>147</v>
      </c>
      <c r="H26" t="s">
        <v>79</v>
      </c>
      <c r="I26" t="s">
        <v>123</v>
      </c>
      <c r="K26" t="s">
        <v>1114</v>
      </c>
      <c r="P26" t="s">
        <v>314</v>
      </c>
    </row>
    <row r="27" spans="3:22" x14ac:dyDescent="0.25">
      <c r="C27" s="5" t="s">
        <v>1409</v>
      </c>
      <c r="D27" t="s">
        <v>151</v>
      </c>
      <c r="H27" t="s">
        <v>80</v>
      </c>
      <c r="I27" t="s">
        <v>124</v>
      </c>
      <c r="K27" t="s">
        <v>185</v>
      </c>
      <c r="P27" t="s">
        <v>315</v>
      </c>
    </row>
    <row r="28" spans="3:22" x14ac:dyDescent="0.25">
      <c r="C28" s="5" t="s">
        <v>1410</v>
      </c>
      <c r="H28" t="s">
        <v>81</v>
      </c>
      <c r="K28" t="s">
        <v>1115</v>
      </c>
      <c r="P28" t="s">
        <v>316</v>
      </c>
    </row>
    <row r="29" spans="3:22" x14ac:dyDescent="0.25">
      <c r="C29" s="5" t="s">
        <v>1508</v>
      </c>
      <c r="H29" t="s">
        <v>82</v>
      </c>
      <c r="P29" t="s">
        <v>317</v>
      </c>
    </row>
    <row r="30" spans="3:22" x14ac:dyDescent="0.25">
      <c r="C30" s="5" t="s">
        <v>1488</v>
      </c>
      <c r="H30" t="s">
        <v>83</v>
      </c>
      <c r="P30" t="s">
        <v>318</v>
      </c>
    </row>
    <row r="31" spans="3:22" x14ac:dyDescent="0.25">
      <c r="C31" s="5" t="s">
        <v>1509</v>
      </c>
      <c r="H31" t="s">
        <v>84</v>
      </c>
      <c r="P31" t="s">
        <v>319</v>
      </c>
    </row>
    <row r="32" spans="3:22" x14ac:dyDescent="0.25">
      <c r="C32" s="5"/>
      <c r="H32" t="s">
        <v>85</v>
      </c>
      <c r="P32" t="s">
        <v>320</v>
      </c>
    </row>
    <row r="33" spans="3:16" x14ac:dyDescent="0.25">
      <c r="C33" s="5"/>
      <c r="H33" t="s">
        <v>86</v>
      </c>
      <c r="P33" t="s">
        <v>321</v>
      </c>
    </row>
    <row r="34" spans="3:16" x14ac:dyDescent="0.25">
      <c r="C34" s="5"/>
      <c r="H34" t="s">
        <v>87</v>
      </c>
      <c r="P34" t="s">
        <v>322</v>
      </c>
    </row>
    <row r="35" spans="3:16" x14ac:dyDescent="0.25">
      <c r="C35" s="5"/>
      <c r="H35" t="s">
        <v>88</v>
      </c>
      <c r="P35" t="s">
        <v>323</v>
      </c>
    </row>
    <row r="36" spans="3:16" x14ac:dyDescent="0.25">
      <c r="C36" s="5"/>
      <c r="H36" t="s">
        <v>89</v>
      </c>
      <c r="P36" t="s">
        <v>324</v>
      </c>
    </row>
    <row r="37" spans="3:16" x14ac:dyDescent="0.25">
      <c r="C37" s="5"/>
      <c r="H37" t="s">
        <v>90</v>
      </c>
      <c r="P37" t="s">
        <v>325</v>
      </c>
    </row>
    <row r="38" spans="3:16" x14ac:dyDescent="0.25">
      <c r="C38" s="5"/>
      <c r="H38" t="s">
        <v>91</v>
      </c>
      <c r="P38" t="s">
        <v>326</v>
      </c>
    </row>
    <row r="39" spans="3:16" x14ac:dyDescent="0.25">
      <c r="C39" s="5"/>
      <c r="H39" t="s">
        <v>92</v>
      </c>
      <c r="P39" t="s">
        <v>327</v>
      </c>
    </row>
    <row r="40" spans="3:16" x14ac:dyDescent="0.25">
      <c r="C40" s="5"/>
      <c r="H40" t="s">
        <v>93</v>
      </c>
      <c r="P40" t="s">
        <v>328</v>
      </c>
    </row>
    <row r="41" spans="3:16" x14ac:dyDescent="0.25">
      <c r="C41" s="5"/>
      <c r="H41" t="s">
        <v>94</v>
      </c>
      <c r="P41" t="s">
        <v>329</v>
      </c>
    </row>
    <row r="42" spans="3:16" x14ac:dyDescent="0.25">
      <c r="C42" s="5"/>
      <c r="H42" t="s">
        <v>14</v>
      </c>
      <c r="P42" t="s">
        <v>330</v>
      </c>
    </row>
    <row r="43" spans="3:16" x14ac:dyDescent="0.25">
      <c r="C43" s="5"/>
      <c r="H43" t="s">
        <v>95</v>
      </c>
      <c r="P43" t="s">
        <v>331</v>
      </c>
    </row>
    <row r="44" spans="3:16" x14ac:dyDescent="0.25">
      <c r="C44" s="5"/>
      <c r="H44" t="s">
        <v>96</v>
      </c>
      <c r="P44" t="s">
        <v>332</v>
      </c>
    </row>
    <row r="45" spans="3:16" x14ac:dyDescent="0.25">
      <c r="C45" s="5"/>
      <c r="H45" t="s">
        <v>97</v>
      </c>
      <c r="P45" t="s">
        <v>333</v>
      </c>
    </row>
    <row r="46" spans="3:16" x14ac:dyDescent="0.25">
      <c r="C46" s="5"/>
      <c r="H46" t="s">
        <v>98</v>
      </c>
      <c r="P46" t="s">
        <v>334</v>
      </c>
    </row>
    <row r="47" spans="3:16" x14ac:dyDescent="0.25">
      <c r="C47" s="5"/>
      <c r="H47" t="s">
        <v>99</v>
      </c>
      <c r="P47" t="s">
        <v>335</v>
      </c>
    </row>
    <row r="48" spans="3:16" x14ac:dyDescent="0.25">
      <c r="C48" s="5"/>
      <c r="H48" t="s">
        <v>100</v>
      </c>
      <c r="P48" t="s">
        <v>336</v>
      </c>
    </row>
    <row r="49" spans="3:16" x14ac:dyDescent="0.25">
      <c r="C49" s="5"/>
      <c r="H49" t="s">
        <v>101</v>
      </c>
      <c r="P49" t="s">
        <v>337</v>
      </c>
    </row>
    <row r="50" spans="3:16" x14ac:dyDescent="0.25">
      <c r="C50" s="5"/>
      <c r="H50" t="s">
        <v>102</v>
      </c>
      <c r="P50" t="s">
        <v>338</v>
      </c>
    </row>
    <row r="51" spans="3:16" x14ac:dyDescent="0.25">
      <c r="C51" s="5"/>
      <c r="H51" t="s">
        <v>103</v>
      </c>
      <c r="P51" t="s">
        <v>339</v>
      </c>
    </row>
    <row r="52" spans="3:16" x14ac:dyDescent="0.25">
      <c r="C52" s="5"/>
      <c r="P52" t="s">
        <v>340</v>
      </c>
    </row>
    <row r="53" spans="3:16" x14ac:dyDescent="0.25">
      <c r="C53" s="5"/>
      <c r="P53" t="s">
        <v>341</v>
      </c>
    </row>
    <row r="54" spans="3:16" x14ac:dyDescent="0.25">
      <c r="C54" s="5"/>
      <c r="P54" t="s">
        <v>342</v>
      </c>
    </row>
    <row r="55" spans="3:16" x14ac:dyDescent="0.25">
      <c r="C55" s="5"/>
      <c r="P55" t="s">
        <v>343</v>
      </c>
    </row>
    <row r="56" spans="3:16" x14ac:dyDescent="0.25">
      <c r="C56" s="5"/>
      <c r="P56" t="s">
        <v>344</v>
      </c>
    </row>
    <row r="57" spans="3:16" x14ac:dyDescent="0.25">
      <c r="C57" s="5"/>
      <c r="P57" t="s">
        <v>345</v>
      </c>
    </row>
    <row r="58" spans="3:16" x14ac:dyDescent="0.25">
      <c r="C58" s="5"/>
      <c r="P58" t="s">
        <v>346</v>
      </c>
    </row>
    <row r="59" spans="3:16" x14ac:dyDescent="0.25">
      <c r="C59" s="5"/>
      <c r="P59" t="s">
        <v>347</v>
      </c>
    </row>
    <row r="60" spans="3:16" x14ac:dyDescent="0.25">
      <c r="C60" s="5"/>
      <c r="P60" t="s">
        <v>348</v>
      </c>
    </row>
    <row r="61" spans="3:16" x14ac:dyDescent="0.25">
      <c r="C61" s="5"/>
      <c r="P61" t="s">
        <v>349</v>
      </c>
    </row>
    <row r="62" spans="3:16" x14ac:dyDescent="0.25">
      <c r="C62" s="5"/>
      <c r="P62" t="s">
        <v>350</v>
      </c>
    </row>
    <row r="63" spans="3:16" x14ac:dyDescent="0.25">
      <c r="C63" s="5"/>
      <c r="P63" t="s">
        <v>351</v>
      </c>
    </row>
    <row r="64" spans="3:16" x14ac:dyDescent="0.25">
      <c r="C64" s="5"/>
      <c r="P64" t="s">
        <v>352</v>
      </c>
    </row>
    <row r="65" spans="3:16" x14ac:dyDescent="0.25">
      <c r="C65" s="5"/>
      <c r="P65" t="s">
        <v>353</v>
      </c>
    </row>
    <row r="66" spans="3:16" x14ac:dyDescent="0.25">
      <c r="C66" s="5"/>
      <c r="P66" t="s">
        <v>354</v>
      </c>
    </row>
    <row r="67" spans="3:16" x14ac:dyDescent="0.25">
      <c r="C67" s="5"/>
      <c r="P67" t="s">
        <v>355</v>
      </c>
    </row>
    <row r="68" spans="3:16" x14ac:dyDescent="0.25">
      <c r="C68" s="5"/>
      <c r="P68" t="s">
        <v>356</v>
      </c>
    </row>
    <row r="69" spans="3:16" x14ac:dyDescent="0.25">
      <c r="C69" s="5"/>
      <c r="P69" t="s">
        <v>357</v>
      </c>
    </row>
    <row r="70" spans="3:16" x14ac:dyDescent="0.25">
      <c r="C70" s="5"/>
      <c r="P70" t="s">
        <v>358</v>
      </c>
    </row>
    <row r="71" spans="3:16" x14ac:dyDescent="0.25">
      <c r="C71" s="5"/>
      <c r="P71" t="s">
        <v>359</v>
      </c>
    </row>
    <row r="72" spans="3:16" x14ac:dyDescent="0.25">
      <c r="C72" s="5"/>
      <c r="P72" t="s">
        <v>360</v>
      </c>
    </row>
    <row r="73" spans="3:16" x14ac:dyDescent="0.25">
      <c r="C73" s="5"/>
      <c r="P73" t="s">
        <v>361</v>
      </c>
    </row>
    <row r="74" spans="3:16" x14ac:dyDescent="0.25">
      <c r="C74" s="5"/>
      <c r="P74" t="s">
        <v>362</v>
      </c>
    </row>
    <row r="75" spans="3:16" x14ac:dyDescent="0.25">
      <c r="C75" s="5"/>
      <c r="P75" t="s">
        <v>363</v>
      </c>
    </row>
    <row r="76" spans="3:16" x14ac:dyDescent="0.25">
      <c r="C76" s="5"/>
      <c r="P76" t="s">
        <v>364</v>
      </c>
    </row>
    <row r="77" spans="3:16" x14ac:dyDescent="0.25">
      <c r="C77" s="5"/>
      <c r="P77" t="s">
        <v>365</v>
      </c>
    </row>
    <row r="78" spans="3:16" x14ac:dyDescent="0.25">
      <c r="C78" s="5"/>
      <c r="P78" t="s">
        <v>366</v>
      </c>
    </row>
    <row r="79" spans="3:16" x14ac:dyDescent="0.25">
      <c r="C79" s="5"/>
      <c r="P79" t="s">
        <v>367</v>
      </c>
    </row>
    <row r="80" spans="3:16" x14ac:dyDescent="0.25">
      <c r="C80" s="5"/>
      <c r="P80" t="s">
        <v>368</v>
      </c>
    </row>
    <row r="81" spans="3:16" x14ac:dyDescent="0.25">
      <c r="C81" s="5"/>
      <c r="P81" t="s">
        <v>369</v>
      </c>
    </row>
    <row r="82" spans="3:16" x14ac:dyDescent="0.25">
      <c r="C82" s="5"/>
      <c r="P82" t="s">
        <v>370</v>
      </c>
    </row>
    <row r="83" spans="3:16" x14ac:dyDescent="0.25">
      <c r="C83" s="5"/>
      <c r="P83" t="s">
        <v>371</v>
      </c>
    </row>
    <row r="84" spans="3:16" x14ac:dyDescent="0.25">
      <c r="C84" s="5"/>
      <c r="P84" t="s">
        <v>372</v>
      </c>
    </row>
    <row r="85" spans="3:16" x14ac:dyDescent="0.25">
      <c r="C85" s="5"/>
      <c r="P85" t="s">
        <v>373</v>
      </c>
    </row>
    <row r="86" spans="3:16" x14ac:dyDescent="0.25">
      <c r="C86" s="5"/>
      <c r="P86" t="s">
        <v>374</v>
      </c>
    </row>
    <row r="87" spans="3:16" x14ac:dyDescent="0.25">
      <c r="C87" s="5"/>
      <c r="P87" t="s">
        <v>375</v>
      </c>
    </row>
    <row r="88" spans="3:16" x14ac:dyDescent="0.25">
      <c r="C88" s="5"/>
      <c r="P88" t="s">
        <v>376</v>
      </c>
    </row>
    <row r="89" spans="3:16" x14ac:dyDescent="0.25">
      <c r="C89" s="5"/>
      <c r="P89" t="s">
        <v>377</v>
      </c>
    </row>
    <row r="90" spans="3:16" x14ac:dyDescent="0.25">
      <c r="C90" s="5"/>
      <c r="P90" t="s">
        <v>378</v>
      </c>
    </row>
    <row r="91" spans="3:16" x14ac:dyDescent="0.25">
      <c r="C91" s="5"/>
      <c r="P91" t="s">
        <v>379</v>
      </c>
    </row>
    <row r="92" spans="3:16" x14ac:dyDescent="0.25">
      <c r="C92" s="5"/>
      <c r="P92" t="s">
        <v>380</v>
      </c>
    </row>
    <row r="93" spans="3:16" x14ac:dyDescent="0.25">
      <c r="C93" s="5"/>
      <c r="P93" t="s">
        <v>381</v>
      </c>
    </row>
    <row r="94" spans="3:16" x14ac:dyDescent="0.25">
      <c r="C94" s="5"/>
      <c r="P94" t="s">
        <v>382</v>
      </c>
    </row>
    <row r="95" spans="3:16" x14ac:dyDescent="0.25">
      <c r="C95" s="5"/>
      <c r="P95" t="s">
        <v>383</v>
      </c>
    </row>
    <row r="96" spans="3:16" x14ac:dyDescent="0.25">
      <c r="C96" s="5"/>
      <c r="P96" t="s">
        <v>384</v>
      </c>
    </row>
    <row r="97" spans="3:16" x14ac:dyDescent="0.25">
      <c r="C97" s="5"/>
      <c r="P97" t="s">
        <v>385</v>
      </c>
    </row>
    <row r="98" spans="3:16" x14ac:dyDescent="0.25">
      <c r="C98" s="5"/>
      <c r="P98" t="s">
        <v>386</v>
      </c>
    </row>
    <row r="99" spans="3:16" x14ac:dyDescent="0.25">
      <c r="C99" s="5"/>
      <c r="P99" t="s">
        <v>387</v>
      </c>
    </row>
    <row r="100" spans="3:16" x14ac:dyDescent="0.25">
      <c r="C100" s="5"/>
      <c r="P100" t="s">
        <v>388</v>
      </c>
    </row>
    <row r="101" spans="3:16" x14ac:dyDescent="0.25">
      <c r="C101" s="5"/>
      <c r="P101" t="s">
        <v>389</v>
      </c>
    </row>
    <row r="102" spans="3:16" x14ac:dyDescent="0.25">
      <c r="C102" s="5"/>
      <c r="P102" t="s">
        <v>390</v>
      </c>
    </row>
    <row r="103" spans="3:16" x14ac:dyDescent="0.25">
      <c r="C103" s="5"/>
      <c r="P103" t="s">
        <v>391</v>
      </c>
    </row>
    <row r="104" spans="3:16" x14ac:dyDescent="0.25">
      <c r="C104" s="5"/>
      <c r="P104" t="s">
        <v>392</v>
      </c>
    </row>
    <row r="105" spans="3:16" x14ac:dyDescent="0.25">
      <c r="C105" s="5"/>
      <c r="P105" t="s">
        <v>393</v>
      </c>
    </row>
    <row r="106" spans="3:16" x14ac:dyDescent="0.25">
      <c r="C106" s="5"/>
      <c r="P106" t="s">
        <v>394</v>
      </c>
    </row>
    <row r="107" spans="3:16" x14ac:dyDescent="0.25">
      <c r="C107" s="5"/>
      <c r="P107" t="s">
        <v>395</v>
      </c>
    </row>
    <row r="108" spans="3:16" x14ac:dyDescent="0.25">
      <c r="C108" s="5"/>
      <c r="P108" t="s">
        <v>396</v>
      </c>
    </row>
    <row r="109" spans="3:16" x14ac:dyDescent="0.25">
      <c r="C109" s="5"/>
      <c r="P109" t="s">
        <v>397</v>
      </c>
    </row>
    <row r="110" spans="3:16" x14ac:dyDescent="0.25">
      <c r="C110" s="5"/>
      <c r="P110" t="s">
        <v>398</v>
      </c>
    </row>
    <row r="111" spans="3:16" x14ac:dyDescent="0.25">
      <c r="C111" s="5"/>
      <c r="P111" t="s">
        <v>399</v>
      </c>
    </row>
    <row r="112" spans="3:16" x14ac:dyDescent="0.25">
      <c r="C112" s="5"/>
      <c r="P112" t="s">
        <v>400</v>
      </c>
    </row>
    <row r="113" spans="3:16" x14ac:dyDescent="0.25">
      <c r="C113" s="5"/>
      <c r="P113" t="s">
        <v>401</v>
      </c>
    </row>
    <row r="114" spans="3:16" x14ac:dyDescent="0.25">
      <c r="C114" s="5"/>
      <c r="P114" t="s">
        <v>402</v>
      </c>
    </row>
    <row r="115" spans="3:16" x14ac:dyDescent="0.25">
      <c r="C115" s="5"/>
      <c r="P115" t="s">
        <v>403</v>
      </c>
    </row>
    <row r="116" spans="3:16" x14ac:dyDescent="0.25">
      <c r="C116" s="5"/>
      <c r="P116" t="s">
        <v>404</v>
      </c>
    </row>
    <row r="117" spans="3:16" x14ac:dyDescent="0.25">
      <c r="C117" s="5"/>
      <c r="P117" t="s">
        <v>405</v>
      </c>
    </row>
    <row r="118" spans="3:16" x14ac:dyDescent="0.25">
      <c r="C118" s="5"/>
      <c r="P118" t="s">
        <v>406</v>
      </c>
    </row>
    <row r="119" spans="3:16" x14ac:dyDescent="0.25">
      <c r="C119" s="5"/>
      <c r="P119" t="s">
        <v>407</v>
      </c>
    </row>
    <row r="120" spans="3:16" x14ac:dyDescent="0.25">
      <c r="C120" s="5"/>
      <c r="P120" t="s">
        <v>408</v>
      </c>
    </row>
    <row r="121" spans="3:16" x14ac:dyDescent="0.25">
      <c r="C121" s="5"/>
      <c r="P121" t="s">
        <v>409</v>
      </c>
    </row>
    <row r="122" spans="3:16" x14ac:dyDescent="0.25">
      <c r="C122" s="5"/>
      <c r="P122" t="s">
        <v>410</v>
      </c>
    </row>
    <row r="123" spans="3:16" x14ac:dyDescent="0.25">
      <c r="C123" s="5"/>
      <c r="P123" t="s">
        <v>411</v>
      </c>
    </row>
    <row r="124" spans="3:16" x14ac:dyDescent="0.25">
      <c r="C124" s="5"/>
      <c r="P124" t="s">
        <v>412</v>
      </c>
    </row>
    <row r="125" spans="3:16" x14ac:dyDescent="0.25">
      <c r="C125" s="5"/>
      <c r="P125" t="s">
        <v>413</v>
      </c>
    </row>
    <row r="126" spans="3:16" x14ac:dyDescent="0.25">
      <c r="C126" s="5"/>
      <c r="P126" t="s">
        <v>414</v>
      </c>
    </row>
    <row r="127" spans="3:16" x14ac:dyDescent="0.25">
      <c r="C127" s="5"/>
      <c r="P127" t="s">
        <v>415</v>
      </c>
    </row>
    <row r="128" spans="3:16" x14ac:dyDescent="0.25">
      <c r="C128" s="5"/>
      <c r="P128" t="s">
        <v>416</v>
      </c>
    </row>
    <row r="129" spans="3:16" x14ac:dyDescent="0.25">
      <c r="C129" s="5"/>
      <c r="P129" t="s">
        <v>417</v>
      </c>
    </row>
    <row r="130" spans="3:16" x14ac:dyDescent="0.25">
      <c r="C130" s="5"/>
      <c r="P130" t="s">
        <v>418</v>
      </c>
    </row>
    <row r="131" spans="3:16" x14ac:dyDescent="0.25">
      <c r="C131" s="5"/>
      <c r="P131" t="s">
        <v>419</v>
      </c>
    </row>
    <row r="132" spans="3:16" x14ac:dyDescent="0.25">
      <c r="C132" s="5"/>
      <c r="P132" t="s">
        <v>420</v>
      </c>
    </row>
    <row r="133" spans="3:16" x14ac:dyDescent="0.25">
      <c r="C133" s="5"/>
      <c r="P133" t="s">
        <v>421</v>
      </c>
    </row>
    <row r="134" spans="3:16" x14ac:dyDescent="0.25">
      <c r="C134" s="5"/>
      <c r="P134" t="s">
        <v>422</v>
      </c>
    </row>
    <row r="135" spans="3:16" x14ac:dyDescent="0.25">
      <c r="C135" s="5"/>
      <c r="P135" t="s">
        <v>423</v>
      </c>
    </row>
    <row r="136" spans="3:16" x14ac:dyDescent="0.25">
      <c r="C136" s="5"/>
      <c r="P136" t="s">
        <v>424</v>
      </c>
    </row>
    <row r="137" spans="3:16" x14ac:dyDescent="0.25">
      <c r="C137" s="5"/>
      <c r="P137" t="s">
        <v>425</v>
      </c>
    </row>
    <row r="138" spans="3:16" x14ac:dyDescent="0.25">
      <c r="C138" s="5"/>
      <c r="P138" t="s">
        <v>426</v>
      </c>
    </row>
    <row r="139" spans="3:16" x14ac:dyDescent="0.25">
      <c r="C139" s="5"/>
      <c r="P139" t="s">
        <v>427</v>
      </c>
    </row>
    <row r="140" spans="3:16" x14ac:dyDescent="0.25">
      <c r="C140" s="5"/>
      <c r="P140" t="s">
        <v>428</v>
      </c>
    </row>
    <row r="141" spans="3:16" x14ac:dyDescent="0.25">
      <c r="C141" s="5"/>
      <c r="P141" t="s">
        <v>429</v>
      </c>
    </row>
    <row r="142" spans="3:16" x14ac:dyDescent="0.25">
      <c r="C142" s="5"/>
      <c r="P142" t="s">
        <v>430</v>
      </c>
    </row>
    <row r="143" spans="3:16" x14ac:dyDescent="0.25">
      <c r="C143" s="5"/>
      <c r="P143" t="s">
        <v>431</v>
      </c>
    </row>
    <row r="144" spans="3:16" x14ac:dyDescent="0.25">
      <c r="C144" s="5"/>
      <c r="P144" t="s">
        <v>432</v>
      </c>
    </row>
    <row r="145" spans="3:16" x14ac:dyDescent="0.25">
      <c r="C145" s="5"/>
      <c r="P145" t="s">
        <v>433</v>
      </c>
    </row>
    <row r="146" spans="3:16" x14ac:dyDescent="0.25">
      <c r="C146" s="5"/>
      <c r="P146" t="s">
        <v>434</v>
      </c>
    </row>
    <row r="147" spans="3:16" x14ac:dyDescent="0.25">
      <c r="C147" s="5"/>
      <c r="P147" t="s">
        <v>435</v>
      </c>
    </row>
    <row r="148" spans="3:16" x14ac:dyDescent="0.25">
      <c r="C148" s="5"/>
      <c r="P148" t="s">
        <v>436</v>
      </c>
    </row>
    <row r="149" spans="3:16" x14ac:dyDescent="0.25">
      <c r="C149" s="5"/>
      <c r="P149" t="s">
        <v>437</v>
      </c>
    </row>
    <row r="150" spans="3:16" x14ac:dyDescent="0.25">
      <c r="C150" s="5"/>
      <c r="P150" t="s">
        <v>438</v>
      </c>
    </row>
    <row r="151" spans="3:16" x14ac:dyDescent="0.25">
      <c r="C151" s="5"/>
      <c r="P151" t="s">
        <v>439</v>
      </c>
    </row>
    <row r="152" spans="3:16" x14ac:dyDescent="0.25">
      <c r="C152" s="5"/>
      <c r="P152" t="s">
        <v>440</v>
      </c>
    </row>
    <row r="153" spans="3:16" x14ac:dyDescent="0.25">
      <c r="C153" s="5"/>
      <c r="P153" t="s">
        <v>441</v>
      </c>
    </row>
    <row r="154" spans="3:16" x14ac:dyDescent="0.25">
      <c r="C154" s="5"/>
      <c r="P154" t="s">
        <v>442</v>
      </c>
    </row>
    <row r="155" spans="3:16" x14ac:dyDescent="0.25">
      <c r="C155" s="5"/>
      <c r="P155" t="s">
        <v>443</v>
      </c>
    </row>
    <row r="156" spans="3:16" x14ac:dyDescent="0.25">
      <c r="C156" s="5"/>
      <c r="P156" t="s">
        <v>444</v>
      </c>
    </row>
    <row r="157" spans="3:16" x14ac:dyDescent="0.25">
      <c r="C157" s="5"/>
      <c r="P157" t="s">
        <v>445</v>
      </c>
    </row>
    <row r="158" spans="3:16" x14ac:dyDescent="0.25">
      <c r="C158" s="5"/>
      <c r="P158" t="s">
        <v>446</v>
      </c>
    </row>
    <row r="159" spans="3:16" x14ac:dyDescent="0.25">
      <c r="C159" s="5"/>
      <c r="P159" t="s">
        <v>447</v>
      </c>
    </row>
    <row r="160" spans="3:16" x14ac:dyDescent="0.25">
      <c r="C160" s="5"/>
      <c r="P160" t="s">
        <v>448</v>
      </c>
    </row>
    <row r="161" spans="3:16" x14ac:dyDescent="0.25">
      <c r="C161" s="5"/>
      <c r="P161" t="s">
        <v>449</v>
      </c>
    </row>
    <row r="162" spans="3:16" x14ac:dyDescent="0.25">
      <c r="C162" s="5"/>
      <c r="P162" t="s">
        <v>450</v>
      </c>
    </row>
    <row r="163" spans="3:16" x14ac:dyDescent="0.25">
      <c r="C163" s="5"/>
      <c r="P163" t="s">
        <v>451</v>
      </c>
    </row>
    <row r="164" spans="3:16" x14ac:dyDescent="0.25">
      <c r="C164" s="5"/>
      <c r="P164" t="s">
        <v>452</v>
      </c>
    </row>
    <row r="165" spans="3:16" x14ac:dyDescent="0.25">
      <c r="C165" s="5"/>
      <c r="P165" t="s">
        <v>453</v>
      </c>
    </row>
    <row r="166" spans="3:16" x14ac:dyDescent="0.25">
      <c r="C166" s="5"/>
      <c r="P166" t="s">
        <v>454</v>
      </c>
    </row>
    <row r="167" spans="3:16" x14ac:dyDescent="0.25">
      <c r="C167" s="5"/>
      <c r="P167" t="s">
        <v>455</v>
      </c>
    </row>
    <row r="168" spans="3:16" x14ac:dyDescent="0.25">
      <c r="C168" s="5"/>
      <c r="P168" t="s">
        <v>456</v>
      </c>
    </row>
    <row r="169" spans="3:16" x14ac:dyDescent="0.25">
      <c r="C169" s="5"/>
      <c r="P169" t="s">
        <v>457</v>
      </c>
    </row>
    <row r="170" spans="3:16" x14ac:dyDescent="0.25">
      <c r="C170" s="5"/>
      <c r="P170" t="s">
        <v>458</v>
      </c>
    </row>
    <row r="171" spans="3:16" x14ac:dyDescent="0.25">
      <c r="C171" s="5"/>
      <c r="P171" t="s">
        <v>459</v>
      </c>
    </row>
    <row r="172" spans="3:16" x14ac:dyDescent="0.25">
      <c r="C172" s="5"/>
      <c r="P172" t="s">
        <v>460</v>
      </c>
    </row>
    <row r="173" spans="3:16" x14ac:dyDescent="0.25">
      <c r="C173" s="5"/>
      <c r="P173" t="s">
        <v>461</v>
      </c>
    </row>
    <row r="174" spans="3:16" x14ac:dyDescent="0.25">
      <c r="C174" s="5"/>
      <c r="P174" t="s">
        <v>462</v>
      </c>
    </row>
    <row r="175" spans="3:16" x14ac:dyDescent="0.25">
      <c r="C175" s="5"/>
      <c r="P175" t="s">
        <v>463</v>
      </c>
    </row>
    <row r="176" spans="3:16" x14ac:dyDescent="0.25">
      <c r="C176" s="5"/>
      <c r="P176" t="s">
        <v>464</v>
      </c>
    </row>
    <row r="177" spans="3:16" x14ac:dyDescent="0.25">
      <c r="C177" s="5"/>
      <c r="P177" t="s">
        <v>465</v>
      </c>
    </row>
    <row r="178" spans="3:16" x14ac:dyDescent="0.25">
      <c r="C178" s="5"/>
      <c r="P178" t="s">
        <v>466</v>
      </c>
    </row>
    <row r="179" spans="3:16" x14ac:dyDescent="0.25">
      <c r="C179" s="5"/>
      <c r="P179" t="s">
        <v>467</v>
      </c>
    </row>
    <row r="180" spans="3:16" x14ac:dyDescent="0.25">
      <c r="C180" s="5"/>
      <c r="P180" t="s">
        <v>468</v>
      </c>
    </row>
    <row r="181" spans="3:16" x14ac:dyDescent="0.25">
      <c r="C181" s="5"/>
      <c r="P181" t="s">
        <v>469</v>
      </c>
    </row>
    <row r="182" spans="3:16" x14ac:dyDescent="0.25">
      <c r="C182" s="5"/>
      <c r="P182" t="s">
        <v>470</v>
      </c>
    </row>
    <row r="183" spans="3:16" x14ac:dyDescent="0.25">
      <c r="C183" s="5"/>
      <c r="P183" t="s">
        <v>471</v>
      </c>
    </row>
    <row r="184" spans="3:16" x14ac:dyDescent="0.25">
      <c r="C184" s="5"/>
      <c r="P184" t="s">
        <v>472</v>
      </c>
    </row>
    <row r="185" spans="3:16" x14ac:dyDescent="0.25">
      <c r="C185" s="5"/>
      <c r="P185" t="s">
        <v>473</v>
      </c>
    </row>
    <row r="186" spans="3:16" x14ac:dyDescent="0.25">
      <c r="C186" s="5"/>
      <c r="P186" t="s">
        <v>474</v>
      </c>
    </row>
    <row r="187" spans="3:16" x14ac:dyDescent="0.25">
      <c r="C187" s="5"/>
      <c r="P187" t="s">
        <v>475</v>
      </c>
    </row>
    <row r="188" spans="3:16" x14ac:dyDescent="0.25">
      <c r="C188" s="5"/>
      <c r="P188" t="s">
        <v>476</v>
      </c>
    </row>
    <row r="189" spans="3:16" x14ac:dyDescent="0.25">
      <c r="C189" s="5"/>
      <c r="P189" t="s">
        <v>477</v>
      </c>
    </row>
    <row r="190" spans="3:16" x14ac:dyDescent="0.25">
      <c r="C190" s="5"/>
      <c r="P190" t="s">
        <v>478</v>
      </c>
    </row>
    <row r="191" spans="3:16" x14ac:dyDescent="0.25">
      <c r="C191" s="5"/>
      <c r="P191" t="s">
        <v>479</v>
      </c>
    </row>
    <row r="192" spans="3:16" x14ac:dyDescent="0.25">
      <c r="C192" s="5"/>
      <c r="P192" t="s">
        <v>480</v>
      </c>
    </row>
    <row r="193" spans="3:16" x14ac:dyDescent="0.25">
      <c r="C193" s="5"/>
      <c r="P193" t="s">
        <v>481</v>
      </c>
    </row>
    <row r="194" spans="3:16" x14ac:dyDescent="0.25">
      <c r="C194" s="5"/>
      <c r="P194" t="s">
        <v>482</v>
      </c>
    </row>
    <row r="195" spans="3:16" x14ac:dyDescent="0.25">
      <c r="C195" s="5"/>
      <c r="P195" t="s">
        <v>483</v>
      </c>
    </row>
    <row r="196" spans="3:16" x14ac:dyDescent="0.25">
      <c r="C196" s="5"/>
      <c r="P196" t="s">
        <v>484</v>
      </c>
    </row>
    <row r="197" spans="3:16" x14ac:dyDescent="0.25">
      <c r="C197" s="5"/>
      <c r="P197" t="s">
        <v>485</v>
      </c>
    </row>
    <row r="198" spans="3:16" x14ac:dyDescent="0.25">
      <c r="C198" s="5"/>
      <c r="P198" t="s">
        <v>486</v>
      </c>
    </row>
    <row r="199" spans="3:16" x14ac:dyDescent="0.25">
      <c r="C199" s="5"/>
      <c r="P199" t="s">
        <v>487</v>
      </c>
    </row>
    <row r="200" spans="3:16" x14ac:dyDescent="0.25">
      <c r="C200" s="5"/>
      <c r="P200" t="s">
        <v>488</v>
      </c>
    </row>
    <row r="201" spans="3:16" x14ac:dyDescent="0.25">
      <c r="C201" s="5"/>
      <c r="P201" t="s">
        <v>489</v>
      </c>
    </row>
    <row r="202" spans="3:16" x14ac:dyDescent="0.25">
      <c r="C202" s="5"/>
      <c r="P202" t="s">
        <v>490</v>
      </c>
    </row>
    <row r="203" spans="3:16" x14ac:dyDescent="0.25">
      <c r="C203" s="5"/>
      <c r="P203" t="s">
        <v>491</v>
      </c>
    </row>
    <row r="204" spans="3:16" x14ac:dyDescent="0.25">
      <c r="C204" s="5"/>
      <c r="P204" t="s">
        <v>492</v>
      </c>
    </row>
    <row r="205" spans="3:16" x14ac:dyDescent="0.25">
      <c r="C205" s="5"/>
      <c r="P205" t="s">
        <v>493</v>
      </c>
    </row>
    <row r="206" spans="3:16" x14ac:dyDescent="0.25">
      <c r="C206" s="5"/>
      <c r="P206" t="s">
        <v>494</v>
      </c>
    </row>
    <row r="207" spans="3:16" x14ac:dyDescent="0.25">
      <c r="C207" s="5"/>
      <c r="P207" t="s">
        <v>495</v>
      </c>
    </row>
    <row r="208" spans="3:16" x14ac:dyDescent="0.25">
      <c r="C208" s="5"/>
      <c r="P208" t="s">
        <v>496</v>
      </c>
    </row>
    <row r="209" spans="3:16" x14ac:dyDescent="0.25">
      <c r="C209" s="5"/>
      <c r="P209" t="s">
        <v>497</v>
      </c>
    </row>
    <row r="210" spans="3:16" x14ac:dyDescent="0.25">
      <c r="C210" s="5"/>
      <c r="P210" t="s">
        <v>498</v>
      </c>
    </row>
    <row r="211" spans="3:16" x14ac:dyDescent="0.25">
      <c r="C211" s="5"/>
      <c r="P211" t="s">
        <v>499</v>
      </c>
    </row>
    <row r="212" spans="3:16" x14ac:dyDescent="0.25">
      <c r="C212" s="5"/>
      <c r="P212" t="s">
        <v>500</v>
      </c>
    </row>
    <row r="213" spans="3:16" x14ac:dyDescent="0.25">
      <c r="C213" s="5"/>
      <c r="P213" t="s">
        <v>501</v>
      </c>
    </row>
    <row r="214" spans="3:16" x14ac:dyDescent="0.25">
      <c r="C214" s="5"/>
      <c r="P214" t="s">
        <v>502</v>
      </c>
    </row>
    <row r="215" spans="3:16" x14ac:dyDescent="0.25">
      <c r="C215" s="5"/>
      <c r="P215" t="s">
        <v>503</v>
      </c>
    </row>
    <row r="216" spans="3:16" x14ac:dyDescent="0.25">
      <c r="C216" s="5"/>
      <c r="P216" t="s">
        <v>504</v>
      </c>
    </row>
    <row r="217" spans="3:16" x14ac:dyDescent="0.25">
      <c r="C217" s="5"/>
      <c r="P217" t="s">
        <v>505</v>
      </c>
    </row>
    <row r="218" spans="3:16" x14ac:dyDescent="0.25">
      <c r="C218" s="5"/>
      <c r="P218" t="s">
        <v>506</v>
      </c>
    </row>
    <row r="219" spans="3:16" x14ac:dyDescent="0.25">
      <c r="C219" s="5"/>
      <c r="P219" t="s">
        <v>507</v>
      </c>
    </row>
    <row r="220" spans="3:16" x14ac:dyDescent="0.25">
      <c r="C220" s="5"/>
      <c r="P220" t="s">
        <v>508</v>
      </c>
    </row>
    <row r="221" spans="3:16" x14ac:dyDescent="0.25">
      <c r="C221" s="5"/>
      <c r="P221" t="s">
        <v>509</v>
      </c>
    </row>
    <row r="222" spans="3:16" x14ac:dyDescent="0.25">
      <c r="C222" s="5"/>
      <c r="P222" t="s">
        <v>510</v>
      </c>
    </row>
    <row r="223" spans="3:16" x14ac:dyDescent="0.25">
      <c r="C223" s="5"/>
      <c r="P223" t="s">
        <v>511</v>
      </c>
    </row>
    <row r="224" spans="3:16" x14ac:dyDescent="0.25">
      <c r="C224" s="5"/>
      <c r="P224" t="s">
        <v>512</v>
      </c>
    </row>
    <row r="225" spans="3:16" x14ac:dyDescent="0.25">
      <c r="C225" s="5"/>
      <c r="P225" t="s">
        <v>513</v>
      </c>
    </row>
    <row r="226" spans="3:16" x14ac:dyDescent="0.25">
      <c r="C226" s="5"/>
      <c r="P226" t="s">
        <v>514</v>
      </c>
    </row>
    <row r="227" spans="3:16" x14ac:dyDescent="0.25">
      <c r="C227" s="5"/>
      <c r="P227" t="s">
        <v>515</v>
      </c>
    </row>
    <row r="228" spans="3:16" x14ac:dyDescent="0.25">
      <c r="C228" s="5"/>
      <c r="P228" t="s">
        <v>516</v>
      </c>
    </row>
    <row r="229" spans="3:16" x14ac:dyDescent="0.25">
      <c r="C229" s="5"/>
      <c r="P229" t="s">
        <v>517</v>
      </c>
    </row>
    <row r="230" spans="3:16" x14ac:dyDescent="0.25">
      <c r="C230" s="5"/>
      <c r="P230" t="s">
        <v>518</v>
      </c>
    </row>
    <row r="231" spans="3:16" x14ac:dyDescent="0.25">
      <c r="C231" s="5"/>
      <c r="P231" t="s">
        <v>519</v>
      </c>
    </row>
    <row r="232" spans="3:16" x14ac:dyDescent="0.25">
      <c r="C232" s="5"/>
      <c r="P232" t="s">
        <v>520</v>
      </c>
    </row>
    <row r="233" spans="3:16" x14ac:dyDescent="0.25">
      <c r="C233" s="5"/>
      <c r="P233" t="s">
        <v>521</v>
      </c>
    </row>
    <row r="234" spans="3:16" x14ac:dyDescent="0.25">
      <c r="C234" s="5"/>
      <c r="P234" t="s">
        <v>522</v>
      </c>
    </row>
    <row r="235" spans="3:16" x14ac:dyDescent="0.25">
      <c r="C235" s="5"/>
      <c r="P235" t="s">
        <v>523</v>
      </c>
    </row>
    <row r="236" spans="3:16" x14ac:dyDescent="0.25">
      <c r="C236" s="5"/>
      <c r="P236" t="s">
        <v>524</v>
      </c>
    </row>
    <row r="237" spans="3:16" x14ac:dyDescent="0.25">
      <c r="C237" s="5"/>
      <c r="P237" t="s">
        <v>525</v>
      </c>
    </row>
    <row r="238" spans="3:16" x14ac:dyDescent="0.25">
      <c r="C238" s="5"/>
      <c r="P238" t="s">
        <v>526</v>
      </c>
    </row>
    <row r="239" spans="3:16" x14ac:dyDescent="0.25">
      <c r="C239" s="5"/>
      <c r="P239" t="s">
        <v>527</v>
      </c>
    </row>
    <row r="240" spans="3:16" x14ac:dyDescent="0.25">
      <c r="C240" s="5"/>
      <c r="P240" t="s">
        <v>528</v>
      </c>
    </row>
    <row r="241" spans="3:16" x14ac:dyDescent="0.25">
      <c r="C241" s="5"/>
      <c r="P241" t="s">
        <v>529</v>
      </c>
    </row>
    <row r="242" spans="3:16" x14ac:dyDescent="0.25">
      <c r="C242" s="5"/>
      <c r="P242" t="s">
        <v>530</v>
      </c>
    </row>
    <row r="243" spans="3:16" x14ac:dyDescent="0.25">
      <c r="C243" s="5"/>
      <c r="P243" t="s">
        <v>531</v>
      </c>
    </row>
    <row r="244" spans="3:16" x14ac:dyDescent="0.25">
      <c r="C244" s="5"/>
      <c r="P244" t="s">
        <v>532</v>
      </c>
    </row>
    <row r="245" spans="3:16" x14ac:dyDescent="0.25">
      <c r="C245" s="5"/>
      <c r="P245" t="s">
        <v>533</v>
      </c>
    </row>
    <row r="246" spans="3:16" x14ac:dyDescent="0.25">
      <c r="C246" s="5"/>
      <c r="P246" t="s">
        <v>534</v>
      </c>
    </row>
    <row r="247" spans="3:16" x14ac:dyDescent="0.25">
      <c r="C247" s="5"/>
      <c r="P247" t="s">
        <v>535</v>
      </c>
    </row>
    <row r="248" spans="3:16" x14ac:dyDescent="0.25">
      <c r="C248" s="5"/>
      <c r="P248" t="s">
        <v>536</v>
      </c>
    </row>
    <row r="249" spans="3:16" x14ac:dyDescent="0.25">
      <c r="C249" s="5"/>
      <c r="P249" t="s">
        <v>537</v>
      </c>
    </row>
    <row r="250" spans="3:16" x14ac:dyDescent="0.25">
      <c r="C250" s="5"/>
      <c r="P250" t="s">
        <v>538</v>
      </c>
    </row>
    <row r="251" spans="3:16" x14ac:dyDescent="0.25">
      <c r="C251" s="5"/>
      <c r="P251" t="s">
        <v>539</v>
      </c>
    </row>
    <row r="252" spans="3:16" x14ac:dyDescent="0.25">
      <c r="C252" s="5"/>
      <c r="P252" t="s">
        <v>540</v>
      </c>
    </row>
    <row r="253" spans="3:16" x14ac:dyDescent="0.25">
      <c r="C253" s="5"/>
      <c r="P253" t="s">
        <v>541</v>
      </c>
    </row>
    <row r="254" spans="3:16" x14ac:dyDescent="0.25">
      <c r="C254" s="5"/>
      <c r="P254" t="s">
        <v>542</v>
      </c>
    </row>
    <row r="255" spans="3:16" x14ac:dyDescent="0.25">
      <c r="C255" s="5"/>
      <c r="P255" t="s">
        <v>543</v>
      </c>
    </row>
    <row r="256" spans="3:16" x14ac:dyDescent="0.25">
      <c r="C256" s="5"/>
      <c r="P256" t="s">
        <v>544</v>
      </c>
    </row>
    <row r="257" spans="3:16" x14ac:dyDescent="0.25">
      <c r="C257" s="5"/>
      <c r="P257" t="s">
        <v>545</v>
      </c>
    </row>
    <row r="258" spans="3:16" x14ac:dyDescent="0.25">
      <c r="C258" s="5"/>
      <c r="P258" t="s">
        <v>546</v>
      </c>
    </row>
    <row r="259" spans="3:16" x14ac:dyDescent="0.25">
      <c r="C259" s="5"/>
      <c r="P259" t="s">
        <v>547</v>
      </c>
    </row>
    <row r="260" spans="3:16" x14ac:dyDescent="0.25">
      <c r="C260" s="5"/>
      <c r="P260" t="s">
        <v>548</v>
      </c>
    </row>
    <row r="261" spans="3:16" x14ac:dyDescent="0.25">
      <c r="C261" s="5"/>
      <c r="P261" t="s">
        <v>549</v>
      </c>
    </row>
    <row r="262" spans="3:16" x14ac:dyDescent="0.25">
      <c r="C262" s="5"/>
      <c r="P262" t="s">
        <v>550</v>
      </c>
    </row>
    <row r="263" spans="3:16" x14ac:dyDescent="0.25">
      <c r="C263" s="5"/>
      <c r="P263" t="s">
        <v>551</v>
      </c>
    </row>
    <row r="264" spans="3:16" x14ac:dyDescent="0.25">
      <c r="C264" s="5"/>
      <c r="P264" t="s">
        <v>552</v>
      </c>
    </row>
    <row r="265" spans="3:16" x14ac:dyDescent="0.25">
      <c r="C265" s="5"/>
      <c r="P265" t="s">
        <v>553</v>
      </c>
    </row>
    <row r="266" spans="3:16" x14ac:dyDescent="0.25">
      <c r="C266" s="5"/>
      <c r="P266" t="s">
        <v>554</v>
      </c>
    </row>
    <row r="267" spans="3:16" x14ac:dyDescent="0.25">
      <c r="C267" s="5"/>
      <c r="P267" t="s">
        <v>555</v>
      </c>
    </row>
    <row r="268" spans="3:16" x14ac:dyDescent="0.25">
      <c r="C268" s="5"/>
      <c r="P268" t="s">
        <v>556</v>
      </c>
    </row>
    <row r="269" spans="3:16" x14ac:dyDescent="0.25">
      <c r="C269" s="5"/>
      <c r="P269" t="s">
        <v>557</v>
      </c>
    </row>
    <row r="270" spans="3:16" x14ac:dyDescent="0.25">
      <c r="C270" s="5"/>
      <c r="P270" t="s">
        <v>558</v>
      </c>
    </row>
    <row r="271" spans="3:16" x14ac:dyDescent="0.25">
      <c r="C271" s="5"/>
      <c r="P271" t="s">
        <v>559</v>
      </c>
    </row>
    <row r="272" spans="3:16" x14ac:dyDescent="0.25">
      <c r="C272" s="5"/>
      <c r="P272" t="s">
        <v>560</v>
      </c>
    </row>
    <row r="273" spans="3:16" x14ac:dyDescent="0.25">
      <c r="C273" s="5"/>
      <c r="P273" t="s">
        <v>561</v>
      </c>
    </row>
    <row r="274" spans="3:16" x14ac:dyDescent="0.25">
      <c r="C274" s="5"/>
      <c r="P274" t="s">
        <v>562</v>
      </c>
    </row>
    <row r="275" spans="3:16" x14ac:dyDescent="0.25">
      <c r="C275" s="5"/>
      <c r="P275" t="s">
        <v>563</v>
      </c>
    </row>
    <row r="276" spans="3:16" x14ac:dyDescent="0.25">
      <c r="C276" s="5"/>
      <c r="P276" t="s">
        <v>564</v>
      </c>
    </row>
    <row r="277" spans="3:16" x14ac:dyDescent="0.25">
      <c r="C277" s="5"/>
      <c r="P277" t="s">
        <v>565</v>
      </c>
    </row>
    <row r="278" spans="3:16" x14ac:dyDescent="0.25">
      <c r="C278" s="5"/>
      <c r="P278" t="s">
        <v>566</v>
      </c>
    </row>
    <row r="279" spans="3:16" x14ac:dyDescent="0.25">
      <c r="C279" s="5"/>
      <c r="P279" t="s">
        <v>567</v>
      </c>
    </row>
    <row r="280" spans="3:16" x14ac:dyDescent="0.25">
      <c r="C280" s="5"/>
      <c r="P280" t="s">
        <v>568</v>
      </c>
    </row>
    <row r="281" spans="3:16" x14ac:dyDescent="0.25">
      <c r="C281" s="5"/>
      <c r="P281" t="s">
        <v>569</v>
      </c>
    </row>
    <row r="282" spans="3:16" x14ac:dyDescent="0.25">
      <c r="C282" s="5"/>
      <c r="P282" t="s">
        <v>570</v>
      </c>
    </row>
    <row r="283" spans="3:16" x14ac:dyDescent="0.25">
      <c r="C283" s="5"/>
      <c r="P283" t="s">
        <v>571</v>
      </c>
    </row>
    <row r="284" spans="3:16" x14ac:dyDescent="0.25">
      <c r="C284" s="5"/>
      <c r="P284" t="s">
        <v>572</v>
      </c>
    </row>
    <row r="285" spans="3:16" x14ac:dyDescent="0.25">
      <c r="C285" s="5"/>
      <c r="P285" t="s">
        <v>573</v>
      </c>
    </row>
    <row r="286" spans="3:16" x14ac:dyDescent="0.25">
      <c r="C286" s="5"/>
      <c r="P286" t="s">
        <v>574</v>
      </c>
    </row>
    <row r="287" spans="3:16" x14ac:dyDescent="0.25">
      <c r="C287" s="5"/>
      <c r="P287" t="s">
        <v>575</v>
      </c>
    </row>
    <row r="288" spans="3:16" x14ac:dyDescent="0.25">
      <c r="C288" s="5"/>
      <c r="P288" t="s">
        <v>576</v>
      </c>
    </row>
    <row r="289" spans="3:16" x14ac:dyDescent="0.25">
      <c r="C289" s="5"/>
      <c r="P289" t="s">
        <v>577</v>
      </c>
    </row>
    <row r="290" spans="3:16" x14ac:dyDescent="0.25">
      <c r="C290" s="5"/>
      <c r="P290" t="s">
        <v>578</v>
      </c>
    </row>
    <row r="291" spans="3:16" x14ac:dyDescent="0.25">
      <c r="C291" s="5"/>
      <c r="P291" t="s">
        <v>579</v>
      </c>
    </row>
    <row r="292" spans="3:16" x14ac:dyDescent="0.25">
      <c r="C292" s="5"/>
      <c r="P292" t="s">
        <v>580</v>
      </c>
    </row>
    <row r="293" spans="3:16" x14ac:dyDescent="0.25">
      <c r="C293" s="5"/>
      <c r="P293" t="s">
        <v>581</v>
      </c>
    </row>
    <row r="294" spans="3:16" x14ac:dyDescent="0.25">
      <c r="C294" s="5"/>
      <c r="P294" t="s">
        <v>582</v>
      </c>
    </row>
    <row r="295" spans="3:16" x14ac:dyDescent="0.25">
      <c r="C295" s="5"/>
      <c r="P295" t="s">
        <v>583</v>
      </c>
    </row>
    <row r="296" spans="3:16" x14ac:dyDescent="0.25">
      <c r="C296" s="5"/>
      <c r="P296" t="s">
        <v>584</v>
      </c>
    </row>
    <row r="297" spans="3:16" x14ac:dyDescent="0.25">
      <c r="C297" s="5"/>
      <c r="P297" t="s">
        <v>585</v>
      </c>
    </row>
    <row r="298" spans="3:16" x14ac:dyDescent="0.25">
      <c r="C298" s="5"/>
      <c r="P298" t="s">
        <v>586</v>
      </c>
    </row>
    <row r="299" spans="3:16" x14ac:dyDescent="0.25">
      <c r="C299" s="5"/>
      <c r="P299" t="s">
        <v>587</v>
      </c>
    </row>
    <row r="300" spans="3:16" x14ac:dyDescent="0.25">
      <c r="C300" s="5"/>
      <c r="P300" t="s">
        <v>588</v>
      </c>
    </row>
    <row r="301" spans="3:16" x14ac:dyDescent="0.25">
      <c r="C301" s="5"/>
      <c r="P301" t="s">
        <v>589</v>
      </c>
    </row>
    <row r="302" spans="3:16" x14ac:dyDescent="0.25">
      <c r="C302" s="5"/>
      <c r="P302" t="s">
        <v>590</v>
      </c>
    </row>
    <row r="303" spans="3:16" x14ac:dyDescent="0.25">
      <c r="C303" s="5"/>
      <c r="P303" t="s">
        <v>591</v>
      </c>
    </row>
    <row r="304" spans="3:16" x14ac:dyDescent="0.25">
      <c r="C304" s="5"/>
      <c r="P304" t="s">
        <v>592</v>
      </c>
    </row>
    <row r="305" spans="3:16" x14ac:dyDescent="0.25">
      <c r="C305" s="5"/>
      <c r="P305" t="s">
        <v>593</v>
      </c>
    </row>
    <row r="306" spans="3:16" x14ac:dyDescent="0.25">
      <c r="C306" s="5"/>
      <c r="P306" t="s">
        <v>594</v>
      </c>
    </row>
    <row r="307" spans="3:16" x14ac:dyDescent="0.25">
      <c r="C307" s="5"/>
      <c r="P307" t="s">
        <v>595</v>
      </c>
    </row>
    <row r="308" spans="3:16" x14ac:dyDescent="0.25">
      <c r="C308" s="5"/>
      <c r="P308" t="s">
        <v>596</v>
      </c>
    </row>
    <row r="309" spans="3:16" x14ac:dyDescent="0.25">
      <c r="C309" s="5"/>
      <c r="P309" t="s">
        <v>597</v>
      </c>
    </row>
    <row r="310" spans="3:16" x14ac:dyDescent="0.25">
      <c r="C310" s="5"/>
      <c r="P310" t="s">
        <v>598</v>
      </c>
    </row>
    <row r="311" spans="3:16" x14ac:dyDescent="0.25">
      <c r="C311" s="5"/>
      <c r="P311" t="s">
        <v>599</v>
      </c>
    </row>
    <row r="312" spans="3:16" x14ac:dyDescent="0.25">
      <c r="C312" s="5"/>
      <c r="P312" t="s">
        <v>600</v>
      </c>
    </row>
    <row r="313" spans="3:16" x14ac:dyDescent="0.25">
      <c r="C313" s="5"/>
      <c r="P313" t="s">
        <v>601</v>
      </c>
    </row>
    <row r="314" spans="3:16" x14ac:dyDescent="0.25">
      <c r="C314" s="5"/>
      <c r="P314" t="s">
        <v>602</v>
      </c>
    </row>
    <row r="315" spans="3:16" x14ac:dyDescent="0.25">
      <c r="C315" s="5"/>
      <c r="P315" t="s">
        <v>603</v>
      </c>
    </row>
    <row r="316" spans="3:16" x14ac:dyDescent="0.25">
      <c r="C316" s="5"/>
      <c r="P316" t="s">
        <v>604</v>
      </c>
    </row>
    <row r="317" spans="3:16" x14ac:dyDescent="0.25">
      <c r="C317" s="5"/>
      <c r="P317" t="s">
        <v>605</v>
      </c>
    </row>
    <row r="318" spans="3:16" x14ac:dyDescent="0.25">
      <c r="C318" s="5"/>
      <c r="P318" t="s">
        <v>606</v>
      </c>
    </row>
    <row r="319" spans="3:16" x14ac:dyDescent="0.25">
      <c r="C319" s="5"/>
      <c r="P319" t="s">
        <v>607</v>
      </c>
    </row>
    <row r="320" spans="3:16" x14ac:dyDescent="0.25">
      <c r="C320" s="5"/>
      <c r="P320" t="s">
        <v>608</v>
      </c>
    </row>
    <row r="321" spans="3:16" x14ac:dyDescent="0.25">
      <c r="C321" s="5"/>
      <c r="P321" t="s">
        <v>609</v>
      </c>
    </row>
    <row r="322" spans="3:16" x14ac:dyDescent="0.25">
      <c r="C322" s="5"/>
      <c r="P322" t="s">
        <v>610</v>
      </c>
    </row>
    <row r="323" spans="3:16" x14ac:dyDescent="0.25">
      <c r="C323" s="5"/>
      <c r="P323" t="s">
        <v>611</v>
      </c>
    </row>
    <row r="324" spans="3:16" x14ac:dyDescent="0.25">
      <c r="C324" s="5"/>
      <c r="P324" t="s">
        <v>612</v>
      </c>
    </row>
    <row r="325" spans="3:16" x14ac:dyDescent="0.25">
      <c r="C325" s="5"/>
      <c r="P325" t="s">
        <v>613</v>
      </c>
    </row>
    <row r="326" spans="3:16" x14ac:dyDescent="0.25">
      <c r="C326" s="5"/>
      <c r="P326" t="s">
        <v>614</v>
      </c>
    </row>
    <row r="327" spans="3:16" x14ac:dyDescent="0.25">
      <c r="C327" s="5"/>
      <c r="P327" t="s">
        <v>615</v>
      </c>
    </row>
    <row r="328" spans="3:16" x14ac:dyDescent="0.25">
      <c r="C328" s="5"/>
      <c r="P328" t="s">
        <v>616</v>
      </c>
    </row>
    <row r="329" spans="3:16" x14ac:dyDescent="0.25">
      <c r="C329" s="5"/>
      <c r="P329" t="s">
        <v>617</v>
      </c>
    </row>
    <row r="330" spans="3:16" x14ac:dyDescent="0.25">
      <c r="C330" s="5"/>
      <c r="P330" t="s">
        <v>618</v>
      </c>
    </row>
    <row r="331" spans="3:16" x14ac:dyDescent="0.25">
      <c r="C331" s="5"/>
      <c r="P331" t="s">
        <v>619</v>
      </c>
    </row>
    <row r="332" spans="3:16" x14ac:dyDescent="0.25">
      <c r="C332" s="5"/>
      <c r="P332" t="s">
        <v>620</v>
      </c>
    </row>
    <row r="333" spans="3:16" x14ac:dyDescent="0.25">
      <c r="C333" s="5"/>
      <c r="P333" t="s">
        <v>621</v>
      </c>
    </row>
    <row r="334" spans="3:16" x14ac:dyDescent="0.25">
      <c r="C334" s="5"/>
      <c r="P334" t="s">
        <v>622</v>
      </c>
    </row>
    <row r="335" spans="3:16" x14ac:dyDescent="0.25">
      <c r="C335" s="5"/>
      <c r="P335" t="s">
        <v>623</v>
      </c>
    </row>
    <row r="336" spans="3:16" x14ac:dyDescent="0.25">
      <c r="C336" s="5"/>
      <c r="P336" t="s">
        <v>624</v>
      </c>
    </row>
    <row r="337" spans="3:16" x14ac:dyDescent="0.25">
      <c r="C337" s="5"/>
      <c r="P337" t="s">
        <v>625</v>
      </c>
    </row>
    <row r="338" spans="3:16" x14ac:dyDescent="0.25">
      <c r="C338" s="5"/>
      <c r="P338" t="s">
        <v>626</v>
      </c>
    </row>
    <row r="339" spans="3:16" x14ac:dyDescent="0.25">
      <c r="C339" s="5"/>
      <c r="P339" t="s">
        <v>627</v>
      </c>
    </row>
    <row r="340" spans="3:16" x14ac:dyDescent="0.25">
      <c r="C340" s="5"/>
      <c r="P340" t="s">
        <v>628</v>
      </c>
    </row>
    <row r="341" spans="3:16" x14ac:dyDescent="0.25">
      <c r="C341" s="5"/>
      <c r="P341" t="s">
        <v>629</v>
      </c>
    </row>
    <row r="342" spans="3:16" x14ac:dyDescent="0.25">
      <c r="C342" s="5"/>
      <c r="P342" t="s">
        <v>630</v>
      </c>
    </row>
    <row r="343" spans="3:16" x14ac:dyDescent="0.25">
      <c r="C343" s="5"/>
      <c r="P343" t="s">
        <v>631</v>
      </c>
    </row>
    <row r="344" spans="3:16" x14ac:dyDescent="0.25">
      <c r="C344" s="5"/>
      <c r="P344" t="s">
        <v>632</v>
      </c>
    </row>
    <row r="345" spans="3:16" x14ac:dyDescent="0.25">
      <c r="C345" s="5"/>
      <c r="P345" t="s">
        <v>633</v>
      </c>
    </row>
    <row r="346" spans="3:16" x14ac:dyDescent="0.25">
      <c r="C346" s="5"/>
      <c r="P346" t="s">
        <v>634</v>
      </c>
    </row>
    <row r="347" spans="3:16" x14ac:dyDescent="0.25">
      <c r="C347" s="5"/>
      <c r="P347" t="s">
        <v>635</v>
      </c>
    </row>
    <row r="348" spans="3:16" x14ac:dyDescent="0.25">
      <c r="C348" s="5"/>
      <c r="P348" t="s">
        <v>636</v>
      </c>
    </row>
    <row r="349" spans="3:16" x14ac:dyDescent="0.25">
      <c r="C349" s="5"/>
      <c r="P349" t="s">
        <v>637</v>
      </c>
    </row>
    <row r="350" spans="3:16" x14ac:dyDescent="0.25">
      <c r="C350" s="5"/>
      <c r="P350" t="s">
        <v>638</v>
      </c>
    </row>
    <row r="351" spans="3:16" x14ac:dyDescent="0.25">
      <c r="C351" s="5"/>
      <c r="P351" t="s">
        <v>639</v>
      </c>
    </row>
    <row r="352" spans="3:16" x14ac:dyDescent="0.25">
      <c r="C352" s="5"/>
      <c r="P352" t="s">
        <v>640</v>
      </c>
    </row>
    <row r="353" spans="3:16" x14ac:dyDescent="0.25">
      <c r="C353" s="5"/>
      <c r="P353" t="s">
        <v>641</v>
      </c>
    </row>
    <row r="354" spans="3:16" x14ac:dyDescent="0.25">
      <c r="C354" s="5"/>
      <c r="P354" t="s">
        <v>642</v>
      </c>
    </row>
    <row r="355" spans="3:16" x14ac:dyDescent="0.25">
      <c r="C355" s="5"/>
      <c r="P355" t="s">
        <v>643</v>
      </c>
    </row>
    <row r="356" spans="3:16" x14ac:dyDescent="0.25">
      <c r="C356" s="5"/>
      <c r="P356" t="s">
        <v>644</v>
      </c>
    </row>
    <row r="357" spans="3:16" x14ac:dyDescent="0.25">
      <c r="C357" s="5"/>
      <c r="P357" t="s">
        <v>645</v>
      </c>
    </row>
    <row r="358" spans="3:16" x14ac:dyDescent="0.25">
      <c r="C358" s="5"/>
      <c r="P358" t="s">
        <v>646</v>
      </c>
    </row>
    <row r="359" spans="3:16" x14ac:dyDescent="0.25">
      <c r="C359" s="5"/>
      <c r="P359" t="s">
        <v>647</v>
      </c>
    </row>
    <row r="360" spans="3:16" x14ac:dyDescent="0.25">
      <c r="C360" s="5"/>
      <c r="P360" t="s">
        <v>648</v>
      </c>
    </row>
    <row r="361" spans="3:16" x14ac:dyDescent="0.25">
      <c r="C361" s="5"/>
      <c r="P361" t="s">
        <v>649</v>
      </c>
    </row>
    <row r="362" spans="3:16" x14ac:dyDescent="0.25">
      <c r="C362" s="5"/>
      <c r="P362" t="s">
        <v>650</v>
      </c>
    </row>
    <row r="363" spans="3:16" x14ac:dyDescent="0.25">
      <c r="C363" s="5"/>
      <c r="P363" t="s">
        <v>651</v>
      </c>
    </row>
    <row r="364" spans="3:16" x14ac:dyDescent="0.25">
      <c r="C364" s="5"/>
      <c r="P364" t="s">
        <v>652</v>
      </c>
    </row>
    <row r="365" spans="3:16" x14ac:dyDescent="0.25">
      <c r="C365" s="5"/>
      <c r="P365" t="s">
        <v>653</v>
      </c>
    </row>
    <row r="366" spans="3:16" x14ac:dyDescent="0.25">
      <c r="C366" s="5"/>
      <c r="P366" t="s">
        <v>654</v>
      </c>
    </row>
    <row r="367" spans="3:16" x14ac:dyDescent="0.25">
      <c r="C367" s="5"/>
      <c r="P367" t="s">
        <v>655</v>
      </c>
    </row>
    <row r="368" spans="3:16" x14ac:dyDescent="0.25">
      <c r="C368" s="5"/>
      <c r="P368" t="s">
        <v>656</v>
      </c>
    </row>
    <row r="369" spans="3:16" x14ac:dyDescent="0.25">
      <c r="C369" s="5"/>
      <c r="P369" t="s">
        <v>657</v>
      </c>
    </row>
    <row r="370" spans="3:16" x14ac:dyDescent="0.25">
      <c r="C370" s="5"/>
      <c r="P370" t="s">
        <v>658</v>
      </c>
    </row>
    <row r="371" spans="3:16" x14ac:dyDescent="0.25">
      <c r="C371" s="5"/>
      <c r="P371" t="s">
        <v>659</v>
      </c>
    </row>
    <row r="372" spans="3:16" x14ac:dyDescent="0.25">
      <c r="C372" s="5"/>
      <c r="P372" t="s">
        <v>660</v>
      </c>
    </row>
    <row r="373" spans="3:16" x14ac:dyDescent="0.25">
      <c r="C373" s="5"/>
      <c r="P373" t="s">
        <v>661</v>
      </c>
    </row>
    <row r="374" spans="3:16" x14ac:dyDescent="0.25">
      <c r="C374" s="5"/>
      <c r="P374" t="s">
        <v>662</v>
      </c>
    </row>
    <row r="375" spans="3:16" x14ac:dyDescent="0.25">
      <c r="C375" s="5"/>
      <c r="P375" t="s">
        <v>663</v>
      </c>
    </row>
    <row r="376" spans="3:16" x14ac:dyDescent="0.25">
      <c r="C376" s="5"/>
      <c r="P376" t="s">
        <v>664</v>
      </c>
    </row>
    <row r="377" spans="3:16" x14ac:dyDescent="0.25">
      <c r="C377" s="5"/>
      <c r="P377" t="s">
        <v>665</v>
      </c>
    </row>
    <row r="378" spans="3:16" x14ac:dyDescent="0.25">
      <c r="C378" s="5"/>
      <c r="P378" t="s">
        <v>666</v>
      </c>
    </row>
    <row r="379" spans="3:16" x14ac:dyDescent="0.25">
      <c r="C379" s="5"/>
      <c r="P379" t="s">
        <v>667</v>
      </c>
    </row>
    <row r="380" spans="3:16" x14ac:dyDescent="0.25">
      <c r="C380" s="5"/>
      <c r="P380" t="s">
        <v>668</v>
      </c>
    </row>
    <row r="381" spans="3:16" x14ac:dyDescent="0.25">
      <c r="C381" s="5"/>
      <c r="P381" t="s">
        <v>669</v>
      </c>
    </row>
    <row r="382" spans="3:16" x14ac:dyDescent="0.25">
      <c r="C382" s="5"/>
      <c r="P382" t="s">
        <v>670</v>
      </c>
    </row>
    <row r="383" spans="3:16" x14ac:dyDescent="0.25">
      <c r="C383" s="5"/>
      <c r="P383" t="s">
        <v>671</v>
      </c>
    </row>
    <row r="384" spans="3:16" x14ac:dyDescent="0.25">
      <c r="C384" s="5"/>
      <c r="P384" t="s">
        <v>672</v>
      </c>
    </row>
    <row r="385" spans="3:16" x14ac:dyDescent="0.25">
      <c r="C385" s="5"/>
      <c r="P385" t="s">
        <v>673</v>
      </c>
    </row>
    <row r="386" spans="3:16" x14ac:dyDescent="0.25">
      <c r="C386" s="5"/>
      <c r="P386" t="s">
        <v>674</v>
      </c>
    </row>
    <row r="387" spans="3:16" x14ac:dyDescent="0.25">
      <c r="C387" s="5"/>
      <c r="P387" t="s">
        <v>675</v>
      </c>
    </row>
    <row r="388" spans="3:16" x14ac:dyDescent="0.25">
      <c r="C388" s="5"/>
      <c r="P388" t="s">
        <v>676</v>
      </c>
    </row>
    <row r="389" spans="3:16" x14ac:dyDescent="0.25">
      <c r="C389" s="5"/>
      <c r="P389" t="s">
        <v>677</v>
      </c>
    </row>
    <row r="390" spans="3:16" x14ac:dyDescent="0.25">
      <c r="C390" s="5"/>
      <c r="P390" t="s">
        <v>678</v>
      </c>
    </row>
    <row r="391" spans="3:16" x14ac:dyDescent="0.25">
      <c r="C391" s="5"/>
      <c r="P391" t="s">
        <v>679</v>
      </c>
    </row>
    <row r="392" spans="3:16" x14ac:dyDescent="0.25">
      <c r="C392" s="5"/>
      <c r="P392" t="s">
        <v>680</v>
      </c>
    </row>
    <row r="393" spans="3:16" x14ac:dyDescent="0.25">
      <c r="C393" s="5"/>
      <c r="P393" t="s">
        <v>681</v>
      </c>
    </row>
    <row r="394" spans="3:16" x14ac:dyDescent="0.25">
      <c r="C394" s="5"/>
      <c r="P394" t="s">
        <v>682</v>
      </c>
    </row>
    <row r="395" spans="3:16" x14ac:dyDescent="0.25">
      <c r="C395" s="5"/>
      <c r="P395" t="s">
        <v>683</v>
      </c>
    </row>
    <row r="396" spans="3:16" x14ac:dyDescent="0.25">
      <c r="C396" s="5"/>
      <c r="P396" t="s">
        <v>684</v>
      </c>
    </row>
    <row r="397" spans="3:16" x14ac:dyDescent="0.25">
      <c r="C397" s="5"/>
      <c r="P397" t="s">
        <v>685</v>
      </c>
    </row>
    <row r="398" spans="3:16" x14ac:dyDescent="0.25">
      <c r="C398" s="5"/>
      <c r="P398" t="s">
        <v>686</v>
      </c>
    </row>
    <row r="399" spans="3:16" x14ac:dyDescent="0.25">
      <c r="C399" s="5"/>
      <c r="P399" t="s">
        <v>687</v>
      </c>
    </row>
    <row r="400" spans="3:16" x14ac:dyDescent="0.25">
      <c r="C400" s="5"/>
      <c r="P400" t="s">
        <v>688</v>
      </c>
    </row>
    <row r="401" spans="3:16" x14ac:dyDescent="0.25">
      <c r="C401" s="5"/>
      <c r="P401" t="s">
        <v>689</v>
      </c>
    </row>
    <row r="402" spans="3:16" x14ac:dyDescent="0.25">
      <c r="C402" s="5"/>
      <c r="P402" t="s">
        <v>690</v>
      </c>
    </row>
    <row r="403" spans="3:16" x14ac:dyDescent="0.25">
      <c r="C403" s="5"/>
      <c r="P403" t="s">
        <v>691</v>
      </c>
    </row>
    <row r="404" spans="3:16" x14ac:dyDescent="0.25">
      <c r="C404" s="5"/>
      <c r="P404" t="s">
        <v>692</v>
      </c>
    </row>
    <row r="405" spans="3:16" x14ac:dyDescent="0.25">
      <c r="C405" s="5"/>
      <c r="P405" t="s">
        <v>693</v>
      </c>
    </row>
    <row r="406" spans="3:16" x14ac:dyDescent="0.25">
      <c r="C406" s="5"/>
      <c r="P406" t="s">
        <v>694</v>
      </c>
    </row>
    <row r="407" spans="3:16" x14ac:dyDescent="0.25">
      <c r="C407" s="5"/>
      <c r="P407" t="s">
        <v>695</v>
      </c>
    </row>
    <row r="408" spans="3:16" x14ac:dyDescent="0.25">
      <c r="C408" s="5"/>
      <c r="P408" t="s">
        <v>696</v>
      </c>
    </row>
    <row r="409" spans="3:16" x14ac:dyDescent="0.25">
      <c r="C409" s="5"/>
      <c r="P409" t="s">
        <v>697</v>
      </c>
    </row>
    <row r="410" spans="3:16" x14ac:dyDescent="0.25">
      <c r="C410" s="5"/>
      <c r="P410" t="s">
        <v>698</v>
      </c>
    </row>
    <row r="411" spans="3:16" x14ac:dyDescent="0.25">
      <c r="C411" s="5"/>
      <c r="P411" t="s">
        <v>699</v>
      </c>
    </row>
    <row r="412" spans="3:16" x14ac:dyDescent="0.25">
      <c r="C412" s="5"/>
      <c r="P412" t="s">
        <v>700</v>
      </c>
    </row>
    <row r="413" spans="3:16" x14ac:dyDescent="0.25">
      <c r="C413" s="5"/>
      <c r="P413" t="s">
        <v>22</v>
      </c>
    </row>
    <row r="414" spans="3:16" x14ac:dyDescent="0.25">
      <c r="C414" s="5"/>
      <c r="P414" t="s">
        <v>701</v>
      </c>
    </row>
    <row r="415" spans="3:16" x14ac:dyDescent="0.25">
      <c r="C415" s="5"/>
      <c r="P415" t="s">
        <v>702</v>
      </c>
    </row>
    <row r="416" spans="3:16" x14ac:dyDescent="0.25">
      <c r="C416" s="5"/>
      <c r="P416" t="s">
        <v>703</v>
      </c>
    </row>
    <row r="417" spans="3:16" x14ac:dyDescent="0.25">
      <c r="C417" s="5"/>
      <c r="P417" t="s">
        <v>704</v>
      </c>
    </row>
    <row r="418" spans="3:16" x14ac:dyDescent="0.25">
      <c r="C418" s="5"/>
      <c r="P418" t="s">
        <v>705</v>
      </c>
    </row>
    <row r="419" spans="3:16" x14ac:dyDescent="0.25">
      <c r="C419" s="5"/>
      <c r="P419" t="s">
        <v>706</v>
      </c>
    </row>
    <row r="420" spans="3:16" x14ac:dyDescent="0.25">
      <c r="C420" s="5"/>
      <c r="P420" t="s">
        <v>707</v>
      </c>
    </row>
    <row r="421" spans="3:16" x14ac:dyDescent="0.25">
      <c r="C421" s="5"/>
      <c r="P421" t="s">
        <v>708</v>
      </c>
    </row>
    <row r="422" spans="3:16" x14ac:dyDescent="0.25">
      <c r="C422" s="5"/>
      <c r="P422" t="s">
        <v>709</v>
      </c>
    </row>
    <row r="423" spans="3:16" x14ac:dyDescent="0.25">
      <c r="C423" s="5"/>
      <c r="P423" t="s">
        <v>710</v>
      </c>
    </row>
    <row r="424" spans="3:16" x14ac:dyDescent="0.25">
      <c r="C424" s="5"/>
      <c r="P424" t="s">
        <v>711</v>
      </c>
    </row>
    <row r="425" spans="3:16" x14ac:dyDescent="0.25">
      <c r="C425" s="5"/>
      <c r="P425" t="s">
        <v>23</v>
      </c>
    </row>
    <row r="426" spans="3:16" x14ac:dyDescent="0.25">
      <c r="C426" s="5"/>
      <c r="P426" t="s">
        <v>712</v>
      </c>
    </row>
    <row r="427" spans="3:16" x14ac:dyDescent="0.25">
      <c r="C427" s="5"/>
      <c r="P427" t="s">
        <v>713</v>
      </c>
    </row>
    <row r="428" spans="3:16" x14ac:dyDescent="0.25">
      <c r="C428" s="5"/>
      <c r="P428" t="s">
        <v>714</v>
      </c>
    </row>
    <row r="429" spans="3:16" x14ac:dyDescent="0.25">
      <c r="C429" s="5"/>
      <c r="P429" t="s">
        <v>715</v>
      </c>
    </row>
    <row r="430" spans="3:16" x14ac:dyDescent="0.25">
      <c r="C430" s="5"/>
      <c r="P430" t="s">
        <v>716</v>
      </c>
    </row>
    <row r="431" spans="3:16" x14ac:dyDescent="0.25">
      <c r="C431" s="5"/>
      <c r="P431" t="s">
        <v>717</v>
      </c>
    </row>
    <row r="432" spans="3:16" x14ac:dyDescent="0.25">
      <c r="C432" s="5"/>
      <c r="P432" t="s">
        <v>718</v>
      </c>
    </row>
    <row r="433" spans="3:16" x14ac:dyDescent="0.25">
      <c r="C433" s="5"/>
      <c r="P433" t="s">
        <v>719</v>
      </c>
    </row>
    <row r="434" spans="3:16" x14ac:dyDescent="0.25">
      <c r="C434" s="5"/>
      <c r="P434" t="s">
        <v>720</v>
      </c>
    </row>
    <row r="435" spans="3:16" x14ac:dyDescent="0.25">
      <c r="C435" s="5"/>
      <c r="P435" t="s">
        <v>721</v>
      </c>
    </row>
    <row r="436" spans="3:16" x14ac:dyDescent="0.25">
      <c r="C436" s="5"/>
      <c r="P436" t="s">
        <v>722</v>
      </c>
    </row>
    <row r="437" spans="3:16" x14ac:dyDescent="0.25">
      <c r="C437" s="5"/>
      <c r="P437" t="s">
        <v>723</v>
      </c>
    </row>
    <row r="438" spans="3:16" x14ac:dyDescent="0.25">
      <c r="C438" s="5"/>
      <c r="P438" t="s">
        <v>724</v>
      </c>
    </row>
    <row r="439" spans="3:16" x14ac:dyDescent="0.25">
      <c r="C439" s="5"/>
      <c r="P439" t="s">
        <v>725</v>
      </c>
    </row>
    <row r="440" spans="3:16" x14ac:dyDescent="0.25">
      <c r="C440" s="5"/>
      <c r="P440" t="s">
        <v>726</v>
      </c>
    </row>
    <row r="441" spans="3:16" x14ac:dyDescent="0.25">
      <c r="C441" s="5"/>
      <c r="P441" t="s">
        <v>727</v>
      </c>
    </row>
    <row r="442" spans="3:16" x14ac:dyDescent="0.25">
      <c r="C442" s="5"/>
      <c r="P442" t="s">
        <v>728</v>
      </c>
    </row>
    <row r="443" spans="3:16" x14ac:dyDescent="0.25">
      <c r="C443" s="5"/>
      <c r="P443" t="s">
        <v>729</v>
      </c>
    </row>
    <row r="444" spans="3:16" x14ac:dyDescent="0.25">
      <c r="C444" s="5"/>
      <c r="P444" t="s">
        <v>730</v>
      </c>
    </row>
    <row r="445" spans="3:16" x14ac:dyDescent="0.25">
      <c r="C445" s="5"/>
      <c r="P445" t="s">
        <v>731</v>
      </c>
    </row>
    <row r="446" spans="3:16" x14ac:dyDescent="0.25">
      <c r="C446" s="5"/>
      <c r="P446" t="s">
        <v>732</v>
      </c>
    </row>
    <row r="447" spans="3:16" x14ac:dyDescent="0.25">
      <c r="C447" s="5"/>
      <c r="P447" t="s">
        <v>733</v>
      </c>
    </row>
    <row r="448" spans="3:16" x14ac:dyDescent="0.25">
      <c r="C448" s="5"/>
      <c r="P448" t="s">
        <v>734</v>
      </c>
    </row>
    <row r="449" spans="3:16" x14ac:dyDescent="0.25">
      <c r="C449" s="5"/>
      <c r="P449" t="s">
        <v>735</v>
      </c>
    </row>
    <row r="450" spans="3:16" x14ac:dyDescent="0.25">
      <c r="C450" s="5"/>
      <c r="P450" t="s">
        <v>736</v>
      </c>
    </row>
    <row r="451" spans="3:16" x14ac:dyDescent="0.25">
      <c r="C451" s="5"/>
      <c r="P451" t="s">
        <v>737</v>
      </c>
    </row>
    <row r="452" spans="3:16" x14ac:dyDescent="0.25">
      <c r="C452" s="5"/>
      <c r="P452" t="s">
        <v>738</v>
      </c>
    </row>
    <row r="453" spans="3:16" x14ac:dyDescent="0.25">
      <c r="C453" s="5"/>
      <c r="P453" t="s">
        <v>739</v>
      </c>
    </row>
    <row r="454" spans="3:16" x14ac:dyDescent="0.25">
      <c r="C454" s="5"/>
      <c r="P454" t="s">
        <v>740</v>
      </c>
    </row>
    <row r="455" spans="3:16" x14ac:dyDescent="0.25">
      <c r="C455" s="5"/>
      <c r="P455" t="s">
        <v>741</v>
      </c>
    </row>
    <row r="456" spans="3:16" x14ac:dyDescent="0.25">
      <c r="C456" s="5"/>
      <c r="P456" t="s">
        <v>742</v>
      </c>
    </row>
    <row r="457" spans="3:16" x14ac:dyDescent="0.25">
      <c r="C457" s="5"/>
      <c r="P457" t="s">
        <v>743</v>
      </c>
    </row>
    <row r="458" spans="3:16" x14ac:dyDescent="0.25">
      <c r="C458" s="5"/>
      <c r="P458" t="s">
        <v>744</v>
      </c>
    </row>
    <row r="459" spans="3:16" x14ac:dyDescent="0.25">
      <c r="C459" s="5"/>
      <c r="P459" t="s">
        <v>745</v>
      </c>
    </row>
    <row r="460" spans="3:16" x14ac:dyDescent="0.25">
      <c r="C460" s="5"/>
      <c r="P460" t="s">
        <v>746</v>
      </c>
    </row>
    <row r="461" spans="3:16" x14ac:dyDescent="0.25">
      <c r="C461" s="5"/>
      <c r="P461" t="s">
        <v>747</v>
      </c>
    </row>
    <row r="462" spans="3:16" x14ac:dyDescent="0.25">
      <c r="C462" s="5"/>
      <c r="P462" t="s">
        <v>748</v>
      </c>
    </row>
    <row r="463" spans="3:16" x14ac:dyDescent="0.25">
      <c r="C463" s="5"/>
      <c r="P463" t="s">
        <v>749</v>
      </c>
    </row>
    <row r="464" spans="3:16" x14ac:dyDescent="0.25">
      <c r="C464" s="5"/>
      <c r="P464" t="s">
        <v>750</v>
      </c>
    </row>
    <row r="465" spans="3:16" x14ac:dyDescent="0.25">
      <c r="C465" s="5"/>
      <c r="P465" t="s">
        <v>751</v>
      </c>
    </row>
    <row r="466" spans="3:16" x14ac:dyDescent="0.25">
      <c r="C466" s="5"/>
      <c r="P466" t="s">
        <v>752</v>
      </c>
    </row>
    <row r="467" spans="3:16" x14ac:dyDescent="0.25">
      <c r="C467" s="5"/>
      <c r="P467" t="s">
        <v>753</v>
      </c>
    </row>
    <row r="468" spans="3:16" x14ac:dyDescent="0.25">
      <c r="C468" s="5"/>
      <c r="P468" t="s">
        <v>754</v>
      </c>
    </row>
    <row r="469" spans="3:16" x14ac:dyDescent="0.25">
      <c r="C469" s="5"/>
      <c r="P469" t="s">
        <v>755</v>
      </c>
    </row>
    <row r="470" spans="3:16" x14ac:dyDescent="0.25">
      <c r="C470" s="5"/>
      <c r="P470" t="s">
        <v>756</v>
      </c>
    </row>
    <row r="471" spans="3:16" x14ac:dyDescent="0.25">
      <c r="C471" s="5"/>
      <c r="P471" t="s">
        <v>757</v>
      </c>
    </row>
    <row r="472" spans="3:16" x14ac:dyDescent="0.25">
      <c r="C472" s="5"/>
      <c r="P472" t="s">
        <v>758</v>
      </c>
    </row>
    <row r="473" spans="3:16" x14ac:dyDescent="0.25">
      <c r="C473" s="5"/>
      <c r="P473" t="s">
        <v>759</v>
      </c>
    </row>
    <row r="474" spans="3:16" x14ac:dyDescent="0.25">
      <c r="C474" s="5"/>
      <c r="P474" t="s">
        <v>760</v>
      </c>
    </row>
    <row r="475" spans="3:16" x14ac:dyDescent="0.25">
      <c r="C475" s="5"/>
      <c r="P475" t="s">
        <v>761</v>
      </c>
    </row>
    <row r="476" spans="3:16" x14ac:dyDescent="0.25">
      <c r="C476" s="5"/>
      <c r="P476" t="s">
        <v>762</v>
      </c>
    </row>
    <row r="477" spans="3:16" x14ac:dyDescent="0.25">
      <c r="C477" s="5"/>
      <c r="P477" t="s">
        <v>763</v>
      </c>
    </row>
    <row r="478" spans="3:16" x14ac:dyDescent="0.25">
      <c r="C478" s="5"/>
      <c r="P478" t="s">
        <v>764</v>
      </c>
    </row>
    <row r="479" spans="3:16" x14ac:dyDescent="0.25">
      <c r="C479" s="5"/>
      <c r="P479" t="s">
        <v>765</v>
      </c>
    </row>
    <row r="480" spans="3:16" x14ac:dyDescent="0.25">
      <c r="C480" s="5"/>
      <c r="P480" t="s">
        <v>766</v>
      </c>
    </row>
    <row r="481" spans="3:16" x14ac:dyDescent="0.25">
      <c r="C481" s="5"/>
      <c r="P481" t="s">
        <v>767</v>
      </c>
    </row>
    <row r="482" spans="3:16" x14ac:dyDescent="0.25">
      <c r="C482" s="5"/>
      <c r="P482" t="s">
        <v>768</v>
      </c>
    </row>
    <row r="483" spans="3:16" x14ac:dyDescent="0.25">
      <c r="C483" s="5"/>
      <c r="P483" t="s">
        <v>769</v>
      </c>
    </row>
    <row r="484" spans="3:16" x14ac:dyDescent="0.25">
      <c r="C484" s="5"/>
      <c r="P484" t="s">
        <v>770</v>
      </c>
    </row>
    <row r="485" spans="3:16" x14ac:dyDescent="0.25">
      <c r="C485" s="5"/>
      <c r="P485" t="s">
        <v>771</v>
      </c>
    </row>
    <row r="486" spans="3:16" x14ac:dyDescent="0.25">
      <c r="C486" s="5"/>
      <c r="P486" t="s">
        <v>772</v>
      </c>
    </row>
    <row r="487" spans="3:16" x14ac:dyDescent="0.25">
      <c r="C487" s="5"/>
      <c r="P487" t="s">
        <v>773</v>
      </c>
    </row>
    <row r="488" spans="3:16" x14ac:dyDescent="0.25">
      <c r="C488" s="5"/>
      <c r="P488" t="s">
        <v>774</v>
      </c>
    </row>
    <row r="489" spans="3:16" x14ac:dyDescent="0.25">
      <c r="C489" s="5"/>
      <c r="P489" t="s">
        <v>775</v>
      </c>
    </row>
    <row r="490" spans="3:16" x14ac:dyDescent="0.25">
      <c r="C490" s="5"/>
      <c r="P490" t="s">
        <v>776</v>
      </c>
    </row>
    <row r="491" spans="3:16" x14ac:dyDescent="0.25">
      <c r="C491" s="5"/>
      <c r="P491" t="s">
        <v>777</v>
      </c>
    </row>
    <row r="492" spans="3:16" x14ac:dyDescent="0.25">
      <c r="C492" s="5"/>
      <c r="P492" t="s">
        <v>778</v>
      </c>
    </row>
    <row r="493" spans="3:16" x14ac:dyDescent="0.25">
      <c r="C493" s="5"/>
      <c r="P493" t="s">
        <v>779</v>
      </c>
    </row>
    <row r="494" spans="3:16" x14ac:dyDescent="0.25">
      <c r="C494" s="5"/>
      <c r="P494" t="s">
        <v>780</v>
      </c>
    </row>
    <row r="495" spans="3:16" x14ac:dyDescent="0.25">
      <c r="C495" s="5"/>
      <c r="P495" t="s">
        <v>781</v>
      </c>
    </row>
    <row r="496" spans="3:16" x14ac:dyDescent="0.25">
      <c r="C496" s="5"/>
      <c r="P496" t="s">
        <v>782</v>
      </c>
    </row>
    <row r="497" spans="3:16" x14ac:dyDescent="0.25">
      <c r="C497" s="5"/>
      <c r="P497" t="s">
        <v>783</v>
      </c>
    </row>
    <row r="498" spans="3:16" x14ac:dyDescent="0.25">
      <c r="C498" s="5"/>
      <c r="P498" t="s">
        <v>784</v>
      </c>
    </row>
    <row r="499" spans="3:16" x14ac:dyDescent="0.25">
      <c r="C499" s="5"/>
      <c r="P499" t="s">
        <v>785</v>
      </c>
    </row>
    <row r="500" spans="3:16" x14ac:dyDescent="0.25">
      <c r="C500" s="5"/>
      <c r="P500" t="s">
        <v>786</v>
      </c>
    </row>
    <row r="501" spans="3:16" x14ac:dyDescent="0.25">
      <c r="C501" s="5"/>
      <c r="P501" t="s">
        <v>787</v>
      </c>
    </row>
    <row r="502" spans="3:16" x14ac:dyDescent="0.25">
      <c r="C502" s="5"/>
      <c r="P502" t="s">
        <v>788</v>
      </c>
    </row>
    <row r="503" spans="3:16" x14ac:dyDescent="0.25">
      <c r="C503" s="5"/>
      <c r="P503" t="s">
        <v>789</v>
      </c>
    </row>
    <row r="504" spans="3:16" x14ac:dyDescent="0.25">
      <c r="C504" s="5"/>
      <c r="P504" t="s">
        <v>790</v>
      </c>
    </row>
    <row r="505" spans="3:16" x14ac:dyDescent="0.25">
      <c r="C505" s="5"/>
      <c r="P505" t="s">
        <v>791</v>
      </c>
    </row>
    <row r="506" spans="3:16" x14ac:dyDescent="0.25">
      <c r="C506" s="5"/>
      <c r="P506" t="s">
        <v>792</v>
      </c>
    </row>
    <row r="507" spans="3:16" x14ac:dyDescent="0.25">
      <c r="C507" s="5"/>
      <c r="P507" t="s">
        <v>793</v>
      </c>
    </row>
    <row r="508" spans="3:16" x14ac:dyDescent="0.25">
      <c r="C508" s="5"/>
      <c r="P508" t="s">
        <v>794</v>
      </c>
    </row>
    <row r="509" spans="3:16" x14ac:dyDescent="0.25">
      <c r="C509" s="5"/>
      <c r="P509" t="s">
        <v>795</v>
      </c>
    </row>
    <row r="510" spans="3:16" x14ac:dyDescent="0.25">
      <c r="C510" s="5"/>
      <c r="P510" t="s">
        <v>796</v>
      </c>
    </row>
    <row r="511" spans="3:16" x14ac:dyDescent="0.25">
      <c r="C511" s="5"/>
      <c r="P511" t="s">
        <v>797</v>
      </c>
    </row>
    <row r="512" spans="3:16" x14ac:dyDescent="0.25">
      <c r="C512" s="5"/>
      <c r="P512" t="s">
        <v>798</v>
      </c>
    </row>
    <row r="513" spans="3:16" x14ac:dyDescent="0.25">
      <c r="C513" s="5"/>
      <c r="P513" t="s">
        <v>799</v>
      </c>
    </row>
    <row r="514" spans="3:16" x14ac:dyDescent="0.25">
      <c r="C514" s="5"/>
      <c r="P514" t="s">
        <v>800</v>
      </c>
    </row>
    <row r="515" spans="3:16" x14ac:dyDescent="0.25">
      <c r="C515" s="5"/>
      <c r="P515" t="s">
        <v>801</v>
      </c>
    </row>
    <row r="516" spans="3:16" x14ac:dyDescent="0.25">
      <c r="C516" s="5"/>
      <c r="P516" t="s">
        <v>802</v>
      </c>
    </row>
    <row r="517" spans="3:16" x14ac:dyDescent="0.25">
      <c r="C517" s="5"/>
      <c r="P517" t="s">
        <v>803</v>
      </c>
    </row>
    <row r="518" spans="3:16" x14ac:dyDescent="0.25">
      <c r="C518" s="5"/>
      <c r="P518" t="s">
        <v>804</v>
      </c>
    </row>
    <row r="519" spans="3:16" x14ac:dyDescent="0.25">
      <c r="C519" s="5"/>
      <c r="P519" t="s">
        <v>805</v>
      </c>
    </row>
    <row r="520" spans="3:16" x14ac:dyDescent="0.25">
      <c r="C520" s="5"/>
      <c r="P520" t="s">
        <v>806</v>
      </c>
    </row>
    <row r="521" spans="3:16" x14ac:dyDescent="0.25">
      <c r="C521" s="5"/>
      <c r="P521" t="s">
        <v>807</v>
      </c>
    </row>
    <row r="522" spans="3:16" x14ac:dyDescent="0.25">
      <c r="C522" s="5"/>
      <c r="P522" t="s">
        <v>808</v>
      </c>
    </row>
    <row r="523" spans="3:16" x14ac:dyDescent="0.25">
      <c r="C523" s="5"/>
      <c r="P523" t="s">
        <v>809</v>
      </c>
    </row>
    <row r="524" spans="3:16" x14ac:dyDescent="0.25">
      <c r="C524" s="5"/>
      <c r="P524" t="s">
        <v>810</v>
      </c>
    </row>
    <row r="525" spans="3:16" x14ac:dyDescent="0.25">
      <c r="C525" s="5"/>
      <c r="P525" t="s">
        <v>811</v>
      </c>
    </row>
    <row r="526" spans="3:16" x14ac:dyDescent="0.25">
      <c r="C526" s="5"/>
      <c r="P526" t="s">
        <v>812</v>
      </c>
    </row>
    <row r="527" spans="3:16" x14ac:dyDescent="0.25">
      <c r="C527" s="5"/>
      <c r="P527" t="s">
        <v>813</v>
      </c>
    </row>
    <row r="528" spans="3:16" x14ac:dyDescent="0.25">
      <c r="C528" s="5"/>
      <c r="P528" t="s">
        <v>814</v>
      </c>
    </row>
    <row r="529" spans="3:16" x14ac:dyDescent="0.25">
      <c r="C529" s="5"/>
      <c r="P529" t="s">
        <v>815</v>
      </c>
    </row>
    <row r="530" spans="3:16" x14ac:dyDescent="0.25">
      <c r="C530" s="5"/>
      <c r="P530" t="s">
        <v>816</v>
      </c>
    </row>
    <row r="531" spans="3:16" x14ac:dyDescent="0.25">
      <c r="C531" s="5"/>
      <c r="P531" t="s">
        <v>817</v>
      </c>
    </row>
    <row r="532" spans="3:16" x14ac:dyDescent="0.25">
      <c r="C532" s="5"/>
      <c r="P532" t="s">
        <v>818</v>
      </c>
    </row>
    <row r="533" spans="3:16" x14ac:dyDescent="0.25">
      <c r="C533" s="5"/>
      <c r="P533" t="s">
        <v>819</v>
      </c>
    </row>
    <row r="534" spans="3:16" x14ac:dyDescent="0.25">
      <c r="C534" s="5"/>
      <c r="P534" t="s">
        <v>820</v>
      </c>
    </row>
    <row r="535" spans="3:16" x14ac:dyDescent="0.25">
      <c r="C535" s="5"/>
      <c r="P535" t="s">
        <v>821</v>
      </c>
    </row>
    <row r="536" spans="3:16" x14ac:dyDescent="0.25">
      <c r="C536" s="5"/>
      <c r="P536" t="s">
        <v>822</v>
      </c>
    </row>
    <row r="537" spans="3:16" x14ac:dyDescent="0.25">
      <c r="C537" s="5"/>
      <c r="P537" t="s">
        <v>823</v>
      </c>
    </row>
    <row r="538" spans="3:16" x14ac:dyDescent="0.25">
      <c r="C538" s="5"/>
      <c r="P538" t="s">
        <v>824</v>
      </c>
    </row>
    <row r="539" spans="3:16" x14ac:dyDescent="0.25">
      <c r="C539" s="5"/>
      <c r="P539" t="s">
        <v>825</v>
      </c>
    </row>
    <row r="540" spans="3:16" x14ac:dyDescent="0.25">
      <c r="C540" s="5"/>
      <c r="P540" t="s">
        <v>826</v>
      </c>
    </row>
    <row r="541" spans="3:16" x14ac:dyDescent="0.25">
      <c r="C541" s="5"/>
      <c r="P541" t="s">
        <v>827</v>
      </c>
    </row>
    <row r="542" spans="3:16" x14ac:dyDescent="0.25">
      <c r="C542" s="5"/>
      <c r="P542" t="s">
        <v>828</v>
      </c>
    </row>
    <row r="543" spans="3:16" x14ac:dyDescent="0.25">
      <c r="C543" s="5"/>
      <c r="P543" t="s">
        <v>829</v>
      </c>
    </row>
    <row r="544" spans="3:16" x14ac:dyDescent="0.25">
      <c r="C544" s="5"/>
      <c r="P544" t="s">
        <v>830</v>
      </c>
    </row>
    <row r="545" spans="3:16" x14ac:dyDescent="0.25">
      <c r="C545" s="5"/>
      <c r="P545" t="s">
        <v>831</v>
      </c>
    </row>
    <row r="546" spans="3:16" x14ac:dyDescent="0.25">
      <c r="C546" s="5"/>
      <c r="P546" t="s">
        <v>832</v>
      </c>
    </row>
    <row r="547" spans="3:16" x14ac:dyDescent="0.25">
      <c r="C547" s="5"/>
      <c r="P547" t="s">
        <v>833</v>
      </c>
    </row>
    <row r="548" spans="3:16" x14ac:dyDescent="0.25">
      <c r="C548" s="5"/>
      <c r="P548" t="s">
        <v>834</v>
      </c>
    </row>
    <row r="549" spans="3:16" x14ac:dyDescent="0.25">
      <c r="C549" s="5"/>
      <c r="P549" t="s">
        <v>835</v>
      </c>
    </row>
    <row r="550" spans="3:16" x14ac:dyDescent="0.25">
      <c r="C550" s="5"/>
      <c r="P550" t="s">
        <v>836</v>
      </c>
    </row>
    <row r="551" spans="3:16" x14ac:dyDescent="0.25">
      <c r="C551" s="5"/>
      <c r="P551" t="s">
        <v>837</v>
      </c>
    </row>
    <row r="552" spans="3:16" x14ac:dyDescent="0.25">
      <c r="C552" s="5"/>
      <c r="P552" t="s">
        <v>838</v>
      </c>
    </row>
    <row r="553" spans="3:16" x14ac:dyDescent="0.25">
      <c r="C553" s="5"/>
      <c r="P553" t="s">
        <v>839</v>
      </c>
    </row>
    <row r="554" spans="3:16" x14ac:dyDescent="0.25">
      <c r="C554" s="5"/>
      <c r="P554" t="s">
        <v>840</v>
      </c>
    </row>
    <row r="555" spans="3:16" x14ac:dyDescent="0.25">
      <c r="C555" s="5"/>
      <c r="P555" t="s">
        <v>841</v>
      </c>
    </row>
    <row r="556" spans="3:16" x14ac:dyDescent="0.25">
      <c r="C556" s="5"/>
      <c r="P556" t="s">
        <v>842</v>
      </c>
    </row>
    <row r="557" spans="3:16" x14ac:dyDescent="0.25">
      <c r="C557" s="5"/>
      <c r="P557" t="s">
        <v>843</v>
      </c>
    </row>
    <row r="558" spans="3:16" x14ac:dyDescent="0.25">
      <c r="C558" s="5"/>
      <c r="P558" t="s">
        <v>844</v>
      </c>
    </row>
    <row r="559" spans="3:16" x14ac:dyDescent="0.25">
      <c r="C559" s="5"/>
      <c r="P559" t="s">
        <v>845</v>
      </c>
    </row>
    <row r="560" spans="3:16" x14ac:dyDescent="0.25">
      <c r="C560" s="5"/>
      <c r="P560" t="s">
        <v>846</v>
      </c>
    </row>
    <row r="561" spans="3:16" x14ac:dyDescent="0.25">
      <c r="C561" s="5"/>
      <c r="P561" t="s">
        <v>847</v>
      </c>
    </row>
    <row r="562" spans="3:16" x14ac:dyDescent="0.25">
      <c r="C562" s="5"/>
      <c r="P562" t="s">
        <v>848</v>
      </c>
    </row>
    <row r="563" spans="3:16" x14ac:dyDescent="0.25">
      <c r="C563" s="5"/>
      <c r="P563" t="s">
        <v>849</v>
      </c>
    </row>
    <row r="564" spans="3:16" x14ac:dyDescent="0.25">
      <c r="C564" s="5"/>
      <c r="P564" t="s">
        <v>850</v>
      </c>
    </row>
    <row r="565" spans="3:16" x14ac:dyDescent="0.25">
      <c r="C565" s="5"/>
      <c r="P565" t="s">
        <v>851</v>
      </c>
    </row>
    <row r="566" spans="3:16" x14ac:dyDescent="0.25">
      <c r="C566" s="5"/>
      <c r="P566" t="s">
        <v>852</v>
      </c>
    </row>
    <row r="567" spans="3:16" x14ac:dyDescent="0.25">
      <c r="C567" s="5"/>
      <c r="P567" t="s">
        <v>853</v>
      </c>
    </row>
    <row r="568" spans="3:16" x14ac:dyDescent="0.25">
      <c r="C568" s="5"/>
      <c r="P568" t="s">
        <v>854</v>
      </c>
    </row>
    <row r="569" spans="3:16" x14ac:dyDescent="0.25">
      <c r="C569" s="5"/>
      <c r="P569" t="s">
        <v>855</v>
      </c>
    </row>
    <row r="570" spans="3:16" x14ac:dyDescent="0.25">
      <c r="C570" s="5"/>
      <c r="P570" t="s">
        <v>856</v>
      </c>
    </row>
    <row r="571" spans="3:16" x14ac:dyDescent="0.25">
      <c r="C571" s="5"/>
      <c r="P571" t="s">
        <v>857</v>
      </c>
    </row>
    <row r="572" spans="3:16" x14ac:dyDescent="0.25">
      <c r="C572" s="5"/>
      <c r="P572" t="s">
        <v>858</v>
      </c>
    </row>
    <row r="573" spans="3:16" x14ac:dyDescent="0.25">
      <c r="C573" s="5"/>
      <c r="P573" t="s">
        <v>859</v>
      </c>
    </row>
    <row r="574" spans="3:16" x14ac:dyDescent="0.25">
      <c r="C574" s="5"/>
      <c r="P574" t="s">
        <v>860</v>
      </c>
    </row>
    <row r="575" spans="3:16" x14ac:dyDescent="0.25">
      <c r="C575" s="5"/>
      <c r="P575" t="s">
        <v>861</v>
      </c>
    </row>
    <row r="576" spans="3:16" x14ac:dyDescent="0.25">
      <c r="C576" s="5"/>
      <c r="P576" t="s">
        <v>862</v>
      </c>
    </row>
    <row r="577" spans="3:16" x14ac:dyDescent="0.25">
      <c r="C577" s="5"/>
      <c r="P577" t="s">
        <v>863</v>
      </c>
    </row>
    <row r="578" spans="3:16" x14ac:dyDescent="0.25">
      <c r="C578" s="5"/>
      <c r="P578" t="s">
        <v>864</v>
      </c>
    </row>
    <row r="579" spans="3:16" x14ac:dyDescent="0.25">
      <c r="C579" s="5"/>
      <c r="P579" t="s">
        <v>865</v>
      </c>
    </row>
    <row r="580" spans="3:16" x14ac:dyDescent="0.25">
      <c r="C580" s="5"/>
      <c r="P580" t="s">
        <v>866</v>
      </c>
    </row>
    <row r="581" spans="3:16" x14ac:dyDescent="0.25">
      <c r="C581" s="5"/>
      <c r="P581" t="s">
        <v>867</v>
      </c>
    </row>
    <row r="582" spans="3:16" x14ac:dyDescent="0.25">
      <c r="C582" s="5"/>
      <c r="P582" t="s">
        <v>868</v>
      </c>
    </row>
    <row r="583" spans="3:16" x14ac:dyDescent="0.25">
      <c r="C583" s="5"/>
      <c r="P583" t="s">
        <v>869</v>
      </c>
    </row>
    <row r="584" spans="3:16" x14ac:dyDescent="0.25">
      <c r="C584" s="5"/>
      <c r="P584" t="s">
        <v>870</v>
      </c>
    </row>
    <row r="585" spans="3:16" x14ac:dyDescent="0.25">
      <c r="C585" s="5"/>
      <c r="P585" t="s">
        <v>871</v>
      </c>
    </row>
    <row r="586" spans="3:16" x14ac:dyDescent="0.25">
      <c r="C586" s="5"/>
      <c r="P586" t="s">
        <v>872</v>
      </c>
    </row>
    <row r="587" spans="3:16" x14ac:dyDescent="0.25">
      <c r="C587" s="5"/>
      <c r="P587" t="s">
        <v>873</v>
      </c>
    </row>
    <row r="588" spans="3:16" x14ac:dyDescent="0.25">
      <c r="C588" s="5"/>
      <c r="P588" t="s">
        <v>874</v>
      </c>
    </row>
    <row r="589" spans="3:16" x14ac:dyDescent="0.25">
      <c r="C589" s="5"/>
      <c r="P589" t="s">
        <v>875</v>
      </c>
    </row>
    <row r="590" spans="3:16" x14ac:dyDescent="0.25">
      <c r="C590" s="5"/>
      <c r="P590" t="s">
        <v>876</v>
      </c>
    </row>
    <row r="591" spans="3:16" x14ac:dyDescent="0.25">
      <c r="C591" s="5"/>
      <c r="P591" t="s">
        <v>877</v>
      </c>
    </row>
    <row r="592" spans="3:16" x14ac:dyDescent="0.25">
      <c r="C592" s="5"/>
      <c r="P592" t="s">
        <v>878</v>
      </c>
    </row>
    <row r="593" spans="3:16" x14ac:dyDescent="0.25">
      <c r="C593" s="5"/>
      <c r="P593" t="s">
        <v>879</v>
      </c>
    </row>
    <row r="594" spans="3:16" x14ac:dyDescent="0.25">
      <c r="C594" s="5"/>
      <c r="P594" t="s">
        <v>880</v>
      </c>
    </row>
    <row r="595" spans="3:16" x14ac:dyDescent="0.25">
      <c r="C595" s="5"/>
      <c r="P595" t="s">
        <v>881</v>
      </c>
    </row>
    <row r="596" spans="3:16" x14ac:dyDescent="0.25">
      <c r="C596" s="5"/>
      <c r="P596" t="s">
        <v>882</v>
      </c>
    </row>
    <row r="597" spans="3:16" x14ac:dyDescent="0.25">
      <c r="C597" s="5"/>
      <c r="P597" t="s">
        <v>883</v>
      </c>
    </row>
    <row r="598" spans="3:16" x14ac:dyDescent="0.25">
      <c r="C598" s="5"/>
      <c r="P598" t="s">
        <v>884</v>
      </c>
    </row>
    <row r="599" spans="3:16" x14ac:dyDescent="0.25">
      <c r="C599" s="5"/>
      <c r="P599" t="s">
        <v>885</v>
      </c>
    </row>
    <row r="600" spans="3:16" x14ac:dyDescent="0.25">
      <c r="C600" s="5"/>
      <c r="P600" t="s">
        <v>886</v>
      </c>
    </row>
    <row r="601" spans="3:16" x14ac:dyDescent="0.25">
      <c r="C601" s="5"/>
      <c r="P601" t="s">
        <v>887</v>
      </c>
    </row>
    <row r="602" spans="3:16" x14ac:dyDescent="0.25">
      <c r="C602" s="5"/>
      <c r="P602" t="s">
        <v>888</v>
      </c>
    </row>
    <row r="603" spans="3:16" x14ac:dyDescent="0.25">
      <c r="C603" s="5"/>
      <c r="P603" t="s">
        <v>889</v>
      </c>
    </row>
    <row r="604" spans="3:16" x14ac:dyDescent="0.25">
      <c r="C604" s="5"/>
      <c r="P604" t="s">
        <v>890</v>
      </c>
    </row>
    <row r="605" spans="3:16" x14ac:dyDescent="0.25">
      <c r="C605" s="5"/>
      <c r="P605" t="s">
        <v>891</v>
      </c>
    </row>
    <row r="606" spans="3:16" x14ac:dyDescent="0.25">
      <c r="C606" s="5"/>
      <c r="P606" t="s">
        <v>892</v>
      </c>
    </row>
    <row r="607" spans="3:16" x14ac:dyDescent="0.25">
      <c r="C607" s="5"/>
      <c r="P607" t="s">
        <v>893</v>
      </c>
    </row>
    <row r="608" spans="3:16" x14ac:dyDescent="0.25">
      <c r="C608" s="5"/>
      <c r="P608" t="s">
        <v>894</v>
      </c>
    </row>
    <row r="609" spans="3:16" x14ac:dyDescent="0.25">
      <c r="C609" s="5"/>
      <c r="P609" t="s">
        <v>895</v>
      </c>
    </row>
    <row r="610" spans="3:16" x14ac:dyDescent="0.25">
      <c r="C610" s="5"/>
      <c r="P610" t="s">
        <v>896</v>
      </c>
    </row>
    <row r="611" spans="3:16" x14ac:dyDescent="0.25">
      <c r="C611" s="5"/>
      <c r="P611" t="s">
        <v>897</v>
      </c>
    </row>
    <row r="612" spans="3:16" x14ac:dyDescent="0.25">
      <c r="C612" s="5"/>
      <c r="P612" t="s">
        <v>898</v>
      </c>
    </row>
    <row r="613" spans="3:16" x14ac:dyDescent="0.25">
      <c r="C613" s="5"/>
      <c r="P613" t="s">
        <v>899</v>
      </c>
    </row>
    <row r="614" spans="3:16" x14ac:dyDescent="0.25">
      <c r="C614" s="5"/>
      <c r="P614" t="s">
        <v>900</v>
      </c>
    </row>
    <row r="615" spans="3:16" x14ac:dyDescent="0.25">
      <c r="C615" s="5"/>
      <c r="P615" t="s">
        <v>901</v>
      </c>
    </row>
    <row r="616" spans="3:16" x14ac:dyDescent="0.25">
      <c r="C616" s="5"/>
      <c r="P616" t="s">
        <v>902</v>
      </c>
    </row>
    <row r="617" spans="3:16" x14ac:dyDescent="0.25">
      <c r="C617" s="5"/>
      <c r="P617" t="s">
        <v>903</v>
      </c>
    </row>
    <row r="618" spans="3:16" x14ac:dyDescent="0.25">
      <c r="C618" s="5"/>
      <c r="P618" t="s">
        <v>904</v>
      </c>
    </row>
    <row r="619" spans="3:16" x14ac:dyDescent="0.25">
      <c r="C619" s="5"/>
      <c r="P619" t="s">
        <v>905</v>
      </c>
    </row>
    <row r="620" spans="3:16" x14ac:dyDescent="0.25">
      <c r="C620" s="5"/>
      <c r="P620" t="s">
        <v>906</v>
      </c>
    </row>
    <row r="621" spans="3:16" x14ac:dyDescent="0.25">
      <c r="C621" s="5"/>
      <c r="P621" t="s">
        <v>907</v>
      </c>
    </row>
    <row r="622" spans="3:16" x14ac:dyDescent="0.25">
      <c r="C622" s="5"/>
      <c r="P622" t="s">
        <v>908</v>
      </c>
    </row>
    <row r="623" spans="3:16" x14ac:dyDescent="0.25">
      <c r="C623" s="5"/>
      <c r="P623" t="s">
        <v>909</v>
      </c>
    </row>
    <row r="624" spans="3:16" x14ac:dyDescent="0.25">
      <c r="C624" s="5"/>
      <c r="P624" t="s">
        <v>910</v>
      </c>
    </row>
    <row r="625" spans="3:16" x14ac:dyDescent="0.25">
      <c r="C625" s="5"/>
      <c r="P625" t="s">
        <v>911</v>
      </c>
    </row>
    <row r="626" spans="3:16" x14ac:dyDescent="0.25">
      <c r="C626" s="5"/>
      <c r="P626" t="s">
        <v>912</v>
      </c>
    </row>
    <row r="627" spans="3:16" x14ac:dyDescent="0.25">
      <c r="C627" s="5"/>
      <c r="P627" t="s">
        <v>913</v>
      </c>
    </row>
    <row r="628" spans="3:16" x14ac:dyDescent="0.25">
      <c r="C628" s="5"/>
      <c r="P628" t="s">
        <v>914</v>
      </c>
    </row>
    <row r="629" spans="3:16" x14ac:dyDescent="0.25">
      <c r="C629" s="5"/>
      <c r="P629" t="s">
        <v>915</v>
      </c>
    </row>
    <row r="630" spans="3:16" x14ac:dyDescent="0.25">
      <c r="C630" s="5"/>
      <c r="P630" t="s">
        <v>916</v>
      </c>
    </row>
    <row r="631" spans="3:16" x14ac:dyDescent="0.25">
      <c r="C631" s="5"/>
      <c r="P631" t="s">
        <v>917</v>
      </c>
    </row>
    <row r="632" spans="3:16" x14ac:dyDescent="0.25">
      <c r="C632" s="5"/>
      <c r="P632" t="s">
        <v>918</v>
      </c>
    </row>
    <row r="633" spans="3:16" x14ac:dyDescent="0.25">
      <c r="C633" s="5"/>
      <c r="P633" t="s">
        <v>919</v>
      </c>
    </row>
    <row r="634" spans="3:16" x14ac:dyDescent="0.25">
      <c r="C634" s="5"/>
      <c r="P634" t="s">
        <v>920</v>
      </c>
    </row>
    <row r="635" spans="3:16" x14ac:dyDescent="0.25">
      <c r="C635" s="5"/>
      <c r="P635" t="s">
        <v>921</v>
      </c>
    </row>
    <row r="636" spans="3:16" x14ac:dyDescent="0.25">
      <c r="C636" s="5"/>
      <c r="P636" t="s">
        <v>922</v>
      </c>
    </row>
    <row r="637" spans="3:16" x14ac:dyDescent="0.25">
      <c r="C637" s="5"/>
      <c r="P637" t="s">
        <v>923</v>
      </c>
    </row>
    <row r="638" spans="3:16" x14ac:dyDescent="0.25">
      <c r="C638" s="5"/>
      <c r="P638" t="s">
        <v>924</v>
      </c>
    </row>
    <row r="639" spans="3:16" x14ac:dyDescent="0.25">
      <c r="C639" s="5"/>
      <c r="P639" t="s">
        <v>925</v>
      </c>
    </row>
    <row r="640" spans="3:16" x14ac:dyDescent="0.25">
      <c r="C640" s="5"/>
      <c r="P640" t="s">
        <v>926</v>
      </c>
    </row>
    <row r="641" spans="3:16" x14ac:dyDescent="0.25">
      <c r="C641" s="5"/>
      <c r="P641" t="s">
        <v>927</v>
      </c>
    </row>
    <row r="642" spans="3:16" x14ac:dyDescent="0.25">
      <c r="C642" s="5"/>
      <c r="P642" t="s">
        <v>928</v>
      </c>
    </row>
    <row r="643" spans="3:16" x14ac:dyDescent="0.25">
      <c r="C643" s="5"/>
      <c r="P643" t="s">
        <v>929</v>
      </c>
    </row>
    <row r="644" spans="3:16" x14ac:dyDescent="0.25">
      <c r="C644" s="5"/>
      <c r="P644" t="s">
        <v>930</v>
      </c>
    </row>
    <row r="645" spans="3:16" x14ac:dyDescent="0.25">
      <c r="C645" s="5"/>
      <c r="P645" t="s">
        <v>931</v>
      </c>
    </row>
    <row r="646" spans="3:16" x14ac:dyDescent="0.25">
      <c r="C646" s="5"/>
      <c r="P646" t="s">
        <v>932</v>
      </c>
    </row>
    <row r="647" spans="3:16" x14ac:dyDescent="0.25">
      <c r="C647" s="5"/>
      <c r="P647" t="s">
        <v>933</v>
      </c>
    </row>
    <row r="648" spans="3:16" x14ac:dyDescent="0.25">
      <c r="C648" s="5"/>
      <c r="P648" t="s">
        <v>934</v>
      </c>
    </row>
    <row r="649" spans="3:16" x14ac:dyDescent="0.25">
      <c r="C649" s="5"/>
      <c r="P649" t="s">
        <v>935</v>
      </c>
    </row>
    <row r="650" spans="3:16" x14ac:dyDescent="0.25">
      <c r="C650" s="5"/>
      <c r="P650" t="s">
        <v>936</v>
      </c>
    </row>
    <row r="651" spans="3:16" x14ac:dyDescent="0.25">
      <c r="C651" s="5"/>
      <c r="P651" t="s">
        <v>937</v>
      </c>
    </row>
    <row r="652" spans="3:16" x14ac:dyDescent="0.25">
      <c r="C652" s="5"/>
      <c r="P652" t="s">
        <v>938</v>
      </c>
    </row>
    <row r="653" spans="3:16" x14ac:dyDescent="0.25">
      <c r="C653" s="5"/>
      <c r="P653" t="s">
        <v>939</v>
      </c>
    </row>
    <row r="654" spans="3:16" x14ac:dyDescent="0.25">
      <c r="C654" s="5"/>
      <c r="P654" t="s">
        <v>940</v>
      </c>
    </row>
    <row r="655" spans="3:16" x14ac:dyDescent="0.25">
      <c r="C655" s="5"/>
      <c r="P655" t="s">
        <v>941</v>
      </c>
    </row>
    <row r="656" spans="3:16" x14ac:dyDescent="0.25">
      <c r="C656" s="5"/>
      <c r="P656" t="s">
        <v>942</v>
      </c>
    </row>
    <row r="657" spans="3:16" x14ac:dyDescent="0.25">
      <c r="C657" s="5"/>
      <c r="P657" t="s">
        <v>943</v>
      </c>
    </row>
    <row r="658" spans="3:16" x14ac:dyDescent="0.25">
      <c r="C658" s="5"/>
      <c r="P658" t="s">
        <v>944</v>
      </c>
    </row>
    <row r="659" spans="3:16" x14ac:dyDescent="0.25">
      <c r="C659" s="5"/>
      <c r="P659" t="s">
        <v>945</v>
      </c>
    </row>
    <row r="660" spans="3:16" x14ac:dyDescent="0.25">
      <c r="C660" s="5"/>
      <c r="P660" t="s">
        <v>946</v>
      </c>
    </row>
    <row r="661" spans="3:16" x14ac:dyDescent="0.25">
      <c r="C661" s="5"/>
      <c r="P661" t="s">
        <v>947</v>
      </c>
    </row>
    <row r="662" spans="3:16" x14ac:dyDescent="0.25">
      <c r="C662" s="5"/>
      <c r="P662" t="s">
        <v>948</v>
      </c>
    </row>
    <row r="663" spans="3:16" x14ac:dyDescent="0.25">
      <c r="C663" s="5"/>
      <c r="P663" t="s">
        <v>949</v>
      </c>
    </row>
    <row r="664" spans="3:16" x14ac:dyDescent="0.25">
      <c r="C664" s="5"/>
      <c r="P664" t="s">
        <v>950</v>
      </c>
    </row>
    <row r="665" spans="3:16" x14ac:dyDescent="0.25">
      <c r="C665" s="5"/>
      <c r="P665" t="s">
        <v>951</v>
      </c>
    </row>
    <row r="666" spans="3:16" x14ac:dyDescent="0.25">
      <c r="C666" s="5"/>
      <c r="P666" t="s">
        <v>952</v>
      </c>
    </row>
    <row r="667" spans="3:16" x14ac:dyDescent="0.25">
      <c r="C667" s="5"/>
      <c r="P667" t="s">
        <v>953</v>
      </c>
    </row>
    <row r="668" spans="3:16" x14ac:dyDescent="0.25">
      <c r="C668" s="5"/>
      <c r="P668" t="s">
        <v>954</v>
      </c>
    </row>
    <row r="669" spans="3:16" x14ac:dyDescent="0.25">
      <c r="C669" s="5"/>
      <c r="P669" t="s">
        <v>955</v>
      </c>
    </row>
    <row r="670" spans="3:16" x14ac:dyDescent="0.25">
      <c r="C670" s="5"/>
      <c r="P670" t="s">
        <v>956</v>
      </c>
    </row>
    <row r="671" spans="3:16" x14ac:dyDescent="0.25">
      <c r="C671" s="5"/>
      <c r="P671" t="s">
        <v>957</v>
      </c>
    </row>
    <row r="672" spans="3:16" x14ac:dyDescent="0.25">
      <c r="C672" s="5"/>
      <c r="P672" t="s">
        <v>958</v>
      </c>
    </row>
    <row r="673" spans="3:16" x14ac:dyDescent="0.25">
      <c r="C673" s="5"/>
      <c r="P673" t="s">
        <v>959</v>
      </c>
    </row>
    <row r="674" spans="3:16" x14ac:dyDescent="0.25">
      <c r="C674" s="5"/>
      <c r="P674" t="s">
        <v>960</v>
      </c>
    </row>
    <row r="675" spans="3:16" x14ac:dyDescent="0.25">
      <c r="C675" s="5"/>
      <c r="P675" t="s">
        <v>961</v>
      </c>
    </row>
    <row r="676" spans="3:16" x14ac:dyDescent="0.25">
      <c r="C676" s="5"/>
      <c r="P676" t="s">
        <v>962</v>
      </c>
    </row>
    <row r="677" spans="3:16" x14ac:dyDescent="0.25">
      <c r="C677" s="5"/>
      <c r="P677" t="s">
        <v>963</v>
      </c>
    </row>
    <row r="678" spans="3:16" x14ac:dyDescent="0.25">
      <c r="C678" s="5"/>
      <c r="P678" t="s">
        <v>964</v>
      </c>
    </row>
    <row r="679" spans="3:16" x14ac:dyDescent="0.25">
      <c r="C679" s="5"/>
      <c r="P679" t="s">
        <v>965</v>
      </c>
    </row>
    <row r="680" spans="3:16" x14ac:dyDescent="0.25">
      <c r="C680" s="5"/>
      <c r="P680" t="s">
        <v>966</v>
      </c>
    </row>
    <row r="681" spans="3:16" x14ac:dyDescent="0.25">
      <c r="C681" s="5"/>
      <c r="P681" t="s">
        <v>967</v>
      </c>
    </row>
    <row r="682" spans="3:16" x14ac:dyDescent="0.25">
      <c r="C682" s="5"/>
      <c r="P682" t="s">
        <v>968</v>
      </c>
    </row>
    <row r="683" spans="3:16" x14ac:dyDescent="0.25">
      <c r="C683" s="5"/>
      <c r="P683" t="s">
        <v>969</v>
      </c>
    </row>
    <row r="684" spans="3:16" x14ac:dyDescent="0.25">
      <c r="C684" s="5"/>
      <c r="P684" t="s">
        <v>970</v>
      </c>
    </row>
    <row r="685" spans="3:16" x14ac:dyDescent="0.25">
      <c r="C685" s="5"/>
      <c r="P685" t="s">
        <v>971</v>
      </c>
    </row>
    <row r="686" spans="3:16" x14ac:dyDescent="0.25">
      <c r="C686" s="5"/>
      <c r="P686" t="s">
        <v>972</v>
      </c>
    </row>
    <row r="687" spans="3:16" x14ac:dyDescent="0.25">
      <c r="C687" s="5"/>
      <c r="P687" t="s">
        <v>973</v>
      </c>
    </row>
    <row r="688" spans="3:16" x14ac:dyDescent="0.25">
      <c r="C688" s="5"/>
      <c r="P688" t="s">
        <v>974</v>
      </c>
    </row>
    <row r="689" spans="3:16" x14ac:dyDescent="0.25">
      <c r="C689" s="5"/>
      <c r="P689" t="s">
        <v>975</v>
      </c>
    </row>
    <row r="690" spans="3:16" x14ac:dyDescent="0.25">
      <c r="C690" s="5"/>
      <c r="P690" t="s">
        <v>976</v>
      </c>
    </row>
    <row r="691" spans="3:16" x14ac:dyDescent="0.25">
      <c r="C691" s="5"/>
      <c r="P691" t="s">
        <v>977</v>
      </c>
    </row>
    <row r="692" spans="3:16" x14ac:dyDescent="0.25">
      <c r="C692" s="5"/>
      <c r="P692" t="s">
        <v>978</v>
      </c>
    </row>
    <row r="693" spans="3:16" x14ac:dyDescent="0.25">
      <c r="C693" s="5"/>
      <c r="P693" t="s">
        <v>979</v>
      </c>
    </row>
    <row r="694" spans="3:16" x14ac:dyDescent="0.25">
      <c r="C694" s="5"/>
      <c r="P694" t="s">
        <v>980</v>
      </c>
    </row>
    <row r="695" spans="3:16" x14ac:dyDescent="0.25">
      <c r="C695" s="5"/>
      <c r="P695" t="s">
        <v>981</v>
      </c>
    </row>
    <row r="696" spans="3:16" x14ac:dyDescent="0.25">
      <c r="C696" s="5"/>
      <c r="P696" t="s">
        <v>982</v>
      </c>
    </row>
    <row r="697" spans="3:16" x14ac:dyDescent="0.25">
      <c r="C697" s="5"/>
      <c r="P697" t="s">
        <v>983</v>
      </c>
    </row>
    <row r="698" spans="3:16" x14ac:dyDescent="0.25">
      <c r="C698" s="5"/>
      <c r="P698" t="s">
        <v>984</v>
      </c>
    </row>
    <row r="699" spans="3:16" x14ac:dyDescent="0.25">
      <c r="C699" s="5"/>
      <c r="P699" t="s">
        <v>985</v>
      </c>
    </row>
    <row r="700" spans="3:16" x14ac:dyDescent="0.25">
      <c r="C700" s="5"/>
      <c r="P700" t="s">
        <v>986</v>
      </c>
    </row>
    <row r="701" spans="3:16" x14ac:dyDescent="0.25">
      <c r="C701" s="5"/>
      <c r="P701" t="s">
        <v>987</v>
      </c>
    </row>
    <row r="702" spans="3:16" x14ac:dyDescent="0.25">
      <c r="C702" s="5"/>
      <c r="P702" t="s">
        <v>988</v>
      </c>
    </row>
    <row r="703" spans="3:16" x14ac:dyDescent="0.25">
      <c r="C703" s="5"/>
      <c r="P703" t="s">
        <v>989</v>
      </c>
    </row>
    <row r="704" spans="3:16" x14ac:dyDescent="0.25">
      <c r="C704" s="5"/>
      <c r="P704" t="s">
        <v>990</v>
      </c>
    </row>
    <row r="705" spans="3:16" x14ac:dyDescent="0.25">
      <c r="C705" s="5"/>
      <c r="P705" t="s">
        <v>991</v>
      </c>
    </row>
    <row r="706" spans="3:16" x14ac:dyDescent="0.25">
      <c r="C706" s="5"/>
      <c r="P706" t="s">
        <v>992</v>
      </c>
    </row>
    <row r="707" spans="3:16" x14ac:dyDescent="0.25">
      <c r="C707" s="5"/>
      <c r="P707" t="s">
        <v>993</v>
      </c>
    </row>
    <row r="708" spans="3:16" x14ac:dyDescent="0.25">
      <c r="C708" s="5"/>
      <c r="P708" t="s">
        <v>994</v>
      </c>
    </row>
    <row r="709" spans="3:16" x14ac:dyDescent="0.25">
      <c r="C709" s="5"/>
      <c r="P709" t="s">
        <v>995</v>
      </c>
    </row>
    <row r="710" spans="3:16" x14ac:dyDescent="0.25">
      <c r="C710" s="5"/>
      <c r="P710" t="s">
        <v>996</v>
      </c>
    </row>
    <row r="711" spans="3:16" x14ac:dyDescent="0.25">
      <c r="C711" s="5"/>
      <c r="P711" t="s">
        <v>997</v>
      </c>
    </row>
    <row r="712" spans="3:16" x14ac:dyDescent="0.25">
      <c r="C712" s="5"/>
      <c r="P712" t="s">
        <v>998</v>
      </c>
    </row>
    <row r="713" spans="3:16" x14ac:dyDescent="0.25">
      <c r="C713" s="5"/>
      <c r="P713" t="s">
        <v>999</v>
      </c>
    </row>
    <row r="714" spans="3:16" x14ac:dyDescent="0.25">
      <c r="C714" s="5"/>
      <c r="P714" t="s">
        <v>1000</v>
      </c>
    </row>
    <row r="715" spans="3:16" x14ac:dyDescent="0.25">
      <c r="C715" s="5"/>
      <c r="P715" t="s">
        <v>1001</v>
      </c>
    </row>
    <row r="716" spans="3:16" x14ac:dyDescent="0.25">
      <c r="C716" s="5"/>
      <c r="P716" t="s">
        <v>1002</v>
      </c>
    </row>
    <row r="717" spans="3:16" x14ac:dyDescent="0.25">
      <c r="C717" s="5"/>
      <c r="P717" t="s">
        <v>1003</v>
      </c>
    </row>
    <row r="718" spans="3:16" x14ac:dyDescent="0.25">
      <c r="C718" s="5"/>
      <c r="P718" t="s">
        <v>1004</v>
      </c>
    </row>
    <row r="719" spans="3:16" x14ac:dyDescent="0.25">
      <c r="C719" s="5"/>
      <c r="P719" t="s">
        <v>1005</v>
      </c>
    </row>
    <row r="720" spans="3:16" x14ac:dyDescent="0.25">
      <c r="C720" s="5"/>
      <c r="P720" t="s">
        <v>1006</v>
      </c>
    </row>
    <row r="721" spans="3:16" x14ac:dyDescent="0.25">
      <c r="C721" s="5"/>
      <c r="P721" t="s">
        <v>1007</v>
      </c>
    </row>
    <row r="722" spans="3:16" x14ac:dyDescent="0.25">
      <c r="C722" s="5"/>
      <c r="P722" t="s">
        <v>1008</v>
      </c>
    </row>
    <row r="723" spans="3:16" x14ac:dyDescent="0.25">
      <c r="C723" s="5"/>
      <c r="P723" t="s">
        <v>1009</v>
      </c>
    </row>
    <row r="724" spans="3:16" x14ac:dyDescent="0.25">
      <c r="C724" s="5"/>
      <c r="P724" t="s">
        <v>1010</v>
      </c>
    </row>
    <row r="725" spans="3:16" x14ac:dyDescent="0.25">
      <c r="C725" s="5"/>
      <c r="P725" t="s">
        <v>1011</v>
      </c>
    </row>
    <row r="726" spans="3:16" x14ac:dyDescent="0.25">
      <c r="C726" s="5"/>
      <c r="P726" t="s">
        <v>1012</v>
      </c>
    </row>
    <row r="727" spans="3:16" x14ac:dyDescent="0.25">
      <c r="C727" s="5"/>
      <c r="P727" t="s">
        <v>1013</v>
      </c>
    </row>
    <row r="728" spans="3:16" x14ac:dyDescent="0.25">
      <c r="C728" s="5"/>
      <c r="P728" t="s">
        <v>1014</v>
      </c>
    </row>
    <row r="729" spans="3:16" x14ac:dyDescent="0.25">
      <c r="C729" s="5"/>
      <c r="P729" t="s">
        <v>1015</v>
      </c>
    </row>
    <row r="730" spans="3:16" x14ac:dyDescent="0.25">
      <c r="C730" s="5"/>
      <c r="P730" t="s">
        <v>1016</v>
      </c>
    </row>
    <row r="731" spans="3:16" x14ac:dyDescent="0.25">
      <c r="C731" s="5"/>
      <c r="P731" t="s">
        <v>1017</v>
      </c>
    </row>
    <row r="732" spans="3:16" x14ac:dyDescent="0.25">
      <c r="C732" s="5"/>
      <c r="P732" t="s">
        <v>1018</v>
      </c>
    </row>
    <row r="733" spans="3:16" x14ac:dyDescent="0.25">
      <c r="C733" s="5"/>
      <c r="P733" t="s">
        <v>1019</v>
      </c>
    </row>
    <row r="734" spans="3:16" x14ac:dyDescent="0.25">
      <c r="C734" s="5"/>
      <c r="P734" t="s">
        <v>1020</v>
      </c>
    </row>
    <row r="735" spans="3:16" x14ac:dyDescent="0.25">
      <c r="C735" s="5"/>
      <c r="P735" t="s">
        <v>1021</v>
      </c>
    </row>
    <row r="736" spans="3:16" x14ac:dyDescent="0.25">
      <c r="C736" s="5"/>
      <c r="P736" t="s">
        <v>1022</v>
      </c>
    </row>
    <row r="737" spans="3:16" x14ac:dyDescent="0.25">
      <c r="C737" s="5"/>
      <c r="P737" t="s">
        <v>1023</v>
      </c>
    </row>
    <row r="738" spans="3:16" x14ac:dyDescent="0.25">
      <c r="C738" s="5"/>
      <c r="P738" t="s">
        <v>1024</v>
      </c>
    </row>
    <row r="739" spans="3:16" x14ac:dyDescent="0.25">
      <c r="C739" s="5"/>
      <c r="P739" t="s">
        <v>1025</v>
      </c>
    </row>
    <row r="740" spans="3:16" x14ac:dyDescent="0.25">
      <c r="C740" s="5"/>
      <c r="P740" t="s">
        <v>1026</v>
      </c>
    </row>
    <row r="741" spans="3:16" x14ac:dyDescent="0.25">
      <c r="C741" s="5"/>
      <c r="P741" t="s">
        <v>1027</v>
      </c>
    </row>
    <row r="742" spans="3:16" x14ac:dyDescent="0.25">
      <c r="C742" s="5"/>
      <c r="P742" t="s">
        <v>1028</v>
      </c>
    </row>
    <row r="743" spans="3:16" x14ac:dyDescent="0.25">
      <c r="C743" s="5"/>
      <c r="P743" t="s">
        <v>1029</v>
      </c>
    </row>
    <row r="744" spans="3:16" x14ac:dyDescent="0.25">
      <c r="C744" s="5"/>
      <c r="P744" t="s">
        <v>1030</v>
      </c>
    </row>
    <row r="745" spans="3:16" x14ac:dyDescent="0.25">
      <c r="C745" s="5"/>
      <c r="P745" t="s">
        <v>1031</v>
      </c>
    </row>
    <row r="746" spans="3:16" x14ac:dyDescent="0.25">
      <c r="C746" s="5"/>
      <c r="P746" t="s">
        <v>1032</v>
      </c>
    </row>
    <row r="747" spans="3:16" x14ac:dyDescent="0.25">
      <c r="C747" s="5"/>
      <c r="P747" t="s">
        <v>1033</v>
      </c>
    </row>
    <row r="748" spans="3:16" x14ac:dyDescent="0.25">
      <c r="C748" s="5"/>
      <c r="P748" t="s">
        <v>1034</v>
      </c>
    </row>
    <row r="749" spans="3:16" x14ac:dyDescent="0.25">
      <c r="C749" s="5"/>
      <c r="P749" t="s">
        <v>1035</v>
      </c>
    </row>
    <row r="750" spans="3:16" x14ac:dyDescent="0.25">
      <c r="C750" s="5"/>
      <c r="P750" t="s">
        <v>1036</v>
      </c>
    </row>
    <row r="751" spans="3:16" x14ac:dyDescent="0.25">
      <c r="C751" s="5"/>
      <c r="P751" t="s">
        <v>1037</v>
      </c>
    </row>
    <row r="752" spans="3:16" x14ac:dyDescent="0.25">
      <c r="C752" s="5"/>
      <c r="P752" t="s">
        <v>1038</v>
      </c>
    </row>
    <row r="753" spans="3:16" x14ac:dyDescent="0.25">
      <c r="C753" s="5"/>
      <c r="P753" t="s">
        <v>1039</v>
      </c>
    </row>
    <row r="754" spans="3:16" x14ac:dyDescent="0.25">
      <c r="C754" s="5"/>
      <c r="P754" t="s">
        <v>54</v>
      </c>
    </row>
    <row r="755" spans="3:16" x14ac:dyDescent="0.25">
      <c r="C755" s="5"/>
      <c r="P755" t="s">
        <v>1040</v>
      </c>
    </row>
    <row r="756" spans="3:16" x14ac:dyDescent="0.25">
      <c r="C756" s="5"/>
      <c r="P756" t="s">
        <v>1041</v>
      </c>
    </row>
    <row r="757" spans="3:16" x14ac:dyDescent="0.25">
      <c r="C757" s="5"/>
      <c r="P757" t="s">
        <v>1042</v>
      </c>
    </row>
    <row r="758" spans="3:16" x14ac:dyDescent="0.25">
      <c r="C758" s="5"/>
      <c r="P758" t="s">
        <v>1043</v>
      </c>
    </row>
    <row r="759" spans="3:16" x14ac:dyDescent="0.25">
      <c r="C759" s="5"/>
      <c r="P759" t="s">
        <v>1044</v>
      </c>
    </row>
    <row r="760" spans="3:16" x14ac:dyDescent="0.25">
      <c r="C760" s="5"/>
      <c r="P760" t="s">
        <v>1045</v>
      </c>
    </row>
    <row r="761" spans="3:16" x14ac:dyDescent="0.25">
      <c r="C761" s="5"/>
      <c r="P761" t="s">
        <v>1046</v>
      </c>
    </row>
    <row r="762" spans="3:16" x14ac:dyDescent="0.25">
      <c r="C762" s="5"/>
      <c r="P762" t="s">
        <v>1047</v>
      </c>
    </row>
    <row r="763" spans="3:16" x14ac:dyDescent="0.25">
      <c r="C763" s="5"/>
      <c r="P763" t="s">
        <v>1048</v>
      </c>
    </row>
    <row r="764" spans="3:16" x14ac:dyDescent="0.25">
      <c r="C764" s="5"/>
      <c r="P764" t="s">
        <v>1049</v>
      </c>
    </row>
    <row r="765" spans="3:16" x14ac:dyDescent="0.25">
      <c r="C765" s="5"/>
      <c r="P765" t="s">
        <v>1050</v>
      </c>
    </row>
    <row r="766" spans="3:16" x14ac:dyDescent="0.25">
      <c r="C766" s="5"/>
      <c r="P766" t="s">
        <v>1051</v>
      </c>
    </row>
    <row r="767" spans="3:16" x14ac:dyDescent="0.25">
      <c r="C767" s="5"/>
      <c r="P767" t="s">
        <v>1052</v>
      </c>
    </row>
    <row r="768" spans="3:16" x14ac:dyDescent="0.25">
      <c r="C768" s="5"/>
      <c r="P768" t="s">
        <v>1053</v>
      </c>
    </row>
    <row r="769" spans="3:16" x14ac:dyDescent="0.25">
      <c r="C769" s="5"/>
      <c r="P769" t="s">
        <v>1054</v>
      </c>
    </row>
    <row r="770" spans="3:16" x14ac:dyDescent="0.25">
      <c r="C770" s="5"/>
      <c r="P770" t="s">
        <v>1055</v>
      </c>
    </row>
    <row r="771" spans="3:16" x14ac:dyDescent="0.25">
      <c r="C771" s="5"/>
      <c r="P771" t="s">
        <v>1056</v>
      </c>
    </row>
    <row r="772" spans="3:16" x14ac:dyDescent="0.25">
      <c r="C772" s="5"/>
      <c r="P772" t="s">
        <v>1057</v>
      </c>
    </row>
    <row r="773" spans="3:16" x14ac:dyDescent="0.25">
      <c r="C773" s="5"/>
      <c r="P773" t="s">
        <v>1058</v>
      </c>
    </row>
    <row r="774" spans="3:16" x14ac:dyDescent="0.25">
      <c r="C774" s="5"/>
      <c r="P774" t="s">
        <v>1059</v>
      </c>
    </row>
    <row r="775" spans="3:16" x14ac:dyDescent="0.25">
      <c r="C775" s="5"/>
      <c r="P775" t="s">
        <v>1060</v>
      </c>
    </row>
    <row r="776" spans="3:16" x14ac:dyDescent="0.25">
      <c r="C776" s="5"/>
      <c r="P776" t="s">
        <v>1061</v>
      </c>
    </row>
    <row r="777" spans="3:16" x14ac:dyDescent="0.25">
      <c r="C777" s="5"/>
      <c r="P777" t="s">
        <v>1062</v>
      </c>
    </row>
    <row r="778" spans="3:16" x14ac:dyDescent="0.25">
      <c r="C778" s="5"/>
      <c r="P778" t="s">
        <v>1063</v>
      </c>
    </row>
    <row r="779" spans="3:16" x14ac:dyDescent="0.25">
      <c r="C779" s="5"/>
      <c r="P779" t="s">
        <v>1064</v>
      </c>
    </row>
    <row r="780" spans="3:16" x14ac:dyDescent="0.25">
      <c r="C780" s="5"/>
      <c r="P780" t="s">
        <v>1065</v>
      </c>
    </row>
    <row r="781" spans="3:16" x14ac:dyDescent="0.25">
      <c r="C781" s="5"/>
      <c r="P781" t="s">
        <v>1066</v>
      </c>
    </row>
    <row r="782" spans="3:16" x14ac:dyDescent="0.25">
      <c r="C782" s="5"/>
      <c r="P782" t="s">
        <v>1067</v>
      </c>
    </row>
    <row r="783" spans="3:16" x14ac:dyDescent="0.25">
      <c r="C783" s="5"/>
      <c r="P783" t="s">
        <v>1068</v>
      </c>
    </row>
    <row r="784" spans="3:16" x14ac:dyDescent="0.25">
      <c r="C784" s="5"/>
      <c r="P784" t="s">
        <v>1069</v>
      </c>
    </row>
    <row r="785" spans="3:16" x14ac:dyDescent="0.25">
      <c r="C785" s="5"/>
      <c r="P785" t="s">
        <v>1070</v>
      </c>
    </row>
    <row r="786" spans="3:16" x14ac:dyDescent="0.25">
      <c r="C786" s="5"/>
      <c r="P786" t="s">
        <v>1071</v>
      </c>
    </row>
    <row r="787" spans="3:16" x14ac:dyDescent="0.25">
      <c r="C787" s="5"/>
      <c r="P787" t="s">
        <v>1072</v>
      </c>
    </row>
    <row r="788" spans="3:16" x14ac:dyDescent="0.25">
      <c r="C788" s="5"/>
      <c r="P788" t="s">
        <v>1073</v>
      </c>
    </row>
    <row r="789" spans="3:16" x14ac:dyDescent="0.25">
      <c r="C789" s="5"/>
      <c r="P789" t="s">
        <v>1074</v>
      </c>
    </row>
    <row r="790" spans="3:16" x14ac:dyDescent="0.25">
      <c r="C790" s="5"/>
      <c r="P790" t="s">
        <v>1075</v>
      </c>
    </row>
    <row r="791" spans="3:16" x14ac:dyDescent="0.25">
      <c r="C791" s="5"/>
      <c r="P791" t="s">
        <v>1076</v>
      </c>
    </row>
    <row r="792" spans="3:16" x14ac:dyDescent="0.25">
      <c r="C792" s="5"/>
      <c r="P792" t="s">
        <v>1077</v>
      </c>
    </row>
    <row r="793" spans="3:16" x14ac:dyDescent="0.25">
      <c r="C793" s="5"/>
      <c r="P793" t="s">
        <v>1078</v>
      </c>
    </row>
  </sheetData>
  <pageMargins left="0.7" right="0.7" top="0.75" bottom="0.75" header="0.3" footer="0.3"/>
  <pageSetup orientation="portrait"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1262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1262</v>
      </c>
    </row>
    <row r="2" spans="1:4" ht="15.75" thickBot="1" x14ac:dyDescent="0.3"/>
    <row r="3" spans="1:4" ht="15.75" thickTop="1" x14ac:dyDescent="0.25">
      <c r="A3" s="222" t="s">
        <v>1267</v>
      </c>
      <c r="B3" s="223"/>
      <c r="C3" s="223"/>
      <c r="D3" s="224"/>
    </row>
    <row r="4" spans="1:4" ht="15.75" thickBot="1" x14ac:dyDescent="0.3">
      <c r="A4" s="98" t="s">
        <v>1263</v>
      </c>
      <c r="B4" s="99" t="s">
        <v>1264</v>
      </c>
      <c r="C4" s="99" t="s">
        <v>1265</v>
      </c>
      <c r="D4" s="100" t="s">
        <v>1266</v>
      </c>
    </row>
    <row r="5" spans="1:4" ht="15.75" thickTop="1" x14ac:dyDescent="0.25">
      <c r="A5" s="107" t="s">
        <v>14</v>
      </c>
      <c r="B5" s="101" t="s">
        <v>14</v>
      </c>
      <c r="C5" s="102" t="s">
        <v>1277</v>
      </c>
      <c r="D5" s="108"/>
    </row>
    <row r="6" spans="1:4" ht="60" x14ac:dyDescent="0.25">
      <c r="A6" s="109" t="s">
        <v>1268</v>
      </c>
      <c r="B6" s="103" t="s">
        <v>128</v>
      </c>
      <c r="C6" s="104" t="s">
        <v>1269</v>
      </c>
      <c r="D6" s="110" t="s">
        <v>1270</v>
      </c>
    </row>
    <row r="7" spans="1:4" ht="60" x14ac:dyDescent="0.25">
      <c r="A7" s="109" t="s">
        <v>1271</v>
      </c>
      <c r="B7" s="103" t="s">
        <v>129</v>
      </c>
      <c r="C7" s="104" t="s">
        <v>1272</v>
      </c>
      <c r="D7" s="110" t="s">
        <v>1273</v>
      </c>
    </row>
    <row r="8" spans="1:4" ht="30.75" thickBot="1" x14ac:dyDescent="0.3">
      <c r="A8" s="111" t="s">
        <v>1274</v>
      </c>
      <c r="B8" s="112" t="s">
        <v>130</v>
      </c>
      <c r="C8" s="113" t="s">
        <v>1275</v>
      </c>
      <c r="D8" s="114" t="s">
        <v>1276</v>
      </c>
    </row>
  </sheetData>
  <mergeCells count="1">
    <mergeCell ref="A3:D3"/>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1262</v>
      </c>
    </row>
    <row r="2" spans="1:6" ht="15.75" thickBot="1" x14ac:dyDescent="0.3"/>
    <row r="3" spans="1:6" s="7" customFormat="1" x14ac:dyDescent="0.25">
      <c r="A3" s="219" t="s">
        <v>1300</v>
      </c>
      <c r="B3" s="220"/>
      <c r="C3" s="220"/>
      <c r="D3" s="220"/>
      <c r="E3" s="221"/>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1281</v>
      </c>
      <c r="C5" s="19" t="s">
        <v>1281</v>
      </c>
      <c r="D5" s="51" t="s">
        <v>1293</v>
      </c>
      <c r="E5" s="123" t="s">
        <v>1282</v>
      </c>
    </row>
    <row r="6" spans="1:6" s="7" customFormat="1" ht="150" x14ac:dyDescent="0.25">
      <c r="A6" s="116" t="s">
        <v>158</v>
      </c>
      <c r="B6" s="11" t="s">
        <v>1294</v>
      </c>
      <c r="C6" s="11" t="s">
        <v>1295</v>
      </c>
      <c r="D6" s="12" t="s">
        <v>1296</v>
      </c>
      <c r="E6" s="117" t="s">
        <v>1297</v>
      </c>
    </row>
    <row r="7" spans="1:6" s="7" customFormat="1" ht="75.75" thickBot="1" x14ac:dyDescent="0.3">
      <c r="A7" s="118" t="s">
        <v>158</v>
      </c>
      <c r="B7" s="119" t="s">
        <v>1287</v>
      </c>
      <c r="C7" s="119" t="s">
        <v>1298</v>
      </c>
      <c r="D7" s="120" t="s">
        <v>1299</v>
      </c>
      <c r="E7" s="121" t="s">
        <v>1285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25" t="s">
        <v>1292</v>
      </c>
      <c r="B16" s="226"/>
      <c r="C16" s="226"/>
      <c r="D16" s="226"/>
      <c r="E16" s="227"/>
    </row>
    <row r="17" spans="1:5" ht="15.75" thickBot="1" x14ac:dyDescent="0.3">
      <c r="A17" s="98" t="s">
        <v>1278</v>
      </c>
      <c r="B17" s="99" t="s">
        <v>1301</v>
      </c>
      <c r="C17" s="115" t="s">
        <v>1279</v>
      </c>
      <c r="D17" s="100" t="s">
        <v>1280</v>
      </c>
      <c r="E17" s="99" t="s">
        <v>1305</v>
      </c>
    </row>
    <row r="18" spans="1:5" ht="90.75" thickTop="1" x14ac:dyDescent="0.25">
      <c r="A18" s="124" t="s">
        <v>1281</v>
      </c>
      <c r="B18" s="101" t="s">
        <v>1281</v>
      </c>
      <c r="C18" s="102" t="s">
        <v>1283</v>
      </c>
      <c r="D18" s="126" t="s">
        <v>1282</v>
      </c>
      <c r="E18" s="131" t="s">
        <v>1282</v>
      </c>
    </row>
    <row r="19" spans="1:5" s="5" customFormat="1" ht="30" x14ac:dyDescent="0.25">
      <c r="A19" s="125" t="s">
        <v>1291</v>
      </c>
      <c r="B19" s="103" t="s">
        <v>1295</v>
      </c>
      <c r="C19" s="104" t="s">
        <v>1288</v>
      </c>
      <c r="D19" s="127" t="s">
        <v>1289</v>
      </c>
      <c r="E19" s="110"/>
    </row>
    <row r="20" spans="1:5" ht="90.75" thickBot="1" x14ac:dyDescent="0.3">
      <c r="A20" s="128" t="s">
        <v>1290</v>
      </c>
      <c r="B20" s="105" t="s">
        <v>1298</v>
      </c>
      <c r="C20" s="106" t="s">
        <v>1284</v>
      </c>
      <c r="D20" s="129" t="s">
        <v>1285</v>
      </c>
      <c r="E20" s="130" t="s">
        <v>1306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39</vt:i4>
      </vt:variant>
    </vt:vector>
  </HeadingPairs>
  <TitlesOfParts>
    <vt:vector size="59"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Column Finder</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2015-03-23T21:10:41Z</dcterms:modified>
</cp:coreProperties>
</file>