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fileRecoveryPr repairLoad="1"/>
</workbook>
</file>

<file path=xl/calcChain.xml><?xml version="1.0" encoding="utf-8"?>
<calcChain xmlns="http://schemas.openxmlformats.org/spreadsheetml/2006/main">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AG4" i="11" s="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X5" i="11" l="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C4" i="15"/>
  <c r="A4" i="15"/>
  <c r="B4" i="15" l="1"/>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5" i="15"/>
  <c r="C5" i="15"/>
  <c r="B5" i="15" l="1"/>
  <c r="Q8" i="11"/>
  <c r="Q6" i="11"/>
  <c r="Q4" i="11"/>
  <c r="Q7" i="11"/>
  <c r="Q5" i="11"/>
  <c r="Q18" i="2"/>
  <c r="S7" i="2" s="1"/>
  <c r="Q2" i="11"/>
  <c r="C6" i="15"/>
  <c r="A6" i="15"/>
  <c r="B6" i="15" l="1"/>
  <c r="R7" i="11"/>
  <c r="R8" i="11"/>
  <c r="R6" i="11"/>
  <c r="R4" i="11"/>
  <c r="R5" i="11"/>
  <c r="R2" i="11"/>
  <c r="AI4" i="11" s="1"/>
  <c r="R3" i="11"/>
  <c r="A7" i="15"/>
  <c r="C7" i="15"/>
  <c r="D59" i="15" l="1"/>
  <c r="D58" i="15"/>
  <c r="D3" i="15"/>
  <c r="D4" i="15"/>
  <c r="D5" i="15"/>
  <c r="D6" i="15"/>
  <c r="B7" i="15"/>
  <c r="D7" i="15"/>
  <c r="AI3" i="11"/>
  <c r="D2" i="15"/>
  <c r="C8" i="15"/>
  <c r="A8" i="15"/>
  <c r="B8" i="15" l="1"/>
  <c r="D8" i="15"/>
  <c r="A9" i="15"/>
  <c r="C9" i="15"/>
  <c r="D9" i="15" l="1"/>
  <c r="B9" i="15"/>
  <c r="A10" i="15"/>
  <c r="C10" i="15"/>
  <c r="D10" i="15" l="1"/>
  <c r="B10" i="15"/>
  <c r="A11" i="15"/>
  <c r="C11" i="15"/>
  <c r="B11" i="15" l="1"/>
  <c r="D11" i="15"/>
  <c r="C12" i="15"/>
  <c r="A12" i="15"/>
  <c r="B12" i="15" l="1"/>
  <c r="D12" i="15"/>
  <c r="A13" i="15"/>
  <c r="C13" i="15"/>
  <c r="D13" i="15" l="1"/>
  <c r="B13" i="15"/>
  <c r="A14" i="15"/>
  <c r="C14" i="15"/>
  <c r="D14" i="15" l="1"/>
  <c r="B14" i="15"/>
  <c r="C15" i="15"/>
  <c r="A15" i="15"/>
  <c r="B15" i="15" l="1"/>
  <c r="D15" i="15"/>
  <c r="A16" i="15"/>
  <c r="C16" i="15"/>
  <c r="D16" i="15" l="1"/>
  <c r="B16" i="15"/>
  <c r="C17" i="15"/>
  <c r="A17" i="15"/>
  <c r="B17" i="15" l="1"/>
  <c r="D17" i="15"/>
  <c r="A18" i="15"/>
  <c r="C18" i="15"/>
  <c r="D18" i="15" l="1"/>
  <c r="B18" i="15"/>
  <c r="C19" i="15"/>
  <c r="A19" i="15"/>
  <c r="B19" i="15" l="1"/>
  <c r="D19" i="15"/>
  <c r="C20" i="15"/>
  <c r="A20" i="15"/>
  <c r="D20" i="15" l="1"/>
  <c r="B20" i="15"/>
  <c r="A21" i="15"/>
  <c r="C21" i="15"/>
  <c r="D21" i="15" l="1"/>
  <c r="B21" i="15"/>
  <c r="A22" i="15"/>
  <c r="C22" i="15"/>
  <c r="D22" i="15" l="1"/>
  <c r="B22" i="15"/>
  <c r="A23" i="15"/>
  <c r="C23" i="15"/>
  <c r="B23" i="15" l="1"/>
  <c r="D23" i="15"/>
  <c r="A24" i="15"/>
  <c r="C24" i="15"/>
  <c r="D24" i="15" l="1"/>
  <c r="B24" i="15"/>
  <c r="C25" i="15"/>
  <c r="A25" i="15"/>
  <c r="B25" i="15" l="1"/>
  <c r="D25" i="15"/>
  <c r="A26" i="15"/>
  <c r="C26" i="15"/>
  <c r="D26" i="15" l="1"/>
  <c r="B26" i="15"/>
  <c r="C27" i="15"/>
  <c r="A27" i="15"/>
  <c r="B27" i="15" l="1"/>
  <c r="D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A34" i="15"/>
  <c r="C34" i="15"/>
  <c r="D34" i="15" l="1"/>
  <c r="B34" i="15"/>
  <c r="C35" i="15"/>
  <c r="A35" i="15"/>
  <c r="B35" i="15" l="1"/>
  <c r="D35" i="15"/>
  <c r="A36" i="15"/>
  <c r="C36" i="15"/>
  <c r="D36" i="15" l="1"/>
  <c r="B36" i="15"/>
  <c r="C37" i="15"/>
  <c r="A37" i="15"/>
  <c r="D37" i="15" l="1"/>
  <c r="B37" i="15"/>
  <c r="A38" i="15"/>
  <c r="C38" i="15"/>
  <c r="D38" i="15" l="1"/>
  <c r="B38" i="15"/>
  <c r="C39" i="15"/>
  <c r="A39" i="15"/>
  <c r="B39" i="15" l="1"/>
  <c r="D39" i="15"/>
  <c r="A40" i="15"/>
  <c r="C40" i="15"/>
  <c r="D40" i="15" l="1"/>
  <c r="B40" i="15"/>
  <c r="A41" i="15"/>
  <c r="C41" i="15"/>
  <c r="B41" i="15" l="1"/>
  <c r="D41" i="15"/>
  <c r="A42" i="15"/>
  <c r="C42" i="15"/>
  <c r="D42" i="15" l="1"/>
  <c r="B42" i="15"/>
  <c r="C43" i="15"/>
  <c r="A43" i="15"/>
  <c r="B43" i="15" l="1"/>
  <c r="D43" i="15"/>
  <c r="C44" i="15"/>
  <c r="A44" i="15"/>
  <c r="B44" i="15" l="1"/>
  <c r="D44" i="15"/>
  <c r="C45" i="15"/>
  <c r="A45" i="15"/>
  <c r="B45" i="15" l="1"/>
  <c r="D45" i="15"/>
  <c r="C46" i="15"/>
  <c r="A46" i="15"/>
  <c r="B46" i="15" l="1"/>
  <c r="D46" i="15"/>
  <c r="C47" i="15"/>
  <c r="A47" i="15"/>
  <c r="B47" i="15" l="1"/>
  <c r="D47" i="15"/>
  <c r="A48" i="15"/>
  <c r="C48" i="15"/>
  <c r="D48" i="15" l="1"/>
  <c r="B48" i="15"/>
  <c r="A49" i="15"/>
  <c r="C49" i="15"/>
  <c r="D49" i="15" l="1"/>
  <c r="B49" i="15"/>
  <c r="C50" i="15"/>
  <c r="A50" i="15"/>
  <c r="D50" i="15" l="1"/>
  <c r="B50" i="15"/>
  <c r="C51" i="15"/>
  <c r="A51" i="15"/>
  <c r="B51" i="15" l="1"/>
  <c r="D51" i="15"/>
  <c r="C52" i="15"/>
  <c r="A52" i="15"/>
  <c r="B52" i="15" l="1"/>
  <c r="D52" i="15"/>
  <c r="C53" i="15"/>
  <c r="A53" i="15"/>
  <c r="B53" i="15" l="1"/>
  <c r="D53" i="15"/>
  <c r="A54" i="15"/>
  <c r="C54" i="15"/>
  <c r="D54" i="15" l="1"/>
  <c r="B54" i="15"/>
  <c r="A55" i="15"/>
  <c r="C55" i="15"/>
  <c r="B55" i="15" l="1"/>
  <c r="D55" i="15"/>
  <c r="C56" i="15"/>
  <c r="A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<sst xmlns="http://schemas.openxmlformats.org/spreadsheetml/2006/main" count="1485" uniqueCount="1396">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</sst>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1393</v>
      </c>
    </row>
    <row r="7" spans="1:1" s="5" customFormat="1" x14ac:dyDescent="0.25">
      <c r="A7" s="5" t="s">
        <v>1394</v>
      </c>
    </row>
    <row r="8" spans="1:1" s="5" customFormat="1" x14ac:dyDescent="0.25">
      <c r="A8" s="5" t="s">
        <v>1395</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x14ac:dyDescent="0.25">
      <c r="A27" s="5" t="s">
        <v>1314</v>
      </c>
    </row>
    <row r="28" spans="1:1" s="5" customFormat="1" x14ac:dyDescent="0.25"/>
    <row r="29" spans="1:1" ht="18.75" x14ac:dyDescent="0.3">
      <c r="A29" s="6" t="s">
        <v>1253</v>
      </c>
    </row>
    <row r="30" spans="1:1" x14ac:dyDescent="0.25">
      <c r="A30" s="5" t="s">
        <v>1305</v>
      </c>
    </row>
    <row r="31" spans="1:1" s="5" customFormat="1" x14ac:dyDescent="0.25">
      <c r="A31" s="5" t="s">
        <v>1288</v>
      </c>
    </row>
    <row r="32" spans="1:1" s="5" customFormat="1" x14ac:dyDescent="0.25">
      <c r="A32" s="5" t="s">
        <v>1289</v>
      </c>
    </row>
    <row r="33" spans="1:1" x14ac:dyDescent="0.25">
      <c r="A33" s="5" t="s">
        <v>1290</v>
      </c>
    </row>
    <row r="34" spans="1:1" x14ac:dyDescent="0.25">
      <c r="A34" s="5" t="s">
        <v>1318</v>
      </c>
    </row>
    <row r="35" spans="1:1" x14ac:dyDescent="0.25">
      <c r="A35" s="5" t="s">
        <v>1287</v>
      </c>
    </row>
    <row r="36" spans="1:1" x14ac:dyDescent="0.25">
      <c r="A36" s="5"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9" t="s">
        <v>155</v>
      </c>
      <c r="B7" s="160"/>
      <c r="C7" s="160"/>
      <c r="D7" s="160"/>
      <c r="E7" s="161"/>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1366</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1343</v>
      </c>
      <c r="H23" s="31" t="s">
        <v>303</v>
      </c>
      <c r="I23" s="31" t="s">
        <v>1364</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5" t="s">
        <v>129</v>
      </c>
      <c r="B6" s="166"/>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1368</v>
      </c>
      <c r="H8" s="29" t="s">
        <v>1367</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1234</v>
      </c>
      <c r="J10" s="147" t="s">
        <v>1365</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7" t="s">
        <v>264</v>
      </c>
      <c r="B5" s="170"/>
      <c r="C5" s="170"/>
      <c r="D5" s="170"/>
      <c r="E5" s="170"/>
      <c r="F5" s="170"/>
      <c r="G5" s="170"/>
      <c r="H5" s="170"/>
      <c r="I5" s="170"/>
      <c r="J5" s="170"/>
      <c r="K5" s="168"/>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1" t="s">
        <v>271</v>
      </c>
      <c r="B5" s="172"/>
      <c r="C5" s="172"/>
      <c r="D5" s="172"/>
      <c r="E5" s="172"/>
      <c r="F5" s="173"/>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1" t="s">
        <v>312</v>
      </c>
      <c r="B5" s="172"/>
      <c r="C5" s="172"/>
      <c r="D5" s="172"/>
      <c r="E5" s="172"/>
      <c r="F5" s="173"/>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7" t="s">
        <v>1225</v>
      </c>
      <c r="B5" s="170"/>
      <c r="C5" s="168"/>
    </row>
    <row r="6" spans="1:5" ht="15.75" thickBot="1" x14ac:dyDescent="0.3">
      <c r="A6" s="74" t="s">
        <v>1223</v>
      </c>
      <c r="B6" s="69" t="s">
        <v>1224</v>
      </c>
      <c r="C6" s="103" t="s">
        <v>1226</v>
      </c>
    </row>
    <row r="7" spans="1:5" ht="90.75" thickTop="1" x14ac:dyDescent="0.25">
      <c r="A7" s="99">
        <v>0</v>
      </c>
      <c r="B7" s="100" t="s">
        <v>1315</v>
      </c>
      <c r="C7" s="101" t="s">
        <v>1316</v>
      </c>
    </row>
    <row r="8" spans="1:5" ht="75" x14ac:dyDescent="0.25">
      <c r="A8" s="92">
        <v>1</v>
      </c>
      <c r="B8" s="80" t="s">
        <v>1317</v>
      </c>
      <c r="C8" s="102" t="s">
        <v>1377</v>
      </c>
    </row>
    <row r="9" spans="1:5" ht="60" x14ac:dyDescent="0.25">
      <c r="A9" s="92">
        <v>2</v>
      </c>
      <c r="B9" s="80" t="s">
        <v>1373</v>
      </c>
      <c r="C9" s="102" t="s">
        <v>1376</v>
      </c>
    </row>
    <row r="10" spans="1:5" ht="60" x14ac:dyDescent="0.25">
      <c r="A10" s="92">
        <v>3</v>
      </c>
      <c r="B10" s="80" t="s">
        <v>1374</v>
      </c>
      <c r="C10" s="102" t="s">
        <v>1378</v>
      </c>
    </row>
    <row r="11" spans="1:5" ht="75" x14ac:dyDescent="0.25">
      <c r="A11" s="92">
        <v>4</v>
      </c>
      <c r="B11" s="80" t="s">
        <v>1375</v>
      </c>
      <c r="C11" s="102" t="s">
        <v>1379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4" t="s">
        <v>143</v>
      </c>
      <c r="B10" s="175"/>
      <c r="C10" s="175"/>
      <c r="D10" s="175"/>
      <c r="E10" s="175"/>
      <c r="F10" s="175"/>
      <c r="G10" s="175"/>
      <c r="H10" s="175"/>
      <c r="I10" s="175"/>
      <c r="J10" s="175"/>
      <c r="K10" s="175"/>
      <c r="L10" s="175"/>
      <c r="M10" s="175"/>
      <c r="N10" s="175"/>
      <c r="O10" s="175"/>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A1" workbookViewId="0">
      <selection activeCell="AG5" sqref="AG5"/>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1369</v>
      </c>
      <c r="F1" s="28" t="s">
        <v>1349</v>
      </c>
      <c r="G1" s="28" t="s">
        <v>238</v>
      </c>
      <c r="H1" s="28" t="s">
        <v>1360</v>
      </c>
      <c r="I1" s="28" t="s">
        <v>240</v>
      </c>
      <c r="J1" s="28" t="s">
        <v>241</v>
      </c>
      <c r="K1" s="28" t="s">
        <v>1359</v>
      </c>
      <c r="L1" s="28" t="s">
        <v>242</v>
      </c>
      <c r="M1" s="28" t="s">
        <v>243</v>
      </c>
      <c r="N1" s="28" t="s">
        <v>244</v>
      </c>
      <c r="O1" s="28" t="s">
        <v>245</v>
      </c>
      <c r="P1" s="28" t="s">
        <v>1361</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IF(NumDataColumns&lt;1,5,NumDataColumns+4)</f>
        <v>5</v>
      </c>
      <c r="AD2" s="28">
        <v>1</v>
      </c>
      <c r="AE2" s="28">
        <v>1</v>
      </c>
      <c r="AF2" s="28">
        <v>1</v>
      </c>
      <c r="AG2" s="28">
        <f>IF(NumDataValues=0,3,2)</f>
        <v>3</v>
      </c>
    </row>
    <row r="3" spans="1:35"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6</v>
      </c>
    </row>
    <row r="4" spans="1:35" x14ac:dyDescent="0.25">
      <c r="A4" s="28">
        <f t="shared" si="0"/>
        <v>1</v>
      </c>
      <c r="B4" s="28" t="str">
        <f ca="1">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8" t="s">
        <v>1247</v>
      </c>
      <c r="AF4" s="28" t="str">
        <f>IF(INDEX(DataColumns[Column Label],ROW()-3)="",
"PLEASE FILL IN METADATA FOR AT LEAST ONE DATA COLUMN",
INDEX(DataColumns[Column Label],ROW()-3))</f>
        <v>PLEASE FILL IN METADATA FOR AT LEAST ONE DATA COLUMN</v>
      </c>
      <c r="AG4" s="28" t="str">
        <f ca="1">IF(INDEX(DataColumns[Col '#],ROW()-3)="",
"PLEASE FILL IN METADATA FOR AT LEAST ONE DATA COLUMN",
CONCATENATE("ValueDateTime",", ","ValueDateTimeUTCOffset",", ",INDIRECT(CONCATENATE("R",NumDataColumns+3,"C[-1]"),FALSE)," ],["))</f>
        <v>PLEASE FILL IN METADATA FOR AT LEAST ONE DATA COLUMN</v>
      </c>
      <c r="AH4" s="28" t="s">
        <v>1277</v>
      </c>
      <c r="AI4" s="28">
        <f>SUM(B2:AG2)</f>
        <v>56</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8" t="s">
        <v>1248</v>
      </c>
      <c r="AF5" s="28" t="str">
        <f>IF(ROW()-3&gt;NumDataColumns,
"",
CONCATENATE(AF4,", ",INDEX(DataColumns[Column Label],ROW()-3)))</f>
        <v/>
      </c>
      <c r="AG5" s="28" t="str">
        <f>IF(NumDataValues=0,"PLEASE FILL IN DATA IN THE DATA VALUES WORKSHEET","")</f>
        <v>PLEASE FILL IN DATA IN THE DATA VALUES WORKSHEET</v>
      </c>
      <c r="AH5" s="28" t="s">
        <v>1278</v>
      </c>
      <c r="AI5" s="28">
        <f>COUNT('Data Values'!C2:C91844)</f>
        <v>0</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8" t="s">
        <v>1249</v>
      </c>
      <c r="AF6" s="28" t="str">
        <f>IF(ROW()-3&gt;NumDataColumns,
"",
CONCATENATE(AF5,", ",INDEX(DataColumns[Column Label],ROW()-3)))</f>
        <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8"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 ca="1">OFFSET('YODA Header Blocks'!$A$1,0,A2)</f>
        <v>YAML Header</v>
      </c>
      <c r="C2" s="28">
        <v>1</v>
      </c>
      <c r="D2" s="28"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 ca="1">IF(C2=INDIRECT(CONCATENATE("'YODA Header Blocks'!R2C",A2+1,":R2C",A2+1),FALSE),A2+1,A2)</f>
        <v>1</v>
      </c>
      <c r="B3" s="28" t="str">
        <f ca="1">OFFSET('YODA Header Blocks'!$A$1,0,A3)</f>
        <v>YAML Header</v>
      </c>
      <c r="C3" s="28">
        <f ca="1">IF(C2=SUM(INDIRECT(CONCATENATE("'YODA Header Blocks'!R2C",A2+1,":R2C",A2+1),FALSE)),1,C2+1)</f>
        <v>2</v>
      </c>
      <c r="D3" s="28"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57" ca="1" si="0">IF(C3=INDIRECT(CONCATENATE("'YODA Header Blocks'!R2C",A3+1,":R2C",A3+1),FALSE),A3+1,A3)</f>
        <v>2</v>
      </c>
      <c r="B4" s="28" t="str">
        <f ca="1">OFFSET('YODA Header Blocks'!$A$1,0,A4)</f>
        <v>Dataset</v>
      </c>
      <c r="C4" s="28">
        <f t="shared" ref="C4:C57" ca="1" si="1">IF(C3=SUM(INDIRECT(CONCATENATE("'YODA Header Blocks'!R2C",A3+1,":R2C",A3+1),FALSE)),1,C3+1)</f>
        <v>1</v>
      </c>
      <c r="D4" s="28"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ca="1" si="0"/>
        <v>2</v>
      </c>
      <c r="B5" s="28" t="str">
        <f ca="1">OFFSET('YODA Header Blocks'!$A$1,0,A5)</f>
        <v>Dataset</v>
      </c>
      <c r="C5" s="28">
        <f t="shared" ca="1" si="1"/>
        <v>2</v>
      </c>
      <c r="D5" s="28"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ca="1" si="0"/>
        <v>3</v>
      </c>
      <c r="B6" s="28" t="str">
        <f ca="1">OFFSET('YODA Header Blocks'!$A$1,0,A6)</f>
        <v>Organizations</v>
      </c>
      <c r="C6" s="28">
        <f t="shared" ca="1" si="1"/>
        <v>1</v>
      </c>
      <c r="D6" s="28"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ca="1" si="0"/>
        <v>3</v>
      </c>
      <c r="B7" s="28" t="str">
        <f ca="1">OFFSET('YODA Header Blocks'!$A$1,0,A7)</f>
        <v>Organizations</v>
      </c>
      <c r="C7" s="28">
        <f t="shared" ca="1" si="1"/>
        <v>2</v>
      </c>
      <c r="D7" s="28"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ca="1" si="0"/>
        <v>4</v>
      </c>
      <c r="B8" s="28" t="str">
        <f ca="1">OFFSET('YODA Header Blocks'!$A$1,0,A8)</f>
        <v>External Identifier Organizations</v>
      </c>
      <c r="C8" s="28">
        <f t="shared" ca="1" si="1"/>
        <v>1</v>
      </c>
      <c r="D8" s="2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ca="1" si="0"/>
        <v>5</v>
      </c>
      <c r="B9" s="28" t="str">
        <f ca="1">OFFSET('YODA Header Blocks'!$A$1,0,A9)</f>
        <v>External Identifier Systems</v>
      </c>
      <c r="C9" s="28">
        <f t="shared" ca="1" si="1"/>
        <v>1</v>
      </c>
      <c r="D9" s="28"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ca="1" si="0"/>
        <v>6</v>
      </c>
      <c r="B10" s="28" t="str">
        <f ca="1">OFFSET('YODA Header Blocks'!$A$1,0,A10)</f>
        <v>People</v>
      </c>
      <c r="C10" s="28">
        <f t="shared" ca="1" si="1"/>
        <v>1</v>
      </c>
      <c r="D10" s="28"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ca="1" si="0"/>
        <v>6</v>
      </c>
      <c r="B11" s="28" t="str">
        <f ca="1">OFFSET('YODA Header Blocks'!$A$1,0,A11)</f>
        <v>People</v>
      </c>
      <c r="C11" s="28">
        <f t="shared" ca="1" si="1"/>
        <v>2</v>
      </c>
      <c r="D11" s="28"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ca="1" si="0"/>
        <v>7</v>
      </c>
      <c r="B12" s="28" t="str">
        <f ca="1">OFFSET('YODA Header Blocks'!$A$1,0,A12)</f>
        <v>Person External Identifiers</v>
      </c>
      <c r="C12" s="28">
        <f t="shared" ca="1" si="1"/>
        <v>1</v>
      </c>
      <c r="D12" s="28"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ca="1" si="0"/>
        <v>8</v>
      </c>
      <c r="B13" s="28" t="str">
        <f ca="1">OFFSET('YODA Header Blocks'!$A$1,0,A13)</f>
        <v>Affiliations</v>
      </c>
      <c r="C13" s="28">
        <f t="shared" ca="1" si="1"/>
        <v>1</v>
      </c>
      <c r="D13" s="28"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ca="1" si="0"/>
        <v>8</v>
      </c>
      <c r="B14" s="28" t="str">
        <f ca="1">OFFSET('YODA Header Blocks'!$A$1,0,A14)</f>
        <v>Affiliations</v>
      </c>
      <c r="C14" s="28">
        <f t="shared" ca="1" si="1"/>
        <v>2</v>
      </c>
      <c r="D14" s="28"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ca="1" si="0"/>
        <v>9</v>
      </c>
      <c r="B15" s="28" t="str">
        <f ca="1">OFFSET('YODA Header Blocks'!$A$1,0,A15)</f>
        <v>Citation</v>
      </c>
      <c r="C15" s="28">
        <f t="shared" ca="1" si="1"/>
        <v>1</v>
      </c>
      <c r="D15" s="28"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ca="1" si="0"/>
        <v>10</v>
      </c>
      <c r="B16" s="28" t="str">
        <f ca="1">OFFSET('YODA Header Blocks'!$A$1,0,A16)</f>
        <v>Citation External Identifiers</v>
      </c>
      <c r="C16" s="28">
        <f t="shared" ca="1" si="1"/>
        <v>1</v>
      </c>
      <c r="D16" s="28"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ca="1" si="0"/>
        <v>11</v>
      </c>
      <c r="B17" s="28" t="str">
        <f ca="1">OFFSET('YODA Header Blocks'!$A$1,0,A17)</f>
        <v>AuthorList</v>
      </c>
      <c r="C17" s="28">
        <f t="shared" ca="1" si="1"/>
        <v>1</v>
      </c>
      <c r="D17" s="28"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ca="1" si="0"/>
        <v>12</v>
      </c>
      <c r="B18" s="28" t="str">
        <f ca="1">OFFSET('YODA Header Blocks'!$A$1,0,A18)</f>
        <v>DatasetCitations</v>
      </c>
      <c r="C18" s="28">
        <f t="shared" ca="1" si="1"/>
        <v>1</v>
      </c>
      <c r="D18" s="2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ca="1" si="0"/>
        <v>13</v>
      </c>
      <c r="B19" s="28" t="str">
        <f ca="1">OFFSET('YODA Header Blocks'!$A$1,0,A19)</f>
        <v>Spatial References</v>
      </c>
      <c r="C19" s="28">
        <f t="shared" ca="1" si="1"/>
        <v>1</v>
      </c>
      <c r="D19" s="28"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ca="1" si="0"/>
        <v>13</v>
      </c>
      <c r="B20" s="28" t="str">
        <f ca="1">OFFSET('YODA Header Blocks'!$A$1,0,A20)</f>
        <v>Spatial References</v>
      </c>
      <c r="C20" s="28">
        <f t="shared" ca="1" si="1"/>
        <v>2</v>
      </c>
      <c r="D20" s="28"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ca="1" si="0"/>
        <v>14</v>
      </c>
      <c r="B21" s="28" t="str">
        <f ca="1">OFFSET('YODA Header Blocks'!$A$1,0,A21)</f>
        <v>Sampling Features</v>
      </c>
      <c r="C21" s="28">
        <f t="shared" ca="1" si="1"/>
        <v>1</v>
      </c>
      <c r="D21" s="28"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ca="1" si="0"/>
        <v>14</v>
      </c>
      <c r="B22" s="28" t="str">
        <f ca="1">OFFSET('YODA Header Blocks'!$A$1,0,A22)</f>
        <v>Sampling Features</v>
      </c>
      <c r="C22" s="28">
        <f t="shared" ca="1" si="1"/>
        <v>2</v>
      </c>
      <c r="D22" s="28"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ca="1" si="0"/>
        <v>15</v>
      </c>
      <c r="B23" s="28" t="str">
        <f ca="1">OFFSET('YODA Header Blocks'!$A$1,0,A23)</f>
        <v>Sampling Feature External Identifiers</v>
      </c>
      <c r="C23" s="28">
        <f t="shared" ca="1" si="1"/>
        <v>1</v>
      </c>
      <c r="D23" s="28"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ca="1" si="0"/>
        <v>16</v>
      </c>
      <c r="B24" s="28" t="str">
        <f ca="1">OFFSET('YODA Header Blocks'!$A$1,0,A24)</f>
        <v>Sites</v>
      </c>
      <c r="C24" s="28">
        <f t="shared" ca="1" si="1"/>
        <v>1</v>
      </c>
      <c r="D24" s="28"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ca="1" si="0"/>
        <v>17</v>
      </c>
      <c r="B25" s="28" t="str">
        <f ca="1">OFFSET('YODA Header Blocks'!$A$1,0,A25)</f>
        <v>Specimens</v>
      </c>
      <c r="C25" s="28">
        <f t="shared" ca="1" si="1"/>
        <v>1</v>
      </c>
      <c r="D25" s="28"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ca="1" si="0"/>
        <v>18</v>
      </c>
      <c r="B26" s="28" t="str">
        <f ca="1">OFFSET('YODA Header Blocks'!$A$1,0,A26)</f>
        <v>SpatialOffsets</v>
      </c>
      <c r="C26" s="28">
        <f t="shared" ca="1" si="1"/>
        <v>1</v>
      </c>
      <c r="D26" s="28"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ca="1" si="0"/>
        <v>19</v>
      </c>
      <c r="B27" s="28" t="str">
        <f ca="1">OFFSET('YODA Header Blocks'!$A$1,0,A27)</f>
        <v>RelatedFeatures</v>
      </c>
      <c r="C27" s="28">
        <f t="shared" ca="1" si="1"/>
        <v>1</v>
      </c>
      <c r="D27" s="28"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ca="1" si="0"/>
        <v>20</v>
      </c>
      <c r="B28" s="28" t="str">
        <f ca="1">OFFSET('YODA Header Blocks'!$A$1,0,A28)</f>
        <v>Methods</v>
      </c>
      <c r="C28" s="28">
        <f t="shared" ca="1" si="1"/>
        <v>1</v>
      </c>
      <c r="D28" s="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ca="1" si="0"/>
        <v>20</v>
      </c>
      <c r="B29" s="28" t="str">
        <f ca="1">OFFSET('YODA Header Blocks'!$A$1,0,A29)</f>
        <v>Methods</v>
      </c>
      <c r="C29" s="28">
        <f t="shared" ca="1" si="1"/>
        <v>2</v>
      </c>
      <c r="D29" s="28"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ca="1" si="0"/>
        <v>21</v>
      </c>
      <c r="B30" s="28" t="str">
        <f ca="1">OFFSET('YODA Header Blocks'!$A$1,0,A30)</f>
        <v>Variables</v>
      </c>
      <c r="C30" s="28">
        <f t="shared" ca="1" si="1"/>
        <v>1</v>
      </c>
      <c r="D30" s="28"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ca="1" si="0"/>
        <v>21</v>
      </c>
      <c r="B31" s="28" t="str">
        <f ca="1">OFFSET('YODA Header Blocks'!$A$1,0,A31)</f>
        <v>Variables</v>
      </c>
      <c r="C31" s="28">
        <f t="shared" ca="1" si="1"/>
        <v>2</v>
      </c>
      <c r="D31" s="28"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ca="1" si="0"/>
        <v>22</v>
      </c>
      <c r="B32" s="28" t="str">
        <f ca="1">OFFSET('YODA Header Blocks'!$A$1,0,A32)</f>
        <v>Units</v>
      </c>
      <c r="C32" s="28">
        <f t="shared" ca="1" si="1"/>
        <v>1</v>
      </c>
      <c r="D32" s="28"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ca="1" si="0"/>
        <v>23</v>
      </c>
      <c r="B33" s="28" t="str">
        <f ca="1">OFFSET('YODA Header Blocks'!$A$1,0,A33)</f>
        <v>Processing Levels</v>
      </c>
      <c r="C33" s="28">
        <f t="shared" ca="1" si="1"/>
        <v>1</v>
      </c>
      <c r="D33" s="28"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ca="1" si="0"/>
        <v>23</v>
      </c>
      <c r="B34" s="28" t="str">
        <f ca="1">OFFSET('YODA Header Blocks'!$A$1,0,A34)</f>
        <v>Processing Levels</v>
      </c>
      <c r="C34" s="28">
        <f t="shared" ca="1" si="1"/>
        <v>2</v>
      </c>
      <c r="D34" s="28"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ca="1" si="0"/>
        <v>23</v>
      </c>
      <c r="B35" s="28" t="str">
        <f ca="1">OFFSET('YODA Header Blocks'!$A$1,0,A35)</f>
        <v>Processing Levels</v>
      </c>
      <c r="C35" s="28">
        <f t="shared" ca="1" si="1"/>
        <v>3</v>
      </c>
      <c r="D35" s="28"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ca="1" si="0"/>
        <v>23</v>
      </c>
      <c r="B36" s="28" t="str">
        <f ca="1">OFFSET('YODA Header Blocks'!$A$1,0,A36)</f>
        <v>Processing Levels</v>
      </c>
      <c r="C36" s="28">
        <f t="shared" ca="1" si="1"/>
        <v>4</v>
      </c>
      <c r="D36" s="28"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ca="1" si="0"/>
        <v>23</v>
      </c>
      <c r="B37" s="28" t="str">
        <f ca="1">OFFSET('YODA Header Blocks'!$A$1,0,A37)</f>
        <v>Processing Levels</v>
      </c>
      <c r="C37" s="28">
        <f t="shared" ca="1" si="1"/>
        <v>5</v>
      </c>
      <c r="D37" s="28"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ca="1" si="0"/>
        <v>23</v>
      </c>
      <c r="B38" s="28" t="str">
        <f ca="1">OFFSET('YODA Header Blocks'!$A$1,0,A38)</f>
        <v>Processing Levels</v>
      </c>
      <c r="C38" s="28">
        <f t="shared" ca="1" si="1"/>
        <v>6</v>
      </c>
      <c r="D38" s="2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ca="1" si="0"/>
        <v>24</v>
      </c>
      <c r="B39" s="28" t="str">
        <f ca="1">OFFSET('YODA Header Blocks'!$A$1,0,A39)</f>
        <v>Actions</v>
      </c>
      <c r="C39" s="28">
        <f t="shared" ca="1" si="1"/>
        <v>1</v>
      </c>
      <c r="D39" s="28"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ca="1" si="0"/>
        <v>24</v>
      </c>
      <c r="B40" s="28" t="str">
        <f ca="1">OFFSET('YODA Header Blocks'!$A$1,0,A40)</f>
        <v>Actions</v>
      </c>
      <c r="C40" s="28">
        <f t="shared" ca="1" si="1"/>
        <v>2</v>
      </c>
      <c r="D40" s="28"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ca="1" si="0"/>
        <v>25</v>
      </c>
      <c r="B41" s="28" t="str">
        <f ca="1">OFFSET('YODA Header Blocks'!$A$1,0,A41)</f>
        <v>Feature Actions</v>
      </c>
      <c r="C41" s="28">
        <f t="shared" ca="1" si="1"/>
        <v>1</v>
      </c>
      <c r="D41" s="28"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ca="1" si="0"/>
        <v>25</v>
      </c>
      <c r="B42" s="28" t="str">
        <f ca="1">OFFSET('YODA Header Blocks'!$A$1,0,A42)</f>
        <v>Feature Actions</v>
      </c>
      <c r="C42" s="28">
        <f t="shared" ca="1" si="1"/>
        <v>2</v>
      </c>
      <c r="D42" s="28"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ca="1" si="0"/>
        <v>26</v>
      </c>
      <c r="B43" s="28" t="str">
        <f ca="1">OFFSET('YODA Header Blocks'!$A$1,0,A43)</f>
        <v>Results</v>
      </c>
      <c r="C43" s="28">
        <f t="shared" ca="1" si="1"/>
        <v>1</v>
      </c>
      <c r="D43" s="28"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ca="1" si="0"/>
        <v>26</v>
      </c>
      <c r="B44" s="28" t="str">
        <f ca="1">OFFSET('YODA Header Blocks'!$A$1,0,A44)</f>
        <v>Results</v>
      </c>
      <c r="C44" s="28">
        <f t="shared" ca="1" si="1"/>
        <v>2</v>
      </c>
      <c r="D44" s="28"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ca="1" si="0"/>
        <v>27</v>
      </c>
      <c r="B45" s="28" t="str">
        <f ca="1">OFFSET('YODA Header Blocks'!$A$1,0,A45)</f>
        <v>Time Series Results</v>
      </c>
      <c r="C45" s="28">
        <f t="shared" ca="1" si="1"/>
        <v>1</v>
      </c>
      <c r="D45" s="28"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ca="1" si="0"/>
        <v>27</v>
      </c>
      <c r="B46" s="28" t="str">
        <f ca="1">OFFSET('YODA Header Blocks'!$A$1,0,A46)</f>
        <v>Time Series Results</v>
      </c>
      <c r="C46" s="28">
        <f t="shared" ca="1" si="1"/>
        <v>2</v>
      </c>
      <c r="D46" s="28"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ca="1" si="0"/>
        <v>28</v>
      </c>
      <c r="B47" s="28" t="str">
        <f ca="1">OFFSET('YODA Header Blocks'!$A$1,0,A47)</f>
        <v>Time Series Result Values</v>
      </c>
      <c r="C47" s="28">
        <f t="shared" ca="1" si="1"/>
        <v>1</v>
      </c>
      <c r="D47" s="28"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ca="1" si="0"/>
        <v>28</v>
      </c>
      <c r="B48" s="28" t="str">
        <f ca="1">OFFSET('YODA Header Blocks'!$A$1,0,A48)</f>
        <v>Time Series Result Values</v>
      </c>
      <c r="C48" s="28">
        <f t="shared" ca="1" si="1"/>
        <v>2</v>
      </c>
      <c r="D48" s="2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ca="1" si="0"/>
        <v>28</v>
      </c>
      <c r="B49" s="28" t="str">
        <f ca="1">OFFSET('YODA Header Blocks'!$A$1,0,A49)</f>
        <v>Time Series Result Values</v>
      </c>
      <c r="C49" s="28">
        <f t="shared" ca="1" si="1"/>
        <v>3</v>
      </c>
      <c r="D49" s="28"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ca="1" si="0"/>
        <v>28</v>
      </c>
      <c r="B50" s="28" t="str">
        <f ca="1">OFFSET('YODA Header Blocks'!$A$1,0,A50)</f>
        <v>Time Series Result Values</v>
      </c>
      <c r="C50" s="28">
        <f t="shared" ca="1" si="1"/>
        <v>4</v>
      </c>
      <c r="D50" s="28"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ca="1" si="0"/>
        <v>28</v>
      </c>
      <c r="B51" s="28" t="str">
        <f ca="1">OFFSET('YODA Header Blocks'!$A$1,0,A51)</f>
        <v>Time Series Result Values</v>
      </c>
      <c r="C51" s="28">
        <f t="shared" ca="1" si="1"/>
        <v>5</v>
      </c>
      <c r="D51" s="28"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ca="1" si="0"/>
        <v>29</v>
      </c>
      <c r="B52" s="28" t="str">
        <f ca="1">OFFSET('YODA Header Blocks'!$A$1,0,A52)</f>
        <v>Measurement Results</v>
      </c>
      <c r="C52" s="28">
        <f t="shared" ca="1" si="1"/>
        <v>1</v>
      </c>
      <c r="D52" s="28"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ca="1" si="0"/>
        <v>30</v>
      </c>
      <c r="B53" s="28" t="str">
        <f ca="1">OFFSET('YODA Header Blocks'!$A$1,0,A53)</f>
        <v>Measurement Result Values</v>
      </c>
      <c r="C53" s="28">
        <f t="shared" ca="1" si="1"/>
        <v>1</v>
      </c>
      <c r="D53" s="28"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ca="1" si="0"/>
        <v>31</v>
      </c>
      <c r="B54" s="28" t="str">
        <f ca="1">OFFSET('YODA Header Blocks'!$A$1,0,A54)</f>
        <v>Data Helper</v>
      </c>
      <c r="C54" s="28">
        <f t="shared" ca="1" si="1"/>
        <v>1</v>
      </c>
      <c r="D54" s="28"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ca="1" si="0"/>
        <v>32</v>
      </c>
      <c r="B55" s="28" t="str">
        <f ca="1">OFFSET('YODA Header Blocks'!$A$1,0,A55)</f>
        <v>Data Helper2</v>
      </c>
      <c r="C55" s="28">
        <f t="shared" ca="1" si="1"/>
        <v>1</v>
      </c>
      <c r="D55" s="28"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ca="1" si="0"/>
        <v>32</v>
      </c>
      <c r="B56" s="28" t="str">
        <f ca="1">OFFSET('YODA Header Blocks'!$A$1,0,A56)</f>
        <v>Data Helper2</v>
      </c>
      <c r="C56" s="28">
        <f t="shared" ca="1" si="1"/>
        <v>2</v>
      </c>
      <c r="D56" s="28"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ca="1" si="0"/>
        <v>32</v>
      </c>
      <c r="B57" s="28" t="str">
        <f ca="1">OFFSET('YODA Header Blocks'!$A$1,0,A57)</f>
        <v>Data Helper2</v>
      </c>
      <c r="C57" s="28">
        <f t="shared" ca="1" si="1"/>
        <v>3</v>
      </c>
      <c r="D57" s="28"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1370</v>
      </c>
    </row>
    <row r="3" spans="1:1" x14ac:dyDescent="0.25">
      <c r="A3" t="s">
        <v>1281</v>
      </c>
    </row>
    <row r="4" spans="1:1" x14ac:dyDescent="0.25">
      <c r="A4" t="s">
        <v>1392</v>
      </c>
    </row>
    <row r="5" spans="1:1" x14ac:dyDescent="0.25">
      <c r="A5" t="s">
        <v>191</v>
      </c>
    </row>
    <row r="6" spans="1:1" x14ac:dyDescent="0.25">
      <c r="A6" t="s">
        <v>1380</v>
      </c>
    </row>
    <row r="7" spans="1:1" x14ac:dyDescent="0.25">
      <c r="A7" t="s">
        <v>189</v>
      </c>
    </row>
    <row r="8" spans="1:1" x14ac:dyDescent="0.25">
      <c r="A8" t="s">
        <v>1381</v>
      </c>
    </row>
    <row r="9" spans="1:1" x14ac:dyDescent="0.25">
      <c r="A9" t="s">
        <v>192</v>
      </c>
    </row>
    <row r="10" spans="1:1" x14ac:dyDescent="0.25">
      <c r="A10" t="s">
        <v>234</v>
      </c>
    </row>
    <row r="11" spans="1:1" x14ac:dyDescent="0.25">
      <c r="A11" t="s">
        <v>1382</v>
      </c>
    </row>
    <row r="12" spans="1:1" x14ac:dyDescent="0.25">
      <c r="A12" t="s">
        <v>235</v>
      </c>
    </row>
    <row r="13" spans="1:1" x14ac:dyDescent="0.25">
      <c r="A13" t="s">
        <v>1383</v>
      </c>
    </row>
    <row r="14" spans="1:1" x14ac:dyDescent="0.25">
      <c r="A14" t="s">
        <v>295</v>
      </c>
    </row>
    <row r="15" spans="1:1" x14ac:dyDescent="0.25">
      <c r="A15" t="s">
        <v>1384</v>
      </c>
    </row>
    <row r="16" spans="1:1" x14ac:dyDescent="0.25">
      <c r="A16" t="s">
        <v>1106</v>
      </c>
    </row>
    <row r="17" spans="1:1" x14ac:dyDescent="0.25">
      <c r="A17" t="s">
        <v>1385</v>
      </c>
    </row>
    <row r="18" spans="1:1" x14ac:dyDescent="0.25">
      <c r="A18" t="s">
        <v>1228</v>
      </c>
    </row>
    <row r="19" spans="1:1" x14ac:dyDescent="0.25">
      <c r="A19" t="s">
        <v>1371</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1235</v>
      </c>
    </row>
    <row r="25" spans="1:1" x14ac:dyDescent="0.25">
      <c r="A25" t="s">
        <v>1390</v>
      </c>
    </row>
    <row r="26" spans="1:1" x14ac:dyDescent="0.25">
      <c r="A26" t="s">
        <v>1237</v>
      </c>
    </row>
    <row r="27" spans="1:1" x14ac:dyDescent="0.25">
      <c r="A27" t="s">
        <v>1390</v>
      </c>
    </row>
    <row r="28" spans="1:1" x14ac:dyDescent="0.25">
      <c r="A28" t="s">
        <v>1239</v>
      </c>
    </row>
    <row r="29" spans="1:1" x14ac:dyDescent="0.25">
      <c r="A29" t="s">
        <v>1390</v>
      </c>
    </row>
    <row r="30" spans="1:1" x14ac:dyDescent="0.25">
      <c r="A30" t="s">
        <v>1240</v>
      </c>
    </row>
    <row r="31" spans="1:1" x14ac:dyDescent="0.25">
      <c r="A31" t="s">
        <v>1390</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1390</v>
      </c>
    </row>
    <row r="37" spans="1:1" x14ac:dyDescent="0.25">
      <c r="A37" t="s">
        <v>1254</v>
      </c>
    </row>
    <row r="38" spans="1:1" x14ac:dyDescent="0.25">
      <c r="A38" t="s">
        <v>1257</v>
      </c>
    </row>
    <row r="39" spans="1:1" x14ac:dyDescent="0.25">
      <c r="A39" t="s">
        <v>1390</v>
      </c>
    </row>
    <row r="40" spans="1:1" x14ac:dyDescent="0.25">
      <c r="A40" t="s">
        <v>1391</v>
      </c>
    </row>
    <row r="41" spans="1:1" x14ac:dyDescent="0.25">
      <c r="A41" t="s">
        <v>1372</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76" t="s">
        <v>1324</v>
      </c>
      <c r="B3" s="177"/>
      <c r="C3" s="177"/>
      <c r="D3" s="178"/>
    </row>
    <row r="4" spans="1:4" ht="15.75" thickBot="1" x14ac:dyDescent="0.3">
      <c r="A4" s="109" t="s">
        <v>1320</v>
      </c>
      <c r="B4" s="110" t="s">
        <v>1321</v>
      </c>
      <c r="C4" s="110" t="s">
        <v>1322</v>
      </c>
      <c r="D4" s="111" t="s">
        <v>1323</v>
      </c>
    </row>
    <row r="5" spans="1:4" ht="15.75" thickTop="1" x14ac:dyDescent="0.25">
      <c r="A5" s="118" t="s">
        <v>14</v>
      </c>
      <c r="B5" s="112" t="s">
        <v>14</v>
      </c>
      <c r="C5" s="113" t="s">
        <v>1334</v>
      </c>
      <c r="D5" s="119"/>
    </row>
    <row r="6" spans="1:4" ht="60" x14ac:dyDescent="0.25">
      <c r="A6" s="120" t="s">
        <v>1325</v>
      </c>
      <c r="B6" s="114" t="s">
        <v>130</v>
      </c>
      <c r="C6" s="115" t="s">
        <v>1326</v>
      </c>
      <c r="D6" s="121" t="s">
        <v>1327</v>
      </c>
    </row>
    <row r="7" spans="1:4" ht="60" x14ac:dyDescent="0.25">
      <c r="A7" s="120" t="s">
        <v>1328</v>
      </c>
      <c r="B7" s="114" t="s">
        <v>131</v>
      </c>
      <c r="C7" s="115" t="s">
        <v>1329</v>
      </c>
      <c r="D7" s="121" t="s">
        <v>1330</v>
      </c>
    </row>
    <row r="8" spans="1:4" ht="30.75" thickBot="1" x14ac:dyDescent="0.3">
      <c r="A8" s="122" t="s">
        <v>1331</v>
      </c>
      <c r="B8" s="123" t="s">
        <v>132</v>
      </c>
      <c r="C8" s="124" t="s">
        <v>1332</v>
      </c>
      <c r="D8" s="125"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33" sqref="C33"/>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79" t="s">
        <v>1357</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1338</v>
      </c>
      <c r="C5" s="19" t="s">
        <v>1338</v>
      </c>
      <c r="D5" s="54" t="s">
        <v>1350</v>
      </c>
      <c r="E5" s="134" t="s">
        <v>1339</v>
      </c>
    </row>
    <row r="6" spans="1:6" s="7" customFormat="1" ht="150" x14ac:dyDescent="0.25">
      <c r="A6" s="127" t="s">
        <v>171</v>
      </c>
      <c r="B6" s="11" t="s">
        <v>1351</v>
      </c>
      <c r="C6" s="11" t="s">
        <v>1352</v>
      </c>
      <c r="D6" s="12" t="s">
        <v>1353</v>
      </c>
      <c r="E6" s="128" t="s">
        <v>1354</v>
      </c>
    </row>
    <row r="7" spans="1:6" s="7" customFormat="1" ht="75.75" thickBot="1" x14ac:dyDescent="0.3">
      <c r="A7" s="129" t="s">
        <v>171</v>
      </c>
      <c r="B7" s="130" t="s">
        <v>1344</v>
      </c>
      <c r="C7" s="130" t="s">
        <v>1355</v>
      </c>
      <c r="D7" s="131" t="s">
        <v>1356</v>
      </c>
      <c r="E7" s="132"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1349</v>
      </c>
      <c r="B16" s="183"/>
      <c r="C16" s="183"/>
      <c r="D16" s="183"/>
      <c r="E16" s="184"/>
    </row>
    <row r="17" spans="1:5" ht="15.75" thickBot="1" x14ac:dyDescent="0.3">
      <c r="A17" s="109" t="s">
        <v>1335</v>
      </c>
      <c r="B17" s="110" t="s">
        <v>1358</v>
      </c>
      <c r="C17" s="126" t="s">
        <v>1336</v>
      </c>
      <c r="D17" s="111" t="s">
        <v>1337</v>
      </c>
      <c r="E17" s="110" t="s">
        <v>1362</v>
      </c>
    </row>
    <row r="18" spans="1:5" ht="90.75" thickTop="1" x14ac:dyDescent="0.25">
      <c r="A18" s="135" t="s">
        <v>1338</v>
      </c>
      <c r="B18" s="112" t="s">
        <v>1338</v>
      </c>
      <c r="C18" s="113" t="s">
        <v>1340</v>
      </c>
      <c r="D18" s="137" t="s">
        <v>1339</v>
      </c>
      <c r="E18" s="142" t="s">
        <v>1339</v>
      </c>
    </row>
    <row r="19" spans="1:5" s="5" customFormat="1" ht="30" x14ac:dyDescent="0.25">
      <c r="A19" s="136" t="s">
        <v>1348</v>
      </c>
      <c r="B19" s="114" t="s">
        <v>1352</v>
      </c>
      <c r="C19" s="115" t="s">
        <v>1345</v>
      </c>
      <c r="D19" s="138" t="s">
        <v>1346</v>
      </c>
      <c r="E19" s="121"/>
    </row>
    <row r="20" spans="1:5" ht="90.75" thickBot="1" x14ac:dyDescent="0.3">
      <c r="A20" s="139" t="s">
        <v>1347</v>
      </c>
      <c r="B20" s="116" t="s">
        <v>1355</v>
      </c>
      <c r="C20" s="117" t="s">
        <v>1341</v>
      </c>
      <c r="D20" s="140" t="s">
        <v>1342</v>
      </c>
      <c r="E20" s="141"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2015-03-13T15:46:24Z</dcterms:modified>
</cp:coreProperties>
</file>