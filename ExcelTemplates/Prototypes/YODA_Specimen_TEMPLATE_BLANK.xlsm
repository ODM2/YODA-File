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ables/table3.xml" ContentType="application/vnd.openxmlformats-officedocument.spreadsheetml.table+xml"/>
  <Override PartName="/xl/comments2.xml" ContentType="application/vnd.openxmlformats-officedocument.spreadsheetml.comments+xml"/>
  <Override PartName="/xl/tables/table4.xml" ContentType="application/vnd.openxmlformats-officedocument.spreadsheetml.table+xml"/>
  <Override PartName="/xl/comments3.xml" ContentType="application/vnd.openxmlformats-officedocument.spreadsheetml.comments+xml"/>
  <Override PartName="/xl/tables/table5.xml" ContentType="application/vnd.openxmlformats-officedocument.spreadsheetml.table+xml"/>
  <Override PartName="/xl/comments4.xml" ContentType="application/vnd.openxmlformats-officedocument.spreadsheetml.comments+xml"/>
  <Override PartName="/xl/tables/table6.xml" ContentType="application/vnd.openxmlformats-officedocument.spreadsheetml.table+xml"/>
  <Override PartName="/xl/comments5.xml" ContentType="application/vnd.openxmlformats-officedocument.spreadsheetml.comments+xml"/>
  <Override PartName="/xl/tables/table7.xml" ContentType="application/vnd.openxmlformats-officedocument.spreadsheetml.table+xml"/>
  <Override PartName="/xl/tables/table8.xml" ContentType="application/vnd.openxmlformats-officedocument.spreadsheetml.table+xml"/>
  <Override PartName="/xl/comments6.xml" ContentType="application/vnd.openxmlformats-officedocument.spreadsheetml.comments+xml"/>
  <Override PartName="/xl/tables/table9.xml" ContentType="application/vnd.openxmlformats-officedocument.spreadsheetml.table+xml"/>
  <Override PartName="/xl/tables/table10.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tables/table11.xml" ContentType="application/vnd.openxmlformats-officedocument.spreadsheetml.table+xml"/>
  <Override PartName="/xl/comments7.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omments8.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autoCompressPictures="0" defaultThemeVersion="124226"/>
  <workbookProtection workbookPassword="CA31" lockStructure="1"/>
  <bookViews>
    <workbookView xWindow="-120" yWindow="60" windowWidth="19320" windowHeight="3270"/>
  </bookViews>
  <sheets>
    <sheet name="Instructions" sheetId="14" r:id="rId1"/>
    <sheet name="People and Organizations" sheetId="7" r:id="rId2"/>
    <sheet name="Dataset Citation" sheetId="1" r:id="rId3"/>
    <sheet name="Sampling Features" sheetId="2" r:id="rId4"/>
    <sheet name="Spatial Offsets" sheetId="22" r:id="rId5"/>
    <sheet name="Related Features (optional)" sheetId="9" r:id="rId6"/>
    <sheet name="Methods" sheetId="8" r:id="rId7"/>
    <sheet name="Variables" sheetId="12" r:id="rId8"/>
    <sheet name="Processing Levels" sheetId="13" r:id="rId9"/>
    <sheet name="Taxonomic Classifiers" sheetId="20" r:id="rId10"/>
    <sheet name="Data Columns" sheetId="4" r:id="rId11"/>
    <sheet name="Data Values" sheetId="5" r:id="rId12"/>
    <sheet name="Specimen Column Finder" sheetId="21" state="hidden" r:id="rId13"/>
    <sheet name="Result Column Labels" sheetId="24" state="hidden" r:id="rId14"/>
    <sheet name="Result Column Finder" sheetId="23" state="hidden" r:id="rId15"/>
    <sheet name="YODA Header Blocks" sheetId="11" state="hidden" r:id="rId16"/>
    <sheet name="YODA Generator" sheetId="15" state="hidden" r:id="rId17"/>
    <sheet name="YODA File" sheetId="16" r:id="rId18"/>
    <sheet name="Controlled Vocabularies" sheetId="3" state="hidden" r:id="rId19"/>
    <sheet name="Units" sheetId="19" state="hidden" r:id="rId20"/>
    <sheet name="SpatialReferences" sheetId="18" state="hidden" r:id="rId21"/>
    <sheet name="ExternalIdentifierSystems" sheetId="17" state="hidden" r:id="rId22"/>
  </sheets>
  <functionGroups builtInGroupCount="17"/>
  <definedNames>
    <definedName name="_xlnm._FilterDatabase" localSheetId="17" hidden="1">'YODA File'!$A$1:$A$34</definedName>
    <definedName name="ActionTypeCV">INDEX(ControlledVocabularies[ActionTypeCV],1,1):INDEX(ControlledVocabularies[ActionTypeCV],COUNTA(ControlledVocabularies[ActionTypeCV]))</definedName>
    <definedName name="AggregationStatisticCV">INDEX(ControlledVocabularies[AggregationStatisticCV],1,1):INDEX(ControlledVocabularies[AggregationStatisticCV],COUNTA(ControlledVocabularies[AggregationStatisticCV]))</definedName>
    <definedName name="Boolean">INDEX(ControlledVocabularies[Boolean],1,1):INDEX(ControlledVocabularies[Boolean],COUNTA(ControlledVocabularies[Boolean]))</definedName>
    <definedName name="CensorCodeCV">INDEX(ControlledVocabularies[CensorCodeCV],1,1):INDEX(ControlledVocabularies[CensorCodeCV],COUNTA(ControlledVocabularies[CensorCodeCV]))</definedName>
    <definedName name="CitationDOI">'Dataset Citation'!$B$18</definedName>
    <definedName name="CitationInformation">'Dataset Citation'!$B$14:$B$19</definedName>
    <definedName name="CitationLink">'Dataset Citation'!$B$19</definedName>
    <definedName name="CitationTitle">'Dataset Citation'!$B$15</definedName>
    <definedName name="ColumnLabels">INDEX(DataColumns[ColumnLabel],1,1):INDEX(DataColumns[ColumnLabel],COUNTA(DataColumns[ColumnLabel]))</definedName>
    <definedName name="ColumnTypes">INDEX(ControlledVocabularies[ColumnTypes],1,1):INDEX(ControlledVocabularies[ColumnTypes],COUNTA(ControlledVocabularies[ColumnTypes]))</definedName>
    <definedName name="DatasetAbstract">'Dataset Citation'!$B$11</definedName>
    <definedName name="DatasetCitationRelationship">'Dataset Citation'!$B$14</definedName>
    <definedName name="DatasetCode">'Dataset Citation'!$B$9</definedName>
    <definedName name="DatasetTitle">'Dataset Citation'!$B$10</definedName>
    <definedName name="DatasetType">'Dataset Citation'!$B$8</definedName>
    <definedName name="DataSetTypeCV">INDEX(ControlledVocabularies[DatasetTypeCV],1,1):INDEX(ControlledVocabularies[DatasetTypeCV],COUNTA(ControlledVocabularies[DatasetTypeCV]))</definedName>
    <definedName name="DatasetUUID">'Dataset Citation'!$B$7</definedName>
    <definedName name="DataValueLabels">INDEX(ResultColumnLabels[Data Value Label],1,1):INDEX(ResultColumnLabels[Data Value Label],NumDataColumns)</definedName>
    <definedName name="ElevationDatum">'Sampling Features'!$B$9</definedName>
    <definedName name="ElevationDatumCV">INDEX(ControlledVocabularies[ElevationDatumCV],1,1):INDEX(ControlledVocabularies[ElevationDatumCV],COUNTA(ControlledVocabularies[ElevationDatumCV]))</definedName>
    <definedName name="FeatureCodes">INDEX(SamplingFeatures[Feature Code],1,1):INDEX(SamplingFeatures[Feature Code],COUNTA(SamplingFeatures[Feature Code]))</definedName>
    <definedName name="LatLonDatum">'Sampling Features'!$B$10</definedName>
    <definedName name="LatLonDatumNames">INDEX(SpatialReferences[SRSName],1,1):INDEX(SpatialReferences[SRSName],COUNTA(SpatialReferences[SRSName]))</definedName>
    <definedName name="LengthHeader">'YODA Header Blocks'!$CD$4</definedName>
    <definedName name="ListOfVocabularies">'Controlled Vocabularies'!$1:$1</definedName>
    <definedName name="LongestBlock">'YODA Header Blocks'!$CD$3</definedName>
    <definedName name="MethodCodes">INDEX(Methods[Method Code],1,1):INDEX(Methods[Method Code],COUNTA(Methods[Method Code]))</definedName>
    <definedName name="MethodTypeCV">INDEX(ControlledVocabularies[MethodTypeCV],1,1):INDEX(ControlledVocabularies[MethodTypeCV],COUNTA(ControlledVocabularies[MethodTypeCV]))</definedName>
    <definedName name="NotApplicable">INDEX(ControlledVocabularies[NotApplicable],1,1):INDEX(ControlledVocabularies[NotApplicable],COUNTA(ControlledVocabularies[NotApplicable]))</definedName>
    <definedName name="NumAuthors">'Dataset Citation'!$E$22</definedName>
    <definedName name="NumDataColumns">'Data Columns'!$V$6</definedName>
    <definedName name="NumDataValues">'YODA Header Blocks'!$CD$5</definedName>
    <definedName name="NumFileColumns">'Data Columns'!$V$3</definedName>
    <definedName name="NumIGSNs">'Sampling Features'!$I$10</definedName>
    <definedName name="NumMethods">Methods!$F$6</definedName>
    <definedName name="NumORCIDs">'People and Organizations'!$H$6</definedName>
    <definedName name="NumOrganizations">'People and Organizations'!$H$4</definedName>
    <definedName name="NumParentSamplingFeatures">'Sampling Features'!$I$9</definedName>
    <definedName name="NumParentSpecimens">'Sampling Features'!$Q$9</definedName>
    <definedName name="NumPeople">'People and Organizations'!$H$5</definedName>
    <definedName name="NumPersonExternalIDs">'People and Organizations'!$H$6</definedName>
    <definedName name="NumProcessingLevels">'Processing Levels'!$E$7</definedName>
    <definedName name="NumRelatedFeatures">'Related Features (optional)'!$F$4</definedName>
    <definedName name="NumSites">'Sampling Features'!$M$9</definedName>
    <definedName name="NumSpecimens">'Data Columns'!$V$5</definedName>
    <definedName name="NumTaxClassifiers">'Taxonomic Classifiers'!$E$4</definedName>
    <definedName name="NumVariables">Variables!$F$5</definedName>
    <definedName name="OffsetCodes">INDEX(SpatialOffsets[Spatial Offset Code],1,1):INDEX(SpatialOffsets[Spatial Offset Code],COUNTA(SpatialOffsets[Spatial Offset Code]))</definedName>
    <definedName name="OrganizationNames">INDEX(Organizations[Organization Name],1,1):INDEX(Organizations[Organization Name],COUNTA(Organizations[Organization Name]))</definedName>
    <definedName name="OrganizationTypeCV">INDEX(ControlledVocabularies[OrganizationTypeCV],1,1):INDEX(ControlledVocabularies[OrganizationTypeCV],COUNTA(ControlledVocabularies[OrganizationTypeCV]))</definedName>
    <definedName name="PeopleNames">INDEX(People[Full Name],1,1):INDEX(People[Full Name],SUMPRODUCT(--(People[Full Name]&lt;&gt;"  ")))</definedName>
    <definedName name="ProcessingLevelCodes">INDEX(ProcessingLevels[Processing Level Code],1,1):INDEX(ProcessingLevels[Processing Level Code],COUNTA(ProcessingLevels[Processing Level Code]))</definedName>
    <definedName name="PublicationYear">'Dataset Citation'!$B$17</definedName>
    <definedName name="Publisher">'Dataset Citation'!$B$16</definedName>
    <definedName name="QualityCodeCV">INDEX(ControlledVocabularies[QualityCodeCV],1,1):INDEX(ControlledVocabularies[QualityCodeCV],COUNTA(ControlledVocabularies[QualityCodeCV]))</definedName>
    <definedName name="RelationshipTypeCV">INDEX(ControlledVocabularies[RelationshipTypeCV],1,1):INDEX(ControlledVocabularies[RelationshipTypeCV],COUNTA(ControlledVocabularies[RelationshipTypeCV]))</definedName>
    <definedName name="ResultColumns">ResultColumnFinder[DataType]</definedName>
    <definedName name="ResultTypeCV">INDEX(ControlledVocabularies[ResultTypeCV],1,1):INDEX(ControlledVocabularies[ResultTypeCV],COUNTA(ControlledVocabularies[ResultTypeCV]))</definedName>
    <definedName name="SampledMediumCV">INDEX(ControlledVocabularies[SampledMediumCV],1,1):INDEX(ControlledVocabularies[SampledMediumCV],COUNTA(ControlledVocabularies[SampledMediumCV]))</definedName>
    <definedName name="SamplingFeatureGeotypeCV">INDEX(ControlledVocabularies[SamplingFeatureGeotypeCV],1,1):INDEX(ControlledVocabularies[SamplingFeatureGeotypeCV],COUNTA(ControlledVocabularies[SamplingFeatureGeotypeCV]))</definedName>
    <definedName name="SamplingFeatureTypeCV">INDEX(ControlledVocabularies[SamplingFeatureTypeCV],1,1):INDEX(ControlledVocabularies[SamplingFeatureTypeCV],COUNTA(ControlledVocabularies[SamplingFeatureTypeCV]))</definedName>
    <definedName name="SiteTypeCV">INDEX(ControlledVocabularies[SiteTypeCV],1,1):INDEX(ControlledVocabularies[SiteTypeCV],COUNTA(ControlledVocabularies[SiteTypeCV]))</definedName>
    <definedName name="SpatialOffsetTypeCV">INDEX(ControlledVocabularies[SpatialOffsetTypeCV],1,1):INDEX(ControlledVocabularies[SpatialOffsetTypeCV],COUNTA(ControlledVocabularies[SpatialOffsetTypeCV]))</definedName>
    <definedName name="SpeciationCV">INDEX(ControlledVocabularies[SpeciationCV],1,1):INDEX(ControlledVocabularies[SpeciationCV],COUNTA(ControlledVocabularies[SpeciationCV]))</definedName>
    <definedName name="SpecimenColumnNumber">'Data Columns'!$V$4</definedName>
    <definedName name="SpecimenTypeCV">INDEX(ControlledVocabularies[SpecimenTypeCV],1,1):INDEX(ControlledVocabularies[SpecimenTypeCV],COUNTA(ControlledVocabularies[SpecimenTypeCV]))</definedName>
    <definedName name="StatusCV">INDEX(ControlledVocabularies[StatusCV],1,1):INDEX(ControlledVocabularies[StatusCV],COUNTA(ControlledVocabularies[StatusCV]))</definedName>
    <definedName name="TaxClassifiers">INDEX(TaxonomicClassifiers[Taxonomic Classifier Name],1,1):INDEX(TaxonomicClassifiers[Taxonomic Classifier Name],COUNTA(TaxonomicClassifiers[Taxonomic Classifier Name]))</definedName>
    <definedName name="TaxonomicClassifierTypeCV">INDEX(ControlledVocabularies[TaxonomicClassifierTypeCV],1,1):INDEX(ControlledVocabularies[TaxonomicClassifierTypeCV],COUNTA(ControlledVocabularies[TaxonomicClassifierTypeCV]))</definedName>
    <definedName name="TemplateProfile">Instructions!$A$4</definedName>
    <definedName name="TemplateVersion">Instructions!$A$6</definedName>
    <definedName name="Units">INDEX(#REF!,1,1):INDEX(#REF!,COUNTA(#REF!))</definedName>
    <definedName name="VariableCodes">INDEX(Variables[Variable Code],1,1):INDEX(Variables[Variable Code],COUNTA(Variables[Variable Code]))</definedName>
    <definedName name="VariableNameCV">INDEX(ControlledVocabularies[VariableNameCV],1,1):INDEX(ControlledVocabularies[VariableNameCV],COUNTA(ControlledVocabularies[VariableNameCV]))</definedName>
    <definedName name="VariableTypeCV">INDEX(ControlledVocabularies[VariableTypeCV],1,1):INDEX(ControlledVocabularies[VariableTypeCV],COUNTA(ControlledVocabularies[VariableTypeCV]))</definedName>
    <definedName name="YODAVersion">Instructions!$A$2</definedName>
  </definedNames>
  <calcPr calcId="145621"/>
</workbook>
</file>

<file path=xl/calcChain.xml><?xml version="1.0" encoding="utf-8"?>
<calcChain xmlns="http://schemas.openxmlformats.org/spreadsheetml/2006/main">
  <c r="AG6" i="11" l="1"/>
  <c r="AG7" i="11"/>
  <c r="AG8" i="11"/>
  <c r="AG5" i="11"/>
  <c r="C4" i="11"/>
  <c r="K13" i="2"/>
  <c r="AG4" i="11" l="1"/>
  <c r="AA5" i="11"/>
  <c r="AA6" i="11"/>
  <c r="AA7" i="11"/>
  <c r="AA8" i="11"/>
  <c r="AA4" i="11"/>
  <c r="K4" i="11"/>
  <c r="L8" i="11" l="1"/>
  <c r="L7" i="11"/>
  <c r="L6" i="11"/>
  <c r="L5" i="11"/>
  <c r="AK4" i="11"/>
  <c r="AH4" i="11"/>
  <c r="N4" i="11"/>
  <c r="M4" i="11"/>
  <c r="L4" i="11"/>
  <c r="J4" i="11"/>
  <c r="G4" i="11"/>
  <c r="D4" i="11"/>
  <c r="BR3" i="11"/>
  <c r="BQ3" i="11"/>
  <c r="BP3" i="11"/>
  <c r="BO3" i="11"/>
  <c r="BN3" i="11"/>
  <c r="BM3" i="11"/>
  <c r="BL3" i="11"/>
  <c r="BK3" i="11"/>
  <c r="BJ3" i="11"/>
  <c r="BI3" i="11"/>
  <c r="BH3" i="11"/>
  <c r="BG3" i="11"/>
  <c r="BF3" i="11"/>
  <c r="BE3" i="11"/>
  <c r="BD3" i="11"/>
  <c r="BB3" i="11"/>
  <c r="AZ3" i="11"/>
  <c r="AY3" i="11"/>
  <c r="AX3" i="11"/>
  <c r="AW3" i="11"/>
  <c r="AV3" i="11"/>
  <c r="AU3" i="11"/>
  <c r="AT3" i="11"/>
  <c r="AS3" i="11"/>
  <c r="AR3" i="11"/>
  <c r="AP3" i="11"/>
  <c r="AO3" i="11"/>
  <c r="AN3" i="11"/>
  <c r="AM3" i="11"/>
  <c r="AL3" i="11"/>
  <c r="AI3" i="11"/>
  <c r="AE3" i="11"/>
  <c r="AD3" i="11"/>
  <c r="AC3" i="11"/>
  <c r="AB3" i="11"/>
  <c r="AA3" i="11"/>
  <c r="V3" i="11"/>
  <c r="U3" i="11"/>
  <c r="T3" i="11"/>
  <c r="S3" i="11"/>
  <c r="R3" i="11"/>
  <c r="Q3" i="11"/>
  <c r="P3" i="11"/>
  <c r="O3" i="11"/>
  <c r="M3" i="11"/>
  <c r="L3" i="11"/>
  <c r="K3" i="11"/>
  <c r="J3" i="11"/>
  <c r="K2" i="11"/>
  <c r="O13" i="2"/>
  <c r="O14" i="2"/>
  <c r="O15" i="2"/>
  <c r="O16" i="2"/>
  <c r="O17" i="2"/>
  <c r="O18" i="2"/>
  <c r="O19" i="2"/>
  <c r="O20" i="2"/>
  <c r="O22" i="2"/>
  <c r="O23" i="2"/>
  <c r="O24" i="2"/>
  <c r="O25" i="2"/>
  <c r="O26" i="2"/>
  <c r="O27" i="2"/>
  <c r="O28" i="2"/>
  <c r="O29" i="2"/>
  <c r="O30" i="2"/>
  <c r="O31" i="2"/>
  <c r="O32" i="2"/>
  <c r="O33" i="2"/>
  <c r="O34" i="2"/>
  <c r="O35" i="2"/>
  <c r="O36" i="2"/>
  <c r="O37" i="2"/>
  <c r="O38" i="2"/>
  <c r="O39" i="2"/>
  <c r="O40" i="2"/>
  <c r="O41" i="2"/>
  <c r="O42" i="2"/>
  <c r="O43" i="2"/>
  <c r="O44" i="2"/>
  <c r="O45" i="2"/>
  <c r="O46" i="2"/>
  <c r="O47" i="2"/>
  <c r="O48" i="2"/>
  <c r="O49" i="2"/>
  <c r="O50" i="2"/>
  <c r="O51" i="2"/>
  <c r="O52" i="2"/>
  <c r="O53" i="2"/>
  <c r="O54" i="2"/>
  <c r="O55" i="2"/>
  <c r="O56" i="2"/>
  <c r="O57" i="2"/>
  <c r="O58" i="2"/>
  <c r="O59" i="2"/>
  <c r="O60" i="2"/>
  <c r="O61" i="2"/>
  <c r="O62" i="2"/>
  <c r="K21" i="2"/>
  <c r="K22" i="2"/>
  <c r="K23" i="2"/>
  <c r="K24" i="2"/>
  <c r="K25" i="2"/>
  <c r="K26" i="2"/>
  <c r="K27" i="2"/>
  <c r="K28" i="2"/>
  <c r="K29" i="2"/>
  <c r="K30" i="2"/>
  <c r="K31" i="2"/>
  <c r="K32" i="2"/>
  <c r="K33" i="2"/>
  <c r="K34" i="2"/>
  <c r="K35" i="2"/>
  <c r="K36" i="2"/>
  <c r="K37" i="2"/>
  <c r="K38" i="2"/>
  <c r="K39" i="2"/>
  <c r="K40" i="2"/>
  <c r="K41" i="2"/>
  <c r="K42" i="2"/>
  <c r="K43" i="2"/>
  <c r="K44" i="2"/>
  <c r="K45" i="2"/>
  <c r="K46" i="2"/>
  <c r="K47" i="2"/>
  <c r="K48" i="2"/>
  <c r="K49" i="2"/>
  <c r="K50" i="2"/>
  <c r="K51" i="2"/>
  <c r="K52" i="2"/>
  <c r="K53" i="2"/>
  <c r="K54" i="2"/>
  <c r="K55" i="2"/>
  <c r="K56" i="2"/>
  <c r="K57" i="2"/>
  <c r="K58" i="2"/>
  <c r="K59" i="2"/>
  <c r="K60" i="2"/>
  <c r="K61" i="2"/>
  <c r="K62" i="2"/>
  <c r="AB99" i="4"/>
  <c r="A99" i="4"/>
  <c r="AB98" i="4"/>
  <c r="A98" i="4"/>
  <c r="AB97" i="4"/>
  <c r="A97" i="4"/>
  <c r="AB96" i="4"/>
  <c r="A96" i="4"/>
  <c r="AB95" i="4"/>
  <c r="A95" i="4"/>
  <c r="AB94" i="4"/>
  <c r="A94" i="4"/>
  <c r="AB93" i="4"/>
  <c r="A93" i="4"/>
  <c r="AB92" i="4"/>
  <c r="A92" i="4"/>
  <c r="AB91" i="4"/>
  <c r="A91" i="4"/>
  <c r="AB90" i="4"/>
  <c r="A90" i="4"/>
  <c r="AB89" i="4"/>
  <c r="A89" i="4"/>
  <c r="AB88" i="4"/>
  <c r="A88" i="4"/>
  <c r="AB87" i="4"/>
  <c r="A87" i="4"/>
  <c r="AB86" i="4"/>
  <c r="A86" i="4"/>
  <c r="AB85" i="4"/>
  <c r="A85" i="4"/>
  <c r="AB84" i="4"/>
  <c r="A84" i="4"/>
  <c r="AB83" i="4"/>
  <c r="A83" i="4"/>
  <c r="AB82" i="4"/>
  <c r="A82" i="4"/>
  <c r="AB81" i="4"/>
  <c r="A81" i="4"/>
  <c r="AB80" i="4"/>
  <c r="A80" i="4"/>
  <c r="AB79" i="4"/>
  <c r="A79" i="4"/>
  <c r="AB78" i="4"/>
  <c r="A78" i="4"/>
  <c r="AB77" i="4"/>
  <c r="A77" i="4"/>
  <c r="AB76" i="4"/>
  <c r="A76" i="4"/>
  <c r="AB75" i="4"/>
  <c r="A75" i="4"/>
  <c r="AB74" i="4"/>
  <c r="A74" i="4"/>
  <c r="AB73" i="4"/>
  <c r="A73" i="4"/>
  <c r="AB72" i="4"/>
  <c r="A72" i="4"/>
  <c r="AB71" i="4"/>
  <c r="A71" i="4"/>
  <c r="AB70" i="4"/>
  <c r="A70" i="4"/>
  <c r="AB69" i="4"/>
  <c r="A69" i="4"/>
  <c r="AB68" i="4"/>
  <c r="A68" i="4"/>
  <c r="AB67" i="4"/>
  <c r="A67" i="4"/>
  <c r="AB66" i="4"/>
  <c r="A66" i="4"/>
  <c r="AB65" i="4"/>
  <c r="A65" i="4"/>
  <c r="AB64" i="4"/>
  <c r="A64" i="4"/>
  <c r="AB63" i="4"/>
  <c r="A63" i="4"/>
  <c r="AB62" i="4"/>
  <c r="A62" i="4"/>
  <c r="AB61" i="4"/>
  <c r="A61" i="4"/>
  <c r="AB60" i="4"/>
  <c r="A60" i="4"/>
  <c r="AB59" i="4"/>
  <c r="A59" i="4"/>
  <c r="AB58" i="4"/>
  <c r="A58" i="4"/>
  <c r="AB57" i="4"/>
  <c r="A57" i="4"/>
  <c r="AB56" i="4"/>
  <c r="A56" i="4"/>
  <c r="AB55" i="4"/>
  <c r="A55" i="4"/>
  <c r="AB54" i="4"/>
  <c r="A54" i="4"/>
  <c r="AB53" i="4"/>
  <c r="A53" i="4"/>
  <c r="AB52" i="4"/>
  <c r="A52" i="4"/>
  <c r="AB51" i="4"/>
  <c r="A51" i="4"/>
  <c r="AB50" i="4"/>
  <c r="A50" i="4"/>
  <c r="AB49" i="4"/>
  <c r="A49" i="4"/>
  <c r="AB48" i="4"/>
  <c r="A48" i="4"/>
  <c r="AB47" i="4"/>
  <c r="A47" i="4"/>
  <c r="AB46" i="4"/>
  <c r="A46" i="4"/>
  <c r="AB45" i="4"/>
  <c r="A45" i="4"/>
  <c r="AB44" i="4"/>
  <c r="A44" i="4"/>
  <c r="AB43" i="4"/>
  <c r="A43" i="4"/>
  <c r="AB42" i="4"/>
  <c r="A42" i="4"/>
  <c r="AB41" i="4"/>
  <c r="A41" i="4"/>
  <c r="AB40" i="4"/>
  <c r="A40" i="4"/>
  <c r="AB39" i="4"/>
  <c r="A39" i="4"/>
  <c r="AB38" i="4"/>
  <c r="A38" i="4"/>
  <c r="AB37" i="4"/>
  <c r="A37" i="4"/>
  <c r="AB36" i="4"/>
  <c r="A36" i="4"/>
  <c r="AB35" i="4"/>
  <c r="A35" i="4"/>
  <c r="AB34" i="4"/>
  <c r="A34" i="4"/>
  <c r="AB33" i="4"/>
  <c r="A33" i="4"/>
  <c r="AB32" i="4"/>
  <c r="A32" i="4"/>
  <c r="AB31" i="4"/>
  <c r="A31" i="4"/>
  <c r="AB30" i="4"/>
  <c r="A30" i="4"/>
  <c r="AB29" i="4"/>
  <c r="A29" i="4"/>
  <c r="AB28" i="4"/>
  <c r="AB27" i="4"/>
  <c r="AB26" i="4"/>
  <c r="AB19" i="4"/>
  <c r="AB18" i="4"/>
  <c r="AB17" i="4"/>
  <c r="AB16" i="4"/>
  <c r="AB15" i="4"/>
  <c r="AB14" i="4"/>
  <c r="AB13" i="4"/>
  <c r="J62" i="2"/>
  <c r="J61" i="2"/>
  <c r="J60" i="2"/>
  <c r="J59" i="2"/>
  <c r="J58" i="2"/>
  <c r="J57" i="2"/>
  <c r="J56" i="2"/>
  <c r="J55" i="2"/>
  <c r="J54" i="2"/>
  <c r="J53" i="2"/>
  <c r="J52" i="2"/>
  <c r="J51" i="2"/>
  <c r="J50" i="2"/>
  <c r="J49" i="2"/>
  <c r="J48" i="2"/>
  <c r="J47" i="2"/>
  <c r="J46" i="2"/>
  <c r="J45" i="2"/>
  <c r="J44" i="2"/>
  <c r="J43" i="2"/>
  <c r="J42" i="2"/>
  <c r="J41" i="2"/>
  <c r="J40" i="2"/>
  <c r="J39" i="2"/>
  <c r="J38" i="2"/>
  <c r="J37" i="2"/>
  <c r="J36" i="2"/>
  <c r="J35" i="2"/>
  <c r="J34" i="2"/>
  <c r="J33" i="2"/>
  <c r="J32" i="2"/>
  <c r="J31" i="2"/>
  <c r="J30" i="2"/>
  <c r="J29" i="2"/>
  <c r="J28" i="2"/>
  <c r="J27" i="2"/>
  <c r="J26" i="2"/>
  <c r="J25" i="2"/>
  <c r="J24" i="2"/>
  <c r="J23" i="2"/>
  <c r="J22" i="2"/>
  <c r="J21" i="2"/>
  <c r="J20" i="2"/>
  <c r="J19" i="2"/>
  <c r="J18" i="2"/>
  <c r="J17" i="2"/>
  <c r="J16" i="2"/>
  <c r="J15" i="2"/>
  <c r="J14" i="2"/>
  <c r="J13" i="2"/>
  <c r="A32" i="1"/>
  <c r="A31" i="1"/>
  <c r="A30" i="1"/>
  <c r="A29" i="1"/>
  <c r="A28" i="1"/>
  <c r="A27" i="1"/>
  <c r="A26" i="1"/>
  <c r="A25" i="1"/>
  <c r="A24" i="1"/>
  <c r="A23" i="1"/>
  <c r="I33" i="7"/>
  <c r="H33" i="7"/>
  <c r="I32" i="7"/>
  <c r="H32" i="7"/>
  <c r="I31" i="7"/>
  <c r="H31" i="7"/>
  <c r="I30" i="7"/>
  <c r="H30" i="7"/>
  <c r="I29" i="7"/>
  <c r="H29" i="7"/>
  <c r="I28" i="7"/>
  <c r="H28" i="7"/>
  <c r="I27" i="7"/>
  <c r="H27" i="7"/>
  <c r="I26" i="7"/>
  <c r="H26" i="7"/>
  <c r="I25" i="7"/>
  <c r="H25" i="7"/>
  <c r="H24" i="7"/>
  <c r="O21" i="2"/>
  <c r="AB20" i="4"/>
  <c r="K14" i="2"/>
  <c r="K15" i="2" s="1"/>
  <c r="I24" i="7"/>
  <c r="A13" i="4"/>
  <c r="K20" i="2" l="1"/>
  <c r="AA2" i="11"/>
  <c r="K16" i="2"/>
  <c r="A14" i="4"/>
  <c r="AB21" i="4"/>
  <c r="A15" i="4"/>
  <c r="A16" i="4"/>
  <c r="A17" i="4"/>
  <c r="A18" i="4"/>
  <c r="A19" i="4"/>
  <c r="AB22" i="4"/>
  <c r="AC13" i="4" l="1"/>
  <c r="AC14" i="4"/>
  <c r="AC15" i="4"/>
  <c r="AC16" i="4"/>
  <c r="AC17" i="4"/>
  <c r="AC18" i="4"/>
  <c r="AC19" i="4"/>
  <c r="AC20" i="4"/>
  <c r="AC21" i="4"/>
  <c r="AC22" i="4"/>
  <c r="AC23" i="4"/>
  <c r="AC24" i="4"/>
  <c r="AC25" i="4"/>
  <c r="AC26" i="4"/>
  <c r="AC27" i="4"/>
  <c r="AC28" i="4"/>
  <c r="AC29" i="4"/>
  <c r="AC30" i="4"/>
  <c r="AC31" i="4"/>
  <c r="AC32" i="4"/>
  <c r="AC33" i="4"/>
  <c r="AC34" i="4"/>
  <c r="AC35" i="4"/>
  <c r="AC36" i="4"/>
  <c r="AC37" i="4"/>
  <c r="AC38" i="4"/>
  <c r="AC39" i="4"/>
  <c r="AC40" i="4"/>
  <c r="AC41" i="4"/>
  <c r="AC42" i="4"/>
  <c r="AC43" i="4"/>
  <c r="AC44" i="4"/>
  <c r="AC45" i="4"/>
  <c r="AC46" i="4"/>
  <c r="AC47" i="4"/>
  <c r="AC48" i="4"/>
  <c r="AC49" i="4"/>
  <c r="AC50" i="4"/>
  <c r="AC51" i="4"/>
  <c r="AC52" i="4"/>
  <c r="AC53" i="4"/>
  <c r="AC54" i="4"/>
  <c r="AC55" i="4"/>
  <c r="AC56" i="4"/>
  <c r="AC57" i="4"/>
  <c r="AC58" i="4"/>
  <c r="AC59" i="4"/>
  <c r="AC60" i="4"/>
  <c r="AC61" i="4"/>
  <c r="AC62" i="4"/>
  <c r="AC63" i="4"/>
  <c r="AC64" i="4"/>
  <c r="AC65" i="4"/>
  <c r="AC66" i="4"/>
  <c r="AC67" i="4"/>
  <c r="AC68" i="4"/>
  <c r="AC69" i="4"/>
  <c r="AC70" i="4"/>
  <c r="AC71" i="4"/>
  <c r="AC72" i="4"/>
  <c r="AC73" i="4"/>
  <c r="AC74" i="4"/>
  <c r="AC75" i="4"/>
  <c r="AC76" i="4"/>
  <c r="AC77" i="4"/>
  <c r="AC78" i="4"/>
  <c r="AC79" i="4"/>
  <c r="AC80" i="4"/>
  <c r="AC81" i="4"/>
  <c r="AC82" i="4"/>
  <c r="AC83" i="4"/>
  <c r="AC84" i="4"/>
  <c r="AC85" i="4"/>
  <c r="AC86" i="4"/>
  <c r="AC87" i="4"/>
  <c r="AC88" i="4"/>
  <c r="AC89" i="4"/>
  <c r="AC90" i="4"/>
  <c r="AC91" i="4"/>
  <c r="AC92" i="4"/>
  <c r="AC93" i="4"/>
  <c r="AC94" i="4"/>
  <c r="AC95" i="4"/>
  <c r="AC96" i="4"/>
  <c r="AC97" i="4"/>
  <c r="AC98" i="4"/>
  <c r="AC99" i="4"/>
  <c r="K17" i="2"/>
  <c r="A20" i="4"/>
  <c r="AB23" i="4"/>
  <c r="A21" i="4"/>
  <c r="K18" i="2"/>
  <c r="A22" i="4"/>
  <c r="A23" i="4"/>
  <c r="A24" i="4"/>
  <c r="A25" i="4" s="1"/>
  <c r="A26" i="4"/>
  <c r="AB24" i="4"/>
  <c r="Q9" i="2" l="1"/>
  <c r="K19" i="2"/>
  <c r="AB25" i="4"/>
  <c r="A27" i="4"/>
  <c r="G4" i="23" l="1"/>
  <c r="G13" i="23"/>
  <c r="G15" i="23"/>
  <c r="G2" i="23"/>
  <c r="G18" i="23"/>
  <c r="G8" i="23"/>
  <c r="G10" i="23"/>
  <c r="G19" i="23"/>
  <c r="G6" i="23"/>
  <c r="G11" i="23"/>
  <c r="G7" i="23"/>
  <c r="G3" i="23"/>
  <c r="G12" i="23"/>
  <c r="G17" i="23"/>
  <c r="G9" i="23"/>
  <c r="G16" i="23"/>
  <c r="G14" i="23"/>
  <c r="G5" i="23"/>
  <c r="Y3" i="11"/>
  <c r="D2" i="15"/>
  <c r="A28" i="4"/>
  <c r="T11" i="4"/>
  <c r="G11" i="4"/>
  <c r="S11" i="4"/>
  <c r="I9" i="2" l="1"/>
  <c r="AP6" i="11" l="1"/>
  <c r="AP7" i="11"/>
  <c r="AP8" i="11"/>
  <c r="AP5" i="11"/>
  <c r="AP4" i="11"/>
  <c r="F3" i="21"/>
  <c r="G3" i="21"/>
  <c r="H3" i="21"/>
  <c r="K3" i="21"/>
  <c r="R11" i="4"/>
  <c r="M11" i="4"/>
  <c r="Y11" i="4"/>
  <c r="W11" i="4"/>
  <c r="F11" i="4"/>
  <c r="L11" i="4"/>
  <c r="U11" i="4"/>
  <c r="I11" i="4"/>
  <c r="Q11" i="4"/>
  <c r="V11" i="4"/>
  <c r="O11" i="4"/>
  <c r="E11" i="4"/>
  <c r="P11" i="4"/>
  <c r="X11" i="4"/>
  <c r="Z11" i="4"/>
  <c r="H11" i="4"/>
  <c r="N11" i="4"/>
  <c r="K11" i="4"/>
  <c r="AA11" i="4"/>
  <c r="J11" i="4"/>
  <c r="V6" i="4" l="1"/>
  <c r="A8" i="11"/>
  <c r="I2" i="23"/>
  <c r="I3" i="23"/>
  <c r="I4" i="23"/>
  <c r="I5" i="23"/>
  <c r="I6" i="23"/>
  <c r="I7" i="23"/>
  <c r="I8" i="23"/>
  <c r="I9" i="23"/>
  <c r="I10" i="23"/>
  <c r="I11" i="23"/>
  <c r="I12" i="23"/>
  <c r="I13" i="23"/>
  <c r="I14" i="23"/>
  <c r="I15" i="23"/>
  <c r="I16" i="23"/>
  <c r="I17" i="23"/>
  <c r="I18" i="23"/>
  <c r="I19" i="23"/>
  <c r="J2" i="23"/>
  <c r="J3" i="23"/>
  <c r="J4" i="23"/>
  <c r="J5" i="23"/>
  <c r="J6" i="23"/>
  <c r="J7" i="23"/>
  <c r="J8" i="23"/>
  <c r="J9" i="23"/>
  <c r="J10" i="23"/>
  <c r="J11" i="23"/>
  <c r="J12" i="23"/>
  <c r="J13" i="23"/>
  <c r="J14" i="23"/>
  <c r="J15" i="23"/>
  <c r="J16" i="23"/>
  <c r="J17" i="23"/>
  <c r="J18" i="23"/>
  <c r="J19" i="23"/>
  <c r="M2" i="23"/>
  <c r="M3" i="23"/>
  <c r="M4" i="23"/>
  <c r="M5" i="23"/>
  <c r="M6" i="23"/>
  <c r="M7" i="23"/>
  <c r="M8" i="23"/>
  <c r="M9" i="23"/>
  <c r="M10" i="23"/>
  <c r="M11" i="23"/>
  <c r="M12" i="23"/>
  <c r="M13" i="23"/>
  <c r="M14" i="23"/>
  <c r="M15" i="23"/>
  <c r="M16" i="23"/>
  <c r="M17" i="23"/>
  <c r="M18" i="23"/>
  <c r="H2" i="21"/>
  <c r="H6" i="21"/>
  <c r="H7" i="21"/>
  <c r="H8" i="21"/>
  <c r="H14" i="21"/>
  <c r="H15" i="21"/>
  <c r="H16" i="21"/>
  <c r="H10" i="21"/>
  <c r="H11" i="21"/>
  <c r="H12" i="21"/>
  <c r="H13" i="21"/>
  <c r="F7" i="21"/>
  <c r="G7" i="21"/>
  <c r="A2" i="24"/>
  <c r="A3" i="24" s="1"/>
  <c r="B3" i="24" l="1"/>
  <c r="B2" i="24"/>
  <c r="A1001" i="24"/>
  <c r="B1001" i="24" s="1"/>
  <c r="A120" i="24"/>
  <c r="B120" i="24" s="1"/>
  <c r="A124" i="24"/>
  <c r="B124" i="24" s="1"/>
  <c r="A128" i="24"/>
  <c r="B128" i="24" s="1"/>
  <c r="A132" i="24"/>
  <c r="B132" i="24" s="1"/>
  <c r="A136" i="24"/>
  <c r="B136" i="24" s="1"/>
  <c r="A140" i="24"/>
  <c r="B140" i="24" s="1"/>
  <c r="A144" i="24"/>
  <c r="B144" i="24" s="1"/>
  <c r="A148" i="24"/>
  <c r="B148" i="24" s="1"/>
  <c r="A152" i="24"/>
  <c r="B152" i="24" s="1"/>
  <c r="A156" i="24"/>
  <c r="B156" i="24" s="1"/>
  <c r="A160" i="24"/>
  <c r="B160" i="24" s="1"/>
  <c r="A164" i="24"/>
  <c r="B164" i="24" s="1"/>
  <c r="A168" i="24"/>
  <c r="B168" i="24" s="1"/>
  <c r="A172" i="24"/>
  <c r="B172" i="24" s="1"/>
  <c r="A176" i="24"/>
  <c r="B176" i="24" s="1"/>
  <c r="A180" i="24"/>
  <c r="B180" i="24" s="1"/>
  <c r="A184" i="24"/>
  <c r="B184" i="24" s="1"/>
  <c r="A188" i="24"/>
  <c r="B188" i="24" s="1"/>
  <c r="A192" i="24"/>
  <c r="B192" i="24" s="1"/>
  <c r="A196" i="24"/>
  <c r="B196" i="24" s="1"/>
  <c r="A200" i="24"/>
  <c r="B200" i="24" s="1"/>
  <c r="A204" i="24"/>
  <c r="B204" i="24" s="1"/>
  <c r="A208" i="24"/>
  <c r="B208" i="24" s="1"/>
  <c r="A212" i="24"/>
  <c r="B212" i="24" s="1"/>
  <c r="A216" i="24"/>
  <c r="B216" i="24" s="1"/>
  <c r="A220" i="24"/>
  <c r="B220" i="24" s="1"/>
  <c r="A224" i="24"/>
  <c r="B224" i="24" s="1"/>
  <c r="A228" i="24"/>
  <c r="B228" i="24" s="1"/>
  <c r="A232" i="24"/>
  <c r="B232" i="24" s="1"/>
  <c r="A236" i="24"/>
  <c r="B236" i="24" s="1"/>
  <c r="A240" i="24"/>
  <c r="B240" i="24" s="1"/>
  <c r="A244" i="24"/>
  <c r="B244" i="24" s="1"/>
  <c r="A248" i="24"/>
  <c r="B248" i="24" s="1"/>
  <c r="A252" i="24"/>
  <c r="B252" i="24" s="1"/>
  <c r="A256" i="24"/>
  <c r="B256" i="24" s="1"/>
  <c r="A260" i="24"/>
  <c r="B260" i="24" s="1"/>
  <c r="A264" i="24"/>
  <c r="B264" i="24" s="1"/>
  <c r="A268" i="24"/>
  <c r="B268" i="24" s="1"/>
  <c r="A272" i="24"/>
  <c r="B272" i="24" s="1"/>
  <c r="A276" i="24"/>
  <c r="B276" i="24" s="1"/>
  <c r="A280" i="24"/>
  <c r="B280" i="24" s="1"/>
  <c r="A284" i="24"/>
  <c r="B284" i="24" s="1"/>
  <c r="A288" i="24"/>
  <c r="B288" i="24" s="1"/>
  <c r="A292" i="24"/>
  <c r="B292" i="24" s="1"/>
  <c r="A296" i="24"/>
  <c r="B296" i="24" s="1"/>
  <c r="A300" i="24"/>
  <c r="B300" i="24" s="1"/>
  <c r="A304" i="24"/>
  <c r="B304" i="24" s="1"/>
  <c r="A308" i="24"/>
  <c r="B308" i="24" s="1"/>
  <c r="A312" i="24"/>
  <c r="B312" i="24" s="1"/>
  <c r="A316" i="24"/>
  <c r="B316" i="24" s="1"/>
  <c r="A320" i="24"/>
  <c r="B320" i="24" s="1"/>
  <c r="A324" i="24"/>
  <c r="B324" i="24" s="1"/>
  <c r="A328" i="24"/>
  <c r="B328" i="24" s="1"/>
  <c r="A332" i="24"/>
  <c r="B332" i="24" s="1"/>
  <c r="A336" i="24"/>
  <c r="B336" i="24" s="1"/>
  <c r="A340" i="24"/>
  <c r="B340" i="24" s="1"/>
  <c r="A344" i="24"/>
  <c r="B344" i="24" s="1"/>
  <c r="A348" i="24"/>
  <c r="B348" i="24" s="1"/>
  <c r="A352" i="24"/>
  <c r="B352" i="24" s="1"/>
  <c r="A356" i="24"/>
  <c r="B356" i="24" s="1"/>
  <c r="A360" i="24"/>
  <c r="B360" i="24" s="1"/>
  <c r="A364" i="24"/>
  <c r="B364" i="24" s="1"/>
  <c r="A368" i="24"/>
  <c r="B368" i="24" s="1"/>
  <c r="A372" i="24"/>
  <c r="B372" i="24" s="1"/>
  <c r="A376" i="24"/>
  <c r="B376" i="24" s="1"/>
  <c r="A380" i="24"/>
  <c r="B380" i="24" s="1"/>
  <c r="A384" i="24"/>
  <c r="B384" i="24" s="1"/>
  <c r="A388" i="24"/>
  <c r="B388" i="24" s="1"/>
  <c r="A392" i="24"/>
  <c r="B392" i="24" s="1"/>
  <c r="A396" i="24"/>
  <c r="B396" i="24" s="1"/>
  <c r="A400" i="24"/>
  <c r="B400" i="24" s="1"/>
  <c r="A404" i="24"/>
  <c r="B404" i="24" s="1"/>
  <c r="A408" i="24"/>
  <c r="B408" i="24" s="1"/>
  <c r="A412" i="24"/>
  <c r="B412" i="24" s="1"/>
  <c r="A416" i="24"/>
  <c r="B416" i="24" s="1"/>
  <c r="A420" i="24"/>
  <c r="B420" i="24" s="1"/>
  <c r="A424" i="24"/>
  <c r="B424" i="24" s="1"/>
  <c r="A428" i="24"/>
  <c r="B428" i="24" s="1"/>
  <c r="A432" i="24"/>
  <c r="B432" i="24" s="1"/>
  <c r="A436" i="24"/>
  <c r="B436" i="24" s="1"/>
  <c r="A440" i="24"/>
  <c r="B440" i="24" s="1"/>
  <c r="A444" i="24"/>
  <c r="B444" i="24" s="1"/>
  <c r="A448" i="24"/>
  <c r="B448" i="24" s="1"/>
  <c r="A452" i="24"/>
  <c r="B452" i="24" s="1"/>
  <c r="A119" i="24"/>
  <c r="B119" i="24" s="1"/>
  <c r="A123" i="24"/>
  <c r="B123" i="24" s="1"/>
  <c r="A127" i="24"/>
  <c r="B127" i="24" s="1"/>
  <c r="A131" i="24"/>
  <c r="B131" i="24" s="1"/>
  <c r="A135" i="24"/>
  <c r="B135" i="24" s="1"/>
  <c r="A139" i="24"/>
  <c r="B139" i="24" s="1"/>
  <c r="A143" i="24"/>
  <c r="B143" i="24" s="1"/>
  <c r="A147" i="24"/>
  <c r="B147" i="24" s="1"/>
  <c r="A151" i="24"/>
  <c r="B151" i="24" s="1"/>
  <c r="A155" i="24"/>
  <c r="B155" i="24" s="1"/>
  <c r="A159" i="24"/>
  <c r="B159" i="24" s="1"/>
  <c r="A163" i="24"/>
  <c r="B163" i="24" s="1"/>
  <c r="A167" i="24"/>
  <c r="B167" i="24" s="1"/>
  <c r="A171" i="24"/>
  <c r="B171" i="24" s="1"/>
  <c r="A175" i="24"/>
  <c r="B175" i="24" s="1"/>
  <c r="A179" i="24"/>
  <c r="B179" i="24" s="1"/>
  <c r="A183" i="24"/>
  <c r="B183" i="24" s="1"/>
  <c r="A117" i="24"/>
  <c r="B117" i="24" s="1"/>
  <c r="A118" i="24"/>
  <c r="B118" i="24" s="1"/>
  <c r="A122" i="24"/>
  <c r="B122" i="24" s="1"/>
  <c r="A130" i="24"/>
  <c r="B130" i="24" s="1"/>
  <c r="A138" i="24"/>
  <c r="B138" i="24" s="1"/>
  <c r="A146" i="24"/>
  <c r="B146" i="24" s="1"/>
  <c r="A154" i="24"/>
  <c r="B154" i="24" s="1"/>
  <c r="A162" i="24"/>
  <c r="B162" i="24" s="1"/>
  <c r="A170" i="24"/>
  <c r="B170" i="24" s="1"/>
  <c r="A178" i="24"/>
  <c r="B178" i="24" s="1"/>
  <c r="A186" i="24"/>
  <c r="B186" i="24" s="1"/>
  <c r="A191" i="24"/>
  <c r="B191" i="24" s="1"/>
  <c r="A197" i="24"/>
  <c r="B197" i="24" s="1"/>
  <c r="A202" i="24"/>
  <c r="B202" i="24" s="1"/>
  <c r="A207" i="24"/>
  <c r="B207" i="24" s="1"/>
  <c r="A213" i="24"/>
  <c r="B213" i="24" s="1"/>
  <c r="A218" i="24"/>
  <c r="B218" i="24" s="1"/>
  <c r="A223" i="24"/>
  <c r="B223" i="24" s="1"/>
  <c r="A229" i="24"/>
  <c r="B229" i="24" s="1"/>
  <c r="A234" i="24"/>
  <c r="B234" i="24" s="1"/>
  <c r="A239" i="24"/>
  <c r="B239" i="24" s="1"/>
  <c r="A245" i="24"/>
  <c r="B245" i="24" s="1"/>
  <c r="A250" i="24"/>
  <c r="B250" i="24" s="1"/>
  <c r="A255" i="24"/>
  <c r="B255" i="24" s="1"/>
  <c r="A261" i="24"/>
  <c r="B261" i="24" s="1"/>
  <c r="A266" i="24"/>
  <c r="B266" i="24" s="1"/>
  <c r="A271" i="24"/>
  <c r="B271" i="24" s="1"/>
  <c r="A277" i="24"/>
  <c r="B277" i="24" s="1"/>
  <c r="A282" i="24"/>
  <c r="B282" i="24" s="1"/>
  <c r="A287" i="24"/>
  <c r="B287" i="24" s="1"/>
  <c r="A293" i="24"/>
  <c r="B293" i="24" s="1"/>
  <c r="A298" i="24"/>
  <c r="B298" i="24" s="1"/>
  <c r="A303" i="24"/>
  <c r="B303" i="24" s="1"/>
  <c r="A309" i="24"/>
  <c r="B309" i="24" s="1"/>
  <c r="A314" i="24"/>
  <c r="B314" i="24" s="1"/>
  <c r="A319" i="24"/>
  <c r="B319" i="24" s="1"/>
  <c r="A325" i="24"/>
  <c r="B325" i="24" s="1"/>
  <c r="A330" i="24"/>
  <c r="B330" i="24" s="1"/>
  <c r="A335" i="24"/>
  <c r="B335" i="24" s="1"/>
  <c r="A341" i="24"/>
  <c r="B341" i="24" s="1"/>
  <c r="A346" i="24"/>
  <c r="B346" i="24" s="1"/>
  <c r="A351" i="24"/>
  <c r="B351" i="24" s="1"/>
  <c r="A357" i="24"/>
  <c r="B357" i="24" s="1"/>
  <c r="A362" i="24"/>
  <c r="B362" i="24" s="1"/>
  <c r="A367" i="24"/>
  <c r="B367" i="24" s="1"/>
  <c r="A373" i="24"/>
  <c r="B373" i="24" s="1"/>
  <c r="A378" i="24"/>
  <c r="B378" i="24" s="1"/>
  <c r="A383" i="24"/>
  <c r="B383" i="24" s="1"/>
  <c r="A389" i="24"/>
  <c r="B389" i="24" s="1"/>
  <c r="A394" i="24"/>
  <c r="B394" i="24" s="1"/>
  <c r="A399" i="24"/>
  <c r="B399" i="24" s="1"/>
  <c r="A405" i="24"/>
  <c r="B405" i="24" s="1"/>
  <c r="A410" i="24"/>
  <c r="B410" i="24" s="1"/>
  <c r="A415" i="24"/>
  <c r="B415" i="24" s="1"/>
  <c r="A421" i="24"/>
  <c r="B421" i="24" s="1"/>
  <c r="A426" i="24"/>
  <c r="B426" i="24" s="1"/>
  <c r="A431" i="24"/>
  <c r="B431" i="24" s="1"/>
  <c r="A437" i="24"/>
  <c r="B437" i="24" s="1"/>
  <c r="A442" i="24"/>
  <c r="B442" i="24" s="1"/>
  <c r="A447" i="24"/>
  <c r="B447" i="24" s="1"/>
  <c r="A453" i="24"/>
  <c r="B453" i="24" s="1"/>
  <c r="A457" i="24"/>
  <c r="B457" i="24" s="1"/>
  <c r="A461" i="24"/>
  <c r="B461" i="24" s="1"/>
  <c r="A465" i="24"/>
  <c r="B465" i="24" s="1"/>
  <c r="A469" i="24"/>
  <c r="B469" i="24" s="1"/>
  <c r="A473" i="24"/>
  <c r="B473" i="24" s="1"/>
  <c r="A477" i="24"/>
  <c r="B477" i="24" s="1"/>
  <c r="A481" i="24"/>
  <c r="B481" i="24" s="1"/>
  <c r="A485" i="24"/>
  <c r="B485" i="24" s="1"/>
  <c r="A489" i="24"/>
  <c r="B489" i="24" s="1"/>
  <c r="A493" i="24"/>
  <c r="B493" i="24" s="1"/>
  <c r="A497" i="24"/>
  <c r="B497" i="24" s="1"/>
  <c r="A501" i="24"/>
  <c r="B501" i="24" s="1"/>
  <c r="A505" i="24"/>
  <c r="B505" i="24" s="1"/>
  <c r="A509" i="24"/>
  <c r="B509" i="24" s="1"/>
  <c r="A513" i="24"/>
  <c r="B513" i="24" s="1"/>
  <c r="A517" i="24"/>
  <c r="B517" i="24" s="1"/>
  <c r="A521" i="24"/>
  <c r="B521" i="24" s="1"/>
  <c r="A525" i="24"/>
  <c r="B525" i="24" s="1"/>
  <c r="A529" i="24"/>
  <c r="B529" i="24" s="1"/>
  <c r="A533" i="24"/>
  <c r="B533" i="24" s="1"/>
  <c r="A537" i="24"/>
  <c r="B537" i="24" s="1"/>
  <c r="A541" i="24"/>
  <c r="B541" i="24" s="1"/>
  <c r="A545" i="24"/>
  <c r="B545" i="24" s="1"/>
  <c r="A549" i="24"/>
  <c r="B549" i="24" s="1"/>
  <c r="A553" i="24"/>
  <c r="B553" i="24" s="1"/>
  <c r="A557" i="24"/>
  <c r="B557" i="24" s="1"/>
  <c r="A121" i="24"/>
  <c r="B121" i="24" s="1"/>
  <c r="A133" i="24"/>
  <c r="B133" i="24" s="1"/>
  <c r="A142" i="24"/>
  <c r="B142" i="24" s="1"/>
  <c r="A153" i="24"/>
  <c r="B153" i="24" s="1"/>
  <c r="A165" i="24"/>
  <c r="B165" i="24" s="1"/>
  <c r="A174" i="24"/>
  <c r="B174" i="24" s="1"/>
  <c r="A185" i="24"/>
  <c r="B185" i="24" s="1"/>
  <c r="A193" i="24"/>
  <c r="B193" i="24" s="1"/>
  <c r="A199" i="24"/>
  <c r="B199" i="24" s="1"/>
  <c r="A206" i="24"/>
  <c r="B206" i="24" s="1"/>
  <c r="A214" i="24"/>
  <c r="B214" i="24" s="1"/>
  <c r="A221" i="24"/>
  <c r="B221" i="24" s="1"/>
  <c r="A227" i="24"/>
  <c r="B227" i="24" s="1"/>
  <c r="A235" i="24"/>
  <c r="B235" i="24" s="1"/>
  <c r="A242" i="24"/>
  <c r="B242" i="24" s="1"/>
  <c r="A249" i="24"/>
  <c r="B249" i="24" s="1"/>
  <c r="A257" i="24"/>
  <c r="B257" i="24" s="1"/>
  <c r="A263" i="24"/>
  <c r="B263" i="24" s="1"/>
  <c r="A270" i="24"/>
  <c r="B270" i="24" s="1"/>
  <c r="A278" i="24"/>
  <c r="B278" i="24" s="1"/>
  <c r="A285" i="24"/>
  <c r="B285" i="24" s="1"/>
  <c r="A291" i="24"/>
  <c r="B291" i="24" s="1"/>
  <c r="A299" i="24"/>
  <c r="B299" i="24" s="1"/>
  <c r="A306" i="24"/>
  <c r="B306" i="24" s="1"/>
  <c r="A313" i="24"/>
  <c r="B313" i="24" s="1"/>
  <c r="A321" i="24"/>
  <c r="B321" i="24" s="1"/>
  <c r="A327" i="24"/>
  <c r="B327" i="24" s="1"/>
  <c r="A334" i="24"/>
  <c r="B334" i="24" s="1"/>
  <c r="A342" i="24"/>
  <c r="B342" i="24" s="1"/>
  <c r="A349" i="24"/>
  <c r="B349" i="24" s="1"/>
  <c r="A355" i="24"/>
  <c r="B355" i="24" s="1"/>
  <c r="A363" i="24"/>
  <c r="B363" i="24" s="1"/>
  <c r="A370" i="24"/>
  <c r="B370" i="24" s="1"/>
  <c r="A377" i="24"/>
  <c r="B377" i="24" s="1"/>
  <c r="A385" i="24"/>
  <c r="B385" i="24" s="1"/>
  <c r="A391" i="24"/>
  <c r="B391" i="24" s="1"/>
  <c r="A398" i="24"/>
  <c r="B398" i="24" s="1"/>
  <c r="A406" i="24"/>
  <c r="B406" i="24" s="1"/>
  <c r="A413" i="24"/>
  <c r="B413" i="24" s="1"/>
  <c r="A419" i="24"/>
  <c r="B419" i="24" s="1"/>
  <c r="A427" i="24"/>
  <c r="B427" i="24" s="1"/>
  <c r="A434" i="24"/>
  <c r="B434" i="24" s="1"/>
  <c r="A441" i="24"/>
  <c r="B441" i="24" s="1"/>
  <c r="A449" i="24"/>
  <c r="B449" i="24" s="1"/>
  <c r="A455" i="24"/>
  <c r="B455" i="24" s="1"/>
  <c r="A460" i="24"/>
  <c r="B460" i="24" s="1"/>
  <c r="A466" i="24"/>
  <c r="B466" i="24" s="1"/>
  <c r="A471" i="24"/>
  <c r="B471" i="24" s="1"/>
  <c r="A476" i="24"/>
  <c r="B476" i="24" s="1"/>
  <c r="A482" i="24"/>
  <c r="B482" i="24" s="1"/>
  <c r="A487" i="24"/>
  <c r="B487" i="24" s="1"/>
  <c r="A492" i="24"/>
  <c r="B492" i="24" s="1"/>
  <c r="A498" i="24"/>
  <c r="B498" i="24" s="1"/>
  <c r="A503" i="24"/>
  <c r="B503" i="24" s="1"/>
  <c r="A508" i="24"/>
  <c r="B508" i="24" s="1"/>
  <c r="A514" i="24"/>
  <c r="B514" i="24" s="1"/>
  <c r="A519" i="24"/>
  <c r="B519" i="24" s="1"/>
  <c r="A125" i="24"/>
  <c r="B125" i="24" s="1"/>
  <c r="A134" i="24"/>
  <c r="B134" i="24" s="1"/>
  <c r="A145" i="24"/>
  <c r="B145" i="24" s="1"/>
  <c r="A157" i="24"/>
  <c r="B157" i="24" s="1"/>
  <c r="A166" i="24"/>
  <c r="B166" i="24" s="1"/>
  <c r="A177" i="24"/>
  <c r="B177" i="24" s="1"/>
  <c r="A187" i="24"/>
  <c r="B187" i="24" s="1"/>
  <c r="A194" i="24"/>
  <c r="B194" i="24" s="1"/>
  <c r="A201" i="24"/>
  <c r="B201" i="24" s="1"/>
  <c r="A209" i="24"/>
  <c r="B209" i="24" s="1"/>
  <c r="A215" i="24"/>
  <c r="B215" i="24" s="1"/>
  <c r="A222" i="24"/>
  <c r="B222" i="24" s="1"/>
  <c r="A230" i="24"/>
  <c r="B230" i="24" s="1"/>
  <c r="A237" i="24"/>
  <c r="B237" i="24" s="1"/>
  <c r="A243" i="24"/>
  <c r="B243" i="24" s="1"/>
  <c r="A251" i="24"/>
  <c r="B251" i="24" s="1"/>
  <c r="A258" i="24"/>
  <c r="B258" i="24" s="1"/>
  <c r="A265" i="24"/>
  <c r="B265" i="24" s="1"/>
  <c r="A273" i="24"/>
  <c r="B273" i="24" s="1"/>
  <c r="A279" i="24"/>
  <c r="B279" i="24" s="1"/>
  <c r="A286" i="24"/>
  <c r="B286" i="24" s="1"/>
  <c r="A294" i="24"/>
  <c r="B294" i="24" s="1"/>
  <c r="A301" i="24"/>
  <c r="B301" i="24" s="1"/>
  <c r="A307" i="24"/>
  <c r="B307" i="24" s="1"/>
  <c r="A315" i="24"/>
  <c r="B315" i="24" s="1"/>
  <c r="A322" i="24"/>
  <c r="B322" i="24" s="1"/>
  <c r="A329" i="24"/>
  <c r="B329" i="24" s="1"/>
  <c r="A337" i="24"/>
  <c r="B337" i="24" s="1"/>
  <c r="A343" i="24"/>
  <c r="B343" i="24" s="1"/>
  <c r="A350" i="24"/>
  <c r="B350" i="24" s="1"/>
  <c r="A358" i="24"/>
  <c r="B358" i="24" s="1"/>
  <c r="A365" i="24"/>
  <c r="B365" i="24" s="1"/>
  <c r="A371" i="24"/>
  <c r="B371" i="24" s="1"/>
  <c r="A379" i="24"/>
  <c r="B379" i="24" s="1"/>
  <c r="A386" i="24"/>
  <c r="B386" i="24" s="1"/>
  <c r="A393" i="24"/>
  <c r="B393" i="24" s="1"/>
  <c r="A401" i="24"/>
  <c r="B401" i="24" s="1"/>
  <c r="A407" i="24"/>
  <c r="B407" i="24" s="1"/>
  <c r="A414" i="24"/>
  <c r="B414" i="24" s="1"/>
  <c r="A422" i="24"/>
  <c r="B422" i="24" s="1"/>
  <c r="A429" i="24"/>
  <c r="B429" i="24" s="1"/>
  <c r="A435" i="24"/>
  <c r="B435" i="24" s="1"/>
  <c r="A443" i="24"/>
  <c r="B443" i="24" s="1"/>
  <c r="A450" i="24"/>
  <c r="B450" i="24" s="1"/>
  <c r="A456" i="24"/>
  <c r="B456" i="24" s="1"/>
  <c r="A462" i="24"/>
  <c r="B462" i="24" s="1"/>
  <c r="A467" i="24"/>
  <c r="B467" i="24" s="1"/>
  <c r="A472" i="24"/>
  <c r="B472" i="24" s="1"/>
  <c r="A478" i="24"/>
  <c r="B478" i="24" s="1"/>
  <c r="A483" i="24"/>
  <c r="B483" i="24" s="1"/>
  <c r="A488" i="24"/>
  <c r="B488" i="24" s="1"/>
  <c r="A494" i="24"/>
  <c r="B494" i="24" s="1"/>
  <c r="A499" i="24"/>
  <c r="B499" i="24" s="1"/>
  <c r="A504" i="24"/>
  <c r="B504" i="24" s="1"/>
  <c r="A510" i="24"/>
  <c r="B510" i="24" s="1"/>
  <c r="A515" i="24"/>
  <c r="B515" i="24" s="1"/>
  <c r="A520" i="24"/>
  <c r="B520" i="24" s="1"/>
  <c r="A129" i="24"/>
  <c r="B129" i="24" s="1"/>
  <c r="A141" i="24"/>
  <c r="B141" i="24" s="1"/>
  <c r="A150" i="24"/>
  <c r="B150" i="24" s="1"/>
  <c r="A161" i="24"/>
  <c r="B161" i="24" s="1"/>
  <c r="A173" i="24"/>
  <c r="B173" i="24" s="1"/>
  <c r="A182" i="24"/>
  <c r="B182" i="24" s="1"/>
  <c r="A190" i="24"/>
  <c r="B190" i="24" s="1"/>
  <c r="A198" i="24"/>
  <c r="B198" i="24" s="1"/>
  <c r="A205" i="24"/>
  <c r="B205" i="24" s="1"/>
  <c r="A211" i="24"/>
  <c r="B211" i="24" s="1"/>
  <c r="A219" i="24"/>
  <c r="B219" i="24" s="1"/>
  <c r="A226" i="24"/>
  <c r="B226" i="24" s="1"/>
  <c r="A233" i="24"/>
  <c r="B233" i="24" s="1"/>
  <c r="A241" i="24"/>
  <c r="B241" i="24" s="1"/>
  <c r="A247" i="24"/>
  <c r="B247" i="24" s="1"/>
  <c r="A254" i="24"/>
  <c r="B254" i="24" s="1"/>
  <c r="A262" i="24"/>
  <c r="B262" i="24" s="1"/>
  <c r="A269" i="24"/>
  <c r="B269" i="24" s="1"/>
  <c r="A275" i="24"/>
  <c r="B275" i="24" s="1"/>
  <c r="A283" i="24"/>
  <c r="B283" i="24" s="1"/>
  <c r="A290" i="24"/>
  <c r="B290" i="24" s="1"/>
  <c r="A297" i="24"/>
  <c r="B297" i="24" s="1"/>
  <c r="A305" i="24"/>
  <c r="B305" i="24" s="1"/>
  <c r="A311" i="24"/>
  <c r="B311" i="24" s="1"/>
  <c r="A318" i="24"/>
  <c r="B318" i="24" s="1"/>
  <c r="A326" i="24"/>
  <c r="B326" i="24" s="1"/>
  <c r="A333" i="24"/>
  <c r="B333" i="24" s="1"/>
  <c r="A339" i="24"/>
  <c r="B339" i="24" s="1"/>
  <c r="A347" i="24"/>
  <c r="B347" i="24" s="1"/>
  <c r="A354" i="24"/>
  <c r="B354" i="24" s="1"/>
  <c r="A361" i="24"/>
  <c r="B361" i="24" s="1"/>
  <c r="A369" i="24"/>
  <c r="B369" i="24" s="1"/>
  <c r="A375" i="24"/>
  <c r="B375" i="24" s="1"/>
  <c r="A382" i="24"/>
  <c r="B382" i="24" s="1"/>
  <c r="A390" i="24"/>
  <c r="B390" i="24" s="1"/>
  <c r="A397" i="24"/>
  <c r="B397" i="24" s="1"/>
  <c r="A403" i="24"/>
  <c r="B403" i="24" s="1"/>
  <c r="A411" i="24"/>
  <c r="B411" i="24" s="1"/>
  <c r="A418" i="24"/>
  <c r="B418" i="24" s="1"/>
  <c r="A425" i="24"/>
  <c r="B425" i="24" s="1"/>
  <c r="A433" i="24"/>
  <c r="B433" i="24" s="1"/>
  <c r="A439" i="24"/>
  <c r="B439" i="24" s="1"/>
  <c r="A446" i="24"/>
  <c r="B446" i="24" s="1"/>
  <c r="A454" i="24"/>
  <c r="B454" i="24" s="1"/>
  <c r="A459" i="24"/>
  <c r="B459" i="24" s="1"/>
  <c r="A464" i="24"/>
  <c r="B464" i="24" s="1"/>
  <c r="A470" i="24"/>
  <c r="B470" i="24" s="1"/>
  <c r="A475" i="24"/>
  <c r="B475" i="24" s="1"/>
  <c r="A480" i="24"/>
  <c r="B480" i="24" s="1"/>
  <c r="A486" i="24"/>
  <c r="B486" i="24" s="1"/>
  <c r="A491" i="24"/>
  <c r="B491" i="24" s="1"/>
  <c r="A496" i="24"/>
  <c r="B496" i="24" s="1"/>
  <c r="A502" i="24"/>
  <c r="B502" i="24" s="1"/>
  <c r="A507" i="24"/>
  <c r="B507" i="24" s="1"/>
  <c r="A512" i="24"/>
  <c r="B512" i="24" s="1"/>
  <c r="A518" i="24"/>
  <c r="B518" i="24" s="1"/>
  <c r="A523" i="24"/>
  <c r="B523" i="24" s="1"/>
  <c r="A528" i="24"/>
  <c r="B528" i="24" s="1"/>
  <c r="A534" i="24"/>
  <c r="B534" i="24" s="1"/>
  <c r="A539" i="24"/>
  <c r="B539" i="24" s="1"/>
  <c r="A544" i="24"/>
  <c r="B544" i="24" s="1"/>
  <c r="A550" i="24"/>
  <c r="B550" i="24" s="1"/>
  <c r="A555" i="24"/>
  <c r="B555" i="24" s="1"/>
  <c r="A560" i="24"/>
  <c r="B560" i="24" s="1"/>
  <c r="A564" i="24"/>
  <c r="B564" i="24" s="1"/>
  <c r="A568" i="24"/>
  <c r="B568" i="24" s="1"/>
  <c r="A572" i="24"/>
  <c r="B572" i="24" s="1"/>
  <c r="A576" i="24"/>
  <c r="B576" i="24" s="1"/>
  <c r="A580" i="24"/>
  <c r="B580" i="24" s="1"/>
  <c r="A584" i="24"/>
  <c r="B584" i="24" s="1"/>
  <c r="A588" i="24"/>
  <c r="B588" i="24" s="1"/>
  <c r="A592" i="24"/>
  <c r="B592" i="24" s="1"/>
  <c r="A596" i="24"/>
  <c r="B596" i="24" s="1"/>
  <c r="A600" i="24"/>
  <c r="B600" i="24" s="1"/>
  <c r="A604" i="24"/>
  <c r="B604" i="24" s="1"/>
  <c r="A608" i="24"/>
  <c r="B608" i="24" s="1"/>
  <c r="A612" i="24"/>
  <c r="B612" i="24" s="1"/>
  <c r="A616" i="24"/>
  <c r="B616" i="24" s="1"/>
  <c r="A620" i="24"/>
  <c r="B620" i="24" s="1"/>
  <c r="A624" i="24"/>
  <c r="B624" i="24" s="1"/>
  <c r="A628" i="24"/>
  <c r="B628" i="24" s="1"/>
  <c r="A632" i="24"/>
  <c r="B632" i="24" s="1"/>
  <c r="A636" i="24"/>
  <c r="B636" i="24" s="1"/>
  <c r="A640" i="24"/>
  <c r="B640" i="24" s="1"/>
  <c r="A644" i="24"/>
  <c r="B644" i="24" s="1"/>
  <c r="A648" i="24"/>
  <c r="B648" i="24" s="1"/>
  <c r="A652" i="24"/>
  <c r="B652" i="24" s="1"/>
  <c r="A656" i="24"/>
  <c r="B656" i="24" s="1"/>
  <c r="A660" i="24"/>
  <c r="B660" i="24" s="1"/>
  <c r="A664" i="24"/>
  <c r="B664" i="24" s="1"/>
  <c r="A668" i="24"/>
  <c r="B668" i="24" s="1"/>
  <c r="A672" i="24"/>
  <c r="B672" i="24" s="1"/>
  <c r="A676" i="24"/>
  <c r="B676" i="24" s="1"/>
  <c r="A680" i="24"/>
  <c r="B680" i="24" s="1"/>
  <c r="A684" i="24"/>
  <c r="B684" i="24" s="1"/>
  <c r="A688" i="24"/>
  <c r="B688" i="24" s="1"/>
  <c r="A692" i="24"/>
  <c r="B692" i="24" s="1"/>
  <c r="A696" i="24"/>
  <c r="B696" i="24" s="1"/>
  <c r="A700" i="24"/>
  <c r="B700" i="24" s="1"/>
  <c r="A704" i="24"/>
  <c r="B704" i="24" s="1"/>
  <c r="A708" i="24"/>
  <c r="B708" i="24" s="1"/>
  <c r="A712" i="24"/>
  <c r="B712" i="24" s="1"/>
  <c r="A716" i="24"/>
  <c r="B716" i="24" s="1"/>
  <c r="A720" i="24"/>
  <c r="B720" i="24" s="1"/>
  <c r="A724" i="24"/>
  <c r="B724" i="24" s="1"/>
  <c r="A728" i="24"/>
  <c r="B728" i="24" s="1"/>
  <c r="A732" i="24"/>
  <c r="B732" i="24" s="1"/>
  <c r="A736" i="24"/>
  <c r="B736" i="24" s="1"/>
  <c r="A740" i="24"/>
  <c r="B740" i="24" s="1"/>
  <c r="A744" i="24"/>
  <c r="B744" i="24" s="1"/>
  <c r="A748" i="24"/>
  <c r="B748" i="24" s="1"/>
  <c r="A752" i="24"/>
  <c r="B752" i="24" s="1"/>
  <c r="A756" i="24"/>
  <c r="B756" i="24" s="1"/>
  <c r="A760" i="24"/>
  <c r="B760" i="24" s="1"/>
  <c r="A764" i="24"/>
  <c r="B764" i="24" s="1"/>
  <c r="A768" i="24"/>
  <c r="B768" i="24" s="1"/>
  <c r="A772" i="24"/>
  <c r="B772" i="24" s="1"/>
  <c r="A776" i="24"/>
  <c r="B776" i="24" s="1"/>
  <c r="A780" i="24"/>
  <c r="B780" i="24" s="1"/>
  <c r="A784" i="24"/>
  <c r="B784" i="24" s="1"/>
  <c r="A788" i="24"/>
  <c r="B788" i="24" s="1"/>
  <c r="A792" i="24"/>
  <c r="B792" i="24" s="1"/>
  <c r="A796" i="24"/>
  <c r="B796" i="24" s="1"/>
  <c r="A800" i="24"/>
  <c r="B800" i="24" s="1"/>
  <c r="A804" i="24"/>
  <c r="B804" i="24" s="1"/>
  <c r="A808" i="24"/>
  <c r="B808" i="24" s="1"/>
  <c r="A812" i="24"/>
  <c r="B812" i="24" s="1"/>
  <c r="A816" i="24"/>
  <c r="B816" i="24" s="1"/>
  <c r="A820" i="24"/>
  <c r="B820" i="24" s="1"/>
  <c r="A824" i="24"/>
  <c r="B824" i="24" s="1"/>
  <c r="A828" i="24"/>
  <c r="B828" i="24" s="1"/>
  <c r="A832" i="24"/>
  <c r="B832" i="24" s="1"/>
  <c r="A836" i="24"/>
  <c r="B836" i="24" s="1"/>
  <c r="A840" i="24"/>
  <c r="B840" i="24" s="1"/>
  <c r="A844" i="24"/>
  <c r="B844" i="24" s="1"/>
  <c r="A848" i="24"/>
  <c r="B848" i="24" s="1"/>
  <c r="A852" i="24"/>
  <c r="B852" i="24" s="1"/>
  <c r="A856" i="24"/>
  <c r="B856" i="24" s="1"/>
  <c r="A860" i="24"/>
  <c r="B860" i="24" s="1"/>
  <c r="A864" i="24"/>
  <c r="B864" i="24" s="1"/>
  <c r="A868" i="24"/>
  <c r="B868" i="24" s="1"/>
  <c r="A872" i="24"/>
  <c r="B872" i="24" s="1"/>
  <c r="A876" i="24"/>
  <c r="B876" i="24" s="1"/>
  <c r="A880" i="24"/>
  <c r="B880" i="24" s="1"/>
  <c r="A884" i="24"/>
  <c r="B884" i="24" s="1"/>
  <c r="A888" i="24"/>
  <c r="B888" i="24" s="1"/>
  <c r="A892" i="24"/>
  <c r="B892" i="24" s="1"/>
  <c r="A896" i="24"/>
  <c r="B896" i="24" s="1"/>
  <c r="A900" i="24"/>
  <c r="B900" i="24" s="1"/>
  <c r="A904" i="24"/>
  <c r="B904" i="24" s="1"/>
  <c r="A908" i="24"/>
  <c r="B908" i="24" s="1"/>
  <c r="A912" i="24"/>
  <c r="B912" i="24" s="1"/>
  <c r="A916" i="24"/>
  <c r="B916" i="24" s="1"/>
  <c r="A920" i="24"/>
  <c r="B920" i="24" s="1"/>
  <c r="A924" i="24"/>
  <c r="B924" i="24" s="1"/>
  <c r="A928" i="24"/>
  <c r="B928" i="24" s="1"/>
  <c r="A932" i="24"/>
  <c r="B932" i="24" s="1"/>
  <c r="A936" i="24"/>
  <c r="B936" i="24" s="1"/>
  <c r="A940" i="24"/>
  <c r="B940" i="24" s="1"/>
  <c r="A944" i="24"/>
  <c r="B944" i="24" s="1"/>
  <c r="A948" i="24"/>
  <c r="B948" i="24" s="1"/>
  <c r="A952" i="24"/>
  <c r="B952" i="24" s="1"/>
  <c r="A956" i="24"/>
  <c r="B956" i="24" s="1"/>
  <c r="A960" i="24"/>
  <c r="B960" i="24" s="1"/>
  <c r="A964" i="24"/>
  <c r="B964" i="24" s="1"/>
  <c r="A968" i="24"/>
  <c r="B968" i="24" s="1"/>
  <c r="A972" i="24"/>
  <c r="B972" i="24" s="1"/>
  <c r="A976" i="24"/>
  <c r="B976" i="24" s="1"/>
  <c r="A980" i="24"/>
  <c r="B980" i="24" s="1"/>
  <c r="A984" i="24"/>
  <c r="B984" i="24" s="1"/>
  <c r="A126" i="24"/>
  <c r="B126" i="24" s="1"/>
  <c r="A169" i="24"/>
  <c r="B169" i="24" s="1"/>
  <c r="A203" i="24"/>
  <c r="B203" i="24" s="1"/>
  <c r="A231" i="24"/>
  <c r="B231" i="24" s="1"/>
  <c r="A259" i="24"/>
  <c r="B259" i="24" s="1"/>
  <c r="A289" i="24"/>
  <c r="B289" i="24" s="1"/>
  <c r="A317" i="24"/>
  <c r="B317" i="24" s="1"/>
  <c r="A345" i="24"/>
  <c r="B345" i="24" s="1"/>
  <c r="A374" i="24"/>
  <c r="B374" i="24" s="1"/>
  <c r="A402" i="24"/>
  <c r="B402" i="24" s="1"/>
  <c r="A430" i="24"/>
  <c r="B430" i="24" s="1"/>
  <c r="A458" i="24"/>
  <c r="B458" i="24" s="1"/>
  <c r="A479" i="24"/>
  <c r="B479" i="24" s="1"/>
  <c r="A500" i="24"/>
  <c r="B500" i="24" s="1"/>
  <c r="A522" i="24"/>
  <c r="B522" i="24" s="1"/>
  <c r="A530" i="24"/>
  <c r="B530" i="24" s="1"/>
  <c r="A536" i="24"/>
  <c r="B536" i="24" s="1"/>
  <c r="A543" i="24"/>
  <c r="B543" i="24" s="1"/>
  <c r="A551" i="24"/>
  <c r="B551" i="24" s="1"/>
  <c r="A558" i="24"/>
  <c r="B558" i="24" s="1"/>
  <c r="A563" i="24"/>
  <c r="B563" i="24" s="1"/>
  <c r="A569" i="24"/>
  <c r="B569" i="24" s="1"/>
  <c r="A574" i="24"/>
  <c r="B574" i="24" s="1"/>
  <c r="A579" i="24"/>
  <c r="B579" i="24" s="1"/>
  <c r="A585" i="24"/>
  <c r="B585" i="24" s="1"/>
  <c r="A590" i="24"/>
  <c r="B590" i="24" s="1"/>
  <c r="A595" i="24"/>
  <c r="B595" i="24" s="1"/>
  <c r="A601" i="24"/>
  <c r="B601" i="24" s="1"/>
  <c r="A606" i="24"/>
  <c r="B606" i="24" s="1"/>
  <c r="A611" i="24"/>
  <c r="B611" i="24" s="1"/>
  <c r="A617" i="24"/>
  <c r="B617" i="24" s="1"/>
  <c r="A622" i="24"/>
  <c r="B622" i="24" s="1"/>
  <c r="A627" i="24"/>
  <c r="B627" i="24" s="1"/>
  <c r="A633" i="24"/>
  <c r="B633" i="24" s="1"/>
  <c r="A638" i="24"/>
  <c r="B638" i="24" s="1"/>
  <c r="A643" i="24"/>
  <c r="B643" i="24" s="1"/>
  <c r="A649" i="24"/>
  <c r="B649" i="24" s="1"/>
  <c r="A654" i="24"/>
  <c r="B654" i="24" s="1"/>
  <c r="A659" i="24"/>
  <c r="B659" i="24" s="1"/>
  <c r="A665" i="24"/>
  <c r="B665" i="24" s="1"/>
  <c r="A670" i="24"/>
  <c r="B670" i="24" s="1"/>
  <c r="A675" i="24"/>
  <c r="B675" i="24" s="1"/>
  <c r="A681" i="24"/>
  <c r="B681" i="24" s="1"/>
  <c r="A686" i="24"/>
  <c r="B686" i="24" s="1"/>
  <c r="A691" i="24"/>
  <c r="B691" i="24" s="1"/>
  <c r="A697" i="24"/>
  <c r="B697" i="24" s="1"/>
  <c r="A702" i="24"/>
  <c r="B702" i="24" s="1"/>
  <c r="A707" i="24"/>
  <c r="B707" i="24" s="1"/>
  <c r="A713" i="24"/>
  <c r="B713" i="24" s="1"/>
  <c r="A718" i="24"/>
  <c r="B718" i="24" s="1"/>
  <c r="A723" i="24"/>
  <c r="B723" i="24" s="1"/>
  <c r="A729" i="24"/>
  <c r="B729" i="24" s="1"/>
  <c r="A734" i="24"/>
  <c r="B734" i="24" s="1"/>
  <c r="A739" i="24"/>
  <c r="B739" i="24" s="1"/>
  <c r="A745" i="24"/>
  <c r="B745" i="24" s="1"/>
  <c r="A750" i="24"/>
  <c r="B750" i="24" s="1"/>
  <c r="A755" i="24"/>
  <c r="B755" i="24" s="1"/>
  <c r="A761" i="24"/>
  <c r="B761" i="24" s="1"/>
  <c r="A766" i="24"/>
  <c r="B766" i="24" s="1"/>
  <c r="A771" i="24"/>
  <c r="B771" i="24" s="1"/>
  <c r="A777" i="24"/>
  <c r="B777" i="24" s="1"/>
  <c r="A782" i="24"/>
  <c r="B782" i="24" s="1"/>
  <c r="A787" i="24"/>
  <c r="B787" i="24" s="1"/>
  <c r="A793" i="24"/>
  <c r="B793" i="24" s="1"/>
  <c r="A798" i="24"/>
  <c r="B798" i="24" s="1"/>
  <c r="A803" i="24"/>
  <c r="B803" i="24" s="1"/>
  <c r="A809" i="24"/>
  <c r="B809" i="24" s="1"/>
  <c r="A814" i="24"/>
  <c r="B814" i="24" s="1"/>
  <c r="A819" i="24"/>
  <c r="B819" i="24" s="1"/>
  <c r="A825" i="24"/>
  <c r="B825" i="24" s="1"/>
  <c r="A830" i="24"/>
  <c r="B830" i="24" s="1"/>
  <c r="A835" i="24"/>
  <c r="B835" i="24" s="1"/>
  <c r="A841" i="24"/>
  <c r="B841" i="24" s="1"/>
  <c r="A846" i="24"/>
  <c r="B846" i="24" s="1"/>
  <c r="A851" i="24"/>
  <c r="B851" i="24" s="1"/>
  <c r="A857" i="24"/>
  <c r="B857" i="24" s="1"/>
  <c r="A862" i="24"/>
  <c r="B862" i="24" s="1"/>
  <c r="A867" i="24"/>
  <c r="B867" i="24" s="1"/>
  <c r="A873" i="24"/>
  <c r="B873" i="24" s="1"/>
  <c r="A878" i="24"/>
  <c r="B878" i="24" s="1"/>
  <c r="A883" i="24"/>
  <c r="B883" i="24" s="1"/>
  <c r="A889" i="24"/>
  <c r="B889" i="24" s="1"/>
  <c r="A894" i="24"/>
  <c r="B894" i="24" s="1"/>
  <c r="A899" i="24"/>
  <c r="B899" i="24" s="1"/>
  <c r="A905" i="24"/>
  <c r="B905" i="24" s="1"/>
  <c r="A910" i="24"/>
  <c r="B910" i="24" s="1"/>
  <c r="A915" i="24"/>
  <c r="B915" i="24" s="1"/>
  <c r="A921" i="24"/>
  <c r="B921" i="24" s="1"/>
  <c r="A926" i="24"/>
  <c r="B926" i="24" s="1"/>
  <c r="A137" i="24"/>
  <c r="B137" i="24" s="1"/>
  <c r="A181" i="24"/>
  <c r="B181" i="24" s="1"/>
  <c r="A210" i="24"/>
  <c r="B210" i="24" s="1"/>
  <c r="A238" i="24"/>
  <c r="B238" i="24" s="1"/>
  <c r="A267" i="24"/>
  <c r="B267" i="24" s="1"/>
  <c r="A295" i="24"/>
  <c r="B295" i="24" s="1"/>
  <c r="A323" i="24"/>
  <c r="B323" i="24" s="1"/>
  <c r="A353" i="24"/>
  <c r="B353" i="24" s="1"/>
  <c r="A381" i="24"/>
  <c r="B381" i="24" s="1"/>
  <c r="A409" i="24"/>
  <c r="B409" i="24" s="1"/>
  <c r="A438" i="24"/>
  <c r="B438" i="24" s="1"/>
  <c r="A463" i="24"/>
  <c r="B463" i="24" s="1"/>
  <c r="A484" i="24"/>
  <c r="B484" i="24" s="1"/>
  <c r="A506" i="24"/>
  <c r="B506" i="24" s="1"/>
  <c r="A524" i="24"/>
  <c r="B524" i="24" s="1"/>
  <c r="A531" i="24"/>
  <c r="B531" i="24" s="1"/>
  <c r="A538" i="24"/>
  <c r="B538" i="24" s="1"/>
  <c r="A546" i="24"/>
  <c r="B546" i="24" s="1"/>
  <c r="A552" i="24"/>
  <c r="B552" i="24" s="1"/>
  <c r="A559" i="24"/>
  <c r="B559" i="24" s="1"/>
  <c r="A565" i="24"/>
  <c r="B565" i="24" s="1"/>
  <c r="A570" i="24"/>
  <c r="B570" i="24" s="1"/>
  <c r="A575" i="24"/>
  <c r="B575" i="24" s="1"/>
  <c r="A581" i="24"/>
  <c r="B581" i="24" s="1"/>
  <c r="A586" i="24"/>
  <c r="B586" i="24" s="1"/>
  <c r="A591" i="24"/>
  <c r="B591" i="24" s="1"/>
  <c r="A597" i="24"/>
  <c r="B597" i="24" s="1"/>
  <c r="A602" i="24"/>
  <c r="B602" i="24" s="1"/>
  <c r="A607" i="24"/>
  <c r="B607" i="24" s="1"/>
  <c r="A613" i="24"/>
  <c r="B613" i="24" s="1"/>
  <c r="A618" i="24"/>
  <c r="B618" i="24" s="1"/>
  <c r="A623" i="24"/>
  <c r="B623" i="24" s="1"/>
  <c r="A629" i="24"/>
  <c r="B629" i="24" s="1"/>
  <c r="A634" i="24"/>
  <c r="B634" i="24" s="1"/>
  <c r="A639" i="24"/>
  <c r="B639" i="24" s="1"/>
  <c r="A645" i="24"/>
  <c r="B645" i="24" s="1"/>
  <c r="A650" i="24"/>
  <c r="B650" i="24" s="1"/>
  <c r="A655" i="24"/>
  <c r="B655" i="24" s="1"/>
  <c r="A661" i="24"/>
  <c r="B661" i="24" s="1"/>
  <c r="A666" i="24"/>
  <c r="B666" i="24" s="1"/>
  <c r="A671" i="24"/>
  <c r="B671" i="24" s="1"/>
  <c r="A677" i="24"/>
  <c r="B677" i="24" s="1"/>
  <c r="A682" i="24"/>
  <c r="B682" i="24" s="1"/>
  <c r="A687" i="24"/>
  <c r="B687" i="24" s="1"/>
  <c r="A693" i="24"/>
  <c r="B693" i="24" s="1"/>
  <c r="A698" i="24"/>
  <c r="B698" i="24" s="1"/>
  <c r="A703" i="24"/>
  <c r="B703" i="24" s="1"/>
  <c r="A709" i="24"/>
  <c r="B709" i="24" s="1"/>
  <c r="A714" i="24"/>
  <c r="B714" i="24" s="1"/>
  <c r="A719" i="24"/>
  <c r="B719" i="24" s="1"/>
  <c r="A725" i="24"/>
  <c r="B725" i="24" s="1"/>
  <c r="A730" i="24"/>
  <c r="B730" i="24" s="1"/>
  <c r="A735" i="24"/>
  <c r="B735" i="24" s="1"/>
  <c r="A741" i="24"/>
  <c r="B741" i="24" s="1"/>
  <c r="A746" i="24"/>
  <c r="B746" i="24" s="1"/>
  <c r="A751" i="24"/>
  <c r="B751" i="24" s="1"/>
  <c r="A757" i="24"/>
  <c r="B757" i="24" s="1"/>
  <c r="A762" i="24"/>
  <c r="B762" i="24" s="1"/>
  <c r="A767" i="24"/>
  <c r="B767" i="24" s="1"/>
  <c r="A773" i="24"/>
  <c r="B773" i="24" s="1"/>
  <c r="A778" i="24"/>
  <c r="B778" i="24" s="1"/>
  <c r="A783" i="24"/>
  <c r="B783" i="24" s="1"/>
  <c r="A789" i="24"/>
  <c r="B789" i="24" s="1"/>
  <c r="A794" i="24"/>
  <c r="B794" i="24" s="1"/>
  <c r="A799" i="24"/>
  <c r="B799" i="24" s="1"/>
  <c r="A805" i="24"/>
  <c r="B805" i="24" s="1"/>
  <c r="A810" i="24"/>
  <c r="B810" i="24" s="1"/>
  <c r="A815" i="24"/>
  <c r="B815" i="24" s="1"/>
  <c r="A821" i="24"/>
  <c r="B821" i="24" s="1"/>
  <c r="A826" i="24"/>
  <c r="B826" i="24" s="1"/>
  <c r="A831" i="24"/>
  <c r="B831" i="24" s="1"/>
  <c r="A837" i="24"/>
  <c r="B837" i="24" s="1"/>
  <c r="A842" i="24"/>
  <c r="B842" i="24" s="1"/>
  <c r="A847" i="24"/>
  <c r="B847" i="24" s="1"/>
  <c r="A853" i="24"/>
  <c r="B853" i="24" s="1"/>
  <c r="A858" i="24"/>
  <c r="B858" i="24" s="1"/>
  <c r="A863" i="24"/>
  <c r="B863" i="24" s="1"/>
  <c r="A869" i="24"/>
  <c r="B869" i="24" s="1"/>
  <c r="A874" i="24"/>
  <c r="B874" i="24" s="1"/>
  <c r="A879" i="24"/>
  <c r="B879" i="24" s="1"/>
  <c r="A885" i="24"/>
  <c r="B885" i="24" s="1"/>
  <c r="A890" i="24"/>
  <c r="B890" i="24" s="1"/>
  <c r="A895" i="24"/>
  <c r="B895" i="24" s="1"/>
  <c r="A901" i="24"/>
  <c r="B901" i="24" s="1"/>
  <c r="A906" i="24"/>
  <c r="B906" i="24" s="1"/>
  <c r="A149" i="24"/>
  <c r="B149" i="24" s="1"/>
  <c r="A189" i="24"/>
  <c r="B189" i="24" s="1"/>
  <c r="A217" i="24"/>
  <c r="B217" i="24" s="1"/>
  <c r="A246" i="24"/>
  <c r="B246" i="24" s="1"/>
  <c r="A274" i="24"/>
  <c r="B274" i="24" s="1"/>
  <c r="A302" i="24"/>
  <c r="B302" i="24" s="1"/>
  <c r="A331" i="24"/>
  <c r="B331" i="24" s="1"/>
  <c r="A359" i="24"/>
  <c r="B359" i="24" s="1"/>
  <c r="A387" i="24"/>
  <c r="B387" i="24" s="1"/>
  <c r="A417" i="24"/>
  <c r="B417" i="24" s="1"/>
  <c r="A445" i="24"/>
  <c r="B445" i="24" s="1"/>
  <c r="A468" i="24"/>
  <c r="B468" i="24" s="1"/>
  <c r="A490" i="24"/>
  <c r="B490" i="24" s="1"/>
  <c r="A511" i="24"/>
  <c r="B511" i="24" s="1"/>
  <c r="A526" i="24"/>
  <c r="B526" i="24" s="1"/>
  <c r="A532" i="24"/>
  <c r="B532" i="24" s="1"/>
  <c r="A540" i="24"/>
  <c r="B540" i="24" s="1"/>
  <c r="A547" i="24"/>
  <c r="B547" i="24" s="1"/>
  <c r="A554" i="24"/>
  <c r="B554" i="24" s="1"/>
  <c r="A561" i="24"/>
  <c r="B561" i="24" s="1"/>
  <c r="A566" i="24"/>
  <c r="B566" i="24" s="1"/>
  <c r="A571" i="24"/>
  <c r="B571" i="24" s="1"/>
  <c r="A577" i="24"/>
  <c r="B577" i="24" s="1"/>
  <c r="A582" i="24"/>
  <c r="B582" i="24" s="1"/>
  <c r="A587" i="24"/>
  <c r="B587" i="24" s="1"/>
  <c r="A593" i="24"/>
  <c r="B593" i="24" s="1"/>
  <c r="A598" i="24"/>
  <c r="B598" i="24" s="1"/>
  <c r="A603" i="24"/>
  <c r="B603" i="24" s="1"/>
  <c r="A609" i="24"/>
  <c r="B609" i="24" s="1"/>
  <c r="A614" i="24"/>
  <c r="B614" i="24" s="1"/>
  <c r="A619" i="24"/>
  <c r="B619" i="24" s="1"/>
  <c r="A625" i="24"/>
  <c r="B625" i="24" s="1"/>
  <c r="A630" i="24"/>
  <c r="B630" i="24" s="1"/>
  <c r="A635" i="24"/>
  <c r="B635" i="24" s="1"/>
  <c r="A641" i="24"/>
  <c r="B641" i="24" s="1"/>
  <c r="A646" i="24"/>
  <c r="B646" i="24" s="1"/>
  <c r="A651" i="24"/>
  <c r="B651" i="24" s="1"/>
  <c r="A657" i="24"/>
  <c r="B657" i="24" s="1"/>
  <c r="A662" i="24"/>
  <c r="B662" i="24" s="1"/>
  <c r="A667" i="24"/>
  <c r="B667" i="24" s="1"/>
  <c r="A673" i="24"/>
  <c r="B673" i="24" s="1"/>
  <c r="A678" i="24"/>
  <c r="B678" i="24" s="1"/>
  <c r="A683" i="24"/>
  <c r="B683" i="24" s="1"/>
  <c r="A689" i="24"/>
  <c r="B689" i="24" s="1"/>
  <c r="A694" i="24"/>
  <c r="B694" i="24" s="1"/>
  <c r="A699" i="24"/>
  <c r="B699" i="24" s="1"/>
  <c r="A705" i="24"/>
  <c r="B705" i="24" s="1"/>
  <c r="A710" i="24"/>
  <c r="B710" i="24" s="1"/>
  <c r="A715" i="24"/>
  <c r="B715" i="24" s="1"/>
  <c r="A721" i="24"/>
  <c r="B721" i="24" s="1"/>
  <c r="A726" i="24"/>
  <c r="B726" i="24" s="1"/>
  <c r="A731" i="24"/>
  <c r="B731" i="24" s="1"/>
  <c r="A737" i="24"/>
  <c r="B737" i="24" s="1"/>
  <c r="A742" i="24"/>
  <c r="B742" i="24" s="1"/>
  <c r="A747" i="24"/>
  <c r="B747" i="24" s="1"/>
  <c r="A753" i="24"/>
  <c r="B753" i="24" s="1"/>
  <c r="A758" i="24"/>
  <c r="B758" i="24" s="1"/>
  <c r="A763" i="24"/>
  <c r="B763" i="24" s="1"/>
  <c r="A769" i="24"/>
  <c r="B769" i="24" s="1"/>
  <c r="A774" i="24"/>
  <c r="B774" i="24" s="1"/>
  <c r="A779" i="24"/>
  <c r="B779" i="24" s="1"/>
  <c r="A785" i="24"/>
  <c r="B785" i="24" s="1"/>
  <c r="A790" i="24"/>
  <c r="B790" i="24" s="1"/>
  <c r="A795" i="24"/>
  <c r="B795" i="24" s="1"/>
  <c r="A801" i="24"/>
  <c r="B801" i="24" s="1"/>
  <c r="A806" i="24"/>
  <c r="B806" i="24" s="1"/>
  <c r="A811" i="24"/>
  <c r="B811" i="24" s="1"/>
  <c r="A817" i="24"/>
  <c r="B817" i="24" s="1"/>
  <c r="A822" i="24"/>
  <c r="B822" i="24" s="1"/>
  <c r="A827" i="24"/>
  <c r="B827" i="24" s="1"/>
  <c r="A833" i="24"/>
  <c r="B833" i="24" s="1"/>
  <c r="A838" i="24"/>
  <c r="B838" i="24" s="1"/>
  <c r="A843" i="24"/>
  <c r="B843" i="24" s="1"/>
  <c r="A849" i="24"/>
  <c r="B849" i="24" s="1"/>
  <c r="A854" i="24"/>
  <c r="B854" i="24" s="1"/>
  <c r="A859" i="24"/>
  <c r="B859" i="24" s="1"/>
  <c r="A865" i="24"/>
  <c r="B865" i="24" s="1"/>
  <c r="A870" i="24"/>
  <c r="B870" i="24" s="1"/>
  <c r="A875" i="24"/>
  <c r="B875" i="24" s="1"/>
  <c r="A881" i="24"/>
  <c r="B881" i="24" s="1"/>
  <c r="A886" i="24"/>
  <c r="B886" i="24" s="1"/>
  <c r="A891" i="24"/>
  <c r="B891" i="24" s="1"/>
  <c r="A897" i="24"/>
  <c r="B897" i="24" s="1"/>
  <c r="A902" i="24"/>
  <c r="B902" i="24" s="1"/>
  <c r="A907" i="24"/>
  <c r="B907" i="24" s="1"/>
  <c r="A158" i="24"/>
  <c r="B158" i="24" s="1"/>
  <c r="A281" i="24"/>
  <c r="B281" i="24" s="1"/>
  <c r="A395" i="24"/>
  <c r="B395" i="24" s="1"/>
  <c r="A495" i="24"/>
  <c r="B495" i="24" s="1"/>
  <c r="A542" i="24"/>
  <c r="B542" i="24" s="1"/>
  <c r="A567" i="24"/>
  <c r="B567" i="24" s="1"/>
  <c r="A589" i="24"/>
  <c r="B589" i="24" s="1"/>
  <c r="A610" i="24"/>
  <c r="B610" i="24" s="1"/>
  <c r="A631" i="24"/>
  <c r="B631" i="24" s="1"/>
  <c r="A653" i="24"/>
  <c r="B653" i="24" s="1"/>
  <c r="A674" i="24"/>
  <c r="B674" i="24" s="1"/>
  <c r="A695" i="24"/>
  <c r="B695" i="24" s="1"/>
  <c r="A717" i="24"/>
  <c r="B717" i="24" s="1"/>
  <c r="A738" i="24"/>
  <c r="B738" i="24" s="1"/>
  <c r="A759" i="24"/>
  <c r="B759" i="24" s="1"/>
  <c r="A781" i="24"/>
  <c r="B781" i="24" s="1"/>
  <c r="A802" i="24"/>
  <c r="B802" i="24" s="1"/>
  <c r="A823" i="24"/>
  <c r="B823" i="24" s="1"/>
  <c r="A845" i="24"/>
  <c r="B845" i="24" s="1"/>
  <c r="A866" i="24"/>
  <c r="B866" i="24" s="1"/>
  <c r="A887" i="24"/>
  <c r="B887" i="24" s="1"/>
  <c r="A909" i="24"/>
  <c r="B909" i="24" s="1"/>
  <c r="A917" i="24"/>
  <c r="B917" i="24" s="1"/>
  <c r="A923" i="24"/>
  <c r="B923" i="24" s="1"/>
  <c r="A930" i="24"/>
  <c r="B930" i="24" s="1"/>
  <c r="A935" i="24"/>
  <c r="B935" i="24" s="1"/>
  <c r="A941" i="24"/>
  <c r="B941" i="24" s="1"/>
  <c r="A946" i="24"/>
  <c r="B946" i="24" s="1"/>
  <c r="A951" i="24"/>
  <c r="B951" i="24" s="1"/>
  <c r="A957" i="24"/>
  <c r="B957" i="24" s="1"/>
  <c r="A962" i="24"/>
  <c r="B962" i="24" s="1"/>
  <c r="A967" i="24"/>
  <c r="B967" i="24" s="1"/>
  <c r="A973" i="24"/>
  <c r="B973" i="24" s="1"/>
  <c r="A978" i="24"/>
  <c r="B978" i="24" s="1"/>
  <c r="A983" i="24"/>
  <c r="B983" i="24" s="1"/>
  <c r="A988" i="24"/>
  <c r="B988" i="24" s="1"/>
  <c r="A992" i="24"/>
  <c r="B992" i="24" s="1"/>
  <c r="A996" i="24"/>
  <c r="B996" i="24" s="1"/>
  <c r="A1000" i="24"/>
  <c r="B1000" i="24" s="1"/>
  <c r="A195" i="24"/>
  <c r="B195" i="24" s="1"/>
  <c r="A310" i="24"/>
  <c r="B310" i="24" s="1"/>
  <c r="A423" i="24"/>
  <c r="B423" i="24" s="1"/>
  <c r="A516" i="24"/>
  <c r="B516" i="24" s="1"/>
  <c r="A548" i="24"/>
  <c r="B548" i="24" s="1"/>
  <c r="A573" i="24"/>
  <c r="B573" i="24" s="1"/>
  <c r="A594" i="24"/>
  <c r="B594" i="24" s="1"/>
  <c r="A615" i="24"/>
  <c r="B615" i="24" s="1"/>
  <c r="A637" i="24"/>
  <c r="B637" i="24" s="1"/>
  <c r="A658" i="24"/>
  <c r="B658" i="24" s="1"/>
  <c r="A679" i="24"/>
  <c r="B679" i="24" s="1"/>
  <c r="A701" i="24"/>
  <c r="B701" i="24" s="1"/>
  <c r="A722" i="24"/>
  <c r="B722" i="24" s="1"/>
  <c r="A743" i="24"/>
  <c r="B743" i="24" s="1"/>
  <c r="A765" i="24"/>
  <c r="B765" i="24" s="1"/>
  <c r="A786" i="24"/>
  <c r="B786" i="24" s="1"/>
  <c r="A807" i="24"/>
  <c r="B807" i="24" s="1"/>
  <c r="A829" i="24"/>
  <c r="B829" i="24" s="1"/>
  <c r="A850" i="24"/>
  <c r="B850" i="24" s="1"/>
  <c r="A871" i="24"/>
  <c r="B871" i="24" s="1"/>
  <c r="A893" i="24"/>
  <c r="B893" i="24" s="1"/>
  <c r="A911" i="24"/>
  <c r="B911" i="24" s="1"/>
  <c r="A918" i="24"/>
  <c r="B918" i="24" s="1"/>
  <c r="A925" i="24"/>
  <c r="B925" i="24" s="1"/>
  <c r="A931" i="24"/>
  <c r="B931" i="24" s="1"/>
  <c r="A937" i="24"/>
  <c r="B937" i="24" s="1"/>
  <c r="A942" i="24"/>
  <c r="B942" i="24" s="1"/>
  <c r="A947" i="24"/>
  <c r="B947" i="24" s="1"/>
  <c r="A953" i="24"/>
  <c r="B953" i="24" s="1"/>
  <c r="A958" i="24"/>
  <c r="B958" i="24" s="1"/>
  <c r="A963" i="24"/>
  <c r="B963" i="24" s="1"/>
  <c r="A969" i="24"/>
  <c r="B969" i="24" s="1"/>
  <c r="A974" i="24"/>
  <c r="B974" i="24" s="1"/>
  <c r="A979" i="24"/>
  <c r="B979" i="24" s="1"/>
  <c r="A985" i="24"/>
  <c r="B985" i="24" s="1"/>
  <c r="A989" i="24"/>
  <c r="B989" i="24" s="1"/>
  <c r="A993" i="24"/>
  <c r="B993" i="24" s="1"/>
  <c r="A997" i="24"/>
  <c r="B997" i="24" s="1"/>
  <c r="A253" i="24"/>
  <c r="B253" i="24" s="1"/>
  <c r="A366" i="24"/>
  <c r="B366" i="24" s="1"/>
  <c r="A474" i="24"/>
  <c r="B474" i="24" s="1"/>
  <c r="A535" i="24"/>
  <c r="B535" i="24" s="1"/>
  <c r="A562" i="24"/>
  <c r="B562" i="24" s="1"/>
  <c r="A583" i="24"/>
  <c r="B583" i="24" s="1"/>
  <c r="A605" i="24"/>
  <c r="B605" i="24" s="1"/>
  <c r="A626" i="24"/>
  <c r="B626" i="24" s="1"/>
  <c r="A647" i="24"/>
  <c r="B647" i="24" s="1"/>
  <c r="A669" i="24"/>
  <c r="B669" i="24" s="1"/>
  <c r="A690" i="24"/>
  <c r="B690" i="24" s="1"/>
  <c r="A711" i="24"/>
  <c r="B711" i="24" s="1"/>
  <c r="A733" i="24"/>
  <c r="B733" i="24" s="1"/>
  <c r="A754" i="24"/>
  <c r="B754" i="24" s="1"/>
  <c r="A775" i="24"/>
  <c r="B775" i="24" s="1"/>
  <c r="A797" i="24"/>
  <c r="B797" i="24" s="1"/>
  <c r="A818" i="24"/>
  <c r="B818" i="24" s="1"/>
  <c r="A839" i="24"/>
  <c r="B839" i="24" s="1"/>
  <c r="A861" i="24"/>
  <c r="B861" i="24" s="1"/>
  <c r="A882" i="24"/>
  <c r="B882" i="24" s="1"/>
  <c r="A903" i="24"/>
  <c r="B903" i="24" s="1"/>
  <c r="A914" i="24"/>
  <c r="B914" i="24" s="1"/>
  <c r="A922" i="24"/>
  <c r="B922" i="24" s="1"/>
  <c r="A929" i="24"/>
  <c r="B929" i="24" s="1"/>
  <c r="A934" i="24"/>
  <c r="B934" i="24" s="1"/>
  <c r="A939" i="24"/>
  <c r="B939" i="24" s="1"/>
  <c r="A945" i="24"/>
  <c r="B945" i="24" s="1"/>
  <c r="A950" i="24"/>
  <c r="B950" i="24" s="1"/>
  <c r="A955" i="24"/>
  <c r="B955" i="24" s="1"/>
  <c r="A961" i="24"/>
  <c r="B961" i="24" s="1"/>
  <c r="A966" i="24"/>
  <c r="B966" i="24" s="1"/>
  <c r="A971" i="24"/>
  <c r="B971" i="24" s="1"/>
  <c r="A977" i="24"/>
  <c r="B977" i="24" s="1"/>
  <c r="A982" i="24"/>
  <c r="B982" i="24" s="1"/>
  <c r="A987" i="24"/>
  <c r="B987" i="24" s="1"/>
  <c r="A991" i="24"/>
  <c r="B991" i="24" s="1"/>
  <c r="A995" i="24"/>
  <c r="B995" i="24" s="1"/>
  <c r="A999" i="24"/>
  <c r="B999" i="24" s="1"/>
  <c r="A10" i="24"/>
  <c r="B10" i="24" s="1"/>
  <c r="A14" i="24"/>
  <c r="B14" i="24" s="1"/>
  <c r="A18" i="24"/>
  <c r="B18" i="24" s="1"/>
  <c r="A22" i="24"/>
  <c r="B22" i="24" s="1"/>
  <c r="A26" i="24"/>
  <c r="B26" i="24" s="1"/>
  <c r="A30" i="24"/>
  <c r="B30" i="24" s="1"/>
  <c r="A34" i="24"/>
  <c r="B34" i="24" s="1"/>
  <c r="A38" i="24"/>
  <c r="B38" i="24" s="1"/>
  <c r="A42" i="24"/>
  <c r="B42" i="24" s="1"/>
  <c r="A46" i="24"/>
  <c r="B46" i="24" s="1"/>
  <c r="A50" i="24"/>
  <c r="B50" i="24" s="1"/>
  <c r="A54" i="24"/>
  <c r="B54" i="24" s="1"/>
  <c r="A58" i="24"/>
  <c r="B58" i="24" s="1"/>
  <c r="A62" i="24"/>
  <c r="B62" i="24" s="1"/>
  <c r="A66" i="24"/>
  <c r="B66" i="24" s="1"/>
  <c r="A70" i="24"/>
  <c r="B70" i="24" s="1"/>
  <c r="A74" i="24"/>
  <c r="B74" i="24" s="1"/>
  <c r="A78" i="24"/>
  <c r="B78" i="24" s="1"/>
  <c r="A82" i="24"/>
  <c r="B82" i="24" s="1"/>
  <c r="A86" i="24"/>
  <c r="B86" i="24" s="1"/>
  <c r="A90" i="24"/>
  <c r="B90" i="24" s="1"/>
  <c r="A94" i="24"/>
  <c r="B94" i="24" s="1"/>
  <c r="A98" i="24"/>
  <c r="B98" i="24" s="1"/>
  <c r="A102" i="24"/>
  <c r="B102" i="24" s="1"/>
  <c r="A106" i="24"/>
  <c r="B106" i="24" s="1"/>
  <c r="A110" i="24"/>
  <c r="B110" i="24" s="1"/>
  <c r="A114" i="24"/>
  <c r="B114" i="24" s="1"/>
  <c r="A225" i="24"/>
  <c r="B225" i="24" s="1"/>
  <c r="A556" i="24"/>
  <c r="B556" i="24" s="1"/>
  <c r="A642" i="24"/>
  <c r="B642" i="24" s="1"/>
  <c r="A727" i="24"/>
  <c r="B727" i="24" s="1"/>
  <c r="A813" i="24"/>
  <c r="B813" i="24" s="1"/>
  <c r="A898" i="24"/>
  <c r="B898" i="24" s="1"/>
  <c r="A933" i="24"/>
  <c r="B933" i="24" s="1"/>
  <c r="A954" i="24"/>
  <c r="B954" i="24" s="1"/>
  <c r="A975" i="24"/>
  <c r="B975" i="24" s="1"/>
  <c r="A994" i="24"/>
  <c r="B994" i="24" s="1"/>
  <c r="A338" i="24"/>
  <c r="B338" i="24" s="1"/>
  <c r="A578" i="24"/>
  <c r="B578" i="24" s="1"/>
  <c r="A663" i="24"/>
  <c r="B663" i="24" s="1"/>
  <c r="A749" i="24"/>
  <c r="B749" i="24" s="1"/>
  <c r="A834" i="24"/>
  <c r="B834" i="24" s="1"/>
  <c r="A913" i="24"/>
  <c r="B913" i="24" s="1"/>
  <c r="A938" i="24"/>
  <c r="B938" i="24" s="1"/>
  <c r="A959" i="24"/>
  <c r="B959" i="24" s="1"/>
  <c r="A981" i="24"/>
  <c r="B981" i="24" s="1"/>
  <c r="A998" i="24"/>
  <c r="B998" i="24" s="1"/>
  <c r="A451" i="24"/>
  <c r="B451" i="24" s="1"/>
  <c r="A599" i="24"/>
  <c r="B599" i="24" s="1"/>
  <c r="A685" i="24"/>
  <c r="B685" i="24" s="1"/>
  <c r="A770" i="24"/>
  <c r="B770" i="24" s="1"/>
  <c r="A855" i="24"/>
  <c r="B855" i="24" s="1"/>
  <c r="A919" i="24"/>
  <c r="B919" i="24" s="1"/>
  <c r="A943" i="24"/>
  <c r="B943" i="24" s="1"/>
  <c r="A965" i="24"/>
  <c r="B965" i="24" s="1"/>
  <c r="A986" i="24"/>
  <c r="B986" i="24" s="1"/>
  <c r="A17" i="24"/>
  <c r="B17" i="24" s="1"/>
  <c r="A44" i="24"/>
  <c r="B44" i="24" s="1"/>
  <c r="A60" i="24"/>
  <c r="B60" i="24" s="1"/>
  <c r="A76" i="24"/>
  <c r="B76" i="24" s="1"/>
  <c r="A92" i="24"/>
  <c r="B92" i="24" s="1"/>
  <c r="A108" i="24"/>
  <c r="B108" i="24" s="1"/>
  <c r="A19" i="24"/>
  <c r="B19" i="24" s="1"/>
  <c r="A40" i="24"/>
  <c r="B40" i="24" s="1"/>
  <c r="A61" i="24"/>
  <c r="B61" i="24" s="1"/>
  <c r="A83" i="24"/>
  <c r="B83" i="24" s="1"/>
  <c r="A99" i="24"/>
  <c r="B99" i="24" s="1"/>
  <c r="A706" i="24"/>
  <c r="B706" i="24" s="1"/>
  <c r="A15" i="24"/>
  <c r="B15" i="24" s="1"/>
  <c r="A31" i="24"/>
  <c r="B31" i="24" s="1"/>
  <c r="A52" i="24"/>
  <c r="B52" i="24" s="1"/>
  <c r="A73" i="24"/>
  <c r="B73" i="24" s="1"/>
  <c r="A100" i="24"/>
  <c r="B100" i="24" s="1"/>
  <c r="A621" i="24"/>
  <c r="B621" i="24" s="1"/>
  <c r="A927" i="24"/>
  <c r="B927" i="24" s="1"/>
  <c r="A13" i="24"/>
  <c r="B13" i="24" s="1"/>
  <c r="A35" i="24"/>
  <c r="B35" i="24" s="1"/>
  <c r="A56" i="24"/>
  <c r="B56" i="24" s="1"/>
  <c r="A77" i="24"/>
  <c r="B77" i="24" s="1"/>
  <c r="A93" i="24"/>
  <c r="B93" i="24" s="1"/>
  <c r="A115" i="24"/>
  <c r="B115" i="24" s="1"/>
  <c r="A20" i="24"/>
  <c r="B20" i="24" s="1"/>
  <c r="A36" i="24"/>
  <c r="B36" i="24" s="1"/>
  <c r="A57" i="24"/>
  <c r="B57" i="24" s="1"/>
  <c r="A79" i="24"/>
  <c r="B79" i="24" s="1"/>
  <c r="A95" i="24"/>
  <c r="B95" i="24" s="1"/>
  <c r="A111" i="24"/>
  <c r="B111" i="24" s="1"/>
  <c r="A791" i="24"/>
  <c r="B791" i="24" s="1"/>
  <c r="A970" i="24"/>
  <c r="B970" i="24" s="1"/>
  <c r="A11" i="24"/>
  <c r="B11" i="24" s="1"/>
  <c r="A16" i="24"/>
  <c r="B16" i="24" s="1"/>
  <c r="A21" i="24"/>
  <c r="B21" i="24" s="1"/>
  <c r="A27" i="24"/>
  <c r="B27" i="24" s="1"/>
  <c r="A32" i="24"/>
  <c r="B32" i="24" s="1"/>
  <c r="A37" i="24"/>
  <c r="B37" i="24" s="1"/>
  <c r="A43" i="24"/>
  <c r="B43" i="24" s="1"/>
  <c r="A48" i="24"/>
  <c r="B48" i="24" s="1"/>
  <c r="A53" i="24"/>
  <c r="B53" i="24" s="1"/>
  <c r="A59" i="24"/>
  <c r="B59" i="24" s="1"/>
  <c r="A64" i="24"/>
  <c r="B64" i="24" s="1"/>
  <c r="A69" i="24"/>
  <c r="B69" i="24" s="1"/>
  <c r="A75" i="24"/>
  <c r="B75" i="24" s="1"/>
  <c r="A80" i="24"/>
  <c r="B80" i="24" s="1"/>
  <c r="A85" i="24"/>
  <c r="B85" i="24" s="1"/>
  <c r="A91" i="24"/>
  <c r="B91" i="24" s="1"/>
  <c r="A96" i="24"/>
  <c r="B96" i="24" s="1"/>
  <c r="A101" i="24"/>
  <c r="B101" i="24" s="1"/>
  <c r="A107" i="24"/>
  <c r="B107" i="24" s="1"/>
  <c r="A112" i="24"/>
  <c r="B112" i="24" s="1"/>
  <c r="A527" i="24"/>
  <c r="B527" i="24" s="1"/>
  <c r="A877" i="24"/>
  <c r="B877" i="24" s="1"/>
  <c r="A990" i="24"/>
  <c r="B990" i="24" s="1"/>
  <c r="A12" i="24"/>
  <c r="B12" i="24" s="1"/>
  <c r="A23" i="24"/>
  <c r="B23" i="24" s="1"/>
  <c r="A28" i="24"/>
  <c r="B28" i="24" s="1"/>
  <c r="A33" i="24"/>
  <c r="B33" i="24" s="1"/>
  <c r="A39" i="24"/>
  <c r="B39" i="24" s="1"/>
  <c r="A49" i="24"/>
  <c r="B49" i="24" s="1"/>
  <c r="A55" i="24"/>
  <c r="B55" i="24" s="1"/>
  <c r="A65" i="24"/>
  <c r="B65" i="24" s="1"/>
  <c r="A71" i="24"/>
  <c r="B71" i="24" s="1"/>
  <c r="A81" i="24"/>
  <c r="B81" i="24" s="1"/>
  <c r="A87" i="24"/>
  <c r="B87" i="24" s="1"/>
  <c r="A97" i="24"/>
  <c r="B97" i="24" s="1"/>
  <c r="A103" i="24"/>
  <c r="B103" i="24" s="1"/>
  <c r="A113" i="24"/>
  <c r="B113" i="24" s="1"/>
  <c r="A8" i="24"/>
  <c r="B8" i="24" s="1"/>
  <c r="A24" i="24"/>
  <c r="B24" i="24" s="1"/>
  <c r="A29" i="24"/>
  <c r="B29" i="24" s="1"/>
  <c r="A45" i="24"/>
  <c r="B45" i="24" s="1"/>
  <c r="A51" i="24"/>
  <c r="B51" i="24" s="1"/>
  <c r="A67" i="24"/>
  <c r="B67" i="24" s="1"/>
  <c r="A72" i="24"/>
  <c r="B72" i="24" s="1"/>
  <c r="A88" i="24"/>
  <c r="B88" i="24" s="1"/>
  <c r="A104" i="24"/>
  <c r="B104" i="24" s="1"/>
  <c r="A109" i="24"/>
  <c r="B109" i="24" s="1"/>
  <c r="A949" i="24"/>
  <c r="B949" i="24" s="1"/>
  <c r="A9" i="24"/>
  <c r="B9" i="24" s="1"/>
  <c r="A25" i="24"/>
  <c r="B25" i="24" s="1"/>
  <c r="A41" i="24"/>
  <c r="B41" i="24" s="1"/>
  <c r="A47" i="24"/>
  <c r="B47" i="24" s="1"/>
  <c r="A63" i="24"/>
  <c r="B63" i="24" s="1"/>
  <c r="A68" i="24"/>
  <c r="B68" i="24" s="1"/>
  <c r="A84" i="24"/>
  <c r="B84" i="24" s="1"/>
  <c r="A89" i="24"/>
  <c r="B89" i="24" s="1"/>
  <c r="A105" i="24"/>
  <c r="B105" i="24" s="1"/>
  <c r="A116" i="24"/>
  <c r="B116" i="24" s="1"/>
  <c r="M9" i="2"/>
  <c r="F8" i="21"/>
  <c r="G8" i="21"/>
  <c r="A4" i="24"/>
  <c r="A5" i="24"/>
  <c r="A6" i="24"/>
  <c r="A7" i="24" s="1"/>
  <c r="B7" i="24" l="1"/>
  <c r="B6" i="24"/>
  <c r="B5" i="24"/>
  <c r="B4" i="24"/>
  <c r="Y5" i="11"/>
  <c r="Y4" i="11"/>
  <c r="Y6" i="11"/>
  <c r="Y7" i="11"/>
  <c r="Y8" i="11"/>
  <c r="K8" i="23"/>
  <c r="K19" i="23"/>
  <c r="K10" i="23"/>
  <c r="K3" i="23"/>
  <c r="K5" i="23"/>
  <c r="K4" i="23"/>
  <c r="K11" i="23"/>
  <c r="K2" i="23"/>
  <c r="K16" i="23"/>
  <c r="K15" i="23"/>
  <c r="K12" i="23"/>
  <c r="K18" i="23"/>
  <c r="K6" i="23"/>
  <c r="F10" i="21"/>
  <c r="G10" i="21"/>
  <c r="F2" i="21"/>
  <c r="F14" i="21"/>
  <c r="F6" i="21"/>
  <c r="F11" i="21"/>
  <c r="F12" i="21"/>
  <c r="F5" i="21"/>
  <c r="F9" i="21"/>
  <c r="F4" i="21"/>
  <c r="F13" i="21"/>
  <c r="F15" i="21"/>
  <c r="F16" i="21"/>
  <c r="K10" i="21" l="1"/>
  <c r="AS4" i="11"/>
  <c r="H7" i="23"/>
  <c r="L7" i="23" s="1"/>
  <c r="K7" i="23"/>
  <c r="H14" i="23"/>
  <c r="L14" i="23" s="1"/>
  <c r="K14" i="23"/>
  <c r="H9" i="23"/>
  <c r="L9" i="23" s="1"/>
  <c r="K9" i="23"/>
  <c r="H17" i="23"/>
  <c r="L17" i="23" s="1"/>
  <c r="K17" i="23"/>
  <c r="H13" i="23"/>
  <c r="L13" i="23" s="1"/>
  <c r="K13" i="23"/>
  <c r="H10" i="23"/>
  <c r="L10" i="23" s="1"/>
  <c r="H18" i="23"/>
  <c r="L18" i="23" s="1"/>
  <c r="H12" i="23"/>
  <c r="L12" i="23" s="1"/>
  <c r="H5" i="23"/>
  <c r="L5" i="23" s="1"/>
  <c r="H8" i="23"/>
  <c r="L8" i="23" s="1"/>
  <c r="H4" i="23"/>
  <c r="L4" i="23" s="1"/>
  <c r="H11" i="23"/>
  <c r="L11" i="23" s="1"/>
  <c r="H19" i="23"/>
  <c r="L19" i="23" s="1"/>
  <c r="H16" i="23"/>
  <c r="L16" i="23" s="1"/>
  <c r="H15" i="23"/>
  <c r="L15" i="23" s="1"/>
  <c r="H3" i="23"/>
  <c r="L3" i="23" s="1"/>
  <c r="H6" i="23"/>
  <c r="L6" i="23" s="1"/>
  <c r="H2" i="23"/>
  <c r="L2" i="23" s="1"/>
  <c r="G5" i="21"/>
  <c r="G2" i="21"/>
  <c r="G14" i="21"/>
  <c r="G9" i="21"/>
  <c r="K9" i="21" s="1"/>
  <c r="G6" i="21"/>
  <c r="G4" i="21"/>
  <c r="K4" i="21" s="1"/>
  <c r="G13" i="21"/>
  <c r="K13" i="21" s="1"/>
  <c r="G15" i="21"/>
  <c r="G11" i="21"/>
  <c r="K11" i="21" s="1"/>
  <c r="G16" i="21"/>
  <c r="G12" i="21"/>
  <c r="K12" i="21" s="1"/>
  <c r="K5" i="21"/>
  <c r="K6" i="21"/>
  <c r="K16" i="21"/>
  <c r="K2" i="21"/>
  <c r="N9" i="23" l="1"/>
  <c r="O9" i="23" s="1"/>
  <c r="R7" i="11"/>
  <c r="R8" i="11"/>
  <c r="R5" i="11"/>
  <c r="R6" i="11"/>
  <c r="R4" i="11"/>
  <c r="S8" i="11"/>
  <c r="S5" i="11"/>
  <c r="S6" i="11"/>
  <c r="S7" i="11"/>
  <c r="S4" i="11"/>
  <c r="O5" i="11"/>
  <c r="O6" i="11"/>
  <c r="O7" i="11"/>
  <c r="O4" i="11"/>
  <c r="O8" i="11"/>
  <c r="Q6" i="11"/>
  <c r="Q7" i="11"/>
  <c r="Q4" i="11"/>
  <c r="Q8" i="11"/>
  <c r="Q5" i="11"/>
  <c r="P15" i="23"/>
  <c r="N15" i="23"/>
  <c r="O15" i="23" s="1"/>
  <c r="P18" i="23"/>
  <c r="BE4" i="11" s="1"/>
  <c r="N18" i="23"/>
  <c r="O18" i="23" s="1"/>
  <c r="N8" i="23"/>
  <c r="O8" i="23" s="1"/>
  <c r="N6" i="23"/>
  <c r="O6" i="23" s="1"/>
  <c r="P19" i="23"/>
  <c r="N19" i="23"/>
  <c r="N5" i="23"/>
  <c r="O5" i="23" s="1"/>
  <c r="N3" i="23"/>
  <c r="O3" i="23" s="1"/>
  <c r="N11" i="23"/>
  <c r="O11" i="23" s="1"/>
  <c r="N12" i="23"/>
  <c r="O12" i="23" s="1"/>
  <c r="N13" i="23"/>
  <c r="O13" i="23" s="1"/>
  <c r="N7" i="23"/>
  <c r="O7" i="23" s="1"/>
  <c r="N4" i="23"/>
  <c r="O4" i="23" s="1"/>
  <c r="N2" i="23"/>
  <c r="O2" i="23" s="1"/>
  <c r="N16" i="23"/>
  <c r="O16" i="23" s="1"/>
  <c r="N10" i="23"/>
  <c r="O10" i="23" s="1"/>
  <c r="P17" i="23"/>
  <c r="N17" i="23"/>
  <c r="O17" i="23" s="1"/>
  <c r="N14" i="23"/>
  <c r="O14" i="23" s="1"/>
  <c r="P16" i="23"/>
  <c r="P9" i="23"/>
  <c r="L10" i="21"/>
  <c r="AO5" i="11"/>
  <c r="AO4" i="11"/>
  <c r="AM4" i="11"/>
  <c r="AM6" i="11"/>
  <c r="I4" i="21"/>
  <c r="AN5" i="11"/>
  <c r="P6" i="11"/>
  <c r="Q15" i="23"/>
  <c r="L12" i="21"/>
  <c r="P7" i="23"/>
  <c r="AN8" i="11"/>
  <c r="AO6" i="11"/>
  <c r="L5" i="21"/>
  <c r="P4" i="23"/>
  <c r="P10" i="23"/>
  <c r="L6" i="21"/>
  <c r="P12" i="23"/>
  <c r="P14" i="23"/>
  <c r="AN7" i="11"/>
  <c r="AO7" i="11"/>
  <c r="P5" i="23"/>
  <c r="AM7" i="11"/>
  <c r="I16" i="21"/>
  <c r="L9" i="21"/>
  <c r="P4" i="11"/>
  <c r="L11" i="21"/>
  <c r="I5" i="21"/>
  <c r="L16" i="21"/>
  <c r="I6" i="21"/>
  <c r="L2" i="21"/>
  <c r="P11" i="23"/>
  <c r="P8" i="23"/>
  <c r="AM5" i="11"/>
  <c r="P8" i="11"/>
  <c r="P5" i="11"/>
  <c r="AN6" i="11"/>
  <c r="I2" i="21"/>
  <c r="P3" i="23"/>
  <c r="P13" i="23"/>
  <c r="AM8" i="11"/>
  <c r="P7" i="11"/>
  <c r="P2" i="23"/>
  <c r="P6" i="23"/>
  <c r="AO8" i="11"/>
  <c r="AN4" i="11"/>
  <c r="L4" i="21"/>
  <c r="L13" i="21"/>
  <c r="Q17" i="23"/>
  <c r="Q19" i="23"/>
  <c r="AX4" i="11" l="1"/>
  <c r="BI4" i="11"/>
  <c r="J2" i="21"/>
  <c r="J6" i="21"/>
  <c r="J16" i="21"/>
  <c r="Q7" i="23"/>
  <c r="BH4" i="11"/>
  <c r="Q8" i="23"/>
  <c r="T6" i="11"/>
  <c r="Q11" i="23"/>
  <c r="Q10" i="23"/>
  <c r="Q3" i="23"/>
  <c r="Q6" i="23"/>
  <c r="T7" i="11"/>
  <c r="Q5" i="23"/>
  <c r="Q2" i="23"/>
  <c r="CD5" i="11"/>
  <c r="AU4" i="11"/>
  <c r="BF4" i="11"/>
  <c r="Q9" i="23"/>
  <c r="Q12" i="23"/>
  <c r="T4" i="11"/>
  <c r="Q16" i="23"/>
  <c r="Q13" i="23"/>
  <c r="T5" i="11"/>
  <c r="T8" i="11"/>
  <c r="BG4" i="11"/>
  <c r="Q4" i="23"/>
  <c r="Q18" i="23"/>
  <c r="BO4" i="11"/>
  <c r="Q14" i="23"/>
  <c r="BU4" i="11" l="1"/>
  <c r="BW4" i="11"/>
  <c r="BX4" i="11"/>
  <c r="M2" i="11"/>
  <c r="J2" i="11"/>
  <c r="B5" i="11"/>
  <c r="BN4" i="11"/>
  <c r="BR4" i="11"/>
  <c r="BQ4" i="11"/>
  <c r="BP4" i="11"/>
  <c r="E4" i="20" l="1"/>
  <c r="AJ5" i="11" l="1"/>
  <c r="AJ4" i="11"/>
  <c r="AJ6" i="11"/>
  <c r="AJ7" i="11"/>
  <c r="AJ8" i="11"/>
  <c r="AJ3" i="11"/>
  <c r="AJ2" i="11"/>
  <c r="V4" i="4" l="1"/>
  <c r="L3" i="21"/>
  <c r="I9" i="21"/>
  <c r="I14" i="21" l="1"/>
  <c r="J14" i="21" s="1"/>
  <c r="I13" i="21"/>
  <c r="J13" i="21" s="1"/>
  <c r="I8" i="21"/>
  <c r="J8" i="21" s="1"/>
  <c r="I10" i="21"/>
  <c r="J10" i="21" s="1"/>
  <c r="I15" i="21"/>
  <c r="J15" i="21" s="1"/>
  <c r="I12" i="21"/>
  <c r="J12" i="21" s="1"/>
  <c r="I11" i="21"/>
  <c r="J11" i="21" s="1"/>
  <c r="A7" i="11"/>
  <c r="A6" i="11"/>
  <c r="A5" i="11"/>
  <c r="A4" i="11"/>
  <c r="A3" i="11"/>
  <c r="I7" i="21"/>
  <c r="K15" i="21"/>
  <c r="K7" i="21"/>
  <c r="AL6" i="11"/>
  <c r="K14" i="21"/>
  <c r="I3" i="21"/>
  <c r="V5" i="4"/>
  <c r="AT4" i="11" s="1"/>
  <c r="BK4" i="11"/>
  <c r="AL4" i="11"/>
  <c r="AL8" i="11"/>
  <c r="AL7" i="11"/>
  <c r="BL4" i="11"/>
  <c r="AW4" i="11"/>
  <c r="K8" i="21"/>
  <c r="AL5" i="11"/>
  <c r="AV4" i="11"/>
  <c r="BD4" i="11" l="1"/>
  <c r="BC8" i="11"/>
  <c r="AQ6" i="11"/>
  <c r="W6" i="11"/>
  <c r="BC5" i="11"/>
  <c r="BC4" i="11"/>
  <c r="AQ7" i="11"/>
  <c r="W7" i="11"/>
  <c r="BC6" i="11"/>
  <c r="AZ4" i="11"/>
  <c r="AQ8" i="11"/>
  <c r="W8" i="11"/>
  <c r="BC7" i="11"/>
  <c r="AQ5" i="11"/>
  <c r="AQ4" i="11"/>
  <c r="W5" i="11"/>
  <c r="W4" i="11"/>
  <c r="AE7" i="11"/>
  <c r="AE8" i="11"/>
  <c r="AE5" i="11"/>
  <c r="AE4" i="11"/>
  <c r="AE6" i="11"/>
  <c r="AC6" i="11"/>
  <c r="AC7" i="11"/>
  <c r="AC4" i="11"/>
  <c r="AC8" i="11"/>
  <c r="AC5" i="11"/>
  <c r="BV4" i="11"/>
  <c r="BT4" i="11"/>
  <c r="BA5" i="11"/>
  <c r="BA4" i="11"/>
  <c r="BA6" i="11"/>
  <c r="BA7" i="11"/>
  <c r="BA8" i="11"/>
  <c r="BT2" i="11"/>
  <c r="AZ2" i="11"/>
  <c r="BS2" i="11"/>
  <c r="BB2" i="11"/>
  <c r="BD2" i="11"/>
  <c r="BA2" i="11"/>
  <c r="BC2" i="11"/>
  <c r="AQ2" i="11"/>
  <c r="AY4" i="11"/>
  <c r="BB4" i="11" s="1"/>
  <c r="Z2" i="11"/>
  <c r="J7" i="21"/>
  <c r="J3" i="21"/>
  <c r="H5" i="7"/>
  <c r="BJ4" i="11"/>
  <c r="L7" i="21"/>
  <c r="U7" i="11"/>
  <c r="L15" i="21"/>
  <c r="U4" i="11"/>
  <c r="U6" i="11"/>
  <c r="U5" i="11"/>
  <c r="U8" i="11"/>
  <c r="I5" i="11" l="1"/>
  <c r="I4" i="11"/>
  <c r="I6" i="11"/>
  <c r="I8" i="11"/>
  <c r="I7" i="11"/>
  <c r="G6" i="11"/>
  <c r="G7" i="11"/>
  <c r="G8" i="11"/>
  <c r="G5" i="11"/>
  <c r="G2" i="11"/>
  <c r="H6" i="7"/>
  <c r="V7" i="11"/>
  <c r="V4" i="11"/>
  <c r="L8" i="21"/>
  <c r="L14" i="21"/>
  <c r="V8" i="11"/>
  <c r="V5" i="11"/>
  <c r="V6" i="11"/>
  <c r="Z5" i="11" l="1"/>
  <c r="Z6" i="11"/>
  <c r="Z7" i="11"/>
  <c r="Z4" i="11"/>
  <c r="Z8" i="11"/>
  <c r="H7" i="11"/>
  <c r="H8" i="11"/>
  <c r="H5" i="11"/>
  <c r="H4" i="11"/>
  <c r="H6" i="11"/>
  <c r="H3" i="11"/>
  <c r="H2" i="11"/>
  <c r="H4" i="7"/>
  <c r="D5" i="11" l="1"/>
  <c r="D6" i="11"/>
  <c r="D7" i="11"/>
  <c r="D8" i="11"/>
  <c r="F6" i="11"/>
  <c r="F5" i="11"/>
  <c r="F4" i="11"/>
  <c r="D2" i="11"/>
  <c r="I2" i="11"/>
  <c r="I10" i="2" l="1"/>
  <c r="BM4" i="11"/>
  <c r="BS4" i="11" l="1"/>
  <c r="X8" i="11"/>
  <c r="X5" i="11"/>
  <c r="X4" i="11"/>
  <c r="X6" i="11"/>
  <c r="X3" i="11"/>
  <c r="X7" i="11"/>
  <c r="E2" i="11"/>
  <c r="E5" i="11"/>
  <c r="E4" i="11"/>
  <c r="E3" i="11"/>
  <c r="F2" i="11"/>
  <c r="F3" i="11"/>
  <c r="AR5" i="11"/>
  <c r="M19" i="23"/>
  <c r="O19" i="23" s="1"/>
  <c r="H5" i="21"/>
  <c r="J5" i="21" s="1"/>
  <c r="H9" i="21"/>
  <c r="J9" i="21" s="1"/>
  <c r="H4" i="21"/>
  <c r="J4" i="21" s="1"/>
  <c r="B2" i="15"/>
  <c r="BK5" i="11"/>
  <c r="BL5" i="11"/>
  <c r="BE5" i="11" l="1"/>
  <c r="BI5" i="11"/>
  <c r="AX5" i="11"/>
  <c r="AY5" i="11"/>
  <c r="AS5" i="11"/>
  <c r="AR6" i="11"/>
  <c r="E7" i="13"/>
  <c r="F5" i="12"/>
  <c r="F6" i="8"/>
  <c r="F4" i="9"/>
  <c r="E22" i="1"/>
  <c r="BG5" i="11"/>
  <c r="AV5" i="11"/>
  <c r="AU5" i="11"/>
  <c r="AD8" i="11"/>
  <c r="BL6" i="11"/>
  <c r="AD7" i="11"/>
  <c r="BJ5" i="11"/>
  <c r="BH5" i="11"/>
  <c r="AW5" i="11"/>
  <c r="AT5" i="11"/>
  <c r="AD4" i="11"/>
  <c r="BK6" i="11"/>
  <c r="AD6" i="11"/>
  <c r="AD5" i="11"/>
  <c r="BM5" i="11"/>
  <c r="BD5" i="11" l="1"/>
  <c r="AZ5" i="11"/>
  <c r="AH5" i="11"/>
  <c r="AH6" i="11"/>
  <c r="AH7" i="11"/>
  <c r="AH8" i="11"/>
  <c r="AK7" i="11"/>
  <c r="AK8" i="11"/>
  <c r="AK5" i="11"/>
  <c r="AK6" i="11"/>
  <c r="AF3" i="11"/>
  <c r="BB5" i="11"/>
  <c r="BT5" i="11"/>
  <c r="BE6" i="11"/>
  <c r="BI6" i="11"/>
  <c r="AX6" i="11"/>
  <c r="AB4" i="11"/>
  <c r="AF4" i="11" s="1"/>
  <c r="AY6" i="11"/>
  <c r="AB8" i="11"/>
  <c r="AF8" i="11" s="1"/>
  <c r="AB7" i="11"/>
  <c r="AF7" i="11" s="1"/>
  <c r="AB6" i="11"/>
  <c r="AF6" i="11" s="1"/>
  <c r="AB5" i="11"/>
  <c r="AF5" i="11" s="1"/>
  <c r="AF2" i="11"/>
  <c r="X2" i="11"/>
  <c r="W2" i="11"/>
  <c r="AS6" i="11"/>
  <c r="AR7" i="11"/>
  <c r="AH2" i="11"/>
  <c r="AK2" i="11"/>
  <c r="L2" i="11"/>
  <c r="AG2" i="11"/>
  <c r="BO5" i="11"/>
  <c r="BO6" i="11"/>
  <c r="AW6" i="11"/>
  <c r="BL7" i="11"/>
  <c r="AU6" i="11"/>
  <c r="BF5" i="11"/>
  <c r="BJ6" i="11"/>
  <c r="A3" i="15"/>
  <c r="BG6" i="11"/>
  <c r="BM6" i="11"/>
  <c r="BH6" i="11"/>
  <c r="AT6" i="11"/>
  <c r="AV6" i="11"/>
  <c r="BF6" i="11"/>
  <c r="BK7" i="11"/>
  <c r="C3" i="15"/>
  <c r="D3" i="15" l="1"/>
  <c r="BU6" i="11"/>
  <c r="BU5" i="11"/>
  <c r="BS6" i="11"/>
  <c r="AZ6" i="11"/>
  <c r="BD6" i="11"/>
  <c r="BW6" i="11"/>
  <c r="BW5" i="11"/>
  <c r="BS5" i="11"/>
  <c r="BV6" i="11"/>
  <c r="BX6" i="11"/>
  <c r="BV5" i="11"/>
  <c r="BX5" i="11"/>
  <c r="BB6" i="11"/>
  <c r="BT6" i="11"/>
  <c r="BI7" i="11"/>
  <c r="AX7" i="11"/>
  <c r="BE7" i="11"/>
  <c r="AY7" i="11"/>
  <c r="B3" i="15"/>
  <c r="AS7" i="11"/>
  <c r="AR8" i="11"/>
  <c r="BR6" i="11"/>
  <c r="BP5" i="11"/>
  <c r="BQ5" i="11"/>
  <c r="BO7" i="11"/>
  <c r="BR5" i="11"/>
  <c r="BG7" i="11"/>
  <c r="AT7" i="11"/>
  <c r="AW7" i="11"/>
  <c r="BH7" i="11"/>
  <c r="BQ6" i="11"/>
  <c r="BK8" i="11"/>
  <c r="AV7" i="11"/>
  <c r="BM7" i="11"/>
  <c r="BN6" i="11"/>
  <c r="AU7" i="11"/>
  <c r="BJ7" i="11"/>
  <c r="BF7" i="11"/>
  <c r="BN5" i="11"/>
  <c r="BL8" i="11"/>
  <c r="BP6" i="11"/>
  <c r="BU7" i="11" l="1"/>
  <c r="BW7" i="11"/>
  <c r="BS7" i="11"/>
  <c r="BD7" i="11"/>
  <c r="AZ7" i="11"/>
  <c r="BX7" i="11"/>
  <c r="BV7" i="11"/>
  <c r="BT7" i="11"/>
  <c r="BB7" i="11"/>
  <c r="BI8" i="11"/>
  <c r="AX8" i="11"/>
  <c r="BE8" i="11"/>
  <c r="AY8" i="11"/>
  <c r="AS8" i="11"/>
  <c r="Y2" i="11"/>
  <c r="BH8" i="11"/>
  <c r="AT8" i="11"/>
  <c r="BO8" i="11"/>
  <c r="AW8" i="11"/>
  <c r="BP7" i="11"/>
  <c r="BQ7" i="11"/>
  <c r="AV8" i="11"/>
  <c r="BG8" i="11"/>
  <c r="BJ8" i="11"/>
  <c r="AU8" i="11"/>
  <c r="BM8" i="11"/>
  <c r="BF8" i="11"/>
  <c r="BN7" i="11"/>
  <c r="BR7" i="11"/>
  <c r="BU8" i="11" l="1"/>
  <c r="BW8" i="11"/>
  <c r="BS8" i="11"/>
  <c r="AZ8" i="11"/>
  <c r="BD8" i="11"/>
  <c r="BX8" i="11"/>
  <c r="BV8" i="11"/>
  <c r="BT8" i="11"/>
  <c r="BB8" i="11"/>
  <c r="V3" i="4"/>
  <c r="BQ8" i="11"/>
  <c r="BN8" i="11"/>
  <c r="BP8" i="11"/>
  <c r="BR8" i="11"/>
  <c r="BV2" i="11" l="1"/>
  <c r="BW3" i="11"/>
  <c r="BU2" i="11"/>
  <c r="BW2" i="11"/>
  <c r="BU3" i="11"/>
  <c r="BX3" i="11"/>
  <c r="BX2" i="11"/>
  <c r="BV3" i="11"/>
  <c r="CD3" i="11" l="1"/>
  <c r="CD4" i="11"/>
</calcChain>
</file>

<file path=xl/comments1.xml><?xml version="1.0" encoding="utf-8"?>
<comments xmlns="http://schemas.openxmlformats.org/spreadsheetml/2006/main">
  <authors>
    <author>Sara Geleskie Damiano</author>
  </authors>
  <commentList>
    <comment ref="D23" authorId="0">
      <text>
        <r>
          <rPr>
            <sz val="9"/>
            <color indexed="81"/>
            <rFont val="Tahoma"/>
            <family val="2"/>
          </rPr>
          <t>If the organization doesn't appear on the drop-down list, make sure you've added it above!</t>
        </r>
      </text>
    </comment>
    <comment ref="G23" authorId="0">
      <text>
        <r>
          <rPr>
            <b/>
            <sz val="9"/>
            <color indexed="81"/>
            <rFont val="Tahoma"/>
            <family val="2"/>
          </rPr>
          <t>Include dashes in ORCID!!</t>
        </r>
        <r>
          <rPr>
            <sz val="9"/>
            <color indexed="81"/>
            <rFont val="Tahoma"/>
            <family val="2"/>
          </rPr>
          <t xml:space="preserve">
See http://orcid.org/ for more info on OrcID's</t>
        </r>
      </text>
    </comment>
    <comment ref="H23" authorId="0">
      <text>
        <r>
          <rPr>
            <sz val="9"/>
            <color indexed="81"/>
            <rFont val="Tahoma"/>
            <family val="2"/>
          </rPr>
          <t xml:space="preserve">This is a calculated column, </t>
        </r>
        <r>
          <rPr>
            <b/>
            <sz val="9"/>
            <color indexed="81"/>
            <rFont val="Tahoma"/>
            <family val="2"/>
          </rPr>
          <t>DO NOT ENTER DATA HERE!</t>
        </r>
      </text>
    </comment>
    <comment ref="I23" authorId="0">
      <text>
        <r>
          <rPr>
            <sz val="9"/>
            <color indexed="81"/>
            <rFont val="Tahoma"/>
            <family val="2"/>
          </rPr>
          <t xml:space="preserve">This is a calculated column, </t>
        </r>
        <r>
          <rPr>
            <b/>
            <sz val="9"/>
            <color indexed="81"/>
            <rFont val="Tahoma"/>
            <family val="2"/>
          </rPr>
          <t>DO NOT ENTER DATA HERE!</t>
        </r>
      </text>
    </comment>
  </commentList>
</comments>
</file>

<file path=xl/comments2.xml><?xml version="1.0" encoding="utf-8"?>
<comments xmlns="http://schemas.openxmlformats.org/spreadsheetml/2006/main">
  <authors>
    <author>Sara Geleskie Damiano</author>
  </authors>
  <commentList>
    <comment ref="B14" authorId="0">
      <text>
        <r>
          <rPr>
            <sz val="9"/>
            <color indexed="81"/>
            <rFont val="Tahoma"/>
            <family val="2"/>
          </rPr>
          <t>If any citation information is included, this field becomes manditory!</t>
        </r>
      </text>
    </comment>
    <comment ref="B15" authorId="0">
      <text>
        <r>
          <rPr>
            <sz val="9"/>
            <color indexed="81"/>
            <rFont val="Tahoma"/>
            <family val="2"/>
          </rPr>
          <t>If any citation information is included, this field becomes manditory!</t>
        </r>
      </text>
    </comment>
    <comment ref="B16" authorId="0">
      <text>
        <r>
          <rPr>
            <sz val="9"/>
            <color indexed="81"/>
            <rFont val="Tahoma"/>
            <family val="2"/>
          </rPr>
          <t>If any citation information is included, this field becomes manditory!</t>
        </r>
      </text>
    </comment>
    <comment ref="B17" authorId="0">
      <text>
        <r>
          <rPr>
            <sz val="9"/>
            <color indexed="81"/>
            <rFont val="Tahoma"/>
            <family val="2"/>
          </rPr>
          <t>If any citation information is included, this field becomes manditory!</t>
        </r>
      </text>
    </comment>
    <comment ref="B22" authorId="0">
      <text>
        <r>
          <rPr>
            <sz val="9"/>
            <color indexed="81"/>
            <rFont val="Tahoma"/>
            <family val="2"/>
          </rPr>
          <t>This must be selected from the list on the "People and Organizations" Tab</t>
        </r>
      </text>
    </comment>
  </commentList>
</comments>
</file>

<file path=xl/comments3.xml><?xml version="1.0" encoding="utf-8"?>
<comments xmlns="http://schemas.openxmlformats.org/spreadsheetml/2006/main">
  <authors>
    <author>Sara Geleskie Damiano</author>
  </authors>
  <commentList>
    <comment ref="A10" authorId="0">
      <text>
        <r>
          <rPr>
            <sz val="9"/>
            <color indexed="81"/>
            <rFont val="Tahoma"/>
            <family val="2"/>
          </rPr>
          <t>Only applies to SITES</t>
        </r>
      </text>
    </comment>
  </commentList>
</comments>
</file>

<file path=xl/comments4.xml><?xml version="1.0" encoding="utf-8"?>
<comments xmlns="http://schemas.openxmlformats.org/spreadsheetml/2006/main">
  <authors>
    <author>Sara Geleskie Damiano</author>
  </authors>
  <commentList>
    <comment ref="B7" authorId="0">
      <text>
        <r>
          <rPr>
            <sz val="9"/>
            <color indexed="81"/>
            <rFont val="Tahoma"/>
            <family val="2"/>
          </rPr>
          <t>This field is mandatory if you want to include any offset information!</t>
        </r>
      </text>
    </comment>
    <comment ref="C7" authorId="0">
      <text>
        <r>
          <rPr>
            <sz val="9"/>
            <color indexed="81"/>
            <rFont val="Tahoma"/>
            <family val="2"/>
          </rPr>
          <t>This field is mandatory if you want to include any offset information!</t>
        </r>
      </text>
    </comment>
    <comment ref="D7" authorId="0">
      <text>
        <r>
          <rPr>
            <sz val="9"/>
            <color indexed="81"/>
            <rFont val="Tahoma"/>
            <family val="2"/>
          </rPr>
          <t>This field is mandatory if you want to include any offset information!</t>
        </r>
      </text>
    </comment>
  </commentList>
</comments>
</file>

<file path=xl/comments5.xml><?xml version="1.0" encoding="utf-8"?>
<comments xmlns="http://schemas.openxmlformats.org/spreadsheetml/2006/main">
  <authors>
    <author>Sara Geleskie Damiano</author>
  </authors>
  <commentList>
    <comment ref="A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C8" authorId="0">
      <text>
        <r>
          <rPr>
            <sz val="9"/>
            <color indexed="81"/>
            <rFont val="Tahoma"/>
            <family val="2"/>
          </rPr>
          <t>The samplling features must first be entered in the sampling features worksheet.  If they don't appear on this drop down list, make sure you don't have any blank row between sampling features.</t>
        </r>
      </text>
    </comment>
    <comment ref="D8" authorId="0">
      <text>
        <r>
          <rPr>
            <sz val="9"/>
            <color indexed="81"/>
            <rFont val="Tahoma"/>
            <family val="2"/>
          </rPr>
          <t>This field is mandatory if you want to include any offset information!</t>
        </r>
      </text>
    </comment>
  </commentList>
</comments>
</file>

<file path=xl/comments6.xml><?xml version="1.0" encoding="utf-8"?>
<comments xmlns="http://schemas.openxmlformats.org/spreadsheetml/2006/main">
  <authors>
    <author>Sara Geleskie Damiano</author>
  </authors>
  <commentList>
    <comment ref="F8" authorId="0">
      <text>
        <r>
          <rPr>
            <sz val="9"/>
            <color indexed="81"/>
            <rFont val="Tahoma"/>
            <family val="2"/>
          </rPr>
          <t>This is the value used for empty or missing values; often "-9999" or something similar.</t>
        </r>
      </text>
    </comment>
  </commentList>
</comments>
</file>

<file path=xl/comments7.xml><?xml version="1.0" encoding="utf-8"?>
<comments xmlns="http://schemas.openxmlformats.org/spreadsheetml/2006/main">
  <authors>
    <author>Sara Geleskie Damiano</author>
  </authors>
  <commentList>
    <comment ref="B12" authorId="0">
      <text>
        <r>
          <rPr>
            <sz val="9"/>
            <color indexed="81"/>
            <rFont val="Tahoma"/>
            <family val="2"/>
          </rPr>
          <t>This is any free-form text you would use to label the column.  The actual text is unimportant as long as it is unique within this worksheet.</t>
        </r>
      </text>
    </comment>
    <comment ref="O12" authorId="0">
      <text>
        <r>
          <rPr>
            <sz val="9"/>
            <color indexed="81"/>
            <rFont val="Tahoma"/>
            <family val="2"/>
          </rPr>
          <t>These must first be entered in the variables worksheet.  If they still don't appear on this drop down list, make sure you don't have any blank rows between variables in the table.</t>
        </r>
      </text>
    </comment>
    <comment ref="R12" authorId="0">
      <text>
        <r>
          <rPr>
            <sz val="9"/>
            <color indexed="81"/>
            <rFont val="Tahoma"/>
            <family val="2"/>
          </rPr>
          <t>This is the person who actually deployed the sensor or collected the data in the collumn.</t>
        </r>
      </text>
    </comment>
    <comment ref="T12" authorId="0">
      <text>
        <r>
          <rPr>
            <sz val="9"/>
            <color indexed="81"/>
            <rFont val="Tahoma"/>
            <family val="2"/>
          </rPr>
          <t>These must first be entered in the methods worksheet.  If they still don't appear on this drop down list, make sure you don't have any blank rows between methods in the table.</t>
        </r>
      </text>
    </comment>
    <comment ref="U12" authorId="0">
      <text>
        <r>
          <rPr>
            <sz val="9"/>
            <color indexed="81"/>
            <rFont val="Tahoma"/>
            <family val="2"/>
          </rPr>
          <t>These must first be entered in the processing levels worksheet.  If they still don't appear on this drop down list, make sure you don't have any blank rows between processing levels in the table.</t>
        </r>
      </text>
    </comment>
  </commentList>
</comments>
</file>

<file path=xl/comments8.xml><?xml version="1.0" encoding="utf-8"?>
<comments xmlns="http://schemas.openxmlformats.org/spreadsheetml/2006/main">
  <authors>
    <author>Sara Geleskie Damiano</author>
  </authors>
  <commentList>
    <comment ref="O1" authorId="0">
      <text>
        <r>
          <rPr>
            <b/>
            <sz val="9"/>
            <color indexed="81"/>
            <rFont val="Tahoma"/>
            <family val="2"/>
          </rPr>
          <t>Sara Geleskie Damiano:</t>
        </r>
        <r>
          <rPr>
            <sz val="9"/>
            <color indexed="81"/>
            <rFont val="Tahoma"/>
            <family val="2"/>
          </rPr>
          <t xml:space="preserve">
This is not actually a chunk of YAML just a helper column.</t>
        </r>
      </text>
    </comment>
    <comment ref="P1" authorId="0">
      <text>
        <r>
          <rPr>
            <b/>
            <sz val="9"/>
            <color indexed="81"/>
            <rFont val="Tahoma"/>
            <family val="2"/>
          </rPr>
          <t>Sara Geleskie Damiano:</t>
        </r>
        <r>
          <rPr>
            <sz val="9"/>
            <color indexed="81"/>
            <rFont val="Tahoma"/>
            <family val="2"/>
          </rPr>
          <t xml:space="preserve">
This is not actually a chunk of YAML just a helper column.</t>
        </r>
      </text>
    </comment>
    <comment ref="Q1" authorId="0">
      <text>
        <r>
          <rPr>
            <b/>
            <sz val="9"/>
            <color indexed="81"/>
            <rFont val="Tahoma"/>
            <family val="2"/>
          </rPr>
          <t>Sara Geleskie Damiano:</t>
        </r>
        <r>
          <rPr>
            <sz val="9"/>
            <color indexed="81"/>
            <rFont val="Tahoma"/>
            <family val="2"/>
          </rPr>
          <t xml:space="preserve">
This is not actually a chunk of YAML just a helper column.</t>
        </r>
      </text>
    </comment>
    <comment ref="R1" authorId="0">
      <text>
        <r>
          <rPr>
            <b/>
            <sz val="9"/>
            <color indexed="81"/>
            <rFont val="Tahoma"/>
            <family val="2"/>
          </rPr>
          <t>Sara Geleskie Damiano:</t>
        </r>
        <r>
          <rPr>
            <sz val="9"/>
            <color indexed="81"/>
            <rFont val="Tahoma"/>
            <family val="2"/>
          </rPr>
          <t xml:space="preserve">
This is not actually a chunk of YAML just a helper column.</t>
        </r>
      </text>
    </comment>
    <comment ref="S1" authorId="0">
      <text>
        <r>
          <rPr>
            <b/>
            <sz val="9"/>
            <color indexed="81"/>
            <rFont val="Tahoma"/>
            <family val="2"/>
          </rPr>
          <t>Sara Geleskie Damiano:</t>
        </r>
        <r>
          <rPr>
            <sz val="9"/>
            <color indexed="81"/>
            <rFont val="Tahoma"/>
            <family val="2"/>
          </rPr>
          <t xml:space="preserve">
This is not actually a chunk of YAML just a helper column.</t>
        </r>
      </text>
    </comment>
    <comment ref="T1" authorId="0">
      <text>
        <r>
          <rPr>
            <b/>
            <sz val="9"/>
            <color indexed="81"/>
            <rFont val="Tahoma"/>
            <family val="2"/>
          </rPr>
          <t>Sara Geleskie Damiano:</t>
        </r>
        <r>
          <rPr>
            <sz val="9"/>
            <color indexed="81"/>
            <rFont val="Tahoma"/>
            <family val="2"/>
          </rPr>
          <t xml:space="preserve">
This is not actually a chunk of YAML just a helper column.</t>
        </r>
      </text>
    </comment>
    <comment ref="U1" authorId="0">
      <text>
        <r>
          <rPr>
            <b/>
            <sz val="9"/>
            <color indexed="81"/>
            <rFont val="Tahoma"/>
            <family val="2"/>
          </rPr>
          <t>Sara Geleskie Damiano:</t>
        </r>
        <r>
          <rPr>
            <sz val="9"/>
            <color indexed="81"/>
            <rFont val="Tahoma"/>
            <family val="2"/>
          </rPr>
          <t xml:space="preserve">
This is not actually a chunk of YAML just a helper column.</t>
        </r>
      </text>
    </comment>
    <comment ref="V1" authorId="0">
      <text>
        <r>
          <rPr>
            <b/>
            <sz val="9"/>
            <color indexed="81"/>
            <rFont val="Tahoma"/>
            <family val="2"/>
          </rPr>
          <t>Sara Geleskie Damiano:</t>
        </r>
        <r>
          <rPr>
            <sz val="9"/>
            <color indexed="81"/>
            <rFont val="Tahoma"/>
            <family val="2"/>
          </rPr>
          <t xml:space="preserve">
This is not actually a chunk of YAML just a helper column.</t>
        </r>
      </text>
    </comment>
    <comment ref="AB1" authorId="0">
      <text>
        <r>
          <rPr>
            <b/>
            <sz val="9"/>
            <color indexed="81"/>
            <rFont val="Tahoma"/>
            <family val="2"/>
          </rPr>
          <t>Sara Geleskie Damiano:</t>
        </r>
        <r>
          <rPr>
            <sz val="9"/>
            <color indexed="81"/>
            <rFont val="Tahoma"/>
            <family val="2"/>
          </rPr>
          <t xml:space="preserve">
This is not actually a chunk of YAML just a helper column.</t>
        </r>
      </text>
    </comment>
    <comment ref="AC1" authorId="0">
      <text>
        <r>
          <rPr>
            <b/>
            <sz val="9"/>
            <color indexed="81"/>
            <rFont val="Tahoma"/>
            <family val="2"/>
          </rPr>
          <t>Sara Geleskie Damiano:</t>
        </r>
        <r>
          <rPr>
            <sz val="9"/>
            <color indexed="81"/>
            <rFont val="Tahoma"/>
            <family val="2"/>
          </rPr>
          <t xml:space="preserve">
This is not actually a chunk of YAML just a helper column.</t>
        </r>
      </text>
    </comment>
    <comment ref="AD1" authorId="0">
      <text>
        <r>
          <rPr>
            <b/>
            <sz val="9"/>
            <color indexed="81"/>
            <rFont val="Tahoma"/>
            <family val="2"/>
          </rPr>
          <t>Sara Geleskie Damiano:</t>
        </r>
        <r>
          <rPr>
            <sz val="9"/>
            <color indexed="81"/>
            <rFont val="Tahoma"/>
            <family val="2"/>
          </rPr>
          <t xml:space="preserve">
This is not actually a chunk of YAML just a helper column.</t>
        </r>
      </text>
    </comment>
    <comment ref="AE1" authorId="0">
      <text>
        <r>
          <rPr>
            <b/>
            <sz val="9"/>
            <color indexed="81"/>
            <rFont val="Tahoma"/>
            <family val="2"/>
          </rPr>
          <t>Sara Geleskie Damiano:</t>
        </r>
        <r>
          <rPr>
            <sz val="9"/>
            <color indexed="81"/>
            <rFont val="Tahoma"/>
            <family val="2"/>
          </rPr>
          <t xml:space="preserve">
This is not actually a chunk of YAML just a helper column.</t>
        </r>
      </text>
    </comment>
    <comment ref="AL1" authorId="0">
      <text>
        <r>
          <rPr>
            <b/>
            <sz val="9"/>
            <color indexed="81"/>
            <rFont val="Tahoma"/>
            <family val="2"/>
          </rPr>
          <t>Sara Geleskie Damiano:</t>
        </r>
        <r>
          <rPr>
            <sz val="9"/>
            <color indexed="81"/>
            <rFont val="Tahoma"/>
            <family val="2"/>
          </rPr>
          <t xml:space="preserve">
This is not actually a chunk of YAML just a helper column.</t>
        </r>
      </text>
    </comment>
    <comment ref="AM1" authorId="0">
      <text>
        <r>
          <rPr>
            <b/>
            <sz val="9"/>
            <color indexed="81"/>
            <rFont val="Tahoma"/>
            <family val="2"/>
          </rPr>
          <t>Sara Geleskie Damiano:</t>
        </r>
        <r>
          <rPr>
            <sz val="9"/>
            <color indexed="81"/>
            <rFont val="Tahoma"/>
            <family val="2"/>
          </rPr>
          <t xml:space="preserve">
This is not actually a chunk of YAML just a helper column.</t>
        </r>
      </text>
    </comment>
    <comment ref="AN1" authorId="0">
      <text>
        <r>
          <rPr>
            <b/>
            <sz val="9"/>
            <color indexed="81"/>
            <rFont val="Tahoma"/>
            <family val="2"/>
          </rPr>
          <t>Sara Geleskie Damiano:</t>
        </r>
        <r>
          <rPr>
            <sz val="9"/>
            <color indexed="81"/>
            <rFont val="Tahoma"/>
            <family val="2"/>
          </rPr>
          <t xml:space="preserve">
This is not actually a chunk of YAML just a helper column.</t>
        </r>
      </text>
    </comment>
    <comment ref="AO1" authorId="0">
      <text>
        <r>
          <rPr>
            <b/>
            <sz val="9"/>
            <color indexed="81"/>
            <rFont val="Tahoma"/>
            <family val="2"/>
          </rPr>
          <t>Sara Geleskie Damiano:</t>
        </r>
        <r>
          <rPr>
            <sz val="9"/>
            <color indexed="81"/>
            <rFont val="Tahoma"/>
            <family val="2"/>
          </rPr>
          <t xml:space="preserve">
This is not actually a chunk of YAML just a helper column.</t>
        </r>
      </text>
    </comment>
    <comment ref="AP1" authorId="0">
      <text>
        <r>
          <rPr>
            <b/>
            <sz val="9"/>
            <color indexed="81"/>
            <rFont val="Tahoma"/>
            <family val="2"/>
          </rPr>
          <t>Sara Geleskie Damiano:</t>
        </r>
        <r>
          <rPr>
            <sz val="9"/>
            <color indexed="81"/>
            <rFont val="Tahoma"/>
            <family val="2"/>
          </rPr>
          <t xml:space="preserve">
This is not actually a chunk of YAML just a helper column.</t>
        </r>
      </text>
    </comment>
    <comment ref="AT1" authorId="0">
      <text>
        <r>
          <rPr>
            <b/>
            <sz val="9"/>
            <color indexed="81"/>
            <rFont val="Tahoma"/>
            <family val="2"/>
          </rPr>
          <t>Sara Geleskie Damiano:</t>
        </r>
        <r>
          <rPr>
            <sz val="9"/>
            <color indexed="81"/>
            <rFont val="Tahoma"/>
            <family val="2"/>
          </rPr>
          <t xml:space="preserve">
This is not actually a chunk of YAML just a helper column.</t>
        </r>
      </text>
    </comment>
    <comment ref="AU1" authorId="0">
      <text>
        <r>
          <rPr>
            <b/>
            <sz val="9"/>
            <color indexed="81"/>
            <rFont val="Tahoma"/>
            <family val="2"/>
          </rPr>
          <t>Sara Geleskie Damiano:</t>
        </r>
        <r>
          <rPr>
            <sz val="9"/>
            <color indexed="81"/>
            <rFont val="Tahoma"/>
            <family val="2"/>
          </rPr>
          <t xml:space="preserve">
This is not actually a chunk of YAML just a helper column.</t>
        </r>
      </text>
    </comment>
    <comment ref="AV1" authorId="0">
      <text>
        <r>
          <rPr>
            <b/>
            <sz val="9"/>
            <color indexed="81"/>
            <rFont val="Tahoma"/>
            <family val="2"/>
          </rPr>
          <t>Sara Geleskie Damiano:</t>
        </r>
        <r>
          <rPr>
            <sz val="9"/>
            <color indexed="81"/>
            <rFont val="Tahoma"/>
            <family val="2"/>
          </rPr>
          <t xml:space="preserve">
This is not actually a chunk of YAML just a helper column.</t>
        </r>
      </text>
    </comment>
    <comment ref="AW1" authorId="0">
      <text>
        <r>
          <rPr>
            <b/>
            <sz val="9"/>
            <color indexed="81"/>
            <rFont val="Tahoma"/>
            <family val="2"/>
          </rPr>
          <t>Sara Geleskie Damiano:</t>
        </r>
        <r>
          <rPr>
            <sz val="9"/>
            <color indexed="81"/>
            <rFont val="Tahoma"/>
            <family val="2"/>
          </rPr>
          <t xml:space="preserve">
This is not actually a chunk of YAML just a helper column.</t>
        </r>
      </text>
    </comment>
    <comment ref="AX1" authorId="0">
      <text>
        <r>
          <rPr>
            <b/>
            <sz val="9"/>
            <color indexed="81"/>
            <rFont val="Tahoma"/>
            <family val="2"/>
          </rPr>
          <t>Sara Geleskie Damiano:</t>
        </r>
        <r>
          <rPr>
            <sz val="9"/>
            <color indexed="81"/>
            <rFont val="Tahoma"/>
            <family val="2"/>
          </rPr>
          <t xml:space="preserve">
This is not actually a chunk of YAML just a helper column.</t>
        </r>
      </text>
    </comment>
    <comment ref="AY1" authorId="0">
      <text>
        <r>
          <rPr>
            <b/>
            <sz val="9"/>
            <color indexed="81"/>
            <rFont val="Tahoma"/>
            <family val="2"/>
          </rPr>
          <t>Sara Geleskie Damiano:</t>
        </r>
        <r>
          <rPr>
            <sz val="9"/>
            <color indexed="81"/>
            <rFont val="Tahoma"/>
            <family val="2"/>
          </rPr>
          <t xml:space="preserve">
This is not actually a chunk of YAML just a helper column.</t>
        </r>
      </text>
    </comment>
    <comment ref="BE1" authorId="0">
      <text>
        <r>
          <rPr>
            <b/>
            <sz val="9"/>
            <color indexed="81"/>
            <rFont val="Tahoma"/>
            <family val="2"/>
          </rPr>
          <t>Sara Geleskie Damiano:</t>
        </r>
        <r>
          <rPr>
            <sz val="9"/>
            <color indexed="81"/>
            <rFont val="Tahoma"/>
            <family val="2"/>
          </rPr>
          <t xml:space="preserve">
This is not actually a chunk of YAML just a helper column.</t>
        </r>
      </text>
    </comment>
    <comment ref="BF1" authorId="0">
      <text>
        <r>
          <rPr>
            <b/>
            <sz val="9"/>
            <color indexed="81"/>
            <rFont val="Tahoma"/>
            <family val="2"/>
          </rPr>
          <t>Sara Geleskie Damiano:</t>
        </r>
        <r>
          <rPr>
            <sz val="9"/>
            <color indexed="81"/>
            <rFont val="Tahoma"/>
            <family val="2"/>
          </rPr>
          <t xml:space="preserve">
This is not actually a chunk of YAML just a helper column.</t>
        </r>
      </text>
    </comment>
    <comment ref="BG1" authorId="0">
      <text>
        <r>
          <rPr>
            <b/>
            <sz val="9"/>
            <color indexed="81"/>
            <rFont val="Tahoma"/>
            <family val="2"/>
          </rPr>
          <t>Sara Geleskie Damiano:</t>
        </r>
        <r>
          <rPr>
            <sz val="9"/>
            <color indexed="81"/>
            <rFont val="Tahoma"/>
            <family val="2"/>
          </rPr>
          <t xml:space="preserve">
This is not actually a chunk of YAML just a helper column.</t>
        </r>
      </text>
    </comment>
    <comment ref="BH1" authorId="0">
      <text>
        <r>
          <rPr>
            <b/>
            <sz val="9"/>
            <color indexed="81"/>
            <rFont val="Tahoma"/>
            <family val="2"/>
          </rPr>
          <t>Sara Geleskie Damiano:</t>
        </r>
        <r>
          <rPr>
            <sz val="9"/>
            <color indexed="81"/>
            <rFont val="Tahoma"/>
            <family val="2"/>
          </rPr>
          <t xml:space="preserve">
This is not actually a chunk of YAML just a helper column.</t>
        </r>
      </text>
    </comment>
    <comment ref="BI1" authorId="0">
      <text>
        <r>
          <rPr>
            <b/>
            <sz val="9"/>
            <color indexed="81"/>
            <rFont val="Tahoma"/>
            <family val="2"/>
          </rPr>
          <t>Sara Geleskie Damiano:</t>
        </r>
        <r>
          <rPr>
            <sz val="9"/>
            <color indexed="81"/>
            <rFont val="Tahoma"/>
            <family val="2"/>
          </rPr>
          <t xml:space="preserve">
This is not actually a chunk of YAML just a helper column.</t>
        </r>
      </text>
    </comment>
    <comment ref="BJ1" authorId="0">
      <text>
        <r>
          <rPr>
            <b/>
            <sz val="9"/>
            <color indexed="81"/>
            <rFont val="Tahoma"/>
            <family val="2"/>
          </rPr>
          <t>Sara Geleskie Damiano:</t>
        </r>
        <r>
          <rPr>
            <sz val="9"/>
            <color indexed="81"/>
            <rFont val="Tahoma"/>
            <family val="2"/>
          </rPr>
          <t xml:space="preserve">
This is not actually a chunk of YAML just a helper column.</t>
        </r>
      </text>
    </comment>
    <comment ref="BK1" authorId="0">
      <text>
        <r>
          <rPr>
            <b/>
            <sz val="9"/>
            <color indexed="81"/>
            <rFont val="Tahoma"/>
            <family val="2"/>
          </rPr>
          <t>Sara Geleskie Damiano:</t>
        </r>
        <r>
          <rPr>
            <sz val="9"/>
            <color indexed="81"/>
            <rFont val="Tahoma"/>
            <family val="2"/>
          </rPr>
          <t xml:space="preserve">
This is not actually a chunk of YAML just a helper column.</t>
        </r>
      </text>
    </comment>
    <comment ref="BL1" authorId="0">
      <text>
        <r>
          <rPr>
            <b/>
            <sz val="9"/>
            <color indexed="81"/>
            <rFont val="Tahoma"/>
            <family val="2"/>
          </rPr>
          <t>Sara Geleskie Damiano:</t>
        </r>
        <r>
          <rPr>
            <sz val="9"/>
            <color indexed="81"/>
            <rFont val="Tahoma"/>
            <family val="2"/>
          </rPr>
          <t xml:space="preserve">
This is not actually a chunk of YAML just a helper column.</t>
        </r>
      </text>
    </comment>
    <comment ref="BM1" authorId="0">
      <text>
        <r>
          <rPr>
            <b/>
            <sz val="9"/>
            <color indexed="81"/>
            <rFont val="Tahoma"/>
            <family val="2"/>
          </rPr>
          <t>Sara Geleskie Damiano:</t>
        </r>
        <r>
          <rPr>
            <sz val="9"/>
            <color indexed="81"/>
            <rFont val="Tahoma"/>
            <family val="2"/>
          </rPr>
          <t xml:space="preserve">
This is not actually a chunk of YAML just a helper column.</t>
        </r>
      </text>
    </comment>
    <comment ref="BN1" authorId="0">
      <text>
        <r>
          <rPr>
            <b/>
            <sz val="9"/>
            <color indexed="81"/>
            <rFont val="Tahoma"/>
            <family val="2"/>
          </rPr>
          <t>Sara Geleskie Damiano:</t>
        </r>
        <r>
          <rPr>
            <sz val="9"/>
            <color indexed="81"/>
            <rFont val="Tahoma"/>
            <family val="2"/>
          </rPr>
          <t xml:space="preserve">
This is not actually a chunk of YAML just a helper column.</t>
        </r>
      </text>
    </comment>
    <comment ref="BO1" authorId="0">
      <text>
        <r>
          <rPr>
            <b/>
            <sz val="9"/>
            <color indexed="81"/>
            <rFont val="Tahoma"/>
            <family val="2"/>
          </rPr>
          <t>Sara Geleskie Damiano:</t>
        </r>
        <r>
          <rPr>
            <sz val="9"/>
            <color indexed="81"/>
            <rFont val="Tahoma"/>
            <family val="2"/>
          </rPr>
          <t xml:space="preserve">
This is not actually a chunk of YAML just a helper column.</t>
        </r>
      </text>
    </comment>
    <comment ref="BP1" authorId="0">
      <text>
        <r>
          <rPr>
            <b/>
            <sz val="9"/>
            <color indexed="81"/>
            <rFont val="Tahoma"/>
            <family val="2"/>
          </rPr>
          <t>Sara Geleskie Damiano:</t>
        </r>
        <r>
          <rPr>
            <sz val="9"/>
            <color indexed="81"/>
            <rFont val="Tahoma"/>
            <family val="2"/>
          </rPr>
          <t xml:space="preserve">
This is not actually a chunk of YAML just a helper column.</t>
        </r>
      </text>
    </comment>
    <comment ref="BQ1" authorId="0">
      <text>
        <r>
          <rPr>
            <b/>
            <sz val="9"/>
            <color indexed="81"/>
            <rFont val="Tahoma"/>
            <family val="2"/>
          </rPr>
          <t>Sara Geleskie Damiano:</t>
        </r>
        <r>
          <rPr>
            <sz val="9"/>
            <color indexed="81"/>
            <rFont val="Tahoma"/>
            <family val="2"/>
          </rPr>
          <t xml:space="preserve">
This is not actually a chunk of YAML just a helper column.</t>
        </r>
      </text>
    </comment>
    <comment ref="BR1" authorId="0">
      <text>
        <r>
          <rPr>
            <b/>
            <sz val="9"/>
            <color indexed="81"/>
            <rFont val="Tahoma"/>
            <family val="2"/>
          </rPr>
          <t>Sara Geleskie Damiano:</t>
        </r>
        <r>
          <rPr>
            <sz val="9"/>
            <color indexed="81"/>
            <rFont val="Tahoma"/>
            <family val="2"/>
          </rPr>
          <t xml:space="preserve">
This is not actually a chunk of YAML just a helper column.</t>
        </r>
      </text>
    </comment>
  </commentList>
</comments>
</file>

<file path=xl/sharedStrings.xml><?xml version="1.0" encoding="utf-8"?>
<sst xmlns="http://schemas.openxmlformats.org/spreadsheetml/2006/main" count="1969" uniqueCount="1703">
  <si>
    <t>Dataset UUID</t>
  </si>
  <si>
    <t>Dataset Title</t>
  </si>
  <si>
    <t>Dataset Code</t>
  </si>
  <si>
    <t>Dataset Type</t>
  </si>
  <si>
    <t>Dataset Abstract</t>
  </si>
  <si>
    <t>Citation Link</t>
  </si>
  <si>
    <t>Publication Year</t>
  </si>
  <si>
    <t>Biota</t>
  </si>
  <si>
    <t>Chemistry</t>
  </si>
  <si>
    <t>Climate</t>
  </si>
  <si>
    <t>Geology</t>
  </si>
  <si>
    <t>Hydrology</t>
  </si>
  <si>
    <t>Instrumentation</t>
  </si>
  <si>
    <t>Soil</t>
  </si>
  <si>
    <t>Unknown</t>
  </si>
  <si>
    <t>First Name</t>
  </si>
  <si>
    <t>Middle Name</t>
  </si>
  <si>
    <t>Last Name</t>
  </si>
  <si>
    <t>Primary Email</t>
  </si>
  <si>
    <t>Organization Name</t>
  </si>
  <si>
    <t>Sampling Feature UUID</t>
  </si>
  <si>
    <t>Sampling Feature Type</t>
  </si>
  <si>
    <t>Latitude</t>
  </si>
  <si>
    <t>Longitude</t>
  </si>
  <si>
    <t>Elevation_m</t>
  </si>
  <si>
    <t>Elevation Datum</t>
  </si>
  <si>
    <t>Specimen</t>
  </si>
  <si>
    <t>Site</t>
  </si>
  <si>
    <t>Transect</t>
  </si>
  <si>
    <t>Borehole</t>
  </si>
  <si>
    <t>Flightline</t>
  </si>
  <si>
    <t>Interval</t>
  </si>
  <si>
    <t>Observation well</t>
  </si>
  <si>
    <t>Profile</t>
  </si>
  <si>
    <t>Depth interval</t>
  </si>
  <si>
    <t>Ships track</t>
  </si>
  <si>
    <t>Trajectory</t>
  </si>
  <si>
    <t>Traverse</t>
  </si>
  <si>
    <t>Quadrat</t>
  </si>
  <si>
    <t>Cross section</t>
  </si>
  <si>
    <t>Soil pit section</t>
  </si>
  <si>
    <t>Scene</t>
  </si>
  <si>
    <t>Field area</t>
  </si>
  <si>
    <t>Excavation</t>
  </si>
  <si>
    <t>Stream gage</t>
  </si>
  <si>
    <t>Weather station</t>
  </si>
  <si>
    <t>Water quality station</t>
  </si>
  <si>
    <t>Not applicable</t>
  </si>
  <si>
    <t>Point</t>
  </si>
  <si>
    <t>Multi point</t>
  </si>
  <si>
    <t>Line string</t>
  </si>
  <si>
    <t>Multi line string</t>
  </si>
  <si>
    <t>Polygon</t>
  </si>
  <si>
    <t>Multi polygon</t>
  </si>
  <si>
    <t>Volume</t>
  </si>
  <si>
    <t>Composite</t>
  </si>
  <si>
    <t>Aggregate groundwater use</t>
  </si>
  <si>
    <t>Aggregate surface-water-use</t>
  </si>
  <si>
    <t>Aggregate water-use establishment</t>
  </si>
  <si>
    <t>Animal waste lagoon</t>
  </si>
  <si>
    <t>Atmosphere</t>
  </si>
  <si>
    <t>Canal</t>
  </si>
  <si>
    <t>Cave</t>
  </si>
  <si>
    <t>Cistern</t>
  </si>
  <si>
    <t>Coastal</t>
  </si>
  <si>
    <t>Combined sewer</t>
  </si>
  <si>
    <t>Ditch</t>
  </si>
  <si>
    <t>Diversion</t>
  </si>
  <si>
    <t>Estuary</t>
  </si>
  <si>
    <t>Facility</t>
  </si>
  <si>
    <t>Field, Pasture, Orchard, or Nursery</t>
  </si>
  <si>
    <t>Glacier</t>
  </si>
  <si>
    <t>Golf course</t>
  </si>
  <si>
    <t>Groundwater drain</t>
  </si>
  <si>
    <t>Hydroelectric plant</t>
  </si>
  <si>
    <t>Laboratory or sample-preparation area</t>
  </si>
  <si>
    <t>Lake, Reservoir, Impoundment</t>
  </si>
  <si>
    <t>Land</t>
  </si>
  <si>
    <t>Landfill</t>
  </si>
  <si>
    <t>Ocean</t>
  </si>
  <si>
    <t>Outcrop</t>
  </si>
  <si>
    <t>Outfall</t>
  </si>
  <si>
    <t>Pavement</t>
  </si>
  <si>
    <t>Playa</t>
  </si>
  <si>
    <t>Septic system</t>
  </si>
  <si>
    <t>Shore</t>
  </si>
  <si>
    <t>Sinkhole</t>
  </si>
  <si>
    <t>Soil hole</t>
  </si>
  <si>
    <t>Spring</t>
  </si>
  <si>
    <t>Storm sewer</t>
  </si>
  <si>
    <t>Stream</t>
  </si>
  <si>
    <t>Subsurface</t>
  </si>
  <si>
    <t>Thermoelectric plant</t>
  </si>
  <si>
    <t>Tidal stream</t>
  </si>
  <si>
    <t>Tunnel, shaft, or mine</t>
  </si>
  <si>
    <t>Unsaturated zone</t>
  </si>
  <si>
    <t>Volcanic vent</t>
  </si>
  <si>
    <t>Wastewater land application</t>
  </si>
  <si>
    <t>Wastewater sewer</t>
  </si>
  <si>
    <t>Wastewater-treatment plant</t>
  </si>
  <si>
    <t>Water-distribution system</t>
  </si>
  <si>
    <t>Water-supply treatment plant</t>
  </si>
  <si>
    <t>Water-use establishment</t>
  </si>
  <si>
    <t>Wetland</t>
  </si>
  <si>
    <t>Core</t>
  </si>
  <si>
    <t>Core section half</t>
  </si>
  <si>
    <t>Core sub-piece</t>
  </si>
  <si>
    <t>Core whole round</t>
  </si>
  <si>
    <t>Cuttings</t>
  </si>
  <si>
    <t>Dredge</t>
  </si>
  <si>
    <t>Grab</t>
  </si>
  <si>
    <t>Individual sample</t>
  </si>
  <si>
    <t>Oriented core</t>
  </si>
  <si>
    <t>Other</t>
  </si>
  <si>
    <t>Rock powder</t>
  </si>
  <si>
    <t>Terrestrial section</t>
  </si>
  <si>
    <t>Automated</t>
  </si>
  <si>
    <t>Foliage digestion</t>
  </si>
  <si>
    <t>Forest floor digestion</t>
  </si>
  <si>
    <t>Foliage leaching</t>
  </si>
  <si>
    <t>Litter fall digestion</t>
  </si>
  <si>
    <t>Precipitation bulk</t>
  </si>
  <si>
    <t>Petri dish (dry deposition)</t>
  </si>
  <si>
    <t>The specimen type is unknown</t>
  </si>
  <si>
    <t>Thin section</t>
  </si>
  <si>
    <t>Feature Geo Type</t>
  </si>
  <si>
    <t>LatLon Datum</t>
  </si>
  <si>
    <t>Reference Datum for all Sampling Features</t>
  </si>
  <si>
    <t>NAD27</t>
  </si>
  <si>
    <t>NAD83</t>
  </si>
  <si>
    <t>WGS84</t>
  </si>
  <si>
    <t>MSL</t>
  </si>
  <si>
    <t>NAVD88</t>
  </si>
  <si>
    <t>NGVD29</t>
  </si>
  <si>
    <t>---</t>
  </si>
  <si>
    <t>Instructions:  In the yellow boxes, enter the data applying to all results and to the individual data columns</t>
  </si>
  <si>
    <t>Variable Name</t>
  </si>
  <si>
    <t>Variable Code</t>
  </si>
  <si>
    <t>Method Name</t>
  </si>
  <si>
    <t>Method Code</t>
  </si>
  <si>
    <t>Method Description</t>
  </si>
  <si>
    <t>Information on Authors and People Involved</t>
  </si>
  <si>
    <t>Information on Organizations Involved</t>
  </si>
  <si>
    <t>Organization Type [CV]</t>
  </si>
  <si>
    <t>Organization Code</t>
  </si>
  <si>
    <t>Organization Description</t>
  </si>
  <si>
    <t>Organization Link</t>
  </si>
  <si>
    <t>University</t>
  </si>
  <si>
    <t>Research institute</t>
  </si>
  <si>
    <t>Research agency</t>
  </si>
  <si>
    <t>Manufacturer</t>
  </si>
  <si>
    <t>Vendor</t>
  </si>
  <si>
    <t>Analytical laboratory</t>
  </si>
  <si>
    <t>Department</t>
  </si>
  <si>
    <t>Association</t>
  </si>
  <si>
    <t>Center</t>
  </si>
  <si>
    <t>College</t>
  </si>
  <si>
    <t>Company</t>
  </si>
  <si>
    <t>Consortium</t>
  </si>
  <si>
    <t>Division</t>
  </si>
  <si>
    <t>Foundation</t>
  </si>
  <si>
    <t>Funding organization</t>
  </si>
  <si>
    <t>Government agency</t>
  </si>
  <si>
    <t>Institute</t>
  </si>
  <si>
    <t>Laboratory</t>
  </si>
  <si>
    <t>Library</t>
  </si>
  <si>
    <t>Museum</t>
  </si>
  <si>
    <t>Program</t>
  </si>
  <si>
    <t>Publisher</t>
  </si>
  <si>
    <t>Research organization</t>
  </si>
  <si>
    <t>School</t>
  </si>
  <si>
    <t>Student organization</t>
  </si>
  <si>
    <t>Author Number</t>
  </si>
  <si>
    <t>Citation Title</t>
  </si>
  <si>
    <t>~</t>
  </si>
  <si>
    <t>People:</t>
  </si>
  <si>
    <t>Primary Address</t>
  </si>
  <si>
    <t>Organizations:</t>
  </si>
  <si>
    <t>Affiliations:</t>
  </si>
  <si>
    <t>Citation DOI</t>
  </si>
  <si>
    <t>Dataset Citation Relationship</t>
  </si>
  <si>
    <t>isChildOf</t>
  </si>
  <si>
    <t>isRelatedTo</t>
  </si>
  <si>
    <t>isVariantFormOf</t>
  </si>
  <si>
    <t>isOriginalFormOf</t>
  </si>
  <si>
    <t>isDerivedFrom</t>
  </si>
  <si>
    <t>wasCollectedAt</t>
  </si>
  <si>
    <t>Site Type</t>
  </si>
  <si>
    <t>Boolean</t>
  </si>
  <si>
    <t>Feature Name</t>
  </si>
  <si>
    <t>Feature Description</t>
  </si>
  <si>
    <t>Feature Code</t>
  </si>
  <si>
    <t>Feature Geometry</t>
  </si>
  <si>
    <t>OrganizationTypeCV</t>
  </si>
  <si>
    <t>SamplingFeatureGeotypeCV</t>
  </si>
  <si>
    <t>SiteTypeCV</t>
  </si>
  <si>
    <t>SpecimenTypeCV</t>
  </si>
  <si>
    <t>ElevationDatumCV</t>
  </si>
  <si>
    <t>RelationshipTypeCV</t>
  </si>
  <si>
    <t>SamplingFeatureTypeCV</t>
  </si>
  <si>
    <t>NotApplicable</t>
  </si>
  <si>
    <t>SampledMediumCV</t>
  </si>
  <si>
    <t>Gas</t>
  </si>
  <si>
    <t>Liquid aqueous</t>
  </si>
  <si>
    <t>Liquid organic</t>
  </si>
  <si>
    <t>Mineral</t>
  </si>
  <si>
    <t>Particulate</t>
  </si>
  <si>
    <t>Rock</t>
  </si>
  <si>
    <t>Sediment</t>
  </si>
  <si>
    <t>Ice</t>
  </si>
  <si>
    <t>Snow</t>
  </si>
  <si>
    <t>Tissue</t>
  </si>
  <si>
    <t>Organism</t>
  </si>
  <si>
    <t>SpatialReferences:</t>
  </si>
  <si>
    <t>SamplingFeatures:</t>
  </si>
  <si>
    <t>YAML Header</t>
  </si>
  <si>
    <t>People</t>
  </si>
  <si>
    <t>Organizations</t>
  </si>
  <si>
    <t>Affiliations</t>
  </si>
  <si>
    <t>Citation</t>
  </si>
  <si>
    <t>AuthorList</t>
  </si>
  <si>
    <t>DatasetCitations</t>
  </si>
  <si>
    <t>Spatial References</t>
  </si>
  <si>
    <t>Sampling Features</t>
  </si>
  <si>
    <t>Sites</t>
  </si>
  <si>
    <t>IDNumber</t>
  </si>
  <si>
    <t>Specimens</t>
  </si>
  <si>
    <t>Spatial Offset Type</t>
  </si>
  <si>
    <t>Offset 1 Value</t>
  </si>
  <si>
    <t>Offset 1 Unit</t>
  </si>
  <si>
    <t>Offset 2 Value</t>
  </si>
  <si>
    <t>Offset 2 Unit</t>
  </si>
  <si>
    <t>Offset 3 Value</t>
  </si>
  <si>
    <t>Offset 3 Unit</t>
  </si>
  <si>
    <t>SpatialOffsetTypeCV</t>
  </si>
  <si>
    <t>Radial horizontal offset</t>
  </si>
  <si>
    <t>Radial horizontal offset with depth</t>
  </si>
  <si>
    <t>Depth, directional</t>
  </si>
  <si>
    <t>Units</t>
  </si>
  <si>
    <t>First Sampling Feature Code</t>
  </si>
  <si>
    <t>Relationship Type</t>
  </si>
  <si>
    <t>Second Sampling Feature Code</t>
  </si>
  <si>
    <t>Related Sampling Features</t>
  </si>
  <si>
    <t>SpatialOffsets</t>
  </si>
  <si>
    <t>RelatedFeatures</t>
  </si>
  <si>
    <t>MethodTypeCV</t>
  </si>
  <si>
    <t>Method Type</t>
  </si>
  <si>
    <t>Method Link</t>
  </si>
  <si>
    <t>Methods</t>
  </si>
  <si>
    <t>Method Information</t>
  </si>
  <si>
    <t>Cruise</t>
  </si>
  <si>
    <t>Data retrieval</t>
  </si>
  <si>
    <t>Derivation</t>
  </si>
  <si>
    <t>Equipment deployment</t>
  </si>
  <si>
    <t>Equipment maintenance</t>
  </si>
  <si>
    <t>Equipment programming</t>
  </si>
  <si>
    <t>Equipment retrieval</t>
  </si>
  <si>
    <t>Estimation</t>
  </si>
  <si>
    <t>Expedition</t>
  </si>
  <si>
    <t>Field activity</t>
  </si>
  <si>
    <t>Generic non-observation</t>
  </si>
  <si>
    <t>Instrument calibration</t>
  </si>
  <si>
    <t>Instrument deployment</t>
  </si>
  <si>
    <t>Instrument retrieval</t>
  </si>
  <si>
    <t>Observation</t>
  </si>
  <si>
    <t>Simulation</t>
  </si>
  <si>
    <t>Site visit</t>
  </si>
  <si>
    <t>Specimen analysis</t>
  </si>
  <si>
    <t>Specimen collection</t>
  </si>
  <si>
    <t>Specimen fractionation</t>
  </si>
  <si>
    <t>Specimen preparation</t>
  </si>
  <si>
    <t>Specimen preservation</t>
  </si>
  <si>
    <t>Submersible launch</t>
  </si>
  <si>
    <t>Methods:</t>
  </si>
  <si>
    <t>TODO:  Encode Feature Geometry as "well known text"</t>
  </si>
  <si>
    <r>
      <t xml:space="preserve">NOTE:  Sampling feature codes </t>
    </r>
    <r>
      <rPr>
        <b/>
        <sz val="11"/>
        <color theme="1"/>
        <rFont val="Calibri"/>
        <family val="2"/>
        <scheme val="minor"/>
      </rPr>
      <t>MUST</t>
    </r>
    <r>
      <rPr>
        <sz val="11"/>
        <color theme="1"/>
        <rFont val="Calibri"/>
        <family val="2"/>
        <scheme val="minor"/>
      </rPr>
      <t xml:space="preserve"> be unique within this template.</t>
    </r>
  </si>
  <si>
    <r>
      <t xml:space="preserve">NOTE:  Method codes </t>
    </r>
    <r>
      <rPr>
        <b/>
        <sz val="11"/>
        <color theme="1"/>
        <rFont val="Calibri"/>
        <family val="2"/>
        <scheme val="minor"/>
      </rPr>
      <t xml:space="preserve">MUST </t>
    </r>
    <r>
      <rPr>
        <sz val="11"/>
        <color theme="1"/>
        <rFont val="Calibri"/>
        <family val="2"/>
        <scheme val="minor"/>
      </rPr>
      <t>be unique within this template.</t>
    </r>
  </si>
  <si>
    <t>Full Name</t>
  </si>
  <si>
    <t>Author Name</t>
  </si>
  <si>
    <r>
      <t xml:space="preserve">NOTE:  Organization names </t>
    </r>
    <r>
      <rPr>
        <b/>
        <sz val="11"/>
        <color theme="1"/>
        <rFont val="Calibri"/>
        <family val="2"/>
        <scheme val="minor"/>
      </rPr>
      <t>MUST</t>
    </r>
    <r>
      <rPr>
        <sz val="11"/>
        <color theme="1"/>
        <rFont val="Calibri"/>
        <family val="2"/>
        <scheme val="minor"/>
      </rPr>
      <t xml:space="preserve"> be unique within this template.  This template also cannot handle two people with identical first, middle, and last names.</t>
    </r>
  </si>
  <si>
    <r>
      <t xml:space="preserve">NOTE:  Variable codes </t>
    </r>
    <r>
      <rPr>
        <b/>
        <sz val="11"/>
        <color theme="1"/>
        <rFont val="Calibri"/>
        <family val="2"/>
        <scheme val="minor"/>
      </rPr>
      <t xml:space="preserve">MUST </t>
    </r>
    <r>
      <rPr>
        <sz val="11"/>
        <color theme="1"/>
        <rFont val="Calibri"/>
        <family val="2"/>
        <scheme val="minor"/>
      </rPr>
      <t>be unique within this template.</t>
    </r>
  </si>
  <si>
    <t>Variable Type</t>
  </si>
  <si>
    <t>Variable Definition</t>
  </si>
  <si>
    <t>Speciation</t>
  </si>
  <si>
    <t>No Data Value</t>
  </si>
  <si>
    <t>Variable Information</t>
  </si>
  <si>
    <t>VariableTypeCV</t>
  </si>
  <si>
    <t>Water quality</t>
  </si>
  <si>
    <t>VariableNameCV</t>
  </si>
  <si>
    <t>1,1,1-Trichloroethane</t>
  </si>
  <si>
    <t>1,1,2,2-Tetrachloroethane</t>
  </si>
  <si>
    <t>1,1,2-Trichloroethane</t>
  </si>
  <si>
    <t>1,1-Dichloroethane</t>
  </si>
  <si>
    <t>1,1-Dichloroethene</t>
  </si>
  <si>
    <t>1,2,3-Trimethylbenzene</t>
  </si>
  <si>
    <t>1,2,4,5-tetrachlorobenzene</t>
  </si>
  <si>
    <t>1,2,4-Trichlorobenzene</t>
  </si>
  <si>
    <t>1,2,4-Trimethylbenzene</t>
  </si>
  <si>
    <t>1,2-Dibromo-3-chloropropane</t>
  </si>
  <si>
    <t>1,2-Dichlorobenzene</t>
  </si>
  <si>
    <t>1,2-Dichloroethane</t>
  </si>
  <si>
    <t>1,2-Dichloropropane</t>
  </si>
  <si>
    <t>1,2-Dimethylnaphthalene</t>
  </si>
  <si>
    <t>1,2-Dinitrobenzene</t>
  </si>
  <si>
    <t>1,2-Diphenylhydrazine</t>
  </si>
  <si>
    <t>1,3,5-Trimethylbenzene</t>
  </si>
  <si>
    <t>1,3-Dichlorobenzene</t>
  </si>
  <si>
    <t>1,3-Dimethyladamantane</t>
  </si>
  <si>
    <t>1,3-Dimethylnaphthalene</t>
  </si>
  <si>
    <t>1,3-Dinitrobenzene</t>
  </si>
  <si>
    <t>1,4,5,8-Tetramethylnaphthalene</t>
  </si>
  <si>
    <t>1,4,5-Trimethylnaphthalene</t>
  </si>
  <si>
    <t>1,4,6-Trimethylnaphthalene</t>
  </si>
  <si>
    <t>1,4-Dichlorobenzene</t>
  </si>
  <si>
    <t>1,4-Dimethylnaphthalene</t>
  </si>
  <si>
    <t>1,4-Dinitrobenzene</t>
  </si>
  <si>
    <t>1,5-Dimethylnaphthalene</t>
  </si>
  <si>
    <t>1,6,7-Trimethylnaphthalene</t>
  </si>
  <si>
    <t>1,6-Dimethylnaphthalene</t>
  </si>
  <si>
    <t>1,8-Dimethylnaphthalene</t>
  </si>
  <si>
    <t>19-Hexanoyloxyfucoxanthin</t>
  </si>
  <si>
    <t>1-Chloronaphthalene</t>
  </si>
  <si>
    <t>1-Ethylnaphthalene</t>
  </si>
  <si>
    <t>1-Methylanthracene</t>
  </si>
  <si>
    <t>1-Methyldibenzothiophene</t>
  </si>
  <si>
    <t>1-Methylfluorene</t>
  </si>
  <si>
    <t>1-Methylnaphthalene</t>
  </si>
  <si>
    <t>1-Methylphenanthrene</t>
  </si>
  <si>
    <t>1-Naphthalenol methylcarbamate</t>
  </si>
  <si>
    <t>2,2-dichlorovinyl dimethyl phosphate</t>
  </si>
  <si>
    <t>2,3,4,6-Tetrachlorophenol</t>
  </si>
  <si>
    <t>2,3,5-Trimethylnaphthalene</t>
  </si>
  <si>
    <t>2,3,6-Trimethylnaphthalene</t>
  </si>
  <si>
    <t>2,3-Dimethylnaphthalene</t>
  </si>
  <si>
    <t>2,4,5-Trichlorophenol</t>
  </si>
  <si>
    <t>2,4,6-Trichlorophenol</t>
  </si>
  <si>
    <t>2,4-Dichlorophenol</t>
  </si>
  <si>
    <t>2,4-Dimethylphenol</t>
  </si>
  <si>
    <t>2,4-Dinitrophenol</t>
  </si>
  <si>
    <t>2,4-Dinitrotoluene</t>
  </si>
  <si>
    <t>2,6-Dichlorophenol</t>
  </si>
  <si>
    <t>2,6-Dinitrotoluene</t>
  </si>
  <si>
    <t>2,7-Dimethylnaphthalene</t>
  </si>
  <si>
    <t>2-Butanone (MEK)</t>
  </si>
  <si>
    <t>2-Butoxyethanol</t>
  </si>
  <si>
    <t>2-Chloronaphthalene</t>
  </si>
  <si>
    <t>2-Chlorophenol</t>
  </si>
  <si>
    <t>2-Hexanone</t>
  </si>
  <si>
    <t>2-Methylanthracene</t>
  </si>
  <si>
    <t>2-Methyldibenzothiophene</t>
  </si>
  <si>
    <t>2-Methylnaphthalene</t>
  </si>
  <si>
    <t>2-Methylphenanthrene</t>
  </si>
  <si>
    <t>2-Methylphenol</t>
  </si>
  <si>
    <t>2-Nitroaniline</t>
  </si>
  <si>
    <t>2-Nitrophenol</t>
  </si>
  <si>
    <t>3,3-Dichlorobenzidine</t>
  </si>
  <si>
    <t>3,6-Dimethylphenanthrene</t>
  </si>
  <si>
    <t>3-Nitroaniline</t>
  </si>
  <si>
    <t>4,4-DDD</t>
  </si>
  <si>
    <t>4,4-DDE</t>
  </si>
  <si>
    <t>4,4-DDT</t>
  </si>
  <si>
    <t>4,4-Methylenebis(2-chloroaniline)</t>
  </si>
  <si>
    <t>4,4-Methylenebis(N,N-dimethylaniline)</t>
  </si>
  <si>
    <t>4,6-Dinitro-2-methylphenol</t>
  </si>
  <si>
    <t>4-Bromophenylphenyl ether</t>
  </si>
  <si>
    <t>4-Chloro-3-methylphenol</t>
  </si>
  <si>
    <t>4-Chloroaniline</t>
  </si>
  <si>
    <t>4-Chlorophenylphenyl ether</t>
  </si>
  <si>
    <t>4-Methylchrysene</t>
  </si>
  <si>
    <t>4-Methyldibenzothiophene</t>
  </si>
  <si>
    <t>4-Methylphenol</t>
  </si>
  <si>
    <t>4-Nitroaniline</t>
  </si>
  <si>
    <t>4-Nitrophenol</t>
  </si>
  <si>
    <t>9 cis-Neoxanthin</t>
  </si>
  <si>
    <t>9,10-Dimethylanthracene</t>
  </si>
  <si>
    <t>Absorbance</t>
  </si>
  <si>
    <t>Abundance</t>
  </si>
  <si>
    <t>Acenaphthene</t>
  </si>
  <si>
    <t>Acenaphthylene</t>
  </si>
  <si>
    <t>Acetate</t>
  </si>
  <si>
    <t>Acetic Acid</t>
  </si>
  <si>
    <t>Acetone</t>
  </si>
  <si>
    <t>Acetophenone</t>
  </si>
  <si>
    <t>Acid neutralizing capacity</t>
  </si>
  <si>
    <t>Acidity, CO2 acidity</t>
  </si>
  <si>
    <t>Acidity, exchange</t>
  </si>
  <si>
    <t>Acidity, hot</t>
  </si>
  <si>
    <t>Acidity, mineral acidity</t>
  </si>
  <si>
    <t>Acidity, total acidity</t>
  </si>
  <si>
    <t>Adamantane</t>
  </si>
  <si>
    <t>Agency code</t>
  </si>
  <si>
    <t>Albedo</t>
  </si>
  <si>
    <t>Aldrin</t>
  </si>
  <si>
    <t>Alkalinity, bicarbonate</t>
  </si>
  <si>
    <t>Alkalinity, carbonate</t>
  </si>
  <si>
    <t>Alkalinity, carbonate plus bicarbonate</t>
  </si>
  <si>
    <t>Alkalinity, hydroxide</t>
  </si>
  <si>
    <t>Alkalinity, total</t>
  </si>
  <si>
    <t>Alloxanthin</t>
  </si>
  <si>
    <t>Aluminum, dissolved</t>
  </si>
  <si>
    <t>Aluminum, particulate</t>
  </si>
  <si>
    <t>Aluminum, total</t>
  </si>
  <si>
    <t>Ammonium flux</t>
  </si>
  <si>
    <t>Aniline</t>
  </si>
  <si>
    <t>Anthracene</t>
  </si>
  <si>
    <t>Antimony, dissolved</t>
  </si>
  <si>
    <t>Antimony, distribution coefficient</t>
  </si>
  <si>
    <t>Antimony, particulate</t>
  </si>
  <si>
    <t>Antimony, total</t>
  </si>
  <si>
    <t>Area</t>
  </si>
  <si>
    <t>Argon</t>
  </si>
  <si>
    <t>Argon, dissolved</t>
  </si>
  <si>
    <t>Aroclor-1016</t>
  </si>
  <si>
    <t>Aroclor-1242</t>
  </si>
  <si>
    <t>Aroclor-1254</t>
  </si>
  <si>
    <t>Aroclor-1260</t>
  </si>
  <si>
    <t>Arsenic, dissolved</t>
  </si>
  <si>
    <t>Arsenic, distribution coefficient</t>
  </si>
  <si>
    <t>Arsenic, particulate</t>
  </si>
  <si>
    <t>Arsenic, total</t>
  </si>
  <si>
    <t>Asteridae coverage</t>
  </si>
  <si>
    <t>Barium, dissolved</t>
  </si>
  <si>
    <t>Barium, distribution coefficient</t>
  </si>
  <si>
    <t>Barium, particulate</t>
  </si>
  <si>
    <t>Barium, total</t>
  </si>
  <si>
    <t>Barometric pressure</t>
  </si>
  <si>
    <t>Baseflow</t>
  </si>
  <si>
    <t>Batis maritima Coverage</t>
  </si>
  <si>
    <t>Battery temperature</t>
  </si>
  <si>
    <t>Battery voltage</t>
  </si>
  <si>
    <t>Benthos</t>
  </si>
  <si>
    <t>Benz(a)anthracene</t>
  </si>
  <si>
    <t>Benzene</t>
  </si>
  <si>
    <t>Benzo(a)pyrene</t>
  </si>
  <si>
    <t>Benzo(b)fluoranthene</t>
  </si>
  <si>
    <t>Benzo(b)fluorene</t>
  </si>
  <si>
    <t>Benzo(e)pyrene</t>
  </si>
  <si>
    <t>Benzo(g,h,i)perylene</t>
  </si>
  <si>
    <t>Benzo(k)fluoranthene</t>
  </si>
  <si>
    <t>Benzoic acid</t>
  </si>
  <si>
    <t>Benzyl alcohol</t>
  </si>
  <si>
    <t>Beryllium, dissolved</t>
  </si>
  <si>
    <t>Beryllium, total</t>
  </si>
  <si>
    <t>Bicarbonate</t>
  </si>
  <si>
    <t>Bifenthrin</t>
  </si>
  <si>
    <t>Biogenic silica</t>
  </si>
  <si>
    <t>Biomass</t>
  </si>
  <si>
    <t>Biomass, phytoplankton</t>
  </si>
  <si>
    <t>Biomass, total</t>
  </si>
  <si>
    <t>Biphenyl</t>
  </si>
  <si>
    <t>Bis(2-chloroethoxy)methane</t>
  </si>
  <si>
    <t>bis(2-Chloroethyl)ether</t>
  </si>
  <si>
    <t>Bis-(2-ethylhexyl) phthalate</t>
  </si>
  <si>
    <t>bis-2-chloroisopropyl ether</t>
  </si>
  <si>
    <t>Blue-green algae (cyanobacteria), phycocyanin</t>
  </si>
  <si>
    <t>BOD1</t>
  </si>
  <si>
    <t>BOD2, carbonaceous</t>
  </si>
  <si>
    <t>BOD20</t>
  </si>
  <si>
    <t>BOD20, carbonaceous</t>
  </si>
  <si>
    <t>BOD20, nitrogenous</t>
  </si>
  <si>
    <t>BOD3, carbonaceous</t>
  </si>
  <si>
    <t>BOD4, carbonaceous</t>
  </si>
  <si>
    <t>BOD5</t>
  </si>
  <si>
    <t>BOD5, carbonaceous</t>
  </si>
  <si>
    <t>BOD5, nitrogenous</t>
  </si>
  <si>
    <t>BOD6, carbonaceous</t>
  </si>
  <si>
    <t>BOD7, carbonaceous</t>
  </si>
  <si>
    <t>BODu</t>
  </si>
  <si>
    <t>BODu, carbonaceous</t>
  </si>
  <si>
    <t>BODu, nitrogenous</t>
  </si>
  <si>
    <t>Body length</t>
  </si>
  <si>
    <t>Borehole log material classification</t>
  </si>
  <si>
    <t>Boron, dissolved</t>
  </si>
  <si>
    <t>Boron, total</t>
  </si>
  <si>
    <t>Borrichia frutescens Coverage</t>
  </si>
  <si>
    <t>Bromide, dissolved</t>
  </si>
  <si>
    <t>Bromide, total</t>
  </si>
  <si>
    <t>Bromine</t>
  </si>
  <si>
    <t>Bromine, dissolved</t>
  </si>
  <si>
    <t>Bromodichloromethane</t>
  </si>
  <si>
    <t>Bromoform</t>
  </si>
  <si>
    <t>Bromomethane (Methyl bromide)</t>
  </si>
  <si>
    <t>Bulk density</t>
  </si>
  <si>
    <t>Bulk electrical conductivity</t>
  </si>
  <si>
    <t>Butane</t>
  </si>
  <si>
    <t>Butylbenzylphthalate</t>
  </si>
  <si>
    <t>Butyric Acid</t>
  </si>
  <si>
    <t>Cadmium, dissolved</t>
  </si>
  <si>
    <t>Cadmium, distribution coefficient</t>
  </si>
  <si>
    <t>Cadmium, particulate</t>
  </si>
  <si>
    <t>Cadmium, total</t>
  </si>
  <si>
    <t>Calcium, dissolved</t>
  </si>
  <si>
    <t>Calcium, total</t>
  </si>
  <si>
    <t>Canthaxanthin</t>
  </si>
  <si>
    <t>Carbaryl</t>
  </si>
  <si>
    <t>Carbazole</t>
  </si>
  <si>
    <t>Carbon dioxide</t>
  </si>
  <si>
    <t>Carbon dioxide flux</t>
  </si>
  <si>
    <t>Carbon dioxide storage flux</t>
  </si>
  <si>
    <t>Carbon Dioxide, dissolved</t>
  </si>
  <si>
    <t>Carbon dioxide, transducer signal</t>
  </si>
  <si>
    <t>Carbon disulfide</t>
  </si>
  <si>
    <t>Carbon monoxide, dissolved</t>
  </si>
  <si>
    <t>Carbon tetrachloride</t>
  </si>
  <si>
    <t>Carbon to nitrogen mass ratio</t>
  </si>
  <si>
    <t>Carbon to nitrogen molar ratio</t>
  </si>
  <si>
    <t>Carbon, dissolved inorganic</t>
  </si>
  <si>
    <t>Carbon, dissolved organic</t>
  </si>
  <si>
    <t>Carbon, dissolved total</t>
  </si>
  <si>
    <t>Carbon, particulate organic</t>
  </si>
  <si>
    <t>Carbon, suspended inorganic</t>
  </si>
  <si>
    <t>Carbon, suspended organic</t>
  </si>
  <si>
    <t>Carbon, suspended total</t>
  </si>
  <si>
    <t>Carbon, total</t>
  </si>
  <si>
    <t>Carbon, total inorganic</t>
  </si>
  <si>
    <t>Carbon, total organic</t>
  </si>
  <si>
    <t>Carbon, total solid phase</t>
  </si>
  <si>
    <t>Carbon-13, stable isotope ratio delta</t>
  </si>
  <si>
    <t>Carbon-14</t>
  </si>
  <si>
    <t>Carbonate</t>
  </si>
  <si>
    <t>Cesium, dissolved</t>
  </si>
  <si>
    <t>Cesium, total</t>
  </si>
  <si>
    <t>Cesium-137</t>
  </si>
  <si>
    <t>Chloride</t>
  </si>
  <si>
    <t>Chloride, dissolved</t>
  </si>
  <si>
    <t>Chloride, total</t>
  </si>
  <si>
    <t>Chlorine</t>
  </si>
  <si>
    <t>Chlorine, dissolved</t>
  </si>
  <si>
    <t>Chlorobenzene</t>
  </si>
  <si>
    <t>Chlorobenzilate</t>
  </si>
  <si>
    <t>Chloroethane</t>
  </si>
  <si>
    <t>Chloroethene</t>
  </si>
  <si>
    <t>Chloroform</t>
  </si>
  <si>
    <t>Chloromethane</t>
  </si>
  <si>
    <t>Chlorophyll (a+b+c)</t>
  </si>
  <si>
    <t>Chlorophyll a</t>
  </si>
  <si>
    <t>Chlorophyll a allomer</t>
  </si>
  <si>
    <t>Chlorophyll a, corrected for pheophytin</t>
  </si>
  <si>
    <t>Chlorophyll a, uncorrected for pheophytin</t>
  </si>
  <si>
    <t>Chlorophyll b</t>
  </si>
  <si>
    <t>Chlorophyll c</t>
  </si>
  <si>
    <t>Chlorophyll c1 and c2</t>
  </si>
  <si>
    <t>Chlorophyll fluorescence</t>
  </si>
  <si>
    <t>Chromium (III)</t>
  </si>
  <si>
    <t>Chromium (VI)</t>
  </si>
  <si>
    <t>Chromium (VI), dissolved</t>
  </si>
  <si>
    <t>Chromium, dissolved</t>
  </si>
  <si>
    <t>Chromium, distribution coefficient</t>
  </si>
  <si>
    <t>Chromium, particulate</t>
  </si>
  <si>
    <t>Chromium, total</t>
  </si>
  <si>
    <t>Chrysene</t>
  </si>
  <si>
    <t>cis-1,2-Dichloroethene</t>
  </si>
  <si>
    <t>cis-1,3-Dichloropropene</t>
  </si>
  <si>
    <t>Cobalt, dissolved</t>
  </si>
  <si>
    <t>Cobalt, total</t>
  </si>
  <si>
    <t>Cobalt-60</t>
  </si>
  <si>
    <t>COD</t>
  </si>
  <si>
    <t>Coliform, fecal</t>
  </si>
  <si>
    <t>Coliform, total</t>
  </si>
  <si>
    <t>Color</t>
  </si>
  <si>
    <t>Colored dissolved organic matter</t>
  </si>
  <si>
    <t>Container number</t>
  </si>
  <si>
    <t>Copper, dissolved</t>
  </si>
  <si>
    <t>Copper, distribution coefficient</t>
  </si>
  <si>
    <t>Copper, particulate</t>
  </si>
  <si>
    <t>Copper, total</t>
  </si>
  <si>
    <t>Counter</t>
  </si>
  <si>
    <t>Cryptophytes</t>
  </si>
  <si>
    <t>Cuscuta spp. coverage</t>
  </si>
  <si>
    <t>Cyanide</t>
  </si>
  <si>
    <t>Cyclohexane</t>
  </si>
  <si>
    <t>Cytochrome P450, family 1, subfamily A, polypeptide 1, delta cycle threshold</t>
  </si>
  <si>
    <t>Cytosolic protein</t>
  </si>
  <si>
    <t>Data shuttle attached</t>
  </si>
  <si>
    <t>Data shuttle detached</t>
  </si>
  <si>
    <t>delta-13C of C2H6</t>
  </si>
  <si>
    <t>delta-13C of C3H8</t>
  </si>
  <si>
    <t>delta-13C of C4H10</t>
  </si>
  <si>
    <t>delta-13C of CH4</t>
  </si>
  <si>
    <t>delta-13C of CO2</t>
  </si>
  <si>
    <t>delta-13C of DIC</t>
  </si>
  <si>
    <t>delta-18O of H2O</t>
  </si>
  <si>
    <t>delta-D of CH4</t>
  </si>
  <si>
    <t>delta-D of H2O</t>
  </si>
  <si>
    <t>Density</t>
  </si>
  <si>
    <t>Deuterium</t>
  </si>
  <si>
    <t>Diadinoxanthin</t>
  </si>
  <si>
    <t>Diallate (cis or trans)</t>
  </si>
  <si>
    <t>Diatoxanthin</t>
  </si>
  <si>
    <t>Dibenz(a,h)anthracene</t>
  </si>
  <si>
    <t>Dibenzofuran</t>
  </si>
  <si>
    <t>Dibenzothiophene</t>
  </si>
  <si>
    <t>Dibromochloromethane</t>
  </si>
  <si>
    <t>Dieldrin</t>
  </si>
  <si>
    <t>Diethyl phthalate</t>
  </si>
  <si>
    <t>Diethylene glycol</t>
  </si>
  <si>
    <t>Diisopropyl Ether</t>
  </si>
  <si>
    <t>Dimethyl Phthalate</t>
  </si>
  <si>
    <t>Dimethylphenanthrene</t>
  </si>
  <si>
    <t>Di-n-butylphthalate</t>
  </si>
  <si>
    <t>Di-n-octyl phthalate</t>
  </si>
  <si>
    <t>Dinoflagellates</t>
  </si>
  <si>
    <t>Dinoseb</t>
  </si>
  <si>
    <t>Discharge</t>
  </si>
  <si>
    <t>Distance</t>
  </si>
  <si>
    <t>Distichlis spicata Coverage</t>
  </si>
  <si>
    <t>Disulfoton</t>
  </si>
  <si>
    <t>d-Limonene</t>
  </si>
  <si>
    <t>DNA damage, olive tail moment</t>
  </si>
  <si>
    <t>DNA damage, percent tail DNA</t>
  </si>
  <si>
    <t>DNA damage, tail length</t>
  </si>
  <si>
    <t>E-coli</t>
  </si>
  <si>
    <t>Electric Current</t>
  </si>
  <si>
    <t>Electric Energy</t>
  </si>
  <si>
    <t>Electric Power</t>
  </si>
  <si>
    <t>Electrical conductivity</t>
  </si>
  <si>
    <t>End of file</t>
  </si>
  <si>
    <t>Endosulfan I (alpha)</t>
  </si>
  <si>
    <t>Endosulfan II (beta)</t>
  </si>
  <si>
    <t>Endosulfan Sulfate</t>
  </si>
  <si>
    <t>Endrin</t>
  </si>
  <si>
    <t>Endrin aldehyde</t>
  </si>
  <si>
    <t>Endrin Ketone</t>
  </si>
  <si>
    <t>Enterococci</t>
  </si>
  <si>
    <t>Ethane</t>
  </si>
  <si>
    <t>Ethane, dissolved</t>
  </si>
  <si>
    <t>Ethanol</t>
  </si>
  <si>
    <t>Ethoxyresorufin O-deethylase, activity</t>
  </si>
  <si>
    <t>Ethyl tert-Butyl Ether</t>
  </si>
  <si>
    <t>Ethylbenzene</t>
  </si>
  <si>
    <t>Ethylene</t>
  </si>
  <si>
    <t>Ethylene glycol</t>
  </si>
  <si>
    <t>Ethylene, dissolved</t>
  </si>
  <si>
    <t>Ethyne</t>
  </si>
  <si>
    <t>Evaporation</t>
  </si>
  <si>
    <t>Evapotranspiration</t>
  </si>
  <si>
    <t>Evapotranspiration, potential</t>
  </si>
  <si>
    <t>Fish detections</t>
  </si>
  <si>
    <t>Flash memory error count</t>
  </si>
  <si>
    <t>Fluoranthene</t>
  </si>
  <si>
    <t>Fluorene</t>
  </si>
  <si>
    <t>Fluoride</t>
  </si>
  <si>
    <t>Fluoride, dissolved</t>
  </si>
  <si>
    <t>Fluorine</t>
  </si>
  <si>
    <t>Fluorine, dissolved</t>
  </si>
  <si>
    <t>Formate</t>
  </si>
  <si>
    <t>Formic acid</t>
  </si>
  <si>
    <t>Frequency of Rotation</t>
  </si>
  <si>
    <t>Friction velocity</t>
  </si>
  <si>
    <t>Gage height</t>
  </si>
  <si>
    <t>Global Radiation</t>
  </si>
  <si>
    <t>Glutaraldehyde</t>
  </si>
  <si>
    <t>Glutathione S-transferase, activity</t>
  </si>
  <si>
    <t>Glutathione S-transferase, delta cycle threshold</t>
  </si>
  <si>
    <t>Gross alpha radionuclides</t>
  </si>
  <si>
    <t>Gross beta radionuclides</t>
  </si>
  <si>
    <t>Ground heat flux</t>
  </si>
  <si>
    <t>Groundwater Depth</t>
  </si>
  <si>
    <t>Hardness, Calcium</t>
  </si>
  <si>
    <t>Hardness, carbonate</t>
  </si>
  <si>
    <t>Hardness, Magnesium</t>
  </si>
  <si>
    <t>Hardness, non-carbonate</t>
  </si>
  <si>
    <t>Hardness, total</t>
  </si>
  <si>
    <t>Heat index</t>
  </si>
  <si>
    <t>height, above sea floor</t>
  </si>
  <si>
    <t>Helium</t>
  </si>
  <si>
    <t>Helium, dissolved</t>
  </si>
  <si>
    <t>Heptachlor</t>
  </si>
  <si>
    <t>Heptachlor epoxide</t>
  </si>
  <si>
    <t>Hexachlorobenzene</t>
  </si>
  <si>
    <t>Hexachlorobutadiene</t>
  </si>
  <si>
    <t>Hexachlorocyclopentadiene</t>
  </si>
  <si>
    <t>Hexachloroethane</t>
  </si>
  <si>
    <t>Hexane</t>
  </si>
  <si>
    <t>Host connected</t>
  </si>
  <si>
    <t>Hydrogen</t>
  </si>
  <si>
    <t>Hydrogen sulfide</t>
  </si>
  <si>
    <t>Hydrogen, dissolved</t>
  </si>
  <si>
    <t>Hydrogen-2, stable isotope ratio delta</t>
  </si>
  <si>
    <t>Imaginary dielectric constant</t>
  </si>
  <si>
    <t>Indeno(1,2,3-cd)pyrene</t>
  </si>
  <si>
    <t>Indicator</t>
  </si>
  <si>
    <t>Instrument status code</t>
  </si>
  <si>
    <t>Intercept</t>
  </si>
  <si>
    <t>Iodide, dissolved</t>
  </si>
  <si>
    <t>Iron sulfide</t>
  </si>
  <si>
    <t>Iron, dissolved</t>
  </si>
  <si>
    <t>Iron, ferric</t>
  </si>
  <si>
    <t>Iron, ferrous</t>
  </si>
  <si>
    <t>Iron, particulate</t>
  </si>
  <si>
    <t>Iron, total</t>
  </si>
  <si>
    <t>Isobutane</t>
  </si>
  <si>
    <t>Isobutyric acid</t>
  </si>
  <si>
    <t>Isopentane</t>
  </si>
  <si>
    <t>Isophorone</t>
  </si>
  <si>
    <t>Isopropyl alcohol</t>
  </si>
  <si>
    <t>Isopropylbenzene</t>
  </si>
  <si>
    <t>Iva frutescens coverage</t>
  </si>
  <si>
    <t>Lactic Acid</t>
  </si>
  <si>
    <t>Latent heat flux</t>
  </si>
  <si>
    <t>Lead, dissolved</t>
  </si>
  <si>
    <t>Lead, distribution coefficient</t>
  </si>
  <si>
    <t>Lead, particulate</t>
  </si>
  <si>
    <t>Lead, total</t>
  </si>
  <si>
    <t>Leaf wetness</t>
  </si>
  <si>
    <t>Light attenuation coefficient</t>
  </si>
  <si>
    <t>Limonium nashii Coverage</t>
  </si>
  <si>
    <t>Lithium, dissolved</t>
  </si>
  <si>
    <t>Lithium, total</t>
  </si>
  <si>
    <t>Liver, mass</t>
  </si>
  <si>
    <t>Logger stopped</t>
  </si>
  <si>
    <t>Low battery count</t>
  </si>
  <si>
    <t>LSI</t>
  </si>
  <si>
    <t>Luminous Flux</t>
  </si>
  <si>
    <t>Lycium carolinianum Coverage</t>
  </si>
  <si>
    <t>Magnesium, dissolved</t>
  </si>
  <si>
    <t>Magnesium, total</t>
  </si>
  <si>
    <t>Malathion</t>
  </si>
  <si>
    <t>Manganese, dissolved</t>
  </si>
  <si>
    <t>Manganese, particulate</t>
  </si>
  <si>
    <t>Manganese, total</t>
  </si>
  <si>
    <t>Mercury, dissolved</t>
  </si>
  <si>
    <t>Mercury, total</t>
  </si>
  <si>
    <t>Methane</t>
  </si>
  <si>
    <t>Methane, dissolved</t>
  </si>
  <si>
    <t>Methanol</t>
  </si>
  <si>
    <t>Methoxychlor</t>
  </si>
  <si>
    <t>Methyl tert-butyl ether (MTBE)</t>
  </si>
  <si>
    <t>Methylchrysene</t>
  </si>
  <si>
    <t>Methylene blue active substances</t>
  </si>
  <si>
    <t>Methylene chloride (Dichloromethane)</t>
  </si>
  <si>
    <t>Methylfluoranthene</t>
  </si>
  <si>
    <t>Methylfluorene</t>
  </si>
  <si>
    <t>Methylmercury</t>
  </si>
  <si>
    <t>Methylpyrene</t>
  </si>
  <si>
    <t>Mevinphos</t>
  </si>
  <si>
    <t>Microsomal protein</t>
  </si>
  <si>
    <t>Molbydenum, dissolved</t>
  </si>
  <si>
    <t>Molybdenum, total</t>
  </si>
  <si>
    <t>Momentum flux</t>
  </si>
  <si>
    <t>Monanthochloe littoralis Coverage</t>
  </si>
  <si>
    <t>N, albuminoid</t>
  </si>
  <si>
    <t>n-alkane, C15</t>
  </si>
  <si>
    <t>n-alkane, C16</t>
  </si>
  <si>
    <t>n-alkane, C17</t>
  </si>
  <si>
    <t>n-alkane, C18</t>
  </si>
  <si>
    <t>n-alkane, C19</t>
  </si>
  <si>
    <t>n-alkane, C20</t>
  </si>
  <si>
    <t>n-alkane, C21</t>
  </si>
  <si>
    <t>n-alkane, C22</t>
  </si>
  <si>
    <t>n-alkane, C23</t>
  </si>
  <si>
    <t>n-alkane, C24</t>
  </si>
  <si>
    <t>n-alkane, C25</t>
  </si>
  <si>
    <t>n-alkane, C26</t>
  </si>
  <si>
    <t>n-alkane, C27</t>
  </si>
  <si>
    <t>n-alkane, C28</t>
  </si>
  <si>
    <t>n-alkane, C29</t>
  </si>
  <si>
    <t>n-alkane, C30</t>
  </si>
  <si>
    <t>n-alkane, C31</t>
  </si>
  <si>
    <t>n-alkane, C32</t>
  </si>
  <si>
    <t>n-alkane, C33</t>
  </si>
  <si>
    <t>n-alkane, long-chain</t>
  </si>
  <si>
    <t>n-alkane, short-chain</t>
  </si>
  <si>
    <t>n-alkane, total</t>
  </si>
  <si>
    <t>Naphthalene</t>
  </si>
  <si>
    <t>NDVI</t>
  </si>
  <si>
    <t>Net heat flux</t>
  </si>
  <si>
    <t>Nickel, dissolved</t>
  </si>
  <si>
    <t>Nickel, distribution coefficient</t>
  </si>
  <si>
    <t>Nickel, particulate</t>
  </si>
  <si>
    <t>Nickel, total</t>
  </si>
  <si>
    <t>Nitrobenzene</t>
  </si>
  <si>
    <t>Nitrogen, dissolved (free+ionized) Ammonia (NH3) + (NH4)</t>
  </si>
  <si>
    <t>Nitrogen, dissolved inorganic</t>
  </si>
  <si>
    <t>Nitrogen, dissolved Kjeldahl</t>
  </si>
  <si>
    <t>Nitrogen, dissolved nitrate (NO3)</t>
  </si>
  <si>
    <t>Nitrogen, dissolved nitrite (NO2)</t>
  </si>
  <si>
    <t>Nitrogen, dissolved nitrite (NO2) + nitrate (NO3)</t>
  </si>
  <si>
    <t>Nitrogen, dissolved organic</t>
  </si>
  <si>
    <t>Nitrogen, gas</t>
  </si>
  <si>
    <t>Nitrogen, inorganic</t>
  </si>
  <si>
    <t>Nitrogen, NH3</t>
  </si>
  <si>
    <t>Nitrogen, NH3 + NH4</t>
  </si>
  <si>
    <t>Nitrogen, NH4</t>
  </si>
  <si>
    <t>Nitrogen, nitrate (NO3)</t>
  </si>
  <si>
    <t>Nitrogen, nitrite (NO2)</t>
  </si>
  <si>
    <t>Nitrogen, nitrite (NO2) + nitrate (NO3)</t>
  </si>
  <si>
    <t>Nitrogen, organic</t>
  </si>
  <si>
    <t>Nitrogen, organic kjeldahl</t>
  </si>
  <si>
    <t>Nitrogen, particulate organic</t>
  </si>
  <si>
    <t>Nitrogen, total</t>
  </si>
  <si>
    <t>Nitrogen, total dissolved</t>
  </si>
  <si>
    <t>Nitrogen, total kjeldahl</t>
  </si>
  <si>
    <t>Nitrogen, total nitrite</t>
  </si>
  <si>
    <t>Nitrogen, total organic</t>
  </si>
  <si>
    <t>Nitrogen-15</t>
  </si>
  <si>
    <t>Nitrogen-15, stable isotope ratio delta</t>
  </si>
  <si>
    <t>Nitrous oxide</t>
  </si>
  <si>
    <t>N-Nitrosodiethylamine</t>
  </si>
  <si>
    <t>N-Nitrosodimethylamine</t>
  </si>
  <si>
    <t>N-Nitrosodi-n-butylamine</t>
  </si>
  <si>
    <t>N-Nitrosodi-n-propylamine</t>
  </si>
  <si>
    <t>N-Nitrosodiphenylamine</t>
  </si>
  <si>
    <t>N-Nitrosomethylethylamine</t>
  </si>
  <si>
    <t>No vegetation coverage</t>
  </si>
  <si>
    <t>Odor</t>
  </si>
  <si>
    <t>Offset</t>
  </si>
  <si>
    <t>Oil and grease</t>
  </si>
  <si>
    <t>Organic matter</t>
  </si>
  <si>
    <t>Orientation</t>
  </si>
  <si>
    <t>Osmotic pressure</t>
  </si>
  <si>
    <t>Oxygen</t>
  </si>
  <si>
    <t>Oxygen flux</t>
  </si>
  <si>
    <t>Oxygen uptake</t>
  </si>
  <si>
    <t>Oxygen, dissolved</t>
  </si>
  <si>
    <t>Oxygen, dissolved percent of saturation</t>
  </si>
  <si>
    <t>Oxygen, dissolved, transducer signal</t>
  </si>
  <si>
    <t>Oxygen-18</t>
  </si>
  <si>
    <t>Oxygen-18, stable isotope ratio delta</t>
  </si>
  <si>
    <t>o-Xylene</t>
  </si>
  <si>
    <t>Ozone</t>
  </si>
  <si>
    <t>Parameter</t>
  </si>
  <si>
    <t>Parathion-ethyl</t>
  </si>
  <si>
    <t>Pentachlorobenzene</t>
  </si>
  <si>
    <t>Pentachlorophenol</t>
  </si>
  <si>
    <t>Pentane</t>
  </si>
  <si>
    <t>Percent full scale</t>
  </si>
  <si>
    <t>Peridinin</t>
  </si>
  <si>
    <t>Permethrin</t>
  </si>
  <si>
    <t>Permittivity</t>
  </si>
  <si>
    <t>Perylene</t>
  </si>
  <si>
    <t>Petroleum hydrocarbon, total</t>
  </si>
  <si>
    <t>pH</t>
  </si>
  <si>
    <t>Phenanthrene</t>
  </si>
  <si>
    <t>Phenol</t>
  </si>
  <si>
    <t>Phenolics, total</t>
  </si>
  <si>
    <t>Pheophytin</t>
  </si>
  <si>
    <t>Phorate</t>
  </si>
  <si>
    <t>Phosphorodithioic acid</t>
  </si>
  <si>
    <t>Phosphorus, dissolved</t>
  </si>
  <si>
    <t>Phosphorus, dissolved organic</t>
  </si>
  <si>
    <t>Phosphorus, inorganic</t>
  </si>
  <si>
    <t>Phosphorus, organic</t>
  </si>
  <si>
    <t>Phosphorus, orthophosphate</t>
  </si>
  <si>
    <t>Phosphorus, orthophosphate dissolved</t>
  </si>
  <si>
    <t>Phosphorus, orthophosphate total</t>
  </si>
  <si>
    <t>Phosphorus, particulate</t>
  </si>
  <si>
    <t>Phosphorus, particulate organic</t>
  </si>
  <si>
    <t>Phosphorus, phosphate (PO4)</t>
  </si>
  <si>
    <t>Phosphorus, phosphate flux</t>
  </si>
  <si>
    <t>Phosphorus, polyphosphate</t>
  </si>
  <si>
    <t>Phosphorus, total</t>
  </si>
  <si>
    <t>Phosphorus, total dissolved</t>
  </si>
  <si>
    <t>Phytoplankton</t>
  </si>
  <si>
    <t>Piperonyl Butoxide</t>
  </si>
  <si>
    <t>Polycyclic aromatic hydrocarbon, alkyl</t>
  </si>
  <si>
    <t>Polycyclic aromatic hydrocarbon, parent</t>
  </si>
  <si>
    <t>Polycyclic aromatic hydrocarbon, total</t>
  </si>
  <si>
    <t>Position</t>
  </si>
  <si>
    <t>Potassium, dissolved</t>
  </si>
  <si>
    <t>Potassium, total</t>
  </si>
  <si>
    <t>Precipitation</t>
  </si>
  <si>
    <t>Pressure, absolute</t>
  </si>
  <si>
    <t>Pressure, gauge</t>
  </si>
  <si>
    <t>Primary productivity</t>
  </si>
  <si>
    <t>Primary productivity, gross</t>
  </si>
  <si>
    <t>Program signature</t>
  </si>
  <si>
    <t>Pronamide</t>
  </si>
  <si>
    <t>Propane</t>
  </si>
  <si>
    <t>Propane, dissolved</t>
  </si>
  <si>
    <t>Propanoic acid</t>
  </si>
  <si>
    <t>Propylene glycol</t>
  </si>
  <si>
    <t>Pyrene</t>
  </si>
  <si>
    <t>Pyridine</t>
  </si>
  <si>
    <t>Radiation, incoming</t>
  </si>
  <si>
    <t>Radiation, incoming longwave</t>
  </si>
  <si>
    <t>Radiation, incoming PAR</t>
  </si>
  <si>
    <t>Radiation, incoming shortwave</t>
  </si>
  <si>
    <t>Radiation, incoming UV-A</t>
  </si>
  <si>
    <t>Radiation, incoming UV-B</t>
  </si>
  <si>
    <t>Radiation, net</t>
  </si>
  <si>
    <t>Radiation, net longwave</t>
  </si>
  <si>
    <t>Radiation, net PAR</t>
  </si>
  <si>
    <t>Radiation, net shortwave</t>
  </si>
  <si>
    <t>Radiation, outgoing longwave</t>
  </si>
  <si>
    <t>Radiation, outgoing PAR</t>
  </si>
  <si>
    <t>Radiation, outgoing shortwave</t>
  </si>
  <si>
    <t>Radiation, total incoming</t>
  </si>
  <si>
    <t>Radiation, total outgoing</t>
  </si>
  <si>
    <t>Radiation, total shortwave</t>
  </si>
  <si>
    <t>Radium-226</t>
  </si>
  <si>
    <t>Radium-228</t>
  </si>
  <si>
    <t>Radon-222</t>
  </si>
  <si>
    <t>Rainfall rate</t>
  </si>
  <si>
    <t>Real dielectric constant</t>
  </si>
  <si>
    <t>Recorder code</t>
  </si>
  <si>
    <t>Reduction potential</t>
  </si>
  <si>
    <t>Relative humidity</t>
  </si>
  <si>
    <t>Remark</t>
  </si>
  <si>
    <t>Reservoir storage</t>
  </si>
  <si>
    <t>Respiration, ecosystem</t>
  </si>
  <si>
    <t>Respiration, net</t>
  </si>
  <si>
    <t>Retene</t>
  </si>
  <si>
    <t>Rhenium, total</t>
  </si>
  <si>
    <t>Ruthenium-106</t>
  </si>
  <si>
    <t>Salicornia bigelovii coverage</t>
  </si>
  <si>
    <t>Salicornia virginica coverage</t>
  </si>
  <si>
    <t>Salinity</t>
  </si>
  <si>
    <t>Secchi depth</t>
  </si>
  <si>
    <t>Sediment, passing sieve</t>
  </si>
  <si>
    <t>Sediment, retained on sieve</t>
  </si>
  <si>
    <t>Sediment, suspended</t>
  </si>
  <si>
    <t>Selenium, dissolved</t>
  </si>
  <si>
    <t>Selenium, distribution coefficient</t>
  </si>
  <si>
    <t>Selenium, particulate</t>
  </si>
  <si>
    <t>Selenium, total</t>
  </si>
  <si>
    <t>Sensible heat flux</t>
  </si>
  <si>
    <t>Sequence number</t>
  </si>
  <si>
    <t>Shannon diversity index</t>
  </si>
  <si>
    <t>Shannon evenness index</t>
  </si>
  <si>
    <t>Sigma-t</t>
  </si>
  <si>
    <t>Signal-to-noise ratio</t>
  </si>
  <si>
    <t>Silica</t>
  </si>
  <si>
    <t>Silica, dissolved</t>
  </si>
  <si>
    <t>Silicate</t>
  </si>
  <si>
    <t>Silicic acid</t>
  </si>
  <si>
    <t>Silicic acid flux</t>
  </si>
  <si>
    <t>Silicon</t>
  </si>
  <si>
    <t>Silicon, dissolved</t>
  </si>
  <si>
    <t>Silver, dissolved</t>
  </si>
  <si>
    <t>Silver, total</t>
  </si>
  <si>
    <t>Slope</t>
  </si>
  <si>
    <t>Snow depth</t>
  </si>
  <si>
    <t>Snow water equivalent</t>
  </si>
  <si>
    <t>Sodium adsorption ratio</t>
  </si>
  <si>
    <t>Sodium plus potassium</t>
  </si>
  <si>
    <t>Sodium, dissolved</t>
  </si>
  <si>
    <t>Sodium, fraction of cations</t>
  </si>
  <si>
    <t>Sodium, total</t>
  </si>
  <si>
    <t>Solids, fixed dissolved</t>
  </si>
  <si>
    <t>Solids, fixed suspended</t>
  </si>
  <si>
    <t>Solids, total</t>
  </si>
  <si>
    <t>Solids, total dissolved</t>
  </si>
  <si>
    <t>Solids, total fixed</t>
  </si>
  <si>
    <t>Solids, total suspended</t>
  </si>
  <si>
    <t>Solids, total volatile</t>
  </si>
  <si>
    <t>Solids, volatile dissolved</t>
  </si>
  <si>
    <t>Solids, volatile suspended</t>
  </si>
  <si>
    <t>Spartina alterniflora coverage</t>
  </si>
  <si>
    <t>Spartina spartinea coverage</t>
  </si>
  <si>
    <t>Specific conductance</t>
  </si>
  <si>
    <t>Speed of sound</t>
  </si>
  <si>
    <t>Squalene</t>
  </si>
  <si>
    <t>Streamflow</t>
  </si>
  <si>
    <t>Streptococci, fecal</t>
  </si>
  <si>
    <t>Strontium, dissolved</t>
  </si>
  <si>
    <t>Strontium, total</t>
  </si>
  <si>
    <t>Styrene</t>
  </si>
  <si>
    <t>Suaeda linearis coverage</t>
  </si>
  <si>
    <t>Suaeda maritima coverage</t>
  </si>
  <si>
    <t>Sulfate, dissolved</t>
  </si>
  <si>
    <t>Sulfate, total</t>
  </si>
  <si>
    <t>Sulfide, dissolved</t>
  </si>
  <si>
    <t>Sulfide, total</t>
  </si>
  <si>
    <t>Sulfur</t>
  </si>
  <si>
    <t>Sulfur dioxide</t>
  </si>
  <si>
    <t>Sulfur, dissolved</t>
  </si>
  <si>
    <t>Sulfur, organic</t>
  </si>
  <si>
    <t>Sulfur, pyritic</t>
  </si>
  <si>
    <t>Sunshine duration</t>
  </si>
  <si>
    <t>Superoxide dismutase, activity</t>
  </si>
  <si>
    <t>Superoxide dismutase, delta cycle threshold</t>
  </si>
  <si>
    <t>SUVA254</t>
  </si>
  <si>
    <t>Table overrun error count</t>
  </si>
  <si>
    <t>Taxa count</t>
  </si>
  <si>
    <t>TDR waveform relative length</t>
  </si>
  <si>
    <t>Temperature</t>
  </si>
  <si>
    <t>Temperature change</t>
  </si>
  <si>
    <t>Temperature, datalogger</t>
  </si>
  <si>
    <t>Temperature, dew point</t>
  </si>
  <si>
    <t>Temperature, initial</t>
  </si>
  <si>
    <t>Temperature, sensor</t>
  </si>
  <si>
    <t>Temperature, transducer signal</t>
  </si>
  <si>
    <t>Terbufos</t>
  </si>
  <si>
    <t>Terpineol</t>
  </si>
  <si>
    <t>Tert-Amyl Methyl Ether</t>
  </si>
  <si>
    <t>Tertiary Butyl Alcohol</t>
  </si>
  <si>
    <t>Tetracene</t>
  </si>
  <si>
    <t>Tetrachloroethene</t>
  </si>
  <si>
    <t>Tetraethylene glycol</t>
  </si>
  <si>
    <t>Tetrahydrofuran</t>
  </si>
  <si>
    <t>Tetramethylnaphthalene</t>
  </si>
  <si>
    <t>Thallium, dissolved</t>
  </si>
  <si>
    <t>Thallium, distribution coefficient</t>
  </si>
  <si>
    <t>Thallium, particulate</t>
  </si>
  <si>
    <t>Thallium, total</t>
  </si>
  <si>
    <t>Thorium</t>
  </si>
  <si>
    <t>Thorium, dissolved</t>
  </si>
  <si>
    <t>Thorium-228</t>
  </si>
  <si>
    <t>Thorium-230</t>
  </si>
  <si>
    <t>Thorium-232</t>
  </si>
  <si>
    <t>Threshold</t>
  </si>
  <si>
    <t>THSW Index</t>
  </si>
  <si>
    <t>THW Index</t>
  </si>
  <si>
    <t>Tide stage</t>
  </si>
  <si>
    <t>Time Stamp</t>
  </si>
  <si>
    <t>Time, elapsed</t>
  </si>
  <si>
    <t>Tin, dissolved</t>
  </si>
  <si>
    <t>Tin, total</t>
  </si>
  <si>
    <t>Titanium</t>
  </si>
  <si>
    <t>Titanium, dissolved</t>
  </si>
  <si>
    <t>Toluene</t>
  </si>
  <si>
    <t>trans-1,2-Dichloroethene</t>
  </si>
  <si>
    <t>trans-1,3-Dichloropropene</t>
  </si>
  <si>
    <t>Transient species coverage</t>
  </si>
  <si>
    <t>Transpiration</t>
  </si>
  <si>
    <t>Tributoxyethyl phosphate</t>
  </si>
  <si>
    <t>Trichloroethene</t>
  </si>
  <si>
    <t>Triethylene glycol</t>
  </si>
  <si>
    <t>Trifluralin</t>
  </si>
  <si>
    <t>Triphenylene</t>
  </si>
  <si>
    <t>Tritium (3H), Delta T of H2O</t>
  </si>
  <si>
    <t>TSI</t>
  </si>
  <si>
    <t>Turbidity</t>
  </si>
  <si>
    <t>Uranium</t>
  </si>
  <si>
    <t>Uranium, dissolved</t>
  </si>
  <si>
    <t>Uranium-234</t>
  </si>
  <si>
    <t>Uranium-235</t>
  </si>
  <si>
    <t>Uranium-238</t>
  </si>
  <si>
    <t>Urea</t>
  </si>
  <si>
    <t>Urea flux</t>
  </si>
  <si>
    <t>Vanadium, dissolved</t>
  </si>
  <si>
    <t>Vanadium, particulate</t>
  </si>
  <si>
    <t>Vanadium, total</t>
  </si>
  <si>
    <t>Vapor pressure</t>
  </si>
  <si>
    <t>Vapor pressure deficit</t>
  </si>
  <si>
    <t>Velocity</t>
  </si>
  <si>
    <t>Visibility</t>
  </si>
  <si>
    <t>Voltage</t>
  </si>
  <si>
    <t>Volumetric water content</t>
  </si>
  <si>
    <t>Watchdog error count</t>
  </si>
  <si>
    <t>Water column equivalent height, absolute</t>
  </si>
  <si>
    <t>Water column equivalent height, barometric</t>
  </si>
  <si>
    <t>Water Content</t>
  </si>
  <si>
    <t>Water depth</t>
  </si>
  <si>
    <t>Water depth, averaged</t>
  </si>
  <si>
    <t>Water flux</t>
  </si>
  <si>
    <t>Water level</t>
  </si>
  <si>
    <t>Water potential</t>
  </si>
  <si>
    <t>Water Use, Agriculture</t>
  </si>
  <si>
    <t>Water Use, Commercial + Industrial + Power</t>
  </si>
  <si>
    <t>Water Use, Domestic wells</t>
  </si>
  <si>
    <t>Water Use, Public Supply</t>
  </si>
  <si>
    <t>Water Use, Recreation</t>
  </si>
  <si>
    <t>Water vapor concentration</t>
  </si>
  <si>
    <t>Water vapor density</t>
  </si>
  <si>
    <t>Wave height</t>
  </si>
  <si>
    <t>Weather conditions</t>
  </si>
  <si>
    <t>Well flow rate</t>
  </si>
  <si>
    <t>Wellhead pressure</t>
  </si>
  <si>
    <t>Wind chill</t>
  </si>
  <si>
    <t>Wind direction</t>
  </si>
  <si>
    <t>Wind gust direction</t>
  </si>
  <si>
    <t>Wind gust speed</t>
  </si>
  <si>
    <t>Wind Run</t>
  </si>
  <si>
    <t>Wind speed</t>
  </si>
  <si>
    <t>Wind stress</t>
  </si>
  <si>
    <t>Wrack coverage</t>
  </si>
  <si>
    <t>Xylenes, total</t>
  </si>
  <si>
    <t>Zeaxanthin</t>
  </si>
  <si>
    <t>Zinc, dissolved</t>
  </si>
  <si>
    <t>Zinc, distribution coefficient</t>
  </si>
  <si>
    <t>Zinc, particulate</t>
  </si>
  <si>
    <t>Zinc, total</t>
  </si>
  <si>
    <t>Zircon, dissolved</t>
  </si>
  <si>
    <t>Zirconium, dissolved</t>
  </si>
  <si>
    <t>Zirconium-95</t>
  </si>
  <si>
    <t>Zooplankton</t>
  </si>
  <si>
    <t>Variables</t>
  </si>
  <si>
    <t>Variables:</t>
  </si>
  <si>
    <t>Block Length</t>
  </si>
  <si>
    <t>YAML</t>
  </si>
  <si>
    <t>Block Number</t>
  </si>
  <si>
    <t>Row in Block</t>
  </si>
  <si>
    <t>Single time series</t>
  </si>
  <si>
    <t>Multi-time series</t>
  </si>
  <si>
    <t>Specimen time series</t>
  </si>
  <si>
    <t>Multi-variable specimen measurements</t>
  </si>
  <si>
    <t>CTD</t>
  </si>
  <si>
    <t>Core half round</t>
  </si>
  <si>
    <t>Core piece</t>
  </si>
  <si>
    <t>Core quarter round</t>
  </si>
  <si>
    <t>Core section</t>
  </si>
  <si>
    <t>Standard reference specimen</t>
  </si>
  <si>
    <t>isAttachedTo</t>
  </si>
  <si>
    <t>isCitedBy</t>
  </si>
  <si>
    <t>cites</t>
  </si>
  <si>
    <t>isSupplementTo</t>
  </si>
  <si>
    <t>isSupplementedBy</t>
  </si>
  <si>
    <t>isContinuedBy</t>
  </si>
  <si>
    <t>continues</t>
  </si>
  <si>
    <t>isNewVersionOf</t>
  </si>
  <si>
    <t>isPreviousVersionOf</t>
  </si>
  <si>
    <t>isPartOf</t>
  </si>
  <si>
    <t>hasPart</t>
  </si>
  <si>
    <t>isReferencedBy</t>
  </si>
  <si>
    <t>references</t>
  </si>
  <si>
    <t>isDocumentedBy</t>
  </si>
  <si>
    <t>documents</t>
  </si>
  <si>
    <t>isCompiledBy</t>
  </si>
  <si>
    <t>compiles</t>
  </si>
  <si>
    <t>isIdenticalTo</t>
  </si>
  <si>
    <t>isReviewedBy</t>
  </si>
  <si>
    <t>Reviews</t>
  </si>
  <si>
    <t>isSourceOf</t>
  </si>
  <si>
    <t>Depth</t>
  </si>
  <si>
    <t>Height</t>
  </si>
  <si>
    <t>Height interval</t>
  </si>
  <si>
    <t>Longitudinal interval</t>
  </si>
  <si>
    <t>Radial horizontal offset with height</t>
  </si>
  <si>
    <t>Cartesian offset</t>
  </si>
  <si>
    <t>Height, directional</t>
  </si>
  <si>
    <t>Age</t>
  </si>
  <si>
    <t>End-Member</t>
  </si>
  <si>
    <t>Major oxide or element</t>
  </si>
  <si>
    <t>Model data</t>
  </si>
  <si>
    <t>Noble gas</t>
  </si>
  <si>
    <t>Radiogenic isotopes</t>
  </si>
  <si>
    <t>Rare earth element</t>
  </si>
  <si>
    <t>Ratio</t>
  </si>
  <si>
    <t>Rock mode</t>
  </si>
  <si>
    <t>Speciation ratio</t>
  </si>
  <si>
    <t>Stable isotopes</t>
  </si>
  <si>
    <t>Trace element</t>
  </si>
  <si>
    <t>Uranium series</t>
  </si>
  <si>
    <t>Volatile</t>
  </si>
  <si>
    <t>SiteID</t>
  </si>
  <si>
    <t>ResultUUID</t>
  </si>
  <si>
    <t>ResultTypeCV</t>
  </si>
  <si>
    <t>Measurement</t>
  </si>
  <si>
    <t>Count observation</t>
  </si>
  <si>
    <t>Truth observation</t>
  </si>
  <si>
    <t>Category observation</t>
  </si>
  <si>
    <t>CensorCodeCV</t>
  </si>
  <si>
    <t>QualityCodeCV</t>
  </si>
  <si>
    <t>Greater than</t>
  </si>
  <si>
    <t>Less than</t>
  </si>
  <si>
    <t>Not censored</t>
  </si>
  <si>
    <t>Non-detect</t>
  </si>
  <si>
    <t>Present but not quantified</t>
  </si>
  <si>
    <t>None</t>
  </si>
  <si>
    <t>Good</t>
  </si>
  <si>
    <t>Marginal</t>
  </si>
  <si>
    <t>Bad</t>
  </si>
  <si>
    <t>AggregationStatisticCV</t>
  </si>
  <si>
    <t>Average</t>
  </si>
  <si>
    <t>Best easy systematic estimator</t>
  </si>
  <si>
    <t>Categorical</t>
  </si>
  <si>
    <t>Constant over interval</t>
  </si>
  <si>
    <t>Continuous</t>
  </si>
  <si>
    <t>Cumulative</t>
  </si>
  <si>
    <t>Incremental</t>
  </si>
  <si>
    <t>Maximum</t>
  </si>
  <si>
    <t>Median</t>
  </si>
  <si>
    <t>Minimum</t>
  </si>
  <si>
    <t>Mode</t>
  </si>
  <si>
    <t>Sporadic</t>
  </si>
  <si>
    <t>Standard deviation</t>
  </si>
  <si>
    <t>Variance</t>
  </si>
  <si>
    <t>StatusCV</t>
  </si>
  <si>
    <t>Complete</t>
  </si>
  <si>
    <t>Ongoing</t>
  </si>
  <si>
    <t>Planned</t>
  </si>
  <si>
    <r>
      <t xml:space="preserve">NOTE:  Processing level codes </t>
    </r>
    <r>
      <rPr>
        <b/>
        <sz val="11"/>
        <color theme="1"/>
        <rFont val="Calibri"/>
        <family val="2"/>
        <scheme val="minor"/>
      </rPr>
      <t xml:space="preserve">MUST </t>
    </r>
    <r>
      <rPr>
        <sz val="11"/>
        <color theme="1"/>
        <rFont val="Calibri"/>
        <family val="2"/>
        <scheme val="minor"/>
      </rPr>
      <t>be unique within this template.</t>
    </r>
  </si>
  <si>
    <t>Processing Level Code</t>
  </si>
  <si>
    <t>Definition</t>
  </si>
  <si>
    <t>Processing Level Information</t>
  </si>
  <si>
    <t>Explanation</t>
  </si>
  <si>
    <t>Processing Levels</t>
  </si>
  <si>
    <t>Actions</t>
  </si>
  <si>
    <t>Feature IGSN</t>
  </si>
  <si>
    <t>Actions:</t>
  </si>
  <si>
    <t>ActionTypeCV</t>
  </si>
  <si>
    <t>FeatureActions:</t>
  </si>
  <si>
    <t>Results</t>
  </si>
  <si>
    <t>Results:</t>
  </si>
  <si>
    <t>Measurement Results</t>
  </si>
  <si>
    <t>Measurement Result Values</t>
  </si>
  <si>
    <t>How to use this template:</t>
  </si>
  <si>
    <t>Purpose of this template:</t>
  </si>
  <si>
    <t>Limitations of this template:</t>
  </si>
  <si>
    <t>Block Name</t>
  </si>
  <si>
    <r>
      <t xml:space="preserve">NOTE:  </t>
    </r>
    <r>
      <rPr>
        <b/>
        <i/>
        <sz val="11"/>
        <color theme="1"/>
        <rFont val="Calibri"/>
        <family val="2"/>
        <scheme val="minor"/>
      </rPr>
      <t>BE CAREFUL TO GET THE COLUMN ORDER CORRECT!</t>
    </r>
    <r>
      <rPr>
        <sz val="11"/>
        <color theme="1"/>
        <rFont val="Calibri"/>
        <family val="2"/>
        <scheme val="minor"/>
      </rPr>
      <t xml:space="preserve">  If it doesn't align with the data you paste into the data values table, your YODA file will not be correct.</t>
    </r>
  </si>
  <si>
    <t>NOTE:  Any columns listed pasted into the "Data Values" worksheet past those listed here will be ignored.</t>
  </si>
  <si>
    <t># Columns:</t>
  </si>
  <si>
    <t># Sites:</t>
  </si>
  <si>
    <t># Relationships:</t>
  </si>
  <si>
    <t># Features</t>
  </si>
  <si>
    <t># Authors:</t>
  </si>
  <si>
    <t># Organizations:</t>
  </si>
  <si>
    <t># People:</t>
  </si>
  <si>
    <t># Methods:</t>
  </si>
  <si>
    <t># Variables</t>
  </si>
  <si>
    <t># Levels</t>
  </si>
  <si>
    <t>Data Values</t>
  </si>
  <si>
    <t>Total Header Length:</t>
  </si>
  <si>
    <t>Num Data Values:</t>
  </si>
  <si>
    <t>This template is designed to  generate correctly formatted YAML Observation Data Archive &amp; Exchange (YODA) Files based on data typed into the various data tabs.</t>
  </si>
  <si>
    <t>Longest Header Block:</t>
  </si>
  <si>
    <t>Datasets:</t>
  </si>
  <si>
    <r>
      <t xml:space="preserve">Sampling feature codes </t>
    </r>
    <r>
      <rPr>
        <b/>
        <sz val="11"/>
        <color theme="1"/>
        <rFont val="Calibri"/>
        <family val="2"/>
        <scheme val="minor"/>
      </rPr>
      <t>MUST</t>
    </r>
    <r>
      <rPr>
        <sz val="11"/>
        <color theme="1"/>
        <rFont val="Calibri"/>
        <family val="2"/>
        <scheme val="minor"/>
      </rPr>
      <t xml:space="preserve"> be unique within this template.</t>
    </r>
  </si>
  <si>
    <t>At this time this template does not include detailed information on affiliations.</t>
  </si>
  <si>
    <r>
      <t xml:space="preserve">Organization names </t>
    </r>
    <r>
      <rPr>
        <b/>
        <sz val="11"/>
        <color theme="1"/>
        <rFont val="Calibri"/>
        <family val="2"/>
        <scheme val="minor"/>
      </rPr>
      <t>MUST</t>
    </r>
    <r>
      <rPr>
        <sz val="11"/>
        <color theme="1"/>
        <rFont val="Calibri"/>
        <family val="2"/>
        <scheme val="minor"/>
      </rPr>
      <t xml:space="preserve"> be unique within this template.</t>
    </r>
  </si>
  <si>
    <t>This template cannot handle two people with identical first, middle, and last names.</t>
  </si>
  <si>
    <r>
      <t xml:space="preserve">No custom SpatialReferences are allowed in this template.  The only allowed references are NAD27, NAD83, and WGS84 and the same reference must apply to </t>
    </r>
    <r>
      <rPr>
        <i/>
        <sz val="11"/>
        <color theme="1"/>
        <rFont val="Calibri"/>
        <family val="2"/>
        <scheme val="minor"/>
      </rPr>
      <t>all</t>
    </r>
    <r>
      <rPr>
        <sz val="11"/>
        <color theme="1"/>
        <rFont val="Calibri"/>
        <family val="2"/>
        <scheme val="minor"/>
      </rPr>
      <t xml:space="preserve"> sites.</t>
    </r>
  </si>
  <si>
    <r>
      <t xml:space="preserve">Method codes </t>
    </r>
    <r>
      <rPr>
        <b/>
        <sz val="11"/>
        <color theme="1"/>
        <rFont val="Calibri"/>
        <family val="2"/>
        <scheme val="minor"/>
      </rPr>
      <t xml:space="preserve">MUST </t>
    </r>
    <r>
      <rPr>
        <sz val="11"/>
        <color theme="1"/>
        <rFont val="Calibri"/>
        <family val="2"/>
        <scheme val="minor"/>
      </rPr>
      <t>be unique within this template.</t>
    </r>
  </si>
  <si>
    <r>
      <t xml:space="preserve">Variable codes </t>
    </r>
    <r>
      <rPr>
        <b/>
        <sz val="11"/>
        <color theme="1"/>
        <rFont val="Calibri"/>
        <family val="2"/>
        <scheme val="minor"/>
      </rPr>
      <t xml:space="preserve">MUST </t>
    </r>
    <r>
      <rPr>
        <sz val="11"/>
        <color theme="1"/>
        <rFont val="Calibri"/>
        <family val="2"/>
        <scheme val="minor"/>
      </rPr>
      <t>be unique within this template.</t>
    </r>
  </si>
  <si>
    <r>
      <t xml:space="preserve">Processing level codes </t>
    </r>
    <r>
      <rPr>
        <b/>
        <sz val="11"/>
        <color theme="1"/>
        <rFont val="Calibri"/>
        <family val="2"/>
        <scheme val="minor"/>
      </rPr>
      <t xml:space="preserve">MUST </t>
    </r>
    <r>
      <rPr>
        <sz val="11"/>
        <color theme="1"/>
        <rFont val="Calibri"/>
        <family val="2"/>
        <scheme val="minor"/>
      </rPr>
      <t>be unique within this template.</t>
    </r>
  </si>
  <si>
    <t>This template does not allow for inputs of details about Actions and Feature actions.  All actions will be coded as a timeless "Observations" at the given sampling feature.</t>
  </si>
  <si>
    <r>
      <t xml:space="preserve">Many of these limitations are specific </t>
    </r>
    <r>
      <rPr>
        <b/>
        <i/>
        <sz val="11"/>
        <color theme="1"/>
        <rFont val="Calibri"/>
        <family val="2"/>
        <scheme val="minor"/>
      </rPr>
      <t>to this template</t>
    </r>
    <r>
      <rPr>
        <sz val="11"/>
        <color theme="1"/>
        <rFont val="Calibri"/>
        <family val="2"/>
        <scheme val="minor"/>
      </rPr>
      <t>.  Essentially all of them can be avoided by generating your YODA file using some other method.</t>
    </r>
  </si>
  <si>
    <t>NOTE:  To include more columns, simply begin typing in the next row below the yellow block.  The table will automatically extend.</t>
  </si>
  <si>
    <t>Instructions:  You've found a hidden sheet.  Clever you.  Don't mess with it!</t>
  </si>
  <si>
    <t>SRSCode</t>
  </si>
  <si>
    <t>SRSName</t>
  </si>
  <si>
    <t>SRSDescription</t>
  </si>
  <si>
    <t>SRSLink</t>
  </si>
  <si>
    <t>Spatial Reference Information</t>
  </si>
  <si>
    <t>EPSG:4267</t>
  </si>
  <si>
    <t>Note: this CRS includes longitudes which are POSITIVE EAST. Replaced by NAD27(76) (code 4608) in Ontario, CGQ77 (code 4609) in Quebec, Mexican Datum of 1993 (code 4483) in Mexico, NAD83 (code 4279) in Canada (excl. Ontario &amp; Quebec) &amp; USA.</t>
  </si>
  <si>
    <t>http://www.epsg-registry.org/export.htm?wkt=urn:ogc:def:crs:EPSG::4267</t>
  </si>
  <si>
    <t>EPSG:4269</t>
  </si>
  <si>
    <t>This CRS includes longitudes which are POSITIVE EAST. The adjustment included connections to Greenland and Mexico but the system has not been adopted there. Except in Alaska, for applications with an accuracy of better than 1m replaced by NAD83(HARN).</t>
  </si>
  <si>
    <t>http://www.epsg-registry.org/export.htm?wkt=urn:ogc:def:crs:EPSG::4269</t>
  </si>
  <si>
    <t>EPSG:4326</t>
  </si>
  <si>
    <t>Horizontal component of 3D system. Used by the GPS satellite navigation system and for NATO military geodetic surveying.</t>
  </si>
  <si>
    <t>http://www.epsg-registry.org/export.htm?wkt=urn:ogc:def:crs:EPSG::4326</t>
  </si>
  <si>
    <t>The spatial reference is unknown.</t>
  </si>
  <si>
    <t>External Identifier System Name</t>
  </si>
  <si>
    <t>External Identifier System Descrption</t>
  </si>
  <si>
    <t>External Identifier System URL</t>
  </si>
  <si>
    <t>ORCID</t>
  </si>
  <si>
    <t>http://orcid.org/</t>
  </si>
  <si>
    <t>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t>
  </si>
  <si>
    <t>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t>
  </si>
  <si>
    <t>http://www.geosamples.org/</t>
  </si>
  <si>
    <t>Person OrcID</t>
  </si>
  <si>
    <t>SESAR</t>
  </si>
  <si>
    <t>A Digital Identifier of an Object that provides an actionable, interoperable, persistent link to that object</t>
  </si>
  <si>
    <t>http://www.doi.org/</t>
  </si>
  <si>
    <t>International Geo Sample Number (IGSN)</t>
  </si>
  <si>
    <t>Digital Object Identifier (DOI)</t>
  </si>
  <si>
    <t>External Identifier Systems</t>
  </si>
  <si>
    <t>ORCID is an open, non-profit, community-driven effort to create and maintain a registry of unique researcher identifiers and a transparent method of linking research activities and outputs to these identifiers.</t>
  </si>
  <si>
    <t>IDF</t>
  </si>
  <si>
    <t>International DOI Foundation</t>
  </si>
  <si>
    <t>The International DOI Foundation (IDF) is a not-for-profit membership organization that is the governance and management body for the federation of Registration Agencies providing DOI services and registration, and is the registration authority for the ISO standard (ISO 26324) for the DOI system. The DOI system provides a technical and social infrastructure for the registration and use of persistent interoperable identifiers, called DOIs, for use on digital networks.</t>
  </si>
  <si>
    <t>http://www.doi.org/index.html</t>
  </si>
  <si>
    <t>System for Earth Sample Registration</t>
  </si>
  <si>
    <t>SESAR operates the registry that distributes the International Geo Sample Number IGSN. SESAR catalogs and preserves sample metadata profiles, and provides access to the sample catalog via the Global Sample Search.</t>
  </si>
  <si>
    <t>Organizations for External Identifiers</t>
  </si>
  <si>
    <t>Identifier System Organization Name</t>
  </si>
  <si>
    <t>Citation External Identifiers</t>
  </si>
  <si>
    <t>Person External Identifiers</t>
  </si>
  <si>
    <t>Sampling Feature External Identifiers</t>
  </si>
  <si>
    <t>URI Structure</t>
  </si>
  <si>
    <t>http://app.geosamples.org/sample/igsn/</t>
  </si>
  <si>
    <t>ExternalIDNum</t>
  </si>
  <si>
    <t>IGSNID</t>
  </si>
  <si>
    <t># ORCIDs:</t>
  </si>
  <si>
    <t># IGSNS</t>
  </si>
  <si>
    <t>TODO:  Allow custom spatial references</t>
  </si>
  <si>
    <t>External Identifier Organizations</t>
  </si>
  <si>
    <t>Template version:</t>
  </si>
  <si>
    <t>Template Profile:</t>
  </si>
  <si>
    <t>YODA Specification Version:</t>
  </si>
  <si>
    <t>Datasets</t>
  </si>
  <si>
    <t>ActionBy:</t>
  </si>
  <si>
    <t>YODA:</t>
  </si>
  <si>
    <t>ColumnTypes</t>
  </si>
  <si>
    <t>TimeAggregationInterval</t>
  </si>
  <si>
    <t>TimeAggregationIntervalUnitCode</t>
  </si>
  <si>
    <t>ProcessingLevelCode</t>
  </si>
  <si>
    <t>Instructions:  In the yellow boxes, enter all the taxonomic classifier information related to this data.  Darker yellow columns are mandatory; paler yellow is optional.</t>
  </si>
  <si>
    <t>NOTE:  To include more taxonomic classifiers, simply begin typing in the next row below the yellow block.  The table will automatically extend.</t>
  </si>
  <si>
    <r>
      <t xml:space="preserve">NOTE:  Taxonomic Classifier Names </t>
    </r>
    <r>
      <rPr>
        <b/>
        <sz val="11"/>
        <color theme="1"/>
        <rFont val="Calibri"/>
        <family val="2"/>
        <scheme val="minor"/>
      </rPr>
      <t xml:space="preserve">MUST </t>
    </r>
    <r>
      <rPr>
        <sz val="11"/>
        <color theme="1"/>
        <rFont val="Calibri"/>
        <family val="2"/>
        <scheme val="minor"/>
      </rPr>
      <t>be unique within this template.</t>
    </r>
  </si>
  <si>
    <t># TaxonomicClassifiers</t>
  </si>
  <si>
    <t>Taxonomic Classifier Type</t>
  </si>
  <si>
    <t>Taxonomic Classifier Name</t>
  </si>
  <si>
    <t>Taxonomic Classifier Common Name</t>
  </si>
  <si>
    <t>Taxonomic Classifier Description</t>
  </si>
  <si>
    <t>Taxonomic Classifier Information</t>
  </si>
  <si>
    <t>TaxonomicClassifierTypeCV</t>
  </si>
  <si>
    <t>Biology</t>
  </si>
  <si>
    <t>Lithology</t>
  </si>
  <si>
    <t>Soil horizon</t>
  </si>
  <si>
    <t>Soil color</t>
  </si>
  <si>
    <t>Soil texture</t>
  </si>
  <si>
    <t>Soil structure</t>
  </si>
  <si>
    <t>TaxonomicClassifierName</t>
  </si>
  <si>
    <t>REQUIRED</t>
  </si>
  <si>
    <t>NOTE:  This template also does not allow for inputting any information about Valid date/times, and continuing statuses.  To include these, you must generate your YODA file in some other way.</t>
  </si>
  <si>
    <t>SpecimenMediumCV</t>
  </si>
  <si>
    <t># Specimens</t>
  </si>
  <si>
    <t>Specimen Column</t>
  </si>
  <si>
    <t>SpecimenIGSN</t>
  </si>
  <si>
    <t>SpecimenUUID</t>
  </si>
  <si>
    <t># Data Columns</t>
  </si>
  <si>
    <r>
      <rPr>
        <b/>
        <i/>
        <u/>
        <sz val="11"/>
        <color theme="1"/>
        <rFont val="Calibri"/>
        <family val="2"/>
        <scheme val="minor"/>
      </rPr>
      <t>Instructions:</t>
    </r>
    <r>
      <rPr>
        <sz val="11"/>
        <color theme="1"/>
        <rFont val="Calibri"/>
        <family val="2"/>
        <scheme val="minor"/>
      </rPr>
      <t xml:space="preserve">  In the yellow boxes, first type in information on all of the organizations and then all of the people involved in collecting and publishing this data.  Darker yellow columns are mandatory; paler yellow is optional.</t>
    </r>
  </si>
  <si>
    <t>Do NOT leave any empty rows between rows of data.</t>
  </si>
  <si>
    <t>Any invalidly entered data or required data left blank will be highlighted in red.</t>
  </si>
  <si>
    <t>To include more people or organizations, simply insert rows into the middle or add to the end of the yellow table.</t>
  </si>
  <si>
    <r>
      <rPr>
        <b/>
        <i/>
        <u/>
        <sz val="11"/>
        <color theme="1"/>
        <rFont val="Calibri"/>
        <family val="2"/>
        <scheme val="minor"/>
      </rPr>
      <t xml:space="preserve">Instructions: </t>
    </r>
    <r>
      <rPr>
        <sz val="11"/>
        <color theme="1"/>
        <rFont val="Calibri"/>
        <family val="2"/>
        <scheme val="minor"/>
      </rPr>
      <t xml:space="preserve"> In the yellow boxes, enter the basic information about this data set along with informations about any external citations.  Darker yellow columns are mandatory; paler yellow is optional.</t>
    </r>
  </si>
  <si>
    <t>External data set citations include publications in peer-reviewed journals or any other permanent data repository.</t>
  </si>
  <si>
    <t>Authors must first have been entered in the "People and Organizations" tab.</t>
  </si>
  <si>
    <t>Dataset Information</t>
  </si>
  <si>
    <t>External Citation Information</t>
  </si>
  <si>
    <t>Author Information (These apply to the CITATION only!   Do not fill out unless you fill in the citation block above.)</t>
  </si>
  <si>
    <t>These fields apply only to Sites</t>
  </si>
  <si>
    <t>To include more sampling features,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</si>
  <si>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table fill in information on related sampling features and the spatial offsets between them.  Darker yellow columns are mandatory; paler yellow is optional.</t>
    </r>
  </si>
  <si>
    <t>To include more relationships, simply begin typing in the next row down and the table will automatically expand.</t>
  </si>
  <si>
    <r>
      <rPr>
        <b/>
        <i/>
        <u/>
        <sz val="11"/>
        <color theme="1"/>
        <rFont val="Calibri"/>
        <family val="2"/>
        <scheme val="minor"/>
      </rPr>
      <t>Instructions:</t>
    </r>
    <r>
      <rPr>
        <sz val="11"/>
        <color theme="1"/>
        <rFont val="Calibri"/>
        <family val="2"/>
        <scheme val="minor"/>
      </rPr>
      <t xml:space="preserve">  In the yellow boxes, enter all the method information related to this data.  Darker yellow columns are mandatory; paler yellow is optional.</t>
    </r>
  </si>
  <si>
    <t>To include more methods, simply begin typing in the next row below the yellow block.  The table will automatically extend.</t>
  </si>
  <si>
    <t>NOTE:  The methods listed here should be the methods used by the instrument or sensor to actually produce the numeric result, NOT the method by which the sensor was deployed.</t>
  </si>
  <si>
    <r>
      <rPr>
        <b/>
        <i/>
        <u/>
        <sz val="11"/>
        <color theme="1"/>
        <rFont val="Calibri"/>
        <family val="2"/>
        <scheme val="minor"/>
      </rPr>
      <t>Instructions:</t>
    </r>
    <r>
      <rPr>
        <sz val="11"/>
        <color theme="1"/>
        <rFont val="Calibri"/>
        <family val="2"/>
        <scheme val="minor"/>
      </rPr>
      <t xml:space="preserve">  In the yellow boxes, enter all the variable information related to this data.  Darker yellow columns are mandatory; paler yellow is optional.</t>
    </r>
  </si>
  <si>
    <t>To include more variables, simply begin typing in the next row below the yellow block.  The table will automatically extend.</t>
  </si>
  <si>
    <r>
      <rPr>
        <b/>
        <i/>
        <u/>
        <sz val="11"/>
        <color theme="1"/>
        <rFont val="Calibri"/>
        <family val="2"/>
        <scheme val="minor"/>
      </rPr>
      <t>Instructions:</t>
    </r>
    <r>
      <rPr>
        <sz val="11"/>
        <color theme="1"/>
        <rFont val="Calibri"/>
        <family val="2"/>
        <scheme val="minor"/>
      </rPr>
      <t xml:space="preserve">  In the yellow boxes, enter all the processing level information related to this data.  Darker yellow columns are mandatory; paler yellow is optional.</t>
    </r>
  </si>
  <si>
    <t>To include more processing levels, simply begin typing in the next row below the yellow block.  The table will automatically extend.</t>
  </si>
  <si>
    <t>To view the historic controlled vocabulary see: http://sv.criticalzone.org/edit.aspx?id=517576882&amp;tbl=DataLevel&amp;</t>
  </si>
  <si>
    <t>NOTE:  Historically (in ODM1.1.1) the processing levels were called "data levels" and maintained as a  controlled vocabulary.  This is no longer the case.  You must supply your own processing level codes.</t>
  </si>
  <si>
    <t>SpecimenName</t>
  </si>
  <si>
    <t>SpecimenDescription</t>
  </si>
  <si>
    <t>CollectionDateTime</t>
  </si>
  <si>
    <t>CollectionDateTimeUTCOffset</t>
  </si>
  <si>
    <t>AnalysisDateTime</t>
  </si>
  <si>
    <t>AnalysisDateTimeUTCOffset</t>
  </si>
  <si>
    <t>ValueAnnotation</t>
  </si>
  <si>
    <t>Either</t>
  </si>
  <si>
    <t>Value-By-Value</t>
  </si>
  <si>
    <t>ActionBy</t>
  </si>
  <si>
    <t>MeasurementResults</t>
  </si>
  <si>
    <t>ResultValues</t>
  </si>
  <si>
    <t>SamplingFeatures</t>
  </si>
  <si>
    <t>MeasurementResultsValueAnnotations</t>
  </si>
  <si>
    <t>Optional</t>
  </si>
  <si>
    <t>CV Name</t>
  </si>
  <si>
    <t>PeopleNames</t>
  </si>
  <si>
    <t>ProcessingLevelCodes</t>
  </si>
  <si>
    <t>FeatureCodes</t>
  </si>
  <si>
    <t>TaxClassifiers</t>
  </si>
  <si>
    <t>MethodCodes</t>
  </si>
  <si>
    <t>VariableCodes</t>
  </si>
  <si>
    <t>UnitName</t>
  </si>
  <si>
    <t>VariableCode</t>
  </si>
  <si>
    <t>DataType</t>
  </si>
  <si>
    <t>Col#</t>
  </si>
  <si>
    <t>ColumnLabel</t>
  </si>
  <si>
    <t>ColumnType</t>
  </si>
  <si>
    <t>Data Values Column Number</t>
  </si>
  <si>
    <t>IsFieldSpecimen</t>
  </si>
  <si>
    <t>AppliesToColumn</t>
  </si>
  <si>
    <t>Fields Absolutely REQUIRED for ALL Columns</t>
  </si>
  <si>
    <t>Fields Describing the SPECIMEN</t>
  </si>
  <si>
    <t>Fields Describing the RESULTS - May be entered here to apply the same value to all results in a column or selected for each value as a column type</t>
  </si>
  <si>
    <t>SpecimenCollector</t>
  </si>
  <si>
    <t>ResultAnalyst</t>
  </si>
  <si>
    <t>Spatial Offset Code</t>
  </si>
  <si>
    <t>Only include relationships between the parent sampling features to those listed in the data values table!  DO NOT include any sampling features listed in the data values table!</t>
  </si>
  <si>
    <t>Do NOT leave any empty rows between rows of data in the sampling features block.  Blank rows are acceptible in the sites and specimens block.</t>
  </si>
  <si>
    <t># Specimens:</t>
  </si>
  <si>
    <t>These fields apply only to Specimens</t>
  </si>
  <si>
    <t>SpecimenID</t>
  </si>
  <si>
    <t>Specimen Type</t>
  </si>
  <si>
    <t>Specimen Medium</t>
  </si>
  <si>
    <t>Is Field Specimen?</t>
  </si>
  <si>
    <r>
      <rPr>
        <b/>
        <i/>
        <u/>
        <sz val="11"/>
        <color theme="1"/>
        <rFont val="Calibri"/>
        <family val="2"/>
        <scheme val="minor"/>
      </rPr>
      <t>Instructions:</t>
    </r>
    <r>
      <rPr>
        <sz val="11"/>
        <color theme="1"/>
        <rFont val="Calibri"/>
        <family val="2"/>
        <scheme val="minor"/>
      </rPr>
      <t xml:space="preserve">  In the yellow boxes, enter the information about spatial offsets between parent and child sampling features.  Darker yellow columns are mandatory; paler yellow is optional.</t>
    </r>
  </si>
  <si>
    <r>
      <t xml:space="preserve">NOTE:  Offset codes </t>
    </r>
    <r>
      <rPr>
        <b/>
        <sz val="11"/>
        <color theme="1"/>
        <rFont val="Calibri"/>
        <family val="2"/>
        <scheme val="minor"/>
      </rPr>
      <t>MUST</t>
    </r>
    <r>
      <rPr>
        <sz val="11"/>
        <color theme="1"/>
        <rFont val="Calibri"/>
        <family val="2"/>
        <scheme val="minor"/>
      </rPr>
      <t xml:space="preserve"> be unique within this template.  The offset codes are unique to this spreadsheet and do not have any place in ODM2's data structure.</t>
    </r>
  </si>
  <si>
    <t>To include more offsets, simply begin typing in the next row below the yellow block.  The table will automatically extend.</t>
  </si>
  <si>
    <t>Specimens:</t>
  </si>
  <si>
    <t>ParentSamplingFeatureCode</t>
  </si>
  <si>
    <t>SpatialOffsetCode</t>
  </si>
  <si>
    <t>Related Features</t>
  </si>
  <si>
    <t>OffsetCodes</t>
  </si>
  <si>
    <t>Error?</t>
  </si>
  <si>
    <t>VBV or Column</t>
  </si>
  <si>
    <t>ODM Table</t>
  </si>
  <si>
    <t>Data Columns Input Column</t>
  </si>
  <si>
    <t>Actions, MeasurementResults</t>
  </si>
  <si>
    <t>Num Required</t>
  </si>
  <si>
    <t>Num Given</t>
  </si>
  <si>
    <t>First Value</t>
  </si>
  <si>
    <t>Related: 1st Feature</t>
  </si>
  <si>
    <t>Related: Relation Type</t>
  </si>
  <si>
    <t>Related: 2nd Feature</t>
  </si>
  <si>
    <t>Related: Offset</t>
  </si>
  <si>
    <t>NOTE:  Relationships between taxonomic classifiers may not be specified in this template.  To do so, please generate your YODA file in some other way.</t>
  </si>
  <si>
    <t>Taxonomic Classifiers</t>
  </si>
  <si>
    <t>ProcessingLevels:</t>
  </si>
  <si>
    <t>DVNum</t>
  </si>
  <si>
    <t>Data Value Label</t>
  </si>
  <si>
    <t>DV Num</t>
  </si>
  <si>
    <t>Concat</t>
  </si>
  <si>
    <t>Data Values Input Row</t>
  </si>
  <si>
    <t>First Value Address</t>
  </si>
  <si>
    <t>ResultParmNum</t>
  </si>
  <si>
    <t>Concat2</t>
  </si>
  <si>
    <t>ResultType</t>
  </si>
  <si>
    <t>ResultParmLabel</t>
  </si>
  <si>
    <t>ResultVariable</t>
  </si>
  <si>
    <t>ResultUnits</t>
  </si>
  <si>
    <t>ResultTax</t>
  </si>
  <si>
    <t>ResultProcessingLevel</t>
  </si>
  <si>
    <t>ResultD/T</t>
  </si>
  <si>
    <t>ResultUTC</t>
  </si>
  <si>
    <t>ResultMedium</t>
  </si>
  <si>
    <t>ResultValue</t>
  </si>
  <si>
    <t>Categorical Results</t>
  </si>
  <si>
    <t>Categorical Result Values</t>
  </si>
  <si>
    <t>ResultCensorCode</t>
  </si>
  <si>
    <t>ResultQualityCode</t>
  </si>
  <si>
    <t>ResultAggregationStatistic</t>
  </si>
  <si>
    <t>ResultAggregationInterval</t>
  </si>
  <si>
    <t>ResultAggregationUnits</t>
  </si>
  <si>
    <t>CollectionMethodCode</t>
  </si>
  <si>
    <t>AnalysisMethodCode</t>
  </si>
  <si>
    <t>CollectionAct: MethodID</t>
  </si>
  <si>
    <t>CollectionAct: D/T</t>
  </si>
  <si>
    <t>CollectionAct: UTCOffset</t>
  </si>
  <si>
    <t>AnalysisAct: MethodID</t>
  </si>
  <si>
    <t>AnalysisAct: D/T</t>
  </si>
  <si>
    <t>AnalysisAct: UTCOffset</t>
  </si>
  <si>
    <t>CollectionAct: FeatureObj</t>
  </si>
  <si>
    <t>AnalysisAct: FeatureObj</t>
  </si>
  <si>
    <t>SpecimenCode</t>
  </si>
  <si>
    <t>SpecimenType</t>
  </si>
  <si>
    <t>SpecimenMedium</t>
  </si>
  <si>
    <t>Actions (Collection)</t>
  </si>
  <si>
    <t>Actions (Analysis)</t>
  </si>
  <si>
    <t>Feature Actions (Collection)</t>
  </si>
  <si>
    <t>Feature Actions (Analysis)</t>
  </si>
  <si>
    <t>Action By (Collection)</t>
  </si>
  <si>
    <t>Action By (Analysis)</t>
  </si>
  <si>
    <t>AnalysisAct: AffiliationObj</t>
  </si>
  <si>
    <t>CollectionAct: AffiliationObj</t>
  </si>
  <si>
    <t>Data</t>
  </si>
  <si>
    <t>Annotations</t>
  </si>
  <si>
    <t>Meas. Result Annotations</t>
  </si>
  <si>
    <t>Categorical Results Annotations</t>
  </si>
  <si>
    <t>NOTE:  This template does not allow for inputs of details about Actions and Feature actions.  All actions will be coded as an "Specimen Collection" or "Specimen Analysis" of the given sampling feature.  To include more details, you must generate your YODA file in some other way.</t>
  </si>
  <si>
    <t>Related citation and related Datasets cannot be included in this template.</t>
  </si>
  <si>
    <t>DatasetsResults:</t>
  </si>
  <si>
    <t>Datasets Results</t>
  </si>
  <si>
    <t>DatasetTypeCV</t>
  </si>
  <si>
    <t>SamplingFeatureExternalIdentifiers</t>
  </si>
  <si>
    <t>This template also does not allow for any type of annotations.</t>
  </si>
  <si>
    <t>This template also does not allow for inputting any information about Valid date/times, continuing statuses, result offsets, and intended time spacings.</t>
  </si>
  <si>
    <t>Questions, Concerns, or Bugs:</t>
  </si>
  <si>
    <t>For questions or problems with this excel template or the YAML it produces, please contact Sara Damiano at sdamiano@stroudcenter.org</t>
  </si>
  <si>
    <t>For questions or problems with the parsing of your YODA file, please contact Jeff Horsburgh at jeff.horsburgh@usu.edu</t>
  </si>
  <si>
    <t>Before Beginning:</t>
  </si>
  <si>
    <t>--- Macros absolutely must be allowed for this template to work.  Please accept any security warnings and allow Macros to run.</t>
  </si>
  <si>
    <r>
      <t xml:space="preserve">--- </t>
    </r>
    <r>
      <rPr>
        <b/>
        <i/>
        <sz val="11"/>
        <color theme="1"/>
        <rFont val="Calibri"/>
        <family val="2"/>
        <scheme val="minor"/>
      </rPr>
      <t>Save early and often!</t>
    </r>
    <r>
      <rPr>
        <sz val="11"/>
        <color theme="1"/>
        <rFont val="Calibri"/>
        <family val="2"/>
        <scheme val="minor"/>
      </rPr>
      <t xml:space="preserve">  Make sure on the first save that you give your file a unique name!</t>
    </r>
  </si>
  <si>
    <t>General Rules:</t>
  </si>
  <si>
    <t>--- Fill in information in the yellow boxes on each of the worksheets.  Begin with the "People and Organizations" worksheet and work through each worksheet going left to right until the "Data Columns" worksheet.</t>
  </si>
  <si>
    <r>
      <t xml:space="preserve">--- </t>
    </r>
    <r>
      <rPr>
        <b/>
        <i/>
        <sz val="11"/>
        <color theme="1"/>
        <rFont val="Calibri"/>
        <family val="2"/>
        <scheme val="minor"/>
      </rPr>
      <t>Darker yellow boxes are mandatory</t>
    </r>
    <r>
      <rPr>
        <sz val="11"/>
        <color theme="1"/>
        <rFont val="Calibri"/>
        <family val="2"/>
        <scheme val="minor"/>
      </rPr>
      <t>.  Failing to fill in data in a bright yellow colomn will make leave your YODA file incomplete and may make it unable to be parsed by data ingestion tools.</t>
    </r>
  </si>
  <si>
    <t>--- Paler yellow columns are optional.  If they are left empty, NULL values will be put in their place in the YODA file.</t>
  </si>
  <si>
    <t>--- Do not attempt to modify any formulas or any grey italicized results.  Doing so will break this template.</t>
  </si>
  <si>
    <t>--- In general, do not leave any blank rows between rows of data.  Tables where this is allowed are specifically noted each worksheet.</t>
  </si>
  <si>
    <r>
      <t xml:space="preserve">--- To add information beyond the allotted space, simply begin typing in the next row down and the table should automatically extend.  If there is no room below the table, insert a row </t>
    </r>
    <r>
      <rPr>
        <i/>
        <sz val="11"/>
        <color theme="1"/>
        <rFont val="Calibri"/>
        <family val="2"/>
        <scheme val="minor"/>
      </rPr>
      <t>in the mddle.</t>
    </r>
  </si>
  <si>
    <t>--- As you fill out each worksheet, watch for orange and red flagging text indicating you have made a possible mistake.  Correct all mistakes immediately.</t>
  </si>
  <si>
    <t>The "Data Values" Worksheet:</t>
  </si>
  <si>
    <t>--- After filling out the "Data Columns" worksheet, paste in your comma separated data into the "Data Values" worksheet.</t>
  </si>
  <si>
    <t>--- The first row should be headers for the data below.  The actual text of the headers does not matter.  Data values should begin on row 2.</t>
  </si>
  <si>
    <t>--- After pasting your data, verify that the column order matches exactly with the columns listed in the "Data Columns" worksheet.</t>
  </si>
  <si>
    <t>--- Also verify that there are no "holes" in your data.  Any completely blank lines or missing values will create problems in the YODA file.</t>
  </si>
  <si>
    <t>--- Remove completely blank lines and fill in missing values with the appropriate "No Data Value" value for the variable in question.</t>
  </si>
  <si>
    <t>--- Check again that the data you have pasted into the "Data Values" matches exactly with the columns listed in the "Data Columns" worksheet.  If they do not agree, your YODA file output will probably be nothing more than useless junk.</t>
  </si>
  <si>
    <t>Making a YODA File:</t>
  </si>
  <si>
    <t>--- Once you have entered all your data and are certain that it is correct to the best of your abilities, click the "Generate YODA File" button on the "Data Columns" worksheet.</t>
  </si>
  <si>
    <t>--- After clicking the button, a macro will run.  For large Datasets, the macro could take some time, please be patient!  Once it is finished, the previously blank "YODA File" worksheet should be filled in.</t>
  </si>
  <si>
    <t>--- For fast computers or small Datasets, the macro may run so quickly that nothing appears to have happened.  If the "YODA File" worksheet opens, after you clicked the button, the macro ran.</t>
  </si>
  <si>
    <t>--- After running the macro, scroll through the YODA file worksheet looking for any orange and red flagged fields.  Take note of anything that is flagged.</t>
  </si>
  <si>
    <r>
      <t xml:space="preserve">--- Go back through all other worksheets and make any corrections asked for in the produced YODA file.  </t>
    </r>
    <r>
      <rPr>
        <i/>
        <sz val="11"/>
        <color theme="1"/>
        <rFont val="Calibri"/>
        <family val="2"/>
        <scheme val="minor"/>
      </rPr>
      <t>Do not directly change any text in the "YODA File" worksheet</t>
    </r>
    <r>
      <rPr>
        <sz val="11"/>
        <color theme="1"/>
        <rFont val="Calibri"/>
        <family val="2"/>
        <scheme val="minor"/>
      </rPr>
      <t>.</t>
    </r>
  </si>
  <si>
    <t>--- After making any necessary corrections, click the "Generate YODA File" button again to re-generate the corrected YODA file.  Each time you click the button, the contents fo the "YODA File" worksheet will be completely overwritten.</t>
  </si>
  <si>
    <t>--- Repeat these steps until everything checks out right.</t>
  </si>
  <si>
    <t>Saving Your YODA File:</t>
  </si>
  <si>
    <t>--- Once you are happy with the generated contents of the "YODA File" worksheet, save your Excel document.</t>
  </si>
  <si>
    <t>--- Copy all of the text in the "YODA File" worksheet by typing  "Ctrl+A" and then "Ctrl+C"</t>
  </si>
  <si>
    <t>--- Paste the data from the "YODA File" worksheet into any blank text editor (like Windows Notepad).</t>
  </si>
  <si>
    <r>
      <t xml:space="preserve">--- Save the text document as a </t>
    </r>
    <r>
      <rPr>
        <b/>
        <i/>
        <sz val="11"/>
        <color theme="1"/>
        <rFont val="Calibri"/>
        <family val="2"/>
        <scheme val="minor"/>
      </rPr>
      <t>*.YAML</t>
    </r>
    <r>
      <rPr>
        <sz val="11"/>
        <color theme="1"/>
        <rFont val="Calibri"/>
        <family val="2"/>
        <scheme val="minor"/>
      </rPr>
      <t xml:space="preserve"> file.  Do not save as a *.txt!!</t>
    </r>
  </si>
  <si>
    <t>Manually Modifying Your YODA File:</t>
  </si>
  <si>
    <t>--- If desired, you can manually modify the YODA file produced by this template to include any more information as allowed by the YODA file specifications.  Many of the limitations of this template (see below) can be avoided in this way.</t>
  </si>
  <si>
    <r>
      <t xml:space="preserve">--- This is </t>
    </r>
    <r>
      <rPr>
        <b/>
        <sz val="11"/>
        <color theme="1"/>
        <rFont val="Calibri"/>
        <family val="2"/>
        <scheme val="minor"/>
      </rPr>
      <t>NOT</t>
    </r>
    <r>
      <rPr>
        <sz val="11"/>
        <color theme="1"/>
        <rFont val="Calibri"/>
        <family val="2"/>
        <scheme val="minor"/>
      </rPr>
      <t xml:space="preserve"> recommended for anyone not very familiar with the syntax of YAML and the structure of ODM2 and YODA files.</t>
    </r>
  </si>
  <si>
    <t>--- After making any manual modifications to the YAML, it is highly recommended that you use an online parsing tool to verify the integrity of your YAML syntax.</t>
  </si>
  <si>
    <t>The "Data Columns" Worksheet:</t>
  </si>
  <si>
    <t>--- This worksheet is designed to be a map between the way you've chosen to structure your data values and the structure of ODM2.</t>
  </si>
  <si>
    <t>--- The worksheet is divided into three chunks: metadata about the columns, metadata about the specimens themselves, and metadata about the data values.</t>
  </si>
  <si>
    <t>NOTE:  This template also does not allow for any type of annotations.  To include these, you must generate your YODA file in some other way.</t>
  </si>
  <si>
    <t>--- First fill in the fields absolutely required for each column.  This includes giving each column some a freeform text identifier, selecting the type of information in the column, and selecting which other column/variable it modifies (if applicable)</t>
  </si>
  <si>
    <t>--- Nearly every type of information can be generalized for all your data values or selected individually for each value.</t>
  </si>
  <si>
    <t>--- See the section on "What type of data can this template accept" for more information about what the "Column Types" are.</t>
  </si>
  <si>
    <t>--- As you fill in meta data on your columns, the further right columns describing the specimens and data values will automatically grey out or become bold depending on what information is still required.</t>
  </si>
  <si>
    <t>--- After all your columns are listed, fill in any generalizations that apply to all specimens for which you have data.  This should only be filled out in the same row as the "Specimen Code" column type.</t>
  </si>
  <si>
    <t>--- Next fill in any generalizations that apply to specific variables.  These should only be filled out in the same row as the "Data Values" column types.</t>
  </si>
  <si>
    <t>--- The order of your columns is completely up to you.  As long as you carefully completely this data-columns worksheet, the data should be put together correctly no matter how it is organized.</t>
  </si>
  <si>
    <t>What type of data can this template accept:</t>
  </si>
  <si>
    <r>
      <t xml:space="preserve">NOTE:  The order of columns is unimportant, but there </t>
    </r>
    <r>
      <rPr>
        <b/>
        <i/>
        <sz val="11"/>
        <color theme="1"/>
        <rFont val="Calibri"/>
        <family val="2"/>
        <scheme val="minor"/>
      </rPr>
      <t>MUST</t>
    </r>
    <r>
      <rPr>
        <sz val="11"/>
        <color theme="1"/>
        <rFont val="Calibri"/>
        <family val="2"/>
        <scheme val="minor"/>
      </rPr>
      <t xml:space="preserve"> be a single column with the specimen sampling feature code and at least one column of result values.</t>
    </r>
  </si>
  <si>
    <t>For this template to work, your data absolutely MUST have a single column with the specimen code and at least one column of result values.</t>
  </si>
  <si>
    <r>
      <t xml:space="preserve">--- </t>
    </r>
    <r>
      <rPr>
        <b/>
        <sz val="11"/>
        <color theme="1"/>
        <rFont val="Calibri"/>
        <family val="2"/>
        <scheme val="minor"/>
      </rPr>
      <t>SpecimenCode</t>
    </r>
    <r>
      <rPr>
        <sz val="11"/>
        <color theme="1"/>
        <rFont val="Calibri"/>
        <family val="2"/>
        <scheme val="minor"/>
      </rPr>
      <t xml:space="preserve">:  This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specimen code is a short alpha-numeric code to uniquely identify your specimen.  The specimen codes </t>
    </r>
    <r>
      <rPr>
        <b/>
        <i/>
        <sz val="11"/>
        <color theme="1"/>
        <rFont val="Calibri"/>
        <family val="2"/>
        <scheme val="minor"/>
      </rPr>
      <t>must</t>
    </r>
    <r>
      <rPr>
        <i/>
        <sz val="11"/>
        <color theme="1"/>
        <rFont val="Calibri"/>
        <family val="2"/>
        <scheme val="minor"/>
      </rPr>
      <t xml:space="preserve"> </t>
    </r>
    <r>
      <rPr>
        <sz val="11"/>
        <color theme="1"/>
        <rFont val="Calibri"/>
        <family val="2"/>
        <scheme val="minor"/>
      </rPr>
      <t>be unique within this excel file.  Don't even dream of omitting this column.</t>
    </r>
  </si>
  <si>
    <t>All of the following types of information can be entered about specimens and results: (bold fields are required)</t>
  </si>
  <si>
    <r>
      <t xml:space="preserve">--- </t>
    </r>
    <r>
      <rPr>
        <b/>
        <sz val="11"/>
        <color theme="1"/>
        <rFont val="Calibri"/>
        <family val="2"/>
        <scheme val="minor"/>
      </rPr>
      <t>CollectionDateTime</t>
    </r>
    <r>
      <rPr>
        <sz val="11"/>
        <color theme="1"/>
        <rFont val="Calibri"/>
        <family val="2"/>
        <scheme val="minor"/>
      </rPr>
      <t>:  This field is required.  The collection date/time tells when a specimen was first obtained.  It can only be entered as a column type, not generalized for all specimens.</t>
    </r>
  </si>
  <si>
    <t>--- SpecimenName:  This is an optional field.  It is a longer text name for each specimen.  It can only be entered as a column type, not generalized for all specimens.</t>
  </si>
  <si>
    <t>--- SpecimenDescription:  This is an optional field.  It is a long text description of each specimen.  It can only be entered as a column type, not generalized for all specimens.</t>
  </si>
  <si>
    <r>
      <t xml:space="preserve">--- </t>
    </r>
    <r>
      <rPr>
        <b/>
        <sz val="11"/>
        <color theme="1"/>
        <rFont val="Calibri"/>
        <family val="2"/>
        <scheme val="minor"/>
      </rPr>
      <t>CollectionDateTimeUTCOffset:</t>
    </r>
    <r>
      <rPr>
        <sz val="11"/>
        <color theme="1"/>
        <rFont val="Calibri"/>
        <family val="2"/>
        <scheme val="minor"/>
      </rPr>
      <t xml:space="preserve">  This field is required.  This is the UTC offset of the collection date/time (ie, -5 for Eastern Standard Time).  It can be entered as a separate column of data if it varies between specimens or a single offset for all specimens can be selected in the "Fields Describing the SPECIMEN" block.</t>
    </r>
  </si>
  <si>
    <r>
      <t xml:space="preserve">--- </t>
    </r>
    <r>
      <rPr>
        <b/>
        <sz val="11"/>
        <color theme="1"/>
        <rFont val="Calibri"/>
        <family val="2"/>
        <scheme val="minor"/>
      </rPr>
      <t>CollectionMethodCode:</t>
    </r>
    <r>
      <rPr>
        <sz val="11"/>
        <color theme="1"/>
        <rFont val="Calibri"/>
        <family val="2"/>
        <scheme val="minor"/>
      </rPr>
      <t xml:space="preserve">  This field is required.  This is the method used to collect each specimen.  It can be entered as a separate column of data if it varies between specimens or a single offset for all specimens can be selected in the "Fields Describing the SPECIMEN" block.  The method codes, whether generalzied for all specimens or selected individually for each specimen, must match up with the method codes entered in the "Methods" worksheet.  Any methods which do not match will lead to red and orange flags in the "Actions" block of your YODA file.</t>
    </r>
  </si>
  <si>
    <r>
      <t xml:space="preserve">--- </t>
    </r>
    <r>
      <rPr>
        <b/>
        <sz val="11"/>
        <color theme="1"/>
        <rFont val="Calibri"/>
        <family val="2"/>
        <scheme val="minor"/>
      </rPr>
      <t>SpecimenMediumCV:</t>
    </r>
    <r>
      <rPr>
        <sz val="11"/>
        <color theme="1"/>
        <rFont val="Calibri"/>
        <family val="2"/>
        <scheme val="minor"/>
      </rPr>
      <t xml:space="preserve">  This field is required.  This is the medium of each specimen (ie, soil, liquid aqueous, gas, etc).  It can be entered as a separate column of data if it varies between specimens or a single offset for all specimens can be selected in the "Fields Describing the SPECIMEN" block.  The specimen mediums, whether generalzied for all specimens or selected individually for each specimen, must match up with the allowable terms in the SampledMediumCV.  Any terms which do not match will lead to red and orange flags in the "Specimens" block of your YODA file.</t>
    </r>
  </si>
  <si>
    <r>
      <t xml:space="preserve">--- </t>
    </r>
    <r>
      <rPr>
        <b/>
        <sz val="11"/>
        <color theme="1"/>
        <rFont val="Calibri"/>
        <family val="2"/>
        <scheme val="minor"/>
      </rPr>
      <t>SpecimenTypeCV:</t>
    </r>
    <r>
      <rPr>
        <sz val="11"/>
        <color theme="1"/>
        <rFont val="Calibri"/>
        <family val="2"/>
        <scheme val="minor"/>
      </rPr>
      <t xml:space="preserve">  This field is required.  This is the type of each specimen (ie, core, grab, thin section, etc).  It can be entered as a separate column of data if it varies between specimens or a single offset for all specimens can be selected in the "Fields Describing the SPECIMEN" block.  The specimen types, whether generalzied for all specimens or selected individually for each specimen, must match up with the allowable terms in the SpecimenTypeCV.  Any terms which do not match will lead to red and orange flags in the "Specimens" block of your YODA file.</t>
    </r>
  </si>
  <si>
    <r>
      <t xml:space="preserve">--- </t>
    </r>
    <r>
      <rPr>
        <b/>
        <sz val="11"/>
        <color theme="1"/>
        <rFont val="Calibri"/>
        <family val="2"/>
        <scheme val="minor"/>
      </rPr>
      <t>IsFieldSpecimen:</t>
    </r>
    <r>
      <rPr>
        <sz val="11"/>
        <color theme="1"/>
        <rFont val="Calibri"/>
        <family val="2"/>
        <scheme val="minor"/>
      </rPr>
      <t xml:space="preserve">  This field is required.  This is a booleen field specifying whether a specimen was collected from the field (TRUE) or generated in the lab (FALSE).  It can be entered as a separate column of data if it varies between specimens or a single offset for all specimens can be selected in the "Fields Describing the SPECIMEN" block.</t>
    </r>
  </si>
  <si>
    <t>--- SpecimenUUID:  This is an optional field.  It is a universally unique identifier for each specimen; usually this is generated by a database of some kind.  It can only be entered as a column type, not generalized for all specimens.</t>
  </si>
  <si>
    <t>--- SpecimenIGSN:  This is an optional field.  It is a unique International GeoSample Number for each specimen.  These IGSN's are granted by SESAR (http://www.geosamples.org/) when specimens or sampling featrures are registersed with them.  They can only be entered as a column type, not generalized for all specimens.</t>
  </si>
  <si>
    <r>
      <t xml:space="preserve">--- SpecimenCollector:  This is an optional field.  This is the </t>
    </r>
    <r>
      <rPr>
        <i/>
        <sz val="11"/>
        <color theme="1"/>
        <rFont val="Calibri"/>
        <family val="2"/>
        <scheme val="minor"/>
      </rPr>
      <t>full name</t>
    </r>
    <r>
      <rPr>
        <sz val="11"/>
        <color theme="1"/>
        <rFont val="Calibri"/>
        <family val="2"/>
        <scheme val="minor"/>
      </rPr>
      <t xml:space="preserve"> of the person who collected each specimen.  It can be entered as a separate column of data if it varies between specimens or a single offset for all specimens can be selected in the "Fields Describing the SPECIMEN" block.  The specimen collector, whether generalzied for all specimens or selected individually for each specimen, must a person's </t>
    </r>
    <r>
      <rPr>
        <i/>
        <sz val="11"/>
        <color theme="1"/>
        <rFont val="Calibri"/>
        <family val="2"/>
        <scheme val="minor"/>
      </rPr>
      <t>full name</t>
    </r>
    <r>
      <rPr>
        <sz val="11"/>
        <color theme="1"/>
        <rFont val="Calibri"/>
        <family val="2"/>
        <scheme val="minor"/>
      </rPr>
      <t xml:space="preserve"> in the "People and Organizations" worksheet.  Any people who do not match will lead to red and orange flags in the "Actions By" block of your YODA file.</t>
    </r>
  </si>
  <si>
    <t>--- ParentSamplingFeatureCode:  This is an optional field.  This is the code of a parent sampling feature for a specimen (ie, the site it was collected at or a larger specimen it was split from).  It can be entered as a separate column of data if it varies between specimens or a single parent sampling featrue for all specimens can be selected in the "Fields Describing the SPECIMEN" block.  The parent sampling feature code, whether generalzied for all specimens or selected individually for each specimen, must match with a sampling feature code as entered in the "Sampling Features" worksheet.  Any offset codes which do not match will lead to red and orange flags in the "Related Features" block of your YODA file.</t>
  </si>
  <si>
    <t>--- SpatialOffsetCode:  This is an optional field.  This is the code used to specify the offset between a specimen and its parent sampling feature.  It can be entered as a separate column of data if it varies between specimens or a single offset for all specimens can be selected in the "Fields Describing the SPECIMEN" block.  The offset code, whether generalzied for all specimens or selected individually for each specimen, must match with an offset code as entered in the "Spatial Offsets" worksheet.  Any offset codes which do not match will lead to red and orange flags in the "Related Features" block of your YODA file.</t>
  </si>
  <si>
    <t>--- RelationshipTypeCV:  This is an optional field.  This is the relationship between a specimen and its parent sampling feature.  It can be entered as a separate column of data if it varies between specimens or a single offset for all specimens can be selected in the "Fields Describing the SPECIMEN" block.  The relationship type, whether generalzied for all specimens or selected individually for each specimen, must match up with the allowable terms in the RelationshipTypeCV.  Any relationship types which do not match will lead to red and orange flags in the "Related Features" block of your YODA file.</t>
  </si>
  <si>
    <r>
      <t xml:space="preserve">--- </t>
    </r>
    <r>
      <rPr>
        <b/>
        <sz val="11"/>
        <color theme="1"/>
        <rFont val="Calibri"/>
        <family val="2"/>
        <scheme val="minor"/>
      </rPr>
      <t>ResultValue</t>
    </r>
    <r>
      <rPr>
        <sz val="11"/>
        <color theme="1"/>
        <rFont val="Calibri"/>
        <family val="2"/>
        <scheme val="minor"/>
      </rPr>
      <t xml:space="preserve">:  At least 1 field of this type is </t>
    </r>
    <r>
      <rPr>
        <b/>
        <i/>
        <u/>
        <sz val="11"/>
        <color theme="1"/>
        <rFont val="Calibri"/>
        <family val="2"/>
        <scheme val="minor"/>
      </rPr>
      <t>ABSOLUTELY, POSITIVELY, REQUIRED</t>
    </r>
    <r>
      <rPr>
        <b/>
        <i/>
        <sz val="11"/>
        <color theme="1"/>
        <rFont val="Calibri"/>
        <family val="2"/>
        <scheme val="minor"/>
      </rPr>
      <t>.</t>
    </r>
    <r>
      <rPr>
        <sz val="11"/>
        <color theme="1"/>
        <rFont val="Calibri"/>
        <family val="2"/>
        <scheme val="minor"/>
      </rPr>
      <t xml:space="preserve">  The result value is an actual measured result on the specimen.  </t>
    </r>
    <r>
      <rPr>
        <sz val="11"/>
        <color theme="1"/>
        <rFont val="Calibri"/>
        <family val="2"/>
        <scheme val="minor"/>
      </rPr>
      <t>Don't even dream of omitting this column.</t>
    </r>
  </si>
  <si>
    <t>--- AnalysisDateTimeUTCOffset:  This is an optional field (but required if the AnalysisDateTime is specified).  This the utc offset of the date/time a specimen was analyzed to produce a specific result.  It can be specified for each individual value within a column or generalized for all values within a column.</t>
  </si>
  <si>
    <r>
      <t>--- ResultAnalyst:  This is an optional field (but required if the AnalysisDateTime is specified).  This the</t>
    </r>
    <r>
      <rPr>
        <i/>
        <sz val="11"/>
        <color theme="1"/>
        <rFont val="Calibri"/>
        <family val="2"/>
        <scheme val="minor"/>
      </rPr>
      <t xml:space="preserve"> full name </t>
    </r>
    <r>
      <rPr>
        <sz val="11"/>
        <color theme="1"/>
        <rFont val="Calibri"/>
        <family val="2"/>
        <scheme val="minor"/>
      </rPr>
      <t xml:space="preserve">of the person who analyzed the specimen to produce a result.  It can be specified for each individual value within a column or generalized for all values within a column.  Whether generalzied for all values or selected individually for each, the </t>
    </r>
    <r>
      <rPr>
        <i/>
        <sz val="11"/>
        <color theme="1"/>
        <rFont val="Calibri"/>
        <family val="2"/>
        <scheme val="minor"/>
      </rPr>
      <t xml:space="preserve">full names </t>
    </r>
    <r>
      <rPr>
        <sz val="11"/>
        <color theme="1"/>
        <rFont val="Calibri"/>
        <family val="2"/>
        <scheme val="minor"/>
      </rPr>
      <t>must match up those entered in the "People and Organizations" worksheet.</t>
    </r>
  </si>
  <si>
    <r>
      <t xml:space="preserve">--- </t>
    </r>
    <r>
      <rPr>
        <b/>
        <sz val="11"/>
        <color theme="1"/>
        <rFont val="Calibri"/>
        <family val="2"/>
        <scheme val="minor"/>
      </rPr>
      <t>ResultTypeCV</t>
    </r>
    <r>
      <rPr>
        <sz val="11"/>
        <color theme="1"/>
        <rFont val="Calibri"/>
        <family val="2"/>
        <scheme val="minor"/>
      </rPr>
      <t>:  One field of this type is required for each result value field.  This specifies the type of result each value is (measurement or categorical).  It can be specified for each individual value within a column or (more frequently) generalized for all values within a column.  Whether generalzied for all values or selected individually for each, the result types must match up with the allowable terms in the ResultTypeCV.</t>
    </r>
  </si>
  <si>
    <r>
      <t xml:space="preserve">--- </t>
    </r>
    <r>
      <rPr>
        <b/>
        <sz val="11"/>
        <color theme="1"/>
        <rFont val="Calibri"/>
        <family val="2"/>
        <scheme val="minor"/>
      </rPr>
      <t>VariableCode</t>
    </r>
    <r>
      <rPr>
        <sz val="11"/>
        <color theme="1"/>
        <rFont val="Calibri"/>
        <family val="2"/>
        <scheme val="minor"/>
      </rPr>
      <t>:  One field of this type is required for each result value field.  This specifies which variable a result value applies to.  It can be specified for each individual value within a column or (more frequently) generalized for all values within a column.  Whether generalzied for all values or selected individually for each, the variable codes must match up with the variable codes entered in the "Variables" worksheet.</t>
    </r>
  </si>
  <si>
    <r>
      <t xml:space="preserve">--- </t>
    </r>
    <r>
      <rPr>
        <b/>
        <sz val="11"/>
        <color theme="1"/>
        <rFont val="Calibri"/>
        <family val="2"/>
        <scheme val="minor"/>
      </rPr>
      <t>UnitName</t>
    </r>
    <r>
      <rPr>
        <sz val="11"/>
        <color theme="1"/>
        <rFont val="Calibri"/>
        <family val="2"/>
        <scheme val="minor"/>
      </rPr>
      <t>:  One field of this type is required for each result value field.  This specifies the unit of each result value.  It can be specified for each individual value within a column or (more frequently) generalized for all values within a column.  Whether generalzied for all values or selected individually for each, the unit names must match up with the standard unit names pre-loaded in all instances of ODM2 and this spreadsheet.</t>
    </r>
  </si>
  <si>
    <r>
      <t xml:space="preserve">--- </t>
    </r>
    <r>
      <rPr>
        <b/>
        <sz val="11"/>
        <color theme="1"/>
        <rFont val="Calibri"/>
        <family val="2"/>
        <scheme val="minor"/>
      </rPr>
      <t>SampledMediumCV</t>
    </r>
    <r>
      <rPr>
        <sz val="11"/>
        <color theme="1"/>
        <rFont val="Calibri"/>
        <family val="2"/>
        <scheme val="minor"/>
      </rPr>
      <t>:  One field of this type is required for each result value field.  This what medium was sampled to produce a result.  It can be different from the specimen medium (ie, if an acid extraction was taken from a soil sample).  It can be specified for each individual value within a column or (more frequently) generalized for all values within a column.  Whether generalzied for all values or selected individually for each, the sampled medium codes must match up with the allowable terms in the SampledMediumCV.</t>
    </r>
  </si>
  <si>
    <r>
      <t xml:space="preserve">--- </t>
    </r>
    <r>
      <rPr>
        <b/>
        <sz val="11"/>
        <color theme="1"/>
        <rFont val="Calibri"/>
        <family val="2"/>
        <scheme val="minor"/>
      </rPr>
      <t>CensorCodeCV:</t>
    </r>
    <r>
      <rPr>
        <sz val="11"/>
        <color theme="1"/>
        <rFont val="Calibri"/>
        <family val="2"/>
        <scheme val="minor"/>
      </rPr>
      <t xml:space="preserve">  One field of this type is required for each result value field.  This specifies whether a value is an upper or lower limit or is below detection.  It can be specified for each individual value within a column or generalized for all values within a column.  Whether generalzied for all values or selected individually for each, the censor codes must match up with the allowable terms in the CensorCodeCV.</t>
    </r>
  </si>
  <si>
    <r>
      <t xml:space="preserve">--- </t>
    </r>
    <r>
      <rPr>
        <b/>
        <sz val="11"/>
        <color theme="1"/>
        <rFont val="Calibri"/>
        <family val="2"/>
        <scheme val="minor"/>
      </rPr>
      <t>QualityCodeCV:</t>
    </r>
    <r>
      <rPr>
        <sz val="11"/>
        <color theme="1"/>
        <rFont val="Calibri"/>
        <family val="2"/>
        <scheme val="minor"/>
      </rPr>
      <t xml:space="preserve">  One field of this type is required for each result value field.  This specifies whether a value is good, bad, or marginal.  It can be specified for each individual value within a column or generalized for all values within a column.  Whether generalzied for all values or selected individually for each, the censor codes must match up with the allowable terms in the QualityCodeCV.</t>
    </r>
  </si>
  <si>
    <r>
      <t xml:space="preserve">--- </t>
    </r>
    <r>
      <rPr>
        <b/>
        <sz val="11"/>
        <color theme="1"/>
        <rFont val="Calibri"/>
        <family val="2"/>
        <scheme val="minor"/>
      </rPr>
      <t>ProcessingLevelCode:</t>
    </r>
    <r>
      <rPr>
        <sz val="11"/>
        <color theme="1"/>
        <rFont val="Calibri"/>
        <family val="2"/>
        <scheme val="minor"/>
      </rPr>
      <t xml:space="preserve">  One field of this type is required for each result value field.  This code specifies how highly processed data values are.  It can be specified for each individual value within a column or generalized for all values within a column.  Whether generalzied for all values or selected individually for each, the processing level codes must match up with those entered in the "Processing Levels" worksheet.</t>
    </r>
  </si>
  <si>
    <r>
      <t xml:space="preserve">--- </t>
    </r>
    <r>
      <rPr>
        <b/>
        <sz val="11"/>
        <color theme="1"/>
        <rFont val="Calibri"/>
        <family val="2"/>
        <scheme val="minor"/>
      </rPr>
      <t>TimeAggregationInterval:</t>
    </r>
    <r>
      <rPr>
        <sz val="11"/>
        <color theme="1"/>
        <rFont val="Calibri"/>
        <family val="2"/>
        <scheme val="minor"/>
      </rPr>
      <t xml:space="preserve">  One field of this type is required for each result value field.  This specifies over how long a time period data was aggregated when a measurement was made.  It can be specified for each individual value within a column or generalized for all values within a column.</t>
    </r>
  </si>
  <si>
    <r>
      <t xml:space="preserve">--- </t>
    </r>
    <r>
      <rPr>
        <b/>
        <sz val="11"/>
        <color theme="1"/>
        <rFont val="Calibri"/>
        <family val="2"/>
        <scheme val="minor"/>
      </rPr>
      <t>TimeAggregationIntervalUnitCode:</t>
    </r>
    <r>
      <rPr>
        <sz val="11"/>
        <color theme="1"/>
        <rFont val="Calibri"/>
        <family val="2"/>
        <scheme val="minor"/>
      </rPr>
      <t xml:space="preserve">  One field of this type is required for each result value field.  This specifies the unit of the time aggregation interval (ie, seconds).  It can be specified for each individual value within a column or generalized for all values within a column.</t>
    </r>
  </si>
  <si>
    <r>
      <t xml:space="preserve">--- </t>
    </r>
    <r>
      <rPr>
        <b/>
        <sz val="11"/>
        <color theme="1"/>
        <rFont val="Calibri"/>
        <family val="2"/>
        <scheme val="minor"/>
      </rPr>
      <t>AggregationStatisticCV:</t>
    </r>
    <r>
      <rPr>
        <sz val="11"/>
        <color theme="1"/>
        <rFont val="Calibri"/>
        <family val="2"/>
        <scheme val="minor"/>
      </rPr>
      <t xml:space="preserve">  One field of this type is required for each result value field.  This specifies how data was aggregated over time (ie, averaged).  It can be specified for each individual value within a column or generalized for all values within a column.  Whether generalzied for all values or selected individually for each, the censor codes must match up with the allowable terms in the AggregationStatisticCV.</t>
    </r>
  </si>
  <si>
    <r>
      <t xml:space="preserve">--- </t>
    </r>
    <r>
      <rPr>
        <b/>
        <sz val="11"/>
        <color theme="1"/>
        <rFont val="Calibri"/>
        <family val="2"/>
        <scheme val="minor"/>
      </rPr>
      <t>AnalysisMethodCode:</t>
    </r>
    <r>
      <rPr>
        <sz val="11"/>
        <color theme="1"/>
        <rFont val="Calibri"/>
        <family val="2"/>
        <scheme val="minor"/>
      </rPr>
      <t xml:space="preserve">  One field of this type is required for each result value field.  This specifies the method for analyzing a sample to produce a measurement result.  It can be specified for each individual value within a column or generalized for all values within a column.  Whether generalzied for all values or selected individually for each, the method codes must match up those entered in the "Methods" worksheet.</t>
    </r>
  </si>
  <si>
    <t>--- TaxonomicClassifierName:  This is an optional field.  This the taxonomic classifier or chemical speciation of a result.  It can be specified for each individual value within a column or generalized for all values within a column.  Whether generalzied for all values or selected individually for each, the taxonomic classifier names must match up those entered in the "Taxonomic Classifiers" worksheet.</t>
  </si>
  <si>
    <t>---ResultUUID:  This is an optional field.  It is a universally unique identifier for each result value; usually this is generated by a database of some kind.  It can only be specified for each individual value within a column.</t>
  </si>
  <si>
    <r>
      <t xml:space="preserve">Instructions:  In the yellow boxes, enter the metadata for all of the </t>
    </r>
    <r>
      <rPr>
        <b/>
        <i/>
        <sz val="11"/>
        <color theme="1"/>
        <rFont val="Calibri"/>
        <family val="2"/>
        <scheme val="minor"/>
      </rPr>
      <t>PARENT</t>
    </r>
    <r>
      <rPr>
        <sz val="11"/>
        <color theme="1"/>
        <rFont val="Calibri"/>
        <family val="2"/>
        <scheme val="minor"/>
      </rPr>
      <t xml:space="preserve"> sampling features (sites, specimens, etc) included in this Dataset.  Darker yellow columns are mandatory; paler yellow is optional.</t>
    </r>
  </si>
  <si>
    <t>--- AnalysisDateTime:  This is an optional field.  This the date/time a specimen was analyzed to produce a specific result.  It can only be specified for each individual value within a column.  One column of analysis date/times can only be applied to a single column of results values.  Even if multiple columns of result values were analysed at the same time, there must be separate repeated columns of analysis date/times for them.</t>
  </si>
  <si>
    <t>Only include parent sampling features to those listed in the data values table!  DO NOT include any sampling features listed as specimen codes in the data values table!</t>
  </si>
  <si>
    <t>0.1.0</t>
  </si>
  <si>
    <t>SpeciationCV</t>
  </si>
  <si>
    <t>Ag</t>
  </si>
  <si>
    <t>Al</t>
  </si>
  <si>
    <t>As</t>
  </si>
  <si>
    <t>B</t>
  </si>
  <si>
    <t>Ba</t>
  </si>
  <si>
    <t>Be</t>
  </si>
  <si>
    <t>Br</t>
  </si>
  <si>
    <t>C</t>
  </si>
  <si>
    <t>C10H10O4</t>
  </si>
  <si>
    <t>C10H4(CH3)4</t>
  </si>
  <si>
    <t>C10H5(CH3)3</t>
  </si>
  <si>
    <t>C10H6(CH3)2</t>
  </si>
  <si>
    <t>C10H7C2H5</t>
  </si>
  <si>
    <t>C10H7CH3</t>
  </si>
  <si>
    <t>C10H8</t>
  </si>
  <si>
    <t>C12H10</t>
  </si>
  <si>
    <t>C12H14O4</t>
  </si>
  <si>
    <t>C12H8</t>
  </si>
  <si>
    <t>C12H8O</t>
  </si>
  <si>
    <t>C12H8S</t>
  </si>
  <si>
    <t>C12H9N</t>
  </si>
  <si>
    <t>C13H10</t>
  </si>
  <si>
    <t>C13H10S</t>
  </si>
  <si>
    <t>C14H10</t>
  </si>
  <si>
    <t>C14H12</t>
  </si>
  <si>
    <t>C15H12</t>
  </si>
  <si>
    <t>C15H32</t>
  </si>
  <si>
    <t>C16H10</t>
  </si>
  <si>
    <t>C16H14</t>
  </si>
  <si>
    <t>C16H34</t>
  </si>
  <si>
    <t>C17H12</t>
  </si>
  <si>
    <t>C17H36</t>
  </si>
  <si>
    <t>C18H12</t>
  </si>
  <si>
    <t>C18H18</t>
  </si>
  <si>
    <t>C18H38</t>
  </si>
  <si>
    <t>C19H14</t>
  </si>
  <si>
    <t>C19H20O4</t>
  </si>
  <si>
    <t>C19H40</t>
  </si>
  <si>
    <t>C20H12</t>
  </si>
  <si>
    <t>C20H42</t>
  </si>
  <si>
    <t>C21H44</t>
  </si>
  <si>
    <t>C22H14</t>
  </si>
  <si>
    <t>C22H46</t>
  </si>
  <si>
    <t>C23H48</t>
  </si>
  <si>
    <t>C24H50</t>
  </si>
  <si>
    <t>C25H52</t>
  </si>
  <si>
    <t>C26H54</t>
  </si>
  <si>
    <t>C27H56</t>
  </si>
  <si>
    <t>C28H58</t>
  </si>
  <si>
    <t>C29H60</t>
  </si>
  <si>
    <t>C2Cl4</t>
  </si>
  <si>
    <t>C2Cl6</t>
  </si>
  <si>
    <t>C2H2Cl4</t>
  </si>
  <si>
    <t>C2H3Cl</t>
  </si>
  <si>
    <t>C2H3Cl3</t>
  </si>
  <si>
    <t>C2H4Cl2</t>
  </si>
  <si>
    <t>C2H5Cl</t>
  </si>
  <si>
    <t>C2H6</t>
  </si>
  <si>
    <t>C2H6O2</t>
  </si>
  <si>
    <t>C2HCl3</t>
  </si>
  <si>
    <t>C31H64</t>
  </si>
  <si>
    <t>C3H6O</t>
  </si>
  <si>
    <t>C4Cl6</t>
  </si>
  <si>
    <t>C4H8Cl2O</t>
  </si>
  <si>
    <t>C4H8O</t>
  </si>
  <si>
    <t>C5Cl6</t>
  </si>
  <si>
    <t>C6Cl6</t>
  </si>
  <si>
    <t>C6H3Cl3</t>
  </si>
  <si>
    <t>C6H4Cl2</t>
  </si>
  <si>
    <t>C6H4N2O5</t>
  </si>
  <si>
    <t>C6H4(CH3)2</t>
  </si>
  <si>
    <t>C6H5Cl</t>
  </si>
  <si>
    <t>C6H5NH2</t>
  </si>
  <si>
    <t>C6H5NO2</t>
  </si>
  <si>
    <t>C6H5OH</t>
  </si>
  <si>
    <t>C6H6</t>
  </si>
  <si>
    <t>C6HCl5O</t>
  </si>
  <si>
    <t>C7H6N2O4</t>
  </si>
  <si>
    <t>C7H8</t>
  </si>
  <si>
    <t>C8H10</t>
  </si>
  <si>
    <t>C8H8</t>
  </si>
  <si>
    <t>C9H14O</t>
  </si>
  <si>
    <t>Ca</t>
  </si>
  <si>
    <t>CaCO3</t>
  </si>
  <si>
    <t>Cd</t>
  </si>
  <si>
    <t>CH2Cl2</t>
  </si>
  <si>
    <t>CH3Br</t>
  </si>
  <si>
    <t>CH3Cl</t>
  </si>
  <si>
    <t>CH3Hg</t>
  </si>
  <si>
    <t>CH4</t>
  </si>
  <si>
    <t>CHBr2Cl</t>
  </si>
  <si>
    <t>CHBr3</t>
  </si>
  <si>
    <t>CHBrCl2</t>
  </si>
  <si>
    <t>CHCl3</t>
  </si>
  <si>
    <t>Cl</t>
  </si>
  <si>
    <t>CN-</t>
  </si>
  <si>
    <t>Co</t>
  </si>
  <si>
    <t>CO2</t>
  </si>
  <si>
    <t>CO3</t>
  </si>
  <si>
    <t>Cr</t>
  </si>
  <si>
    <t>Cu</t>
  </si>
  <si>
    <t>delta 2H</t>
  </si>
  <si>
    <t>delta N15</t>
  </si>
  <si>
    <t>delta O18</t>
  </si>
  <si>
    <t>EC</t>
  </si>
  <si>
    <t>F</t>
  </si>
  <si>
    <t>Fe</t>
  </si>
  <si>
    <t>H2O</t>
  </si>
  <si>
    <t>HCO3</t>
  </si>
  <si>
    <t>Hg</t>
  </si>
  <si>
    <t>K</t>
  </si>
  <si>
    <t>Mg</t>
  </si>
  <si>
    <t>Mn</t>
  </si>
  <si>
    <t>Mo</t>
  </si>
  <si>
    <t>N</t>
  </si>
  <si>
    <t>Na</t>
  </si>
  <si>
    <t>NH4</t>
  </si>
  <si>
    <t>Ni</t>
  </si>
  <si>
    <t>NO2</t>
  </si>
  <si>
    <t>NO3</t>
  </si>
  <si>
    <t>Not Applicable</t>
  </si>
  <si>
    <t>O2</t>
  </si>
  <si>
    <t>P</t>
  </si>
  <si>
    <t>Pb</t>
  </si>
  <si>
    <t>PO4</t>
  </si>
  <si>
    <t>Ra</t>
  </si>
  <si>
    <t>Re</t>
  </si>
  <si>
    <t>S</t>
  </si>
  <si>
    <t>Sb</t>
  </si>
  <si>
    <t>Se</t>
  </si>
  <si>
    <t>Si</t>
  </si>
  <si>
    <t>SiO2</t>
  </si>
  <si>
    <t>Sn</t>
  </si>
  <si>
    <t>SO4</t>
  </si>
  <si>
    <t>Sr</t>
  </si>
  <si>
    <t>TA</t>
  </si>
  <si>
    <t>Th</t>
  </si>
  <si>
    <t>Ti</t>
  </si>
  <si>
    <t>Tl</t>
  </si>
  <si>
    <t>U</t>
  </si>
  <si>
    <t>V</t>
  </si>
  <si>
    <t>Zn</t>
  </si>
  <si>
    <t>Zr</t>
  </si>
  <si>
    <t>Data Value Number</t>
  </si>
  <si>
    <r>
      <t>--- If you get an error window saying "</t>
    </r>
    <r>
      <rPr>
        <i/>
        <sz val="11"/>
        <color theme="1"/>
        <rFont val="Calibri"/>
        <family val="2"/>
        <scheme val="minor"/>
      </rPr>
      <t>Run-time error '1004': Method 'Undo' of object '_Application' failed</t>
    </r>
    <r>
      <rPr>
        <sz val="11"/>
        <color theme="1"/>
        <rFont val="Calibri"/>
        <family val="2"/>
        <scheme val="minor"/>
      </rPr>
      <t>", click "End" and then re-click the "Genereate YODA File" button.  This is a known bug which we have not yet solved.</t>
    </r>
  </si>
  <si>
    <t>0.1.0-alpha+20150427.163449</t>
  </si>
  <si>
    <t xml:space="preserve">  - {Version: "0.1.0", Profile: "Specimen", CreationTool: "Excel Template v0.1.0-alpha+20150427.163449", DateCreated: "2015-04-27", DateUpdated: "2015-04-27"}</t>
  </si>
  <si>
    <t>PLEASE FILL IN AT LEAST ONE ORGANIZATION WITH TYPE, CODE, AND NAME</t>
  </si>
  <si>
    <t>PLEASE FILL IN AT LEAST ONE PERSON WITH FIRST, MIDDLE AND LAST NAME</t>
  </si>
  <si>
    <t>PLEASE FILL IN A VALID LAT/LONG DATUM</t>
  </si>
  <si>
    <t>PLEASE FILL IN AT LEAST ONE METHOD</t>
  </si>
  <si>
    <t>PLEASE FILL IN AT LEAST ONE VARIABLE</t>
  </si>
  <si>
    <t>PLEASE FILL IN AT LEAST ONE PROCESSING LEVEL</t>
  </si>
  <si>
    <t xml:space="preserve">  - &amp;FeatureActionID00001 {SamplingFeatureObj:  *SamplingFeatureID00001, ActionObj:  *ActionID00001}</t>
  </si>
  <si>
    <t>PLEASE SELECT AT LEAST 1 COLUMN OF RESULT VALUES</t>
  </si>
  <si>
    <t>THERE MUST BE AT LEAST ONE COLUMN OF DATA VALUES</t>
  </si>
  <si>
    <t xml:space="preserve">  - &amp;DatasetID00001 {DatasetUUID:  NULL PLEASE FILL IN THE Dataset TYPE IN THE Dataset CITATION TAB PLEASE FILL IN THE Dataset CODE IN THE Dataset CITATION TAB PLEASE FILL IN THE Dataset TITLE IN THE Dataset CITATION TAB,  DatasetAbstract:  NULL}</t>
  </si>
  <si>
    <t xml:space="preserve">  - &amp;SamplingFeatureID00001 {SamplingFeatureUUID:  NULL, SamplingFeatureTypeCV:  "Specimen", SamplingFeatureCode:  "PLEASE SPECIFY WHICH COLUMN HAS THE SPECIMEN CODES!!!", SamplingFeatureName:  NULL, SamplingFeatureDescription:  NULL, SamplingFeatureGeotypeCV:  Point, FeatureGeometry:  NULL, Elevation_m:  NULL, ElevationDatumCV:  NULL}</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</si>
</sst>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1"/>
      <color theme="1"/>
      <name val="Calibri"/>
      <family val="2"/>
      <scheme val="minor"/>
    </font>
    <font>
      <b/>
      <sz val="11"/>
      <color theme="1"/>
      <name val="Calibri"/>
      <family val="2"/>
      <scheme val="minor"/>
    </font>
    <font>
      <sz val="9"/>
      <color indexed="81"/>
      <name val="Tahoma"/>
      <family val="2"/>
    </font>
    <font>
      <u/>
      <sz val="11"/>
      <color theme="10"/>
      <name val="Calibri"/>
      <family val="2"/>
      <scheme val="minor"/>
    </font>
    <font>
      <u/>
      <sz val="11"/>
      <color theme="11"/>
      <name val="Calibri"/>
      <family val="2"/>
      <scheme val="minor"/>
    </font>
    <font>
      <sz val="11"/>
      <color theme="1"/>
      <name val="Calibri"/>
      <family val="2"/>
      <scheme val="minor"/>
    </font>
    <font>
      <i/>
      <sz val="11"/>
      <color theme="1"/>
      <name val="Calibri"/>
      <family val="2"/>
      <scheme val="minor"/>
    </font>
    <font>
      <i/>
      <sz val="11"/>
      <color theme="0" tint="-0.34998626667073579"/>
      <name val="Calibri"/>
      <family val="2"/>
      <scheme val="minor"/>
    </font>
    <font>
      <b/>
      <sz val="9"/>
      <color indexed="81"/>
      <name val="Tahoma"/>
      <family val="2"/>
    </font>
    <font>
      <b/>
      <sz val="11"/>
      <color theme="1"/>
      <name val="Calibri"/>
      <family val="2"/>
      <scheme val="minor"/>
    </font>
    <font>
      <b/>
      <i/>
      <u/>
      <sz val="11"/>
      <color theme="1"/>
      <name val="Calibri"/>
      <family val="2"/>
      <scheme val="minor"/>
    </font>
    <font>
      <i/>
      <sz val="11"/>
      <color theme="0" tint="-0.499984740745262"/>
      <name val="Calibri"/>
      <family val="2"/>
      <scheme val="minor"/>
    </font>
    <font>
      <b/>
      <i/>
      <sz val="11"/>
      <color theme="1"/>
      <name val="Calibri"/>
      <family val="2"/>
      <scheme val="minor"/>
    </font>
    <font>
      <b/>
      <i/>
      <sz val="14"/>
      <color theme="1"/>
      <name val="Calibri"/>
      <family val="2"/>
      <scheme val="minor"/>
    </font>
    <font>
      <b/>
      <i/>
      <sz val="14"/>
      <color rgb="FF0000FF"/>
      <name val="Calibri"/>
      <family val="2"/>
    </font>
    <font>
      <b/>
      <i/>
      <sz val="14"/>
      <color rgb="FF7030A0"/>
      <name val="Calibri"/>
      <family val="2"/>
      <scheme val="minor"/>
    </font>
    <font>
      <sz val="10"/>
      <color theme="0" tint="-0.249977111117893"/>
      <name val="Calibri"/>
      <family val="2"/>
      <scheme val="minor"/>
    </font>
    <font>
      <b/>
      <i/>
      <sz val="11"/>
      <color theme="0"/>
      <name val="Calibri"/>
      <family val="2"/>
      <scheme val="minor"/>
    </font>
    <font>
      <b/>
      <sz val="10"/>
      <color theme="0" tint="-0.249977111117893"/>
      <name val="Calibri"/>
      <family val="2"/>
      <scheme val="minor"/>
    </font>
    <font>
      <b/>
      <sz val="11"/>
      <color theme="0"/>
      <name val="Calibri"/>
      <family val="2"/>
      <scheme val="minor"/>
    </font>
    <font>
      <b/>
      <i/>
      <sz val="11"/>
      <color theme="0" tint="-0.499984740745262"/>
      <name val="Calibri"/>
      <family val="2"/>
      <scheme val="minor"/>
    </font>
  </fonts>
  <fills count="5">
    <fill>
      <patternFill patternType="none"/>
    </fill>
    <fill>
      <patternFill patternType="gray125"/>
    </fill>
    <fill>
      <patternFill patternType="solid">
        <fgColor rgb="FFFFFF66"/>
        <bgColor indexed="64"/>
      </patternFill>
    </fill>
    <fill>
      <patternFill patternType="solid">
        <fgColor rgb="FFFFFF99"/>
        <bgColor indexed="64"/>
      </patternFill>
    </fill>
    <fill>
      <patternFill patternType="solid">
        <fgColor theme="4"/>
        <bgColor theme="4"/>
      </patternFill>
    </fill>
  </fills>
  <borders count="87">
    <border>
      <left/>
      <right/>
      <top/>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style="thin">
        <color auto="1"/>
      </left>
      <right style="medium">
        <color auto="1"/>
      </right>
      <top/>
      <bottom style="thin">
        <color auto="1"/>
      </bottom>
      <diagonal/>
    </border>
    <border>
      <left style="medium">
        <color auto="1"/>
      </left>
      <right style="thin">
        <color auto="1"/>
      </right>
      <top style="medium">
        <color auto="1"/>
      </top>
      <bottom style="double">
        <color auto="1"/>
      </bottom>
      <diagonal/>
    </border>
    <border>
      <left style="thin">
        <color auto="1"/>
      </left>
      <right style="medium">
        <color auto="1"/>
      </right>
      <top style="medium">
        <color auto="1"/>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medium">
        <color auto="1"/>
      </left>
      <right/>
      <top/>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style="thin">
        <color auto="1"/>
      </top>
      <bottom/>
      <diagonal/>
    </border>
    <border>
      <left style="thin">
        <color auto="1"/>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right style="thin">
        <color auto="1"/>
      </right>
      <top/>
      <bottom style="double">
        <color auto="1"/>
      </bottom>
      <diagonal/>
    </border>
    <border>
      <left style="thin">
        <color auto="1"/>
      </left>
      <right style="thin">
        <color auto="1"/>
      </right>
      <top/>
      <bottom style="double">
        <color auto="1"/>
      </bottom>
      <diagonal/>
    </border>
    <border>
      <left style="thin">
        <color auto="1"/>
      </left>
      <right/>
      <top/>
      <bottom style="double">
        <color auto="1"/>
      </bottom>
      <diagonal/>
    </border>
    <border>
      <left/>
      <right style="thin">
        <color auto="1"/>
      </right>
      <top style="thin">
        <color auto="1"/>
      </top>
      <bottom/>
      <diagonal/>
    </border>
    <border>
      <left style="thin">
        <color auto="1"/>
      </left>
      <right/>
      <top style="thin">
        <color auto="1"/>
      </top>
      <bottom/>
      <diagonal/>
    </border>
    <border>
      <left/>
      <right style="thin">
        <color auto="1"/>
      </right>
      <top style="double">
        <color auto="1"/>
      </top>
      <bottom style="thin">
        <color auto="1"/>
      </bottom>
      <diagonal/>
    </border>
    <border>
      <left style="thin">
        <color auto="1"/>
      </left>
      <right/>
      <top style="double">
        <color auto="1"/>
      </top>
      <bottom style="thin">
        <color auto="1"/>
      </bottom>
      <diagonal/>
    </border>
    <border>
      <left/>
      <right style="thin">
        <color auto="1"/>
      </right>
      <top/>
      <bottom/>
      <diagonal/>
    </border>
    <border>
      <left style="thin">
        <color auto="1"/>
      </left>
      <right style="thin">
        <color auto="1"/>
      </right>
      <top/>
      <bottom/>
      <diagonal/>
    </border>
    <border>
      <left style="thin">
        <color auto="1"/>
      </left>
      <right/>
      <top/>
      <bottom/>
      <diagonal/>
    </border>
    <border>
      <left style="thin">
        <color auto="1"/>
      </left>
      <right style="medium">
        <color auto="1"/>
      </right>
      <top/>
      <bottom style="double">
        <color auto="1"/>
      </bottom>
      <diagonal/>
    </border>
    <border>
      <left style="medium">
        <color auto="1"/>
      </left>
      <right style="medium">
        <color auto="1"/>
      </right>
      <top style="medium">
        <color auto="1"/>
      </top>
      <bottom style="double">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style="medium">
        <color auto="1"/>
      </right>
      <top/>
      <bottom style="thin">
        <color auto="1"/>
      </bottom>
      <diagonal/>
    </border>
    <border>
      <left/>
      <right style="thin">
        <color auto="1"/>
      </right>
      <top style="double">
        <color auto="1"/>
      </top>
      <bottom/>
      <diagonal/>
    </border>
    <border>
      <left style="thin">
        <color auto="1"/>
      </left>
      <right style="thin">
        <color auto="1"/>
      </right>
      <top style="double">
        <color auto="1"/>
      </top>
      <bottom/>
      <diagonal/>
    </border>
    <border>
      <left style="thin">
        <color auto="1"/>
      </left>
      <right/>
      <top style="double">
        <color auto="1"/>
      </top>
      <bottom/>
      <diagonal/>
    </border>
    <border>
      <left/>
      <right/>
      <top/>
      <bottom style="double">
        <color auto="1"/>
      </bottom>
      <diagonal/>
    </border>
    <border>
      <left style="medium">
        <color auto="1"/>
      </left>
      <right style="thin">
        <color auto="1"/>
      </right>
      <top/>
      <bottom style="double">
        <color auto="1"/>
      </bottom>
      <diagonal/>
    </border>
    <border>
      <left style="medium">
        <color auto="1"/>
      </left>
      <right style="thin">
        <color auto="1"/>
      </right>
      <top/>
      <bottom/>
      <diagonal/>
    </border>
    <border>
      <left style="thin">
        <color auto="1"/>
      </left>
      <right style="medium">
        <color auto="1"/>
      </right>
      <top/>
      <bottom/>
      <diagonal/>
    </border>
    <border>
      <left style="medium">
        <color auto="1"/>
      </left>
      <right style="thin">
        <color auto="1"/>
      </right>
      <top/>
      <bottom style="medium">
        <color auto="1"/>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medium">
        <color auto="1"/>
      </right>
      <top style="thin">
        <color auto="1"/>
      </top>
      <bottom style="double">
        <color auto="1"/>
      </bottom>
      <diagonal/>
    </border>
    <border>
      <left style="medium">
        <color theme="0" tint="-0.499984740745262"/>
      </left>
      <right style="thin">
        <color theme="0" tint="-0.499984740745262"/>
      </right>
      <top style="medium">
        <color theme="0" tint="-0.499984740745262"/>
      </top>
      <bottom style="medium">
        <color theme="0" tint="-0.499984740745262"/>
      </bottom>
      <diagonal/>
    </border>
    <border>
      <left style="thin">
        <color theme="0" tint="-0.499984740745262"/>
      </left>
      <right style="medium">
        <color theme="0" tint="-0.499984740745262"/>
      </right>
      <top style="medium">
        <color theme="0" tint="-0.499984740745262"/>
      </top>
      <bottom style="medium">
        <color theme="0" tint="-0.499984740745262"/>
      </bottom>
      <diagonal/>
    </border>
    <border>
      <left style="medium">
        <color auto="1"/>
      </left>
      <right style="thin">
        <color auto="1"/>
      </right>
      <top style="double">
        <color auto="1"/>
      </top>
      <bottom style="thin">
        <color auto="1"/>
      </bottom>
      <diagonal/>
    </border>
    <border>
      <left style="thin">
        <color auto="1"/>
      </left>
      <right style="medium">
        <color auto="1"/>
      </right>
      <top style="double">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ck">
        <color auto="1"/>
      </left>
      <right style="thin">
        <color auto="1"/>
      </right>
      <top style="thick">
        <color auto="1"/>
      </top>
      <bottom/>
      <diagonal/>
    </border>
    <border>
      <left style="thin">
        <color auto="1"/>
      </left>
      <right style="thin">
        <color auto="1"/>
      </right>
      <top style="thick">
        <color auto="1"/>
      </top>
      <bottom/>
      <diagonal/>
    </border>
    <border>
      <left style="thin">
        <color auto="1"/>
      </left>
      <right style="thick">
        <color auto="1"/>
      </right>
      <top style="thick">
        <color auto="1"/>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medium">
        <color auto="1"/>
      </left>
      <right/>
      <top style="medium">
        <color auto="1"/>
      </top>
      <bottom style="double">
        <color auto="1"/>
      </bottom>
      <diagonal/>
    </border>
    <border>
      <left/>
      <right style="medium">
        <color auto="1"/>
      </right>
      <top style="medium">
        <color auto="1"/>
      </top>
      <bottom style="double">
        <color auto="1"/>
      </bottom>
      <diagonal/>
    </border>
    <border>
      <left style="thin">
        <color auto="1"/>
      </left>
      <right/>
      <top style="thin">
        <color auto="1"/>
      </top>
      <bottom style="medium">
        <color auto="1"/>
      </bottom>
      <diagonal/>
    </border>
    <border>
      <left style="thin">
        <color auto="1"/>
      </left>
      <right style="thin">
        <color auto="1"/>
      </right>
      <top style="thin">
        <color theme="4" tint="0.39997558519241921"/>
      </top>
      <bottom style="thin">
        <color theme="4" tint="0.39997558519241921"/>
      </bottom>
      <diagonal/>
    </border>
    <border>
      <left/>
      <right style="thin">
        <color auto="1"/>
      </right>
      <top style="thin">
        <color auto="1"/>
      </top>
      <bottom style="medium">
        <color auto="1"/>
      </bottom>
      <diagonal/>
    </border>
    <border>
      <left/>
      <right style="medium">
        <color auto="1"/>
      </right>
      <top/>
      <bottom style="double">
        <color auto="1"/>
      </bottom>
      <diagonal/>
    </border>
    <border>
      <left/>
      <right style="medium">
        <color auto="1"/>
      </right>
      <top style="double">
        <color auto="1"/>
      </top>
      <bottom style="thin">
        <color auto="1"/>
      </bottom>
      <diagonal/>
    </border>
    <border>
      <left/>
      <right style="medium">
        <color auto="1"/>
      </right>
      <top style="thin">
        <color auto="1"/>
      </top>
      <bottom style="thin">
        <color auto="1"/>
      </bottom>
      <diagonal/>
    </border>
    <border>
      <left/>
      <right style="medium">
        <color auto="1"/>
      </right>
      <top style="thin">
        <color auto="1"/>
      </top>
      <bottom style="medium">
        <color auto="1"/>
      </bottom>
      <diagonal/>
    </border>
    <border>
      <left/>
      <right style="thin">
        <color auto="1"/>
      </right>
      <top/>
      <bottom style="thin">
        <color theme="4" tint="0.39997558519241921"/>
      </bottom>
      <diagonal/>
    </border>
    <border>
      <left/>
      <right style="thin">
        <color auto="1"/>
      </right>
      <top style="thin">
        <color theme="4" tint="0.39997558519241921"/>
      </top>
      <bottom style="thin">
        <color theme="4" tint="0.39997558519241921"/>
      </bottom>
      <diagonal/>
    </border>
    <border>
      <left style="thin">
        <color auto="1"/>
      </left>
      <right/>
      <top style="thin">
        <color theme="4" tint="0.39997558519241921"/>
      </top>
      <bottom style="thin">
        <color theme="4" tint="0.39997558519241921"/>
      </bottom>
      <diagonal/>
    </border>
    <border>
      <left/>
      <right style="thin">
        <color auto="1"/>
      </right>
      <top style="thin">
        <color theme="4" tint="0.39997558519241921"/>
      </top>
      <bottom/>
      <diagonal/>
    </border>
    <border>
      <left style="thin">
        <color auto="1"/>
      </left>
      <right style="thin">
        <color auto="1"/>
      </right>
      <top style="thin">
        <color theme="4" tint="0.39997558519241921"/>
      </top>
      <bottom/>
      <diagonal/>
    </border>
    <border>
      <left style="thin">
        <color auto="1"/>
      </left>
      <right/>
      <top style="thin">
        <color theme="4" tint="0.39997558519241921"/>
      </top>
      <bottom/>
      <diagonal/>
    </border>
    <border>
      <left/>
      <right/>
      <top/>
      <bottom style="thin">
        <color theme="4" tint="0.39997558519241921"/>
      </bottom>
      <diagonal/>
    </border>
    <border>
      <left/>
      <right/>
      <top style="medium">
        <color auto="1"/>
      </top>
      <bottom style="double">
        <color auto="1"/>
      </bottom>
      <diagonal/>
    </border>
    <border>
      <left style="thin">
        <color auto="1"/>
      </left>
      <right style="medium">
        <color auto="1"/>
      </right>
      <top style="thin">
        <color auto="1"/>
      </top>
      <bottom/>
      <diagonal/>
    </border>
    <border>
      <left/>
      <right/>
      <top/>
      <bottom style="thin">
        <color auto="1"/>
      </bottom>
      <diagonal/>
    </border>
    <border>
      <left/>
      <right/>
      <top style="thin">
        <color auto="1"/>
      </top>
      <bottom style="thin">
        <color auto="1"/>
      </bottom>
      <diagonal/>
    </border>
    <border>
      <left/>
      <right/>
      <top style="thin">
        <color auto="1"/>
      </top>
      <bottom/>
      <diagonal/>
    </border>
    <border>
      <left style="medium">
        <color auto="1"/>
      </left>
      <right style="medium">
        <color auto="1"/>
      </right>
      <top style="thin">
        <color auto="1"/>
      </top>
      <bottom/>
      <diagonal/>
    </border>
  </borders>
  <cellStyleXfs count="4">
    <xf numFmtId="0" fontId="0" fillId="0" borderId="0"/>
    <xf numFmtId="0" fontId="3" fillId="0" borderId="0" applyNumberFormat="0" applyFill="0" applyBorder="0" applyAlignment="0" applyProtection="0"/>
    <xf numFmtId="0" fontId="4" fillId="0" borderId="0" applyNumberFormat="0" applyFill="0" applyBorder="0" applyAlignment="0" applyProtection="0"/>
    <xf numFmtId="0" fontId="3" fillId="0" borderId="0" applyNumberFormat="0" applyFill="0" applyBorder="0" applyAlignment="0" applyProtection="0"/>
  </cellStyleXfs>
  <cellXfs count="254">
    <xf numFmtId="0" fontId="0" fillId="0" borderId="0" xfId="0"/>
    <xf numFmtId="0" fontId="1" fillId="0" borderId="0" xfId="0" applyFont="1"/>
    <xf numFmtId="0" fontId="0" fillId="0" borderId="0" xfId="0" quotePrefix="1"/>
    <xf numFmtId="0" fontId="9" fillId="0" borderId="0" xfId="0" applyFont="1"/>
    <xf numFmtId="0" fontId="0" fillId="0" borderId="0" xfId="0" applyFont="1" applyFill="1" applyBorder="1"/>
    <xf numFmtId="0" fontId="0" fillId="0" borderId="0" xfId="0"/>
    <xf numFmtId="0" fontId="0" fillId="0" borderId="0" xfId="0" applyProtection="1">
      <protection locked="0"/>
    </xf>
    <xf numFmtId="0" fontId="0" fillId="2" borderId="16" xfId="0" applyFill="1" applyBorder="1" applyProtection="1">
      <protection locked="0"/>
    </xf>
    <xf numFmtId="0" fontId="0" fillId="3" borderId="16" xfId="0" applyFill="1" applyBorder="1" applyAlignment="1" applyProtection="1">
      <alignment wrapText="1"/>
      <protection locked="0"/>
    </xf>
    <xf numFmtId="0" fontId="0" fillId="2" borderId="23" xfId="0" applyFill="1" applyBorder="1" applyProtection="1">
      <protection locked="0"/>
    </xf>
    <xf numFmtId="0" fontId="0" fillId="2" borderId="9" xfId="0" applyFill="1" applyBorder="1" applyProtection="1">
      <protection locked="0"/>
    </xf>
    <xf numFmtId="0" fontId="0" fillId="3" borderId="9" xfId="0" applyFill="1" applyBorder="1" applyAlignment="1" applyProtection="1">
      <alignment wrapText="1"/>
      <protection locked="0"/>
    </xf>
    <xf numFmtId="0" fontId="0" fillId="3" borderId="21" xfId="0" applyFill="1" applyBorder="1" applyProtection="1">
      <protection locked="0"/>
    </xf>
    <xf numFmtId="0" fontId="0" fillId="2" borderId="27" xfId="0" applyFill="1" applyBorder="1" applyProtection="1">
      <protection locked="0"/>
    </xf>
    <xf numFmtId="0" fontId="0" fillId="2" borderId="15" xfId="0" applyFill="1" applyBorder="1" applyProtection="1">
      <protection locked="0"/>
    </xf>
    <xf numFmtId="0" fontId="0" fillId="3" borderId="15" xfId="0" applyFill="1" applyBorder="1" applyAlignment="1" applyProtection="1">
      <alignment wrapText="1"/>
      <protection locked="0"/>
    </xf>
    <xf numFmtId="0" fontId="0" fillId="3" borderId="28" xfId="0" applyFill="1" applyBorder="1" applyProtection="1">
      <protection locked="0"/>
    </xf>
    <xf numFmtId="0" fontId="0" fillId="2" borderId="22" xfId="0" applyFill="1" applyBorder="1" applyProtection="1">
      <protection locked="0"/>
    </xf>
    <xf numFmtId="0" fontId="0" fillId="2" borderId="10" xfId="0" applyFill="1" applyBorder="1" applyProtection="1">
      <protection locked="0"/>
    </xf>
    <xf numFmtId="0" fontId="0" fillId="3" borderId="10" xfId="0" applyFill="1" applyBorder="1" applyProtection="1">
      <protection locked="0"/>
    </xf>
    <xf numFmtId="0" fontId="3" fillId="2" borderId="10" xfId="3" applyFill="1" applyBorder="1" applyProtection="1">
      <protection locked="0"/>
    </xf>
    <xf numFmtId="0" fontId="0" fillId="3" borderId="9" xfId="0" applyFill="1" applyBorder="1" applyProtection="1">
      <protection locked="0"/>
    </xf>
    <xf numFmtId="0" fontId="3" fillId="2" borderId="9" xfId="3" applyFill="1" applyBorder="1" applyProtection="1">
      <protection locked="0"/>
    </xf>
    <xf numFmtId="0" fontId="5" fillId="3" borderId="21" xfId="0" applyFont="1" applyFill="1" applyBorder="1" applyAlignment="1" applyProtection="1">
      <alignment wrapText="1"/>
      <protection locked="0"/>
    </xf>
    <xf numFmtId="0" fontId="0" fillId="3" borderId="15" xfId="0" applyFill="1" applyBorder="1" applyProtection="1">
      <protection locked="0"/>
    </xf>
    <xf numFmtId="0" fontId="5" fillId="3" borderId="28" xfId="0" applyFont="1" applyFill="1" applyBorder="1" applyAlignment="1" applyProtection="1">
      <alignment wrapText="1"/>
      <protection locked="0"/>
    </xf>
    <xf numFmtId="0" fontId="0" fillId="0" borderId="0" xfId="0" applyProtection="1"/>
    <xf numFmtId="0" fontId="11" fillId="0" borderId="50" xfId="0" applyFont="1" applyBorder="1" applyProtection="1"/>
    <xf numFmtId="0" fontId="11" fillId="0" borderId="51" xfId="0" applyFont="1" applyBorder="1" applyProtection="1"/>
    <xf numFmtId="0" fontId="1" fillId="0" borderId="25" xfId="0" applyFont="1" applyFill="1" applyBorder="1" applyProtection="1"/>
    <xf numFmtId="0" fontId="0" fillId="2" borderId="2" xfId="0" applyFill="1" applyBorder="1" applyProtection="1">
      <protection locked="0"/>
    </xf>
    <xf numFmtId="0" fontId="6" fillId="0" borderId="0" xfId="0" applyFont="1" applyProtection="1">
      <protection locked="0"/>
    </xf>
    <xf numFmtId="0" fontId="1" fillId="0" borderId="11" xfId="0" applyFont="1" applyBorder="1" applyAlignment="1" applyProtection="1">
      <protection locked="0"/>
    </xf>
    <xf numFmtId="0" fontId="1" fillId="0" borderId="0" xfId="0" applyFont="1" applyBorder="1" applyAlignment="1" applyProtection="1">
      <protection locked="0"/>
    </xf>
    <xf numFmtId="0" fontId="0" fillId="2" borderId="21" xfId="0" applyFill="1" applyBorder="1" applyProtection="1">
      <protection locked="0"/>
    </xf>
    <xf numFmtId="0" fontId="6" fillId="0" borderId="5" xfId="0" applyFont="1" applyBorder="1" applyProtection="1"/>
    <xf numFmtId="0" fontId="1" fillId="0" borderId="1" xfId="0" applyFont="1" applyBorder="1" applyProtection="1"/>
    <xf numFmtId="0" fontId="6" fillId="0" borderId="1" xfId="0" applyFont="1" applyBorder="1" applyProtection="1"/>
    <xf numFmtId="0" fontId="6" fillId="0" borderId="3" xfId="0" applyFont="1" applyBorder="1" applyProtection="1"/>
    <xf numFmtId="0" fontId="0" fillId="0" borderId="0" xfId="0" applyFill="1" applyProtection="1">
      <protection locked="0"/>
    </xf>
    <xf numFmtId="0" fontId="0" fillId="0" borderId="0" xfId="0" applyFill="1" applyBorder="1" applyProtection="1">
      <protection locked="0"/>
    </xf>
    <xf numFmtId="0" fontId="0" fillId="3" borderId="10" xfId="0" applyFill="1" applyBorder="1" applyAlignment="1" applyProtection="1">
      <alignment wrapText="1"/>
      <protection locked="0"/>
    </xf>
    <xf numFmtId="0" fontId="0" fillId="3" borderId="20" xfId="0" applyFill="1" applyBorder="1" applyAlignment="1" applyProtection="1">
      <alignment wrapText="1"/>
      <protection locked="0"/>
    </xf>
    <xf numFmtId="0" fontId="0" fillId="3" borderId="20" xfId="0" applyFill="1" applyBorder="1" applyProtection="1">
      <protection locked="0"/>
    </xf>
    <xf numFmtId="0" fontId="0" fillId="3" borderId="21" xfId="0" applyFill="1" applyBorder="1" applyAlignment="1" applyProtection="1">
      <alignment wrapText="1"/>
      <protection locked="0"/>
    </xf>
    <xf numFmtId="0" fontId="0" fillId="3" borderId="28" xfId="0" applyFill="1" applyBorder="1" applyAlignment="1" applyProtection="1">
      <alignment wrapText="1"/>
      <protection locked="0"/>
    </xf>
    <xf numFmtId="0" fontId="11" fillId="0" borderId="38" xfId="0" applyFont="1" applyFill="1" applyBorder="1" applyProtection="1"/>
    <xf numFmtId="0" fontId="11" fillId="0" borderId="36" xfId="0" applyFont="1" applyFill="1" applyBorder="1" applyProtection="1"/>
    <xf numFmtId="0" fontId="11" fillId="0" borderId="35" xfId="0" applyFont="1" applyFill="1" applyBorder="1" applyProtection="1"/>
    <xf numFmtId="0" fontId="11" fillId="0" borderId="37" xfId="0" applyFont="1" applyFill="1" applyBorder="1" applyProtection="1"/>
    <xf numFmtId="0" fontId="11" fillId="0" borderId="51" xfId="0" applyFont="1" applyFill="1" applyBorder="1" applyProtection="1"/>
    <xf numFmtId="0" fontId="1" fillId="0" borderId="5" xfId="0" applyFont="1" applyBorder="1" applyProtection="1"/>
    <xf numFmtId="0" fontId="1" fillId="0" borderId="3" xfId="0" applyFont="1" applyBorder="1" applyProtection="1"/>
    <xf numFmtId="0" fontId="6" fillId="0" borderId="24" xfId="0" applyFont="1" applyBorder="1" applyProtection="1"/>
    <xf numFmtId="0" fontId="1" fillId="0" borderId="25" xfId="0" applyFont="1" applyBorder="1" applyProtection="1"/>
    <xf numFmtId="0" fontId="6" fillId="0" borderId="25" xfId="0" applyFont="1" applyBorder="1" applyAlignment="1" applyProtection="1">
      <alignment wrapText="1"/>
    </xf>
    <xf numFmtId="0" fontId="6" fillId="0" borderId="26" xfId="0" applyFont="1" applyBorder="1" applyAlignment="1" applyProtection="1">
      <alignment wrapText="1"/>
    </xf>
    <xf numFmtId="0" fontId="6" fillId="0" borderId="26" xfId="0" applyFont="1" applyBorder="1" applyProtection="1"/>
    <xf numFmtId="0" fontId="6" fillId="0" borderId="42" xfId="0" applyFont="1" applyBorder="1" applyProtection="1"/>
    <xf numFmtId="0" fontId="1" fillId="0" borderId="24" xfId="0" applyFont="1" applyBorder="1" applyProtection="1"/>
    <xf numFmtId="0" fontId="1" fillId="0" borderId="26" xfId="0" applyFont="1" applyBorder="1" applyProtection="1"/>
    <xf numFmtId="0" fontId="6" fillId="0" borderId="25" xfId="0" applyFont="1" applyBorder="1" applyProtection="1"/>
    <xf numFmtId="0" fontId="6" fillId="0" borderId="34" xfId="0" applyFont="1" applyBorder="1" applyProtection="1"/>
    <xf numFmtId="0" fontId="0" fillId="2" borderId="44" xfId="0" applyFill="1" applyBorder="1" applyProtection="1">
      <protection locked="0"/>
    </xf>
    <xf numFmtId="0" fontId="0" fillId="2" borderId="32" xfId="0" applyFill="1" applyBorder="1" applyProtection="1">
      <protection locked="0"/>
    </xf>
    <xf numFmtId="0" fontId="0" fillId="3" borderId="32" xfId="0" applyFill="1" applyBorder="1" applyProtection="1">
      <protection locked="0"/>
    </xf>
    <xf numFmtId="0" fontId="0" fillId="3" borderId="45" xfId="0" applyFill="1" applyBorder="1" applyProtection="1">
      <protection locked="0"/>
    </xf>
    <xf numFmtId="0" fontId="0" fillId="2" borderId="46" xfId="0" applyFill="1" applyBorder="1" applyProtection="1">
      <protection locked="0"/>
    </xf>
    <xf numFmtId="0" fontId="0" fillId="2" borderId="47" xfId="0" applyFill="1" applyBorder="1" applyProtection="1">
      <protection locked="0"/>
    </xf>
    <xf numFmtId="0" fontId="0" fillId="3" borderId="48" xfId="0" applyFill="1" applyBorder="1" applyProtection="1">
      <protection locked="0"/>
    </xf>
    <xf numFmtId="0" fontId="1" fillId="0" borderId="43" xfId="0" applyFont="1" applyBorder="1" applyProtection="1"/>
    <xf numFmtId="0" fontId="12" fillId="0" borderId="34" xfId="0" applyFont="1" applyBorder="1" applyProtection="1"/>
    <xf numFmtId="0" fontId="0" fillId="2" borderId="31" xfId="0" applyFill="1" applyBorder="1" applyProtection="1">
      <protection locked="0"/>
    </xf>
    <xf numFmtId="0" fontId="0" fillId="2" borderId="32" xfId="0" applyFill="1" applyBorder="1" applyAlignment="1" applyProtection="1">
      <alignment wrapText="1"/>
      <protection locked="0"/>
    </xf>
    <xf numFmtId="0" fontId="0" fillId="3" borderId="32" xfId="0" applyFill="1" applyBorder="1" applyAlignment="1" applyProtection="1">
      <alignment wrapText="1"/>
      <protection locked="0"/>
    </xf>
    <xf numFmtId="0" fontId="3" fillId="3" borderId="32" xfId="3" applyFill="1" applyBorder="1" applyProtection="1">
      <protection locked="0"/>
    </xf>
    <xf numFmtId="0" fontId="0" fillId="3" borderId="33" xfId="0" applyFill="1" applyBorder="1" applyProtection="1">
      <protection locked="0"/>
    </xf>
    <xf numFmtId="0" fontId="0" fillId="2" borderId="33" xfId="0" applyFill="1" applyBorder="1" applyProtection="1">
      <protection locked="0"/>
    </xf>
    <xf numFmtId="0" fontId="0" fillId="0" borderId="0" xfId="0" applyAlignment="1" applyProtection="1">
      <alignment wrapText="1"/>
      <protection locked="0"/>
    </xf>
    <xf numFmtId="0" fontId="0" fillId="2" borderId="39" xfId="0" applyFill="1" applyBorder="1" applyProtection="1">
      <protection locked="0"/>
    </xf>
    <xf numFmtId="0" fontId="0" fillId="3" borderId="40" xfId="0" applyFill="1" applyBorder="1" applyProtection="1">
      <protection locked="0"/>
    </xf>
    <xf numFmtId="0" fontId="0" fillId="3" borderId="41" xfId="0" applyFill="1" applyBorder="1" applyAlignment="1" applyProtection="1">
      <alignment wrapText="1"/>
      <protection locked="0"/>
    </xf>
    <xf numFmtId="0" fontId="0" fillId="3" borderId="33" xfId="0" applyFill="1" applyBorder="1" applyAlignment="1" applyProtection="1">
      <alignment wrapText="1"/>
      <protection locked="0"/>
    </xf>
    <xf numFmtId="0" fontId="1" fillId="0" borderId="26" xfId="0" applyFont="1" applyBorder="1" applyAlignment="1" applyProtection="1">
      <alignment wrapText="1"/>
    </xf>
    <xf numFmtId="0" fontId="11" fillId="0" borderId="49" xfId="0" applyFont="1" applyFill="1" applyBorder="1" applyProtection="1"/>
    <xf numFmtId="0" fontId="11" fillId="0" borderId="50" xfId="0" applyFont="1" applyBorder="1" applyAlignment="1" applyProtection="1">
      <alignment horizontal="right"/>
    </xf>
    <xf numFmtId="0" fontId="0" fillId="0" borderId="0" xfId="0" applyAlignment="1">
      <alignment wrapText="1"/>
    </xf>
    <xf numFmtId="0" fontId="1" fillId="0" borderId="24" xfId="0" applyFont="1" applyBorder="1"/>
    <xf numFmtId="0" fontId="1" fillId="0" borderId="25" xfId="0" applyFont="1" applyBorder="1"/>
    <xf numFmtId="0" fontId="1" fillId="0" borderId="26" xfId="0" applyFont="1" applyBorder="1"/>
    <xf numFmtId="0" fontId="0" fillId="2" borderId="16" xfId="0" applyFill="1" applyBorder="1"/>
    <xf numFmtId="0" fontId="0" fillId="3" borderId="16" xfId="0" applyFill="1" applyBorder="1" applyAlignment="1">
      <alignment wrapText="1"/>
    </xf>
    <xf numFmtId="0" fontId="0" fillId="2" borderId="9" xfId="0" applyFill="1" applyBorder="1"/>
    <xf numFmtId="0" fontId="0" fillId="3" borderId="9" xfId="0" applyFill="1" applyBorder="1" applyAlignment="1">
      <alignment wrapText="1"/>
    </xf>
    <xf numFmtId="0" fontId="0" fillId="2" borderId="15" xfId="0" applyFill="1" applyBorder="1"/>
    <xf numFmtId="0" fontId="0" fillId="3" borderId="15" xfId="0" applyFill="1" applyBorder="1" applyAlignment="1">
      <alignment wrapText="1"/>
    </xf>
    <xf numFmtId="0" fontId="0" fillId="3" borderId="52" xfId="0" applyFill="1" applyBorder="1"/>
    <xf numFmtId="0" fontId="0" fillId="3" borderId="53" xfId="0" applyFill="1" applyBorder="1"/>
    <xf numFmtId="0" fontId="0" fillId="3" borderId="1" xfId="0" applyFill="1" applyBorder="1"/>
    <xf numFmtId="0" fontId="0" fillId="3" borderId="2" xfId="0" applyFill="1" applyBorder="1"/>
    <xf numFmtId="0" fontId="0" fillId="3" borderId="3" xfId="0" applyFill="1" applyBorder="1"/>
    <xf numFmtId="0" fontId="0" fillId="2" borderId="54" xfId="0" applyFill="1" applyBorder="1"/>
    <xf numFmtId="0" fontId="0" fillId="3" borderId="54" xfId="0" applyFill="1" applyBorder="1" applyAlignment="1">
      <alignment wrapText="1"/>
    </xf>
    <xf numFmtId="0" fontId="0" fillId="3" borderId="4" xfId="0" applyFill="1" applyBorder="1"/>
    <xf numFmtId="0" fontId="1" fillId="0" borderId="25" xfId="0" applyFont="1" applyBorder="1" applyAlignment="1">
      <alignment wrapText="1"/>
    </xf>
    <xf numFmtId="0" fontId="0" fillId="2" borderId="1" xfId="0" applyFill="1" applyBorder="1" applyProtection="1">
      <protection locked="0"/>
    </xf>
    <xf numFmtId="0" fontId="3" fillId="3" borderId="2" xfId="3" applyFill="1" applyBorder="1" applyProtection="1">
      <protection locked="0"/>
    </xf>
    <xf numFmtId="0" fontId="0" fillId="2" borderId="3" xfId="0" applyFill="1" applyBorder="1" applyProtection="1">
      <protection locked="0"/>
    </xf>
    <xf numFmtId="0" fontId="0" fillId="2" borderId="54" xfId="0" applyFill="1" applyBorder="1" applyProtection="1">
      <protection locked="0"/>
    </xf>
    <xf numFmtId="0" fontId="0" fillId="3" borderId="54" xfId="0" applyFill="1" applyBorder="1" applyAlignment="1" applyProtection="1">
      <alignment wrapText="1"/>
      <protection locked="0"/>
    </xf>
    <xf numFmtId="0" fontId="3" fillId="3" borderId="4" xfId="3" applyFill="1" applyBorder="1" applyProtection="1">
      <protection locked="0"/>
    </xf>
    <xf numFmtId="0" fontId="0" fillId="2" borderId="5" xfId="0" applyFill="1" applyBorder="1" applyProtection="1">
      <protection locked="0"/>
    </xf>
    <xf numFmtId="0" fontId="3" fillId="3" borderId="6" xfId="3" applyFill="1" applyBorder="1" applyProtection="1">
      <protection locked="0"/>
    </xf>
    <xf numFmtId="0" fontId="0" fillId="2" borderId="29" xfId="0" applyFill="1" applyBorder="1"/>
    <xf numFmtId="0" fontId="0" fillId="2" borderId="23" xfId="0" applyFill="1" applyBorder="1"/>
    <xf numFmtId="0" fontId="3" fillId="3" borderId="30" xfId="3" applyFill="1" applyBorder="1"/>
    <xf numFmtId="0" fontId="3" fillId="3" borderId="21" xfId="3" applyFill="1" applyBorder="1"/>
    <xf numFmtId="0" fontId="0" fillId="2" borderId="27" xfId="0" applyFill="1" applyBorder="1"/>
    <xf numFmtId="0" fontId="3" fillId="3" borderId="28" xfId="3" applyFill="1" applyBorder="1"/>
    <xf numFmtId="0" fontId="3" fillId="3" borderId="4" xfId="3" applyFill="1" applyBorder="1"/>
    <xf numFmtId="0" fontId="3" fillId="3" borderId="53" xfId="3" applyFill="1" applyBorder="1"/>
    <xf numFmtId="0" fontId="0" fillId="3" borderId="21" xfId="0" applyFont="1" applyFill="1" applyBorder="1" applyAlignment="1" applyProtection="1">
      <alignment wrapText="1"/>
      <protection locked="0"/>
    </xf>
    <xf numFmtId="0" fontId="7" fillId="0" borderId="9" xfId="0" applyFont="1" applyFill="1" applyBorder="1" applyProtection="1"/>
    <xf numFmtId="0" fontId="7" fillId="0" borderId="16" xfId="0" applyFont="1" applyFill="1" applyBorder="1" applyProtection="1"/>
    <xf numFmtId="0" fontId="7" fillId="0" borderId="54" xfId="0" applyFont="1" applyFill="1" applyBorder="1" applyProtection="1"/>
    <xf numFmtId="0" fontId="11" fillId="0" borderId="53" xfId="0" applyFont="1" applyFill="1" applyBorder="1" applyProtection="1"/>
    <xf numFmtId="0" fontId="11" fillId="0" borderId="2" xfId="0" applyFont="1" applyFill="1" applyBorder="1" applyProtection="1"/>
    <xf numFmtId="0" fontId="11" fillId="0" borderId="4" xfId="0" applyFont="1" applyFill="1" applyBorder="1" applyProtection="1"/>
    <xf numFmtId="0" fontId="1" fillId="0" borderId="12" xfId="0" applyFont="1" applyBorder="1" applyProtection="1"/>
    <xf numFmtId="0" fontId="1" fillId="0" borderId="13" xfId="0" applyFont="1" applyBorder="1" applyProtection="1"/>
    <xf numFmtId="0" fontId="6" fillId="0" borderId="13" xfId="0" applyFont="1" applyBorder="1" applyProtection="1"/>
    <xf numFmtId="0" fontId="6" fillId="0" borderId="14" xfId="0" applyFont="1" applyBorder="1" applyProtection="1"/>
    <xf numFmtId="0" fontId="0" fillId="2" borderId="52" xfId="0" applyFill="1" applyBorder="1" applyProtection="1">
      <protection locked="0"/>
    </xf>
    <xf numFmtId="0" fontId="0" fillId="3" borderId="2" xfId="0" applyFill="1" applyBorder="1" applyProtection="1">
      <protection locked="0"/>
    </xf>
    <xf numFmtId="0" fontId="0" fillId="3" borderId="4" xfId="0" applyFill="1" applyBorder="1" applyProtection="1">
      <protection locked="0"/>
    </xf>
    <xf numFmtId="0" fontId="0" fillId="3" borderId="20" xfId="3" applyFont="1" applyFill="1" applyBorder="1" applyAlignment="1" applyProtection="1">
      <alignment wrapText="1"/>
      <protection locked="0"/>
    </xf>
    <xf numFmtId="0" fontId="3" fillId="3" borderId="53" xfId="3" applyFill="1" applyBorder="1" applyProtection="1">
      <protection locked="0"/>
    </xf>
    <xf numFmtId="0" fontId="0" fillId="2" borderId="9" xfId="0" applyFill="1" applyBorder="1" applyAlignment="1" applyProtection="1">
      <alignment wrapText="1"/>
      <protection locked="0"/>
    </xf>
    <xf numFmtId="0" fontId="0" fillId="3" borderId="22" xfId="0" applyFill="1" applyBorder="1" applyProtection="1">
      <protection locked="0"/>
    </xf>
    <xf numFmtId="0" fontId="0" fillId="3" borderId="23" xfId="0" applyFill="1" applyBorder="1" applyProtection="1">
      <protection locked="0"/>
    </xf>
    <xf numFmtId="0" fontId="0" fillId="3" borderId="27" xfId="0" applyFill="1" applyBorder="1" applyProtection="1">
      <protection locked="0"/>
    </xf>
    <xf numFmtId="0" fontId="1" fillId="0" borderId="34" xfId="0" applyFont="1" applyBorder="1" applyProtection="1"/>
    <xf numFmtId="0" fontId="0" fillId="3" borderId="54" xfId="0" applyFill="1" applyBorder="1" applyProtection="1">
      <protection locked="0"/>
    </xf>
    <xf numFmtId="22" fontId="0" fillId="0" borderId="0" xfId="0" applyNumberFormat="1"/>
    <xf numFmtId="0" fontId="12" fillId="0" borderId="25" xfId="0" applyFont="1" applyBorder="1"/>
    <xf numFmtId="0" fontId="12" fillId="0" borderId="26" xfId="0" applyFont="1" applyBorder="1"/>
    <xf numFmtId="0" fontId="0" fillId="3" borderId="16" xfId="0" applyFill="1" applyBorder="1" applyProtection="1">
      <protection locked="0"/>
    </xf>
    <xf numFmtId="0" fontId="0" fillId="3" borderId="6" xfId="0" applyFill="1" applyBorder="1" applyProtection="1">
      <protection locked="0"/>
    </xf>
    <xf numFmtId="0" fontId="0" fillId="3" borderId="4" xfId="0" applyFill="1" applyBorder="1" applyAlignment="1" applyProtection="1">
      <alignment wrapText="1"/>
      <protection locked="0"/>
    </xf>
    <xf numFmtId="0" fontId="11" fillId="0" borderId="0" xfId="0" applyFont="1" applyBorder="1" applyProtection="1"/>
    <xf numFmtId="22" fontId="0" fillId="0" borderId="0" xfId="0" applyNumberFormat="1" applyFont="1" applyFill="1" applyBorder="1"/>
    <xf numFmtId="0" fontId="0" fillId="2" borderId="29" xfId="0" applyFill="1" applyBorder="1" applyProtection="1">
      <protection locked="0"/>
    </xf>
    <xf numFmtId="0" fontId="0" fillId="2" borderId="69" xfId="0" applyFill="1" applyBorder="1" applyProtection="1">
      <protection locked="0"/>
    </xf>
    <xf numFmtId="0" fontId="1" fillId="0" borderId="70" xfId="0" applyFont="1" applyBorder="1" applyProtection="1"/>
    <xf numFmtId="0" fontId="0" fillId="2" borderId="71" xfId="0" applyFill="1" applyBorder="1" applyProtection="1">
      <protection locked="0"/>
    </xf>
    <xf numFmtId="0" fontId="0" fillId="2" borderId="72" xfId="0" applyFill="1" applyBorder="1" applyProtection="1">
      <protection locked="0"/>
    </xf>
    <xf numFmtId="0" fontId="0" fillId="2" borderId="73" xfId="0" applyFill="1" applyBorder="1" applyProtection="1">
      <protection locked="0"/>
    </xf>
    <xf numFmtId="0" fontId="0" fillId="2" borderId="30" xfId="0" applyFill="1" applyBorder="1" applyProtection="1">
      <protection locked="0"/>
    </xf>
    <xf numFmtId="0" fontId="0" fillId="2" borderId="67" xfId="0" applyFill="1" applyBorder="1" applyProtection="1">
      <protection locked="0"/>
    </xf>
    <xf numFmtId="0" fontId="0" fillId="3" borderId="52" xfId="0" applyFill="1" applyBorder="1" applyProtection="1">
      <protection locked="0"/>
    </xf>
    <xf numFmtId="0" fontId="0" fillId="3" borderId="1" xfId="0" applyFill="1" applyBorder="1" applyProtection="1">
      <protection locked="0"/>
    </xf>
    <xf numFmtId="0" fontId="0" fillId="3" borderId="3" xfId="0" applyFill="1" applyBorder="1" applyProtection="1">
      <protection locked="0"/>
    </xf>
    <xf numFmtId="0" fontId="0" fillId="3" borderId="53" xfId="0" applyFill="1" applyBorder="1" applyProtection="1">
      <protection locked="0"/>
    </xf>
    <xf numFmtId="0" fontId="0" fillId="0" borderId="0" xfId="0" applyAlignment="1" applyProtection="1">
      <alignment wrapText="1"/>
    </xf>
    <xf numFmtId="0" fontId="16" fillId="0" borderId="11" xfId="0" applyFont="1" applyBorder="1" applyAlignment="1" applyProtection="1">
      <alignment horizontal="center"/>
    </xf>
    <xf numFmtId="0" fontId="16" fillId="0" borderId="0" xfId="0" applyFont="1" applyBorder="1" applyAlignment="1" applyProtection="1">
      <alignment horizontal="center"/>
    </xf>
    <xf numFmtId="0" fontId="16" fillId="0" borderId="62" xfId="0" applyFont="1" applyBorder="1" applyAlignment="1" applyProtection="1">
      <alignment horizontal="center"/>
    </xf>
    <xf numFmtId="0" fontId="16" fillId="0" borderId="0" xfId="0" applyFont="1" applyBorder="1" applyProtection="1"/>
    <xf numFmtId="0" fontId="18" fillId="0" borderId="0" xfId="0" applyFont="1" applyBorder="1" applyProtection="1"/>
    <xf numFmtId="0" fontId="16" fillId="0" borderId="0" xfId="0" applyFont="1" applyProtection="1"/>
    <xf numFmtId="0" fontId="0" fillId="3" borderId="29" xfId="0" applyFill="1" applyBorder="1" applyProtection="1">
      <protection locked="0"/>
    </xf>
    <xf numFmtId="0" fontId="0" fillId="3" borderId="69" xfId="0" applyFill="1" applyBorder="1" applyProtection="1">
      <protection locked="0"/>
    </xf>
    <xf numFmtId="0" fontId="0" fillId="0" borderId="0" xfId="0" applyFill="1" applyProtection="1"/>
    <xf numFmtId="0" fontId="16" fillId="0" borderId="62" xfId="0" applyFont="1" applyFill="1" applyBorder="1" applyProtection="1"/>
    <xf numFmtId="0" fontId="11" fillId="0" borderId="25" xfId="0" applyFont="1" applyFill="1" applyBorder="1" applyProtection="1"/>
    <xf numFmtId="0" fontId="11" fillId="0" borderId="34" xfId="0" applyFont="1" applyFill="1" applyBorder="1" applyProtection="1"/>
    <xf numFmtId="0" fontId="11" fillId="0" borderId="30" xfId="0" applyFont="1" applyFill="1" applyBorder="1" applyProtection="1"/>
    <xf numFmtId="0" fontId="11" fillId="0" borderId="21" xfId="0" applyFont="1" applyFill="1" applyBorder="1" applyProtection="1"/>
    <xf numFmtId="0" fontId="11" fillId="0" borderId="67" xfId="0" applyFont="1" applyFill="1" applyBorder="1" applyProtection="1"/>
    <xf numFmtId="0" fontId="0" fillId="2" borderId="74" xfId="0" applyFont="1" applyFill="1" applyBorder="1" applyProtection="1">
      <protection locked="0"/>
    </xf>
    <xf numFmtId="0" fontId="0" fillId="2" borderId="68" xfId="0" applyFont="1" applyFill="1" applyBorder="1" applyProtection="1">
      <protection locked="0"/>
    </xf>
    <xf numFmtId="0" fontId="0" fillId="3" borderId="68" xfId="0" applyFont="1" applyFill="1" applyBorder="1" applyProtection="1">
      <protection locked="0"/>
    </xf>
    <xf numFmtId="0" fontId="0" fillId="3" borderId="76" xfId="0" applyFont="1" applyFill="1" applyBorder="1" applyProtection="1">
      <protection locked="0"/>
    </xf>
    <xf numFmtId="0" fontId="0" fillId="2" borderId="75" xfId="0" applyFont="1" applyFill="1" applyBorder="1" applyProtection="1">
      <protection locked="0"/>
    </xf>
    <xf numFmtId="0" fontId="0" fillId="2" borderId="77" xfId="0" applyFont="1" applyFill="1" applyBorder="1" applyProtection="1">
      <protection locked="0"/>
    </xf>
    <xf numFmtId="0" fontId="0" fillId="2" borderId="78" xfId="0" applyFont="1" applyFill="1" applyBorder="1" applyProtection="1">
      <protection locked="0"/>
    </xf>
    <xf numFmtId="0" fontId="0" fillId="3" borderId="78" xfId="0" applyFont="1" applyFill="1" applyBorder="1" applyProtection="1">
      <protection locked="0"/>
    </xf>
    <xf numFmtId="0" fontId="0" fillId="3" borderId="79" xfId="0" applyFont="1" applyFill="1" applyBorder="1" applyProtection="1">
      <protection locked="0"/>
    </xf>
    <xf numFmtId="0" fontId="0" fillId="0" borderId="24" xfId="0" applyBorder="1" applyProtection="1"/>
    <xf numFmtId="0" fontId="17" fillId="4" borderId="25" xfId="0" applyFont="1" applyFill="1" applyBorder="1" applyProtection="1"/>
    <xf numFmtId="0" fontId="17" fillId="4" borderId="26" xfId="0" applyFont="1" applyFill="1" applyBorder="1" applyProtection="1"/>
    <xf numFmtId="0" fontId="13" fillId="0" borderId="0" xfId="0" applyFont="1" applyAlignment="1">
      <alignment wrapText="1"/>
    </xf>
    <xf numFmtId="0" fontId="15" fillId="0" borderId="0" xfId="0" applyFont="1" applyAlignment="1">
      <alignment wrapText="1"/>
    </xf>
    <xf numFmtId="0" fontId="12" fillId="0" borderId="0" xfId="0" applyFont="1" applyAlignment="1">
      <alignment wrapText="1"/>
    </xf>
    <xf numFmtId="0" fontId="0" fillId="0" borderId="0" xfId="0" quotePrefix="1" applyAlignment="1">
      <alignment wrapText="1"/>
    </xf>
    <xf numFmtId="0" fontId="12" fillId="0" borderId="0" xfId="0" quotePrefix="1" applyFont="1" applyAlignment="1">
      <alignment wrapText="1"/>
    </xf>
    <xf numFmtId="0" fontId="0" fillId="0" borderId="0" xfId="0" quotePrefix="1" applyFont="1" applyAlignment="1">
      <alignment wrapText="1"/>
    </xf>
    <xf numFmtId="0" fontId="12" fillId="0" borderId="0" xfId="0" applyFont="1" applyProtection="1"/>
    <xf numFmtId="0" fontId="0" fillId="0" borderId="22" xfId="0" applyFill="1" applyBorder="1" applyProtection="1"/>
    <xf numFmtId="0" fontId="0" fillId="0" borderId="0" xfId="0" applyFill="1" applyBorder="1" applyProtection="1"/>
    <xf numFmtId="0" fontId="1" fillId="0" borderId="0" xfId="0" applyFont="1" applyAlignment="1" applyProtection="1">
      <alignment wrapText="1"/>
      <protection locked="0"/>
    </xf>
    <xf numFmtId="0" fontId="0" fillId="0" borderId="0" xfId="0" applyNumberFormat="1" applyProtection="1">
      <protection locked="0"/>
    </xf>
    <xf numFmtId="0" fontId="0" fillId="0" borderId="0" xfId="0" quotePrefix="1" applyProtection="1">
      <protection locked="0"/>
    </xf>
    <xf numFmtId="0" fontId="19" fillId="4" borderId="80" xfId="0" applyFont="1" applyFill="1" applyBorder="1" applyAlignment="1" applyProtection="1">
      <alignment wrapText="1"/>
      <protection locked="0"/>
    </xf>
    <xf numFmtId="0" fontId="0" fillId="2" borderId="6" xfId="0" applyFill="1" applyBorder="1" applyProtection="1">
      <protection locked="0"/>
    </xf>
    <xf numFmtId="0" fontId="0" fillId="2" borderId="4" xfId="0" applyFill="1" applyBorder="1" applyProtection="1">
      <protection locked="0"/>
    </xf>
    <xf numFmtId="0" fontId="0" fillId="3" borderId="21" xfId="0" applyFont="1" applyFill="1" applyBorder="1" applyProtection="1">
      <protection locked="0"/>
    </xf>
    <xf numFmtId="0" fontId="0" fillId="3" borderId="20" xfId="0" applyFont="1" applyFill="1" applyBorder="1" applyProtection="1">
      <protection locked="0"/>
    </xf>
    <xf numFmtId="0" fontId="0" fillId="3" borderId="28" xfId="0" applyFont="1" applyFill="1" applyBorder="1" applyProtection="1">
      <protection locked="0"/>
    </xf>
    <xf numFmtId="0" fontId="19" fillId="4" borderId="81" xfId="0" applyFont="1" applyFill="1" applyBorder="1" applyProtection="1"/>
    <xf numFmtId="0" fontId="19" fillId="4" borderId="66" xfId="0" applyFont="1" applyFill="1" applyBorder="1" applyProtection="1"/>
    <xf numFmtId="0" fontId="0" fillId="3" borderId="83" xfId="0" applyFont="1" applyFill="1" applyBorder="1" applyProtection="1">
      <protection locked="0"/>
    </xf>
    <xf numFmtId="0" fontId="0" fillId="3" borderId="84" xfId="0" applyFont="1" applyFill="1" applyBorder="1" applyProtection="1">
      <protection locked="0"/>
    </xf>
    <xf numFmtId="0" fontId="0" fillId="3" borderId="85" xfId="0" applyFont="1" applyFill="1" applyBorder="1" applyProtection="1">
      <protection locked="0"/>
    </xf>
    <xf numFmtId="0" fontId="20" fillId="0" borderId="66" xfId="0" applyFont="1" applyFill="1" applyBorder="1" applyProtection="1"/>
    <xf numFmtId="0" fontId="11" fillId="0" borderId="6" xfId="0" applyFont="1" applyFill="1" applyBorder="1" applyProtection="1"/>
    <xf numFmtId="0" fontId="11" fillId="0" borderId="82" xfId="0" applyFont="1" applyFill="1" applyBorder="1" applyProtection="1"/>
    <xf numFmtId="0" fontId="20" fillId="0" borderId="35" xfId="0" applyFont="1" applyFill="1" applyBorder="1" applyProtection="1"/>
    <xf numFmtId="0" fontId="11" fillId="0" borderId="86" xfId="0" applyFont="1" applyFill="1" applyBorder="1" applyProtection="1"/>
    <xf numFmtId="0" fontId="0" fillId="0" borderId="0" xfId="0" applyNumberFormat="1"/>
    <xf numFmtId="0" fontId="1" fillId="0" borderId="12" xfId="0" applyFont="1" applyBorder="1" applyAlignment="1" applyProtection="1">
      <alignment horizontal="center"/>
    </xf>
    <xf numFmtId="0" fontId="1" fillId="0" borderId="13" xfId="0" applyFont="1" applyBorder="1" applyAlignment="1" applyProtection="1">
      <alignment horizontal="center"/>
    </xf>
    <xf numFmtId="0" fontId="1" fillId="0" borderId="14" xfId="0" applyFont="1" applyBorder="1" applyAlignment="1" applyProtection="1">
      <alignment horizontal="center"/>
    </xf>
    <xf numFmtId="0" fontId="1" fillId="0" borderId="17" xfId="0" applyFont="1" applyBorder="1" applyAlignment="1" applyProtection="1">
      <alignment horizontal="center"/>
    </xf>
    <xf numFmtId="0" fontId="1" fillId="0" borderId="18" xfId="0" applyFont="1" applyBorder="1" applyAlignment="1" applyProtection="1">
      <alignment horizontal="center"/>
    </xf>
    <xf numFmtId="0" fontId="1" fillId="0" borderId="19" xfId="0" applyFont="1" applyBorder="1" applyAlignment="1" applyProtection="1">
      <alignment horizontal="center"/>
    </xf>
    <xf numFmtId="0" fontId="1" fillId="0" borderId="7" xfId="0" applyFont="1" applyBorder="1" applyAlignment="1" applyProtection="1">
      <alignment horizontal="center"/>
      <protection locked="0"/>
    </xf>
    <xf numFmtId="0" fontId="1" fillId="0" borderId="8" xfId="0" applyFont="1" applyBorder="1" applyAlignment="1" applyProtection="1">
      <alignment horizontal="center"/>
      <protection locked="0"/>
    </xf>
    <xf numFmtId="0" fontId="1" fillId="0" borderId="65" xfId="0" applyFont="1" applyBorder="1" applyAlignment="1">
      <alignment horizontal="center"/>
    </xf>
    <xf numFmtId="0" fontId="1" fillId="0" borderId="66" xfId="0" applyFont="1" applyBorder="1" applyAlignment="1">
      <alignment horizontal="center"/>
    </xf>
    <xf numFmtId="0" fontId="1" fillId="0" borderId="7" xfId="0" applyFont="1" applyBorder="1" applyAlignment="1" applyProtection="1">
      <alignment horizontal="center"/>
    </xf>
    <xf numFmtId="0" fontId="1" fillId="0" borderId="8" xfId="0" applyFont="1" applyBorder="1" applyAlignment="1" applyProtection="1">
      <alignment horizontal="center"/>
    </xf>
    <xf numFmtId="0" fontId="1" fillId="0" borderId="0" xfId="0" applyFont="1" applyBorder="1" applyAlignment="1" applyProtection="1">
      <alignment horizontal="center"/>
    </xf>
    <xf numFmtId="0" fontId="1" fillId="0" borderId="12" xfId="0" applyFont="1" applyBorder="1" applyAlignment="1" applyProtection="1">
      <alignment horizontal="center"/>
      <protection locked="0"/>
    </xf>
    <xf numFmtId="0" fontId="1" fillId="0" borderId="13" xfId="0" applyFont="1" applyBorder="1" applyAlignment="1" applyProtection="1">
      <alignment horizontal="center"/>
      <protection locked="0"/>
    </xf>
    <xf numFmtId="0" fontId="1" fillId="0" borderId="14" xfId="0" applyFont="1" applyBorder="1" applyAlignment="1" applyProtection="1">
      <alignment horizontal="center"/>
      <protection locked="0"/>
    </xf>
    <xf numFmtId="0" fontId="1" fillId="0" borderId="17" xfId="0" applyFont="1" applyBorder="1" applyAlignment="1" applyProtection="1">
      <alignment horizontal="center"/>
      <protection locked="0"/>
    </xf>
    <xf numFmtId="0" fontId="1" fillId="0" borderId="18" xfId="0" applyFont="1" applyBorder="1" applyAlignment="1" applyProtection="1">
      <alignment horizontal="center"/>
      <protection locked="0"/>
    </xf>
    <xf numFmtId="0" fontId="1" fillId="0" borderId="19" xfId="0" applyFont="1" applyBorder="1" applyAlignment="1" applyProtection="1">
      <alignment horizontal="center"/>
      <protection locked="0"/>
    </xf>
    <xf numFmtId="0" fontId="1" fillId="0" borderId="63" xfId="0" applyFont="1" applyBorder="1" applyAlignment="1">
      <alignment horizontal="center"/>
    </xf>
    <xf numFmtId="0" fontId="1" fillId="0" borderId="64" xfId="0" applyFont="1" applyBorder="1" applyAlignment="1">
      <alignment horizontal="center"/>
    </xf>
    <xf numFmtId="0" fontId="1" fillId="0" borderId="61" xfId="0" applyFont="1" applyBorder="1" applyAlignment="1">
      <alignment horizontal="center"/>
    </xf>
    <xf numFmtId="0" fontId="1" fillId="0" borderId="55" xfId="0" applyFont="1" applyBorder="1" applyAlignment="1" applyProtection="1">
      <alignment horizontal="center"/>
    </xf>
    <xf numFmtId="0" fontId="1" fillId="0" borderId="56" xfId="0" applyFont="1" applyBorder="1" applyAlignment="1" applyProtection="1">
      <alignment horizontal="center"/>
    </xf>
    <xf numFmtId="0" fontId="1" fillId="0" borderId="57" xfId="0" applyFont="1" applyBorder="1" applyAlignment="1" applyProtection="1">
      <alignment horizontal="center"/>
    </xf>
    <xf numFmtId="0" fontId="1" fillId="0" borderId="58" xfId="0" applyFont="1" applyBorder="1" applyAlignment="1">
      <alignment horizontal="center"/>
    </xf>
    <xf numFmtId="0" fontId="1" fillId="0" borderId="59" xfId="0" applyFont="1" applyBorder="1" applyAlignment="1">
      <alignment horizontal="center"/>
    </xf>
    <xf numFmtId="0" fontId="1" fillId="0" borderId="60" xfId="0" applyFont="1" applyBorder="1" applyAlignment="1">
      <alignment horizontal="center"/>
    </xf>
    <xf numFmtId="0" fontId="1" fillId="0" borderId="55" xfId="0" applyFont="1" applyBorder="1" applyAlignment="1" applyProtection="1">
      <alignment horizontal="center"/>
      <protection locked="0"/>
    </xf>
    <xf numFmtId="0" fontId="1" fillId="0" borderId="56" xfId="0" applyFont="1" applyBorder="1" applyAlignment="1" applyProtection="1">
      <alignment horizontal="center"/>
      <protection locked="0"/>
    </xf>
    <xf numFmtId="0" fontId="1" fillId="0" borderId="57" xfId="0" applyFont="1" applyBorder="1" applyAlignment="1" applyProtection="1">
      <alignment horizontal="center"/>
      <protection locked="0"/>
    </xf>
    <xf numFmtId="0" fontId="1" fillId="0" borderId="55" xfId="0" applyFont="1" applyBorder="1" applyAlignment="1">
      <alignment horizontal="center"/>
    </xf>
    <xf numFmtId="0" fontId="1" fillId="0" borderId="56" xfId="0" applyFont="1" applyBorder="1" applyAlignment="1">
      <alignment horizontal="center"/>
    </xf>
    <xf numFmtId="0" fontId="1" fillId="0" borderId="57" xfId="0" applyFont="1" applyBorder="1" applyAlignment="1">
      <alignment horizontal="center"/>
    </xf>
  </cellXfs>
  <cellStyles count="4">
    <cellStyle name="Followed Hyperlink" xfId="2" builtinId="9" hidden="1"/>
    <cellStyle name="Hyperlink" xfId="1" builtinId="8" hidden="1"/>
    <cellStyle name="Hyperlink" xfId="3" builtinId="8"/>
    <cellStyle name="Normal" xfId="0" builtinId="0"/>
  </cellStyles>
  <dxfs count="304">
    <dxf>
      <font>
        <b/>
        <i/>
        <color rgb="FFFF0000"/>
      </font>
      <fill>
        <patternFill>
          <bgColor rgb="FFFFC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ill>
        <patternFill patternType="none">
          <bgColor auto="1"/>
        </patternFill>
      </fill>
    </dxf>
    <dxf>
      <font>
        <b/>
        <i/>
        <color rgb="FFFFC000"/>
      </font>
      <fill>
        <patternFill>
          <bgColor rgb="FFFF0000"/>
        </patternFill>
      </fill>
    </dxf>
    <dxf>
      <font>
        <b/>
        <i/>
        <color rgb="FFFFC000"/>
      </font>
      <fill>
        <patternFill>
          <bgColor rgb="FFFF0000"/>
        </patternFill>
      </fill>
    </dxf>
    <dxf>
      <font>
        <b val="0"/>
        <i/>
        <strike/>
      </font>
    </dxf>
    <dxf>
      <font>
        <b/>
        <i/>
        <color rgb="FFFFC000"/>
      </font>
      <fill>
        <patternFill>
          <bgColor rgb="FFFF0000"/>
        </patternFill>
      </fill>
    </dxf>
    <dxf>
      <font>
        <b/>
        <i/>
        <color theme="1"/>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bgColor rgb="FFFFFF66"/>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val="0"/>
      </font>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ont>
        <b/>
        <i/>
        <color rgb="FFFFC000"/>
      </font>
      <fill>
        <patternFill>
          <bgColor rgb="FFFF0000"/>
        </patternFill>
      </fill>
    </dxf>
    <dxf>
      <fill>
        <patternFill patternType="solid">
          <fgColor indexed="64"/>
          <bgColor rgb="FFFFFF99"/>
        </patternFill>
      </fill>
      <protection locked="0" hidden="0"/>
    </dxf>
    <dxf>
      <fill>
        <patternFill patternType="solid">
          <fgColor indexed="64"/>
          <bgColor rgb="FFFFFF99"/>
        </patternFill>
      </fill>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style="medium">
          <color auto="1"/>
        </right>
        <top style="thin">
          <color auto="1"/>
        </top>
        <bottom style="thin">
          <color auto="1"/>
        </bottom>
        <vertical/>
        <horizontal style="thin">
          <color auto="1"/>
        </horizontal>
      </border>
    </dxf>
    <dxf>
      <fill>
        <patternFill patternType="solid">
          <fgColor indexed="64"/>
          <bgColor rgb="FFFFFF99"/>
        </patternFill>
      </fill>
      <border diagonalUp="0" diagonalDown="0">
        <left style="thin">
          <color auto="1"/>
        </left>
        <right/>
        <top style="thin">
          <color auto="1"/>
        </top>
        <bottom style="thin">
          <color auto="1"/>
        </bottom>
        <vertical/>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dxf>
    <dxf>
      <fill>
        <patternFill patternType="solid">
          <fgColor indexed="64"/>
          <bgColor rgb="FFFFFF66"/>
        </patternFill>
      </fill>
      <border diagonalUp="0" diagonalDown="0">
        <left/>
        <right style="thin">
          <color auto="1"/>
        </right>
        <top style="thin">
          <color auto="1"/>
        </top>
        <bottom style="thin">
          <color auto="1"/>
        </bottom>
        <vertical/>
        <horizontal/>
      </border>
    </dxf>
    <dxf>
      <border outline="0">
        <left style="medium">
          <color auto="1"/>
        </left>
        <right style="medium">
          <color auto="1"/>
        </right>
        <top style="thin">
          <color auto="1"/>
        </top>
        <bottom style="medium">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ill>
        <patternFill patternType="solid">
          <fgColor indexed="64"/>
          <bgColor rgb="FFFFFF99"/>
        </patternFill>
      </fill>
      <border diagonalUp="0" diagonalDown="0">
        <left style="thin">
          <color auto="1"/>
        </left>
        <right style="medium">
          <color auto="1"/>
        </right>
        <top style="thin">
          <color auto="1"/>
        </top>
        <bottom style="thin">
          <color auto="1"/>
        </bottom>
        <vertical style="thin">
          <color auto="1"/>
        </vertical>
        <horizontal style="thin">
          <color auto="1"/>
        </horizontal>
      </border>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dxf>
    <dxf>
      <fill>
        <patternFill patternType="solid">
          <fgColor indexed="64"/>
          <bgColor rgb="FFFFFF99"/>
        </patternFill>
      </fill>
      <border diagonalUp="0" diagonalDown="0">
        <left style="medium">
          <color auto="1"/>
        </left>
        <right style="thin">
          <color auto="1"/>
        </right>
        <top style="thin">
          <color auto="1"/>
        </top>
        <bottom style="thin">
          <color auto="1"/>
        </bottom>
        <vertical style="thin">
          <color auto="1"/>
        </vertical>
        <horizontal style="thin">
          <color auto="1"/>
        </horizontal>
      </border>
    </dxf>
    <dxf>
      <border outline="0">
        <left style="thick">
          <color auto="1"/>
        </left>
        <right style="thick">
          <color auto="1"/>
        </right>
        <top style="thin">
          <color auto="1"/>
        </top>
        <bottom style="thick">
          <color auto="1"/>
        </bottom>
      </border>
    </dxf>
    <dxf>
      <border outline="0">
        <bottom style="double">
          <color auto="1"/>
        </bottom>
      </border>
    </dxf>
    <dxf>
      <font>
        <b/>
        <i val="0"/>
        <strike val="0"/>
        <condense val="0"/>
        <extend val="0"/>
        <outline val="0"/>
        <shadow val="0"/>
        <u val="none"/>
        <vertAlign val="baseline"/>
        <sz val="11"/>
        <color theme="1"/>
        <name val="Calibri"/>
        <scheme val="minor"/>
      </font>
      <border diagonalUp="0" diagonalDown="0" outline="0">
        <left style="thin">
          <color auto="1"/>
        </left>
        <right style="thin">
          <color auto="1"/>
        </right>
        <top/>
        <bottom/>
      </border>
    </dxf>
    <dxf>
      <font>
        <b/>
        <i val="0"/>
        <strike val="0"/>
        <condense val="0"/>
        <extend val="0"/>
        <outline val="0"/>
        <shadow val="0"/>
        <u val="none"/>
        <vertAlign val="baseline"/>
        <sz val="11"/>
        <color theme="1"/>
        <name val="Calibri"/>
        <scheme val="minor"/>
      </font>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general" vertical="bottom" textRotation="0" wrapText="1" indent="0" justifyLastLine="0" shrinkToFit="0" readingOrder="0"/>
      <protection locked="0" hidden="0"/>
    </dxf>
    <dxf>
      <numFmt numFmtId="0" formatCode="General"/>
    </dxf>
    <dxf>
      <numFmt numFmtId="0" formatCode="General"/>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numFmt numFmtId="0" formatCode="General"/>
      <protection locked="0" hidden="0"/>
    </dxf>
    <dxf>
      <protection locked="0" hidden="0"/>
    </dxf>
    <dxf>
      <protection locked="0" hidden="0"/>
    </dxf>
    <dxf>
      <protection locked="0" hidden="0"/>
    </dxf>
    <dxf>
      <protection locked="0" hidden="0"/>
    </dxf>
    <dxf>
      <protection locked="0" hidden="0"/>
    </dxf>
    <dxf>
      <protection locked="0" hidden="0"/>
    </dxf>
    <dxf>
      <font>
        <b/>
        <i val="0"/>
        <strike val="0"/>
        <condense val="0"/>
        <extend val="0"/>
        <outline val="0"/>
        <shadow val="0"/>
        <u val="none"/>
        <vertAlign val="baseline"/>
        <sz val="11"/>
        <color theme="1"/>
        <name val="Calibri"/>
        <scheme val="minor"/>
      </font>
      <alignment horizontal="general" vertical="bottom" textRotation="0" wrapText="1" indent="0" justifyLastLine="0" shrinkToFit="0" readingOrder="0"/>
      <protection locked="0"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horizontal style="thin">
          <color auto="1"/>
        </horizontal>
      </border>
      <protection locked="1" hidden="0"/>
    </dxf>
    <dxf>
      <fill>
        <patternFill patternType="solid">
          <fgColor indexed="64"/>
          <bgColor rgb="FFFFFF66"/>
        </patternFill>
      </fill>
      <protection locked="0"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right style="medium">
          <color auto="1"/>
        </right>
        <top/>
        <bottom/>
        <vertical/>
        <horizontal/>
      </border>
      <protection locked="1"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99"/>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thin">
          <color auto="1"/>
        </left>
        <right style="medium">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style="thin">
          <color auto="1"/>
        </left>
        <right style="thin">
          <color auto="1"/>
        </right>
        <top style="double">
          <color auto="1"/>
        </top>
        <bottom style="double">
          <color auto="1"/>
        </bottom>
        <vertical style="thin">
          <color auto="1"/>
        </vertical>
        <horizontal style="double">
          <color auto="1"/>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outline="0">
        <left style="thin">
          <color auto="1"/>
        </left>
        <right style="thin">
          <color auto="1"/>
        </right>
        <top/>
        <bottom/>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fill>
        <patternFill patternType="solid">
          <fgColor indexed="64"/>
          <bgColor rgb="FFFFFF66"/>
        </patternFill>
      </fill>
      <protection locked="0" hidden="0"/>
    </dxf>
    <dxf>
      <fill>
        <patternFill patternType="solid">
          <fgColor indexed="64"/>
          <bgColor rgb="FFFFFF99"/>
        </patternFill>
      </fill>
      <border diagonalUp="0" diagonalDown="0">
        <left style="medium">
          <color auto="1"/>
        </left>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border diagonalUp="0" diagonalDown="0">
        <left/>
        <right style="medium">
          <color auto="1"/>
        </right>
        <top/>
        <bottom/>
        <vertical/>
        <horizontal/>
      </border>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ill>
        <patternFill patternType="solid">
          <fgColor indexed="64"/>
          <bgColor rgb="FFFFFF66"/>
        </patternFill>
      </fill>
      <protection locked="0" hidden="0"/>
    </dxf>
    <dxf>
      <font>
        <b val="0"/>
        <i/>
        <strike val="0"/>
        <condense val="0"/>
        <extend val="0"/>
        <outline val="0"/>
        <shadow val="0"/>
        <u val="none"/>
        <vertAlign val="baseline"/>
        <sz val="11"/>
        <color theme="0" tint="-0.499984740745262"/>
        <name val="Calibri"/>
        <scheme val="minor"/>
      </font>
      <fill>
        <patternFill patternType="none">
          <fgColor indexed="64"/>
          <bgColor indexed="65"/>
        </patternFill>
      </fill>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top/>
        <bottom/>
        <vertical/>
        <horizontal/>
      </border>
      <protection locked="1" hidden="0"/>
    </dxf>
    <dxf>
      <protection locked="0" hidden="0"/>
    </dxf>
    <dxf>
      <border outline="0">
        <left style="medium">
          <color auto="1"/>
        </left>
        <right style="thin">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ill>
        <patternFill patternType="solid">
          <fgColor indexed="64"/>
          <bgColor rgb="FFFFFF99"/>
        </patternFill>
      </fill>
      <alignment vertical="bottom" textRotation="0" wrapText="1" justifyLastLine="0" shrinkToFit="0" readingOrder="0"/>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66"/>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bottom/>
        <vertical/>
        <horizontal/>
      </border>
      <protection locked="0" hidden="0"/>
    </dxf>
    <dxf>
      <fill>
        <patternFill patternType="solid">
          <fgColor indexed="64"/>
          <bgColor rgb="FFFFFF99"/>
        </patternFill>
      </fill>
      <border diagonalUp="0" diagonalDown="0">
        <left style="thin">
          <color auto="1"/>
        </left>
        <right style="thin">
          <color auto="1"/>
        </right>
        <top/>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alignment horizontal="general" vertical="bottom" textRotation="0" wrapText="1" indent="0" justifyLastLine="0" shrinkToFit="0" readingOrder="0"/>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style="thin">
          <color auto="1"/>
        </left>
        <right style="thin">
          <color auto="1"/>
        </right>
        <top/>
        <bottom/>
        <vertical/>
        <horizontal/>
      </border>
      <protection locked="0" hidden="0"/>
    </dxf>
    <dxf>
      <fill>
        <patternFill patternType="solid">
          <fgColor indexed="64"/>
          <bgColor rgb="FFFFFF66"/>
        </patternFill>
      </fill>
      <border diagonalUp="0" diagonalDown="0">
        <left/>
        <right style="thin">
          <color auto="1"/>
        </right>
        <top/>
        <bottom/>
        <vertical/>
        <horizontal/>
      </border>
      <protection locked="0" hidden="0"/>
    </dxf>
    <dxf>
      <border outline="0">
        <left style="medium">
          <color auto="1"/>
        </left>
        <right style="medium">
          <color auto="1"/>
        </right>
        <bottom style="medium">
          <color auto="1"/>
        </bottom>
      </border>
    </dxf>
    <dxf>
      <protection locked="0" hidden="0"/>
    </dxf>
    <dxf>
      <border outline="0">
        <bottom style="double">
          <color auto="1"/>
        </bottom>
      </border>
    </dxf>
    <dxf>
      <font>
        <b val="0"/>
        <i/>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fill>
        <patternFill patternType="solid">
          <fgColor indexed="64"/>
          <bgColor rgb="FFFFFF66"/>
        </patternFill>
      </fill>
      <border diagonalUp="0" diagonalDown="0">
        <left/>
        <right/>
        <top style="thin">
          <color auto="1"/>
        </top>
        <bottom style="thin">
          <color auto="1"/>
        </bottom>
        <vertical/>
        <horizontal style="thin">
          <color auto="1"/>
        </horizontal>
      </border>
      <protection locked="0" hidden="0"/>
    </dxf>
    <dxf>
      <border outline="0">
        <left style="medium">
          <color auto="1"/>
        </left>
        <right style="medium">
          <color auto="1"/>
        </right>
        <bottom style="medium">
          <color auto="1"/>
        </bottom>
      </border>
    </dxf>
    <dxf>
      <fill>
        <patternFill patternType="solid">
          <fgColor indexed="64"/>
          <bgColor rgb="FFFFFF66"/>
        </patternFill>
      </fill>
      <protection locked="0" hidden="0"/>
    </dxf>
    <dxf>
      <border>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vertical style="thin">
          <color auto="1"/>
        </vertical>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style="thin">
          <color auto="1"/>
        </left>
        <right style="thin">
          <color auto="1"/>
        </right>
        <top style="thin">
          <color theme="4" tint="0.39997558519241921"/>
        </top>
        <bottom style="thin">
          <color theme="4" tint="0.3999755851924192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66"/>
        </patternFill>
      </fill>
      <border diagonalUp="0" diagonalDown="0">
        <left/>
        <right style="thin">
          <color auto="1"/>
        </right>
        <top style="thin">
          <color theme="4" tint="0.39997558519241921"/>
        </top>
        <bottom style="thin">
          <color theme="4" tint="0.39997558519241921"/>
        </bottom>
        <vertical/>
        <horizontal/>
      </border>
      <protection locked="0" hidden="0"/>
    </dxf>
    <dxf>
      <border outline="0">
        <left style="medium">
          <color auto="1"/>
        </left>
        <right style="medium">
          <color auto="1"/>
        </right>
        <top style="medium">
          <color auto="1"/>
        </top>
        <bottom style="medium">
          <color auto="1"/>
        </bottom>
      </border>
    </dxf>
    <dxf>
      <font>
        <b val="0"/>
        <i val="0"/>
        <strike val="0"/>
        <condense val="0"/>
        <extend val="0"/>
        <outline val="0"/>
        <shadow val="0"/>
        <u val="none"/>
        <vertAlign val="baseline"/>
        <sz val="11"/>
        <color theme="1"/>
        <name val="Calibri"/>
        <scheme val="minor"/>
      </font>
      <fill>
        <patternFill patternType="solid">
          <fgColor indexed="64"/>
          <bgColor rgb="FFFFFF99"/>
        </patternFill>
      </fill>
      <protection locked="0" hidden="0"/>
    </dxf>
    <dxf>
      <border outline="0">
        <bottom style="double">
          <color auto="1"/>
        </bottom>
      </border>
    </dxf>
    <dxf>
      <font>
        <b/>
        <i/>
        <strike val="0"/>
        <condense val="0"/>
        <extend val="0"/>
        <outline val="0"/>
        <shadow val="0"/>
        <u val="none"/>
        <vertAlign val="baseline"/>
        <sz val="11"/>
        <color theme="0"/>
        <name val="Calibri"/>
        <scheme val="minor"/>
      </font>
      <fill>
        <patternFill patternType="solid">
          <fgColor theme="4"/>
          <bgColor theme="4"/>
        </patternFill>
      </fill>
      <border diagonalUp="0" diagonalDown="0">
        <left style="thin">
          <color auto="1"/>
        </left>
        <right style="thin">
          <color auto="1"/>
        </right>
        <top/>
        <bottom/>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double">
          <color auto="1"/>
        </top>
        <bottom style="double">
          <color auto="1"/>
        </bottom>
        <vertical/>
        <horizontal style="double">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medium">
          <color auto="1"/>
        </left>
        <right style="medium">
          <color auto="1"/>
        </right>
        <top style="thin">
          <color auto="1"/>
        </top>
        <bottom style="thin">
          <color auto="1"/>
        </bottom>
        <vertical style="medium">
          <color auto="1"/>
        </vertical>
        <horizontal style="thin">
          <color auto="1"/>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medium">
          <color auto="1"/>
        </top>
        <bottom style="medium">
          <color auto="1"/>
        </bottom>
      </border>
    </dxf>
    <dxf>
      <protection locked="0" hidden="0"/>
    </dxf>
    <dxf>
      <border>
        <bottom style="double">
          <color auto="1"/>
        </bottom>
      </border>
    </dxf>
    <dxf>
      <border diagonalUp="0" diagonalDown="0">
        <left style="thin">
          <color auto="1"/>
        </left>
        <right style="thin">
          <color auto="1"/>
        </right>
        <top/>
        <bottom/>
        <vertical style="thin">
          <color auto="1"/>
        </vertical>
        <horizontal/>
      </border>
      <protection locked="1" hidden="0"/>
    </dxf>
    <dxf>
      <fill>
        <patternFill patternType="solid">
          <fgColor indexed="64"/>
          <bgColor rgb="FFFFFF99"/>
        </patternFill>
      </fill>
      <border diagonalUp="0" diagonalDown="0">
        <left style="thin">
          <color auto="1"/>
        </left>
        <right/>
        <top style="thin">
          <color auto="1"/>
        </top>
        <bottom style="thin">
          <color auto="1"/>
        </bottom>
        <vertical/>
        <horizontal/>
      </border>
      <protection locked="0" hidden="0"/>
    </dxf>
    <dxf>
      <numFmt numFmtId="0" formatCode="General"/>
      <fill>
        <patternFill patternType="none">
          <fgColor indexed="64"/>
          <bgColor indexed="65"/>
        </patternFill>
      </fill>
      <border diagonalUp="0" diagonalDown="0">
        <left/>
        <right style="thin">
          <color auto="1"/>
        </right>
        <top style="thin">
          <color auto="1"/>
        </top>
        <bottom style="thin">
          <color auto="1"/>
        </bottom>
        <vertical/>
        <horizontal/>
      </border>
      <protection locked="1" hidden="0"/>
    </dxf>
    <dxf>
      <border outline="0">
        <left style="medium">
          <color auto="1"/>
        </left>
        <right style="medium">
          <color auto="1"/>
        </right>
        <top style="thin">
          <color auto="1"/>
        </top>
        <bottom style="medium">
          <color auto="1"/>
        </bottom>
      </border>
    </dxf>
    <dxf>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
      <font>
        <b val="0"/>
        <i/>
        <strike val="0"/>
        <outline val="0"/>
        <shadow val="0"/>
        <u val="none"/>
        <vertAlign val="baseline"/>
        <sz val="11"/>
        <color theme="0" tint="-0.499984740745262"/>
        <name val="Calibri"/>
        <scheme val="minor"/>
      </font>
      <numFmt numFmtId="0" formatCode="General"/>
      <fill>
        <patternFill patternType="none">
          <fgColor indexed="64"/>
          <bgColor auto="1"/>
        </patternFill>
      </fill>
      <border diagonalUp="0" diagonalDown="0">
        <left style="thin">
          <color auto="1"/>
        </left>
        <right style="medium">
          <color auto="1"/>
        </right>
        <top style="thin">
          <color auto="1"/>
        </top>
        <bottom style="thin">
          <color auto="1"/>
        </bottom>
        <vertical style="thin">
          <color auto="1"/>
        </vertical>
        <horizontal style="thin">
          <color auto="1"/>
        </horizontal>
      </border>
      <protection locked="1" hidden="0"/>
    </dxf>
    <dxf>
      <font>
        <b val="0"/>
        <i/>
        <strike val="0"/>
        <outline val="0"/>
        <shadow val="0"/>
        <u val="none"/>
        <vertAlign val="baseline"/>
        <sz val="11"/>
        <color theme="0" tint="-0.34998626667073579"/>
        <name val="Calibri"/>
        <scheme val="minor"/>
      </font>
      <numFmt numFmtId="0" formatCode="General"/>
      <fill>
        <patternFill patternType="none">
          <fgColor indexed="64"/>
          <bgColor auto="1"/>
        </patternFill>
      </fill>
      <border diagonalUp="0" diagonalDown="0">
        <left style="thin">
          <color auto="1"/>
        </left>
        <right style="thin">
          <color auto="1"/>
        </right>
        <top style="thin">
          <color auto="1"/>
        </top>
        <bottom style="thin">
          <color auto="1"/>
        </bottom>
        <vertical style="thin">
          <color auto="1"/>
        </vertical>
        <horizontal style="thin">
          <color auto="1"/>
        </horizontal>
      </border>
      <protection locked="1"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style="thin">
          <color auto="1"/>
        </top>
        <bottom style="thin">
          <color auto="1"/>
        </bottom>
        <vertical/>
        <horizontal/>
      </border>
      <protection locked="0" hidden="0"/>
    </dxf>
    <dxf>
      <font>
        <b val="0"/>
        <i val="0"/>
        <strike val="0"/>
        <condense val="0"/>
        <extend val="0"/>
        <outline val="0"/>
        <shadow val="0"/>
        <u val="none"/>
        <vertAlign val="baseline"/>
        <sz val="11"/>
        <color theme="1"/>
        <name val="Calibri"/>
        <scheme val="minor"/>
      </font>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99"/>
        </patternFill>
      </fill>
      <border diagonalUp="0" diagonalDown="0">
        <left style="thin">
          <color auto="1"/>
        </left>
        <right style="thin">
          <color auto="1"/>
        </right>
        <top style="thin">
          <color auto="1"/>
        </top>
        <bottom style="thin">
          <color auto="1"/>
        </bottom>
        <vertical/>
        <horizontal/>
      </border>
      <protection locked="0" hidden="0"/>
    </dxf>
    <dxf>
      <fill>
        <patternFill patternType="solid">
          <fgColor indexed="64"/>
          <bgColor rgb="FFFFFF66"/>
        </patternFill>
      </fill>
      <border diagonalUp="0" diagonalDown="0">
        <left/>
        <right style="thin">
          <color auto="1"/>
        </right>
        <top style="thin">
          <color auto="1"/>
        </top>
        <bottom style="thin">
          <color auto="1"/>
        </bottom>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border outline="0">
        <bottom style="double">
          <color auto="1"/>
        </bottom>
      </border>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0" hidden="0"/>
    </dxf>
    <dxf>
      <fill>
        <patternFill patternType="solid">
          <fgColor indexed="64"/>
          <bgColor rgb="FFFFFF99"/>
        </patternFill>
      </fill>
      <border diagonalUp="0" diagonalDown="0">
        <left style="thin">
          <color auto="1"/>
        </left>
        <right style="medium">
          <color auto="1"/>
        </right>
        <top/>
        <bottom/>
        <vertical style="thin">
          <color auto="1"/>
        </vertical>
        <horizontal/>
      </border>
      <protection locked="0" hidden="0"/>
    </dxf>
    <dxf>
      <fill>
        <patternFill patternType="solid">
          <fgColor indexed="64"/>
          <bgColor rgb="FFFFFF99"/>
        </patternFill>
      </fill>
      <alignment horizontal="general" vertical="bottom" textRotation="0" wrapText="1" indent="0" justifyLastLine="0" shrinkToFit="0" readingOrder="0"/>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thin">
          <color auto="1"/>
        </left>
        <right style="thin">
          <color auto="1"/>
        </right>
        <top/>
        <bottom/>
        <vertical style="thin">
          <color auto="1"/>
        </vertical>
        <horizontal/>
      </border>
      <protection locked="0" hidden="0"/>
    </dxf>
    <dxf>
      <fill>
        <patternFill patternType="solid">
          <fgColor indexed="64"/>
          <bgColor rgb="FFFFFF66"/>
        </patternFill>
      </fill>
      <border diagonalUp="0" diagonalDown="0">
        <left style="medium">
          <color auto="1"/>
        </left>
        <right style="thin">
          <color auto="1"/>
        </right>
        <top/>
        <bottom/>
        <vertical style="thin">
          <color auto="1"/>
        </vertical>
        <horizontal/>
      </border>
      <protection locked="0" hidden="0"/>
    </dxf>
    <dxf>
      <border outline="0">
        <left style="medium">
          <color auto="1"/>
        </left>
        <right style="medium">
          <color auto="1"/>
        </right>
        <top style="thin">
          <color auto="1"/>
        </top>
        <bottom style="medium">
          <color auto="1"/>
        </bottom>
      </border>
    </dxf>
    <dxf>
      <fill>
        <patternFill patternType="solid">
          <fgColor indexed="64"/>
          <bgColor rgb="FFFFFF66"/>
        </patternFill>
      </fill>
      <protection locked="0" hidden="0"/>
    </dxf>
    <dxf>
      <font>
        <b/>
        <i val="0"/>
        <strike val="0"/>
        <condense val="0"/>
        <extend val="0"/>
        <outline val="0"/>
        <shadow val="0"/>
        <u val="none"/>
        <vertAlign val="baseline"/>
        <sz val="11"/>
        <color theme="1"/>
        <name val="Calibri"/>
        <scheme val="minor"/>
      </font>
      <border diagonalUp="0" diagonalDown="0">
        <left style="thin">
          <color auto="1"/>
        </left>
        <right style="thin">
          <color auto="1"/>
        </right>
        <top/>
        <bottom/>
      </border>
      <protection locked="1" hidden="0"/>
    </dxf>
  </dxfs>
  <tableStyles count="0" defaultTableStyle="TableStyleMedium2" defaultPivotStyle="PivotStyleLight16"/>
  <colors>
    <mruColors>
      <color rgb="FFFFFF66"/>
      <color rgb="FFFFFF99"/>
      <color rgb="FFFFFF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12</xdr:col>
          <xdr:colOff>66675</xdr:colOff>
          <xdr:row>2</xdr:row>
          <xdr:rowOff>38100</xdr:rowOff>
        </xdr:from>
        <xdr:to>
          <xdr:col>14</xdr:col>
          <xdr:colOff>266700</xdr:colOff>
          <xdr:row>4</xdr:row>
          <xdr:rowOff>95250</xdr:rowOff>
        </xdr:to>
        <xdr:sp macro="" textlink="">
          <xdr:nvSpPr>
            <xdr:cNvPr id="35841" name="GenerateYODA" hidden="1">
              <a:extLst>
                <a:ext uri="{63B3BB69-23CF-44E3-9099-C40C66FF867C}">
                  <a14:compatExt spid="_x0000_s35841"/>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Generate YODA File</a:t>
              </a:r>
            </a:p>
          </xdr:txBody>
        </xdr:sp>
        <xdr:clientData fPrintsWithSheet="0"/>
      </xdr:twoCellAnchor>
    </mc:Choice>
    <mc:Fallback/>
  </mc:AlternateContent>
</xdr:wsDr>
</file>

<file path=xl/tables/table1.xml><?xml version="1.0" encoding="utf-8"?>
<table xmlns="http://schemas.openxmlformats.org/spreadsheetml/2006/main" id="3" name="Organizations" displayName="Organizations" ref="A8:E18" totalsRowShown="0" headerRowDxfId="303" dataDxfId="302" tableBorderDxfId="301">
  <tableColumns count="5">
    <tableColumn id="1" name="Organization Type [CV]" dataDxfId="300"/>
    <tableColumn id="2" name="Organization Code" dataDxfId="299"/>
    <tableColumn id="3" name="Organization Name" dataDxfId="298"/>
    <tableColumn id="4" name="Organization Description" dataDxfId="297"/>
    <tableColumn id="5" name="Organization Link" dataDxfId="296"/>
  </tableColumns>
  <tableStyleInfo name="TableStyleMedium2" showFirstColumn="0" showLastColumn="0" showRowStripes="1" showColumnStripes="0"/>
</table>
</file>

<file path=xl/tables/table2.xml><?xml version="1.0" encoding="utf-8"?>
<table xmlns="http://schemas.openxmlformats.org/spreadsheetml/2006/main" id="4" name="People" displayName="People" ref="A23:I33" totalsRowShown="0" headerRowDxfId="295" dataDxfId="293" headerRowBorderDxfId="294" tableBorderDxfId="292">
  <tableColumns count="9">
    <tableColumn id="1" name="First Name" dataDxfId="291"/>
    <tableColumn id="2" name="Middle Name" dataDxfId="290"/>
    <tableColumn id="3" name="Last Name" dataDxfId="289"/>
    <tableColumn id="5" name="Organization Name" dataDxfId="288"/>
    <tableColumn id="6" name="Primary Email" dataDxfId="287"/>
    <tableColumn id="7" name="Primary Address" dataDxfId="286"/>
    <tableColumn id="10" name="Person OrcID" dataDxfId="285"/>
    <tableColumn id="8" name="Full Name" dataDxfId="284">
      <calculatedColumnFormula>CONCATENATE(People[[#This Row],[First Name]],IF(People[[#This Row],[Middle Name]]="",""," "),People[[#This Row],[Middle Name]]," ",People[[#This Row],[Last Name]])</calculatedColumnFormula>
    </tableColumn>
    <tableColumn id="9" name="ExternalIDNum" dataDxfId="283">
      <calculatedColumnFormula>IF(People[[#This Row],[Person OrcID]]&lt;&gt;"",MAX(INDIRECT(CONCATENATE("R",ROW(People[#Headers]),"C",COLUMN(),":R",ROW()-1,"C",COLUMN()),FALSE))+1,"")</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5" name="AuthorList" displayName="AuthorList" ref="A22:B32" totalsRowShown="0" headerRowDxfId="282" dataDxfId="280" headerRowBorderDxfId="281" tableBorderDxfId="279">
  <tableColumns count="2">
    <tableColumn id="1" name="Author Number" dataDxfId="278">
      <calculatedColumnFormula>IF(AuthorList[[#This Row],[Author Name]]&lt;&gt;"",MAX(INDIRECT(CONCATENATE("R",ROW(AuthorList[#Headers]),"C",COLUMN(),":R",ROW()-1,"C",COLUMN()),FALSE))+1,"")</calculatedColumnFormula>
    </tableColumn>
    <tableColumn id="2" name="Author Name" dataDxfId="277"/>
  </tableColumns>
  <tableStyleInfo name="TableStyleMedium2" showFirstColumn="0" showLastColumn="0" showRowStripes="1" showColumnStripes="0"/>
</table>
</file>

<file path=xl/tables/table4.xml><?xml version="1.0" encoding="utf-8"?>
<table xmlns="http://schemas.openxmlformats.org/spreadsheetml/2006/main" id="2" name="SamplingFeatures" displayName="SamplingFeatures" ref="A12:R62" totalsRowShown="0" headerRowDxfId="276" dataDxfId="274" headerRowBorderDxfId="275" tableBorderDxfId="273">
  <tableColumns count="18">
    <tableColumn id="1" name="Sampling Feature UUID" dataDxfId="272"/>
    <tableColumn id="2" name="Sampling Feature Type" dataDxfId="271"/>
    <tableColumn id="3" name="Feature Geo Type" dataDxfId="270"/>
    <tableColumn id="4" name="Feature Code" dataDxfId="269"/>
    <tableColumn id="5" name="Feature Name" dataDxfId="268"/>
    <tableColumn id="6" name="Feature Description" dataDxfId="267"/>
    <tableColumn id="7" name="Feature Geometry" dataDxfId="266"/>
    <tableColumn id="8" name="Elevation_m" dataDxfId="265"/>
    <tableColumn id="9" name="Feature IGSN" dataDxfId="264"/>
    <tableColumn id="10" name="IGSNID" dataDxfId="263">
      <calculatedColumnFormula>IF(SamplingFeatures[[#This Row],[Feature IGSN]]&lt;&gt;"",MAX(INDIRECT(CONCATENATE("R",ROW(SamplingFeatures[#Headers]),"C",COLUMN(),":R",ROW()-1,"C",COLUMN()),FALSE))+1,"")</calculatedColumnFormula>
    </tableColumn>
    <tableColumn id="11" name="SiteID" dataDxfId="262">
      <calculatedColumnFormula>IF(SamplingFeatures[[#This Row],[Sampling Feature Type]]="Site",MAX(INDIRECT(CONCATENATE("R",ROW(SamplingFeatures[#Headers]),"C",COLUMN(),":R",ROW()-1,"C",COLUMN()),FALSE))+1,"")</calculatedColumnFormula>
    </tableColumn>
    <tableColumn id="12" name="Site Type" dataDxfId="261"/>
    <tableColumn id="13" name="Latitude" dataDxfId="260"/>
    <tableColumn id="14" name="Longitude" dataDxfId="259"/>
    <tableColumn id="15" name="SpecimenID" dataDxfId="258">
      <calculatedColumnFormula>IF(SamplingFeatures[[#This Row],[Sampling Feature Type]]="Specimen",MAX(INDIRECT(CONCATENATE("R",ROW(SamplingFeatures[#Headers]),"C",COLUMN(),":R",ROW()-1,"C",COLUMN()),FALSE))+1,"")</calculatedColumnFormula>
    </tableColumn>
    <tableColumn id="16" name="Specimen Type" dataDxfId="257"/>
    <tableColumn id="17" name="Specimen Medium" dataDxfId="256"/>
    <tableColumn id="18" name="Is Field Specimen?" dataDxfId="255"/>
  </tableColumns>
  <tableStyleInfo name="TableStyleMedium2" showFirstColumn="0" showLastColumn="0" showRowStripes="1" showColumnStripes="0"/>
</table>
</file>

<file path=xl/tables/table5.xml><?xml version="1.0" encoding="utf-8"?>
<table xmlns="http://schemas.openxmlformats.org/spreadsheetml/2006/main" id="18" name="SpatialOffsets" displayName="SpatialOffsets" ref="A7:H39" totalsRowShown="0" headerRowDxfId="254" dataDxfId="252" headerRowBorderDxfId="253" tableBorderDxfId="251">
  <tableColumns count="8">
    <tableColumn id="1" name="Spatial Offset Code" dataDxfId="250"/>
    <tableColumn id="2" name="Spatial Offset Type" dataDxfId="249"/>
    <tableColumn id="3" name="Offset 1 Value" dataDxfId="248"/>
    <tableColumn id="4" name="Offset 1 Unit" dataDxfId="247"/>
    <tableColumn id="5" name="Offset 2 Value" dataDxfId="246"/>
    <tableColumn id="6" name="Offset 2 Unit" dataDxfId="245"/>
    <tableColumn id="7" name="Offset 3 Value" dataDxfId="244"/>
    <tableColumn id="8" name="Offset 3 Unit" dataDxfId="243"/>
  </tableColumns>
  <tableStyleInfo name="TableStyleMedium2" showFirstColumn="0" showLastColumn="0" showRowStripes="1" showColumnStripes="0"/>
</table>
</file>

<file path=xl/tables/table6.xml><?xml version="1.0" encoding="utf-8"?>
<table xmlns="http://schemas.openxmlformats.org/spreadsheetml/2006/main" id="9" name="RelatedFeatures" displayName="RelatedFeatures" ref="A8:D40" totalsRowShown="0" headerRowDxfId="242" dataDxfId="240" headerRowBorderDxfId="241" tableBorderDxfId="239">
  <tableColumns count="4">
    <tableColumn id="1" name="First Sampling Feature Code" dataDxfId="238"/>
    <tableColumn id="2" name="Relationship Type" dataDxfId="237"/>
    <tableColumn id="3" name="Second Sampling Feature Code" dataDxfId="236"/>
    <tableColumn id="5" name="Spatial Offset Code" dataDxfId="235"/>
  </tableColumns>
  <tableStyleInfo name="TableStyleMedium2" showFirstColumn="0" showLastColumn="0" showRowStripes="1" showColumnStripes="0"/>
</table>
</file>

<file path=xl/tables/table7.xml><?xml version="1.0" encoding="utf-8"?>
<table xmlns="http://schemas.openxmlformats.org/spreadsheetml/2006/main" id="10" name="Methods" displayName="Methods" ref="A9:F30" totalsRowShown="0" headerRowDxfId="234" dataDxfId="232" headerRowBorderDxfId="233" tableBorderDxfId="231">
  <tableColumns count="6">
    <tableColumn id="1" name="Method Type" dataDxfId="230"/>
    <tableColumn id="2" name="Method Code" dataDxfId="229"/>
    <tableColumn id="3" name="Method Name" dataDxfId="228"/>
    <tableColumn id="4" name="Method Description" dataDxfId="227"/>
    <tableColumn id="5" name="Method Link" dataDxfId="226"/>
    <tableColumn id="6" name="Organization Name" dataDxfId="225"/>
  </tableColumns>
  <tableStyleInfo name="TableStyleMedium2" showFirstColumn="0" showLastColumn="0" showRowStripes="1" showColumnStripes="0"/>
</table>
</file>

<file path=xl/tables/table8.xml><?xml version="1.0" encoding="utf-8"?>
<table xmlns="http://schemas.openxmlformats.org/spreadsheetml/2006/main" id="11" name="Variables" displayName="Variables" ref="A8:F28" totalsRowShown="0" headerRowDxfId="224" dataDxfId="222" headerRowBorderDxfId="223" tableBorderDxfId="221">
  <tableColumns count="6">
    <tableColumn id="1" name="Variable Type" dataDxfId="220"/>
    <tableColumn id="2" name="Variable Code" dataDxfId="219"/>
    <tableColumn id="3" name="Variable Name" dataDxfId="218"/>
    <tableColumn id="4" name="Variable Definition" dataDxfId="217"/>
    <tableColumn id="5" name="Speciation" dataDxfId="216"/>
    <tableColumn id="6" name="No Data Value" dataDxfId="215"/>
  </tableColumns>
  <tableStyleInfo name="TableStyleMedium2" showFirstColumn="0" showLastColumn="0" showRowStripes="1" showColumnStripes="0"/>
</table>
</file>

<file path=xl/tables/table9.xml><?xml version="1.0" encoding="utf-8"?>
<table xmlns="http://schemas.openxmlformats.org/spreadsheetml/2006/main" id="13" name="ProcessingLevels" displayName="ProcessingLevels" ref="A10:C28" totalsRowShown="0" headerRowDxfId="214" dataDxfId="212" headerRowBorderDxfId="213" tableBorderDxfId="211">
  <tableColumns count="3">
    <tableColumn id="1" name="Processing Level Code" dataDxfId="210"/>
    <tableColumn id="2" name="Definition" dataDxfId="209"/>
    <tableColumn id="3" name="Explanation" dataDxfId="208"/>
  </tableColumns>
  <tableStyleInfo name="TableStyleMedium2" showFirstColumn="0" showLastColumn="0" showRowStripes="1" showColumnStripes="0"/>
</table>
</file>

<file path=xl/tables/table10.xml><?xml version="1.0" encoding="utf-8"?>
<table xmlns="http://schemas.openxmlformats.org/spreadsheetml/2006/main" id="14" name="TaxonomicClassifiers" displayName="TaxonomicClassifiers" ref="A7:D26" totalsRowShown="0" dataDxfId="206" headerRowBorderDxfId="207" tableBorderDxfId="205">
  <tableColumns count="4">
    <tableColumn id="1" name="Taxonomic Classifier Type" dataDxfId="204"/>
    <tableColumn id="2" name="Taxonomic Classifier Name" dataDxfId="203"/>
    <tableColumn id="3" name="Taxonomic Classifier Common Name" dataDxfId="202"/>
    <tableColumn id="4" name="Taxonomic Classifier Description" dataDxfId="201"/>
  </tableColumns>
  <tableStyleInfo name="TableStyleMedium2" showFirstColumn="0" showLastColumn="0" showRowStripes="1" showColumnStripes="0"/>
</table>
</file>

<file path=xl/tables/table11.xml><?xml version="1.0" encoding="utf-8"?>
<table xmlns="http://schemas.openxmlformats.org/spreadsheetml/2006/main" id="12" name="DataColumns" displayName="DataColumns" ref="A12:AC99" headerRowDxfId="200" dataDxfId="198" totalsRowDxfId="196" headerRowBorderDxfId="199" tableBorderDxfId="197">
  <tableColumns count="29">
    <tableColumn id="1" name="Col#" totalsRowLabel="Total" dataDxfId="195" totalsRowDxfId="194">
      <calculatedColumnFormula>IF(COUNTA(DataColumns[[#This Row],[ColumnLabel]:[QualityCodeCV]])&gt;0,IF(MAX(INDIRECT(CONCATENATE("R",ROW(DataColumns[#Headers]),"C",COLUMN(),":R",ROW()-1,"C",COLUMN()),FALSE))=0,1,MAX(INDIRECT(CONCATENATE("R",ROW(DataColumns[#Headers]),"C",COLUMN(),":R",ROW()-1,"C",COLUMN()),FALSE))+1),"")</calculatedColumnFormula>
    </tableColumn>
    <tableColumn id="2" name="ColumnLabel" dataDxfId="193" totalsRowDxfId="192"/>
    <tableColumn id="17" name="ColumnType" dataDxfId="191" totalsRowDxfId="190"/>
    <tableColumn id="22" name="AppliesToColumn" dataDxfId="189" totalsRowDxfId="188"/>
    <tableColumn id="18" name="ParentSamplingFeatureCode" dataDxfId="187" totalsRowDxfId="186"/>
    <tableColumn id="24" name="RelationshipTypeCV" dataDxfId="185" totalsRowDxfId="184"/>
    <tableColumn id="28" name="CollectionDateTimeUTCOffset" dataDxfId="183" totalsRowDxfId="182"/>
    <tableColumn id="3" name="SpecimenCollector" dataDxfId="181" totalsRowDxfId="180"/>
    <tableColumn id="27" name="CollectionMethodCode" dataDxfId="179" totalsRowDxfId="178"/>
    <tableColumn id="20" name="SpecimenMediumCV" dataDxfId="177" totalsRowDxfId="176"/>
    <tableColumn id="21" name="SpecimenTypeCV" dataDxfId="175" totalsRowDxfId="174"/>
    <tableColumn id="4" name="IsFieldSpecimen" dataDxfId="173" totalsRowDxfId="172"/>
    <tableColumn id="23" name="SpatialOffsetCode" dataDxfId="171" totalsRowDxfId="170"/>
    <tableColumn id="6" name="ResultTypeCV" dataDxfId="169" totalsRowDxfId="168"/>
    <tableColumn id="7" name="VariableCode" dataDxfId="167" totalsRowDxfId="166"/>
    <tableColumn id="8" name="UnitName" dataDxfId="165" totalsRowDxfId="164"/>
    <tableColumn id="11" name="SampledMediumCV" dataDxfId="163" totalsRowDxfId="162"/>
    <tableColumn id="10" name="ResultAnalyst" dataDxfId="161" totalsRowDxfId="160"/>
    <tableColumn id="29" name="AnalysisDateTimeUTCOffset" dataDxfId="159" totalsRowDxfId="158"/>
    <tableColumn id="5" name="AnalysisMethodCode" dataDxfId="157" totalsRowDxfId="156"/>
    <tableColumn id="9" name="ProcessingLevelCode" dataDxfId="155" totalsRowDxfId="154"/>
    <tableColumn id="15" name="CensorCodeCV" dataDxfId="153" totalsRowDxfId="152"/>
    <tableColumn id="16" name="QualityCodeCV" dataDxfId="151" totalsRowDxfId="150"/>
    <tableColumn id="19" name="TaxonomicClassifierName" dataDxfId="149" totalsRowDxfId="148"/>
    <tableColumn id="12" name="TimeAggregationInterval" dataDxfId="147" totalsRowDxfId="146"/>
    <tableColumn id="13" name="TimeAggregationIntervalUnitCode" dataDxfId="145" totalsRowDxfId="144"/>
    <tableColumn id="14" name="AggregationStatisticCV" totalsRowFunction="count" dataDxfId="143" totalsRowDxfId="142"/>
    <tableColumn id="25" name="DVNum" dataDxfId="141" totalsRowDxfId="140">
      <calculatedColumnFormula>IF(DataColumns[[#This Row],[ColumnType]]="ResultValue",IF(MAX(INDIRECT(CONCATENATE("R",ROW(DataColumns[#Headers]),"C",COLUMN(),":R",ROW()-1,"C",COLUMN()),FALSE))=0,1,MAX(INDIRECT(CONCATENATE("R",ROW(DataColumns[#Headers]),"C",COLUMN(),":R",ROW()-1,"C",COLUMN()),FALSE))+1),"")</calculatedColumnFormula>
    </tableColumn>
    <tableColumn id="26" name="Concat" dataDxfId="139" totalsRowDxfId="138">
      <calculatedColumnFormula>IF(DataColumns[[#This Row],[ColumnType]]="ResultValue",CONCATENATE(DataColumns[[#This Row],[ColumnType]],DataColumns[[#This Row],[ColumnLabel]]),CONCATENATE(DataColumns[[#This Row],[ColumnType]],DataColumns[[#This Row],[AppliesToColumn]]))</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7" name="SpecimenColumnFinder" displayName="SpecimenColumnFinder" ref="A1:L16" totalsRowShown="0" headerRowDxfId="137" dataDxfId="136">
  <sortState ref="A2:L16">
    <sortCondition ref="B1"/>
  </sortState>
  <tableColumns count="12">
    <tableColumn id="1" name="DataType" dataDxfId="135"/>
    <tableColumn id="2" name="ODM Table" dataDxfId="134"/>
    <tableColumn id="5" name="CV Name" dataDxfId="133"/>
    <tableColumn id="3" name="REQUIRED" dataDxfId="132"/>
    <tableColumn id="4" name="VBV or Column" dataDxfId="131"/>
    <tableColumn id="12" name="Data Columns Input Column" dataDxfId="130">
      <calculatedColumnFormula>MATCH(SpecimenColumnFinder[[#This Row],[DataType]],DataColumns[#Headers],0)</calculatedColumnFormula>
    </tableColumn>
    <tableColumn id="6" name="Data Values Column Number" dataDxfId="129">
      <calculatedColumnFormula>MATCH(SpecimenColumnFinder[[#This Row],[DataType]],DataColumns[ColumnType],0)</calculatedColumnFormula>
    </tableColumn>
    <tableColumn id="9" name="Num Required" dataDxfId="128">
      <calculatedColumnFormula>IF(SpecimenColumnFinder[[#This Row],[REQUIRED]]="Optional",0,
IF(SpecimenColumnFinder[[#This Row],[VBV or Column]]="Value-By-Value",NumSpecimens,
1))</calculatedColumnFormula>
    </tableColumn>
    <tableColumn id="7" name="Num Given" dataDxfId="127">
      <calculatedColumnFormula>IF(ISERROR(SpecimenColumnFinder[[#This Row],[Data Values Column Number]]),
IF(ISERROR(INDEX(DataColumns[],SpecimenColumnNumber,SpecimenColumnFinder[[#This Row],[Data Columns Input Column]])),
0,
1),
COUNTA(INDIRECT(CONCATENATE("'Data Values'!C",SpecimenColumnFinder[[#This Row],[Data Values Column Number]]),FALSE))-1)</calculatedColumnFormula>
    </tableColumn>
    <tableColumn id="10" name="Error?" dataDxfId="126">
      <calculatedColumnFormula>IF(SpecimenColumnFinder[[#This Row],[Num Given]]&lt;SpecimenColumnFinder[[#This Row],[Num Required]],
"MISSING",
"OK")</calculatedColumnFormula>
    </tableColumn>
    <tableColumn id="11" name="First Value Address" dataDxfId="125">
      <calculatedColumnFormula>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calculatedColumnFormula>
    </tableColumn>
    <tableColumn id="13" name="First Value" dataDxfId="124">
      <calculatedColumnFormula>INDIRECT(SpecimenColumnFinder[[#This Row],[First Value Address]],FALSE)</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6" name="ResultColumnLabels" displayName="ResultColumnLabels" ref="A1:B1001" totalsRowShown="0">
  <autoFilter ref="A1:B1001"/>
  <tableColumns count="2">
    <tableColumn id="1" name="Data Value Number" dataDxfId="123">
      <calculatedColumnFormula>IF(ROW()-1&gt;NumDataColumns,"",MAX(INDIRECT(CONCATENATE("R",ROW(ResultColumnLabels[#Headers]),"C",COLUMN(),":R",ROW()-1,"C",COLUMN()),FALSE))+1)</calculatedColumnFormula>
    </tableColumn>
    <tableColumn id="2" name="Data Value Label" dataDxfId="122">
      <calculatedColumnFormula>IF(ResultColumnLabels[[#This Row],[Data Value Number]]="","",INDEX(DataColumns[ColumnLabel],MATCH(ResultColumnLabels[[#This Row],[Data Value Number]],DataColumns[DVNum],0)))</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9" name="ResultColumnFinder" displayName="ResultColumnFinder" ref="A1:Q19" totalsRowShown="0" headerRowDxfId="121" dataDxfId="119" headerRowBorderDxfId="120" tableBorderDxfId="118" totalsRowBorderDxfId="117">
  <tableColumns count="17">
    <tableColumn id="1" name="DataType" dataDxfId="116"/>
    <tableColumn id="2" name="ODM Table" dataDxfId="115"/>
    <tableColumn id="3" name="CV Name" dataDxfId="114"/>
    <tableColumn id="5" name="REQUIRED" dataDxfId="113"/>
    <tableColumn id="6" name="VBV or Column" dataDxfId="112"/>
    <tableColumn id="14" name="DV Num" dataDxfId="111"/>
    <tableColumn id="15" name="Data Value Label" dataDxfId="110">
      <calculatedColumnFormula>INDEX(DataColumns[ColumnLabel],MATCH(ResultColumnFinder[[#This Row],[DV Num]],DataColumns[DVNum],0))</calculatedColumnFormula>
    </tableColumn>
    <tableColumn id="20" name="Concat" dataDxfId="109">
      <calculatedColumnFormula>CONCATENATE(ResultColumnFinder[[#This Row],[DataType]],ResultColumnFinder[[#This Row],[Data Value Label]])</calculatedColumnFormula>
    </tableColumn>
    <tableColumn id="22" name="Concat2" dataDxfId="108">
      <calculatedColumnFormula>CONCATENATE(ResultColumnFinder[[#This Row],[DataType]],ResultColumnFinder[[#This Row],[DV Num]])</calculatedColumnFormula>
    </tableColumn>
    <tableColumn id="7" name="Data Columns Input Column" dataDxfId="107">
      <calculatedColumnFormula>MATCH(ResultColumnFinder[[#This Row],[DataType]],DataColumns[#Headers],0)</calculatedColumnFormula>
    </tableColumn>
    <tableColumn id="21" name="Data Values Input Row" dataDxfId="106">
      <calculatedColumnFormula>MATCH(CONCATENATE("ResultValue",ResultColumnFinder[[#This Row],[Data Value Label]]),DataColumns[Concat],0)</calculatedColumnFormula>
    </tableColumn>
    <tableColumn id="8" name="Data Values Column Number" dataDxfId="105">
      <calculatedColumnFormula>MATCH(ResultColumnFinder[[#This Row],[Concat]],DataColumns[Concat],0)</calculatedColumnFormula>
    </tableColumn>
    <tableColumn id="9" name="Num Required" dataDxfId="104">
      <calculatedColumnFormula>IF(ResultColumnFinder[[#This Row],[REQUIRED]]="Optional",0,
IF(ResultColumnFinder[[#This Row],[VBV or Column]]="Value-By-Value",NumSpecimens,
1))</calculatedColumnFormula>
    </tableColumn>
    <tableColumn id="10" name="Num Given" dataDxfId="103">
      <calculatedColumnFormula>IF(ISERROR(ResultColumnFinder[[#This Row],[Data Values Column Number]]),
IF(ISERROR(ResultColumnFinder[[#This Row],[Data Columns Input Column]]),
0,
IF(INDEX(DataColumns[],ResultColumnFinder[[#This Row],[Data Values Input Row]],ResultColumnFinder[[#This Row],[Data Columns Input Column]])="",
0,
1)),
1)</calculatedColumnFormula>
    </tableColumn>
    <tableColumn id="11" name="Error?" dataDxfId="102">
      <calculatedColumnFormula>IF(ResultColumnFinder[[#This Row],[Num Given]]&lt;ResultColumnFinder[[#This Row],[Num Required]],
"MISSING",
"OK")</calculatedColumnFormula>
    </tableColumn>
    <tableColumn id="12" name="First Value Address" dataDxfId="101">
      <calculatedColumnFormula>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calculatedColumnFormula>
    </tableColumn>
    <tableColumn id="13" name="First Value" dataDxfId="100">
      <calculatedColumnFormula>INDIRECT(ResultColumnFinder[[#This Row],[First Value Address]],FALSE)</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 name="ControlledVocabularies" displayName="ControlledVocabularies" ref="A1:X793" totalsRowShown="0" headerRowDxfId="99">
  <autoFilter ref="A1:X793"/>
  <tableColumns count="24">
    <tableColumn id="11" name="Boolean"/>
    <tableColumn id="9" name="NotApplicable"/>
    <tableColumn id="8" name="ColumnTypes"/>
    <tableColumn id="1" name="OrganizationTypeCV"/>
    <tableColumn id="2" name="DatasetTypeCV"/>
    <tableColumn id="3" name="SamplingFeatureTypeCV"/>
    <tableColumn id="4" name="SamplingFeatureGeotypeCV"/>
    <tableColumn id="5" name="SiteTypeCV"/>
    <tableColumn id="6" name="SpecimenTypeCV"/>
    <tableColumn id="7" name="ElevationDatumCV"/>
    <tableColumn id="10" name="RelationshipTypeCV"/>
    <tableColumn id="12" name="SampledMediumCV"/>
    <tableColumn id="13" name="SpatialOffsetTypeCV"/>
    <tableColumn id="15" name="MethodTypeCV"/>
    <tableColumn id="16" name="VariableTypeCV"/>
    <tableColumn id="17" name="VariableNameCV"/>
    <tableColumn id="24" name="SpeciationCV"/>
    <tableColumn id="18" name="ResultTypeCV"/>
    <tableColumn id="19" name="CensorCodeCV"/>
    <tableColumn id="20" name="QualityCodeCV"/>
    <tableColumn id="21" name="AggregationStatisticCV"/>
    <tableColumn id="22" name="StatusCV"/>
    <tableColumn id="23" name="ActionTypeCV"/>
    <tableColumn id="14" name="TaxonomicClassifierTypeCV"/>
  </tableColumns>
  <tableStyleInfo name="TableStyleMedium2" showFirstColumn="0" showLastColumn="0" showRowStripes="1" showColumnStripes="0"/>
</table>
</file>

<file path=xl/tables/table16.xml><?xml version="1.0" encoding="utf-8"?>
<table xmlns="http://schemas.openxmlformats.org/spreadsheetml/2006/main" id="8" name="SpatialReferences" displayName="SpatialReferences" ref="A4:D8" totalsRowShown="0" headerRowDxfId="98" headerRowBorderDxfId="97" tableBorderDxfId="96">
  <autoFilter ref="A4:D8"/>
  <tableColumns count="4">
    <tableColumn id="1" name="SRSCode" dataDxfId="95"/>
    <tableColumn id="2" name="SRSName" dataDxfId="94"/>
    <tableColumn id="3" name="SRSDescription" dataDxfId="93"/>
    <tableColumn id="4" name="SRSLink" dataDxfId="92"/>
  </tableColumns>
  <tableStyleInfo name="TableStyleMedium2" showFirstColumn="0" showLastColumn="0" showRowStripes="1" showColumnStripes="0"/>
</table>
</file>

<file path=xl/tables/table17.xml><?xml version="1.0" encoding="utf-8"?>
<table xmlns="http://schemas.openxmlformats.org/spreadsheetml/2006/main" id="16" name="ExternalIdentifiers" displayName="ExternalIdentifiers" ref="A17:E20" totalsRowShown="0" headerRowDxfId="91" headerRowBorderDxfId="90" tableBorderDxfId="89">
  <autoFilter ref="A17:E20"/>
  <tableColumns count="5">
    <tableColumn id="1" name="External Identifier System Name" dataDxfId="88"/>
    <tableColumn id="2" name="Identifier System Organization Name" dataDxfId="87"/>
    <tableColumn id="3" name="External Identifier System Descrption" dataDxfId="86"/>
    <tableColumn id="4" name="External Identifier System URL" dataDxfId="85" dataCellStyle="Hyperlink"/>
    <tableColumn id="5" name="URI Structure" dataDxfId="84"/>
  </tableColumns>
  <tableStyleInfo name="TableStyleMedium2" showFirstColumn="0" showLastColumn="0" showRowStripes="1" showColumnStripes="0"/>
</table>
</file>

<file path=xl/tables/table18.xml><?xml version="1.0" encoding="utf-8"?>
<table xmlns="http://schemas.openxmlformats.org/spreadsheetml/2006/main" id="17" name="ExternalIDOrgs" displayName="ExternalIDOrgs" ref="A4:E7" totalsRowShown="0" headerRowDxfId="83" headerRowBorderDxfId="82" tableBorderDxfId="81">
  <autoFilter ref="A4:E7"/>
  <tableColumns count="5">
    <tableColumn id="1" name="Organization Type [CV]" dataDxfId="80"/>
    <tableColumn id="2" name="Organization Code" dataDxfId="79"/>
    <tableColumn id="3" name="Organization Name" dataDxfId="78"/>
    <tableColumn id="4" name="Organization Description" dataDxfId="77"/>
    <tableColumn id="5" name="Organization Link" dataDxfId="76" dataCellStyle="Hyperlink"/>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table" Target="../tables/table2.xml"/></Relationships>
</file>

<file path=xl/worksheets/_rels/sheet3.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5.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5.v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table" Target="../tables/table8.xml"/><Relationship Id="rId1"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omments" Target="../comments7.xml"/><Relationship Id="rId5" Type="http://schemas.openxmlformats.org/officeDocument/2006/relationships/table" Target="../tables/table11.xml"/><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2.xml.rels><?xml version="1.0" encoding="UTF-8" standalone="yes"?>
<Relationships xmlns="http://schemas.openxmlformats.org/package/2006/relationships"><Relationship Id="rId8" Type="http://schemas.openxmlformats.org/officeDocument/2006/relationships/hyperlink" Target="http://orcid.org/" TargetMode="External"/><Relationship Id="rId3" Type="http://schemas.openxmlformats.org/officeDocument/2006/relationships/hyperlink" Target="http://www.doi.org/" TargetMode="External"/><Relationship Id="rId7" Type="http://schemas.openxmlformats.org/officeDocument/2006/relationships/hyperlink" Target="http://app.geosamples.org/sample/igsn/" TargetMode="External"/><Relationship Id="rId2" Type="http://schemas.openxmlformats.org/officeDocument/2006/relationships/hyperlink" Target="http://www.geosamples.org/" TargetMode="External"/><Relationship Id="rId1" Type="http://schemas.openxmlformats.org/officeDocument/2006/relationships/hyperlink" Target="http://orcid.org/" TargetMode="External"/><Relationship Id="rId6" Type="http://schemas.openxmlformats.org/officeDocument/2006/relationships/hyperlink" Target="http://www.geosamples.org/" TargetMode="External"/><Relationship Id="rId11" Type="http://schemas.openxmlformats.org/officeDocument/2006/relationships/table" Target="../tables/table18.xml"/><Relationship Id="rId5" Type="http://schemas.openxmlformats.org/officeDocument/2006/relationships/hyperlink" Target="http://www.doi.org/index.html" TargetMode="External"/><Relationship Id="rId10" Type="http://schemas.openxmlformats.org/officeDocument/2006/relationships/table" Target="../tables/table17.xml"/><Relationship Id="rId4" Type="http://schemas.openxmlformats.org/officeDocument/2006/relationships/hyperlink" Target="http://orcid.org/" TargetMode="External"/><Relationship Id="rId9"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112"/>
  <sheetViews>
    <sheetView tabSelected="1" zoomScaleNormal="100" workbookViewId="0"/>
  </sheetViews>
  <sheetFormatPr defaultColWidth="9.140625" defaultRowHeight="15" x14ac:dyDescent="0.25"/>
  <cols>
    <col min="1" max="1" width="115.140625" style="86" customWidth="1"/>
  </cols>
  <sheetData>
    <row r="1" spans="1:1" s="5" customFormat="1" ht="18.75" x14ac:dyDescent="0.3">
      <c r="A1" s="191" t="s">
        <v>1274</v>
      </c>
    </row>
    <row r="2" spans="1:1" s="5" customFormat="1" ht="18.75" x14ac:dyDescent="0.3">
      <c r="A2" s="192" t="s">
        <v>1543</v>
      </c>
    </row>
    <row r="3" spans="1:1" s="5" customFormat="1" ht="18.75" x14ac:dyDescent="0.3">
      <c r="A3" s="191" t="s">
        <v>1273</v>
      </c>
    </row>
    <row r="4" spans="1:1" s="5" customFormat="1" ht="18.75" x14ac:dyDescent="0.3">
      <c r="A4" s="192" t="s">
        <v>26</v>
      </c>
    </row>
    <row r="5" spans="1:1" s="5" customFormat="1" ht="18.75" x14ac:dyDescent="0.3">
      <c r="A5" s="191" t="s">
        <v>1272</v>
      </c>
    </row>
    <row r="6" spans="1:1" s="5" customFormat="1" ht="18.75" x14ac:dyDescent="0.3">
      <c r="A6" s="192" t="s">
        <v>1690</v>
      </c>
    </row>
    <row r="7" spans="1:1" s="5" customFormat="1" x14ac:dyDescent="0.25">
      <c r="A7" s="86"/>
    </row>
    <row r="8" spans="1:1" ht="18.75" x14ac:dyDescent="0.3">
      <c r="A8" s="191" t="s">
        <v>1189</v>
      </c>
    </row>
    <row r="9" spans="1:1" s="5" customFormat="1" ht="30" x14ac:dyDescent="0.25">
      <c r="A9" s="86" t="s">
        <v>1207</v>
      </c>
    </row>
    <row r="10" spans="1:1" s="5" customFormat="1" x14ac:dyDescent="0.25">
      <c r="A10" s="86"/>
    </row>
    <row r="11" spans="1:1" ht="18.75" x14ac:dyDescent="0.3">
      <c r="A11" s="191" t="s">
        <v>1188</v>
      </c>
    </row>
    <row r="12" spans="1:1" s="5" customFormat="1" x14ac:dyDescent="0.25">
      <c r="A12" s="193" t="s">
        <v>1459</v>
      </c>
    </row>
    <row r="13" spans="1:1" s="5" customFormat="1" ht="30" x14ac:dyDescent="0.25">
      <c r="A13" s="194" t="s">
        <v>1460</v>
      </c>
    </row>
    <row r="14" spans="1:1" s="5" customFormat="1" x14ac:dyDescent="0.25">
      <c r="A14" s="194" t="s">
        <v>1461</v>
      </c>
    </row>
    <row r="15" spans="1:1" s="5" customFormat="1" x14ac:dyDescent="0.25">
      <c r="A15" s="195" t="s">
        <v>1462</v>
      </c>
    </row>
    <row r="16" spans="1:1" s="5" customFormat="1" ht="30" x14ac:dyDescent="0.25">
      <c r="A16" s="194" t="s">
        <v>1463</v>
      </c>
    </row>
    <row r="17" spans="1:1" s="5" customFormat="1" ht="30" x14ac:dyDescent="0.25">
      <c r="A17" s="194" t="s">
        <v>1464</v>
      </c>
    </row>
    <row r="18" spans="1:1" s="5" customFormat="1" x14ac:dyDescent="0.25">
      <c r="A18" s="194" t="s">
        <v>1465</v>
      </c>
    </row>
    <row r="19" spans="1:1" s="5" customFormat="1" x14ac:dyDescent="0.25">
      <c r="A19" s="194" t="s">
        <v>1466</v>
      </c>
    </row>
    <row r="20" spans="1:1" s="5" customFormat="1" ht="30" x14ac:dyDescent="0.25">
      <c r="A20" s="194" t="s">
        <v>1467</v>
      </c>
    </row>
    <row r="21" spans="1:1" s="5" customFormat="1" ht="30" x14ac:dyDescent="0.25">
      <c r="A21" s="194" t="s">
        <v>1468</v>
      </c>
    </row>
    <row r="22" spans="1:1" s="5" customFormat="1" ht="30" x14ac:dyDescent="0.25">
      <c r="A22" s="194" t="s">
        <v>1469</v>
      </c>
    </row>
    <row r="23" spans="1:1" s="5" customFormat="1" x14ac:dyDescent="0.25">
      <c r="A23" s="195" t="s">
        <v>1494</v>
      </c>
    </row>
    <row r="24" spans="1:1" s="5" customFormat="1" ht="30" x14ac:dyDescent="0.25">
      <c r="A24" s="194" t="s">
        <v>1495</v>
      </c>
    </row>
    <row r="25" spans="1:1" s="5" customFormat="1" ht="30" x14ac:dyDescent="0.25">
      <c r="A25" s="194" t="s">
        <v>1496</v>
      </c>
    </row>
    <row r="26" spans="1:1" s="5" customFormat="1" x14ac:dyDescent="0.25">
      <c r="A26" s="194" t="s">
        <v>1499</v>
      </c>
    </row>
    <row r="27" spans="1:1" s="5" customFormat="1" ht="45" x14ac:dyDescent="0.25">
      <c r="A27" s="194" t="s">
        <v>1498</v>
      </c>
    </row>
    <row r="28" spans="1:1" s="5" customFormat="1" x14ac:dyDescent="0.25">
      <c r="A28" s="194" t="s">
        <v>1500</v>
      </c>
    </row>
    <row r="29" spans="1:1" s="5" customFormat="1" ht="30" x14ac:dyDescent="0.25">
      <c r="A29" s="194" t="s">
        <v>1501</v>
      </c>
    </row>
    <row r="30" spans="1:1" s="5" customFormat="1" ht="30" x14ac:dyDescent="0.25">
      <c r="A30" s="194" t="s">
        <v>1502</v>
      </c>
    </row>
    <row r="31" spans="1:1" s="5" customFormat="1" ht="30" x14ac:dyDescent="0.25">
      <c r="A31" s="194" t="s">
        <v>1503</v>
      </c>
    </row>
    <row r="32" spans="1:1" s="5" customFormat="1" ht="30" x14ac:dyDescent="0.25">
      <c r="A32" s="194" t="s">
        <v>1504</v>
      </c>
    </row>
    <row r="33" spans="1:1" s="5" customFormat="1" x14ac:dyDescent="0.25">
      <c r="A33" s="195" t="s">
        <v>1470</v>
      </c>
    </row>
    <row r="34" spans="1:1" s="5" customFormat="1" x14ac:dyDescent="0.25">
      <c r="A34" s="194" t="s">
        <v>1471</v>
      </c>
    </row>
    <row r="35" spans="1:1" ht="30" x14ac:dyDescent="0.25">
      <c r="A35" s="194" t="s">
        <v>1472</v>
      </c>
    </row>
    <row r="36" spans="1:1" ht="30" x14ac:dyDescent="0.25">
      <c r="A36" s="194" t="s">
        <v>1473</v>
      </c>
    </row>
    <row r="37" spans="1:1" s="5" customFormat="1" ht="30" x14ac:dyDescent="0.25">
      <c r="A37" s="194" t="s">
        <v>1474</v>
      </c>
    </row>
    <row r="38" spans="1:1" s="5" customFormat="1" ht="30" x14ac:dyDescent="0.25">
      <c r="A38" s="194" t="s">
        <v>1475</v>
      </c>
    </row>
    <row r="39" spans="1:1" ht="30" x14ac:dyDescent="0.25">
      <c r="A39" s="194" t="s">
        <v>1476</v>
      </c>
    </row>
    <row r="40" spans="1:1" x14ac:dyDescent="0.25">
      <c r="A40" s="195" t="s">
        <v>1477</v>
      </c>
    </row>
    <row r="41" spans="1:1" ht="30" x14ac:dyDescent="0.25">
      <c r="A41" s="194" t="s">
        <v>1478</v>
      </c>
    </row>
    <row r="42" spans="1:1" ht="30" x14ac:dyDescent="0.25">
      <c r="A42" s="194" t="s">
        <v>1479</v>
      </c>
    </row>
    <row r="43" spans="1:1" s="5" customFormat="1" ht="30" x14ac:dyDescent="0.25">
      <c r="A43" s="194" t="s">
        <v>1689</v>
      </c>
    </row>
    <row r="44" spans="1:1" ht="30" x14ac:dyDescent="0.25">
      <c r="A44" s="194" t="s">
        <v>1480</v>
      </c>
    </row>
    <row r="45" spans="1:1" ht="30" x14ac:dyDescent="0.25">
      <c r="A45" s="194" t="s">
        <v>1481</v>
      </c>
    </row>
    <row r="46" spans="1:1" ht="30" x14ac:dyDescent="0.25">
      <c r="A46" s="194" t="s">
        <v>1482</v>
      </c>
    </row>
    <row r="47" spans="1:1" ht="30" x14ac:dyDescent="0.25">
      <c r="A47" s="194" t="s">
        <v>1483</v>
      </c>
    </row>
    <row r="48" spans="1:1" x14ac:dyDescent="0.25">
      <c r="A48" s="194" t="s">
        <v>1484</v>
      </c>
    </row>
    <row r="49" spans="1:1" x14ac:dyDescent="0.25">
      <c r="A49" s="195" t="s">
        <v>1485</v>
      </c>
    </row>
    <row r="50" spans="1:1" x14ac:dyDescent="0.25">
      <c r="A50" s="194" t="s">
        <v>1486</v>
      </c>
    </row>
    <row r="51" spans="1:1" x14ac:dyDescent="0.25">
      <c r="A51" s="194" t="s">
        <v>1487</v>
      </c>
    </row>
    <row r="52" spans="1:1" x14ac:dyDescent="0.25">
      <c r="A52" s="194" t="s">
        <v>1488</v>
      </c>
    </row>
    <row r="53" spans="1:1" x14ac:dyDescent="0.25">
      <c r="A53" s="194" t="s">
        <v>1489</v>
      </c>
    </row>
    <row r="54" spans="1:1" x14ac:dyDescent="0.25">
      <c r="A54" s="195" t="s">
        <v>1490</v>
      </c>
    </row>
    <row r="55" spans="1:1" ht="30" x14ac:dyDescent="0.25">
      <c r="A55" s="194" t="s">
        <v>1491</v>
      </c>
    </row>
    <row r="56" spans="1:1" x14ac:dyDescent="0.25">
      <c r="A56" s="194" t="s">
        <v>1492</v>
      </c>
    </row>
    <row r="57" spans="1:1" ht="30" x14ac:dyDescent="0.25">
      <c r="A57" s="194" t="s">
        <v>1493</v>
      </c>
    </row>
    <row r="58" spans="1:1" s="5" customFormat="1" x14ac:dyDescent="0.25">
      <c r="A58" s="194"/>
    </row>
    <row r="59" spans="1:1" s="5" customFormat="1" ht="18.75" x14ac:dyDescent="0.3">
      <c r="A59" s="191" t="s">
        <v>1505</v>
      </c>
    </row>
    <row r="60" spans="1:1" s="5" customFormat="1" ht="30" x14ac:dyDescent="0.25">
      <c r="A60" s="194" t="s">
        <v>1507</v>
      </c>
    </row>
    <row r="61" spans="1:1" s="5" customFormat="1" x14ac:dyDescent="0.25">
      <c r="A61" s="194" t="s">
        <v>1509</v>
      </c>
    </row>
    <row r="62" spans="1:1" s="5" customFormat="1" ht="45" x14ac:dyDescent="0.25">
      <c r="A62" s="194" t="s">
        <v>1508</v>
      </c>
    </row>
    <row r="63" spans="1:1" s="5" customFormat="1" ht="30" x14ac:dyDescent="0.25">
      <c r="A63" s="194" t="s">
        <v>1510</v>
      </c>
    </row>
    <row r="64" spans="1:1" s="5" customFormat="1" ht="45" x14ac:dyDescent="0.25">
      <c r="A64" s="194" t="s">
        <v>1513</v>
      </c>
    </row>
    <row r="65" spans="1:1" s="5" customFormat="1" ht="75" x14ac:dyDescent="0.25">
      <c r="A65" s="194" t="s">
        <v>1514</v>
      </c>
    </row>
    <row r="66" spans="1:1" s="5" customFormat="1" ht="75" x14ac:dyDescent="0.25">
      <c r="A66" s="194" t="s">
        <v>1515</v>
      </c>
    </row>
    <row r="67" spans="1:1" s="5" customFormat="1" ht="75" x14ac:dyDescent="0.25">
      <c r="A67" s="194" t="s">
        <v>1516</v>
      </c>
    </row>
    <row r="68" spans="1:1" s="5" customFormat="1" ht="45" x14ac:dyDescent="0.25">
      <c r="A68" s="194" t="s">
        <v>1517</v>
      </c>
    </row>
    <row r="69" spans="1:1" s="5" customFormat="1" ht="30" x14ac:dyDescent="0.25">
      <c r="A69" s="194" t="s">
        <v>1511</v>
      </c>
    </row>
    <row r="70" spans="1:1" s="5" customFormat="1" ht="30" x14ac:dyDescent="0.25">
      <c r="A70" s="194" t="s">
        <v>1512</v>
      </c>
    </row>
    <row r="71" spans="1:1" s="5" customFormat="1" ht="30" x14ac:dyDescent="0.25">
      <c r="A71" s="194" t="s">
        <v>1518</v>
      </c>
    </row>
    <row r="72" spans="1:1" s="5" customFormat="1" ht="45" x14ac:dyDescent="0.25">
      <c r="A72" s="194" t="s">
        <v>1519</v>
      </c>
    </row>
    <row r="73" spans="1:1" s="5" customFormat="1" ht="75" x14ac:dyDescent="0.25">
      <c r="A73" s="194" t="s">
        <v>1520</v>
      </c>
    </row>
    <row r="74" spans="1:1" s="5" customFormat="1" ht="90" x14ac:dyDescent="0.25">
      <c r="A74" s="194" t="s">
        <v>1521</v>
      </c>
    </row>
    <row r="75" spans="1:1" s="5" customFormat="1" ht="75" x14ac:dyDescent="0.25">
      <c r="A75" s="196" t="s">
        <v>1523</v>
      </c>
    </row>
    <row r="76" spans="1:1" s="5" customFormat="1" ht="90" x14ac:dyDescent="0.25">
      <c r="A76" s="196" t="s">
        <v>1522</v>
      </c>
    </row>
    <row r="77" spans="1:1" s="5" customFormat="1" ht="30" x14ac:dyDescent="0.25">
      <c r="A77" s="194" t="s">
        <v>1524</v>
      </c>
    </row>
    <row r="78" spans="1:1" s="5" customFormat="1" ht="60" x14ac:dyDescent="0.25">
      <c r="A78" s="194" t="s">
        <v>1527</v>
      </c>
    </row>
    <row r="79" spans="1:1" s="5" customFormat="1" ht="60" x14ac:dyDescent="0.25">
      <c r="A79" s="194" t="s">
        <v>1528</v>
      </c>
    </row>
    <row r="80" spans="1:1" s="5" customFormat="1" ht="60" x14ac:dyDescent="0.25">
      <c r="A80" s="194" t="s">
        <v>1529</v>
      </c>
    </row>
    <row r="81" spans="1:1" s="5" customFormat="1" ht="75" x14ac:dyDescent="0.25">
      <c r="A81" s="194" t="s">
        <v>1530</v>
      </c>
    </row>
    <row r="82" spans="1:1" s="5" customFormat="1" ht="60" x14ac:dyDescent="0.25">
      <c r="A82" s="194" t="s">
        <v>1531</v>
      </c>
    </row>
    <row r="83" spans="1:1" s="5" customFormat="1" ht="60" x14ac:dyDescent="0.25">
      <c r="A83" s="194" t="s">
        <v>1532</v>
      </c>
    </row>
    <row r="84" spans="1:1" s="5" customFormat="1" ht="60" x14ac:dyDescent="0.25">
      <c r="A84" s="194" t="s">
        <v>1533</v>
      </c>
    </row>
    <row r="85" spans="1:1" s="5" customFormat="1" ht="45" x14ac:dyDescent="0.25">
      <c r="A85" s="194" t="s">
        <v>1534</v>
      </c>
    </row>
    <row r="86" spans="1:1" s="5" customFormat="1" ht="45" x14ac:dyDescent="0.25">
      <c r="A86" s="194" t="s">
        <v>1535</v>
      </c>
    </row>
    <row r="87" spans="1:1" s="5" customFormat="1" ht="60" x14ac:dyDescent="0.25">
      <c r="A87" s="194" t="s">
        <v>1536</v>
      </c>
    </row>
    <row r="88" spans="1:1" s="5" customFormat="1" ht="60" x14ac:dyDescent="0.25">
      <c r="A88" s="194" t="s">
        <v>1537</v>
      </c>
    </row>
    <row r="89" spans="1:1" s="5" customFormat="1" ht="60" x14ac:dyDescent="0.25">
      <c r="A89" s="196" t="s">
        <v>1541</v>
      </c>
    </row>
    <row r="90" spans="1:1" s="5" customFormat="1" ht="45" x14ac:dyDescent="0.25">
      <c r="A90" s="196" t="s">
        <v>1525</v>
      </c>
    </row>
    <row r="91" spans="1:1" s="5" customFormat="1" ht="60" x14ac:dyDescent="0.25">
      <c r="A91" s="196" t="s">
        <v>1526</v>
      </c>
    </row>
    <row r="92" spans="1:1" s="5" customFormat="1" ht="60" x14ac:dyDescent="0.25">
      <c r="A92" s="196" t="s">
        <v>1538</v>
      </c>
    </row>
    <row r="93" spans="1:1" s="5" customFormat="1" ht="30" x14ac:dyDescent="0.25">
      <c r="A93" s="196" t="s">
        <v>1539</v>
      </c>
    </row>
    <row r="94" spans="1:1" s="5" customFormat="1" x14ac:dyDescent="0.25">
      <c r="A94" s="196"/>
    </row>
    <row r="95" spans="1:1" ht="18.75" x14ac:dyDescent="0.3">
      <c r="A95" s="191" t="s">
        <v>1190</v>
      </c>
    </row>
    <row r="96" spans="1:1" ht="30" x14ac:dyDescent="0.25">
      <c r="A96" s="86" t="s">
        <v>1219</v>
      </c>
    </row>
    <row r="97" spans="1:1" x14ac:dyDescent="0.25">
      <c r="A97" s="86" t="s">
        <v>1211</v>
      </c>
    </row>
    <row r="98" spans="1:1" x14ac:dyDescent="0.25">
      <c r="A98" s="86" t="s">
        <v>1212</v>
      </c>
    </row>
    <row r="99" spans="1:1" x14ac:dyDescent="0.25">
      <c r="A99" s="86" t="s">
        <v>1213</v>
      </c>
    </row>
    <row r="100" spans="1:1" x14ac:dyDescent="0.25">
      <c r="A100" s="86" t="s">
        <v>1449</v>
      </c>
    </row>
    <row r="101" spans="1:1" x14ac:dyDescent="0.25">
      <c r="A101" s="86" t="s">
        <v>1210</v>
      </c>
    </row>
    <row r="102" spans="1:1" ht="30" x14ac:dyDescent="0.25">
      <c r="A102" s="86" t="s">
        <v>1214</v>
      </c>
    </row>
    <row r="103" spans="1:1" x14ac:dyDescent="0.25">
      <c r="A103" s="86" t="s">
        <v>1215</v>
      </c>
    </row>
    <row r="104" spans="1:1" x14ac:dyDescent="0.25">
      <c r="A104" s="86" t="s">
        <v>1216</v>
      </c>
    </row>
    <row r="105" spans="1:1" x14ac:dyDescent="0.25">
      <c r="A105" s="86" t="s">
        <v>1217</v>
      </c>
    </row>
    <row r="106" spans="1:1" ht="30" x14ac:dyDescent="0.25">
      <c r="A106" s="86" t="s">
        <v>1218</v>
      </c>
    </row>
    <row r="107" spans="1:1" x14ac:dyDescent="0.25">
      <c r="A107" s="86" t="s">
        <v>1454</v>
      </c>
    </row>
    <row r="108" spans="1:1" ht="30" x14ac:dyDescent="0.25">
      <c r="A108" s="86" t="s">
        <v>1455</v>
      </c>
    </row>
    <row r="110" spans="1:1" ht="18.75" x14ac:dyDescent="0.3">
      <c r="A110" s="191" t="s">
        <v>1456</v>
      </c>
    </row>
    <row r="111" spans="1:1" ht="30" x14ac:dyDescent="0.25">
      <c r="A111" s="86" t="s">
        <v>1457</v>
      </c>
    </row>
    <row r="112" spans="1:1" x14ac:dyDescent="0.25">
      <c r="A112" s="86" t="s">
        <v>1458</v>
      </c>
    </row>
  </sheetData>
  <sheetProtection password="CA31" sheet="1" objects="1" scenarios="1"/>
  <pageMargins left="0.7" right="0.7" top="0.75" bottom="0.75" header="0.3" footer="0.3"/>
  <pageSetup orientation="landscape"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I33"/>
  <sheetViews>
    <sheetView topLeftCell="A4" zoomScaleNormal="100" zoomScalePageLayoutView="150" workbookViewId="0">
      <selection activeCell="F8" sqref="F8"/>
    </sheetView>
  </sheetViews>
  <sheetFormatPr defaultColWidth="8.85546875" defaultRowHeight="15" x14ac:dyDescent="0.25"/>
  <cols>
    <col min="1" max="1" width="24" style="6" bestFit="1" customWidth="1"/>
    <col min="2" max="2" width="20" style="6" customWidth="1"/>
    <col min="3" max="3" width="28.140625" style="6" bestFit="1" customWidth="1"/>
    <col min="4" max="4" width="51.85546875" style="6" customWidth="1"/>
    <col min="5" max="5" width="39" style="6" bestFit="1" customWidth="1"/>
    <col min="6" max="6" width="45.7109375" style="6" bestFit="1" customWidth="1"/>
    <col min="7" max="7" width="19.42578125" style="6" bestFit="1" customWidth="1"/>
    <col min="8" max="9" width="3.7109375" style="39" customWidth="1"/>
    <col min="10" max="16384" width="8.85546875" style="6"/>
  </cols>
  <sheetData>
    <row r="1" spans="1:9" x14ac:dyDescent="0.25">
      <c r="A1" s="26" t="s">
        <v>1307</v>
      </c>
    </row>
    <row r="2" spans="1:9" x14ac:dyDescent="0.25">
      <c r="A2" s="6" t="s">
        <v>1308</v>
      </c>
    </row>
    <row r="3" spans="1:9" ht="15.75" thickBot="1" x14ac:dyDescent="0.3">
      <c r="A3" s="26" t="s">
        <v>1309</v>
      </c>
    </row>
    <row r="4" spans="1:9" ht="15.75" thickBot="1" x14ac:dyDescent="0.3">
      <c r="A4" s="26" t="s">
        <v>1310</v>
      </c>
      <c r="G4" s="27" t="s">
        <v>1199</v>
      </c>
      <c r="H4" s="50">
        <f>COUNTA(OrganizationNames)</f>
        <v>0</v>
      </c>
    </row>
    <row r="5" spans="1:9" ht="15.75" thickBot="1" x14ac:dyDescent="0.3">
      <c r="A5" s="26" t="s">
        <v>279</v>
      </c>
      <c r="G5" s="27" t="s">
        <v>1200</v>
      </c>
      <c r="H5" s="50">
        <f>COUNTA(People[Last Name])</f>
        <v>0</v>
      </c>
    </row>
    <row r="6" spans="1:9" ht="15.75" thickBot="1" x14ac:dyDescent="0.3">
      <c r="G6" s="27" t="s">
        <v>1268</v>
      </c>
      <c r="H6" s="50">
        <f ca="1">MAX(People[ExternalIDNum])</f>
        <v>0</v>
      </c>
    </row>
    <row r="7" spans="1:9" ht="15.75" thickBot="1" x14ac:dyDescent="0.3">
      <c r="A7" s="220" t="s">
        <v>142</v>
      </c>
      <c r="B7" s="221"/>
      <c r="C7" s="221"/>
      <c r="D7" s="221"/>
      <c r="E7" s="222"/>
    </row>
    <row r="8" spans="1:9" ht="15.75" thickBot="1" x14ac:dyDescent="0.3">
      <c r="A8" s="128" t="s">
        <v>143</v>
      </c>
      <c r="B8" s="129" t="s">
        <v>144</v>
      </c>
      <c r="C8" s="129" t="s">
        <v>19</v>
      </c>
      <c r="D8" s="130" t="s">
        <v>145</v>
      </c>
      <c r="E8" s="131" t="s">
        <v>146</v>
      </c>
      <c r="I8" s="6"/>
    </row>
    <row r="9" spans="1:9" ht="15.75" thickTop="1" x14ac:dyDescent="0.25">
      <c r="A9" s="132"/>
      <c r="B9" s="7"/>
      <c r="C9" s="7"/>
      <c r="D9" s="8"/>
      <c r="E9" s="136"/>
      <c r="I9" s="6"/>
    </row>
    <row r="10" spans="1:9" x14ac:dyDescent="0.25">
      <c r="A10" s="105"/>
      <c r="B10" s="10"/>
      <c r="C10" s="10"/>
      <c r="D10" s="11"/>
      <c r="E10" s="106"/>
      <c r="G10" s="39"/>
      <c r="I10" s="6"/>
    </row>
    <row r="11" spans="1:9" x14ac:dyDescent="0.25">
      <c r="A11" s="105"/>
      <c r="B11" s="10"/>
      <c r="C11" s="10"/>
      <c r="D11" s="11"/>
      <c r="E11" s="106"/>
      <c r="G11" s="39"/>
      <c r="I11" s="6"/>
    </row>
    <row r="12" spans="1:9" x14ac:dyDescent="0.25">
      <c r="A12" s="105"/>
      <c r="B12" s="10"/>
      <c r="C12" s="137"/>
      <c r="D12" s="11"/>
      <c r="E12" s="106"/>
      <c r="G12" s="39"/>
      <c r="I12" s="6"/>
    </row>
    <row r="13" spans="1:9" x14ac:dyDescent="0.25">
      <c r="A13" s="105"/>
      <c r="B13" s="10"/>
      <c r="C13" s="10"/>
      <c r="D13" s="11"/>
      <c r="E13" s="133"/>
      <c r="G13" s="39"/>
      <c r="I13" s="6"/>
    </row>
    <row r="14" spans="1:9" x14ac:dyDescent="0.25">
      <c r="A14" s="105"/>
      <c r="B14" s="10"/>
      <c r="C14" s="10"/>
      <c r="D14" s="11"/>
      <c r="E14" s="133"/>
      <c r="G14" s="39"/>
      <c r="I14" s="6"/>
    </row>
    <row r="15" spans="1:9" x14ac:dyDescent="0.25">
      <c r="A15" s="105"/>
      <c r="B15" s="10"/>
      <c r="C15" s="10"/>
      <c r="D15" s="11"/>
      <c r="E15" s="133"/>
      <c r="G15" s="39"/>
      <c r="I15" s="6"/>
    </row>
    <row r="16" spans="1:9" x14ac:dyDescent="0.25">
      <c r="A16" s="105"/>
      <c r="B16" s="10"/>
      <c r="C16" s="10"/>
      <c r="D16" s="11"/>
      <c r="E16" s="133"/>
      <c r="G16" s="39"/>
      <c r="I16" s="6"/>
    </row>
    <row r="17" spans="1:9" x14ac:dyDescent="0.25">
      <c r="A17" s="105"/>
      <c r="B17" s="10"/>
      <c r="C17" s="10"/>
      <c r="D17" s="11"/>
      <c r="E17" s="133"/>
      <c r="G17" s="39"/>
      <c r="I17" s="6"/>
    </row>
    <row r="18" spans="1:9" ht="15.75" thickBot="1" x14ac:dyDescent="0.3">
      <c r="A18" s="107"/>
      <c r="B18" s="108"/>
      <c r="C18" s="108"/>
      <c r="D18" s="109"/>
      <c r="E18" s="134"/>
      <c r="G18" s="39"/>
      <c r="I18" s="6"/>
    </row>
    <row r="19" spans="1:9" x14ac:dyDescent="0.25">
      <c r="H19" s="6"/>
      <c r="I19" s="6"/>
    </row>
    <row r="20" spans="1:9" x14ac:dyDescent="0.25">
      <c r="H20" s="6"/>
      <c r="I20" s="6"/>
    </row>
    <row r="21" spans="1:9" ht="15.75" thickBot="1" x14ac:dyDescent="0.3">
      <c r="H21" s="6"/>
      <c r="I21" s="6"/>
    </row>
    <row r="22" spans="1:9" x14ac:dyDescent="0.25">
      <c r="A22" s="223" t="s">
        <v>141</v>
      </c>
      <c r="B22" s="224"/>
      <c r="C22" s="224"/>
      <c r="D22" s="224"/>
      <c r="E22" s="224"/>
      <c r="F22" s="224"/>
      <c r="G22" s="224"/>
      <c r="H22" s="224"/>
      <c r="I22" s="225"/>
    </row>
    <row r="23" spans="1:9" ht="15.75" thickBot="1" x14ac:dyDescent="0.3">
      <c r="A23" s="59" t="s">
        <v>15</v>
      </c>
      <c r="B23" s="61" t="s">
        <v>16</v>
      </c>
      <c r="C23" s="54" t="s">
        <v>17</v>
      </c>
      <c r="D23" s="54" t="s">
        <v>19</v>
      </c>
      <c r="E23" s="54" t="s">
        <v>18</v>
      </c>
      <c r="F23" s="57" t="s">
        <v>176</v>
      </c>
      <c r="G23" s="62" t="s">
        <v>1245</v>
      </c>
      <c r="H23" s="29" t="s">
        <v>277</v>
      </c>
      <c r="I23" s="29" t="s">
        <v>1266</v>
      </c>
    </row>
    <row r="24" spans="1:9" ht="15.75" thickTop="1" x14ac:dyDescent="0.25">
      <c r="A24" s="17"/>
      <c r="B24" s="19"/>
      <c r="C24" s="18"/>
      <c r="D24" s="18"/>
      <c r="E24" s="20"/>
      <c r="F24" s="135"/>
      <c r="G24" s="19"/>
      <c r="H24" s="123" t="str">
        <f>CONCATENATE(People[[#This Row],[First Name]],IF(People[[#This Row],[Middle Name]]="",""," "),People[[#This Row],[Middle Name]]," ",People[[#This Row],[Last Name]])</f>
        <v xml:space="preserve"> </v>
      </c>
      <c r="I24" s="125" t="str">
        <f ca="1">IF(People[[#This Row],[Person OrcID]]&lt;&gt;"",MAX(INDIRECT(CONCATENATE("R",ROW(People[#Headers]),"C",COLUMN(),":R",ROW()-1,"C",COLUMN()),FALSE))+1,"")</f>
        <v/>
      </c>
    </row>
    <row r="25" spans="1:9" x14ac:dyDescent="0.25">
      <c r="A25" s="9"/>
      <c r="B25" s="21"/>
      <c r="C25" s="10"/>
      <c r="D25" s="18"/>
      <c r="E25" s="22"/>
      <c r="F25" s="135"/>
      <c r="G25" s="21"/>
      <c r="H25" s="122" t="str">
        <f>CONCATENATE(People[[#This Row],[First Name]],IF(People[[#This Row],[Middle Name]]="",""," "),People[[#This Row],[Middle Name]]," ",People[[#This Row],[Last Name]])</f>
        <v xml:space="preserve"> </v>
      </c>
      <c r="I25" s="126" t="str">
        <f ca="1">IF(People[[#This Row],[Person OrcID]]&lt;&gt;"",MAX(INDIRECT(CONCATENATE("R",ROW(People[#Headers]),"C",COLUMN(),":R",ROW()-1,"C",COLUMN()),FALSE))+1,"")</f>
        <v/>
      </c>
    </row>
    <row r="26" spans="1:9" x14ac:dyDescent="0.25">
      <c r="A26" s="9"/>
      <c r="B26" s="21"/>
      <c r="C26" s="10"/>
      <c r="D26" s="18"/>
      <c r="E26" s="22"/>
      <c r="F26" s="135"/>
      <c r="G26" s="21"/>
      <c r="H26" s="122" t="str">
        <f>CONCATENATE(People[[#This Row],[First Name]],IF(People[[#This Row],[Middle Name]]="",""," "),People[[#This Row],[Middle Name]]," ",People[[#This Row],[Last Name]])</f>
        <v xml:space="preserve"> </v>
      </c>
      <c r="I26" s="126" t="str">
        <f ca="1">IF(People[[#This Row],[Person OrcID]]&lt;&gt;"",MAX(INDIRECT(CONCATENATE("R",ROW(People[#Headers]),"C",COLUMN(),":R",ROW()-1,"C",COLUMN()),FALSE))+1,"")</f>
        <v/>
      </c>
    </row>
    <row r="27" spans="1:9" x14ac:dyDescent="0.25">
      <c r="A27" s="9"/>
      <c r="B27" s="21"/>
      <c r="C27" s="10"/>
      <c r="D27" s="10"/>
      <c r="E27" s="22"/>
      <c r="F27" s="121"/>
      <c r="G27" s="21"/>
      <c r="H27" s="122" t="str">
        <f>CONCATENATE(People[[#This Row],[First Name]],IF(People[[#This Row],[Middle Name]]="",""," "),People[[#This Row],[Middle Name]]," ",People[[#This Row],[Last Name]])</f>
        <v xml:space="preserve"> </v>
      </c>
      <c r="I27" s="126" t="str">
        <f ca="1">IF(People[[#This Row],[Person OrcID]]&lt;&gt;"",MAX(INDIRECT(CONCATENATE("R",ROW(People[#Headers]),"C",COLUMN(),":R",ROW()-1,"C",COLUMN()),FALSE))+1,"")</f>
        <v/>
      </c>
    </row>
    <row r="28" spans="1:9" x14ac:dyDescent="0.25">
      <c r="A28" s="9"/>
      <c r="B28" s="21"/>
      <c r="C28" s="10"/>
      <c r="D28" s="10"/>
      <c r="E28" s="22"/>
      <c r="F28" s="135"/>
      <c r="G28" s="21"/>
      <c r="H28" s="122" t="str">
        <f>CONCATENATE(People[[#This Row],[First Name]],IF(People[[#This Row],[Middle Name]]="",""," "),People[[#This Row],[Middle Name]]," ",People[[#This Row],[Last Name]])</f>
        <v xml:space="preserve"> </v>
      </c>
      <c r="I28" s="126" t="str">
        <f ca="1">IF(People[[#This Row],[Person OrcID]]&lt;&gt;"",MAX(INDIRECT(CONCATENATE("R",ROW(People[#Headers]),"C",COLUMN(),":R",ROW()-1,"C",COLUMN()),FALSE))+1,"")</f>
        <v/>
      </c>
    </row>
    <row r="29" spans="1:9" x14ac:dyDescent="0.25">
      <c r="A29" s="9"/>
      <c r="B29" s="21"/>
      <c r="C29" s="10"/>
      <c r="D29" s="10"/>
      <c r="E29" s="22"/>
      <c r="F29" s="135"/>
      <c r="G29" s="21"/>
      <c r="H29" s="122" t="str">
        <f>CONCATENATE(People[[#This Row],[First Name]],IF(People[[#This Row],[Middle Name]]="",""," "),People[[#This Row],[Middle Name]]," ",People[[#This Row],[Last Name]])</f>
        <v xml:space="preserve"> </v>
      </c>
      <c r="I29" s="126" t="str">
        <f ca="1">IF(People[[#This Row],[Person OrcID]]&lt;&gt;"",MAX(INDIRECT(CONCATENATE("R",ROW(People[#Headers]),"C",COLUMN(),":R",ROW()-1,"C",COLUMN()),FALSE))+1,"")</f>
        <v/>
      </c>
    </row>
    <row r="30" spans="1:9" x14ac:dyDescent="0.25">
      <c r="A30" s="9"/>
      <c r="B30" s="21"/>
      <c r="C30" s="10"/>
      <c r="D30" s="10"/>
      <c r="E30" s="22"/>
      <c r="F30" s="121"/>
      <c r="G30" s="21"/>
      <c r="H30" s="122" t="str">
        <f>CONCATENATE(People[[#This Row],[First Name]],IF(People[[#This Row],[Middle Name]]="",""," "),People[[#This Row],[Middle Name]]," ",People[[#This Row],[Last Name]])</f>
        <v xml:space="preserve"> </v>
      </c>
      <c r="I30" s="126" t="str">
        <f ca="1">IF(People[[#This Row],[Person OrcID]]&lt;&gt;"",MAX(INDIRECT(CONCATENATE("R",ROW(People[#Headers]),"C",COLUMN(),":R",ROW()-1,"C",COLUMN()),FALSE))+1,"")</f>
        <v/>
      </c>
    </row>
    <row r="31" spans="1:9" x14ac:dyDescent="0.25">
      <c r="A31" s="9"/>
      <c r="B31" s="21"/>
      <c r="C31" s="10"/>
      <c r="D31" s="10"/>
      <c r="E31" s="10"/>
      <c r="F31" s="23"/>
      <c r="G31" s="21"/>
      <c r="H31" s="122" t="str">
        <f>CONCATENATE(People[[#This Row],[First Name]],IF(People[[#This Row],[Middle Name]]="",""," "),People[[#This Row],[Middle Name]]," ",People[[#This Row],[Last Name]])</f>
        <v xml:space="preserve"> </v>
      </c>
      <c r="I31" s="126" t="str">
        <f ca="1">IF(People[[#This Row],[Person OrcID]]&lt;&gt;"",MAX(INDIRECT(CONCATENATE("R",ROW(People[#Headers]),"C",COLUMN(),":R",ROW()-1,"C",COLUMN()),FALSE))+1,"")</f>
        <v/>
      </c>
    </row>
    <row r="32" spans="1:9" x14ac:dyDescent="0.25">
      <c r="A32" s="9"/>
      <c r="B32" s="21"/>
      <c r="C32" s="10"/>
      <c r="D32" s="10"/>
      <c r="E32" s="10"/>
      <c r="F32" s="23"/>
      <c r="G32" s="21"/>
      <c r="H32" s="122" t="str">
        <f>CONCATENATE(People[[#This Row],[First Name]],IF(People[[#This Row],[Middle Name]]="",""," "),People[[#This Row],[Middle Name]]," ",People[[#This Row],[Last Name]])</f>
        <v xml:space="preserve"> </v>
      </c>
      <c r="I32" s="126" t="str">
        <f ca="1">IF(People[[#This Row],[Person OrcID]]&lt;&gt;"",MAX(INDIRECT(CONCATENATE("R",ROW(People[#Headers]),"C",COLUMN(),":R",ROW()-1,"C",COLUMN()),FALSE))+1,"")</f>
        <v/>
      </c>
    </row>
    <row r="33" spans="1:9" ht="15.75" thickBot="1" x14ac:dyDescent="0.3">
      <c r="A33" s="13"/>
      <c r="B33" s="24"/>
      <c r="C33" s="14"/>
      <c r="D33" s="14"/>
      <c r="E33" s="14"/>
      <c r="F33" s="25"/>
      <c r="G33" s="24"/>
      <c r="H33" s="124" t="str">
        <f>CONCATENATE(People[[#This Row],[First Name]],IF(People[[#This Row],[Middle Name]]="",""," "),People[[#This Row],[Middle Name]]," ",People[[#This Row],[Last Name]])</f>
        <v xml:space="preserve"> </v>
      </c>
      <c r="I33" s="127" t="str">
        <f ca="1">IF(People[[#This Row],[Person OrcID]]&lt;&gt;"",MAX(INDIRECT(CONCATENATE("R",ROW(People[#Headers]),"C",COLUMN(),":R",ROW()-1,"C",COLUMN()),FALSE))+1,"")</f>
        <v/>
      </c>
    </row>
  </sheetData>
  <sheetProtection password="CA31" sheet="1" objects="1" scenarios="1" formatColumns="0" insertRows="0" insertHyperlinks="0" deleteRows="0"/>
  <dataConsolidate/>
  <mergeCells count="2">
    <mergeCell ref="A7:E7"/>
    <mergeCell ref="A22:I22"/>
  </mergeCells>
  <conditionalFormatting sqref="A9:A18">
    <cfRule type="expression" dxfId="75" priority="8">
      <formula>AND(COUNTIF(OrganizationTypeCV,$A9)=0,$A9&lt;&gt;"")</formula>
    </cfRule>
  </conditionalFormatting>
  <conditionalFormatting sqref="A9:C18">
    <cfRule type="expression" dxfId="74" priority="7">
      <formula>AND(COUNTA($A9:$E9)&gt;0,A9="")</formula>
    </cfRule>
  </conditionalFormatting>
  <conditionalFormatting sqref="A10:E18">
    <cfRule type="expression" dxfId="73" priority="6">
      <formula>AND(COUNTA($A9:$E9)=0,A10&lt;&gt;"")</formula>
    </cfRule>
  </conditionalFormatting>
  <conditionalFormatting sqref="C9:C18">
    <cfRule type="duplicateValues" dxfId="72" priority="5"/>
  </conditionalFormatting>
  <conditionalFormatting sqref="D24:D33">
    <cfRule type="expression" dxfId="71" priority="4">
      <formula>AND(COUNTIF(OrganizationNames,$D24)=0,$D24&lt;&gt;"")</formula>
    </cfRule>
  </conditionalFormatting>
  <conditionalFormatting sqref="A24:A33 C24:E33">
    <cfRule type="expression" dxfId="70" priority="3">
      <formula>AND(COUNTA($A24:$G24)&gt;0,A24="")</formula>
    </cfRule>
  </conditionalFormatting>
  <conditionalFormatting sqref="A25:G33">
    <cfRule type="expression" dxfId="69" priority="2">
      <formula>AND(COUNTA($A24:$G24)=0,A25&lt;&gt;"")</formula>
    </cfRule>
  </conditionalFormatting>
  <conditionalFormatting sqref="G24:G33">
    <cfRule type="duplicateValues" dxfId="68" priority="1"/>
  </conditionalFormatting>
  <dataValidations count="3">
    <dataValidation type="textLength" allowBlank="1" showInputMessage="1" showErrorMessage="1" sqref="B9:B20">
      <formula1>1</formula1>
      <formula2>50</formula2>
    </dataValidation>
    <dataValidation type="list" allowBlank="1" showInputMessage="1" showErrorMessage="1" sqref="D24:D33">
      <formula1>OrganizationNames</formula1>
    </dataValidation>
    <dataValidation type="list" allowBlank="1" showInputMessage="1" showErrorMessage="1" sqref="A9:A20">
      <formula1>OrganizationTypeCV</formula1>
    </dataValidation>
  </dataValidations>
  <pageMargins left="0.7" right="0.7" top="0.75" bottom="0.75" header="0.3" footer="0.3"/>
  <pageSetup orientation="portrait" verticalDpi="0" r:id="rId1"/>
  <legacyDrawing r:id="rId2"/>
  <tableParts count="2">
    <tablePart r:id="rId3"/>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32"/>
  <sheetViews>
    <sheetView zoomScale="115" zoomScaleNormal="115" zoomScalePageLayoutView="150" workbookViewId="0">
      <selection activeCell="A23" sqref="A23"/>
    </sheetView>
  </sheetViews>
  <sheetFormatPr defaultColWidth="8.85546875" defaultRowHeight="15" x14ac:dyDescent="0.25"/>
  <cols>
    <col min="1" max="1" width="25.42578125" style="6" customWidth="1"/>
    <col min="2" max="2" width="109.28515625" style="6" bestFit="1" customWidth="1"/>
    <col min="3" max="3" width="7.5703125" style="6" customWidth="1"/>
    <col min="4" max="4" width="11" style="6" bestFit="1" customWidth="1"/>
    <col min="5" max="5" width="3" style="6" bestFit="1" customWidth="1"/>
    <col min="6" max="16384" width="8.85546875" style="6"/>
  </cols>
  <sheetData>
    <row r="1" spans="1:4" x14ac:dyDescent="0.25">
      <c r="A1" s="26" t="s">
        <v>1311</v>
      </c>
    </row>
    <row r="2" spans="1:4" x14ac:dyDescent="0.25">
      <c r="A2" s="26" t="s">
        <v>1309</v>
      </c>
    </row>
    <row r="3" spans="1:4" x14ac:dyDescent="0.25">
      <c r="A3" s="26" t="s">
        <v>1312</v>
      </c>
    </row>
    <row r="4" spans="1:4" x14ac:dyDescent="0.25">
      <c r="A4" s="26" t="s">
        <v>1313</v>
      </c>
    </row>
    <row r="5" spans="1:4" ht="15.75" thickBot="1" x14ac:dyDescent="0.3"/>
    <row r="6" spans="1:4" ht="15.75" thickBot="1" x14ac:dyDescent="0.3">
      <c r="A6" s="226" t="s">
        <v>1314</v>
      </c>
      <c r="B6" s="227"/>
    </row>
    <row r="7" spans="1:4" ht="15.75" thickTop="1" x14ac:dyDescent="0.25">
      <c r="A7" s="35" t="s">
        <v>0</v>
      </c>
      <c r="B7" s="147"/>
    </row>
    <row r="8" spans="1:4" x14ac:dyDescent="0.25">
      <c r="A8" s="36" t="s">
        <v>3</v>
      </c>
      <c r="B8" s="30"/>
    </row>
    <row r="9" spans="1:4" x14ac:dyDescent="0.25">
      <c r="A9" s="36" t="s">
        <v>2</v>
      </c>
      <c r="B9" s="30"/>
    </row>
    <row r="10" spans="1:4" x14ac:dyDescent="0.25">
      <c r="A10" s="36" t="s">
        <v>1</v>
      </c>
      <c r="B10" s="30"/>
      <c r="D10" s="31"/>
    </row>
    <row r="11" spans="1:4" ht="15.75" thickBot="1" x14ac:dyDescent="0.3">
      <c r="A11" s="38" t="s">
        <v>4</v>
      </c>
      <c r="B11" s="148"/>
    </row>
    <row r="12" spans="1:4" ht="15.75" thickBot="1" x14ac:dyDescent="0.3">
      <c r="A12" s="5"/>
      <c r="B12" s="5"/>
    </row>
    <row r="13" spans="1:4" ht="15.75" thickBot="1" x14ac:dyDescent="0.3">
      <c r="A13" s="228" t="s">
        <v>1315</v>
      </c>
      <c r="B13" s="229"/>
    </row>
    <row r="14" spans="1:4" ht="15.75" thickTop="1" x14ac:dyDescent="0.25">
      <c r="A14" s="35" t="s">
        <v>180</v>
      </c>
      <c r="B14" s="147"/>
      <c r="D14" s="31"/>
    </row>
    <row r="15" spans="1:4" x14ac:dyDescent="0.25">
      <c r="A15" s="37" t="s">
        <v>173</v>
      </c>
      <c r="B15" s="133"/>
      <c r="D15" s="31"/>
    </row>
    <row r="16" spans="1:4" x14ac:dyDescent="0.25">
      <c r="A16" s="37" t="s">
        <v>168</v>
      </c>
      <c r="B16" s="133"/>
      <c r="D16" s="31"/>
    </row>
    <row r="17" spans="1:5" x14ac:dyDescent="0.25">
      <c r="A17" s="37" t="s">
        <v>6</v>
      </c>
      <c r="B17" s="133"/>
      <c r="D17" s="31"/>
    </row>
    <row r="18" spans="1:5" x14ac:dyDescent="0.25">
      <c r="A18" s="37" t="s">
        <v>179</v>
      </c>
      <c r="B18" s="133"/>
      <c r="D18" s="31"/>
    </row>
    <row r="19" spans="1:5" ht="15.75" thickBot="1" x14ac:dyDescent="0.3">
      <c r="A19" s="38" t="s">
        <v>5</v>
      </c>
      <c r="B19" s="110"/>
      <c r="D19" s="31"/>
    </row>
    <row r="20" spans="1:5" ht="15.75" thickBot="1" x14ac:dyDescent="0.3"/>
    <row r="21" spans="1:5" ht="15.75" thickBot="1" x14ac:dyDescent="0.3">
      <c r="A21" s="223" t="s">
        <v>1316</v>
      </c>
      <c r="B21" s="225"/>
      <c r="C21" s="32"/>
      <c r="D21" s="33"/>
      <c r="E21" s="33"/>
    </row>
    <row r="22" spans="1:5" ht="15.75" thickBot="1" x14ac:dyDescent="0.3">
      <c r="A22" s="59" t="s">
        <v>172</v>
      </c>
      <c r="B22" s="60" t="s">
        <v>278</v>
      </c>
      <c r="D22" s="27" t="s">
        <v>1198</v>
      </c>
      <c r="E22" s="28">
        <f>COUNTA(AuthorList[Author Name])</f>
        <v>0</v>
      </c>
    </row>
    <row r="23" spans="1:5" ht="15.75" thickTop="1" x14ac:dyDescent="0.25">
      <c r="A23" s="198" t="str">
        <f ca="1">IF(AuthorList[[#This Row],[Author Name]]&lt;&gt;"",MAX(INDIRECT(CONCATENATE("R",ROW(AuthorList[#Headers]),"C",COLUMN(),":R",ROW()-1,"C",COLUMN()),FALSE))+1,"")</f>
        <v/>
      </c>
      <c r="B23" s="43"/>
    </row>
    <row r="24" spans="1:5" x14ac:dyDescent="0.25">
      <c r="A24" s="198" t="str">
        <f ca="1">IF(AuthorList[[#This Row],[Author Name]]&lt;&gt;"",MAX(INDIRECT(CONCATENATE("R",ROW(AuthorList[#Headers]),"C",COLUMN(),":R",ROW()-1,"C",COLUMN()),FALSE))+1,"")</f>
        <v/>
      </c>
      <c r="B24" s="12"/>
    </row>
    <row r="25" spans="1:5" x14ac:dyDescent="0.25">
      <c r="A25" s="198" t="str">
        <f ca="1">IF(AuthorList[[#This Row],[Author Name]]&lt;&gt;"",MAX(INDIRECT(CONCATENATE("R",ROW(AuthorList[#Headers]),"C",COLUMN(),":R",ROW()-1,"C",COLUMN()),FALSE))+1,"")</f>
        <v/>
      </c>
      <c r="B25" s="12"/>
    </row>
    <row r="26" spans="1:5" x14ac:dyDescent="0.25">
      <c r="A26" s="198" t="str">
        <f ca="1">IF(AuthorList[[#This Row],[Author Name]]&lt;&gt;"",MAX(INDIRECT(CONCATENATE("R",ROW(AuthorList[#Headers]),"C",COLUMN(),":R",ROW()-1,"C",COLUMN()),FALSE))+1,"")</f>
        <v/>
      </c>
      <c r="B26" s="12"/>
    </row>
    <row r="27" spans="1:5" x14ac:dyDescent="0.25">
      <c r="A27" s="198" t="str">
        <f ca="1">IF(AuthorList[[#This Row],[Author Name]]&lt;&gt;"",MAX(INDIRECT(CONCATENATE("R",ROW(AuthorList[#Headers]),"C",COLUMN(),":R",ROW()-1,"C",COLUMN()),FALSE))+1,"")</f>
        <v/>
      </c>
      <c r="B27" s="12"/>
    </row>
    <row r="28" spans="1:5" x14ac:dyDescent="0.25">
      <c r="A28" s="198" t="str">
        <f ca="1">IF(AuthorList[[#This Row],[Author Name]]&lt;&gt;"",MAX(INDIRECT(CONCATENATE("R",ROW(AuthorList[#Headers]),"C",COLUMN(),":R",ROW()-1,"C",COLUMN()),FALSE))+1,"")</f>
        <v/>
      </c>
      <c r="B28" s="12"/>
    </row>
    <row r="29" spans="1:5" x14ac:dyDescent="0.25">
      <c r="A29" s="198" t="str">
        <f ca="1">IF(AuthorList[[#This Row],[Author Name]]&lt;&gt;"",MAX(INDIRECT(CONCATENATE("R",ROW(AuthorList[#Headers]),"C",COLUMN(),":R",ROW()-1,"C",COLUMN()),FALSE))+1,"")</f>
        <v/>
      </c>
      <c r="B29" s="12"/>
    </row>
    <row r="30" spans="1:5" x14ac:dyDescent="0.25">
      <c r="A30" s="198" t="str">
        <f ca="1">IF(AuthorList[[#This Row],[Author Name]]&lt;&gt;"",MAX(INDIRECT(CONCATENATE("R",ROW(AuthorList[#Headers]),"C",COLUMN(),":R",ROW()-1,"C",COLUMN()),FALSE))+1,"")</f>
        <v/>
      </c>
      <c r="B30" s="12"/>
    </row>
    <row r="31" spans="1:5" x14ac:dyDescent="0.25">
      <c r="A31" s="198" t="str">
        <f ca="1">IF(AuthorList[[#This Row],[Author Name]]&lt;&gt;"",MAX(INDIRECT(CONCATENATE("R",ROW(AuthorList[#Headers]),"C",COLUMN(),":R",ROW()-1,"C",COLUMN()),FALSE))+1,"")</f>
        <v/>
      </c>
      <c r="B31" s="12"/>
    </row>
    <row r="32" spans="1:5" x14ac:dyDescent="0.25">
      <c r="A32" s="198" t="str">
        <f ca="1">IF(AuthorList[[#This Row],[Author Name]]&lt;&gt;"",MAX(INDIRECT(CONCATENATE("R",ROW(AuthorList[#Headers]),"C",COLUMN(),":R",ROW()-1,"C",COLUMN()),FALSE))+1,"")</f>
        <v/>
      </c>
      <c r="B32" s="16"/>
    </row>
  </sheetData>
  <sheetProtection password="CA31" sheet="1" objects="1" scenarios="1" formatColumns="0" insertRows="0" insertHyperlinks="0" deleteRows="0"/>
  <mergeCells count="3">
    <mergeCell ref="A21:B21"/>
    <mergeCell ref="A6:B6"/>
    <mergeCell ref="A13:B13"/>
  </mergeCells>
  <conditionalFormatting sqref="A14:A17 A23:A32">
    <cfRule type="expression" dxfId="67" priority="6">
      <formula>COUNTA(CitationInformation)&gt;0</formula>
    </cfRule>
  </conditionalFormatting>
  <conditionalFormatting sqref="B8:B10">
    <cfRule type="expression" dxfId="66" priority="4">
      <formula>AND(COUNTA($B$7:$B$11)&gt;0,$B8="")</formula>
    </cfRule>
  </conditionalFormatting>
  <conditionalFormatting sqref="B8">
    <cfRule type="expression" dxfId="65" priority="3">
      <formula>AND(COUNTIF(DataSetTypeCV,$B$8)=0,$B$8&lt;&gt;"")</formula>
    </cfRule>
  </conditionalFormatting>
  <conditionalFormatting sqref="B23:B32">
    <cfRule type="expression" dxfId="64" priority="1">
      <formula>AND(COUNTIF(PeopleNames,$B23)=0,$B23&lt;&gt;"")</formula>
    </cfRule>
  </conditionalFormatting>
  <conditionalFormatting sqref="B14:B17 B23">
    <cfRule type="expression" dxfId="63" priority="5">
      <formula>AND(COUNTA(CitationInformation)&gt;0,$B14="")</formula>
    </cfRule>
    <cfRule type="expression" dxfId="62" priority="7">
      <formula>COUNTA(CitationInformation)&gt;0</formula>
    </cfRule>
  </conditionalFormatting>
  <dataValidations count="3">
    <dataValidation type="list" allowBlank="1" showInputMessage="1" showErrorMessage="1" sqref="B8">
      <formula1>DataSetTypeCV</formula1>
    </dataValidation>
    <dataValidation type="list" allowBlank="1" showInputMessage="1" showErrorMessage="1" sqref="B14">
      <formula1>RelationshipTypeCV</formula1>
    </dataValidation>
    <dataValidation type="list" allowBlank="1" showInputMessage="1" showErrorMessage="1" sqref="B23:B32">
      <formula1>PeopleNames</formula1>
    </dataValidation>
  </dataValidations>
  <pageMargins left="0.7" right="0.7" top="0.75" bottom="0.75" header="0.3" footer="0.3"/>
  <pageSetup orientation="portrait" verticalDpi="0" r:id="rId1"/>
  <legacyDrawing r:id="rId2"/>
  <tableParts count="1">
    <tablePart r:id="rId3"/>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R62"/>
  <sheetViews>
    <sheetView topLeftCell="E4" zoomScaleNormal="100" zoomScalePageLayoutView="150" workbookViewId="0">
      <selection activeCell="P20" sqref="P20"/>
    </sheetView>
  </sheetViews>
  <sheetFormatPr defaultColWidth="8.85546875" defaultRowHeight="15" x14ac:dyDescent="0.25"/>
  <cols>
    <col min="1" max="1" width="23" style="6" customWidth="1"/>
    <col min="2" max="2" width="21.85546875" style="6" customWidth="1"/>
    <col min="3" max="3" width="17.5703125" style="6" customWidth="1"/>
    <col min="4" max="4" width="50.7109375" style="6" bestFit="1" customWidth="1"/>
    <col min="5" max="5" width="38.85546875" style="6" customWidth="1"/>
    <col min="6" max="6" width="19" style="6" bestFit="1" customWidth="1"/>
    <col min="7" max="7" width="17.7109375" style="6" bestFit="1" customWidth="1"/>
    <col min="8" max="8" width="12.5703125" style="6" bestFit="1" customWidth="1"/>
    <col min="9" max="9" width="13.140625" style="39" bestFit="1" customWidth="1"/>
    <col min="10" max="11" width="3.7109375" style="6" customWidth="1"/>
    <col min="12" max="12" width="12.7109375" style="6" bestFit="1" customWidth="1"/>
    <col min="13" max="13" width="12.140625" style="39" bestFit="1" customWidth="1"/>
    <col min="14" max="14" width="12.140625" style="40" bestFit="1" customWidth="1"/>
    <col min="15" max="15" width="3.7109375" style="6" customWidth="1"/>
    <col min="16" max="16" width="20.28515625" style="6" bestFit="1" customWidth="1"/>
    <col min="17" max="17" width="20" style="6" bestFit="1" customWidth="1"/>
    <col min="18" max="18" width="17.7109375" style="6" bestFit="1" customWidth="1"/>
    <col min="19" max="16384" width="8.85546875" style="6"/>
  </cols>
  <sheetData>
    <row r="1" spans="1:18" s="26" customFormat="1" x14ac:dyDescent="0.25">
      <c r="A1" s="26" t="s">
        <v>1540</v>
      </c>
      <c r="I1" s="172"/>
      <c r="M1" s="172"/>
      <c r="N1" s="199"/>
    </row>
    <row r="2" spans="1:18" s="26" customFormat="1" x14ac:dyDescent="0.25">
      <c r="A2" s="197" t="s">
        <v>1542</v>
      </c>
      <c r="I2" s="172"/>
      <c r="M2" s="172"/>
      <c r="N2" s="199"/>
    </row>
    <row r="3" spans="1:18" s="26" customFormat="1" x14ac:dyDescent="0.25">
      <c r="A3" s="26" t="s">
        <v>1368</v>
      </c>
      <c r="I3" s="172"/>
      <c r="M3" s="172"/>
      <c r="N3" s="199"/>
    </row>
    <row r="4" spans="1:18" s="26" customFormat="1" x14ac:dyDescent="0.25">
      <c r="A4" s="26" t="s">
        <v>1309</v>
      </c>
      <c r="I4" s="172"/>
      <c r="M4" s="172"/>
      <c r="N4" s="199"/>
    </row>
    <row r="5" spans="1:18" s="26" customFormat="1" x14ac:dyDescent="0.25">
      <c r="A5" s="26" t="s">
        <v>1318</v>
      </c>
      <c r="I5" s="172"/>
      <c r="M5" s="172"/>
      <c r="N5" s="199"/>
    </row>
    <row r="6" spans="1:18" s="26" customFormat="1" x14ac:dyDescent="0.25">
      <c r="A6" s="26" t="s">
        <v>275</v>
      </c>
      <c r="I6" s="172"/>
      <c r="M6" s="172"/>
      <c r="N6" s="199"/>
    </row>
    <row r="7" spans="1:18" s="26" customFormat="1" ht="15.75" thickBot="1" x14ac:dyDescent="0.3">
      <c r="I7" s="172"/>
      <c r="M7" s="172"/>
      <c r="N7" s="199"/>
    </row>
    <row r="8" spans="1:18" s="26" customFormat="1" ht="15.75" thickBot="1" x14ac:dyDescent="0.3">
      <c r="A8" s="230" t="s">
        <v>127</v>
      </c>
      <c r="B8" s="231"/>
      <c r="I8" s="172"/>
      <c r="M8" s="172"/>
      <c r="N8" s="199"/>
    </row>
    <row r="9" spans="1:18" s="26" customFormat="1" ht="16.5" thickTop="1" thickBot="1" x14ac:dyDescent="0.3">
      <c r="A9" s="51" t="s">
        <v>25</v>
      </c>
      <c r="B9" s="204"/>
      <c r="D9" s="26" t="s">
        <v>274</v>
      </c>
      <c r="H9" s="27" t="s">
        <v>1197</v>
      </c>
      <c r="I9" s="50">
        <f>COUNTA(SamplingFeatures[Feature Code])</f>
        <v>0</v>
      </c>
      <c r="L9" s="27" t="s">
        <v>1195</v>
      </c>
      <c r="M9" s="50">
        <f ca="1">MAX(SamplingFeatures[SiteID])</f>
        <v>0</v>
      </c>
      <c r="N9" s="199"/>
      <c r="P9" s="27" t="s">
        <v>1369</v>
      </c>
      <c r="Q9" s="28">
        <f ca="1">MAX(SamplingFeatures[SpecimenID])</f>
        <v>0</v>
      </c>
    </row>
    <row r="10" spans="1:18" s="26" customFormat="1" ht="15.75" thickBot="1" x14ac:dyDescent="0.3">
      <c r="A10" s="52" t="s">
        <v>126</v>
      </c>
      <c r="B10" s="205"/>
      <c r="D10" s="26" t="s">
        <v>1270</v>
      </c>
      <c r="H10" s="27" t="s">
        <v>1269</v>
      </c>
      <c r="I10" s="50">
        <f ca="1">MAX(SamplingFeatures[IGSNID])</f>
        <v>0</v>
      </c>
      <c r="M10" s="172"/>
      <c r="N10" s="199"/>
    </row>
    <row r="11" spans="1:18" s="26" customFormat="1" ht="15.75" thickBot="1" x14ac:dyDescent="0.3">
      <c r="I11" s="172"/>
      <c r="K11" s="232" t="s">
        <v>1317</v>
      </c>
      <c r="L11" s="232"/>
      <c r="M11" s="232"/>
      <c r="N11" s="232"/>
      <c r="O11" s="232" t="s">
        <v>1370</v>
      </c>
      <c r="P11" s="232"/>
      <c r="Q11" s="232"/>
      <c r="R11" s="232"/>
    </row>
    <row r="12" spans="1:18" s="26" customFormat="1" ht="15.75" thickBot="1" x14ac:dyDescent="0.3">
      <c r="A12" s="53" t="s">
        <v>20</v>
      </c>
      <c r="B12" s="54" t="s">
        <v>21</v>
      </c>
      <c r="C12" s="54" t="s">
        <v>125</v>
      </c>
      <c r="D12" s="54" t="s">
        <v>191</v>
      </c>
      <c r="E12" s="55" t="s">
        <v>189</v>
      </c>
      <c r="F12" s="56" t="s">
        <v>190</v>
      </c>
      <c r="G12" s="57" t="s">
        <v>192</v>
      </c>
      <c r="H12" s="57" t="s">
        <v>24</v>
      </c>
      <c r="I12" s="58" t="s">
        <v>1180</v>
      </c>
      <c r="J12" s="48" t="s">
        <v>1267</v>
      </c>
      <c r="K12" s="214" t="s">
        <v>1136</v>
      </c>
      <c r="L12" s="209" t="s">
        <v>187</v>
      </c>
      <c r="M12" s="209" t="s">
        <v>22</v>
      </c>
      <c r="N12" s="209" t="s">
        <v>23</v>
      </c>
      <c r="O12" s="217" t="s">
        <v>1371</v>
      </c>
      <c r="P12" s="209" t="s">
        <v>1372</v>
      </c>
      <c r="Q12" s="209" t="s">
        <v>1373</v>
      </c>
      <c r="R12" s="210" t="s">
        <v>1374</v>
      </c>
    </row>
    <row r="13" spans="1:18" ht="15.75" thickTop="1" x14ac:dyDescent="0.25">
      <c r="A13" s="138"/>
      <c r="B13" s="18"/>
      <c r="C13" s="18"/>
      <c r="D13" s="18"/>
      <c r="E13" s="41"/>
      <c r="F13" s="42"/>
      <c r="G13" s="43"/>
      <c r="H13" s="43"/>
      <c r="I13" s="43"/>
      <c r="J13" s="46" t="str">
        <f ca="1">IF(SamplingFeatures[[#This Row],[Feature IGSN]]&lt;&gt;"",MAX(INDIRECT(CONCATENATE("R",ROW(SamplingFeatures[#Headers]),"C",COLUMN(),":R",ROW()-1,"C",COLUMN()),FALSE))+1,"")</f>
        <v/>
      </c>
      <c r="K13" s="215" t="str">
        <f ca="1">IF(SamplingFeatures[[#This Row],[Sampling Feature Type]]="Site",MAX(INDIRECT(CONCATENATE("R",ROW(SamplingFeatures[#Headers]),"C",COLUMN(),":R",ROW()-1,"C",COLUMN()),FALSE))+1,"")</f>
        <v/>
      </c>
      <c r="L13" s="211"/>
      <c r="M13" s="207"/>
      <c r="N13" s="207"/>
      <c r="O13" s="46" t="str">
        <f ca="1">IF(SamplingFeatures[[#This Row],[Sampling Feature Type]]="Specimen",MAX(INDIRECT(CONCATENATE("R",ROW(SamplingFeatures[#Headers]),"C",COLUMN(),":R",ROW()-1,"C",COLUMN()),FALSE))+1,"")</f>
        <v/>
      </c>
      <c r="P13" s="211"/>
      <c r="Q13" s="207"/>
      <c r="R13" s="207"/>
    </row>
    <row r="14" spans="1:18" x14ac:dyDescent="0.25">
      <c r="A14" s="139"/>
      <c r="B14" s="18"/>
      <c r="C14" s="18"/>
      <c r="D14" s="10"/>
      <c r="E14" s="11"/>
      <c r="F14" s="44"/>
      <c r="G14" s="12"/>
      <c r="H14" s="12"/>
      <c r="I14" s="12"/>
      <c r="J14" s="47" t="str">
        <f ca="1">IF(SamplingFeatures[[#This Row],[Feature IGSN]]&lt;&gt;"",MAX(INDIRECT(CONCATENATE("R",ROW(SamplingFeatures[#Headers]),"C",COLUMN(),":R",ROW()-1,"C",COLUMN()),FALSE))+1,"")</f>
        <v/>
      </c>
      <c r="K14" s="126" t="str">
        <f ca="1">IF(SamplingFeatures[[#This Row],[Sampling Feature Type]]="Site",MAX(INDIRECT(CONCATENATE("R",ROW(SamplingFeatures[#Headers]),"C",COLUMN(),":R",ROW()-1,"C",COLUMN()),FALSE))+1,"")</f>
        <v/>
      </c>
      <c r="L14" s="212"/>
      <c r="M14" s="206"/>
      <c r="N14" s="206"/>
      <c r="O14" s="47" t="str">
        <f ca="1">IF(SamplingFeatures[[#This Row],[Sampling Feature Type]]="Specimen",MAX(INDIRECT(CONCATENATE("R",ROW(SamplingFeatures[#Headers]),"C",COLUMN(),":R",ROW()-1,"C",COLUMN()),FALSE))+1,"")</f>
        <v/>
      </c>
      <c r="P14" s="212"/>
      <c r="Q14" s="206"/>
      <c r="R14" s="206"/>
    </row>
    <row r="15" spans="1:18" x14ac:dyDescent="0.25">
      <c r="A15" s="139"/>
      <c r="B15" s="18"/>
      <c r="C15" s="18"/>
      <c r="D15" s="10"/>
      <c r="E15" s="11"/>
      <c r="F15" s="44"/>
      <c r="G15" s="12"/>
      <c r="H15" s="12"/>
      <c r="I15" s="12"/>
      <c r="J15" s="47" t="str">
        <f ca="1">IF(SamplingFeatures[[#This Row],[Feature IGSN]]&lt;&gt;"",MAX(INDIRECT(CONCATENATE("R",ROW(SamplingFeatures[#Headers]),"C",COLUMN(),":R",ROW()-1,"C",COLUMN()),FALSE))+1,"")</f>
        <v/>
      </c>
      <c r="K15" s="126" t="str">
        <f ca="1">IF(SamplingFeatures[[#This Row],[Sampling Feature Type]]="Site",MAX(INDIRECT(CONCATENATE("R",ROW(SamplingFeatures[#Headers]),"C",COLUMN(),":R",ROW()-1,"C",COLUMN()),FALSE))+1,"")</f>
        <v/>
      </c>
      <c r="L15" s="212"/>
      <c r="M15" s="206"/>
      <c r="N15" s="206"/>
      <c r="O15" s="47" t="str">
        <f ca="1">IF(SamplingFeatures[[#This Row],[Sampling Feature Type]]="Specimen",MAX(INDIRECT(CONCATENATE("R",ROW(SamplingFeatures[#Headers]),"C",COLUMN(),":R",ROW()-1,"C",COLUMN()),FALSE))+1,"")</f>
        <v/>
      </c>
      <c r="P15" s="212"/>
      <c r="Q15" s="206"/>
      <c r="R15" s="206"/>
    </row>
    <row r="16" spans="1:18" ht="15" customHeight="1" x14ac:dyDescent="0.25">
      <c r="A16" s="139"/>
      <c r="B16" s="18"/>
      <c r="C16" s="18"/>
      <c r="D16" s="10"/>
      <c r="E16" s="11"/>
      <c r="F16" s="44"/>
      <c r="G16" s="12"/>
      <c r="H16" s="12"/>
      <c r="I16" s="12"/>
      <c r="J16" s="47" t="str">
        <f ca="1">IF(SamplingFeatures[[#This Row],[Feature IGSN]]&lt;&gt;"",MAX(INDIRECT(CONCATENATE("R",ROW(SamplingFeatures[#Headers]),"C",COLUMN(),":R",ROW()-1,"C",COLUMN()),FALSE))+1,"")</f>
        <v/>
      </c>
      <c r="K16" s="126" t="str">
        <f ca="1">IF(SamplingFeatures[[#This Row],[Sampling Feature Type]]="Site",MAX(INDIRECT(CONCATENATE("R",ROW(SamplingFeatures[#Headers]),"C",COLUMN(),":R",ROW()-1,"C",COLUMN()),FALSE))+1,"")</f>
        <v/>
      </c>
      <c r="L16" s="212"/>
      <c r="M16" s="206"/>
      <c r="N16" s="206"/>
      <c r="O16" s="47" t="str">
        <f ca="1">IF(SamplingFeatures[[#This Row],[Sampling Feature Type]]="Specimen",MAX(INDIRECT(CONCATENATE("R",ROW(SamplingFeatures[#Headers]),"C",COLUMN(),":R",ROW()-1,"C",COLUMN()),FALSE))+1,"")</f>
        <v/>
      </c>
      <c r="P16" s="212"/>
      <c r="Q16" s="206"/>
      <c r="R16" s="206"/>
    </row>
    <row r="17" spans="1:18" x14ac:dyDescent="0.25">
      <c r="A17" s="139"/>
      <c r="B17" s="18"/>
      <c r="C17" s="18"/>
      <c r="D17" s="10"/>
      <c r="E17" s="11"/>
      <c r="F17" s="44"/>
      <c r="G17" s="12"/>
      <c r="H17" s="12"/>
      <c r="I17" s="12"/>
      <c r="J17" s="47" t="str">
        <f ca="1">IF(SamplingFeatures[[#This Row],[Feature IGSN]]&lt;&gt;"",MAX(INDIRECT(CONCATENATE("R",ROW(SamplingFeatures[#Headers]),"C",COLUMN(),":R",ROW()-1,"C",COLUMN()),FALSE))+1,"")</f>
        <v/>
      </c>
      <c r="K17" s="126" t="str">
        <f ca="1">IF(SamplingFeatures[[#This Row],[Sampling Feature Type]]="Site",MAX(INDIRECT(CONCATENATE("R",ROW(SamplingFeatures[#Headers]),"C",COLUMN(),":R",ROW()-1,"C",COLUMN()),FALSE))+1,"")</f>
        <v/>
      </c>
      <c r="L17" s="212"/>
      <c r="M17" s="206"/>
      <c r="N17" s="206"/>
      <c r="O17" s="47" t="str">
        <f ca="1">IF(SamplingFeatures[[#This Row],[Sampling Feature Type]]="Specimen",MAX(INDIRECT(CONCATENATE("R",ROW(SamplingFeatures[#Headers]),"C",COLUMN(),":R",ROW()-1,"C",COLUMN()),FALSE))+1,"")</f>
        <v/>
      </c>
      <c r="P17" s="212"/>
      <c r="Q17" s="206"/>
      <c r="R17" s="206"/>
    </row>
    <row r="18" spans="1:18" ht="15" customHeight="1" x14ac:dyDescent="0.25">
      <c r="A18" s="139"/>
      <c r="B18" s="18"/>
      <c r="C18" s="18"/>
      <c r="D18" s="10"/>
      <c r="E18" s="11"/>
      <c r="F18" s="44"/>
      <c r="G18" s="12"/>
      <c r="H18" s="12"/>
      <c r="I18" s="12"/>
      <c r="J18" s="47" t="str">
        <f ca="1">IF(SamplingFeatures[[#This Row],[Feature IGSN]]&lt;&gt;"",MAX(INDIRECT(CONCATENATE("R",ROW(SamplingFeatures[#Headers]),"C",COLUMN(),":R",ROW()-1,"C",COLUMN()),FALSE))+1,"")</f>
        <v/>
      </c>
      <c r="K18" s="126" t="str">
        <f ca="1">IF(SamplingFeatures[[#This Row],[Sampling Feature Type]]="Site",MAX(INDIRECT(CONCATENATE("R",ROW(SamplingFeatures[#Headers]),"C",COLUMN(),":R",ROW()-1,"C",COLUMN()),FALSE))+1,"")</f>
        <v/>
      </c>
      <c r="L18" s="212"/>
      <c r="M18" s="206"/>
      <c r="N18" s="206"/>
      <c r="O18" s="47" t="str">
        <f ca="1">IF(SamplingFeatures[[#This Row],[Sampling Feature Type]]="Specimen",MAX(INDIRECT(CONCATENATE("R",ROW(SamplingFeatures[#Headers]),"C",COLUMN(),":R",ROW()-1,"C",COLUMN()),FALSE))+1,"")</f>
        <v/>
      </c>
      <c r="P18" s="212"/>
      <c r="Q18" s="206"/>
      <c r="R18" s="206"/>
    </row>
    <row r="19" spans="1:18" ht="15" customHeight="1" x14ac:dyDescent="0.25">
      <c r="A19" s="139"/>
      <c r="B19" s="18"/>
      <c r="C19" s="18"/>
      <c r="D19" s="10"/>
      <c r="E19" s="11"/>
      <c r="F19" s="44"/>
      <c r="G19" s="12"/>
      <c r="H19" s="12"/>
      <c r="I19" s="12"/>
      <c r="J19" s="47" t="str">
        <f ca="1">IF(SamplingFeatures[[#This Row],[Feature IGSN]]&lt;&gt;"",MAX(INDIRECT(CONCATENATE("R",ROW(SamplingFeatures[#Headers]),"C",COLUMN(),":R",ROW()-1,"C",COLUMN()),FALSE))+1,"")</f>
        <v/>
      </c>
      <c r="K19" s="126" t="str">
        <f ca="1">IF(SamplingFeatures[[#This Row],[Sampling Feature Type]]="Site",MAX(INDIRECT(CONCATENATE("R",ROW(SamplingFeatures[#Headers]),"C",COLUMN(),":R",ROW()-1,"C",COLUMN()),FALSE))+1,"")</f>
        <v/>
      </c>
      <c r="L19" s="212"/>
      <c r="M19" s="206"/>
      <c r="N19" s="206"/>
      <c r="O19" s="47" t="str">
        <f ca="1">IF(SamplingFeatures[[#This Row],[Sampling Feature Type]]="Specimen",MAX(INDIRECT(CONCATENATE("R",ROW(SamplingFeatures[#Headers]),"C",COLUMN(),":R",ROW()-1,"C",COLUMN()),FALSE))+1,"")</f>
        <v/>
      </c>
      <c r="P19" s="212"/>
      <c r="Q19" s="206"/>
      <c r="R19" s="206"/>
    </row>
    <row r="20" spans="1:18" x14ac:dyDescent="0.25">
      <c r="A20" s="139"/>
      <c r="B20" s="18"/>
      <c r="C20" s="18"/>
      <c r="D20" s="10"/>
      <c r="E20" s="11"/>
      <c r="F20" s="44"/>
      <c r="G20" s="12"/>
      <c r="H20" s="12"/>
      <c r="I20" s="12"/>
      <c r="J20" s="47" t="str">
        <f ca="1">IF(SamplingFeatures[[#This Row],[Feature IGSN]]&lt;&gt;"",MAX(INDIRECT(CONCATENATE("R",ROW(SamplingFeatures[#Headers]),"C",COLUMN(),":R",ROW()-1,"C",COLUMN()),FALSE))+1,"")</f>
        <v/>
      </c>
      <c r="K20" s="126" t="str">
        <f ca="1">IF(SamplingFeatures[[#This Row],[Sampling Feature Type]]="Site",MAX(INDIRECT(CONCATENATE("R",ROW(SamplingFeatures[#Headers]),"C",COLUMN(),":R",ROW()-1,"C",COLUMN()),FALSE))+1,"")</f>
        <v/>
      </c>
      <c r="L20" s="212"/>
      <c r="M20" s="206"/>
      <c r="N20" s="206"/>
      <c r="O20" s="47" t="str">
        <f ca="1">IF(SamplingFeatures[[#This Row],[Sampling Feature Type]]="Specimen",MAX(INDIRECT(CONCATENATE("R",ROW(SamplingFeatures[#Headers]),"C",COLUMN(),":R",ROW()-1,"C",COLUMN()),FALSE))+1,"")</f>
        <v/>
      </c>
      <c r="P20" s="212"/>
      <c r="Q20" s="206"/>
      <c r="R20" s="206"/>
    </row>
    <row r="21" spans="1:18" x14ac:dyDescent="0.25">
      <c r="A21" s="139"/>
      <c r="B21" s="18"/>
      <c r="C21" s="18"/>
      <c r="D21" s="10"/>
      <c r="E21" s="11"/>
      <c r="F21" s="44"/>
      <c r="G21" s="12"/>
      <c r="H21" s="12"/>
      <c r="I21" s="12"/>
      <c r="J21" s="47" t="str">
        <f ca="1">IF(SamplingFeatures[[#This Row],[Feature IGSN]]&lt;&gt;"",MAX(INDIRECT(CONCATENATE("R",ROW(SamplingFeatures[#Headers]),"C",COLUMN(),":R",ROW()-1,"C",COLUMN()),FALSE))+1,"")</f>
        <v/>
      </c>
      <c r="K21" s="126" t="str">
        <f ca="1">IF(SamplingFeatures[[#This Row],[Sampling Feature Type]]="Site",MAX(INDIRECT(CONCATENATE("R",ROW(SamplingFeatures[#Headers]),"C",COLUMN(),":R",ROW()-1,"C",COLUMN()),FALSE))+1,"")</f>
        <v/>
      </c>
      <c r="L21" s="212"/>
      <c r="M21" s="206"/>
      <c r="N21" s="206"/>
      <c r="O21" s="47" t="str">
        <f ca="1">IF(SamplingFeatures[[#This Row],[Sampling Feature Type]]="Specimen",MAX(INDIRECT(CONCATENATE("R",ROW(SamplingFeatures[#Headers]),"C",COLUMN(),":R",ROW()-1,"C",COLUMN()),FALSE))+1,"")</f>
        <v/>
      </c>
      <c r="P21" s="212"/>
      <c r="Q21" s="206"/>
      <c r="R21" s="206"/>
    </row>
    <row r="22" spans="1:18" x14ac:dyDescent="0.25">
      <c r="A22" s="139"/>
      <c r="B22" s="18"/>
      <c r="C22" s="18"/>
      <c r="D22" s="10"/>
      <c r="E22" s="11"/>
      <c r="F22" s="44"/>
      <c r="G22" s="12"/>
      <c r="H22" s="12"/>
      <c r="I22" s="12"/>
      <c r="J22" s="47" t="str">
        <f ca="1">IF(SamplingFeatures[[#This Row],[Feature IGSN]]&lt;&gt;"",MAX(INDIRECT(CONCATENATE("R",ROW(SamplingFeatures[#Headers]),"C",COLUMN(),":R",ROW()-1,"C",COLUMN()),FALSE))+1,"")</f>
        <v/>
      </c>
      <c r="K22" s="126" t="str">
        <f ca="1">IF(SamplingFeatures[[#This Row],[Sampling Feature Type]]="Site",MAX(INDIRECT(CONCATENATE("R",ROW(SamplingFeatures[#Headers]),"C",COLUMN(),":R",ROW()-1,"C",COLUMN()),FALSE))+1,"")</f>
        <v/>
      </c>
      <c r="L22" s="212"/>
      <c r="M22" s="206"/>
      <c r="N22" s="206"/>
      <c r="O22" s="47" t="str">
        <f ca="1">IF(SamplingFeatures[[#This Row],[Sampling Feature Type]]="Specimen",MAX(INDIRECT(CONCATENATE("R",ROW(SamplingFeatures[#Headers]),"C",COLUMN(),":R",ROW()-1,"C",COLUMN()),FALSE))+1,"")</f>
        <v/>
      </c>
      <c r="P22" s="212"/>
      <c r="Q22" s="206"/>
      <c r="R22" s="206"/>
    </row>
    <row r="23" spans="1:18" x14ac:dyDescent="0.25">
      <c r="A23" s="139"/>
      <c r="B23" s="18"/>
      <c r="C23" s="10"/>
      <c r="D23" s="10"/>
      <c r="E23" s="11"/>
      <c r="F23" s="44"/>
      <c r="G23" s="12"/>
      <c r="H23" s="12"/>
      <c r="I23" s="12"/>
      <c r="J23" s="47" t="str">
        <f ca="1">IF(SamplingFeatures[[#This Row],[Feature IGSN]]&lt;&gt;"",MAX(INDIRECT(CONCATENATE("R",ROW(SamplingFeatures[#Headers]),"C",COLUMN(),":R",ROW()-1,"C",COLUMN()),FALSE))+1,"")</f>
        <v/>
      </c>
      <c r="K23" s="126" t="str">
        <f ca="1">IF(SamplingFeatures[[#This Row],[Sampling Feature Type]]="Site",MAX(INDIRECT(CONCATENATE("R",ROW(SamplingFeatures[#Headers]),"C",COLUMN(),":R",ROW()-1,"C",COLUMN()),FALSE))+1,"")</f>
        <v/>
      </c>
      <c r="L23" s="212"/>
      <c r="M23" s="206"/>
      <c r="N23" s="206"/>
      <c r="O23" s="47" t="str">
        <f ca="1">IF(SamplingFeatures[[#This Row],[Sampling Feature Type]]="Specimen",MAX(INDIRECT(CONCATENATE("R",ROW(SamplingFeatures[#Headers]),"C",COLUMN(),":R",ROW()-1,"C",COLUMN()),FALSE))+1,"")</f>
        <v/>
      </c>
      <c r="P23" s="212"/>
      <c r="Q23" s="206"/>
      <c r="R23" s="206"/>
    </row>
    <row r="24" spans="1:18" x14ac:dyDescent="0.25">
      <c r="A24" s="139"/>
      <c r="B24" s="10"/>
      <c r="C24" s="10"/>
      <c r="D24" s="10"/>
      <c r="E24" s="11"/>
      <c r="F24" s="44"/>
      <c r="G24" s="12"/>
      <c r="H24" s="12"/>
      <c r="I24" s="12"/>
      <c r="J24" s="47" t="str">
        <f ca="1">IF(SamplingFeatures[[#This Row],[Feature IGSN]]&lt;&gt;"",MAX(INDIRECT(CONCATENATE("R",ROW(SamplingFeatures[#Headers]),"C",COLUMN(),":R",ROW()-1,"C",COLUMN()),FALSE))+1,"")</f>
        <v/>
      </c>
      <c r="K24" s="126" t="str">
        <f ca="1">IF(SamplingFeatures[[#This Row],[Sampling Feature Type]]="Site",MAX(INDIRECT(CONCATENATE("R",ROW(SamplingFeatures[#Headers]),"C",COLUMN(),":R",ROW()-1,"C",COLUMN()),FALSE))+1,"")</f>
        <v/>
      </c>
      <c r="L24" s="212"/>
      <c r="M24" s="206"/>
      <c r="N24" s="206"/>
      <c r="O24" s="47" t="str">
        <f ca="1">IF(SamplingFeatures[[#This Row],[Sampling Feature Type]]="Specimen",MAX(INDIRECT(CONCATENATE("R",ROW(SamplingFeatures[#Headers]),"C",COLUMN(),":R",ROW()-1,"C",COLUMN()),FALSE))+1,"")</f>
        <v/>
      </c>
      <c r="P24" s="212"/>
      <c r="Q24" s="206"/>
      <c r="R24" s="206"/>
    </row>
    <row r="25" spans="1:18" x14ac:dyDescent="0.25">
      <c r="A25" s="139"/>
      <c r="B25" s="10"/>
      <c r="C25" s="10"/>
      <c r="D25" s="10"/>
      <c r="E25" s="11"/>
      <c r="F25" s="44"/>
      <c r="G25" s="12"/>
      <c r="H25" s="12"/>
      <c r="I25" s="12"/>
      <c r="J25" s="47" t="str">
        <f ca="1">IF(SamplingFeatures[[#This Row],[Feature IGSN]]&lt;&gt;"",MAX(INDIRECT(CONCATENATE("R",ROW(SamplingFeatures[#Headers]),"C",COLUMN(),":R",ROW()-1,"C",COLUMN()),FALSE))+1,"")</f>
        <v/>
      </c>
      <c r="K25" s="126" t="str">
        <f ca="1">IF(SamplingFeatures[[#This Row],[Sampling Feature Type]]="Site",MAX(INDIRECT(CONCATENATE("R",ROW(SamplingFeatures[#Headers]),"C",COLUMN(),":R",ROW()-1,"C",COLUMN()),FALSE))+1,"")</f>
        <v/>
      </c>
      <c r="L25" s="212"/>
      <c r="M25" s="206"/>
      <c r="N25" s="206"/>
      <c r="O25" s="47" t="str">
        <f ca="1">IF(SamplingFeatures[[#This Row],[Sampling Feature Type]]="Specimen",MAX(INDIRECT(CONCATENATE("R",ROW(SamplingFeatures[#Headers]),"C",COLUMN(),":R",ROW()-1,"C",COLUMN()),FALSE))+1,"")</f>
        <v/>
      </c>
      <c r="P25" s="212"/>
      <c r="Q25" s="206"/>
      <c r="R25" s="206"/>
    </row>
    <row r="26" spans="1:18" x14ac:dyDescent="0.25">
      <c r="A26" s="139"/>
      <c r="B26" s="10"/>
      <c r="C26" s="10"/>
      <c r="D26" s="10"/>
      <c r="E26" s="11"/>
      <c r="F26" s="44"/>
      <c r="G26" s="12"/>
      <c r="H26" s="12"/>
      <c r="I26" s="12"/>
      <c r="J26" s="47" t="str">
        <f ca="1">IF(SamplingFeatures[[#This Row],[Feature IGSN]]&lt;&gt;"",MAX(INDIRECT(CONCATENATE("R",ROW(SamplingFeatures[#Headers]),"C",COLUMN(),":R",ROW()-1,"C",COLUMN()),FALSE))+1,"")</f>
        <v/>
      </c>
      <c r="K26" s="126" t="str">
        <f ca="1">IF(SamplingFeatures[[#This Row],[Sampling Feature Type]]="Site",MAX(INDIRECT(CONCATENATE("R",ROW(SamplingFeatures[#Headers]),"C",COLUMN(),":R",ROW()-1,"C",COLUMN()),FALSE))+1,"")</f>
        <v/>
      </c>
      <c r="L26" s="212"/>
      <c r="M26" s="206"/>
      <c r="N26" s="206"/>
      <c r="O26" s="47" t="str">
        <f ca="1">IF(SamplingFeatures[[#This Row],[Sampling Feature Type]]="Specimen",MAX(INDIRECT(CONCATENATE("R",ROW(SamplingFeatures[#Headers]),"C",COLUMN(),":R",ROW()-1,"C",COLUMN()),FALSE))+1,"")</f>
        <v/>
      </c>
      <c r="P26" s="212"/>
      <c r="Q26" s="206"/>
      <c r="R26" s="206"/>
    </row>
    <row r="27" spans="1:18" x14ac:dyDescent="0.25">
      <c r="A27" s="139"/>
      <c r="B27" s="10"/>
      <c r="C27" s="10"/>
      <c r="D27" s="10"/>
      <c r="E27" s="11"/>
      <c r="F27" s="44"/>
      <c r="G27" s="12"/>
      <c r="H27" s="12"/>
      <c r="I27" s="12"/>
      <c r="J27" s="47" t="str">
        <f ca="1">IF(SamplingFeatures[[#This Row],[Feature IGSN]]&lt;&gt;"",MAX(INDIRECT(CONCATENATE("R",ROW(SamplingFeatures[#Headers]),"C",COLUMN(),":R",ROW()-1,"C",COLUMN()),FALSE))+1,"")</f>
        <v/>
      </c>
      <c r="K27" s="126" t="str">
        <f ca="1">IF(SamplingFeatures[[#This Row],[Sampling Feature Type]]="Site",MAX(INDIRECT(CONCATENATE("R",ROW(SamplingFeatures[#Headers]),"C",COLUMN(),":R",ROW()-1,"C",COLUMN()),FALSE))+1,"")</f>
        <v/>
      </c>
      <c r="L27" s="212"/>
      <c r="M27" s="206"/>
      <c r="N27" s="206"/>
      <c r="O27" s="47" t="str">
        <f ca="1">IF(SamplingFeatures[[#This Row],[Sampling Feature Type]]="Specimen",MAX(INDIRECT(CONCATENATE("R",ROW(SamplingFeatures[#Headers]),"C",COLUMN(),":R",ROW()-1,"C",COLUMN()),FALSE))+1,"")</f>
        <v/>
      </c>
      <c r="P27" s="212"/>
      <c r="Q27" s="206"/>
      <c r="R27" s="206"/>
    </row>
    <row r="28" spans="1:18" x14ac:dyDescent="0.25">
      <c r="A28" s="139"/>
      <c r="B28" s="10"/>
      <c r="C28" s="10"/>
      <c r="D28" s="10"/>
      <c r="E28" s="11"/>
      <c r="F28" s="44"/>
      <c r="G28" s="12"/>
      <c r="H28" s="12"/>
      <c r="I28" s="12"/>
      <c r="J28" s="47" t="str">
        <f ca="1">IF(SamplingFeatures[[#This Row],[Feature IGSN]]&lt;&gt;"",MAX(INDIRECT(CONCATENATE("R",ROW(SamplingFeatures[#Headers]),"C",COLUMN(),":R",ROW()-1,"C",COLUMN()),FALSE))+1,"")</f>
        <v/>
      </c>
      <c r="K28" s="126" t="str">
        <f ca="1">IF(SamplingFeatures[[#This Row],[Sampling Feature Type]]="Site",MAX(INDIRECT(CONCATENATE("R",ROW(SamplingFeatures[#Headers]),"C",COLUMN(),":R",ROW()-1,"C",COLUMN()),FALSE))+1,"")</f>
        <v/>
      </c>
      <c r="L28" s="212"/>
      <c r="M28" s="206"/>
      <c r="N28" s="206"/>
      <c r="O28" s="47" t="str">
        <f ca="1">IF(SamplingFeatures[[#This Row],[Sampling Feature Type]]="Specimen",MAX(INDIRECT(CONCATENATE("R",ROW(SamplingFeatures[#Headers]),"C",COLUMN(),":R",ROW()-1,"C",COLUMN()),FALSE))+1,"")</f>
        <v/>
      </c>
      <c r="P28" s="212"/>
      <c r="Q28" s="206"/>
      <c r="R28" s="206"/>
    </row>
    <row r="29" spans="1:18" x14ac:dyDescent="0.25">
      <c r="A29" s="139"/>
      <c r="B29" s="10"/>
      <c r="C29" s="10"/>
      <c r="D29" s="10"/>
      <c r="E29" s="11"/>
      <c r="F29" s="44"/>
      <c r="G29" s="12"/>
      <c r="H29" s="12"/>
      <c r="I29" s="12"/>
      <c r="J29" s="47" t="str">
        <f ca="1">IF(SamplingFeatures[[#This Row],[Feature IGSN]]&lt;&gt;"",MAX(INDIRECT(CONCATENATE("R",ROW(SamplingFeatures[#Headers]),"C",COLUMN(),":R",ROW()-1,"C",COLUMN()),FALSE))+1,"")</f>
        <v/>
      </c>
      <c r="K29" s="126" t="str">
        <f ca="1">IF(SamplingFeatures[[#This Row],[Sampling Feature Type]]="Site",MAX(INDIRECT(CONCATENATE("R",ROW(SamplingFeatures[#Headers]),"C",COLUMN(),":R",ROW()-1,"C",COLUMN()),FALSE))+1,"")</f>
        <v/>
      </c>
      <c r="L29" s="212"/>
      <c r="M29" s="206"/>
      <c r="N29" s="206"/>
      <c r="O29" s="47" t="str">
        <f ca="1">IF(SamplingFeatures[[#This Row],[Sampling Feature Type]]="Specimen",MAX(INDIRECT(CONCATENATE("R",ROW(SamplingFeatures[#Headers]),"C",COLUMN(),":R",ROW()-1,"C",COLUMN()),FALSE))+1,"")</f>
        <v/>
      </c>
      <c r="P29" s="212"/>
      <c r="Q29" s="206"/>
      <c r="R29" s="206"/>
    </row>
    <row r="30" spans="1:18" x14ac:dyDescent="0.25">
      <c r="A30" s="139"/>
      <c r="B30" s="10"/>
      <c r="C30" s="10"/>
      <c r="D30" s="10"/>
      <c r="E30" s="11"/>
      <c r="F30" s="44"/>
      <c r="G30" s="12"/>
      <c r="H30" s="12"/>
      <c r="I30" s="12"/>
      <c r="J30" s="47" t="str">
        <f ca="1">IF(SamplingFeatures[[#This Row],[Feature IGSN]]&lt;&gt;"",MAX(INDIRECT(CONCATENATE("R",ROW(SamplingFeatures[#Headers]),"C",COLUMN(),":R",ROW()-1,"C",COLUMN()),FALSE))+1,"")</f>
        <v/>
      </c>
      <c r="K30" s="126" t="str">
        <f ca="1">IF(SamplingFeatures[[#This Row],[Sampling Feature Type]]="Site",MAX(INDIRECT(CONCATENATE("R",ROW(SamplingFeatures[#Headers]),"C",COLUMN(),":R",ROW()-1,"C",COLUMN()),FALSE))+1,"")</f>
        <v/>
      </c>
      <c r="L30" s="212"/>
      <c r="M30" s="206"/>
      <c r="N30" s="206"/>
      <c r="O30" s="47" t="str">
        <f ca="1">IF(SamplingFeatures[[#This Row],[Sampling Feature Type]]="Specimen",MAX(INDIRECT(CONCATENATE("R",ROW(SamplingFeatures[#Headers]),"C",COLUMN(),":R",ROW()-1,"C",COLUMN()),FALSE))+1,"")</f>
        <v/>
      </c>
      <c r="P30" s="212"/>
      <c r="Q30" s="206"/>
      <c r="R30" s="206"/>
    </row>
    <row r="31" spans="1:18" x14ac:dyDescent="0.25">
      <c r="A31" s="139"/>
      <c r="B31" s="10"/>
      <c r="C31" s="10"/>
      <c r="D31" s="10"/>
      <c r="E31" s="11"/>
      <c r="F31" s="44"/>
      <c r="G31" s="12"/>
      <c r="H31" s="12"/>
      <c r="I31" s="12"/>
      <c r="J31" s="47" t="str">
        <f ca="1">IF(SamplingFeatures[[#This Row],[Feature IGSN]]&lt;&gt;"",MAX(INDIRECT(CONCATENATE("R",ROW(SamplingFeatures[#Headers]),"C",COLUMN(),":R",ROW()-1,"C",COLUMN()),FALSE))+1,"")</f>
        <v/>
      </c>
      <c r="K31" s="126" t="str">
        <f ca="1">IF(SamplingFeatures[[#This Row],[Sampling Feature Type]]="Site",MAX(INDIRECT(CONCATENATE("R",ROW(SamplingFeatures[#Headers]),"C",COLUMN(),":R",ROW()-1,"C",COLUMN()),FALSE))+1,"")</f>
        <v/>
      </c>
      <c r="L31" s="212"/>
      <c r="M31" s="206"/>
      <c r="N31" s="206"/>
      <c r="O31" s="47" t="str">
        <f ca="1">IF(SamplingFeatures[[#This Row],[Sampling Feature Type]]="Specimen",MAX(INDIRECT(CONCATENATE("R",ROW(SamplingFeatures[#Headers]),"C",COLUMN(),":R",ROW()-1,"C",COLUMN()),FALSE))+1,"")</f>
        <v/>
      </c>
      <c r="P31" s="212"/>
      <c r="Q31" s="206"/>
      <c r="R31" s="206"/>
    </row>
    <row r="32" spans="1:18" x14ac:dyDescent="0.25">
      <c r="A32" s="139"/>
      <c r="B32" s="10"/>
      <c r="C32" s="10"/>
      <c r="D32" s="10"/>
      <c r="E32" s="11"/>
      <c r="F32" s="44"/>
      <c r="G32" s="12"/>
      <c r="H32" s="12"/>
      <c r="I32" s="12"/>
      <c r="J32" s="47" t="str">
        <f ca="1">IF(SamplingFeatures[[#This Row],[Feature IGSN]]&lt;&gt;"",MAX(INDIRECT(CONCATENATE("R",ROW(SamplingFeatures[#Headers]),"C",COLUMN(),":R",ROW()-1,"C",COLUMN()),FALSE))+1,"")</f>
        <v/>
      </c>
      <c r="K32" s="126" t="str">
        <f ca="1">IF(SamplingFeatures[[#This Row],[Sampling Feature Type]]="Site",MAX(INDIRECT(CONCATENATE("R",ROW(SamplingFeatures[#Headers]),"C",COLUMN(),":R",ROW()-1,"C",COLUMN()),FALSE))+1,"")</f>
        <v/>
      </c>
      <c r="L32" s="212"/>
      <c r="M32" s="206"/>
      <c r="N32" s="206"/>
      <c r="O32" s="47" t="str">
        <f ca="1">IF(SamplingFeatures[[#This Row],[Sampling Feature Type]]="Specimen",MAX(INDIRECT(CONCATENATE("R",ROW(SamplingFeatures[#Headers]),"C",COLUMN(),":R",ROW()-1,"C",COLUMN()),FALSE))+1,"")</f>
        <v/>
      </c>
      <c r="P32" s="212"/>
      <c r="Q32" s="206"/>
      <c r="R32" s="206"/>
    </row>
    <row r="33" spans="1:18" x14ac:dyDescent="0.25">
      <c r="A33" s="139"/>
      <c r="B33" s="10"/>
      <c r="C33" s="10"/>
      <c r="D33" s="10"/>
      <c r="E33" s="11"/>
      <c r="F33" s="44"/>
      <c r="G33" s="12"/>
      <c r="H33" s="12"/>
      <c r="I33" s="12"/>
      <c r="J33" s="47" t="str">
        <f ca="1">IF(SamplingFeatures[[#This Row],[Feature IGSN]]&lt;&gt;"",MAX(INDIRECT(CONCATENATE("R",ROW(SamplingFeatures[#Headers]),"C",COLUMN(),":R",ROW()-1,"C",COLUMN()),FALSE))+1,"")</f>
        <v/>
      </c>
      <c r="K33" s="126" t="str">
        <f ca="1">IF(SamplingFeatures[[#This Row],[Sampling Feature Type]]="Site",MAX(INDIRECT(CONCATENATE("R",ROW(SamplingFeatures[#Headers]),"C",COLUMN(),":R",ROW()-1,"C",COLUMN()),FALSE))+1,"")</f>
        <v/>
      </c>
      <c r="L33" s="212"/>
      <c r="M33" s="206"/>
      <c r="N33" s="206"/>
      <c r="O33" s="47" t="str">
        <f ca="1">IF(SamplingFeatures[[#This Row],[Sampling Feature Type]]="Specimen",MAX(INDIRECT(CONCATENATE("R",ROW(SamplingFeatures[#Headers]),"C",COLUMN(),":R",ROW()-1,"C",COLUMN()),FALSE))+1,"")</f>
        <v/>
      </c>
      <c r="P33" s="212"/>
      <c r="Q33" s="206"/>
      <c r="R33" s="206"/>
    </row>
    <row r="34" spans="1:18" x14ac:dyDescent="0.25">
      <c r="A34" s="139"/>
      <c r="B34" s="10"/>
      <c r="C34" s="10"/>
      <c r="D34" s="10"/>
      <c r="E34" s="11"/>
      <c r="F34" s="44"/>
      <c r="G34" s="12"/>
      <c r="H34" s="12"/>
      <c r="I34" s="12"/>
      <c r="J34" s="47" t="str">
        <f ca="1">IF(SamplingFeatures[[#This Row],[Feature IGSN]]&lt;&gt;"",MAX(INDIRECT(CONCATENATE("R",ROW(SamplingFeatures[#Headers]),"C",COLUMN(),":R",ROW()-1,"C",COLUMN()),FALSE))+1,"")</f>
        <v/>
      </c>
      <c r="K34" s="126" t="str">
        <f ca="1">IF(SamplingFeatures[[#This Row],[Sampling Feature Type]]="Site",MAX(INDIRECT(CONCATENATE("R",ROW(SamplingFeatures[#Headers]),"C",COLUMN(),":R",ROW()-1,"C",COLUMN()),FALSE))+1,"")</f>
        <v/>
      </c>
      <c r="L34" s="212"/>
      <c r="M34" s="206"/>
      <c r="N34" s="206"/>
      <c r="O34" s="47" t="str">
        <f ca="1">IF(SamplingFeatures[[#This Row],[Sampling Feature Type]]="Specimen",MAX(INDIRECT(CONCATENATE("R",ROW(SamplingFeatures[#Headers]),"C",COLUMN(),":R",ROW()-1,"C",COLUMN()),FALSE))+1,"")</f>
        <v/>
      </c>
      <c r="P34" s="212"/>
      <c r="Q34" s="206"/>
      <c r="R34" s="206"/>
    </row>
    <row r="35" spans="1:18" x14ac:dyDescent="0.25">
      <c r="A35" s="139"/>
      <c r="B35" s="10"/>
      <c r="C35" s="10"/>
      <c r="D35" s="10"/>
      <c r="E35" s="11"/>
      <c r="F35" s="44"/>
      <c r="G35" s="12"/>
      <c r="H35" s="12"/>
      <c r="I35" s="12"/>
      <c r="J35" s="47" t="str">
        <f ca="1">IF(SamplingFeatures[[#This Row],[Feature IGSN]]&lt;&gt;"",MAX(INDIRECT(CONCATENATE("R",ROW(SamplingFeatures[#Headers]),"C",COLUMN(),":R",ROW()-1,"C",COLUMN()),FALSE))+1,"")</f>
        <v/>
      </c>
      <c r="K35" s="126" t="str">
        <f ca="1">IF(SamplingFeatures[[#This Row],[Sampling Feature Type]]="Site",MAX(INDIRECT(CONCATENATE("R",ROW(SamplingFeatures[#Headers]),"C",COLUMN(),":R",ROW()-1,"C",COLUMN()),FALSE))+1,"")</f>
        <v/>
      </c>
      <c r="L35" s="212"/>
      <c r="M35" s="206"/>
      <c r="N35" s="206"/>
      <c r="O35" s="47" t="str">
        <f ca="1">IF(SamplingFeatures[[#This Row],[Sampling Feature Type]]="Specimen",MAX(INDIRECT(CONCATENATE("R",ROW(SamplingFeatures[#Headers]),"C",COLUMN(),":R",ROW()-1,"C",COLUMN()),FALSE))+1,"")</f>
        <v/>
      </c>
      <c r="P35" s="212"/>
      <c r="Q35" s="206"/>
      <c r="R35" s="206"/>
    </row>
    <row r="36" spans="1:18" x14ac:dyDescent="0.25">
      <c r="A36" s="139"/>
      <c r="B36" s="10"/>
      <c r="C36" s="10"/>
      <c r="D36" s="10"/>
      <c r="E36" s="11"/>
      <c r="F36" s="44"/>
      <c r="G36" s="12"/>
      <c r="H36" s="12"/>
      <c r="I36" s="12"/>
      <c r="J36" s="47" t="str">
        <f ca="1">IF(SamplingFeatures[[#This Row],[Feature IGSN]]&lt;&gt;"",MAX(INDIRECT(CONCATENATE("R",ROW(SamplingFeatures[#Headers]),"C",COLUMN(),":R",ROW()-1,"C",COLUMN()),FALSE))+1,"")</f>
        <v/>
      </c>
      <c r="K36" s="126" t="str">
        <f ca="1">IF(SamplingFeatures[[#This Row],[Sampling Feature Type]]="Site",MAX(INDIRECT(CONCATENATE("R",ROW(SamplingFeatures[#Headers]),"C",COLUMN(),":R",ROW()-1,"C",COLUMN()),FALSE))+1,"")</f>
        <v/>
      </c>
      <c r="L36" s="212"/>
      <c r="M36" s="206"/>
      <c r="N36" s="206"/>
      <c r="O36" s="47" t="str">
        <f ca="1">IF(SamplingFeatures[[#This Row],[Sampling Feature Type]]="Specimen",MAX(INDIRECT(CONCATENATE("R",ROW(SamplingFeatures[#Headers]),"C",COLUMN(),":R",ROW()-1,"C",COLUMN()),FALSE))+1,"")</f>
        <v/>
      </c>
      <c r="P36" s="212"/>
      <c r="Q36" s="206"/>
      <c r="R36" s="206"/>
    </row>
    <row r="37" spans="1:18" x14ac:dyDescent="0.25">
      <c r="A37" s="139"/>
      <c r="B37" s="10"/>
      <c r="C37" s="10"/>
      <c r="D37" s="10"/>
      <c r="E37" s="11"/>
      <c r="F37" s="44"/>
      <c r="G37" s="12"/>
      <c r="H37" s="12"/>
      <c r="I37" s="12"/>
      <c r="J37" s="47" t="str">
        <f ca="1">IF(SamplingFeatures[[#This Row],[Feature IGSN]]&lt;&gt;"",MAX(INDIRECT(CONCATENATE("R",ROW(SamplingFeatures[#Headers]),"C",COLUMN(),":R",ROW()-1,"C",COLUMN()),FALSE))+1,"")</f>
        <v/>
      </c>
      <c r="K37" s="126" t="str">
        <f ca="1">IF(SamplingFeatures[[#This Row],[Sampling Feature Type]]="Site",MAX(INDIRECT(CONCATENATE("R",ROW(SamplingFeatures[#Headers]),"C",COLUMN(),":R",ROW()-1,"C",COLUMN()),FALSE))+1,"")</f>
        <v/>
      </c>
      <c r="L37" s="212"/>
      <c r="M37" s="206"/>
      <c r="N37" s="206"/>
      <c r="O37" s="47" t="str">
        <f ca="1">IF(SamplingFeatures[[#This Row],[Sampling Feature Type]]="Specimen",MAX(INDIRECT(CONCATENATE("R",ROW(SamplingFeatures[#Headers]),"C",COLUMN(),":R",ROW()-1,"C",COLUMN()),FALSE))+1,"")</f>
        <v/>
      </c>
      <c r="P37" s="212"/>
      <c r="Q37" s="206"/>
      <c r="R37" s="206"/>
    </row>
    <row r="38" spans="1:18" x14ac:dyDescent="0.25">
      <c r="A38" s="139"/>
      <c r="B38" s="10"/>
      <c r="C38" s="10"/>
      <c r="D38" s="10"/>
      <c r="E38" s="11"/>
      <c r="F38" s="44"/>
      <c r="G38" s="12"/>
      <c r="H38" s="12"/>
      <c r="I38" s="12"/>
      <c r="J38" s="47" t="str">
        <f ca="1">IF(SamplingFeatures[[#This Row],[Feature IGSN]]&lt;&gt;"",MAX(INDIRECT(CONCATENATE("R",ROW(SamplingFeatures[#Headers]),"C",COLUMN(),":R",ROW()-1,"C",COLUMN()),FALSE))+1,"")</f>
        <v/>
      </c>
      <c r="K38" s="126" t="str">
        <f ca="1">IF(SamplingFeatures[[#This Row],[Sampling Feature Type]]="Site",MAX(INDIRECT(CONCATENATE("R",ROW(SamplingFeatures[#Headers]),"C",COLUMN(),":R",ROW()-1,"C",COLUMN()),FALSE))+1,"")</f>
        <v/>
      </c>
      <c r="L38" s="212"/>
      <c r="M38" s="206"/>
      <c r="N38" s="206"/>
      <c r="O38" s="47" t="str">
        <f ca="1">IF(SamplingFeatures[[#This Row],[Sampling Feature Type]]="Specimen",MAX(INDIRECT(CONCATENATE("R",ROW(SamplingFeatures[#Headers]),"C",COLUMN(),":R",ROW()-1,"C",COLUMN()),FALSE))+1,"")</f>
        <v/>
      </c>
      <c r="P38" s="212"/>
      <c r="Q38" s="206"/>
      <c r="R38" s="206"/>
    </row>
    <row r="39" spans="1:18" x14ac:dyDescent="0.25">
      <c r="A39" s="139"/>
      <c r="B39" s="10"/>
      <c r="C39" s="10"/>
      <c r="D39" s="10"/>
      <c r="E39" s="11"/>
      <c r="F39" s="44"/>
      <c r="G39" s="12"/>
      <c r="H39" s="12"/>
      <c r="I39" s="12"/>
      <c r="J39" s="47" t="str">
        <f ca="1">IF(SamplingFeatures[[#This Row],[Feature IGSN]]&lt;&gt;"",MAX(INDIRECT(CONCATENATE("R",ROW(SamplingFeatures[#Headers]),"C",COLUMN(),":R",ROW()-1,"C",COLUMN()),FALSE))+1,"")</f>
        <v/>
      </c>
      <c r="K39" s="126" t="str">
        <f ca="1">IF(SamplingFeatures[[#This Row],[Sampling Feature Type]]="Site",MAX(INDIRECT(CONCATENATE("R",ROW(SamplingFeatures[#Headers]),"C",COLUMN(),":R",ROW()-1,"C",COLUMN()),FALSE))+1,"")</f>
        <v/>
      </c>
      <c r="L39" s="212"/>
      <c r="M39" s="206"/>
      <c r="N39" s="206"/>
      <c r="O39" s="47" t="str">
        <f ca="1">IF(SamplingFeatures[[#This Row],[Sampling Feature Type]]="Specimen",MAX(INDIRECT(CONCATENATE("R",ROW(SamplingFeatures[#Headers]),"C",COLUMN(),":R",ROW()-1,"C",COLUMN()),FALSE))+1,"")</f>
        <v/>
      </c>
      <c r="P39" s="212"/>
      <c r="Q39" s="206"/>
      <c r="R39" s="206"/>
    </row>
    <row r="40" spans="1:18" x14ac:dyDescent="0.25">
      <c r="A40" s="139"/>
      <c r="B40" s="10"/>
      <c r="C40" s="10"/>
      <c r="D40" s="10"/>
      <c r="E40" s="11"/>
      <c r="F40" s="44"/>
      <c r="G40" s="12"/>
      <c r="H40" s="12"/>
      <c r="I40" s="12"/>
      <c r="J40" s="47" t="str">
        <f ca="1">IF(SamplingFeatures[[#This Row],[Feature IGSN]]&lt;&gt;"",MAX(INDIRECT(CONCATENATE("R",ROW(SamplingFeatures[#Headers]),"C",COLUMN(),":R",ROW()-1,"C",COLUMN()),FALSE))+1,"")</f>
        <v/>
      </c>
      <c r="K40" s="126" t="str">
        <f ca="1">IF(SamplingFeatures[[#This Row],[Sampling Feature Type]]="Site",MAX(INDIRECT(CONCATENATE("R",ROW(SamplingFeatures[#Headers]),"C",COLUMN(),":R",ROW()-1,"C",COLUMN()),FALSE))+1,"")</f>
        <v/>
      </c>
      <c r="L40" s="212"/>
      <c r="M40" s="206"/>
      <c r="N40" s="206"/>
      <c r="O40" s="47" t="str">
        <f ca="1">IF(SamplingFeatures[[#This Row],[Sampling Feature Type]]="Specimen",MAX(INDIRECT(CONCATENATE("R",ROW(SamplingFeatures[#Headers]),"C",COLUMN(),":R",ROW()-1,"C",COLUMN()),FALSE))+1,"")</f>
        <v/>
      </c>
      <c r="P40" s="212"/>
      <c r="Q40" s="206"/>
      <c r="R40" s="206"/>
    </row>
    <row r="41" spans="1:18" x14ac:dyDescent="0.25">
      <c r="A41" s="139"/>
      <c r="B41" s="10"/>
      <c r="C41" s="10"/>
      <c r="D41" s="10"/>
      <c r="E41" s="11"/>
      <c r="F41" s="44"/>
      <c r="G41" s="12"/>
      <c r="H41" s="12"/>
      <c r="I41" s="12"/>
      <c r="J41" s="47" t="str">
        <f ca="1">IF(SamplingFeatures[[#This Row],[Feature IGSN]]&lt;&gt;"",MAX(INDIRECT(CONCATENATE("R",ROW(SamplingFeatures[#Headers]),"C",COLUMN(),":R",ROW()-1,"C",COLUMN()),FALSE))+1,"")</f>
        <v/>
      </c>
      <c r="K41" s="126" t="str">
        <f ca="1">IF(SamplingFeatures[[#This Row],[Sampling Feature Type]]="Site",MAX(INDIRECT(CONCATENATE("R",ROW(SamplingFeatures[#Headers]),"C",COLUMN(),":R",ROW()-1,"C",COLUMN()),FALSE))+1,"")</f>
        <v/>
      </c>
      <c r="L41" s="212"/>
      <c r="M41" s="206"/>
      <c r="N41" s="206"/>
      <c r="O41" s="47" t="str">
        <f ca="1">IF(SamplingFeatures[[#This Row],[Sampling Feature Type]]="Specimen",MAX(INDIRECT(CONCATENATE("R",ROW(SamplingFeatures[#Headers]),"C",COLUMN(),":R",ROW()-1,"C",COLUMN()),FALSE))+1,"")</f>
        <v/>
      </c>
      <c r="P41" s="212"/>
      <c r="Q41" s="206"/>
      <c r="R41" s="206"/>
    </row>
    <row r="42" spans="1:18" x14ac:dyDescent="0.25">
      <c r="A42" s="139"/>
      <c r="B42" s="10"/>
      <c r="C42" s="10"/>
      <c r="D42" s="10"/>
      <c r="E42" s="11"/>
      <c r="F42" s="44"/>
      <c r="G42" s="12"/>
      <c r="H42" s="12"/>
      <c r="I42" s="12"/>
      <c r="J42" s="47" t="str">
        <f ca="1">IF(SamplingFeatures[[#This Row],[Feature IGSN]]&lt;&gt;"",MAX(INDIRECT(CONCATENATE("R",ROW(SamplingFeatures[#Headers]),"C",COLUMN(),":R",ROW()-1,"C",COLUMN()),FALSE))+1,"")</f>
        <v/>
      </c>
      <c r="K42" s="126" t="str">
        <f ca="1">IF(SamplingFeatures[[#This Row],[Sampling Feature Type]]="Site",MAX(INDIRECT(CONCATENATE("R",ROW(SamplingFeatures[#Headers]),"C",COLUMN(),":R",ROW()-1,"C",COLUMN()),FALSE))+1,"")</f>
        <v/>
      </c>
      <c r="L42" s="212"/>
      <c r="M42" s="206"/>
      <c r="N42" s="206"/>
      <c r="O42" s="47" t="str">
        <f ca="1">IF(SamplingFeatures[[#This Row],[Sampling Feature Type]]="Specimen",MAX(INDIRECT(CONCATENATE("R",ROW(SamplingFeatures[#Headers]),"C",COLUMN(),":R",ROW()-1,"C",COLUMN()),FALSE))+1,"")</f>
        <v/>
      </c>
      <c r="P42" s="212"/>
      <c r="Q42" s="206"/>
      <c r="R42" s="206"/>
    </row>
    <row r="43" spans="1:18" x14ac:dyDescent="0.25">
      <c r="A43" s="139"/>
      <c r="B43" s="10"/>
      <c r="C43" s="10"/>
      <c r="D43" s="10"/>
      <c r="E43" s="11"/>
      <c r="F43" s="44"/>
      <c r="G43" s="12"/>
      <c r="H43" s="12"/>
      <c r="I43" s="12"/>
      <c r="J43" s="47" t="str">
        <f ca="1">IF(SamplingFeatures[[#This Row],[Feature IGSN]]&lt;&gt;"",MAX(INDIRECT(CONCATENATE("R",ROW(SamplingFeatures[#Headers]),"C",COLUMN(),":R",ROW()-1,"C",COLUMN()),FALSE))+1,"")</f>
        <v/>
      </c>
      <c r="K43" s="126" t="str">
        <f ca="1">IF(SamplingFeatures[[#This Row],[Sampling Feature Type]]="Site",MAX(INDIRECT(CONCATENATE("R",ROW(SamplingFeatures[#Headers]),"C",COLUMN(),":R",ROW()-1,"C",COLUMN()),FALSE))+1,"")</f>
        <v/>
      </c>
      <c r="L43" s="212"/>
      <c r="M43" s="206"/>
      <c r="N43" s="206"/>
      <c r="O43" s="47" t="str">
        <f ca="1">IF(SamplingFeatures[[#This Row],[Sampling Feature Type]]="Specimen",MAX(INDIRECT(CONCATENATE("R",ROW(SamplingFeatures[#Headers]),"C",COLUMN(),":R",ROW()-1,"C",COLUMN()),FALSE))+1,"")</f>
        <v/>
      </c>
      <c r="P43" s="212"/>
      <c r="Q43" s="206"/>
      <c r="R43" s="206"/>
    </row>
    <row r="44" spans="1:18" x14ac:dyDescent="0.25">
      <c r="A44" s="139"/>
      <c r="B44" s="10"/>
      <c r="C44" s="10"/>
      <c r="D44" s="10"/>
      <c r="E44" s="11"/>
      <c r="F44" s="44"/>
      <c r="G44" s="12"/>
      <c r="H44" s="12"/>
      <c r="I44" s="12"/>
      <c r="J44" s="47" t="str">
        <f ca="1">IF(SamplingFeatures[[#This Row],[Feature IGSN]]&lt;&gt;"",MAX(INDIRECT(CONCATENATE("R",ROW(SamplingFeatures[#Headers]),"C",COLUMN(),":R",ROW()-1,"C",COLUMN()),FALSE))+1,"")</f>
        <v/>
      </c>
      <c r="K44" s="126" t="str">
        <f ca="1">IF(SamplingFeatures[[#This Row],[Sampling Feature Type]]="Site",MAX(INDIRECT(CONCATENATE("R",ROW(SamplingFeatures[#Headers]),"C",COLUMN(),":R",ROW()-1,"C",COLUMN()),FALSE))+1,"")</f>
        <v/>
      </c>
      <c r="L44" s="212"/>
      <c r="M44" s="206"/>
      <c r="N44" s="206"/>
      <c r="O44" s="47" t="str">
        <f ca="1">IF(SamplingFeatures[[#This Row],[Sampling Feature Type]]="Specimen",MAX(INDIRECT(CONCATENATE("R",ROW(SamplingFeatures[#Headers]),"C",COLUMN(),":R",ROW()-1,"C",COLUMN()),FALSE))+1,"")</f>
        <v/>
      </c>
      <c r="P44" s="212"/>
      <c r="Q44" s="206"/>
      <c r="R44" s="206"/>
    </row>
    <row r="45" spans="1:18" x14ac:dyDescent="0.25">
      <c r="A45" s="139"/>
      <c r="B45" s="10"/>
      <c r="C45" s="10"/>
      <c r="D45" s="10"/>
      <c r="E45" s="11"/>
      <c r="F45" s="44"/>
      <c r="G45" s="12"/>
      <c r="H45" s="12"/>
      <c r="I45" s="12"/>
      <c r="J45" s="47" t="str">
        <f ca="1">IF(SamplingFeatures[[#This Row],[Feature IGSN]]&lt;&gt;"",MAX(INDIRECT(CONCATENATE("R",ROW(SamplingFeatures[#Headers]),"C",COLUMN(),":R",ROW()-1,"C",COLUMN()),FALSE))+1,"")</f>
        <v/>
      </c>
      <c r="K45" s="126" t="str">
        <f ca="1">IF(SamplingFeatures[[#This Row],[Sampling Feature Type]]="Site",MAX(INDIRECT(CONCATENATE("R",ROW(SamplingFeatures[#Headers]),"C",COLUMN(),":R",ROW()-1,"C",COLUMN()),FALSE))+1,"")</f>
        <v/>
      </c>
      <c r="L45" s="212"/>
      <c r="M45" s="206"/>
      <c r="N45" s="206"/>
      <c r="O45" s="47" t="str">
        <f ca="1">IF(SamplingFeatures[[#This Row],[Sampling Feature Type]]="Specimen",MAX(INDIRECT(CONCATENATE("R",ROW(SamplingFeatures[#Headers]),"C",COLUMN(),":R",ROW()-1,"C",COLUMN()),FALSE))+1,"")</f>
        <v/>
      </c>
      <c r="P45" s="212"/>
      <c r="Q45" s="206"/>
      <c r="R45" s="206"/>
    </row>
    <row r="46" spans="1:18" x14ac:dyDescent="0.25">
      <c r="A46" s="139"/>
      <c r="B46" s="10"/>
      <c r="C46" s="10"/>
      <c r="D46" s="10"/>
      <c r="E46" s="11"/>
      <c r="F46" s="44"/>
      <c r="G46" s="12"/>
      <c r="H46" s="12"/>
      <c r="I46" s="12"/>
      <c r="J46" s="47" t="str">
        <f ca="1">IF(SamplingFeatures[[#This Row],[Feature IGSN]]&lt;&gt;"",MAX(INDIRECT(CONCATENATE("R",ROW(SamplingFeatures[#Headers]),"C",COLUMN(),":R",ROW()-1,"C",COLUMN()),FALSE))+1,"")</f>
        <v/>
      </c>
      <c r="K46" s="126" t="str">
        <f ca="1">IF(SamplingFeatures[[#This Row],[Sampling Feature Type]]="Site",MAX(INDIRECT(CONCATENATE("R",ROW(SamplingFeatures[#Headers]),"C",COLUMN(),":R",ROW()-1,"C",COLUMN()),FALSE))+1,"")</f>
        <v/>
      </c>
      <c r="L46" s="212"/>
      <c r="M46" s="206"/>
      <c r="N46" s="206"/>
      <c r="O46" s="47" t="str">
        <f ca="1">IF(SamplingFeatures[[#This Row],[Sampling Feature Type]]="Specimen",MAX(INDIRECT(CONCATENATE("R",ROW(SamplingFeatures[#Headers]),"C",COLUMN(),":R",ROW()-1,"C",COLUMN()),FALSE))+1,"")</f>
        <v/>
      </c>
      <c r="P46" s="212"/>
      <c r="Q46" s="206"/>
      <c r="R46" s="206"/>
    </row>
    <row r="47" spans="1:18" x14ac:dyDescent="0.25">
      <c r="A47" s="139"/>
      <c r="B47" s="10"/>
      <c r="C47" s="10"/>
      <c r="D47" s="10"/>
      <c r="E47" s="11"/>
      <c r="F47" s="44"/>
      <c r="G47" s="12"/>
      <c r="H47" s="12"/>
      <c r="I47" s="12"/>
      <c r="J47" s="47" t="str">
        <f ca="1">IF(SamplingFeatures[[#This Row],[Feature IGSN]]&lt;&gt;"",MAX(INDIRECT(CONCATENATE("R",ROW(SamplingFeatures[#Headers]),"C",COLUMN(),":R",ROW()-1,"C",COLUMN()),FALSE))+1,"")</f>
        <v/>
      </c>
      <c r="K47" s="126" t="str">
        <f ca="1">IF(SamplingFeatures[[#This Row],[Sampling Feature Type]]="Site",MAX(INDIRECT(CONCATENATE("R",ROW(SamplingFeatures[#Headers]),"C",COLUMN(),":R",ROW()-1,"C",COLUMN()),FALSE))+1,"")</f>
        <v/>
      </c>
      <c r="L47" s="212"/>
      <c r="M47" s="206"/>
      <c r="N47" s="206"/>
      <c r="O47" s="47" t="str">
        <f ca="1">IF(SamplingFeatures[[#This Row],[Sampling Feature Type]]="Specimen",MAX(INDIRECT(CONCATENATE("R",ROW(SamplingFeatures[#Headers]),"C",COLUMN(),":R",ROW()-1,"C",COLUMN()),FALSE))+1,"")</f>
        <v/>
      </c>
      <c r="P47" s="212"/>
      <c r="Q47" s="206"/>
      <c r="R47" s="206"/>
    </row>
    <row r="48" spans="1:18" x14ac:dyDescent="0.25">
      <c r="A48" s="139"/>
      <c r="B48" s="10"/>
      <c r="C48" s="10"/>
      <c r="D48" s="10"/>
      <c r="E48" s="11"/>
      <c r="F48" s="44"/>
      <c r="G48" s="12"/>
      <c r="H48" s="12"/>
      <c r="I48" s="12"/>
      <c r="J48" s="47" t="str">
        <f ca="1">IF(SamplingFeatures[[#This Row],[Feature IGSN]]&lt;&gt;"",MAX(INDIRECT(CONCATENATE("R",ROW(SamplingFeatures[#Headers]),"C",COLUMN(),":R",ROW()-1,"C",COLUMN()),FALSE))+1,"")</f>
        <v/>
      </c>
      <c r="K48" s="126" t="str">
        <f ca="1">IF(SamplingFeatures[[#This Row],[Sampling Feature Type]]="Site",MAX(INDIRECT(CONCATENATE("R",ROW(SamplingFeatures[#Headers]),"C",COLUMN(),":R",ROW()-1,"C",COLUMN()),FALSE))+1,"")</f>
        <v/>
      </c>
      <c r="L48" s="212"/>
      <c r="M48" s="206"/>
      <c r="N48" s="206"/>
      <c r="O48" s="47" t="str">
        <f ca="1">IF(SamplingFeatures[[#This Row],[Sampling Feature Type]]="Specimen",MAX(INDIRECT(CONCATENATE("R",ROW(SamplingFeatures[#Headers]),"C",COLUMN(),":R",ROW()-1,"C",COLUMN()),FALSE))+1,"")</f>
        <v/>
      </c>
      <c r="P48" s="212"/>
      <c r="Q48" s="206"/>
      <c r="R48" s="206"/>
    </row>
    <row r="49" spans="1:18" x14ac:dyDescent="0.25">
      <c r="A49" s="139"/>
      <c r="B49" s="10"/>
      <c r="C49" s="10"/>
      <c r="D49" s="10"/>
      <c r="E49" s="11"/>
      <c r="F49" s="44"/>
      <c r="G49" s="12"/>
      <c r="H49" s="12"/>
      <c r="I49" s="12"/>
      <c r="J49" s="47" t="str">
        <f ca="1">IF(SamplingFeatures[[#This Row],[Feature IGSN]]&lt;&gt;"",MAX(INDIRECT(CONCATENATE("R",ROW(SamplingFeatures[#Headers]),"C",COLUMN(),":R",ROW()-1,"C",COLUMN()),FALSE))+1,"")</f>
        <v/>
      </c>
      <c r="K49" s="126" t="str">
        <f ca="1">IF(SamplingFeatures[[#This Row],[Sampling Feature Type]]="Site",MAX(INDIRECT(CONCATENATE("R",ROW(SamplingFeatures[#Headers]),"C",COLUMN(),":R",ROW()-1,"C",COLUMN()),FALSE))+1,"")</f>
        <v/>
      </c>
      <c r="L49" s="212"/>
      <c r="M49" s="206"/>
      <c r="N49" s="206"/>
      <c r="O49" s="47" t="str">
        <f ca="1">IF(SamplingFeatures[[#This Row],[Sampling Feature Type]]="Specimen",MAX(INDIRECT(CONCATENATE("R",ROW(SamplingFeatures[#Headers]),"C",COLUMN(),":R",ROW()-1,"C",COLUMN()),FALSE))+1,"")</f>
        <v/>
      </c>
      <c r="P49" s="212"/>
      <c r="Q49" s="206"/>
      <c r="R49" s="206"/>
    </row>
    <row r="50" spans="1:18" x14ac:dyDescent="0.25">
      <c r="A50" s="139"/>
      <c r="B50" s="10"/>
      <c r="C50" s="10"/>
      <c r="D50" s="10"/>
      <c r="E50" s="11"/>
      <c r="F50" s="44"/>
      <c r="G50" s="12"/>
      <c r="H50" s="12"/>
      <c r="I50" s="12"/>
      <c r="J50" s="47" t="str">
        <f ca="1">IF(SamplingFeatures[[#This Row],[Feature IGSN]]&lt;&gt;"",MAX(INDIRECT(CONCATENATE("R",ROW(SamplingFeatures[#Headers]),"C",COLUMN(),":R",ROW()-1,"C",COLUMN()),FALSE))+1,"")</f>
        <v/>
      </c>
      <c r="K50" s="126" t="str">
        <f ca="1">IF(SamplingFeatures[[#This Row],[Sampling Feature Type]]="Site",MAX(INDIRECT(CONCATENATE("R",ROW(SamplingFeatures[#Headers]),"C",COLUMN(),":R",ROW()-1,"C",COLUMN()),FALSE))+1,"")</f>
        <v/>
      </c>
      <c r="L50" s="212"/>
      <c r="M50" s="206"/>
      <c r="N50" s="206"/>
      <c r="O50" s="47" t="str">
        <f ca="1">IF(SamplingFeatures[[#This Row],[Sampling Feature Type]]="Specimen",MAX(INDIRECT(CONCATENATE("R",ROW(SamplingFeatures[#Headers]),"C",COLUMN(),":R",ROW()-1,"C",COLUMN()),FALSE))+1,"")</f>
        <v/>
      </c>
      <c r="P50" s="212"/>
      <c r="Q50" s="206"/>
      <c r="R50" s="206"/>
    </row>
    <row r="51" spans="1:18" x14ac:dyDescent="0.25">
      <c r="A51" s="139"/>
      <c r="B51" s="10"/>
      <c r="C51" s="10"/>
      <c r="D51" s="10"/>
      <c r="E51" s="11"/>
      <c r="F51" s="44"/>
      <c r="G51" s="12"/>
      <c r="H51" s="12"/>
      <c r="I51" s="12"/>
      <c r="J51" s="47" t="str">
        <f ca="1">IF(SamplingFeatures[[#This Row],[Feature IGSN]]&lt;&gt;"",MAX(INDIRECT(CONCATENATE("R",ROW(SamplingFeatures[#Headers]),"C",COLUMN(),":R",ROW()-1,"C",COLUMN()),FALSE))+1,"")</f>
        <v/>
      </c>
      <c r="K51" s="126" t="str">
        <f ca="1">IF(SamplingFeatures[[#This Row],[Sampling Feature Type]]="Site",MAX(INDIRECT(CONCATENATE("R",ROW(SamplingFeatures[#Headers]),"C",COLUMN(),":R",ROW()-1,"C",COLUMN()),FALSE))+1,"")</f>
        <v/>
      </c>
      <c r="L51" s="212"/>
      <c r="M51" s="206"/>
      <c r="N51" s="206"/>
      <c r="O51" s="47" t="str">
        <f ca="1">IF(SamplingFeatures[[#This Row],[Sampling Feature Type]]="Specimen",MAX(INDIRECT(CONCATENATE("R",ROW(SamplingFeatures[#Headers]),"C",COLUMN(),":R",ROW()-1,"C",COLUMN()),FALSE))+1,"")</f>
        <v/>
      </c>
      <c r="P51" s="212"/>
      <c r="Q51" s="206"/>
      <c r="R51" s="206"/>
    </row>
    <row r="52" spans="1:18" x14ac:dyDescent="0.25">
      <c r="A52" s="139"/>
      <c r="B52" s="10"/>
      <c r="C52" s="10"/>
      <c r="D52" s="10"/>
      <c r="E52" s="11"/>
      <c r="F52" s="44"/>
      <c r="G52" s="12"/>
      <c r="H52" s="12"/>
      <c r="I52" s="12"/>
      <c r="J52" s="47" t="str">
        <f ca="1">IF(SamplingFeatures[[#This Row],[Feature IGSN]]&lt;&gt;"",MAX(INDIRECT(CONCATENATE("R",ROW(SamplingFeatures[#Headers]),"C",COLUMN(),":R",ROW()-1,"C",COLUMN()),FALSE))+1,"")</f>
        <v/>
      </c>
      <c r="K52" s="126" t="str">
        <f ca="1">IF(SamplingFeatures[[#This Row],[Sampling Feature Type]]="Site",MAX(INDIRECT(CONCATENATE("R",ROW(SamplingFeatures[#Headers]),"C",COLUMN(),":R",ROW()-1,"C",COLUMN()),FALSE))+1,"")</f>
        <v/>
      </c>
      <c r="L52" s="212"/>
      <c r="M52" s="206"/>
      <c r="N52" s="206"/>
      <c r="O52" s="47" t="str">
        <f ca="1">IF(SamplingFeatures[[#This Row],[Sampling Feature Type]]="Specimen",MAX(INDIRECT(CONCATENATE("R",ROW(SamplingFeatures[#Headers]),"C",COLUMN(),":R",ROW()-1,"C",COLUMN()),FALSE))+1,"")</f>
        <v/>
      </c>
      <c r="P52" s="212"/>
      <c r="Q52" s="206"/>
      <c r="R52" s="206"/>
    </row>
    <row r="53" spans="1:18" x14ac:dyDescent="0.25">
      <c r="A53" s="139"/>
      <c r="B53" s="10"/>
      <c r="C53" s="10"/>
      <c r="D53" s="10"/>
      <c r="E53" s="11"/>
      <c r="F53" s="44"/>
      <c r="G53" s="12"/>
      <c r="H53" s="12"/>
      <c r="I53" s="12"/>
      <c r="J53" s="47" t="str">
        <f ca="1">IF(SamplingFeatures[[#This Row],[Feature IGSN]]&lt;&gt;"",MAX(INDIRECT(CONCATENATE("R",ROW(SamplingFeatures[#Headers]),"C",COLUMN(),":R",ROW()-1,"C",COLUMN()),FALSE))+1,"")</f>
        <v/>
      </c>
      <c r="K53" s="126" t="str">
        <f ca="1">IF(SamplingFeatures[[#This Row],[Sampling Feature Type]]="Site",MAX(INDIRECT(CONCATENATE("R",ROW(SamplingFeatures[#Headers]),"C",COLUMN(),":R",ROW()-1,"C",COLUMN()),FALSE))+1,"")</f>
        <v/>
      </c>
      <c r="L53" s="212"/>
      <c r="M53" s="206"/>
      <c r="N53" s="206"/>
      <c r="O53" s="47" t="str">
        <f ca="1">IF(SamplingFeatures[[#This Row],[Sampling Feature Type]]="Specimen",MAX(INDIRECT(CONCATENATE("R",ROW(SamplingFeatures[#Headers]),"C",COLUMN(),":R",ROW()-1,"C",COLUMN()),FALSE))+1,"")</f>
        <v/>
      </c>
      <c r="P53" s="212"/>
      <c r="Q53" s="206"/>
      <c r="R53" s="206"/>
    </row>
    <row r="54" spans="1:18" x14ac:dyDescent="0.25">
      <c r="A54" s="139"/>
      <c r="B54" s="10"/>
      <c r="C54" s="10"/>
      <c r="D54" s="10"/>
      <c r="E54" s="11"/>
      <c r="F54" s="44"/>
      <c r="G54" s="12"/>
      <c r="H54" s="12"/>
      <c r="I54" s="12"/>
      <c r="J54" s="47" t="str">
        <f ca="1">IF(SamplingFeatures[[#This Row],[Feature IGSN]]&lt;&gt;"",MAX(INDIRECT(CONCATENATE("R",ROW(SamplingFeatures[#Headers]),"C",COLUMN(),":R",ROW()-1,"C",COLUMN()),FALSE))+1,"")</f>
        <v/>
      </c>
      <c r="K54" s="126" t="str">
        <f ca="1">IF(SamplingFeatures[[#This Row],[Sampling Feature Type]]="Site",MAX(INDIRECT(CONCATENATE("R",ROW(SamplingFeatures[#Headers]),"C",COLUMN(),":R",ROW()-1,"C",COLUMN()),FALSE))+1,"")</f>
        <v/>
      </c>
      <c r="L54" s="212"/>
      <c r="M54" s="206"/>
      <c r="N54" s="206"/>
      <c r="O54" s="47" t="str">
        <f ca="1">IF(SamplingFeatures[[#This Row],[Sampling Feature Type]]="Specimen",MAX(INDIRECT(CONCATENATE("R",ROW(SamplingFeatures[#Headers]),"C",COLUMN(),":R",ROW()-1,"C",COLUMN()),FALSE))+1,"")</f>
        <v/>
      </c>
      <c r="P54" s="212"/>
      <c r="Q54" s="206"/>
      <c r="R54" s="206"/>
    </row>
    <row r="55" spans="1:18" x14ac:dyDescent="0.25">
      <c r="A55" s="139"/>
      <c r="B55" s="10"/>
      <c r="C55" s="10"/>
      <c r="D55" s="10"/>
      <c r="E55" s="11"/>
      <c r="F55" s="44"/>
      <c r="G55" s="12"/>
      <c r="H55" s="12"/>
      <c r="I55" s="12"/>
      <c r="J55" s="47" t="str">
        <f ca="1">IF(SamplingFeatures[[#This Row],[Feature IGSN]]&lt;&gt;"",MAX(INDIRECT(CONCATENATE("R",ROW(SamplingFeatures[#Headers]),"C",COLUMN(),":R",ROW()-1,"C",COLUMN()),FALSE))+1,"")</f>
        <v/>
      </c>
      <c r="K55" s="126" t="str">
        <f ca="1">IF(SamplingFeatures[[#This Row],[Sampling Feature Type]]="Site",MAX(INDIRECT(CONCATENATE("R",ROW(SamplingFeatures[#Headers]),"C",COLUMN(),":R",ROW()-1,"C",COLUMN()),FALSE))+1,"")</f>
        <v/>
      </c>
      <c r="L55" s="212"/>
      <c r="M55" s="206"/>
      <c r="N55" s="206"/>
      <c r="O55" s="47" t="str">
        <f ca="1">IF(SamplingFeatures[[#This Row],[Sampling Feature Type]]="Specimen",MAX(INDIRECT(CONCATENATE("R",ROW(SamplingFeatures[#Headers]),"C",COLUMN(),":R",ROW()-1,"C",COLUMN()),FALSE))+1,"")</f>
        <v/>
      </c>
      <c r="P55" s="212"/>
      <c r="Q55" s="206"/>
      <c r="R55" s="206"/>
    </row>
    <row r="56" spans="1:18" x14ac:dyDescent="0.25">
      <c r="A56" s="139"/>
      <c r="B56" s="10"/>
      <c r="C56" s="10"/>
      <c r="D56" s="10"/>
      <c r="E56" s="11"/>
      <c r="F56" s="44"/>
      <c r="G56" s="12"/>
      <c r="H56" s="12"/>
      <c r="I56" s="12"/>
      <c r="J56" s="47" t="str">
        <f ca="1">IF(SamplingFeatures[[#This Row],[Feature IGSN]]&lt;&gt;"",MAX(INDIRECT(CONCATENATE("R",ROW(SamplingFeatures[#Headers]),"C",COLUMN(),":R",ROW()-1,"C",COLUMN()),FALSE))+1,"")</f>
        <v/>
      </c>
      <c r="K56" s="126" t="str">
        <f ca="1">IF(SamplingFeatures[[#This Row],[Sampling Feature Type]]="Site",MAX(INDIRECT(CONCATENATE("R",ROW(SamplingFeatures[#Headers]),"C",COLUMN(),":R",ROW()-1,"C",COLUMN()),FALSE))+1,"")</f>
        <v/>
      </c>
      <c r="L56" s="212"/>
      <c r="M56" s="206"/>
      <c r="N56" s="206"/>
      <c r="O56" s="47" t="str">
        <f ca="1">IF(SamplingFeatures[[#This Row],[Sampling Feature Type]]="Specimen",MAX(INDIRECT(CONCATENATE("R",ROW(SamplingFeatures[#Headers]),"C",COLUMN(),":R",ROW()-1,"C",COLUMN()),FALSE))+1,"")</f>
        <v/>
      </c>
      <c r="P56" s="212"/>
      <c r="Q56" s="206"/>
      <c r="R56" s="206"/>
    </row>
    <row r="57" spans="1:18" x14ac:dyDescent="0.25">
      <c r="A57" s="139"/>
      <c r="B57" s="10"/>
      <c r="C57" s="10"/>
      <c r="D57" s="10"/>
      <c r="E57" s="11"/>
      <c r="F57" s="44"/>
      <c r="G57" s="12"/>
      <c r="H57" s="12"/>
      <c r="I57" s="12"/>
      <c r="J57" s="47" t="str">
        <f ca="1">IF(SamplingFeatures[[#This Row],[Feature IGSN]]&lt;&gt;"",MAX(INDIRECT(CONCATENATE("R",ROW(SamplingFeatures[#Headers]),"C",COLUMN(),":R",ROW()-1,"C",COLUMN()),FALSE))+1,"")</f>
        <v/>
      </c>
      <c r="K57" s="126" t="str">
        <f ca="1">IF(SamplingFeatures[[#This Row],[Sampling Feature Type]]="Site",MAX(INDIRECT(CONCATENATE("R",ROW(SamplingFeatures[#Headers]),"C",COLUMN(),":R",ROW()-1,"C",COLUMN()),FALSE))+1,"")</f>
        <v/>
      </c>
      <c r="L57" s="212"/>
      <c r="M57" s="206"/>
      <c r="N57" s="206"/>
      <c r="O57" s="47" t="str">
        <f ca="1">IF(SamplingFeatures[[#This Row],[Sampling Feature Type]]="Specimen",MAX(INDIRECT(CONCATENATE("R",ROW(SamplingFeatures[#Headers]),"C",COLUMN(),":R",ROW()-1,"C",COLUMN()),FALSE))+1,"")</f>
        <v/>
      </c>
      <c r="P57" s="212"/>
      <c r="Q57" s="206"/>
      <c r="R57" s="206"/>
    </row>
    <row r="58" spans="1:18" x14ac:dyDescent="0.25">
      <c r="A58" s="139"/>
      <c r="B58" s="10"/>
      <c r="C58" s="10"/>
      <c r="D58" s="10"/>
      <c r="E58" s="11"/>
      <c r="F58" s="44"/>
      <c r="G58" s="12"/>
      <c r="H58" s="12"/>
      <c r="I58" s="12"/>
      <c r="J58" s="47" t="str">
        <f ca="1">IF(SamplingFeatures[[#This Row],[Feature IGSN]]&lt;&gt;"",MAX(INDIRECT(CONCATENATE("R",ROW(SamplingFeatures[#Headers]),"C",COLUMN(),":R",ROW()-1,"C",COLUMN()),FALSE))+1,"")</f>
        <v/>
      </c>
      <c r="K58" s="126" t="str">
        <f ca="1">IF(SamplingFeatures[[#This Row],[Sampling Feature Type]]="Site",MAX(INDIRECT(CONCATENATE("R",ROW(SamplingFeatures[#Headers]),"C",COLUMN(),":R",ROW()-1,"C",COLUMN()),FALSE))+1,"")</f>
        <v/>
      </c>
      <c r="L58" s="212"/>
      <c r="M58" s="206"/>
      <c r="N58" s="206"/>
      <c r="O58" s="47" t="str">
        <f ca="1">IF(SamplingFeatures[[#This Row],[Sampling Feature Type]]="Specimen",MAX(INDIRECT(CONCATENATE("R",ROW(SamplingFeatures[#Headers]),"C",COLUMN(),":R",ROW()-1,"C",COLUMN()),FALSE))+1,"")</f>
        <v/>
      </c>
      <c r="P58" s="212"/>
      <c r="Q58" s="206"/>
      <c r="R58" s="206"/>
    </row>
    <row r="59" spans="1:18" x14ac:dyDescent="0.25">
      <c r="A59" s="139"/>
      <c r="B59" s="10"/>
      <c r="C59" s="10"/>
      <c r="D59" s="10"/>
      <c r="E59" s="11"/>
      <c r="F59" s="44"/>
      <c r="G59" s="12"/>
      <c r="H59" s="12"/>
      <c r="I59" s="12"/>
      <c r="J59" s="47" t="str">
        <f ca="1">IF(SamplingFeatures[[#This Row],[Feature IGSN]]&lt;&gt;"",MAX(INDIRECT(CONCATENATE("R",ROW(SamplingFeatures[#Headers]),"C",COLUMN(),":R",ROW()-1,"C",COLUMN()),FALSE))+1,"")</f>
        <v/>
      </c>
      <c r="K59" s="126" t="str">
        <f ca="1">IF(SamplingFeatures[[#This Row],[Sampling Feature Type]]="Site",MAX(INDIRECT(CONCATENATE("R",ROW(SamplingFeatures[#Headers]),"C",COLUMN(),":R",ROW()-1,"C",COLUMN()),FALSE))+1,"")</f>
        <v/>
      </c>
      <c r="L59" s="212"/>
      <c r="M59" s="206"/>
      <c r="N59" s="206"/>
      <c r="O59" s="47" t="str">
        <f ca="1">IF(SamplingFeatures[[#This Row],[Sampling Feature Type]]="Specimen",MAX(INDIRECT(CONCATENATE("R",ROW(SamplingFeatures[#Headers]),"C",COLUMN(),":R",ROW()-1,"C",COLUMN()),FALSE))+1,"")</f>
        <v/>
      </c>
      <c r="P59" s="212"/>
      <c r="Q59" s="206"/>
      <c r="R59" s="206"/>
    </row>
    <row r="60" spans="1:18" x14ac:dyDescent="0.25">
      <c r="A60" s="139"/>
      <c r="B60" s="10"/>
      <c r="C60" s="10"/>
      <c r="D60" s="10"/>
      <c r="E60" s="11"/>
      <c r="F60" s="44"/>
      <c r="G60" s="12"/>
      <c r="H60" s="12"/>
      <c r="I60" s="12"/>
      <c r="J60" s="47" t="str">
        <f ca="1">IF(SamplingFeatures[[#This Row],[Feature IGSN]]&lt;&gt;"",MAX(INDIRECT(CONCATENATE("R",ROW(SamplingFeatures[#Headers]),"C",COLUMN(),":R",ROW()-1,"C",COLUMN()),FALSE))+1,"")</f>
        <v/>
      </c>
      <c r="K60" s="126" t="str">
        <f ca="1">IF(SamplingFeatures[[#This Row],[Sampling Feature Type]]="Site",MAX(INDIRECT(CONCATENATE("R",ROW(SamplingFeatures[#Headers]),"C",COLUMN(),":R",ROW()-1,"C",COLUMN()),FALSE))+1,"")</f>
        <v/>
      </c>
      <c r="L60" s="212"/>
      <c r="M60" s="206"/>
      <c r="N60" s="206"/>
      <c r="O60" s="47" t="str">
        <f ca="1">IF(SamplingFeatures[[#This Row],[Sampling Feature Type]]="Specimen",MAX(INDIRECT(CONCATENATE("R",ROW(SamplingFeatures[#Headers]),"C",COLUMN(),":R",ROW()-1,"C",COLUMN()),FALSE))+1,"")</f>
        <v/>
      </c>
      <c r="P60" s="212"/>
      <c r="Q60" s="206"/>
      <c r="R60" s="206"/>
    </row>
    <row r="61" spans="1:18" x14ac:dyDescent="0.25">
      <c r="A61" s="139"/>
      <c r="B61" s="10"/>
      <c r="C61" s="10"/>
      <c r="D61" s="18"/>
      <c r="E61" s="11"/>
      <c r="F61" s="44"/>
      <c r="G61" s="12"/>
      <c r="H61" s="12"/>
      <c r="I61" s="12"/>
      <c r="J61" s="47" t="str">
        <f ca="1">IF(SamplingFeatures[[#This Row],[Feature IGSN]]&lt;&gt;"",MAX(INDIRECT(CONCATENATE("R",ROW(SamplingFeatures[#Headers]),"C",COLUMN(),":R",ROW()-1,"C",COLUMN()),FALSE))+1,"")</f>
        <v/>
      </c>
      <c r="K61" s="126" t="str">
        <f ca="1">IF(SamplingFeatures[[#This Row],[Sampling Feature Type]]="Site",MAX(INDIRECT(CONCATENATE("R",ROW(SamplingFeatures[#Headers]),"C",COLUMN(),":R",ROW()-1,"C",COLUMN()),FALSE))+1,"")</f>
        <v/>
      </c>
      <c r="L61" s="212"/>
      <c r="M61" s="206"/>
      <c r="N61" s="206"/>
      <c r="O61" s="47" t="str">
        <f ca="1">IF(SamplingFeatures[[#This Row],[Sampling Feature Type]]="Specimen",MAX(INDIRECT(CONCATENATE("R",ROW(SamplingFeatures[#Headers]),"C",COLUMN(),":R",ROW()-1,"C",COLUMN()),FALSE))+1,"")</f>
        <v/>
      </c>
      <c r="P61" s="212"/>
      <c r="Q61" s="206"/>
      <c r="R61" s="206"/>
    </row>
    <row r="62" spans="1:18" ht="15.75" thickBot="1" x14ac:dyDescent="0.3">
      <c r="A62" s="140"/>
      <c r="B62" s="14"/>
      <c r="C62" s="14"/>
      <c r="D62" s="10"/>
      <c r="E62" s="15"/>
      <c r="F62" s="45"/>
      <c r="G62" s="16"/>
      <c r="H62" s="16"/>
      <c r="I62" s="16"/>
      <c r="J62" s="49" t="str">
        <f ca="1">IF(SamplingFeatures[[#This Row],[Feature IGSN]]&lt;&gt;"",MAX(INDIRECT(CONCATENATE("R",ROW(SamplingFeatures[#Headers]),"C",COLUMN(),":R",ROW()-1,"C",COLUMN()),FALSE))+1,"")</f>
        <v/>
      </c>
      <c r="K62" s="216" t="str">
        <f ca="1">IF(SamplingFeatures[[#This Row],[Sampling Feature Type]]="Site",MAX(INDIRECT(CONCATENATE("R",ROW(SamplingFeatures[#Headers]),"C",COLUMN(),":R",ROW()-1,"C",COLUMN()),FALSE))+1,"")</f>
        <v/>
      </c>
      <c r="L62" s="213"/>
      <c r="M62" s="208"/>
      <c r="N62" s="208"/>
      <c r="O62" s="218" t="str">
        <f ca="1">IF(SamplingFeatures[[#This Row],[Sampling Feature Type]]="Specimen",MAX(INDIRECT(CONCATENATE("R",ROW(SamplingFeatures[#Headers]),"C",COLUMN(),":R",ROW()-1,"C",COLUMN()),FALSE))+1,"")</f>
        <v/>
      </c>
      <c r="P62" s="213"/>
      <c r="Q62" s="208"/>
      <c r="R62" s="208"/>
    </row>
  </sheetData>
  <sheetProtection password="CA31" sheet="1" objects="1" scenarios="1" formatColumns="0" insertRows="0" insertHyperlinks="0" deleteRows="0"/>
  <mergeCells count="3">
    <mergeCell ref="A8:B8"/>
    <mergeCell ref="K11:N11"/>
    <mergeCell ref="O11:R11"/>
  </mergeCells>
  <conditionalFormatting sqref="B9">
    <cfRule type="expression" dxfId="61" priority="22">
      <formula>AND(COUNTIF(ElevationDatumCV,$B$9)=0,$B$9&lt;&gt;"")</formula>
    </cfRule>
  </conditionalFormatting>
  <conditionalFormatting sqref="B10">
    <cfRule type="expression" dxfId="60" priority="21">
      <formula>AND(COUNTIF(LatLonDatumNames,$B$10)=0,$B$10&lt;&gt;"")</formula>
    </cfRule>
  </conditionalFormatting>
  <conditionalFormatting sqref="B13:B62">
    <cfRule type="expression" dxfId="59" priority="20">
      <formula>AND(COUNTIF(SamplingFeatureTypeCV,$B13)=0,$B13&lt;&gt;"")</formula>
    </cfRule>
  </conditionalFormatting>
  <conditionalFormatting sqref="C13:C62">
    <cfRule type="expression" dxfId="58" priority="19">
      <formula>AND(COUNTIF(SamplingFeatureGeotypeCV,$C13)=0,$C13&lt;&gt;"")</formula>
    </cfRule>
  </conditionalFormatting>
  <conditionalFormatting sqref="B13:D62">
    <cfRule type="expression" dxfId="57" priority="18">
      <formula>AND(COUNTA($A13:$I13)&gt;0,B13="")</formula>
    </cfRule>
  </conditionalFormatting>
  <conditionalFormatting sqref="A14:I60 A61:C62 E61:I62 D62">
    <cfRule type="expression" dxfId="56" priority="17">
      <formula>AND(COUNTA($A13:$I13)=0,A14&lt;&gt;"")</formula>
    </cfRule>
  </conditionalFormatting>
  <conditionalFormatting sqref="H13:H62">
    <cfRule type="expression" dxfId="55" priority="16">
      <formula>ISTEXT($H13)</formula>
    </cfRule>
  </conditionalFormatting>
  <conditionalFormatting sqref="M13:N62">
    <cfRule type="expression" dxfId="54" priority="12">
      <formula>ISTEXT(M13)</formula>
    </cfRule>
  </conditionalFormatting>
  <conditionalFormatting sqref="L13:L62">
    <cfRule type="expression" dxfId="53" priority="11">
      <formula>AND(COUNTIF(SiteTypeCV,$L13)=0,$L13&lt;&gt;"")</formula>
    </cfRule>
  </conditionalFormatting>
  <conditionalFormatting sqref="L13:N62">
    <cfRule type="expression" dxfId="52" priority="9">
      <formula>AND($B13&lt;&gt;"Site",L13&lt;&gt;"")</formula>
    </cfRule>
    <cfRule type="expression" dxfId="51" priority="10">
      <formula>AND($B13="Site",L13="")</formula>
    </cfRule>
  </conditionalFormatting>
  <conditionalFormatting sqref="P13:P62">
    <cfRule type="expression" dxfId="50" priority="6">
      <formula>AND(COUNTIF(SpecimenTypeCV,$P13)=0,$P13&lt;&gt;"")</formula>
    </cfRule>
  </conditionalFormatting>
  <conditionalFormatting sqref="Q13:Q62">
    <cfRule type="expression" dxfId="49" priority="5">
      <formula>AND(COUNTIF(SampledMediumCV,$Q13)=0,$Q13&lt;&gt;"")</formula>
    </cfRule>
  </conditionalFormatting>
  <conditionalFormatting sqref="R13:R62">
    <cfRule type="expression" dxfId="48" priority="4">
      <formula>AND(COUNTIF(Boolean,$R13)=0,$R13&lt;&gt;"")</formula>
    </cfRule>
  </conditionalFormatting>
  <conditionalFormatting sqref="P13:R62">
    <cfRule type="expression" dxfId="47" priority="50">
      <formula>AND($B13&lt;&gt;"Specimen",P13&lt;&gt;"")</formula>
    </cfRule>
    <cfRule type="expression" dxfId="46" priority="51">
      <formula>AND($B13="Specimen",P13="")</formula>
    </cfRule>
  </conditionalFormatting>
  <conditionalFormatting sqref="D13:D60">
    <cfRule type="duplicateValues" dxfId="45" priority="146"/>
  </conditionalFormatting>
  <conditionalFormatting sqref="I13:I62">
    <cfRule type="duplicateValues" dxfId="44" priority="160"/>
  </conditionalFormatting>
  <conditionalFormatting sqref="A13:A62">
    <cfRule type="duplicateValues" dxfId="43" priority="161"/>
  </conditionalFormatting>
  <conditionalFormatting sqref="D61:D62">
    <cfRule type="duplicateValues" dxfId="42" priority="164"/>
  </conditionalFormatting>
  <dataValidations count="9">
    <dataValidation type="list" allowBlank="1" showInputMessage="1" showErrorMessage="1" sqref="B9">
      <formula1>ElevationDatumCV</formula1>
    </dataValidation>
    <dataValidation type="list" allowBlank="1" showInputMessage="1" showErrorMessage="1" sqref="B10">
      <formula1>LatLonDatumNames</formula1>
    </dataValidation>
    <dataValidation allowBlank="1" showInputMessage="1" showErrorMessage="1" errorTitle="Invalid Value" error="This column only applies to sampling features that are either sites or specimens." sqref="O13 K13:K62"/>
    <dataValidation type="list" allowBlank="1" showInputMessage="1" showErrorMessage="1" sqref="B13:B62">
      <formula1>SamplingFeatureTypeCV</formula1>
    </dataValidation>
    <dataValidation type="list" allowBlank="1" showInputMessage="1" showErrorMessage="1" sqref="C13:C62">
      <formula1>SamplingFeatureGeotypeCV</formula1>
    </dataValidation>
    <dataValidation type="list" allowBlank="1" showInputMessage="1" showErrorMessage="1" sqref="P13:P62">
      <formula1>IF(B13="Specimen",SpecimenTypeCV,"")</formula1>
    </dataValidation>
    <dataValidation type="list" allowBlank="1" showInputMessage="1" showErrorMessage="1" sqref="R13:R62">
      <formula1>IF(B13="Specimen",Boolean,"")</formula1>
    </dataValidation>
    <dataValidation type="list" allowBlank="1" showInputMessage="1" showErrorMessage="1" sqref="Q13:Q62">
      <formula1>IF(B13="Specimen",SampledMediumCV,"")</formula1>
    </dataValidation>
    <dataValidation type="list" allowBlank="1" showInputMessage="1" showErrorMessage="1" errorTitle="Invalid Value" error="This column only applies to sampling features that are either sites or specimens." sqref="L13:L62">
      <formula1>IF(B13="Site",SiteTypeCV,"")</formula1>
    </dataValidation>
  </dataValidations>
  <pageMargins left="0.7" right="0.7" top="0.75" bottom="0.75" header="0.3" footer="0.3"/>
  <pageSetup orientation="portrait" horizontalDpi="4294967292" verticalDpi="4294967292"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39"/>
  <sheetViews>
    <sheetView workbookViewId="0">
      <selection activeCell="B10" sqref="B10"/>
    </sheetView>
  </sheetViews>
  <sheetFormatPr defaultRowHeight="15" x14ac:dyDescent="0.25"/>
  <cols>
    <col min="1" max="1" width="19.42578125" style="6" customWidth="1"/>
    <col min="2" max="2" width="18.5703125" style="6" bestFit="1" customWidth="1"/>
    <col min="3" max="3" width="14.140625" style="6" bestFit="1" customWidth="1"/>
    <col min="4" max="4" width="12.7109375" style="6" bestFit="1" customWidth="1"/>
    <col min="5" max="5" width="14.140625" style="6" bestFit="1" customWidth="1"/>
    <col min="6" max="6" width="12.7109375" style="6" bestFit="1" customWidth="1"/>
    <col min="7" max="7" width="14.140625" style="6" bestFit="1" customWidth="1"/>
    <col min="8" max="8" width="12.7109375" style="6" bestFit="1" customWidth="1"/>
    <col min="9" max="16384" width="9.140625" style="6"/>
  </cols>
  <sheetData>
    <row r="1" spans="1:8" s="26" customFormat="1" x14ac:dyDescent="0.25">
      <c r="A1" s="26" t="s">
        <v>1375</v>
      </c>
    </row>
    <row r="2" spans="1:8" s="26" customFormat="1" x14ac:dyDescent="0.25">
      <c r="A2" s="26" t="s">
        <v>1308</v>
      </c>
    </row>
    <row r="3" spans="1:8" s="26" customFormat="1" x14ac:dyDescent="0.25">
      <c r="A3" s="26" t="s">
        <v>1309</v>
      </c>
    </row>
    <row r="4" spans="1:8" s="26" customFormat="1" x14ac:dyDescent="0.25">
      <c r="A4" s="26" t="s">
        <v>1377</v>
      </c>
    </row>
    <row r="5" spans="1:8" s="26" customFormat="1" x14ac:dyDescent="0.25">
      <c r="A5" s="26" t="s">
        <v>1376</v>
      </c>
    </row>
    <row r="6" spans="1:8" s="26" customFormat="1" x14ac:dyDescent="0.25"/>
    <row r="7" spans="1:8" s="26" customFormat="1" ht="15.75" thickBot="1" x14ac:dyDescent="0.3">
      <c r="A7" s="188" t="s">
        <v>1366</v>
      </c>
      <c r="B7" s="189" t="s">
        <v>227</v>
      </c>
      <c r="C7" s="189" t="s">
        <v>228</v>
      </c>
      <c r="D7" s="189" t="s">
        <v>229</v>
      </c>
      <c r="E7" s="189" t="s">
        <v>230</v>
      </c>
      <c r="F7" s="189" t="s">
        <v>231</v>
      </c>
      <c r="G7" s="189" t="s">
        <v>232</v>
      </c>
      <c r="H7" s="190" t="s">
        <v>233</v>
      </c>
    </row>
    <row r="8" spans="1:8" ht="15.75" thickTop="1" x14ac:dyDescent="0.25">
      <c r="A8" s="179"/>
      <c r="B8" s="180"/>
      <c r="C8" s="180"/>
      <c r="D8" s="180"/>
      <c r="E8" s="181"/>
      <c r="F8" s="181"/>
      <c r="G8" s="181"/>
      <c r="H8" s="182"/>
    </row>
    <row r="9" spans="1:8" x14ac:dyDescent="0.25">
      <c r="A9" s="183"/>
      <c r="B9" s="180"/>
      <c r="C9" s="180"/>
      <c r="D9" s="180"/>
      <c r="E9" s="181"/>
      <c r="F9" s="181"/>
      <c r="G9" s="181"/>
      <c r="H9" s="182"/>
    </row>
    <row r="10" spans="1:8" x14ac:dyDescent="0.25">
      <c r="A10" s="183"/>
      <c r="B10" s="180"/>
      <c r="C10" s="180"/>
      <c r="D10" s="180"/>
      <c r="E10" s="181"/>
      <c r="F10" s="181"/>
      <c r="G10" s="181"/>
      <c r="H10" s="182"/>
    </row>
    <row r="11" spans="1:8" x14ac:dyDescent="0.25">
      <c r="A11" s="183"/>
      <c r="B11" s="180"/>
      <c r="C11" s="180"/>
      <c r="D11" s="180"/>
      <c r="E11" s="181"/>
      <c r="F11" s="181"/>
      <c r="G11" s="181"/>
      <c r="H11" s="182"/>
    </row>
    <row r="12" spans="1:8" x14ac:dyDescent="0.25">
      <c r="A12" s="183"/>
      <c r="B12" s="180"/>
      <c r="C12" s="180"/>
      <c r="D12" s="180"/>
      <c r="E12" s="181"/>
      <c r="F12" s="181"/>
      <c r="G12" s="181"/>
      <c r="H12" s="182"/>
    </row>
    <row r="13" spans="1:8" x14ac:dyDescent="0.25">
      <c r="A13" s="183"/>
      <c r="B13" s="180"/>
      <c r="C13" s="180"/>
      <c r="D13" s="180"/>
      <c r="E13" s="181"/>
      <c r="F13" s="181"/>
      <c r="G13" s="181"/>
      <c r="H13" s="182"/>
    </row>
    <row r="14" spans="1:8" x14ac:dyDescent="0.25">
      <c r="A14" s="183"/>
      <c r="B14" s="180"/>
      <c r="C14" s="180"/>
      <c r="D14" s="180"/>
      <c r="E14" s="181"/>
      <c r="F14" s="181"/>
      <c r="G14" s="181"/>
      <c r="H14" s="182"/>
    </row>
    <row r="15" spans="1:8" x14ac:dyDescent="0.25">
      <c r="A15" s="183"/>
      <c r="B15" s="180"/>
      <c r="C15" s="180"/>
      <c r="D15" s="180"/>
      <c r="E15" s="181"/>
      <c r="F15" s="181"/>
      <c r="G15" s="181"/>
      <c r="H15" s="182"/>
    </row>
    <row r="16" spans="1:8" x14ac:dyDescent="0.25">
      <c r="A16" s="183"/>
      <c r="B16" s="180"/>
      <c r="C16" s="180"/>
      <c r="D16" s="180"/>
      <c r="E16" s="181"/>
      <c r="F16" s="181"/>
      <c r="G16" s="181"/>
      <c r="H16" s="182"/>
    </row>
    <row r="17" spans="1:8" x14ac:dyDescent="0.25">
      <c r="A17" s="183"/>
      <c r="B17" s="180"/>
      <c r="C17" s="180"/>
      <c r="D17" s="180"/>
      <c r="E17" s="181"/>
      <c r="F17" s="181"/>
      <c r="G17" s="181"/>
      <c r="H17" s="182"/>
    </row>
    <row r="18" spans="1:8" x14ac:dyDescent="0.25">
      <c r="A18" s="183"/>
      <c r="B18" s="180"/>
      <c r="C18" s="180"/>
      <c r="D18" s="180"/>
      <c r="E18" s="181"/>
      <c r="F18" s="181"/>
      <c r="G18" s="181"/>
      <c r="H18" s="182"/>
    </row>
    <row r="19" spans="1:8" x14ac:dyDescent="0.25">
      <c r="A19" s="183"/>
      <c r="B19" s="180"/>
      <c r="C19" s="180"/>
      <c r="D19" s="180"/>
      <c r="E19" s="181"/>
      <c r="F19" s="181"/>
      <c r="G19" s="181"/>
      <c r="H19" s="182"/>
    </row>
    <row r="20" spans="1:8" x14ac:dyDescent="0.25">
      <c r="A20" s="183"/>
      <c r="B20" s="180"/>
      <c r="C20" s="180"/>
      <c r="D20" s="180"/>
      <c r="E20" s="181"/>
      <c r="F20" s="181"/>
      <c r="G20" s="181"/>
      <c r="H20" s="182"/>
    </row>
    <row r="21" spans="1:8" x14ac:dyDescent="0.25">
      <c r="A21" s="183"/>
      <c r="B21" s="180"/>
      <c r="C21" s="180"/>
      <c r="D21" s="180"/>
      <c r="E21" s="181"/>
      <c r="F21" s="181"/>
      <c r="G21" s="181"/>
      <c r="H21" s="182"/>
    </row>
    <row r="22" spans="1:8" x14ac:dyDescent="0.25">
      <c r="A22" s="183"/>
      <c r="B22" s="180"/>
      <c r="C22" s="180"/>
      <c r="D22" s="180"/>
      <c r="E22" s="181"/>
      <c r="F22" s="181"/>
      <c r="G22" s="181"/>
      <c r="H22" s="182"/>
    </row>
    <row r="23" spans="1:8" x14ac:dyDescent="0.25">
      <c r="A23" s="183"/>
      <c r="B23" s="180"/>
      <c r="C23" s="180"/>
      <c r="D23" s="180"/>
      <c r="E23" s="181"/>
      <c r="F23" s="181"/>
      <c r="G23" s="181"/>
      <c r="H23" s="182"/>
    </row>
    <row r="24" spans="1:8" x14ac:dyDescent="0.25">
      <c r="A24" s="183"/>
      <c r="B24" s="180"/>
      <c r="C24" s="180"/>
      <c r="D24" s="180"/>
      <c r="E24" s="181"/>
      <c r="F24" s="181"/>
      <c r="G24" s="181"/>
      <c r="H24" s="182"/>
    </row>
    <row r="25" spans="1:8" x14ac:dyDescent="0.25">
      <c r="A25" s="183"/>
      <c r="B25" s="180"/>
      <c r="C25" s="180"/>
      <c r="D25" s="180"/>
      <c r="E25" s="181"/>
      <c r="F25" s="181"/>
      <c r="G25" s="181"/>
      <c r="H25" s="182"/>
    </row>
    <row r="26" spans="1:8" x14ac:dyDescent="0.25">
      <c r="A26" s="183"/>
      <c r="B26" s="180"/>
      <c r="C26" s="180"/>
      <c r="D26" s="180"/>
      <c r="E26" s="181"/>
      <c r="F26" s="181"/>
      <c r="G26" s="181"/>
      <c r="H26" s="182"/>
    </row>
    <row r="27" spans="1:8" x14ac:dyDescent="0.25">
      <c r="A27" s="183"/>
      <c r="B27" s="180"/>
      <c r="C27" s="180"/>
      <c r="D27" s="180"/>
      <c r="E27" s="181"/>
      <c r="F27" s="181"/>
      <c r="G27" s="181"/>
      <c r="H27" s="182"/>
    </row>
    <row r="28" spans="1:8" x14ac:dyDescent="0.25">
      <c r="A28" s="183"/>
      <c r="B28" s="180"/>
      <c r="C28" s="180"/>
      <c r="D28" s="180"/>
      <c r="E28" s="181"/>
      <c r="F28" s="181"/>
      <c r="G28" s="181"/>
      <c r="H28" s="182"/>
    </row>
    <row r="29" spans="1:8" x14ac:dyDescent="0.25">
      <c r="A29" s="183"/>
      <c r="B29" s="180"/>
      <c r="C29" s="180"/>
      <c r="D29" s="180"/>
      <c r="E29" s="181"/>
      <c r="F29" s="181"/>
      <c r="G29" s="181"/>
      <c r="H29" s="182"/>
    </row>
    <row r="30" spans="1:8" x14ac:dyDescent="0.25">
      <c r="A30" s="183"/>
      <c r="B30" s="180"/>
      <c r="C30" s="180"/>
      <c r="D30" s="180"/>
      <c r="E30" s="181"/>
      <c r="F30" s="181"/>
      <c r="G30" s="181"/>
      <c r="H30" s="182"/>
    </row>
    <row r="31" spans="1:8" x14ac:dyDescent="0.25">
      <c r="A31" s="183"/>
      <c r="B31" s="180"/>
      <c r="C31" s="180"/>
      <c r="D31" s="180"/>
      <c r="E31" s="181"/>
      <c r="F31" s="181"/>
      <c r="G31" s="181"/>
      <c r="H31" s="182"/>
    </row>
    <row r="32" spans="1:8" x14ac:dyDescent="0.25">
      <c r="A32" s="183"/>
      <c r="B32" s="180"/>
      <c r="C32" s="180"/>
      <c r="D32" s="180"/>
      <c r="E32" s="181"/>
      <c r="F32" s="181"/>
      <c r="G32" s="181"/>
      <c r="H32" s="182"/>
    </row>
    <row r="33" spans="1:8" x14ac:dyDescent="0.25">
      <c r="A33" s="183"/>
      <c r="B33" s="180"/>
      <c r="C33" s="180"/>
      <c r="D33" s="180"/>
      <c r="E33" s="181"/>
      <c r="F33" s="181"/>
      <c r="G33" s="181"/>
      <c r="H33" s="182"/>
    </row>
    <row r="34" spans="1:8" x14ac:dyDescent="0.25">
      <c r="A34" s="183"/>
      <c r="B34" s="180"/>
      <c r="C34" s="180"/>
      <c r="D34" s="180"/>
      <c r="E34" s="181"/>
      <c r="F34" s="181"/>
      <c r="G34" s="181"/>
      <c r="H34" s="182"/>
    </row>
    <row r="35" spans="1:8" x14ac:dyDescent="0.25">
      <c r="A35" s="183"/>
      <c r="B35" s="180"/>
      <c r="C35" s="180"/>
      <c r="D35" s="180"/>
      <c r="E35" s="181"/>
      <c r="F35" s="181"/>
      <c r="G35" s="181"/>
      <c r="H35" s="182"/>
    </row>
    <row r="36" spans="1:8" x14ac:dyDescent="0.25">
      <c r="A36" s="183"/>
      <c r="B36" s="180"/>
      <c r="C36" s="180"/>
      <c r="D36" s="180"/>
      <c r="E36" s="181"/>
      <c r="F36" s="181"/>
      <c r="G36" s="181"/>
      <c r="H36" s="182"/>
    </row>
    <row r="37" spans="1:8" x14ac:dyDescent="0.25">
      <c r="A37" s="183"/>
      <c r="B37" s="180"/>
      <c r="C37" s="180"/>
      <c r="D37" s="180"/>
      <c r="E37" s="181"/>
      <c r="F37" s="181"/>
      <c r="G37" s="181"/>
      <c r="H37" s="182"/>
    </row>
    <row r="38" spans="1:8" x14ac:dyDescent="0.25">
      <c r="A38" s="183"/>
      <c r="B38" s="180"/>
      <c r="C38" s="180"/>
      <c r="D38" s="180"/>
      <c r="E38" s="181"/>
      <c r="F38" s="181"/>
      <c r="G38" s="181"/>
      <c r="H38" s="182"/>
    </row>
    <row r="39" spans="1:8" x14ac:dyDescent="0.25">
      <c r="A39" s="184"/>
      <c r="B39" s="185"/>
      <c r="C39" s="185"/>
      <c r="D39" s="185"/>
      <c r="E39" s="186"/>
      <c r="F39" s="186"/>
      <c r="G39" s="186"/>
      <c r="H39" s="187"/>
    </row>
  </sheetData>
  <sheetProtection password="CA31" sheet="1" objects="1" scenarios="1" formatColumns="0" insertRows="0" insertHyperlinks="0" deleteRows="0"/>
  <conditionalFormatting sqref="A8:D39">
    <cfRule type="expression" dxfId="41" priority="8">
      <formula>AND(COUNTA($A8:$H8)&gt;0,A8="")</formula>
    </cfRule>
  </conditionalFormatting>
  <conditionalFormatting sqref="B8:B39">
    <cfRule type="expression" dxfId="40" priority="3">
      <formula>AND(COUNTIF(SpatialOffsetTypeCV,$B8)=0,$B8&lt;&gt;"")</formula>
    </cfRule>
  </conditionalFormatting>
  <conditionalFormatting sqref="C8:C39 E8:E39 G8:G39">
    <cfRule type="expression" dxfId="39" priority="5">
      <formula>ISTEXT(C8)</formula>
    </cfRule>
  </conditionalFormatting>
  <conditionalFormatting sqref="A9:H39">
    <cfRule type="expression" dxfId="38" priority="2">
      <formula>AND(COUNTA($A8:$H8)=0,A9&lt;&gt;"")</formula>
    </cfRule>
  </conditionalFormatting>
  <conditionalFormatting sqref="A8:A39">
    <cfRule type="duplicateValues" dxfId="37" priority="1"/>
  </conditionalFormatting>
  <dataValidations count="1">
    <dataValidation type="list" allowBlank="1" showInputMessage="1" showErrorMessage="1" sqref="B8:B39">
      <formula1>SpatialOffsetTypeCV</formula1>
    </dataValidation>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F40"/>
  <sheetViews>
    <sheetView workbookViewId="0">
      <selection activeCell="A13" sqref="A13"/>
    </sheetView>
  </sheetViews>
  <sheetFormatPr defaultRowHeight="15" x14ac:dyDescent="0.25"/>
  <cols>
    <col min="1" max="1" width="27.85546875" style="6" customWidth="1"/>
    <col min="2" max="2" width="17" style="6" bestFit="1" customWidth="1"/>
    <col min="3" max="3" width="28.85546875" style="6" bestFit="1" customWidth="1"/>
    <col min="4" max="4" width="18.85546875" style="6" bestFit="1" customWidth="1"/>
    <col min="5" max="5" width="15.28515625" style="6" bestFit="1" customWidth="1"/>
    <col min="6" max="6" width="12.7109375" style="6" bestFit="1" customWidth="1"/>
    <col min="7" max="16384" width="9.140625" style="6"/>
  </cols>
  <sheetData>
    <row r="1" spans="1:6" s="26" customFormat="1" x14ac:dyDescent="0.25">
      <c r="A1" s="26" t="s">
        <v>1319</v>
      </c>
    </row>
    <row r="2" spans="1:6" s="26" customFormat="1" x14ac:dyDescent="0.25">
      <c r="A2" s="26" t="s">
        <v>1367</v>
      </c>
    </row>
    <row r="3" spans="1:6" s="26" customFormat="1" ht="15.75" thickBot="1" x14ac:dyDescent="0.3">
      <c r="A3" s="26" t="s">
        <v>1308</v>
      </c>
    </row>
    <row r="4" spans="1:6" s="26" customFormat="1" ht="15.75" thickBot="1" x14ac:dyDescent="0.3">
      <c r="A4" s="26" t="s">
        <v>1309</v>
      </c>
      <c r="E4" s="27" t="s">
        <v>1196</v>
      </c>
      <c r="F4" s="28">
        <f>COUNTA(RelatedFeatures[First Sampling Feature Code])</f>
        <v>0</v>
      </c>
    </row>
    <row r="5" spans="1:6" s="26" customFormat="1" x14ac:dyDescent="0.25">
      <c r="A5" s="26" t="s">
        <v>1320</v>
      </c>
      <c r="E5" s="149"/>
      <c r="F5" s="149"/>
    </row>
    <row r="6" spans="1:6" s="26" customFormat="1" ht="15.75" thickBot="1" x14ac:dyDescent="0.3"/>
    <row r="7" spans="1:6" s="26" customFormat="1" x14ac:dyDescent="0.25">
      <c r="A7" s="223" t="s">
        <v>242</v>
      </c>
      <c r="B7" s="224"/>
      <c r="C7" s="224"/>
      <c r="D7" s="225"/>
    </row>
    <row r="8" spans="1:6" s="26" customFormat="1" ht="15.75" thickBot="1" x14ac:dyDescent="0.3">
      <c r="A8" s="70" t="s">
        <v>239</v>
      </c>
      <c r="B8" s="54" t="s">
        <v>240</v>
      </c>
      <c r="C8" s="54" t="s">
        <v>241</v>
      </c>
      <c r="D8" s="71" t="s">
        <v>1366</v>
      </c>
    </row>
    <row r="9" spans="1:6" ht="15.75" thickTop="1" x14ac:dyDescent="0.25">
      <c r="A9" s="63"/>
      <c r="B9" s="64"/>
      <c r="C9" s="64"/>
      <c r="D9" s="66"/>
    </row>
    <row r="10" spans="1:6" x14ac:dyDescent="0.25">
      <c r="A10" s="63"/>
      <c r="B10" s="64"/>
      <c r="C10" s="64"/>
      <c r="D10" s="66"/>
    </row>
    <row r="11" spans="1:6" x14ac:dyDescent="0.25">
      <c r="A11" s="63"/>
      <c r="B11" s="64"/>
      <c r="C11" s="64"/>
      <c r="D11" s="66"/>
    </row>
    <row r="12" spans="1:6" x14ac:dyDescent="0.25">
      <c r="A12" s="63"/>
      <c r="B12" s="64"/>
      <c r="C12" s="64"/>
      <c r="D12" s="66"/>
    </row>
    <row r="13" spans="1:6" x14ac:dyDescent="0.25">
      <c r="A13" s="63"/>
      <c r="B13" s="64"/>
      <c r="C13" s="64"/>
      <c r="D13" s="66"/>
    </row>
    <row r="14" spans="1:6" x14ac:dyDescent="0.25">
      <c r="A14" s="63"/>
      <c r="B14" s="64"/>
      <c r="C14" s="64"/>
      <c r="D14" s="66"/>
    </row>
    <row r="15" spans="1:6" x14ac:dyDescent="0.25">
      <c r="A15" s="63"/>
      <c r="B15" s="64"/>
      <c r="C15" s="64"/>
      <c r="D15" s="66"/>
    </row>
    <row r="16" spans="1:6" x14ac:dyDescent="0.25">
      <c r="A16" s="63"/>
      <c r="B16" s="64"/>
      <c r="C16" s="64"/>
      <c r="D16" s="66"/>
    </row>
    <row r="17" spans="1:4" x14ac:dyDescent="0.25">
      <c r="A17" s="63"/>
      <c r="B17" s="64"/>
      <c r="C17" s="64"/>
      <c r="D17" s="66"/>
    </row>
    <row r="18" spans="1:4" x14ac:dyDescent="0.25">
      <c r="A18" s="63"/>
      <c r="B18" s="64"/>
      <c r="C18" s="64"/>
      <c r="D18" s="66"/>
    </row>
    <row r="19" spans="1:4" x14ac:dyDescent="0.25">
      <c r="A19" s="63"/>
      <c r="B19" s="64"/>
      <c r="C19" s="64"/>
      <c r="D19" s="66"/>
    </row>
    <row r="20" spans="1:4" x14ac:dyDescent="0.25">
      <c r="A20" s="63"/>
      <c r="B20" s="64"/>
      <c r="C20" s="64"/>
      <c r="D20" s="66"/>
    </row>
    <row r="21" spans="1:4" x14ac:dyDescent="0.25">
      <c r="A21" s="63"/>
      <c r="B21" s="64"/>
      <c r="C21" s="64"/>
      <c r="D21" s="66"/>
    </row>
    <row r="22" spans="1:4" x14ac:dyDescent="0.25">
      <c r="A22" s="63"/>
      <c r="B22" s="64"/>
      <c r="C22" s="64"/>
      <c r="D22" s="66"/>
    </row>
    <row r="23" spans="1:4" x14ac:dyDescent="0.25">
      <c r="A23" s="63"/>
      <c r="B23" s="64"/>
      <c r="C23" s="64"/>
      <c r="D23" s="66"/>
    </row>
    <row r="24" spans="1:4" x14ac:dyDescent="0.25">
      <c r="A24" s="63"/>
      <c r="B24" s="64"/>
      <c r="C24" s="64"/>
      <c r="D24" s="66"/>
    </row>
    <row r="25" spans="1:4" x14ac:dyDescent="0.25">
      <c r="A25" s="63"/>
      <c r="B25" s="64"/>
      <c r="C25" s="64"/>
      <c r="D25" s="66"/>
    </row>
    <row r="26" spans="1:4" x14ac:dyDescent="0.25">
      <c r="A26" s="63"/>
      <c r="B26" s="64"/>
      <c r="C26" s="64"/>
      <c r="D26" s="66"/>
    </row>
    <row r="27" spans="1:4" x14ac:dyDescent="0.25">
      <c r="A27" s="63"/>
      <c r="B27" s="64"/>
      <c r="C27" s="64"/>
      <c r="D27" s="66"/>
    </row>
    <row r="28" spans="1:4" x14ac:dyDescent="0.25">
      <c r="A28" s="63"/>
      <c r="B28" s="64"/>
      <c r="C28" s="64"/>
      <c r="D28" s="66"/>
    </row>
    <row r="29" spans="1:4" x14ac:dyDescent="0.25">
      <c r="A29" s="63"/>
      <c r="B29" s="64"/>
      <c r="C29" s="64"/>
      <c r="D29" s="66"/>
    </row>
    <row r="30" spans="1:4" x14ac:dyDescent="0.25">
      <c r="A30" s="63"/>
      <c r="B30" s="64"/>
      <c r="C30" s="64"/>
      <c r="D30" s="66"/>
    </row>
    <row r="31" spans="1:4" x14ac:dyDescent="0.25">
      <c r="A31" s="63"/>
      <c r="B31" s="64"/>
      <c r="C31" s="64"/>
      <c r="D31" s="66"/>
    </row>
    <row r="32" spans="1:4" x14ac:dyDescent="0.25">
      <c r="A32" s="63"/>
      <c r="B32" s="64"/>
      <c r="C32" s="64"/>
      <c r="D32" s="66"/>
    </row>
    <row r="33" spans="1:4" x14ac:dyDescent="0.25">
      <c r="A33" s="63"/>
      <c r="B33" s="64"/>
      <c r="C33" s="64"/>
      <c r="D33" s="66"/>
    </row>
    <row r="34" spans="1:4" x14ac:dyDescent="0.25">
      <c r="A34" s="63"/>
      <c r="B34" s="64"/>
      <c r="C34" s="64"/>
      <c r="D34" s="66"/>
    </row>
    <row r="35" spans="1:4" x14ac:dyDescent="0.25">
      <c r="A35" s="63"/>
      <c r="B35" s="64"/>
      <c r="C35" s="64"/>
      <c r="D35" s="66"/>
    </row>
    <row r="36" spans="1:4" x14ac:dyDescent="0.25">
      <c r="A36" s="63"/>
      <c r="B36" s="64"/>
      <c r="C36" s="64"/>
      <c r="D36" s="66"/>
    </row>
    <row r="37" spans="1:4" x14ac:dyDescent="0.25">
      <c r="A37" s="63"/>
      <c r="B37" s="64"/>
      <c r="C37" s="64"/>
      <c r="D37" s="66"/>
    </row>
    <row r="38" spans="1:4" x14ac:dyDescent="0.25">
      <c r="A38" s="63"/>
      <c r="B38" s="64"/>
      <c r="C38" s="64"/>
      <c r="D38" s="66"/>
    </row>
    <row r="39" spans="1:4" x14ac:dyDescent="0.25">
      <c r="A39" s="63"/>
      <c r="B39" s="64"/>
      <c r="C39" s="64"/>
      <c r="D39" s="66"/>
    </row>
    <row r="40" spans="1:4" ht="15.75" thickBot="1" x14ac:dyDescent="0.3">
      <c r="A40" s="67"/>
      <c r="B40" s="68"/>
      <c r="C40" s="68"/>
      <c r="D40" s="69"/>
    </row>
  </sheetData>
  <sheetProtection password="CA31" sheet="1" objects="1" scenarios="1" formatColumns="0" insertRows="0" insertHyperlinks="0" deleteRows="0"/>
  <mergeCells count="1">
    <mergeCell ref="A7:D7"/>
  </mergeCells>
  <conditionalFormatting sqref="A9:A40 C9:C40">
    <cfRule type="expression" dxfId="36" priority="7">
      <formula>AND(COUNTIF(FeatureCodes,$A9)=0,$A9&lt;&gt;"")</formula>
    </cfRule>
  </conditionalFormatting>
  <conditionalFormatting sqref="B9:B40">
    <cfRule type="expression" dxfId="35" priority="6">
      <formula>AND(COUNTIF(RelationshipTypeCV,$B9)=0,$B9&lt;&gt;"")</formula>
    </cfRule>
  </conditionalFormatting>
  <conditionalFormatting sqref="D9:D40">
    <cfRule type="expression" dxfId="34" priority="4">
      <formula>AND(COUNTIF(SpatialOffsetTypeCV,$D9)=0,$D9&lt;&gt;"")</formula>
    </cfRule>
  </conditionalFormatting>
  <conditionalFormatting sqref="D9:D40">
    <cfRule type="expression" dxfId="33" priority="42">
      <formula>AND(COUNTA($D9:$D9)&gt;0,D9="")</formula>
    </cfRule>
  </conditionalFormatting>
  <conditionalFormatting sqref="A9:C40">
    <cfRule type="expression" dxfId="32" priority="43">
      <formula>AND(COUNTA($A9:$D9)&gt;0,A9="")</formula>
    </cfRule>
  </conditionalFormatting>
  <conditionalFormatting sqref="A10:D40">
    <cfRule type="expression" dxfId="31" priority="46">
      <formula>AND(COUNTA($A9:$D9)=0,A10&lt;&gt;"")</formula>
    </cfRule>
  </conditionalFormatting>
  <dataValidations count="3">
    <dataValidation type="list" allowBlank="1" showInputMessage="1" showErrorMessage="1" sqref="A9:A40 C9:C40">
      <formula1>FeatureCodes</formula1>
    </dataValidation>
    <dataValidation type="list" allowBlank="1" showInputMessage="1" showErrorMessage="1" sqref="B9:B40">
      <formula1>RelationshipTypeCV</formula1>
    </dataValidation>
    <dataValidation type="list" allowBlank="1" showInputMessage="1" showErrorMessage="1" sqref="D9:D40">
      <formula1>OffsetCodes</formula1>
    </dataValidation>
  </dataValidations>
  <pageMargins left="0.7" right="0.7" top="0.75" bottom="0.75" header="0.3" footer="0.3"/>
  <pageSetup orientation="portrait" verticalDpi="0"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30"/>
  <sheetViews>
    <sheetView workbookViewId="0">
      <selection activeCell="C12" sqref="C12"/>
    </sheetView>
  </sheetViews>
  <sheetFormatPr defaultRowHeight="15" x14ac:dyDescent="0.25"/>
  <cols>
    <col min="1" max="1" width="22.42578125" style="6" customWidth="1"/>
    <col min="2" max="2" width="16.140625" style="6" bestFit="1" customWidth="1"/>
    <col min="3" max="3" width="27.28515625" style="6" customWidth="1"/>
    <col min="4" max="4" width="42.85546875" style="6" customWidth="1"/>
    <col min="5" max="5" width="25.85546875" style="6" bestFit="1" customWidth="1"/>
    <col min="6" max="6" width="28.140625" style="6" bestFit="1" customWidth="1"/>
    <col min="7" max="16384" width="9.140625" style="6"/>
  </cols>
  <sheetData>
    <row r="1" spans="1:6" x14ac:dyDescent="0.25">
      <c r="A1" s="6" t="s">
        <v>1321</v>
      </c>
    </row>
    <row r="2" spans="1:6" x14ac:dyDescent="0.25">
      <c r="A2" s="6" t="s">
        <v>1308</v>
      </c>
    </row>
    <row r="3" spans="1:6" x14ac:dyDescent="0.25">
      <c r="A3" s="26" t="s">
        <v>1309</v>
      </c>
    </row>
    <row r="4" spans="1:6" x14ac:dyDescent="0.25">
      <c r="A4" s="26" t="s">
        <v>1322</v>
      </c>
    </row>
    <row r="5" spans="1:6" ht="15.75" thickBot="1" x14ac:dyDescent="0.3">
      <c r="A5" s="6" t="s">
        <v>1323</v>
      </c>
    </row>
    <row r="6" spans="1:6" ht="15.75" thickBot="1" x14ac:dyDescent="0.3">
      <c r="A6" s="26" t="s">
        <v>276</v>
      </c>
      <c r="E6" s="27" t="s">
        <v>1201</v>
      </c>
      <c r="F6" s="28">
        <f>COUNTA(MethodCodes)</f>
        <v>0</v>
      </c>
    </row>
    <row r="7" spans="1:6" ht="15.75" thickBot="1" x14ac:dyDescent="0.3"/>
    <row r="8" spans="1:6" x14ac:dyDescent="0.25">
      <c r="A8" s="233" t="s">
        <v>249</v>
      </c>
      <c r="B8" s="234"/>
      <c r="C8" s="234"/>
      <c r="D8" s="234"/>
      <c r="E8" s="234"/>
      <c r="F8" s="235"/>
    </row>
    <row r="9" spans="1:6" ht="15.75" thickBot="1" x14ac:dyDescent="0.3">
      <c r="A9" s="59" t="s">
        <v>246</v>
      </c>
      <c r="B9" s="54" t="s">
        <v>139</v>
      </c>
      <c r="C9" s="54" t="s">
        <v>138</v>
      </c>
      <c r="D9" s="61" t="s">
        <v>140</v>
      </c>
      <c r="E9" s="61" t="s">
        <v>247</v>
      </c>
      <c r="F9" s="57" t="s">
        <v>19</v>
      </c>
    </row>
    <row r="10" spans="1:6" ht="15.75" thickTop="1" x14ac:dyDescent="0.25">
      <c r="A10" s="72"/>
      <c r="B10" s="64"/>
      <c r="C10" s="73"/>
      <c r="D10" s="74"/>
      <c r="E10" s="75"/>
      <c r="F10" s="76"/>
    </row>
    <row r="11" spans="1:6" x14ac:dyDescent="0.25">
      <c r="A11" s="72"/>
      <c r="B11" s="64"/>
      <c r="C11" s="73"/>
      <c r="D11" s="74"/>
      <c r="E11" s="75"/>
      <c r="F11" s="76"/>
    </row>
    <row r="12" spans="1:6" x14ac:dyDescent="0.25">
      <c r="A12" s="72"/>
      <c r="B12" s="64"/>
      <c r="C12" s="73"/>
      <c r="D12" s="74"/>
      <c r="E12" s="75"/>
      <c r="F12" s="76"/>
    </row>
    <row r="13" spans="1:6" x14ac:dyDescent="0.25">
      <c r="A13" s="72"/>
      <c r="B13" s="64"/>
      <c r="C13" s="73"/>
      <c r="D13" s="74"/>
      <c r="E13" s="75"/>
      <c r="F13" s="76"/>
    </row>
    <row r="14" spans="1:6" x14ac:dyDescent="0.25">
      <c r="A14" s="72"/>
      <c r="B14" s="64"/>
      <c r="C14" s="64"/>
      <c r="D14" s="74"/>
      <c r="E14" s="75"/>
      <c r="F14" s="76"/>
    </row>
    <row r="15" spans="1:6" x14ac:dyDescent="0.25">
      <c r="A15" s="72"/>
      <c r="B15" s="64"/>
      <c r="C15" s="64"/>
      <c r="D15" s="74"/>
      <c r="E15" s="65"/>
      <c r="F15" s="76"/>
    </row>
    <row r="16" spans="1:6" x14ac:dyDescent="0.25">
      <c r="A16" s="72"/>
      <c r="B16" s="64"/>
      <c r="C16" s="73"/>
      <c r="D16" s="74"/>
      <c r="E16" s="65"/>
      <c r="F16" s="76"/>
    </row>
    <row r="17" spans="1:6" x14ac:dyDescent="0.25">
      <c r="A17" s="72"/>
      <c r="B17" s="64"/>
      <c r="C17" s="73"/>
      <c r="D17" s="74"/>
      <c r="E17" s="65"/>
      <c r="F17" s="76"/>
    </row>
    <row r="18" spans="1:6" x14ac:dyDescent="0.25">
      <c r="A18" s="72"/>
      <c r="B18" s="64"/>
      <c r="C18" s="73"/>
      <c r="D18" s="74"/>
      <c r="E18" s="65"/>
      <c r="F18" s="76"/>
    </row>
    <row r="19" spans="1:6" x14ac:dyDescent="0.25">
      <c r="A19" s="72"/>
      <c r="B19" s="64"/>
      <c r="C19" s="73"/>
      <c r="D19" s="74"/>
      <c r="E19" s="65"/>
      <c r="F19" s="76"/>
    </row>
    <row r="20" spans="1:6" x14ac:dyDescent="0.25">
      <c r="A20" s="72"/>
      <c r="B20" s="64"/>
      <c r="C20" s="73"/>
      <c r="D20" s="74"/>
      <c r="E20" s="65"/>
      <c r="F20" s="76"/>
    </row>
    <row r="21" spans="1:6" x14ac:dyDescent="0.25">
      <c r="A21" s="72"/>
      <c r="B21" s="64"/>
      <c r="C21" s="73"/>
      <c r="D21" s="74"/>
      <c r="E21" s="65"/>
      <c r="F21" s="76"/>
    </row>
    <row r="22" spans="1:6" x14ac:dyDescent="0.25">
      <c r="A22" s="72"/>
      <c r="B22" s="64"/>
      <c r="C22" s="73"/>
      <c r="D22" s="74"/>
      <c r="E22" s="65"/>
      <c r="F22" s="76"/>
    </row>
    <row r="23" spans="1:6" x14ac:dyDescent="0.25">
      <c r="A23" s="72"/>
      <c r="B23" s="64"/>
      <c r="C23" s="73"/>
      <c r="D23" s="74"/>
      <c r="E23" s="65"/>
      <c r="F23" s="76"/>
    </row>
    <row r="24" spans="1:6" x14ac:dyDescent="0.25">
      <c r="A24" s="72"/>
      <c r="B24" s="64"/>
      <c r="C24" s="73"/>
      <c r="D24" s="74"/>
      <c r="E24" s="65"/>
      <c r="F24" s="76"/>
    </row>
    <row r="25" spans="1:6" x14ac:dyDescent="0.25">
      <c r="A25" s="72"/>
      <c r="B25" s="64"/>
      <c r="C25" s="73"/>
      <c r="D25" s="74"/>
      <c r="E25" s="65"/>
      <c r="F25" s="76"/>
    </row>
    <row r="26" spans="1:6" x14ac:dyDescent="0.25">
      <c r="A26" s="72"/>
      <c r="B26" s="64"/>
      <c r="C26" s="73"/>
      <c r="D26" s="74"/>
      <c r="E26" s="65"/>
      <c r="F26" s="76"/>
    </row>
    <row r="27" spans="1:6" x14ac:dyDescent="0.25">
      <c r="A27" s="72"/>
      <c r="B27" s="64"/>
      <c r="C27" s="73"/>
      <c r="D27" s="74"/>
      <c r="E27" s="65"/>
      <c r="F27" s="76"/>
    </row>
    <row r="28" spans="1:6" x14ac:dyDescent="0.25">
      <c r="A28" s="72"/>
      <c r="B28" s="64"/>
      <c r="C28" s="73"/>
      <c r="D28" s="74"/>
      <c r="E28" s="65"/>
      <c r="F28" s="76"/>
    </row>
    <row r="29" spans="1:6" x14ac:dyDescent="0.25">
      <c r="A29" s="72"/>
      <c r="B29" s="64"/>
      <c r="C29" s="73"/>
      <c r="D29" s="74"/>
      <c r="E29" s="65"/>
      <c r="F29" s="76"/>
    </row>
    <row r="30" spans="1:6" x14ac:dyDescent="0.25">
      <c r="A30" s="72"/>
      <c r="B30" s="64"/>
      <c r="C30" s="73"/>
      <c r="D30" s="74"/>
      <c r="E30" s="65"/>
      <c r="F30" s="76"/>
    </row>
  </sheetData>
  <sheetProtection password="CA31" sheet="1" objects="1" scenarios="1" formatColumns="0" insertRows="0" insertHyperlinks="0" deleteRows="0"/>
  <mergeCells count="1">
    <mergeCell ref="A8:F8"/>
  </mergeCells>
  <conditionalFormatting sqref="A10:A30">
    <cfRule type="expression" dxfId="30" priority="4">
      <formula>AND(COUNTIF(MethodTypeCV,A10)=0,A10&lt;&gt;"")</formula>
    </cfRule>
  </conditionalFormatting>
  <conditionalFormatting sqref="A10:C30">
    <cfRule type="expression" dxfId="29" priority="3">
      <formula>AND(COUNTA($A10:$F10)&gt;0,A10="")</formula>
    </cfRule>
  </conditionalFormatting>
  <conditionalFormatting sqref="A11:F30">
    <cfRule type="expression" dxfId="28" priority="2">
      <formula>AND(COUNTA($A10:$F10)=0,A11&lt;&gt;"")</formula>
    </cfRule>
  </conditionalFormatting>
  <conditionalFormatting sqref="B10:B30">
    <cfRule type="duplicateValues" dxfId="27" priority="1"/>
  </conditionalFormatting>
  <dataValidations count="2">
    <dataValidation type="list" allowBlank="1" showInputMessage="1" showErrorMessage="1" sqref="A10:A30">
      <formula1>MethodTypeCV</formula1>
    </dataValidation>
    <dataValidation type="list" allowBlank="1" showInputMessage="1" showErrorMessage="1" sqref="F10:F30">
      <formula1>OrganizationNames</formula1>
    </dataValidation>
  </dataValidations>
  <pageMargins left="0.7" right="0.7" top="0.75" bottom="0.75" header="0.3" footer="0.3"/>
  <pageSetup orientation="portrait" verticalDpi="0" r:id="rId1"/>
  <tableParts count="1">
    <tablePart r:id="rId2"/>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F28"/>
  <sheetViews>
    <sheetView workbookViewId="0">
      <selection activeCell="K20" sqref="K20"/>
    </sheetView>
  </sheetViews>
  <sheetFormatPr defaultRowHeight="15" x14ac:dyDescent="0.25"/>
  <cols>
    <col min="1" max="1" width="16.5703125" style="6" customWidth="1"/>
    <col min="2" max="2" width="15.5703125" style="6" customWidth="1"/>
    <col min="3" max="3" width="16.28515625" style="6" customWidth="1"/>
    <col min="4" max="4" width="20.28515625" style="6" customWidth="1"/>
    <col min="5" max="5" width="12.7109375" style="6" customWidth="1"/>
    <col min="6" max="6" width="15.7109375" style="6" customWidth="1"/>
    <col min="7" max="16384" width="9.140625" style="6"/>
  </cols>
  <sheetData>
    <row r="1" spans="1:6" x14ac:dyDescent="0.25">
      <c r="A1" s="26" t="s">
        <v>1324</v>
      </c>
    </row>
    <row r="2" spans="1:6" x14ac:dyDescent="0.25">
      <c r="A2" s="6" t="s">
        <v>1308</v>
      </c>
    </row>
    <row r="3" spans="1:6" x14ac:dyDescent="0.25">
      <c r="A3" s="26" t="s">
        <v>1309</v>
      </c>
    </row>
    <row r="4" spans="1:6" ht="15.75" thickBot="1" x14ac:dyDescent="0.3">
      <c r="A4" s="26" t="s">
        <v>1325</v>
      </c>
    </row>
    <row r="5" spans="1:6" ht="15.75" thickBot="1" x14ac:dyDescent="0.3">
      <c r="A5" s="26" t="s">
        <v>280</v>
      </c>
      <c r="E5" s="27" t="s">
        <v>1202</v>
      </c>
      <c r="F5" s="28">
        <f>COUNTA(VariableCodes)</f>
        <v>0</v>
      </c>
    </row>
    <row r="6" spans="1:6" ht="15.75" thickBot="1" x14ac:dyDescent="0.3"/>
    <row r="7" spans="1:6" x14ac:dyDescent="0.25">
      <c r="A7" s="233" t="s">
        <v>285</v>
      </c>
      <c r="B7" s="234"/>
      <c r="C7" s="234"/>
      <c r="D7" s="234"/>
      <c r="E7" s="234"/>
      <c r="F7" s="235"/>
    </row>
    <row r="8" spans="1:6" ht="15.75" thickBot="1" x14ac:dyDescent="0.3">
      <c r="A8" s="59" t="s">
        <v>281</v>
      </c>
      <c r="B8" s="54" t="s">
        <v>137</v>
      </c>
      <c r="C8" s="54" t="s">
        <v>136</v>
      </c>
      <c r="D8" s="61" t="s">
        <v>282</v>
      </c>
      <c r="E8" s="61" t="s">
        <v>283</v>
      </c>
      <c r="F8" s="60" t="s">
        <v>284</v>
      </c>
    </row>
    <row r="9" spans="1:6" ht="15.75" thickTop="1" x14ac:dyDescent="0.25">
      <c r="A9" s="72"/>
      <c r="B9" s="64"/>
      <c r="C9" s="64"/>
      <c r="D9" s="65"/>
      <c r="E9" s="65"/>
      <c r="F9" s="77"/>
    </row>
    <row r="10" spans="1:6" x14ac:dyDescent="0.25">
      <c r="A10" s="72"/>
      <c r="B10" s="64"/>
      <c r="C10" s="64"/>
      <c r="D10" s="65"/>
      <c r="E10" s="65"/>
      <c r="F10" s="77"/>
    </row>
    <row r="11" spans="1:6" x14ac:dyDescent="0.25">
      <c r="A11" s="72"/>
      <c r="B11" s="64"/>
      <c r="C11" s="64"/>
      <c r="D11" s="65"/>
      <c r="E11" s="65"/>
      <c r="F11" s="77"/>
    </row>
    <row r="12" spans="1:6" x14ac:dyDescent="0.25">
      <c r="A12" s="72"/>
      <c r="B12" s="64"/>
      <c r="C12" s="64"/>
      <c r="D12" s="65"/>
      <c r="E12" s="65"/>
      <c r="F12" s="77"/>
    </row>
    <row r="13" spans="1:6" x14ac:dyDescent="0.25">
      <c r="A13" s="72"/>
      <c r="B13" s="64"/>
      <c r="C13" s="64"/>
      <c r="D13" s="65"/>
      <c r="E13" s="65"/>
      <c r="F13" s="77"/>
    </row>
    <row r="14" spans="1:6" x14ac:dyDescent="0.25">
      <c r="A14" s="72"/>
      <c r="B14" s="64"/>
      <c r="C14" s="64"/>
      <c r="D14" s="65"/>
      <c r="E14" s="65"/>
      <c r="F14" s="77"/>
    </row>
    <row r="15" spans="1:6" x14ac:dyDescent="0.25">
      <c r="A15" s="72"/>
      <c r="B15" s="64"/>
      <c r="C15" s="64"/>
      <c r="D15" s="65"/>
      <c r="E15" s="65"/>
      <c r="F15" s="77"/>
    </row>
    <row r="16" spans="1:6" x14ac:dyDescent="0.25">
      <c r="A16" s="72"/>
      <c r="B16" s="64"/>
      <c r="C16" s="64"/>
      <c r="D16" s="65"/>
      <c r="E16" s="65"/>
      <c r="F16" s="77"/>
    </row>
    <row r="17" spans="1:6" x14ac:dyDescent="0.25">
      <c r="A17" s="72"/>
      <c r="B17" s="64"/>
      <c r="C17" s="64"/>
      <c r="D17" s="65"/>
      <c r="E17" s="65"/>
      <c r="F17" s="77"/>
    </row>
    <row r="18" spans="1:6" x14ac:dyDescent="0.25">
      <c r="A18" s="72"/>
      <c r="B18" s="64"/>
      <c r="C18" s="64"/>
      <c r="D18" s="65"/>
      <c r="E18" s="65"/>
      <c r="F18" s="77"/>
    </row>
    <row r="19" spans="1:6" x14ac:dyDescent="0.25">
      <c r="A19" s="72"/>
      <c r="B19" s="64"/>
      <c r="C19" s="64"/>
      <c r="D19" s="65"/>
      <c r="E19" s="65"/>
      <c r="F19" s="77"/>
    </row>
    <row r="20" spans="1:6" x14ac:dyDescent="0.25">
      <c r="A20" s="72"/>
      <c r="B20" s="64"/>
      <c r="C20" s="64"/>
      <c r="D20" s="65"/>
      <c r="E20" s="65"/>
      <c r="F20" s="77"/>
    </row>
    <row r="21" spans="1:6" x14ac:dyDescent="0.25">
      <c r="A21" s="72"/>
      <c r="B21" s="64"/>
      <c r="C21" s="64"/>
      <c r="D21" s="65"/>
      <c r="E21" s="65"/>
      <c r="F21" s="77"/>
    </row>
    <row r="22" spans="1:6" x14ac:dyDescent="0.25">
      <c r="A22" s="72"/>
      <c r="B22" s="64"/>
      <c r="C22" s="64"/>
      <c r="D22" s="65"/>
      <c r="E22" s="65"/>
      <c r="F22" s="77"/>
    </row>
    <row r="23" spans="1:6" x14ac:dyDescent="0.25">
      <c r="A23" s="72"/>
      <c r="B23" s="64"/>
      <c r="C23" s="64"/>
      <c r="D23" s="65"/>
      <c r="E23" s="65"/>
      <c r="F23" s="77"/>
    </row>
    <row r="24" spans="1:6" x14ac:dyDescent="0.25">
      <c r="A24" s="72"/>
      <c r="B24" s="64"/>
      <c r="C24" s="64"/>
      <c r="D24" s="65"/>
      <c r="E24" s="65"/>
      <c r="F24" s="77"/>
    </row>
    <row r="25" spans="1:6" x14ac:dyDescent="0.25">
      <c r="A25" s="72"/>
      <c r="B25" s="64"/>
      <c r="C25" s="64"/>
      <c r="D25" s="65"/>
      <c r="E25" s="65"/>
      <c r="F25" s="77"/>
    </row>
    <row r="26" spans="1:6" x14ac:dyDescent="0.25">
      <c r="A26" s="72"/>
      <c r="B26" s="64"/>
      <c r="C26" s="64"/>
      <c r="D26" s="65"/>
      <c r="E26" s="65"/>
      <c r="F26" s="77"/>
    </row>
    <row r="27" spans="1:6" x14ac:dyDescent="0.25">
      <c r="A27" s="72"/>
      <c r="B27" s="64"/>
      <c r="C27" s="64"/>
      <c r="D27" s="65"/>
      <c r="E27" s="65"/>
      <c r="F27" s="77"/>
    </row>
    <row r="28" spans="1:6" x14ac:dyDescent="0.25">
      <c r="A28" s="72"/>
      <c r="B28" s="64"/>
      <c r="C28" s="64"/>
      <c r="D28" s="65"/>
      <c r="E28" s="65"/>
      <c r="F28" s="77"/>
    </row>
  </sheetData>
  <sheetProtection password="CA31" sheet="1" objects="1" scenarios="1" formatColumns="0" insertRows="0" insertHyperlinks="0" deleteRows="0"/>
  <mergeCells count="1">
    <mergeCell ref="A7:F7"/>
  </mergeCells>
  <conditionalFormatting sqref="A9:A28">
    <cfRule type="expression" dxfId="26" priority="5">
      <formula>AND(COUNTIF(VariableTypeCV,$A9)=0,$A9&lt;&gt;"")</formula>
    </cfRule>
  </conditionalFormatting>
  <conditionalFormatting sqref="C9:C28">
    <cfRule type="expression" dxfId="25" priority="4">
      <formula>AND(COUNTIF(VariableNameCV,$C9)=0,$C9&lt;&gt;"")</formula>
    </cfRule>
  </conditionalFormatting>
  <conditionalFormatting sqref="A9:C28 F9:F28">
    <cfRule type="expression" dxfId="24" priority="3">
      <formula>AND(COUNTA($A9:$F9)&gt;0,A9="")</formula>
    </cfRule>
  </conditionalFormatting>
  <conditionalFormatting sqref="A10:F27">
    <cfRule type="expression" dxfId="23" priority="2">
      <formula>AND(COUNTA($A9:$F9)=0,A10&lt;&gt;"")</formula>
    </cfRule>
  </conditionalFormatting>
  <conditionalFormatting sqref="E9:E28">
    <cfRule type="expression" dxfId="22" priority="1">
      <formula>AND(COUNTIF(SpeciationCV,$E9)=0,$E9&lt;&gt;"")</formula>
    </cfRule>
  </conditionalFormatting>
  <dataValidations count="3">
    <dataValidation type="list" allowBlank="1" showInputMessage="1" showErrorMessage="1" sqref="A9:A28">
      <formula1>VariableTypeCV</formula1>
    </dataValidation>
    <dataValidation type="list" allowBlank="1" showInputMessage="1" showErrorMessage="1" sqref="C9:C28">
      <formula1>VariableNameCV</formula1>
    </dataValidation>
    <dataValidation type="list" allowBlank="1" showInputMessage="1" showErrorMessage="1" sqref="E9:E28">
      <formula1>SpeciationCV</formula1>
    </dataValidation>
  </dataValidations>
  <pageMargins left="0.7" right="0.7" top="0.75" bottom="0.75" header="0.3" footer="0.3"/>
  <legacyDrawing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8"/>
  <sheetViews>
    <sheetView topLeftCell="A4" workbookViewId="0">
      <selection activeCell="C15" sqref="C15"/>
    </sheetView>
  </sheetViews>
  <sheetFormatPr defaultRowHeight="15" x14ac:dyDescent="0.25"/>
  <cols>
    <col min="1" max="1" width="23.42578125" style="6" customWidth="1"/>
    <col min="2" max="2" width="29.7109375" style="6" customWidth="1"/>
    <col min="3" max="3" width="64" style="78" customWidth="1"/>
    <col min="4" max="4" width="8" style="6" bestFit="1" customWidth="1"/>
    <col min="5" max="16384" width="9.140625" style="6"/>
  </cols>
  <sheetData>
    <row r="1" spans="1:5" x14ac:dyDescent="0.25">
      <c r="A1" s="26" t="s">
        <v>1326</v>
      </c>
    </row>
    <row r="2" spans="1:5" x14ac:dyDescent="0.25">
      <c r="A2" s="6" t="s">
        <v>1308</v>
      </c>
    </row>
    <row r="3" spans="1:5" x14ac:dyDescent="0.25">
      <c r="A3" s="26" t="s">
        <v>1309</v>
      </c>
    </row>
    <row r="4" spans="1:5" x14ac:dyDescent="0.25">
      <c r="A4" s="26" t="s">
        <v>1327</v>
      </c>
    </row>
    <row r="5" spans="1:5" x14ac:dyDescent="0.25">
      <c r="A5" s="26" t="s">
        <v>1173</v>
      </c>
    </row>
    <row r="6" spans="1:5" ht="15.75" thickBot="1" x14ac:dyDescent="0.3">
      <c r="A6" s="26" t="s">
        <v>1329</v>
      </c>
    </row>
    <row r="7" spans="1:5" ht="15.75" thickBot="1" x14ac:dyDescent="0.3">
      <c r="A7" s="26" t="s">
        <v>1328</v>
      </c>
      <c r="D7" s="27" t="s">
        <v>1203</v>
      </c>
      <c r="E7" s="28">
        <f>COUNTA(ProcessingLevelCodes)</f>
        <v>0</v>
      </c>
    </row>
    <row r="8" spans="1:5" ht="15.75" thickBot="1" x14ac:dyDescent="0.3"/>
    <row r="9" spans="1:5" x14ac:dyDescent="0.25">
      <c r="A9" s="236" t="s">
        <v>1176</v>
      </c>
      <c r="B9" s="237"/>
      <c r="C9" s="238"/>
    </row>
    <row r="10" spans="1:5" ht="15.75" thickBot="1" x14ac:dyDescent="0.3">
      <c r="A10" s="59" t="s">
        <v>1174</v>
      </c>
      <c r="B10" s="54" t="s">
        <v>1175</v>
      </c>
      <c r="C10" s="83" t="s">
        <v>1177</v>
      </c>
    </row>
    <row r="11" spans="1:5" ht="15.75" thickTop="1" x14ac:dyDescent="0.25">
      <c r="A11" s="79"/>
      <c r="B11" s="80"/>
      <c r="C11" s="81"/>
    </row>
    <row r="12" spans="1:5" x14ac:dyDescent="0.25">
      <c r="A12" s="72"/>
      <c r="B12" s="65"/>
      <c r="C12" s="82"/>
    </row>
    <row r="13" spans="1:5" x14ac:dyDescent="0.25">
      <c r="A13" s="72"/>
      <c r="B13" s="65"/>
      <c r="C13" s="82"/>
    </row>
    <row r="14" spans="1:5" x14ac:dyDescent="0.25">
      <c r="A14" s="72"/>
      <c r="B14" s="65"/>
      <c r="C14" s="82"/>
    </row>
    <row r="15" spans="1:5" x14ac:dyDescent="0.25">
      <c r="A15" s="72"/>
      <c r="B15" s="65"/>
      <c r="C15" s="82"/>
    </row>
    <row r="16" spans="1:5" x14ac:dyDescent="0.25">
      <c r="A16" s="72"/>
      <c r="B16" s="65"/>
      <c r="C16" s="82"/>
    </row>
    <row r="17" spans="1:3" x14ac:dyDescent="0.25">
      <c r="A17" s="72"/>
      <c r="B17" s="65"/>
      <c r="C17" s="82"/>
    </row>
    <row r="18" spans="1:3" x14ac:dyDescent="0.25">
      <c r="A18" s="72"/>
      <c r="B18" s="65"/>
      <c r="C18" s="82"/>
    </row>
    <row r="19" spans="1:3" x14ac:dyDescent="0.25">
      <c r="A19" s="72"/>
      <c r="B19" s="65"/>
      <c r="C19" s="82"/>
    </row>
    <row r="20" spans="1:3" x14ac:dyDescent="0.25">
      <c r="A20" s="72"/>
      <c r="B20" s="65"/>
      <c r="C20" s="82"/>
    </row>
    <row r="21" spans="1:3" x14ac:dyDescent="0.25">
      <c r="A21" s="72"/>
      <c r="B21" s="65"/>
      <c r="C21" s="82"/>
    </row>
    <row r="22" spans="1:3" x14ac:dyDescent="0.25">
      <c r="A22" s="72"/>
      <c r="B22" s="65"/>
      <c r="C22" s="82"/>
    </row>
    <row r="23" spans="1:3" x14ac:dyDescent="0.25">
      <c r="A23" s="72"/>
      <c r="B23" s="65"/>
      <c r="C23" s="82"/>
    </row>
    <row r="24" spans="1:3" x14ac:dyDescent="0.25">
      <c r="A24" s="72"/>
      <c r="B24" s="65"/>
      <c r="C24" s="82"/>
    </row>
    <row r="25" spans="1:3" x14ac:dyDescent="0.25">
      <c r="A25" s="72"/>
      <c r="B25" s="65"/>
      <c r="C25" s="82"/>
    </row>
    <row r="26" spans="1:3" x14ac:dyDescent="0.25">
      <c r="A26" s="72"/>
      <c r="B26" s="65"/>
      <c r="C26" s="82"/>
    </row>
    <row r="27" spans="1:3" x14ac:dyDescent="0.25">
      <c r="A27" s="72"/>
      <c r="B27" s="65"/>
      <c r="C27" s="82"/>
    </row>
    <row r="28" spans="1:3" x14ac:dyDescent="0.25">
      <c r="A28" s="72"/>
      <c r="B28" s="65"/>
      <c r="C28" s="82"/>
    </row>
  </sheetData>
  <sheetProtection password="CA31" sheet="1" objects="1" scenarios="1" formatColumns="0" insertRows="0" insertHyperlinks="0" deleteRows="0"/>
  <mergeCells count="1">
    <mergeCell ref="A9:C9"/>
  </mergeCells>
  <conditionalFormatting sqref="A11:A28">
    <cfRule type="duplicateValues" dxfId="21" priority="1"/>
    <cfRule type="expression" dxfId="20" priority="3">
      <formula>AND(COUNTA($A11:$C11)&gt;0,$A11="")</formula>
    </cfRule>
  </conditionalFormatting>
  <conditionalFormatting sqref="A12:C28">
    <cfRule type="expression" dxfId="19" priority="2">
      <formula>AND(COUNTA($A11:$C11)=0,A12&lt;&gt;"")</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26"/>
  <sheetViews>
    <sheetView workbookViewId="0">
      <selection activeCell="B12" sqref="B12"/>
    </sheetView>
  </sheetViews>
  <sheetFormatPr defaultRowHeight="15" x14ac:dyDescent="0.25"/>
  <cols>
    <col min="1" max="1" width="26" customWidth="1"/>
    <col min="2" max="2" width="27" customWidth="1"/>
    <col min="3" max="3" width="35.85546875" customWidth="1"/>
    <col min="4" max="4" width="32.140625" customWidth="1"/>
    <col min="5" max="5" width="2.5703125" bestFit="1" customWidth="1"/>
  </cols>
  <sheetData>
    <row r="1" spans="1:5" s="6" customFormat="1" x14ac:dyDescent="0.25">
      <c r="A1" s="26" t="s">
        <v>1282</v>
      </c>
      <c r="C1" s="78"/>
    </row>
    <row r="2" spans="1:5" s="6" customFormat="1" x14ac:dyDescent="0.25">
      <c r="A2" s="26" t="s">
        <v>1283</v>
      </c>
      <c r="C2" s="78"/>
    </row>
    <row r="3" spans="1:5" s="6" customFormat="1" ht="15.75" thickBot="1" x14ac:dyDescent="0.3">
      <c r="A3" s="26" t="s">
        <v>1395</v>
      </c>
      <c r="C3" s="78"/>
    </row>
    <row r="4" spans="1:5" s="6" customFormat="1" ht="15.75" thickBot="1" x14ac:dyDescent="0.3">
      <c r="A4" s="26" t="s">
        <v>1284</v>
      </c>
      <c r="C4" s="78"/>
      <c r="D4" s="27" t="s">
        <v>1285</v>
      </c>
      <c r="E4" s="28">
        <f>COUNTA(TaxClassifiers)</f>
        <v>0</v>
      </c>
    </row>
    <row r="5" spans="1:5" ht="15.75" thickBot="1" x14ac:dyDescent="0.3"/>
    <row r="6" spans="1:5" x14ac:dyDescent="0.25">
      <c r="A6" s="239" t="s">
        <v>1290</v>
      </c>
      <c r="B6" s="240"/>
      <c r="C6" s="240"/>
      <c r="D6" s="241"/>
    </row>
    <row r="7" spans="1:5" ht="15.75" thickBot="1" x14ac:dyDescent="0.3">
      <c r="A7" s="87" t="s">
        <v>1286</v>
      </c>
      <c r="B7" s="88" t="s">
        <v>1287</v>
      </c>
      <c r="C7" s="144" t="s">
        <v>1288</v>
      </c>
      <c r="D7" s="145" t="s">
        <v>1289</v>
      </c>
    </row>
    <row r="8" spans="1:5" ht="15.75" thickTop="1" x14ac:dyDescent="0.25">
      <c r="A8" s="17"/>
      <c r="B8" s="18"/>
      <c r="C8" s="19"/>
      <c r="D8" s="43"/>
    </row>
    <row r="9" spans="1:5" x14ac:dyDescent="0.25">
      <c r="A9" s="9"/>
      <c r="B9" s="10"/>
      <c r="C9" s="21"/>
      <c r="D9" s="12"/>
    </row>
    <row r="10" spans="1:5" x14ac:dyDescent="0.25">
      <c r="A10" s="9"/>
      <c r="B10" s="10"/>
      <c r="C10" s="21"/>
      <c r="D10" s="12"/>
    </row>
    <row r="11" spans="1:5" x14ac:dyDescent="0.25">
      <c r="A11" s="9"/>
      <c r="B11" s="10"/>
      <c r="C11" s="21"/>
      <c r="D11" s="12"/>
    </row>
    <row r="12" spans="1:5" x14ac:dyDescent="0.25">
      <c r="A12" s="9"/>
      <c r="B12" s="10"/>
      <c r="C12" s="21"/>
      <c r="D12" s="12"/>
    </row>
    <row r="13" spans="1:5" x14ac:dyDescent="0.25">
      <c r="A13" s="9"/>
      <c r="B13" s="10"/>
      <c r="C13" s="21"/>
      <c r="D13" s="12"/>
    </row>
    <row r="14" spans="1:5" x14ac:dyDescent="0.25">
      <c r="A14" s="9"/>
      <c r="B14" s="10"/>
      <c r="C14" s="21"/>
      <c r="D14" s="12"/>
    </row>
    <row r="15" spans="1:5" x14ac:dyDescent="0.25">
      <c r="A15" s="9"/>
      <c r="B15" s="10"/>
      <c r="C15" s="21"/>
      <c r="D15" s="12"/>
    </row>
    <row r="16" spans="1:5" x14ac:dyDescent="0.25">
      <c r="A16" s="9"/>
      <c r="B16" s="10"/>
      <c r="C16" s="21"/>
      <c r="D16" s="12"/>
    </row>
    <row r="17" spans="1:4" x14ac:dyDescent="0.25">
      <c r="A17" s="9"/>
      <c r="B17" s="10"/>
      <c r="C17" s="21"/>
      <c r="D17" s="12"/>
    </row>
    <row r="18" spans="1:4" x14ac:dyDescent="0.25">
      <c r="A18" s="9"/>
      <c r="B18" s="10"/>
      <c r="C18" s="21"/>
      <c r="D18" s="12"/>
    </row>
    <row r="19" spans="1:4" x14ac:dyDescent="0.25">
      <c r="A19" s="9"/>
      <c r="B19" s="10"/>
      <c r="C19" s="21"/>
      <c r="D19" s="12"/>
    </row>
    <row r="20" spans="1:4" x14ac:dyDescent="0.25">
      <c r="A20" s="9"/>
      <c r="B20" s="10"/>
      <c r="C20" s="21"/>
      <c r="D20" s="12"/>
    </row>
    <row r="21" spans="1:4" x14ac:dyDescent="0.25">
      <c r="A21" s="9"/>
      <c r="B21" s="10"/>
      <c r="C21" s="21"/>
      <c r="D21" s="12"/>
    </row>
    <row r="22" spans="1:4" x14ac:dyDescent="0.25">
      <c r="A22" s="9"/>
      <c r="B22" s="10"/>
      <c r="C22" s="21"/>
      <c r="D22" s="12"/>
    </row>
    <row r="23" spans="1:4" x14ac:dyDescent="0.25">
      <c r="A23" s="9"/>
      <c r="B23" s="10"/>
      <c r="C23" s="21"/>
      <c r="D23" s="12"/>
    </row>
    <row r="24" spans="1:4" x14ac:dyDescent="0.25">
      <c r="A24" s="9"/>
      <c r="B24" s="10"/>
      <c r="C24" s="21"/>
      <c r="D24" s="12"/>
    </row>
    <row r="25" spans="1:4" x14ac:dyDescent="0.25">
      <c r="A25" s="9"/>
      <c r="B25" s="10"/>
      <c r="C25" s="21"/>
      <c r="D25" s="12"/>
    </row>
    <row r="26" spans="1:4" x14ac:dyDescent="0.25">
      <c r="A26" s="13"/>
      <c r="B26" s="14"/>
      <c r="C26" s="24"/>
      <c r="D26" s="16"/>
    </row>
  </sheetData>
  <sheetProtection password="CA31" sheet="1" objects="1" scenarios="1" formatColumns="0" insertRows="0" insertHyperlinks="0" deleteRows="0"/>
  <mergeCells count="1">
    <mergeCell ref="A6:D6"/>
  </mergeCells>
  <conditionalFormatting sqref="A8:A26">
    <cfRule type="expression" dxfId="18" priority="4">
      <formula>AND(COUNTIF(TaxonomicClassifierTypeCV,$A8)=0,$A8&lt;&gt;"")</formula>
    </cfRule>
  </conditionalFormatting>
  <conditionalFormatting sqref="A8:B26">
    <cfRule type="expression" dxfId="17" priority="3">
      <formula>AND(COUNTA($A8:$D8)&gt;0,A8&lt;&gt;"")</formula>
    </cfRule>
  </conditionalFormatting>
  <conditionalFormatting sqref="A9:D26">
    <cfRule type="expression" dxfId="16" priority="2">
      <formula>AND(COUNTA($A8:$D8)=0,A9&lt;&gt;"")</formula>
    </cfRule>
  </conditionalFormatting>
  <conditionalFormatting sqref="B8:B26">
    <cfRule type="duplicateValues" dxfId="15" priority="1"/>
  </conditionalFormatting>
  <dataValidations count="1">
    <dataValidation type="list" allowBlank="1" showInputMessage="1" showErrorMessage="1" sqref="A8:A26">
      <formula1>TaxonomicClassifierTypeCV</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C99"/>
  <sheetViews>
    <sheetView zoomScale="115" zoomScaleNormal="115" zoomScalePageLayoutView="150" workbookViewId="0">
      <selection activeCell="A27" sqref="A27"/>
    </sheetView>
  </sheetViews>
  <sheetFormatPr defaultColWidth="8.85546875" defaultRowHeight="15" x14ac:dyDescent="0.25"/>
  <cols>
    <col min="1" max="1" width="6.7109375" style="6" customWidth="1"/>
    <col min="2" max="2" width="22.42578125" style="6" bestFit="1" customWidth="1"/>
    <col min="3" max="3" width="28.140625" style="6" bestFit="1" customWidth="1"/>
    <col min="4" max="4" width="16.85546875" style="6" bestFit="1" customWidth="1"/>
    <col min="5" max="5" width="2.7109375" style="6" customWidth="1"/>
    <col min="6" max="6" width="19.140625" style="6" bestFit="1" customWidth="1"/>
    <col min="7" max="9" width="2.7109375" style="6" customWidth="1"/>
    <col min="10" max="10" width="20" style="6" bestFit="1" customWidth="1"/>
    <col min="11" max="11" width="2.7109375" style="6" customWidth="1"/>
    <col min="12" max="12" width="15.7109375" style="6" bestFit="1" customWidth="1"/>
    <col min="13" max="13" width="17.42578125" style="6" bestFit="1" customWidth="1"/>
    <col min="14" max="14" width="13.5703125" style="6" bestFit="1" customWidth="1"/>
    <col min="15" max="15" width="13.140625" style="6" bestFit="1" customWidth="1"/>
    <col min="16" max="16" width="10.140625" style="6" bestFit="1" customWidth="1"/>
    <col min="17" max="17" width="19" style="6" bestFit="1" customWidth="1"/>
    <col min="18" max="18" width="13.28515625" style="6" bestFit="1" customWidth="1"/>
    <col min="19" max="19" width="2.7109375" style="6" customWidth="1"/>
    <col min="20" max="20" width="20.28515625" style="6" bestFit="1" customWidth="1"/>
    <col min="21" max="21" width="2.7109375" style="6" customWidth="1"/>
    <col min="22" max="22" width="14.28515625" style="6" bestFit="1" customWidth="1"/>
    <col min="23" max="23" width="14.5703125" style="6" bestFit="1" customWidth="1"/>
    <col min="24" max="24" width="24.42578125" style="6" bestFit="1" customWidth="1"/>
    <col min="25" max="25" width="23.42578125" style="6" bestFit="1" customWidth="1"/>
    <col min="26" max="26" width="32.140625" style="6" bestFit="1" customWidth="1"/>
    <col min="27" max="27" width="21.5703125" style="6" bestFit="1" customWidth="1"/>
    <col min="28" max="28" width="3.7109375" style="6" customWidth="1"/>
    <col min="29" max="29" width="3.7109375" style="39" customWidth="1"/>
    <col min="30" max="30" width="12.85546875" style="6" customWidth="1"/>
    <col min="31" max="33" width="12.140625" style="6" customWidth="1"/>
    <col min="34" max="16384" width="8.85546875" style="6"/>
  </cols>
  <sheetData>
    <row r="1" spans="1:29" s="26" customFormat="1" x14ac:dyDescent="0.25">
      <c r="A1" s="26" t="s">
        <v>135</v>
      </c>
      <c r="AC1" s="172"/>
    </row>
    <row r="2" spans="1:29" s="26" customFormat="1" ht="15.75" thickBot="1" x14ac:dyDescent="0.3">
      <c r="A2" s="26" t="s">
        <v>1506</v>
      </c>
      <c r="AC2" s="172"/>
    </row>
    <row r="3" spans="1:29" s="26" customFormat="1" ht="15.75" thickBot="1" x14ac:dyDescent="0.3">
      <c r="A3" s="26" t="s">
        <v>1192</v>
      </c>
      <c r="N3" s="163"/>
      <c r="U3" s="85" t="s">
        <v>1194</v>
      </c>
      <c r="V3" s="28">
        <f ca="1">MAX(DataColumns[Col'#])</f>
        <v>0</v>
      </c>
      <c r="AC3" s="172"/>
    </row>
    <row r="4" spans="1:29" s="26" customFormat="1" ht="15.75" thickBot="1" x14ac:dyDescent="0.3">
      <c r="A4" s="26" t="s">
        <v>1220</v>
      </c>
      <c r="N4" s="163"/>
      <c r="U4" s="85" t="s">
        <v>1303</v>
      </c>
      <c r="V4" s="28" t="e">
        <f>INDEX(DataColumns[Col'#],MATCH("SpecimenCode",DataColumns[ColumnType],0))</f>
        <v>#N/A</v>
      </c>
      <c r="AC4" s="172"/>
    </row>
    <row r="5" spans="1:29" s="26" customFormat="1" ht="15.75" thickBot="1" x14ac:dyDescent="0.3">
      <c r="A5" s="26" t="s">
        <v>1193</v>
      </c>
      <c r="N5" s="163"/>
      <c r="U5" s="85" t="s">
        <v>1302</v>
      </c>
      <c r="V5" s="28">
        <f ca="1">COUNTA(INDIRECT(CONCATENATE("'Data Values'!R2C",SpecimenColumnNumber,":R96129C",SpecimenColumnNumber),FALSE))</f>
        <v>1</v>
      </c>
      <c r="AC5" s="172"/>
    </row>
    <row r="6" spans="1:29" s="26" customFormat="1" ht="15.75" thickBot="1" x14ac:dyDescent="0.3">
      <c r="A6" s="26" t="s">
        <v>1448</v>
      </c>
      <c r="N6" s="163"/>
      <c r="U6" s="85" t="s">
        <v>1306</v>
      </c>
      <c r="V6" s="28">
        <f>COUNTIF(DataColumns[ColumnType],"ResultValue")</f>
        <v>0</v>
      </c>
      <c r="AC6" s="172"/>
    </row>
    <row r="7" spans="1:29" s="26" customFormat="1" x14ac:dyDescent="0.25">
      <c r="A7" s="26" t="s">
        <v>1497</v>
      </c>
      <c r="N7" s="163"/>
      <c r="AC7" s="172"/>
    </row>
    <row r="8" spans="1:29" s="26" customFormat="1" x14ac:dyDescent="0.25">
      <c r="A8" s="26" t="s">
        <v>1300</v>
      </c>
      <c r="N8" s="163"/>
      <c r="AC8" s="172"/>
    </row>
    <row r="9" spans="1:29" s="26" customFormat="1" ht="15.75" thickBot="1" x14ac:dyDescent="0.3">
      <c r="AC9" s="172"/>
    </row>
    <row r="10" spans="1:29" s="26" customFormat="1" x14ac:dyDescent="0.25">
      <c r="A10" s="242" t="s">
        <v>1361</v>
      </c>
      <c r="B10" s="243"/>
      <c r="C10" s="243"/>
      <c r="D10" s="244"/>
      <c r="E10" s="242" t="s">
        <v>1362</v>
      </c>
      <c r="F10" s="243"/>
      <c r="G10" s="243"/>
      <c r="H10" s="243"/>
      <c r="I10" s="243"/>
      <c r="J10" s="243"/>
      <c r="K10" s="243"/>
      <c r="L10" s="243"/>
      <c r="M10" s="244"/>
      <c r="N10" s="242" t="s">
        <v>1363</v>
      </c>
      <c r="O10" s="243"/>
      <c r="P10" s="243"/>
      <c r="Q10" s="243"/>
      <c r="R10" s="243"/>
      <c r="S10" s="243"/>
      <c r="T10" s="243"/>
      <c r="U10" s="243"/>
      <c r="V10" s="243"/>
      <c r="W10" s="243"/>
      <c r="X10" s="243"/>
      <c r="Y10" s="243"/>
      <c r="Z10" s="243"/>
      <c r="AA10" s="243"/>
      <c r="AB10" s="243"/>
      <c r="AC10" s="244"/>
    </row>
    <row r="11" spans="1:29" s="169" customFormat="1" ht="12.75" x14ac:dyDescent="0.2">
      <c r="A11" s="164"/>
      <c r="B11" s="165" t="s">
        <v>1299</v>
      </c>
      <c r="C11" s="165" t="s">
        <v>1299</v>
      </c>
      <c r="D11" s="166" t="s">
        <v>1299</v>
      </c>
      <c r="E11" s="164" t="str">
        <f ca="1">IF(ISERROR(MATCH(INDIRECT(CONCATENATE("R",ROW()+1,"C",COLUMN()),FALSE),DataColumns[ColumnType],0)),INDEX(SpecimenColumnFinder[REQUIRED],MATCH(INDIRECT(CONCATENATE("R",ROW()+1,"C",COLUMN()),FALSE),SpecimenColumnFinder[DataType],0)),2)</f>
        <v>Optional</v>
      </c>
      <c r="F11" s="165" t="str">
        <f ca="1">IF(ISERROR(MATCH(INDIRECT(CONCATENATE("R",ROW()+1,"C",COLUMN()),FALSE),DataColumns[ColumnType],0)),INDEX(SpecimenColumnFinder[REQUIRED],MATCH(INDIRECT(CONCATENATE("R",ROW()+1,"C",COLUMN()),FALSE),SpecimenColumnFinder[DataType],0)),2)</f>
        <v>Optional</v>
      </c>
      <c r="G11" s="165" t="str">
        <f ca="1">IF(ISERROR(MATCH(INDIRECT(CONCATENATE("R",ROW()+1,"C",COLUMN()),FALSE),DataColumns[ColumnType],0)),INDEX(SpecimenColumnFinder[REQUIRED],MATCH(INDIRECT(CONCATENATE("R",ROW()+1,"C",COLUMN()),FALSE),SpecimenColumnFinder[DataType],0)),2)</f>
        <v>REQUIRED</v>
      </c>
      <c r="H11" s="165" t="str">
        <f ca="1">IF(ISERROR(MATCH(INDIRECT(CONCATENATE("R",ROW()+1,"C",COLUMN()),FALSE),DataColumns[ColumnType],0)),INDEX(SpecimenColumnFinder[REQUIRED],MATCH(INDIRECT(CONCATENATE("R",ROW()+1,"C",COLUMN()),FALSE),SpecimenColumnFinder[DataType],0)),2)</f>
        <v>Optional</v>
      </c>
      <c r="I11" s="165" t="str">
        <f ca="1">IF(ISERROR(MATCH(INDIRECT(CONCATENATE("R",ROW()+1,"C",COLUMN()),FALSE),DataColumns[ColumnType],0)),INDEX(SpecimenColumnFinder[REQUIRED],MATCH(INDIRECT(CONCATENATE("R",ROW()+1,"C",COLUMN()),FALSE),SpecimenColumnFinder[DataType],0)),2)</f>
        <v>REQUIRED</v>
      </c>
      <c r="J11" s="165" t="str">
        <f ca="1">IF(ISERROR(MATCH(INDIRECT(CONCATENATE("R",ROW()+1,"C",COLUMN()),FALSE),DataColumns[ColumnType],0)),INDEX(SpecimenColumnFinder[REQUIRED],MATCH(INDIRECT(CONCATENATE("R",ROW()+1,"C",COLUMN()),FALSE),SpecimenColumnFinder[DataType],0)),2)</f>
        <v>REQUIRED</v>
      </c>
      <c r="K11" s="165" t="str">
        <f ca="1">IF(ISERROR(MATCH(INDIRECT(CONCATENATE("R",ROW()+1,"C",COLUMN()),FALSE),DataColumns[ColumnType],0)),INDEX(SpecimenColumnFinder[REQUIRED],MATCH(INDIRECT(CONCATENATE("R",ROW()+1,"C",COLUMN()),FALSE),SpecimenColumnFinder[DataType],0)),2)</f>
        <v>REQUIRED</v>
      </c>
      <c r="L11" s="165" t="str">
        <f ca="1">IF(ISERROR(MATCH(INDIRECT(CONCATENATE("R",ROW()+1,"C",COLUMN()),FALSE),DataColumns[ColumnType],0)),INDEX(SpecimenColumnFinder[REQUIRED],MATCH(INDIRECT(CONCATENATE("R",ROW()+1,"C",COLUMN()),FALSE),SpecimenColumnFinder[DataType],0)),2)</f>
        <v>REQUIRED</v>
      </c>
      <c r="M11" s="166" t="str">
        <f ca="1">IF(ISERROR(MATCH(INDIRECT(CONCATENATE("R",ROW()+1,"C",COLUMN()),FALSE),DataColumns[ColumnType],0)),INDEX(SpecimenColumnFinder[REQUIRED],MATCH(INDIRECT(CONCATENATE("R",ROW()+1,"C",COLUMN()),FALSE),SpecimenColumnFinder[DataType],0)),2)</f>
        <v>Optional</v>
      </c>
      <c r="N11" s="164" t="str">
        <f ca="1">IF(ISERROR(MATCH(INDIRECT(CONCATENATE("R",ROW()+1,"C",COLUMN()),FALSE),DataColumns[ColumnType],0)),INDEX(ResultColumnFinder[REQUIRED],MATCH(INDIRECT(CONCATENATE("R",ROW()+1,"C",COLUMN()),FALSE),ResultColumnFinder[DataType],0)),2)</f>
        <v>REQUIRED</v>
      </c>
      <c r="O11" s="165" t="str">
        <f ca="1">IF(ISERROR(MATCH(INDIRECT(CONCATENATE("R",ROW()+1,"C",COLUMN()),FALSE),DataColumns[ColumnType],0)),INDEX(ResultColumnFinder[REQUIRED],MATCH(INDIRECT(CONCATENATE("R",ROW()+1,"C",COLUMN()),FALSE),ResultColumnFinder[DataType],0)),2)</f>
        <v>REQUIRED</v>
      </c>
      <c r="P11" s="165" t="str">
        <f ca="1">IF(ISERROR(MATCH(INDIRECT(CONCATENATE("R",ROW()+1,"C",COLUMN()),FALSE),DataColumns[ColumnType],0)),INDEX(ResultColumnFinder[REQUIRED],MATCH(INDIRECT(CONCATENATE("R",ROW()+1,"C",COLUMN()),FALSE),ResultColumnFinder[DataType],0)),2)</f>
        <v>REQUIRED</v>
      </c>
      <c r="Q11" s="165" t="str">
        <f ca="1">IF(ISERROR(MATCH(INDIRECT(CONCATENATE("R",ROW()+1,"C",COLUMN()),FALSE),DataColumns[ColumnType],0)),INDEX(ResultColumnFinder[REQUIRED],MATCH(INDIRECT(CONCATENATE("R",ROW()+1,"C",COLUMN()),FALSE),ResultColumnFinder[DataType],0)),2)</f>
        <v>REQUIRED</v>
      </c>
      <c r="R11" s="165" t="str">
        <f ca="1">IF(ISERROR(MATCH(INDIRECT(CONCATENATE("R",ROW()+1,"C",COLUMN()),FALSE),DataColumns[ColumnType],0)),INDEX(ResultColumnFinder[REQUIRED],MATCH(INDIRECT(CONCATENATE("R",ROW()+1,"C",COLUMN()),FALSE),ResultColumnFinder[DataType],0)),2)</f>
        <v>Optional</v>
      </c>
      <c r="S11" s="165" t="str">
        <f ca="1">IF(ISERROR(MATCH(INDIRECT(CONCATENATE("R",ROW()+1,"C",COLUMN()),FALSE),DataColumns[ColumnType],0)),INDEX(ResultColumnFinder[REQUIRED],MATCH(INDIRECT(CONCATENATE("R",ROW()+1,"C",COLUMN()),FALSE),ResultColumnFinder[DataType],0)),2)</f>
        <v>Optional</v>
      </c>
      <c r="T11" s="165" t="str">
        <f ca="1">IF(ISERROR(MATCH(INDIRECT(CONCATENATE("R",ROW()+1,"C",COLUMN()),FALSE),DataColumns[ColumnType],0)),INDEX(ResultColumnFinder[REQUIRED],MATCH(INDIRECT(CONCATENATE("R",ROW()+1,"C",COLUMN()),FALSE),ResultColumnFinder[DataType],0)),2)</f>
        <v>REQUIRED</v>
      </c>
      <c r="U11" s="165" t="str">
        <f ca="1">IF(ISERROR(MATCH(INDIRECT(CONCATENATE("R",ROW()+1,"C",COLUMN()),FALSE),DataColumns[ColumnType],0)),INDEX(ResultColumnFinder[REQUIRED],MATCH(INDIRECT(CONCATENATE("R",ROW()+1,"C",COLUMN()),FALSE),ResultColumnFinder[DataType],0)),2)</f>
        <v>REQUIRED</v>
      </c>
      <c r="V11" s="165" t="str">
        <f ca="1">IF(ISERROR(MATCH(INDIRECT(CONCATENATE("R",ROW()+1,"C",COLUMN()),FALSE),DataColumns[ColumnType],0)),INDEX(ResultColumnFinder[REQUIRED],MATCH(INDIRECT(CONCATENATE("R",ROW()+1,"C",COLUMN()),FALSE),ResultColumnFinder[DataType],0)),2)</f>
        <v>REQUIRED</v>
      </c>
      <c r="W11" s="165" t="str">
        <f ca="1">IF(ISERROR(MATCH(INDIRECT(CONCATENATE("R",ROW()+1,"C",COLUMN()),FALSE),DataColumns[ColumnType],0)),INDEX(ResultColumnFinder[REQUIRED],MATCH(INDIRECT(CONCATENATE("R",ROW()+1,"C",COLUMN()),FALSE),ResultColumnFinder[DataType],0)),2)</f>
        <v>REQUIRED</v>
      </c>
      <c r="X11" s="165" t="str">
        <f ca="1">IF(ISERROR(MATCH(INDIRECT(CONCATENATE("R",ROW()+1,"C",COLUMN()),FALSE),DataColumns[ColumnType],0)),INDEX(ResultColumnFinder[REQUIRED],MATCH(INDIRECT(CONCATENATE("R",ROW()+1,"C",COLUMN()),FALSE),ResultColumnFinder[DataType],0)),2)</f>
        <v>Optional</v>
      </c>
      <c r="Y11" s="167" t="str">
        <f ca="1">IF(ISERROR(MATCH(INDIRECT(CONCATENATE("R",ROW()+1,"C",COLUMN()),FALSE),DataColumns[ColumnType],0)),INDEX(ResultColumnFinder[REQUIRED],MATCH(INDIRECT(CONCATENATE("R",ROW()+1,"C",COLUMN()),FALSE),ResultColumnFinder[DataType],0)),2)</f>
        <v>REQUIRED</v>
      </c>
      <c r="Z11" s="168" t="str">
        <f ca="1">IF(ISERROR(MATCH(INDIRECT(CONCATENATE("R",ROW()+1,"C",COLUMN()),FALSE),DataColumns[ColumnType],0)),INDEX(ResultColumnFinder[REQUIRED],MATCH(INDIRECT(CONCATENATE("R",ROW()+1,"C",COLUMN()),FALSE),ResultColumnFinder[DataType],0)),2)</f>
        <v>REQUIRED</v>
      </c>
      <c r="AA11" s="168" t="str">
        <f ca="1">IF(ISERROR(MATCH(INDIRECT(CONCATENATE("R",ROW()+1,"C",COLUMN()),FALSE),DataColumns[ColumnType],0)),INDEX(ResultColumnFinder[REQUIRED],MATCH(INDIRECT(CONCATENATE("R",ROW()+1,"C",COLUMN()),FALSE),ResultColumnFinder[DataType],0)),2)</f>
        <v>REQUIRED</v>
      </c>
      <c r="AB11" s="167">
        <v>3</v>
      </c>
      <c r="AC11" s="173">
        <v>3</v>
      </c>
    </row>
    <row r="12" spans="1:29" s="26" customFormat="1" ht="15.75" thickBot="1" x14ac:dyDescent="0.3">
      <c r="A12" s="84" t="s">
        <v>1355</v>
      </c>
      <c r="B12" s="59" t="s">
        <v>1356</v>
      </c>
      <c r="C12" s="59" t="s">
        <v>1357</v>
      </c>
      <c r="D12" s="153" t="s">
        <v>1360</v>
      </c>
      <c r="E12" s="70" t="s">
        <v>1379</v>
      </c>
      <c r="F12" s="59" t="s">
        <v>198</v>
      </c>
      <c r="G12" s="59" t="s">
        <v>1333</v>
      </c>
      <c r="H12" s="54" t="s">
        <v>1364</v>
      </c>
      <c r="I12" s="54" t="s">
        <v>1423</v>
      </c>
      <c r="J12" s="54" t="s">
        <v>1301</v>
      </c>
      <c r="K12" s="60" t="s">
        <v>196</v>
      </c>
      <c r="L12" s="54" t="s">
        <v>1359</v>
      </c>
      <c r="M12" s="141" t="s">
        <v>1380</v>
      </c>
      <c r="N12" s="70" t="s">
        <v>1138</v>
      </c>
      <c r="O12" s="59" t="s">
        <v>1353</v>
      </c>
      <c r="P12" s="54" t="s">
        <v>1352</v>
      </c>
      <c r="Q12" s="54" t="s">
        <v>201</v>
      </c>
      <c r="R12" s="54" t="s">
        <v>1365</v>
      </c>
      <c r="S12" s="54" t="s">
        <v>1335</v>
      </c>
      <c r="T12" s="54" t="s">
        <v>1424</v>
      </c>
      <c r="U12" s="54" t="s">
        <v>1281</v>
      </c>
      <c r="V12" s="54" t="s">
        <v>1143</v>
      </c>
      <c r="W12" s="54" t="s">
        <v>1144</v>
      </c>
      <c r="X12" s="54" t="s">
        <v>1298</v>
      </c>
      <c r="Y12" s="54" t="s">
        <v>1279</v>
      </c>
      <c r="Z12" s="54" t="s">
        <v>1280</v>
      </c>
      <c r="AA12" s="54" t="s">
        <v>1154</v>
      </c>
      <c r="AB12" s="175" t="s">
        <v>1398</v>
      </c>
      <c r="AC12" s="174" t="s">
        <v>1401</v>
      </c>
    </row>
    <row r="13" spans="1:29" ht="15.75" thickTop="1" x14ac:dyDescent="0.25">
      <c r="A13" s="46" t="str">
        <f ca="1">IF(COUNTA(DataColumns[[#This Row],[ColumnLabel]:[QualityCodeCV]])&gt;0,IF(MAX(INDIRECT(CONCATENATE("R",ROW(DataColumns[#Headers]),"C",COLUMN(),":R",ROW()-1,"C",COLUMN()),FALSE))=0,1,MAX(INDIRECT(CONCATENATE("R",ROW(DataColumns[#Headers]),"C",COLUMN(),":R",ROW()-1,"C",COLUMN()),FALSE))+1),"")</f>
        <v/>
      </c>
      <c r="B13" s="132"/>
      <c r="C13" s="7"/>
      <c r="D13" s="154"/>
      <c r="E13" s="159"/>
      <c r="F13" s="170"/>
      <c r="G13" s="151"/>
      <c r="H13" s="7"/>
      <c r="I13" s="7"/>
      <c r="J13" s="7"/>
      <c r="K13" s="157"/>
      <c r="L13" s="7"/>
      <c r="M13" s="162"/>
      <c r="N13" s="132"/>
      <c r="O13" s="151"/>
      <c r="P13" s="7"/>
      <c r="Q13" s="7"/>
      <c r="R13" s="146"/>
      <c r="S13" s="146"/>
      <c r="T13" s="7"/>
      <c r="U13" s="7"/>
      <c r="V13" s="7"/>
      <c r="W13" s="7"/>
      <c r="X13" s="146"/>
      <c r="Y13" s="7"/>
      <c r="Z13" s="7"/>
      <c r="AA13" s="7"/>
      <c r="AB13" s="176" t="str">
        <f ca="1">IF(DataColumns[[#This Row],[ColumnType]]="ResultValue",IF(MAX(INDIRECT(CONCATENATE("R",ROW(DataColumns[#Headers]),"C",COLUMN(),":R",ROW()-1,"C",COLUMN()),FALSE))=0,1,MAX(INDIRECT(CONCATENATE("R",ROW(DataColumns[#Headers]),"C",COLUMN(),":R",ROW()-1,"C",COLUMN()),FALSE))+1),"")</f>
        <v/>
      </c>
      <c r="AC13" s="125" t="str">
        <f>IF(DataColumns[[#This Row],[ColumnType]]="ResultValue",CONCATENATE(DataColumns[[#This Row],[ColumnType]],DataColumns[[#This Row],[ColumnLabel]]),CONCATENATE(DataColumns[[#This Row],[ColumnType]],DataColumns[[#This Row],[AppliesToColumn]]))</f>
        <v/>
      </c>
    </row>
    <row r="14" spans="1:29" x14ac:dyDescent="0.25">
      <c r="A14" s="47" t="str">
        <f ca="1">IF(COUNTA(DataColumns[[#This Row],[ColumnLabel]:[QualityCodeCV]])&gt;0,IF(MAX(INDIRECT(CONCATENATE("R",ROW(DataColumns[#Headers]),"C",COLUMN(),":R",ROW()-1,"C",COLUMN()),FALSE))=0,1,MAX(INDIRECT(CONCATENATE("R",ROW(DataColumns[#Headers]),"C",COLUMN(),":R",ROW()-1,"C",COLUMN()),FALSE))+1),"")</f>
        <v/>
      </c>
      <c r="B14" s="105"/>
      <c r="C14" s="10"/>
      <c r="D14" s="155"/>
      <c r="E14" s="160"/>
      <c r="F14" s="139"/>
      <c r="G14" s="9"/>
      <c r="H14" s="10"/>
      <c r="I14" s="10"/>
      <c r="J14" s="10"/>
      <c r="K14" s="34"/>
      <c r="L14" s="10"/>
      <c r="M14" s="133"/>
      <c r="N14" s="105"/>
      <c r="O14" s="9"/>
      <c r="P14" s="10"/>
      <c r="Q14" s="10"/>
      <c r="R14" s="21"/>
      <c r="S14" s="21"/>
      <c r="T14" s="10"/>
      <c r="U14" s="10"/>
      <c r="V14" s="10"/>
      <c r="W14" s="10"/>
      <c r="X14" s="21"/>
      <c r="Y14" s="10"/>
      <c r="Z14" s="10"/>
      <c r="AA14" s="10"/>
      <c r="AB14" s="177" t="str">
        <f ca="1">IF(DataColumns[[#This Row],[ColumnType]]="ResultValue",IF(MAX(INDIRECT(CONCATENATE("R",ROW(DataColumns[#Headers]),"C",COLUMN(),":R",ROW()-1,"C",COLUMN()),FALSE))=0,1,MAX(INDIRECT(CONCATENATE("R",ROW(DataColumns[#Headers]),"C",COLUMN(),":R",ROW()-1,"C",COLUMN()),FALSE))+1),"")</f>
        <v/>
      </c>
      <c r="AC14" s="126" t="str">
        <f>IF(DataColumns[[#This Row],[ColumnType]]="ResultValue",CONCATENATE(DataColumns[[#This Row],[ColumnType]],DataColumns[[#This Row],[ColumnLabel]]),CONCATENATE(DataColumns[[#This Row],[ColumnType]],DataColumns[[#This Row],[AppliesToColumn]]))</f>
        <v/>
      </c>
    </row>
    <row r="15" spans="1:29" x14ac:dyDescent="0.25">
      <c r="A15" s="47" t="str">
        <f ca="1">IF(COUNTA(DataColumns[[#This Row],[ColumnLabel]:[QualityCodeCV]])&gt;0,IF(MAX(INDIRECT(CONCATENATE("R",ROW(DataColumns[#Headers]),"C",COLUMN(),":R",ROW()-1,"C",COLUMN()),FALSE))=0,1,MAX(INDIRECT(CONCATENATE("R",ROW(DataColumns[#Headers]),"C",COLUMN(),":R",ROW()-1,"C",COLUMN()),FALSE))+1),"")</f>
        <v/>
      </c>
      <c r="B15" s="105"/>
      <c r="C15" s="10"/>
      <c r="D15" s="155"/>
      <c r="E15" s="160"/>
      <c r="F15" s="139"/>
      <c r="G15" s="9"/>
      <c r="H15" s="10"/>
      <c r="I15" s="10"/>
      <c r="J15" s="10"/>
      <c r="K15" s="34"/>
      <c r="L15" s="10"/>
      <c r="M15" s="133"/>
      <c r="N15" s="105"/>
      <c r="O15" s="9"/>
      <c r="P15" s="10"/>
      <c r="Q15" s="10"/>
      <c r="R15" s="21"/>
      <c r="S15" s="21"/>
      <c r="T15" s="10"/>
      <c r="U15" s="10"/>
      <c r="V15" s="10"/>
      <c r="W15" s="10"/>
      <c r="X15" s="21"/>
      <c r="Y15" s="10"/>
      <c r="Z15" s="10"/>
      <c r="AA15" s="10"/>
      <c r="AB15" s="177" t="str">
        <f ca="1">IF(DataColumns[[#This Row],[ColumnType]]="ResultValue",IF(MAX(INDIRECT(CONCATENATE("R",ROW(DataColumns[#Headers]),"C",COLUMN(),":R",ROW()-1,"C",COLUMN()),FALSE))=0,1,MAX(INDIRECT(CONCATENATE("R",ROW(DataColumns[#Headers]),"C",COLUMN(),":R",ROW()-1,"C",COLUMN()),FALSE))+1),"")</f>
        <v/>
      </c>
      <c r="AC15" s="126" t="str">
        <f>IF(DataColumns[[#This Row],[ColumnType]]="ResultValue",CONCATENATE(DataColumns[[#This Row],[ColumnType]],DataColumns[[#This Row],[ColumnLabel]]),CONCATENATE(DataColumns[[#This Row],[ColumnType]],DataColumns[[#This Row],[AppliesToColumn]]))</f>
        <v/>
      </c>
    </row>
    <row r="16" spans="1:29" x14ac:dyDescent="0.25">
      <c r="A16" s="47" t="str">
        <f ca="1">IF(COUNTA(DataColumns[[#This Row],[ColumnLabel]:[QualityCodeCV]])&gt;0,IF(MAX(INDIRECT(CONCATENATE("R",ROW(DataColumns[#Headers]),"C",COLUMN(),":R",ROW()-1,"C",COLUMN()),FALSE))=0,1,MAX(INDIRECT(CONCATENATE("R",ROW(DataColumns[#Headers]),"C",COLUMN(),":R",ROW()-1,"C",COLUMN()),FALSE))+1),"")</f>
        <v/>
      </c>
      <c r="B16" s="105"/>
      <c r="C16" s="10"/>
      <c r="D16" s="155"/>
      <c r="E16" s="160"/>
      <c r="F16" s="139"/>
      <c r="G16" s="9"/>
      <c r="H16" s="10"/>
      <c r="I16" s="10"/>
      <c r="J16" s="10"/>
      <c r="K16" s="34"/>
      <c r="L16" s="10"/>
      <c r="M16" s="133"/>
      <c r="N16" s="105"/>
      <c r="O16" s="9"/>
      <c r="P16" s="10"/>
      <c r="Q16" s="10"/>
      <c r="R16" s="21"/>
      <c r="S16" s="21"/>
      <c r="T16" s="10"/>
      <c r="U16" s="10"/>
      <c r="V16" s="10"/>
      <c r="W16" s="10"/>
      <c r="X16" s="21"/>
      <c r="Y16" s="10"/>
      <c r="Z16" s="10"/>
      <c r="AA16" s="10"/>
      <c r="AB16" s="177" t="str">
        <f ca="1">IF(DataColumns[[#This Row],[ColumnType]]="ResultValue",IF(MAX(INDIRECT(CONCATENATE("R",ROW(DataColumns[#Headers]),"C",COLUMN(),":R",ROW()-1,"C",COLUMN()),FALSE))=0,1,MAX(INDIRECT(CONCATENATE("R",ROW(DataColumns[#Headers]),"C",COLUMN(),":R",ROW()-1,"C",COLUMN()),FALSE))+1),"")</f>
        <v/>
      </c>
      <c r="AC16" s="126" t="str">
        <f>IF(DataColumns[[#This Row],[ColumnType]]="ResultValue",CONCATENATE(DataColumns[[#This Row],[ColumnType]],DataColumns[[#This Row],[ColumnLabel]]),CONCATENATE(DataColumns[[#This Row],[ColumnType]],DataColumns[[#This Row],[AppliesToColumn]]))</f>
        <v/>
      </c>
    </row>
    <row r="17" spans="1:29" x14ac:dyDescent="0.25">
      <c r="A17" s="47" t="str">
        <f ca="1">IF(COUNTA(DataColumns[[#This Row],[ColumnLabel]:[QualityCodeCV]])&gt;0,IF(MAX(INDIRECT(CONCATENATE("R",ROW(DataColumns[#Headers]),"C",COLUMN(),":R",ROW()-1,"C",COLUMN()),FALSE))=0,1,MAX(INDIRECT(CONCATENATE("R",ROW(DataColumns[#Headers]),"C",COLUMN(),":R",ROW()-1,"C",COLUMN()),FALSE))+1),"")</f>
        <v/>
      </c>
      <c r="B17" s="105"/>
      <c r="C17" s="10"/>
      <c r="D17" s="155"/>
      <c r="E17" s="160"/>
      <c r="F17" s="139"/>
      <c r="G17" s="9"/>
      <c r="H17" s="10"/>
      <c r="I17" s="10"/>
      <c r="J17" s="10"/>
      <c r="K17" s="34"/>
      <c r="L17" s="10"/>
      <c r="M17" s="133"/>
      <c r="N17" s="105"/>
      <c r="O17" s="9"/>
      <c r="P17" s="10"/>
      <c r="Q17" s="10"/>
      <c r="R17" s="21"/>
      <c r="S17" s="21"/>
      <c r="T17" s="10"/>
      <c r="U17" s="10"/>
      <c r="V17" s="10"/>
      <c r="W17" s="10"/>
      <c r="X17" s="21"/>
      <c r="Y17" s="10"/>
      <c r="Z17" s="10"/>
      <c r="AA17" s="10"/>
      <c r="AB17" s="177" t="str">
        <f ca="1">IF(DataColumns[[#This Row],[ColumnType]]="ResultValue",IF(MAX(INDIRECT(CONCATENATE("R",ROW(DataColumns[#Headers]),"C",COLUMN(),":R",ROW()-1,"C",COLUMN()),FALSE))=0,1,MAX(INDIRECT(CONCATENATE("R",ROW(DataColumns[#Headers]),"C",COLUMN(),":R",ROW()-1,"C",COLUMN()),FALSE))+1),"")</f>
        <v/>
      </c>
      <c r="AC17" s="126" t="str">
        <f>IF(DataColumns[[#This Row],[ColumnType]]="ResultValue",CONCATENATE(DataColumns[[#This Row],[ColumnType]],DataColumns[[#This Row],[ColumnLabel]]),CONCATENATE(DataColumns[[#This Row],[ColumnType]],DataColumns[[#This Row],[AppliesToColumn]]))</f>
        <v/>
      </c>
    </row>
    <row r="18" spans="1:29" x14ac:dyDescent="0.25">
      <c r="A18" s="47" t="str">
        <f ca="1">IF(COUNTA(DataColumns[[#This Row],[ColumnLabel]:[QualityCodeCV]])&gt;0,IF(MAX(INDIRECT(CONCATENATE("R",ROW(DataColumns[#Headers]),"C",COLUMN(),":R",ROW()-1,"C",COLUMN()),FALSE))=0,1,MAX(INDIRECT(CONCATENATE("R",ROW(DataColumns[#Headers]),"C",COLUMN(),":R",ROW()-1,"C",COLUMN()),FALSE))+1),"")</f>
        <v/>
      </c>
      <c r="B18" s="105"/>
      <c r="C18" s="10"/>
      <c r="D18" s="155"/>
      <c r="E18" s="160"/>
      <c r="F18" s="139"/>
      <c r="G18" s="9"/>
      <c r="H18" s="10"/>
      <c r="I18" s="10"/>
      <c r="J18" s="10"/>
      <c r="K18" s="34"/>
      <c r="L18" s="10"/>
      <c r="M18" s="133"/>
      <c r="N18" s="105"/>
      <c r="O18" s="9"/>
      <c r="P18" s="10"/>
      <c r="Q18" s="10"/>
      <c r="R18" s="21"/>
      <c r="S18" s="21"/>
      <c r="T18" s="10"/>
      <c r="U18" s="10"/>
      <c r="V18" s="10"/>
      <c r="W18" s="10"/>
      <c r="X18" s="21"/>
      <c r="Y18" s="10"/>
      <c r="Z18" s="10"/>
      <c r="AA18" s="10"/>
      <c r="AB18" s="177" t="str">
        <f ca="1">IF(DataColumns[[#This Row],[ColumnType]]="ResultValue",IF(MAX(INDIRECT(CONCATENATE("R",ROW(DataColumns[#Headers]),"C",COLUMN(),":R",ROW()-1,"C",COLUMN()),FALSE))=0,1,MAX(INDIRECT(CONCATENATE("R",ROW(DataColumns[#Headers]),"C",COLUMN(),":R",ROW()-1,"C",COLUMN()),FALSE))+1),"")</f>
        <v/>
      </c>
      <c r="AC18" s="126" t="str">
        <f>IF(DataColumns[[#This Row],[ColumnType]]="ResultValue",CONCATENATE(DataColumns[[#This Row],[ColumnType]],DataColumns[[#This Row],[ColumnLabel]]),CONCATENATE(DataColumns[[#This Row],[ColumnType]],DataColumns[[#This Row],[AppliesToColumn]]))</f>
        <v/>
      </c>
    </row>
    <row r="19" spans="1:29" x14ac:dyDescent="0.25">
      <c r="A19" s="47" t="str">
        <f ca="1">IF(COUNTA(DataColumns[[#This Row],[ColumnLabel]:[QualityCodeCV]])&gt;0,IF(MAX(INDIRECT(CONCATENATE("R",ROW(DataColumns[#Headers]),"C",COLUMN(),":R",ROW()-1,"C",COLUMN()),FALSE))=0,1,MAX(INDIRECT(CONCATENATE("R",ROW(DataColumns[#Headers]),"C",COLUMN(),":R",ROW()-1,"C",COLUMN()),FALSE))+1),"")</f>
        <v/>
      </c>
      <c r="B19" s="105"/>
      <c r="C19" s="10"/>
      <c r="D19" s="155"/>
      <c r="E19" s="160"/>
      <c r="F19" s="139"/>
      <c r="G19" s="9"/>
      <c r="H19" s="10"/>
      <c r="I19" s="10"/>
      <c r="J19" s="10"/>
      <c r="K19" s="34"/>
      <c r="L19" s="10"/>
      <c r="M19" s="133"/>
      <c r="N19" s="105"/>
      <c r="O19" s="9"/>
      <c r="P19" s="10"/>
      <c r="Q19" s="10"/>
      <c r="R19" s="21"/>
      <c r="S19" s="21"/>
      <c r="T19" s="10"/>
      <c r="U19" s="10"/>
      <c r="V19" s="10"/>
      <c r="W19" s="10"/>
      <c r="X19" s="21"/>
      <c r="Y19" s="10"/>
      <c r="Z19" s="10"/>
      <c r="AA19" s="10"/>
      <c r="AB19" s="177" t="str">
        <f ca="1">IF(DataColumns[[#This Row],[ColumnType]]="ResultValue",IF(MAX(INDIRECT(CONCATENATE("R",ROW(DataColumns[#Headers]),"C",COLUMN(),":R",ROW()-1,"C",COLUMN()),FALSE))=0,1,MAX(INDIRECT(CONCATENATE("R",ROW(DataColumns[#Headers]),"C",COLUMN(),":R",ROW()-1,"C",COLUMN()),FALSE))+1),"")</f>
        <v/>
      </c>
      <c r="AC19" s="126" t="str">
        <f>IF(DataColumns[[#This Row],[ColumnType]]="ResultValue",CONCATENATE(DataColumns[[#This Row],[ColumnType]],DataColumns[[#This Row],[ColumnLabel]]),CONCATENATE(DataColumns[[#This Row],[ColumnType]],DataColumns[[#This Row],[AppliesToColumn]]))</f>
        <v/>
      </c>
    </row>
    <row r="20" spans="1:29" x14ac:dyDescent="0.25">
      <c r="A20" s="47" t="str">
        <f ca="1">IF(COUNTA(DataColumns[[#This Row],[ColumnLabel]:[QualityCodeCV]])&gt;0,IF(MAX(INDIRECT(CONCATENATE("R",ROW(DataColumns[#Headers]),"C",COLUMN(),":R",ROW()-1,"C",COLUMN()),FALSE))=0,1,MAX(INDIRECT(CONCATENATE("R",ROW(DataColumns[#Headers]),"C",COLUMN(),":R",ROW()-1,"C",COLUMN()),FALSE))+1),"")</f>
        <v/>
      </c>
      <c r="B20" s="105"/>
      <c r="C20" s="10"/>
      <c r="D20" s="155"/>
      <c r="E20" s="160"/>
      <c r="F20" s="139"/>
      <c r="G20" s="9"/>
      <c r="H20" s="10"/>
      <c r="I20" s="10"/>
      <c r="J20" s="10"/>
      <c r="K20" s="34"/>
      <c r="L20" s="10"/>
      <c r="M20" s="133"/>
      <c r="N20" s="105"/>
      <c r="O20" s="9"/>
      <c r="P20" s="10"/>
      <c r="Q20" s="10"/>
      <c r="R20" s="21"/>
      <c r="S20" s="21"/>
      <c r="T20" s="10"/>
      <c r="U20" s="10"/>
      <c r="V20" s="10"/>
      <c r="W20" s="10"/>
      <c r="X20" s="21"/>
      <c r="Y20" s="10"/>
      <c r="Z20" s="10"/>
      <c r="AA20" s="10"/>
      <c r="AB20" s="177" t="str">
        <f ca="1">IF(DataColumns[[#This Row],[ColumnType]]="ResultValue",IF(MAX(INDIRECT(CONCATENATE("R",ROW(DataColumns[#Headers]),"C",COLUMN(),":R",ROW()-1,"C",COLUMN()),FALSE))=0,1,MAX(INDIRECT(CONCATENATE("R",ROW(DataColumns[#Headers]),"C",COLUMN(),":R",ROW()-1,"C",COLUMN()),FALSE))+1),"")</f>
        <v/>
      </c>
      <c r="AC20" s="126" t="str">
        <f>IF(DataColumns[[#This Row],[ColumnType]]="ResultValue",CONCATENATE(DataColumns[[#This Row],[ColumnType]],DataColumns[[#This Row],[ColumnLabel]]),CONCATENATE(DataColumns[[#This Row],[ColumnType]],DataColumns[[#This Row],[AppliesToColumn]]))</f>
        <v/>
      </c>
    </row>
    <row r="21" spans="1:29" x14ac:dyDescent="0.25">
      <c r="A21" s="47" t="str">
        <f ca="1">IF(COUNTA(DataColumns[[#This Row],[ColumnLabel]:[QualityCodeCV]])&gt;0,IF(MAX(INDIRECT(CONCATENATE("R",ROW(DataColumns[#Headers]),"C",COLUMN(),":R",ROW()-1,"C",COLUMN()),FALSE))=0,1,MAX(INDIRECT(CONCATENATE("R",ROW(DataColumns[#Headers]),"C",COLUMN(),":R",ROW()-1,"C",COLUMN()),FALSE))+1),"")</f>
        <v/>
      </c>
      <c r="B21" s="105"/>
      <c r="C21" s="10"/>
      <c r="D21" s="155"/>
      <c r="E21" s="160"/>
      <c r="F21" s="139"/>
      <c r="G21" s="9"/>
      <c r="H21" s="10"/>
      <c r="I21" s="10"/>
      <c r="J21" s="10"/>
      <c r="K21" s="34"/>
      <c r="L21" s="10"/>
      <c r="M21" s="133"/>
      <c r="N21" s="105"/>
      <c r="O21" s="9"/>
      <c r="P21" s="10"/>
      <c r="Q21" s="10"/>
      <c r="R21" s="21"/>
      <c r="S21" s="21"/>
      <c r="T21" s="10"/>
      <c r="U21" s="10"/>
      <c r="V21" s="10"/>
      <c r="W21" s="10"/>
      <c r="X21" s="21"/>
      <c r="Y21" s="10"/>
      <c r="Z21" s="10"/>
      <c r="AA21" s="10"/>
      <c r="AB21" s="177" t="str">
        <f ca="1">IF(DataColumns[[#This Row],[ColumnType]]="ResultValue",IF(MAX(INDIRECT(CONCATENATE("R",ROW(DataColumns[#Headers]),"C",COLUMN(),":R",ROW()-1,"C",COLUMN()),FALSE))=0,1,MAX(INDIRECT(CONCATENATE("R",ROW(DataColumns[#Headers]),"C",COLUMN(),":R",ROW()-1,"C",COLUMN()),FALSE))+1),"")</f>
        <v/>
      </c>
      <c r="AC21" s="126" t="str">
        <f>IF(DataColumns[[#This Row],[ColumnType]]="ResultValue",CONCATENATE(DataColumns[[#This Row],[ColumnType]],DataColumns[[#This Row],[ColumnLabel]]),CONCATENATE(DataColumns[[#This Row],[ColumnType]],DataColumns[[#This Row],[AppliesToColumn]]))</f>
        <v/>
      </c>
    </row>
    <row r="22" spans="1:29" x14ac:dyDescent="0.25">
      <c r="A22" s="47" t="str">
        <f ca="1">IF(COUNTA(DataColumns[[#This Row],[ColumnLabel]:[QualityCodeCV]])&gt;0,IF(MAX(INDIRECT(CONCATENATE("R",ROW(DataColumns[#Headers]),"C",COLUMN(),":R",ROW()-1,"C",COLUMN()),FALSE))=0,1,MAX(INDIRECT(CONCATENATE("R",ROW(DataColumns[#Headers]),"C",COLUMN(),":R",ROW()-1,"C",COLUMN()),FALSE))+1),"")</f>
        <v/>
      </c>
      <c r="B22" s="105"/>
      <c r="C22" s="10"/>
      <c r="D22" s="155"/>
      <c r="E22" s="160"/>
      <c r="F22" s="139"/>
      <c r="G22" s="9"/>
      <c r="H22" s="10"/>
      <c r="I22" s="10"/>
      <c r="J22" s="10"/>
      <c r="K22" s="34"/>
      <c r="L22" s="10"/>
      <c r="M22" s="133"/>
      <c r="N22" s="105"/>
      <c r="O22" s="9"/>
      <c r="P22" s="10"/>
      <c r="Q22" s="10"/>
      <c r="R22" s="21"/>
      <c r="S22" s="21"/>
      <c r="T22" s="10"/>
      <c r="U22" s="10"/>
      <c r="V22" s="10"/>
      <c r="W22" s="10"/>
      <c r="X22" s="21"/>
      <c r="Y22" s="10"/>
      <c r="Z22" s="10"/>
      <c r="AA22" s="10"/>
      <c r="AB22" s="177" t="str">
        <f ca="1">IF(DataColumns[[#This Row],[ColumnType]]="ResultValue",IF(MAX(INDIRECT(CONCATENATE("R",ROW(DataColumns[#Headers]),"C",COLUMN(),":R",ROW()-1,"C",COLUMN()),FALSE))=0,1,MAX(INDIRECT(CONCATENATE("R",ROW(DataColumns[#Headers]),"C",COLUMN(),":R",ROW()-1,"C",COLUMN()),FALSE))+1),"")</f>
        <v/>
      </c>
      <c r="AC22" s="126" t="str">
        <f>IF(DataColumns[[#This Row],[ColumnType]]="ResultValue",CONCATENATE(DataColumns[[#This Row],[ColumnType]],DataColumns[[#This Row],[ColumnLabel]]),CONCATENATE(DataColumns[[#This Row],[ColumnType]],DataColumns[[#This Row],[AppliesToColumn]]))</f>
        <v/>
      </c>
    </row>
    <row r="23" spans="1:29" x14ac:dyDescent="0.25">
      <c r="A23" s="47" t="str">
        <f ca="1">IF(COUNTA(DataColumns[[#This Row],[ColumnLabel]:[QualityCodeCV]])&gt;0,IF(MAX(INDIRECT(CONCATENATE("R",ROW(DataColumns[#Headers]),"C",COLUMN(),":R",ROW()-1,"C",COLUMN()),FALSE))=0,1,MAX(INDIRECT(CONCATENATE("R",ROW(DataColumns[#Headers]),"C",COLUMN(),":R",ROW()-1,"C",COLUMN()),FALSE))+1),"")</f>
        <v/>
      </c>
      <c r="B23" s="105"/>
      <c r="C23" s="10"/>
      <c r="D23" s="155"/>
      <c r="E23" s="160"/>
      <c r="F23" s="139"/>
      <c r="G23" s="9"/>
      <c r="H23" s="10"/>
      <c r="I23" s="10"/>
      <c r="J23" s="10"/>
      <c r="K23" s="34"/>
      <c r="L23" s="10"/>
      <c r="M23" s="133"/>
      <c r="N23" s="105"/>
      <c r="O23" s="9"/>
      <c r="P23" s="10"/>
      <c r="Q23" s="10"/>
      <c r="R23" s="21"/>
      <c r="S23" s="21"/>
      <c r="T23" s="10"/>
      <c r="U23" s="10"/>
      <c r="V23" s="10"/>
      <c r="W23" s="10"/>
      <c r="X23" s="21"/>
      <c r="Y23" s="10"/>
      <c r="Z23" s="10"/>
      <c r="AA23" s="10"/>
      <c r="AB23" s="177" t="str">
        <f ca="1">IF(DataColumns[[#This Row],[ColumnType]]="ResultValue",IF(MAX(INDIRECT(CONCATENATE("R",ROW(DataColumns[#Headers]),"C",COLUMN(),":R",ROW()-1,"C",COLUMN()),FALSE))=0,1,MAX(INDIRECT(CONCATENATE("R",ROW(DataColumns[#Headers]),"C",COLUMN(),":R",ROW()-1,"C",COLUMN()),FALSE))+1),"")</f>
        <v/>
      </c>
      <c r="AC23" s="126" t="str">
        <f>IF(DataColumns[[#This Row],[ColumnType]]="ResultValue",CONCATENATE(DataColumns[[#This Row],[ColumnType]],DataColumns[[#This Row],[ColumnLabel]]),CONCATENATE(DataColumns[[#This Row],[ColumnType]],DataColumns[[#This Row],[AppliesToColumn]]))</f>
        <v/>
      </c>
    </row>
    <row r="24" spans="1:29" x14ac:dyDescent="0.25">
      <c r="A24" s="47" t="str">
        <f ca="1">IF(COUNTA(DataColumns[[#This Row],[ColumnLabel]:[QualityCodeCV]])&gt;0,IF(MAX(INDIRECT(CONCATENATE("R",ROW(DataColumns[#Headers]),"C",COLUMN(),":R",ROW()-1,"C",COLUMN()),FALSE))=0,1,MAX(INDIRECT(CONCATENATE("R",ROW(DataColumns[#Headers]),"C",COLUMN(),":R",ROW()-1,"C",COLUMN()),FALSE))+1),"")</f>
        <v/>
      </c>
      <c r="B24" s="105"/>
      <c r="C24" s="10"/>
      <c r="D24" s="155"/>
      <c r="E24" s="160"/>
      <c r="F24" s="139"/>
      <c r="G24" s="9"/>
      <c r="H24" s="10"/>
      <c r="I24" s="10"/>
      <c r="J24" s="10"/>
      <c r="K24" s="34"/>
      <c r="L24" s="10"/>
      <c r="M24" s="133"/>
      <c r="N24" s="105"/>
      <c r="O24" s="9"/>
      <c r="P24" s="10"/>
      <c r="Q24" s="10"/>
      <c r="R24" s="21"/>
      <c r="S24" s="21"/>
      <c r="T24" s="10"/>
      <c r="U24" s="10"/>
      <c r="V24" s="10"/>
      <c r="W24" s="10"/>
      <c r="X24" s="21"/>
      <c r="Y24" s="10"/>
      <c r="Z24" s="10"/>
      <c r="AA24" s="10"/>
      <c r="AB24" s="177" t="str">
        <f ca="1">IF(DataColumns[[#This Row],[ColumnType]]="ResultValue",IF(MAX(INDIRECT(CONCATENATE("R",ROW(DataColumns[#Headers]),"C",COLUMN(),":R",ROW()-1,"C",COLUMN()),FALSE))=0,1,MAX(INDIRECT(CONCATENATE("R",ROW(DataColumns[#Headers]),"C",COLUMN(),":R",ROW()-1,"C",COLUMN()),FALSE))+1),"")</f>
        <v/>
      </c>
      <c r="AC24" s="126" t="str">
        <f>IF(DataColumns[[#This Row],[ColumnType]]="ResultValue",CONCATENATE(DataColumns[[#This Row],[ColumnType]],DataColumns[[#This Row],[ColumnLabel]]),CONCATENATE(DataColumns[[#This Row],[ColumnType]],DataColumns[[#This Row],[AppliesToColumn]]))</f>
        <v/>
      </c>
    </row>
    <row r="25" spans="1:29" x14ac:dyDescent="0.25">
      <c r="A25" s="47" t="str">
        <f ca="1">IF(COUNTA(DataColumns[[#This Row],[ColumnLabel]:[QualityCodeCV]])&gt;0,IF(MAX(INDIRECT(CONCATENATE("R",ROW(DataColumns[#Headers]),"C",COLUMN(),":R",ROW()-1,"C",COLUMN()),FALSE))=0,1,MAX(INDIRECT(CONCATENATE("R",ROW(DataColumns[#Headers]),"C",COLUMN(),":R",ROW()-1,"C",COLUMN()),FALSE))+1),"")</f>
        <v/>
      </c>
      <c r="B25" s="105"/>
      <c r="C25" s="10"/>
      <c r="D25" s="155"/>
      <c r="E25" s="160"/>
      <c r="F25" s="139"/>
      <c r="G25" s="9"/>
      <c r="H25" s="10"/>
      <c r="I25" s="10"/>
      <c r="J25" s="10"/>
      <c r="K25" s="34"/>
      <c r="L25" s="10"/>
      <c r="M25" s="133"/>
      <c r="N25" s="105"/>
      <c r="O25" s="9"/>
      <c r="P25" s="10"/>
      <c r="Q25" s="10"/>
      <c r="R25" s="21"/>
      <c r="S25" s="21"/>
      <c r="T25" s="10"/>
      <c r="U25" s="10"/>
      <c r="V25" s="10"/>
      <c r="W25" s="10"/>
      <c r="X25" s="21"/>
      <c r="Y25" s="10"/>
      <c r="Z25" s="10"/>
      <c r="AA25" s="10"/>
      <c r="AB25" s="177" t="str">
        <f ca="1">IF(DataColumns[[#This Row],[ColumnType]]="ResultValue",IF(MAX(INDIRECT(CONCATENATE("R",ROW(DataColumns[#Headers]),"C",COLUMN(),":R",ROW()-1,"C",COLUMN()),FALSE))=0,1,MAX(INDIRECT(CONCATENATE("R",ROW(DataColumns[#Headers]),"C",COLUMN(),":R",ROW()-1,"C",COLUMN()),FALSE))+1),"")</f>
        <v/>
      </c>
      <c r="AC25" s="126" t="str">
        <f>IF(DataColumns[[#This Row],[ColumnType]]="ResultValue",CONCATENATE(DataColumns[[#This Row],[ColumnType]],DataColumns[[#This Row],[ColumnLabel]]),CONCATENATE(DataColumns[[#This Row],[ColumnType]],DataColumns[[#This Row],[AppliesToColumn]]))</f>
        <v/>
      </c>
    </row>
    <row r="26" spans="1:29" x14ac:dyDescent="0.25">
      <c r="A26" s="47" t="str">
        <f ca="1">IF(COUNTA(DataColumns[[#This Row],[ColumnLabel]:[QualityCodeCV]])&gt;0,IF(MAX(INDIRECT(CONCATENATE("R",ROW(DataColumns[#Headers]),"C",COLUMN(),":R",ROW()-1,"C",COLUMN()),FALSE))=0,1,MAX(INDIRECT(CONCATENATE("R",ROW(DataColumns[#Headers]),"C",COLUMN(),":R",ROW()-1,"C",COLUMN()),FALSE))+1),"")</f>
        <v/>
      </c>
      <c r="B26" s="105"/>
      <c r="C26" s="10"/>
      <c r="D26" s="155"/>
      <c r="E26" s="160"/>
      <c r="F26" s="139"/>
      <c r="G26" s="9"/>
      <c r="H26" s="10"/>
      <c r="I26" s="10"/>
      <c r="J26" s="10"/>
      <c r="K26" s="34"/>
      <c r="L26" s="10"/>
      <c r="M26" s="133"/>
      <c r="N26" s="105"/>
      <c r="O26" s="9"/>
      <c r="P26" s="10"/>
      <c r="Q26" s="10"/>
      <c r="R26" s="21"/>
      <c r="S26" s="21"/>
      <c r="T26" s="10"/>
      <c r="U26" s="10"/>
      <c r="V26" s="10"/>
      <c r="W26" s="10"/>
      <c r="X26" s="21"/>
      <c r="Y26" s="10"/>
      <c r="Z26" s="10"/>
      <c r="AA26" s="10"/>
      <c r="AB26" s="177" t="str">
        <f ca="1">IF(DataColumns[[#This Row],[ColumnType]]="ResultValue",IF(MAX(INDIRECT(CONCATENATE("R",ROW(DataColumns[#Headers]),"C",COLUMN(),":R",ROW()-1,"C",COLUMN()),FALSE))=0,1,MAX(INDIRECT(CONCATENATE("R",ROW(DataColumns[#Headers]),"C",COLUMN(),":R",ROW()-1,"C",COLUMN()),FALSE))+1),"")</f>
        <v/>
      </c>
      <c r="AC26" s="126" t="str">
        <f>IF(DataColumns[[#This Row],[ColumnType]]="ResultValue",CONCATENATE(DataColumns[[#This Row],[ColumnType]],DataColumns[[#This Row],[ColumnLabel]]),CONCATENATE(DataColumns[[#This Row],[ColumnType]],DataColumns[[#This Row],[AppliesToColumn]]))</f>
        <v/>
      </c>
    </row>
    <row r="27" spans="1:29" x14ac:dyDescent="0.25">
      <c r="A27" s="47" t="str">
        <f ca="1">IF(COUNTA(DataColumns[[#This Row],[ColumnLabel]:[QualityCodeCV]])&gt;0,IF(MAX(INDIRECT(CONCATENATE("R",ROW(DataColumns[#Headers]),"C",COLUMN(),":R",ROW()-1,"C",COLUMN()),FALSE))=0,1,MAX(INDIRECT(CONCATENATE("R",ROW(DataColumns[#Headers]),"C",COLUMN(),":R",ROW()-1,"C",COLUMN()),FALSE))+1),"")</f>
        <v/>
      </c>
      <c r="B27" s="105"/>
      <c r="C27" s="10"/>
      <c r="D27" s="155"/>
      <c r="E27" s="160"/>
      <c r="F27" s="139"/>
      <c r="G27" s="9"/>
      <c r="H27" s="10"/>
      <c r="I27" s="10"/>
      <c r="J27" s="10"/>
      <c r="K27" s="34"/>
      <c r="L27" s="10"/>
      <c r="M27" s="133"/>
      <c r="N27" s="105"/>
      <c r="O27" s="9"/>
      <c r="P27" s="10"/>
      <c r="Q27" s="10"/>
      <c r="R27" s="21"/>
      <c r="S27" s="21"/>
      <c r="T27" s="10"/>
      <c r="U27" s="10"/>
      <c r="V27" s="10"/>
      <c r="W27" s="10"/>
      <c r="X27" s="21"/>
      <c r="Y27" s="10"/>
      <c r="Z27" s="10"/>
      <c r="AA27" s="10"/>
      <c r="AB27" s="177" t="str">
        <f ca="1">IF(DataColumns[[#This Row],[ColumnType]]="ResultValue",IF(MAX(INDIRECT(CONCATENATE("R",ROW(DataColumns[#Headers]),"C",COLUMN(),":R",ROW()-1,"C",COLUMN()),FALSE))=0,1,MAX(INDIRECT(CONCATENATE("R",ROW(DataColumns[#Headers]),"C",COLUMN(),":R",ROW()-1,"C",COLUMN()),FALSE))+1),"")</f>
        <v/>
      </c>
      <c r="AC27" s="126" t="str">
        <f>IF(DataColumns[[#This Row],[ColumnType]]="ResultValue",CONCATENATE(DataColumns[[#This Row],[ColumnType]],DataColumns[[#This Row],[ColumnLabel]]),CONCATENATE(DataColumns[[#This Row],[ColumnType]],DataColumns[[#This Row],[AppliesToColumn]]))</f>
        <v/>
      </c>
    </row>
    <row r="28" spans="1:29" x14ac:dyDescent="0.25">
      <c r="A28" s="47" t="str">
        <f ca="1">IF(COUNTA(DataColumns[[#This Row],[ColumnLabel]:[QualityCodeCV]])&gt;0,IF(MAX(INDIRECT(CONCATENATE("R",ROW(DataColumns[#Headers]),"C",COLUMN(),":R",ROW()-1,"C",COLUMN()),FALSE))=0,1,MAX(INDIRECT(CONCATENATE("R",ROW(DataColumns[#Headers]),"C",COLUMN(),":R",ROW()-1,"C",COLUMN()),FALSE))+1),"")</f>
        <v/>
      </c>
      <c r="B28" s="105"/>
      <c r="C28" s="10"/>
      <c r="D28" s="155"/>
      <c r="E28" s="160"/>
      <c r="F28" s="139"/>
      <c r="G28" s="9"/>
      <c r="H28" s="10"/>
      <c r="I28" s="10"/>
      <c r="J28" s="10"/>
      <c r="K28" s="34"/>
      <c r="L28" s="10"/>
      <c r="M28" s="133"/>
      <c r="N28" s="105"/>
      <c r="O28" s="9"/>
      <c r="P28" s="10"/>
      <c r="Q28" s="10"/>
      <c r="R28" s="21"/>
      <c r="S28" s="21"/>
      <c r="T28" s="10"/>
      <c r="U28" s="10"/>
      <c r="V28" s="10"/>
      <c r="W28" s="10"/>
      <c r="X28" s="21"/>
      <c r="Y28" s="10"/>
      <c r="Z28" s="10"/>
      <c r="AA28" s="10"/>
      <c r="AB28" s="177" t="str">
        <f ca="1">IF(DataColumns[[#This Row],[ColumnType]]="ResultValue",IF(MAX(INDIRECT(CONCATENATE("R",ROW(DataColumns[#Headers]),"C",COLUMN(),":R",ROW()-1,"C",COLUMN()),FALSE))=0,1,MAX(INDIRECT(CONCATENATE("R",ROW(DataColumns[#Headers]),"C",COLUMN(),":R",ROW()-1,"C",COLUMN()),FALSE))+1),"")</f>
        <v/>
      </c>
      <c r="AC28" s="126" t="str">
        <f>IF(DataColumns[[#This Row],[ColumnType]]="ResultValue",CONCATENATE(DataColumns[[#This Row],[ColumnType]],DataColumns[[#This Row],[ColumnLabel]]),CONCATENATE(DataColumns[[#This Row],[ColumnType]],DataColumns[[#This Row],[AppliesToColumn]]))</f>
        <v/>
      </c>
    </row>
    <row r="29" spans="1:29" x14ac:dyDescent="0.25">
      <c r="A29" s="47" t="str">
        <f ca="1">IF(COUNTA(DataColumns[[#This Row],[ColumnLabel]:[QualityCodeCV]])&gt;0,IF(MAX(INDIRECT(CONCATENATE("R",ROW(DataColumns[#Headers]),"C",COLUMN(),":R",ROW()-1,"C",COLUMN()),FALSE))=0,1,MAX(INDIRECT(CONCATENATE("R",ROW(DataColumns[#Headers]),"C",COLUMN(),":R",ROW()-1,"C",COLUMN()),FALSE))+1),"")</f>
        <v/>
      </c>
      <c r="B29" s="105"/>
      <c r="C29" s="10"/>
      <c r="D29" s="155"/>
      <c r="E29" s="160"/>
      <c r="F29" s="139"/>
      <c r="G29" s="9"/>
      <c r="H29" s="10"/>
      <c r="I29" s="10"/>
      <c r="J29" s="10"/>
      <c r="K29" s="34"/>
      <c r="L29" s="10"/>
      <c r="M29" s="133"/>
      <c r="N29" s="105"/>
      <c r="O29" s="9"/>
      <c r="P29" s="10"/>
      <c r="Q29" s="10"/>
      <c r="R29" s="21"/>
      <c r="S29" s="21"/>
      <c r="T29" s="10"/>
      <c r="U29" s="10"/>
      <c r="V29" s="10"/>
      <c r="W29" s="10"/>
      <c r="X29" s="21"/>
      <c r="Y29" s="10"/>
      <c r="Z29" s="10"/>
      <c r="AA29" s="10"/>
      <c r="AB29" s="177" t="str">
        <f ca="1">IF(DataColumns[[#This Row],[ColumnType]]="ResultValue",IF(MAX(INDIRECT(CONCATENATE("R",ROW(DataColumns[#Headers]),"C",COLUMN(),":R",ROW()-1,"C",COLUMN()),FALSE))=0,1,MAX(INDIRECT(CONCATENATE("R",ROW(DataColumns[#Headers]),"C",COLUMN(),":R",ROW()-1,"C",COLUMN()),FALSE))+1),"")</f>
        <v/>
      </c>
      <c r="AC29" s="126" t="str">
        <f>IF(DataColumns[[#This Row],[ColumnType]]="ResultValue",CONCATENATE(DataColumns[[#This Row],[ColumnType]],DataColumns[[#This Row],[ColumnLabel]]),CONCATENATE(DataColumns[[#This Row],[ColumnType]],DataColumns[[#This Row],[AppliesToColumn]]))</f>
        <v/>
      </c>
    </row>
    <row r="30" spans="1:29" x14ac:dyDescent="0.25">
      <c r="A30" s="47" t="str">
        <f ca="1">IF(COUNTA(DataColumns[[#This Row],[ColumnLabel]:[QualityCodeCV]])&gt;0,IF(MAX(INDIRECT(CONCATENATE("R",ROW(DataColumns[#Headers]),"C",COLUMN(),":R",ROW()-1,"C",COLUMN()),FALSE))=0,1,MAX(INDIRECT(CONCATENATE("R",ROW(DataColumns[#Headers]),"C",COLUMN(),":R",ROW()-1,"C",COLUMN()),FALSE))+1),"")</f>
        <v/>
      </c>
      <c r="B30" s="105"/>
      <c r="C30" s="10"/>
      <c r="D30" s="155"/>
      <c r="E30" s="160"/>
      <c r="F30" s="139"/>
      <c r="G30" s="9"/>
      <c r="H30" s="10"/>
      <c r="I30" s="10"/>
      <c r="J30" s="10"/>
      <c r="K30" s="34"/>
      <c r="L30" s="10"/>
      <c r="M30" s="133"/>
      <c r="N30" s="105"/>
      <c r="O30" s="9"/>
      <c r="P30" s="10"/>
      <c r="Q30" s="10"/>
      <c r="R30" s="21"/>
      <c r="S30" s="21"/>
      <c r="T30" s="10"/>
      <c r="U30" s="10"/>
      <c r="V30" s="10"/>
      <c r="W30" s="10"/>
      <c r="X30" s="21"/>
      <c r="Y30" s="10"/>
      <c r="Z30" s="10"/>
      <c r="AA30" s="10"/>
      <c r="AB30" s="177" t="str">
        <f ca="1">IF(DataColumns[[#This Row],[ColumnType]]="ResultValue",IF(MAX(INDIRECT(CONCATENATE("R",ROW(DataColumns[#Headers]),"C",COLUMN(),":R",ROW()-1,"C",COLUMN()),FALSE))=0,1,MAX(INDIRECT(CONCATENATE("R",ROW(DataColumns[#Headers]),"C",COLUMN(),":R",ROW()-1,"C",COLUMN()),FALSE))+1),"")</f>
        <v/>
      </c>
      <c r="AC30" s="126" t="str">
        <f>IF(DataColumns[[#This Row],[ColumnType]]="ResultValue",CONCATENATE(DataColumns[[#This Row],[ColumnType]],DataColumns[[#This Row],[ColumnLabel]]),CONCATENATE(DataColumns[[#This Row],[ColumnType]],DataColumns[[#This Row],[AppliesToColumn]]))</f>
        <v/>
      </c>
    </row>
    <row r="31" spans="1:29" x14ac:dyDescent="0.25">
      <c r="A31" s="47" t="str">
        <f ca="1">IF(COUNTA(DataColumns[[#This Row],[ColumnLabel]:[QualityCodeCV]])&gt;0,IF(MAX(INDIRECT(CONCATENATE("R",ROW(DataColumns[#Headers]),"C",COLUMN(),":R",ROW()-1,"C",COLUMN()),FALSE))=0,1,MAX(INDIRECT(CONCATENATE("R",ROW(DataColumns[#Headers]),"C",COLUMN(),":R",ROW()-1,"C",COLUMN()),FALSE))+1),"")</f>
        <v/>
      </c>
      <c r="B31" s="105"/>
      <c r="C31" s="10"/>
      <c r="D31" s="155"/>
      <c r="E31" s="160"/>
      <c r="F31" s="139"/>
      <c r="G31" s="9"/>
      <c r="H31" s="10"/>
      <c r="I31" s="10"/>
      <c r="J31" s="10"/>
      <c r="K31" s="34"/>
      <c r="L31" s="10"/>
      <c r="M31" s="133"/>
      <c r="N31" s="105"/>
      <c r="O31" s="9"/>
      <c r="P31" s="10"/>
      <c r="Q31" s="10"/>
      <c r="R31" s="21"/>
      <c r="S31" s="21"/>
      <c r="T31" s="10"/>
      <c r="U31" s="10"/>
      <c r="V31" s="10"/>
      <c r="W31" s="10"/>
      <c r="X31" s="21"/>
      <c r="Y31" s="10"/>
      <c r="Z31" s="10"/>
      <c r="AA31" s="10"/>
      <c r="AB31" s="177" t="str">
        <f ca="1">IF(DataColumns[[#This Row],[ColumnType]]="ResultValue",IF(MAX(INDIRECT(CONCATENATE("R",ROW(DataColumns[#Headers]),"C",COLUMN(),":R",ROW()-1,"C",COLUMN()),FALSE))=0,1,MAX(INDIRECT(CONCATENATE("R",ROW(DataColumns[#Headers]),"C",COLUMN(),":R",ROW()-1,"C",COLUMN()),FALSE))+1),"")</f>
        <v/>
      </c>
      <c r="AC31" s="126" t="str">
        <f>IF(DataColumns[[#This Row],[ColumnType]]="ResultValue",CONCATENATE(DataColumns[[#This Row],[ColumnType]],DataColumns[[#This Row],[ColumnLabel]]),CONCATENATE(DataColumns[[#This Row],[ColumnType]],DataColumns[[#This Row],[AppliesToColumn]]))</f>
        <v/>
      </c>
    </row>
    <row r="32" spans="1:29" x14ac:dyDescent="0.25">
      <c r="A32" s="47" t="str">
        <f ca="1">IF(COUNTA(DataColumns[[#This Row],[ColumnLabel]:[QualityCodeCV]])&gt;0,IF(MAX(INDIRECT(CONCATENATE("R",ROW(DataColumns[#Headers]),"C",COLUMN(),":R",ROW()-1,"C",COLUMN()),FALSE))=0,1,MAX(INDIRECT(CONCATENATE("R",ROW(DataColumns[#Headers]),"C",COLUMN(),":R",ROW()-1,"C",COLUMN()),FALSE))+1),"")</f>
        <v/>
      </c>
      <c r="B32" s="105"/>
      <c r="C32" s="10"/>
      <c r="D32" s="155"/>
      <c r="E32" s="160"/>
      <c r="F32" s="139"/>
      <c r="G32" s="9"/>
      <c r="H32" s="10"/>
      <c r="I32" s="10"/>
      <c r="J32" s="10"/>
      <c r="K32" s="34"/>
      <c r="L32" s="10"/>
      <c r="M32" s="133"/>
      <c r="N32" s="105"/>
      <c r="O32" s="9"/>
      <c r="P32" s="10"/>
      <c r="Q32" s="10"/>
      <c r="R32" s="21"/>
      <c r="S32" s="21"/>
      <c r="T32" s="10"/>
      <c r="U32" s="10"/>
      <c r="V32" s="10"/>
      <c r="W32" s="10"/>
      <c r="X32" s="21"/>
      <c r="Y32" s="10"/>
      <c r="Z32" s="10"/>
      <c r="AA32" s="10"/>
      <c r="AB32" s="177" t="str">
        <f ca="1">IF(DataColumns[[#This Row],[ColumnType]]="ResultValue",IF(MAX(INDIRECT(CONCATENATE("R",ROW(DataColumns[#Headers]),"C",COLUMN(),":R",ROW()-1,"C",COLUMN()),FALSE))=0,1,MAX(INDIRECT(CONCATENATE("R",ROW(DataColumns[#Headers]),"C",COLUMN(),":R",ROW()-1,"C",COLUMN()),FALSE))+1),"")</f>
        <v/>
      </c>
      <c r="AC32" s="126" t="str">
        <f>IF(DataColumns[[#This Row],[ColumnType]]="ResultValue",CONCATENATE(DataColumns[[#This Row],[ColumnType]],DataColumns[[#This Row],[ColumnLabel]]),CONCATENATE(DataColumns[[#This Row],[ColumnType]],DataColumns[[#This Row],[AppliesToColumn]]))</f>
        <v/>
      </c>
    </row>
    <row r="33" spans="1:29" x14ac:dyDescent="0.25">
      <c r="A33" s="47" t="str">
        <f ca="1">IF(COUNTA(DataColumns[[#This Row],[ColumnLabel]:[QualityCodeCV]])&gt;0,IF(MAX(INDIRECT(CONCATENATE("R",ROW(DataColumns[#Headers]),"C",COLUMN(),":R",ROW()-1,"C",COLUMN()),FALSE))=0,1,MAX(INDIRECT(CONCATENATE("R",ROW(DataColumns[#Headers]),"C",COLUMN(),":R",ROW()-1,"C",COLUMN()),FALSE))+1),"")</f>
        <v/>
      </c>
      <c r="B33" s="105"/>
      <c r="C33" s="10"/>
      <c r="D33" s="155"/>
      <c r="E33" s="160"/>
      <c r="F33" s="139"/>
      <c r="G33" s="9"/>
      <c r="H33" s="10"/>
      <c r="I33" s="10"/>
      <c r="J33" s="10"/>
      <c r="K33" s="34"/>
      <c r="L33" s="10"/>
      <c r="M33" s="133"/>
      <c r="N33" s="105"/>
      <c r="O33" s="9"/>
      <c r="P33" s="10"/>
      <c r="Q33" s="10"/>
      <c r="R33" s="21"/>
      <c r="S33" s="21"/>
      <c r="T33" s="10"/>
      <c r="U33" s="10"/>
      <c r="V33" s="10"/>
      <c r="W33" s="10"/>
      <c r="X33" s="21"/>
      <c r="Y33" s="10"/>
      <c r="Z33" s="10"/>
      <c r="AA33" s="10"/>
      <c r="AB33" s="177" t="str">
        <f ca="1">IF(DataColumns[[#This Row],[ColumnType]]="ResultValue",IF(MAX(INDIRECT(CONCATENATE("R",ROW(DataColumns[#Headers]),"C",COLUMN(),":R",ROW()-1,"C",COLUMN()),FALSE))=0,1,MAX(INDIRECT(CONCATENATE("R",ROW(DataColumns[#Headers]),"C",COLUMN(),":R",ROW()-1,"C",COLUMN()),FALSE))+1),"")</f>
        <v/>
      </c>
      <c r="AC33" s="126" t="str">
        <f>IF(DataColumns[[#This Row],[ColumnType]]="ResultValue",CONCATENATE(DataColumns[[#This Row],[ColumnType]],DataColumns[[#This Row],[ColumnLabel]]),CONCATENATE(DataColumns[[#This Row],[ColumnType]],DataColumns[[#This Row],[AppliesToColumn]]))</f>
        <v/>
      </c>
    </row>
    <row r="34" spans="1:29" x14ac:dyDescent="0.25">
      <c r="A34" s="47" t="str">
        <f ca="1">IF(COUNTA(DataColumns[[#This Row],[ColumnLabel]:[QualityCodeCV]])&gt;0,IF(MAX(INDIRECT(CONCATENATE("R",ROW(DataColumns[#Headers]),"C",COLUMN(),":R",ROW()-1,"C",COLUMN()),FALSE))=0,1,MAX(INDIRECT(CONCATENATE("R",ROW(DataColumns[#Headers]),"C",COLUMN(),":R",ROW()-1,"C",COLUMN()),FALSE))+1),"")</f>
        <v/>
      </c>
      <c r="B34" s="105"/>
      <c r="C34" s="10"/>
      <c r="D34" s="155"/>
      <c r="E34" s="160"/>
      <c r="F34" s="139"/>
      <c r="G34" s="9"/>
      <c r="H34" s="10"/>
      <c r="I34" s="10"/>
      <c r="J34" s="10"/>
      <c r="K34" s="34"/>
      <c r="L34" s="10"/>
      <c r="M34" s="133"/>
      <c r="N34" s="105"/>
      <c r="O34" s="9"/>
      <c r="P34" s="10"/>
      <c r="Q34" s="10"/>
      <c r="R34" s="21"/>
      <c r="S34" s="21"/>
      <c r="T34" s="10"/>
      <c r="U34" s="10"/>
      <c r="V34" s="10"/>
      <c r="W34" s="10"/>
      <c r="X34" s="21"/>
      <c r="Y34" s="10"/>
      <c r="Z34" s="10"/>
      <c r="AA34" s="10"/>
      <c r="AB34" s="177" t="str">
        <f ca="1">IF(DataColumns[[#This Row],[ColumnType]]="ResultValue",IF(MAX(INDIRECT(CONCATENATE("R",ROW(DataColumns[#Headers]),"C",COLUMN(),":R",ROW()-1,"C",COLUMN()),FALSE))=0,1,MAX(INDIRECT(CONCATENATE("R",ROW(DataColumns[#Headers]),"C",COLUMN(),":R",ROW()-1,"C",COLUMN()),FALSE))+1),"")</f>
        <v/>
      </c>
      <c r="AC34" s="126" t="str">
        <f>IF(DataColumns[[#This Row],[ColumnType]]="ResultValue",CONCATENATE(DataColumns[[#This Row],[ColumnType]],DataColumns[[#This Row],[ColumnLabel]]),CONCATENATE(DataColumns[[#This Row],[ColumnType]],DataColumns[[#This Row],[AppliesToColumn]]))</f>
        <v/>
      </c>
    </row>
    <row r="35" spans="1:29" x14ac:dyDescent="0.25">
      <c r="A35" s="47" t="str">
        <f ca="1">IF(COUNTA(DataColumns[[#This Row],[ColumnLabel]:[QualityCodeCV]])&gt;0,IF(MAX(INDIRECT(CONCATENATE("R",ROW(DataColumns[#Headers]),"C",COLUMN(),":R",ROW()-1,"C",COLUMN()),FALSE))=0,1,MAX(INDIRECT(CONCATENATE("R",ROW(DataColumns[#Headers]),"C",COLUMN(),":R",ROW()-1,"C",COLUMN()),FALSE))+1),"")</f>
        <v/>
      </c>
      <c r="B35" s="105"/>
      <c r="C35" s="10"/>
      <c r="D35" s="155"/>
      <c r="E35" s="160"/>
      <c r="F35" s="139"/>
      <c r="G35" s="9"/>
      <c r="H35" s="10"/>
      <c r="I35" s="10"/>
      <c r="J35" s="10"/>
      <c r="K35" s="34"/>
      <c r="L35" s="10"/>
      <c r="M35" s="133"/>
      <c r="N35" s="105"/>
      <c r="O35" s="9"/>
      <c r="P35" s="10"/>
      <c r="Q35" s="10"/>
      <c r="R35" s="21"/>
      <c r="S35" s="21"/>
      <c r="T35" s="10"/>
      <c r="U35" s="10"/>
      <c r="V35" s="10"/>
      <c r="W35" s="10"/>
      <c r="X35" s="21"/>
      <c r="Y35" s="10"/>
      <c r="Z35" s="10"/>
      <c r="AA35" s="10"/>
      <c r="AB35" s="177" t="str">
        <f ca="1">IF(DataColumns[[#This Row],[ColumnType]]="ResultValue",IF(MAX(INDIRECT(CONCATENATE("R",ROW(DataColumns[#Headers]),"C",COLUMN(),":R",ROW()-1,"C",COLUMN()),FALSE))=0,1,MAX(INDIRECT(CONCATENATE("R",ROW(DataColumns[#Headers]),"C",COLUMN(),":R",ROW()-1,"C",COLUMN()),FALSE))+1),"")</f>
        <v/>
      </c>
      <c r="AC35" s="126" t="str">
        <f>IF(DataColumns[[#This Row],[ColumnType]]="ResultValue",CONCATENATE(DataColumns[[#This Row],[ColumnType]],DataColumns[[#This Row],[ColumnLabel]]),CONCATENATE(DataColumns[[#This Row],[ColumnType]],DataColumns[[#This Row],[AppliesToColumn]]))</f>
        <v/>
      </c>
    </row>
    <row r="36" spans="1:29" x14ac:dyDescent="0.25">
      <c r="A36" s="47" t="str">
        <f ca="1">IF(COUNTA(DataColumns[[#This Row],[ColumnLabel]:[QualityCodeCV]])&gt;0,IF(MAX(INDIRECT(CONCATENATE("R",ROW(DataColumns[#Headers]),"C",COLUMN(),":R",ROW()-1,"C",COLUMN()),FALSE))=0,1,MAX(INDIRECT(CONCATENATE("R",ROW(DataColumns[#Headers]),"C",COLUMN(),":R",ROW()-1,"C",COLUMN()),FALSE))+1),"")</f>
        <v/>
      </c>
      <c r="B36" s="105"/>
      <c r="C36" s="10"/>
      <c r="D36" s="155"/>
      <c r="E36" s="160"/>
      <c r="F36" s="139"/>
      <c r="G36" s="9"/>
      <c r="H36" s="10"/>
      <c r="I36" s="10"/>
      <c r="J36" s="10"/>
      <c r="K36" s="34"/>
      <c r="L36" s="10"/>
      <c r="M36" s="133"/>
      <c r="N36" s="105"/>
      <c r="O36" s="9"/>
      <c r="P36" s="10"/>
      <c r="Q36" s="10"/>
      <c r="R36" s="21"/>
      <c r="S36" s="21"/>
      <c r="T36" s="10"/>
      <c r="U36" s="10"/>
      <c r="V36" s="10"/>
      <c r="W36" s="10"/>
      <c r="X36" s="21"/>
      <c r="Y36" s="10"/>
      <c r="Z36" s="10"/>
      <c r="AA36" s="10"/>
      <c r="AB36" s="177" t="str">
        <f ca="1">IF(DataColumns[[#This Row],[ColumnType]]="ResultValue",IF(MAX(INDIRECT(CONCATENATE("R",ROW(DataColumns[#Headers]),"C",COLUMN(),":R",ROW()-1,"C",COLUMN()),FALSE))=0,1,MAX(INDIRECT(CONCATENATE("R",ROW(DataColumns[#Headers]),"C",COLUMN(),":R",ROW()-1,"C",COLUMN()),FALSE))+1),"")</f>
        <v/>
      </c>
      <c r="AC36" s="126" t="str">
        <f>IF(DataColumns[[#This Row],[ColumnType]]="ResultValue",CONCATENATE(DataColumns[[#This Row],[ColumnType]],DataColumns[[#This Row],[ColumnLabel]]),CONCATENATE(DataColumns[[#This Row],[ColumnType]],DataColumns[[#This Row],[AppliesToColumn]]))</f>
        <v/>
      </c>
    </row>
    <row r="37" spans="1:29" x14ac:dyDescent="0.25">
      <c r="A37" s="47" t="str">
        <f ca="1">IF(COUNTA(DataColumns[[#This Row],[ColumnLabel]:[QualityCodeCV]])&gt;0,IF(MAX(INDIRECT(CONCATENATE("R",ROW(DataColumns[#Headers]),"C",COLUMN(),":R",ROW()-1,"C",COLUMN()),FALSE))=0,1,MAX(INDIRECT(CONCATENATE("R",ROW(DataColumns[#Headers]),"C",COLUMN(),":R",ROW()-1,"C",COLUMN()),FALSE))+1),"")</f>
        <v/>
      </c>
      <c r="B37" s="105"/>
      <c r="C37" s="10"/>
      <c r="D37" s="155"/>
      <c r="E37" s="160"/>
      <c r="F37" s="139"/>
      <c r="G37" s="9"/>
      <c r="H37" s="10"/>
      <c r="I37" s="10"/>
      <c r="J37" s="10"/>
      <c r="K37" s="34"/>
      <c r="L37" s="10"/>
      <c r="M37" s="133"/>
      <c r="N37" s="105"/>
      <c r="O37" s="9"/>
      <c r="P37" s="10"/>
      <c r="Q37" s="10"/>
      <c r="R37" s="21"/>
      <c r="S37" s="21"/>
      <c r="T37" s="10"/>
      <c r="U37" s="10"/>
      <c r="V37" s="10"/>
      <c r="W37" s="10"/>
      <c r="X37" s="21"/>
      <c r="Y37" s="10"/>
      <c r="Z37" s="10"/>
      <c r="AA37" s="10"/>
      <c r="AB37" s="177" t="str">
        <f ca="1">IF(DataColumns[[#This Row],[ColumnType]]="ResultValue",IF(MAX(INDIRECT(CONCATENATE("R",ROW(DataColumns[#Headers]),"C",COLUMN(),":R",ROW()-1,"C",COLUMN()),FALSE))=0,1,MAX(INDIRECT(CONCATENATE("R",ROW(DataColumns[#Headers]),"C",COLUMN(),":R",ROW()-1,"C",COLUMN()),FALSE))+1),"")</f>
        <v/>
      </c>
      <c r="AC37" s="126" t="str">
        <f>IF(DataColumns[[#This Row],[ColumnType]]="ResultValue",CONCATENATE(DataColumns[[#This Row],[ColumnType]],DataColumns[[#This Row],[ColumnLabel]]),CONCATENATE(DataColumns[[#This Row],[ColumnType]],DataColumns[[#This Row],[AppliesToColumn]]))</f>
        <v/>
      </c>
    </row>
    <row r="38" spans="1:29" x14ac:dyDescent="0.25">
      <c r="A38" s="47" t="str">
        <f ca="1">IF(COUNTA(DataColumns[[#This Row],[ColumnLabel]:[QualityCodeCV]])&gt;0,IF(MAX(INDIRECT(CONCATENATE("R",ROW(DataColumns[#Headers]),"C",COLUMN(),":R",ROW()-1,"C",COLUMN()),FALSE))=0,1,MAX(INDIRECT(CONCATENATE("R",ROW(DataColumns[#Headers]),"C",COLUMN(),":R",ROW()-1,"C",COLUMN()),FALSE))+1),"")</f>
        <v/>
      </c>
      <c r="B38" s="105"/>
      <c r="C38" s="10"/>
      <c r="D38" s="155"/>
      <c r="E38" s="160"/>
      <c r="F38" s="139"/>
      <c r="G38" s="9"/>
      <c r="H38" s="10"/>
      <c r="I38" s="10"/>
      <c r="J38" s="10"/>
      <c r="K38" s="34"/>
      <c r="L38" s="10"/>
      <c r="M38" s="133"/>
      <c r="N38" s="105"/>
      <c r="O38" s="9"/>
      <c r="P38" s="10"/>
      <c r="Q38" s="10"/>
      <c r="R38" s="21"/>
      <c r="S38" s="21"/>
      <c r="T38" s="10"/>
      <c r="U38" s="10"/>
      <c r="V38" s="10"/>
      <c r="W38" s="10"/>
      <c r="X38" s="21"/>
      <c r="Y38" s="10"/>
      <c r="Z38" s="10"/>
      <c r="AA38" s="10"/>
      <c r="AB38" s="177" t="str">
        <f ca="1">IF(DataColumns[[#This Row],[ColumnType]]="ResultValue",IF(MAX(INDIRECT(CONCATENATE("R",ROW(DataColumns[#Headers]),"C",COLUMN(),":R",ROW()-1,"C",COLUMN()),FALSE))=0,1,MAX(INDIRECT(CONCATENATE("R",ROW(DataColumns[#Headers]),"C",COLUMN(),":R",ROW()-1,"C",COLUMN()),FALSE))+1),"")</f>
        <v/>
      </c>
      <c r="AC38" s="126" t="str">
        <f>IF(DataColumns[[#This Row],[ColumnType]]="ResultValue",CONCATENATE(DataColumns[[#This Row],[ColumnType]],DataColumns[[#This Row],[ColumnLabel]]),CONCATENATE(DataColumns[[#This Row],[ColumnType]],DataColumns[[#This Row],[AppliesToColumn]]))</f>
        <v/>
      </c>
    </row>
    <row r="39" spans="1:29" x14ac:dyDescent="0.25">
      <c r="A39" s="47" t="str">
        <f ca="1">IF(COUNTA(DataColumns[[#This Row],[ColumnLabel]:[QualityCodeCV]])&gt;0,IF(MAX(INDIRECT(CONCATENATE("R",ROW(DataColumns[#Headers]),"C",COLUMN(),":R",ROW()-1,"C",COLUMN()),FALSE))=0,1,MAX(INDIRECT(CONCATENATE("R",ROW(DataColumns[#Headers]),"C",COLUMN(),":R",ROW()-1,"C",COLUMN()),FALSE))+1),"")</f>
        <v/>
      </c>
      <c r="B39" s="105"/>
      <c r="C39" s="10"/>
      <c r="D39" s="155"/>
      <c r="E39" s="160"/>
      <c r="F39" s="139"/>
      <c r="G39" s="9"/>
      <c r="H39" s="10"/>
      <c r="I39" s="10"/>
      <c r="J39" s="10"/>
      <c r="K39" s="34"/>
      <c r="L39" s="10"/>
      <c r="M39" s="133"/>
      <c r="N39" s="105"/>
      <c r="O39" s="9"/>
      <c r="P39" s="10"/>
      <c r="Q39" s="10"/>
      <c r="R39" s="21"/>
      <c r="S39" s="21"/>
      <c r="T39" s="10"/>
      <c r="U39" s="10"/>
      <c r="V39" s="10"/>
      <c r="W39" s="10"/>
      <c r="X39" s="21"/>
      <c r="Y39" s="10"/>
      <c r="Z39" s="10"/>
      <c r="AA39" s="10"/>
      <c r="AB39" s="177" t="str">
        <f ca="1">IF(DataColumns[[#This Row],[ColumnType]]="ResultValue",IF(MAX(INDIRECT(CONCATENATE("R",ROW(DataColumns[#Headers]),"C",COLUMN(),":R",ROW()-1,"C",COLUMN()),FALSE))=0,1,MAX(INDIRECT(CONCATENATE("R",ROW(DataColumns[#Headers]),"C",COLUMN(),":R",ROW()-1,"C",COLUMN()),FALSE))+1),"")</f>
        <v/>
      </c>
      <c r="AC39" s="126" t="str">
        <f>IF(DataColumns[[#This Row],[ColumnType]]="ResultValue",CONCATENATE(DataColumns[[#This Row],[ColumnType]],DataColumns[[#This Row],[ColumnLabel]]),CONCATENATE(DataColumns[[#This Row],[ColumnType]],DataColumns[[#This Row],[AppliesToColumn]]))</f>
        <v/>
      </c>
    </row>
    <row r="40" spans="1:29" x14ac:dyDescent="0.25">
      <c r="A40" s="47" t="str">
        <f ca="1">IF(COUNTA(DataColumns[[#This Row],[ColumnLabel]:[QualityCodeCV]])&gt;0,IF(MAX(INDIRECT(CONCATENATE("R",ROW(DataColumns[#Headers]),"C",COLUMN(),":R",ROW()-1,"C",COLUMN()),FALSE))=0,1,MAX(INDIRECT(CONCATENATE("R",ROW(DataColumns[#Headers]),"C",COLUMN(),":R",ROW()-1,"C",COLUMN()),FALSE))+1),"")</f>
        <v/>
      </c>
      <c r="B40" s="105"/>
      <c r="C40" s="10"/>
      <c r="D40" s="155"/>
      <c r="E40" s="160"/>
      <c r="F40" s="139"/>
      <c r="G40" s="9"/>
      <c r="H40" s="10"/>
      <c r="I40" s="10"/>
      <c r="J40" s="10"/>
      <c r="K40" s="34"/>
      <c r="L40" s="10"/>
      <c r="M40" s="133"/>
      <c r="N40" s="105"/>
      <c r="O40" s="9"/>
      <c r="P40" s="10"/>
      <c r="Q40" s="10"/>
      <c r="R40" s="21"/>
      <c r="S40" s="21"/>
      <c r="T40" s="10"/>
      <c r="U40" s="10"/>
      <c r="V40" s="10"/>
      <c r="W40" s="10"/>
      <c r="X40" s="21"/>
      <c r="Y40" s="10"/>
      <c r="Z40" s="10"/>
      <c r="AA40" s="10"/>
      <c r="AB40" s="177" t="str">
        <f ca="1">IF(DataColumns[[#This Row],[ColumnType]]="ResultValue",IF(MAX(INDIRECT(CONCATENATE("R",ROW(DataColumns[#Headers]),"C",COLUMN(),":R",ROW()-1,"C",COLUMN()),FALSE))=0,1,MAX(INDIRECT(CONCATENATE("R",ROW(DataColumns[#Headers]),"C",COLUMN(),":R",ROW()-1,"C",COLUMN()),FALSE))+1),"")</f>
        <v/>
      </c>
      <c r="AC40" s="126" t="str">
        <f>IF(DataColumns[[#This Row],[ColumnType]]="ResultValue",CONCATENATE(DataColumns[[#This Row],[ColumnType]],DataColumns[[#This Row],[ColumnLabel]]),CONCATENATE(DataColumns[[#This Row],[ColumnType]],DataColumns[[#This Row],[AppliesToColumn]]))</f>
        <v/>
      </c>
    </row>
    <row r="41" spans="1:29" x14ac:dyDescent="0.25">
      <c r="A41" s="47" t="str">
        <f ca="1">IF(COUNTA(DataColumns[[#This Row],[ColumnLabel]:[QualityCodeCV]])&gt;0,IF(MAX(INDIRECT(CONCATENATE("R",ROW(DataColumns[#Headers]),"C",COLUMN(),":R",ROW()-1,"C",COLUMN()),FALSE))=0,1,MAX(INDIRECT(CONCATENATE("R",ROW(DataColumns[#Headers]),"C",COLUMN(),":R",ROW()-1,"C",COLUMN()),FALSE))+1),"")</f>
        <v/>
      </c>
      <c r="B41" s="105"/>
      <c r="C41" s="10"/>
      <c r="D41" s="155"/>
      <c r="E41" s="160"/>
      <c r="F41" s="139"/>
      <c r="G41" s="9"/>
      <c r="H41" s="10"/>
      <c r="I41" s="10"/>
      <c r="J41" s="10"/>
      <c r="K41" s="34"/>
      <c r="L41" s="10"/>
      <c r="M41" s="133"/>
      <c r="N41" s="105"/>
      <c r="O41" s="9"/>
      <c r="P41" s="10"/>
      <c r="Q41" s="10"/>
      <c r="R41" s="21"/>
      <c r="S41" s="21"/>
      <c r="T41" s="10"/>
      <c r="U41" s="10"/>
      <c r="V41" s="10"/>
      <c r="W41" s="10"/>
      <c r="X41" s="21"/>
      <c r="Y41" s="10"/>
      <c r="Z41" s="10"/>
      <c r="AA41" s="10"/>
      <c r="AB41" s="177" t="str">
        <f ca="1">IF(DataColumns[[#This Row],[ColumnType]]="ResultValue",IF(MAX(INDIRECT(CONCATENATE("R",ROW(DataColumns[#Headers]),"C",COLUMN(),":R",ROW()-1,"C",COLUMN()),FALSE))=0,1,MAX(INDIRECT(CONCATENATE("R",ROW(DataColumns[#Headers]),"C",COLUMN(),":R",ROW()-1,"C",COLUMN()),FALSE))+1),"")</f>
        <v/>
      </c>
      <c r="AC41" s="126" t="str">
        <f>IF(DataColumns[[#This Row],[ColumnType]]="ResultValue",CONCATENATE(DataColumns[[#This Row],[ColumnType]],DataColumns[[#This Row],[ColumnLabel]]),CONCATENATE(DataColumns[[#This Row],[ColumnType]],DataColumns[[#This Row],[AppliesToColumn]]))</f>
        <v/>
      </c>
    </row>
    <row r="42" spans="1:29" x14ac:dyDescent="0.25">
      <c r="A42" s="47" t="str">
        <f ca="1">IF(COUNTA(DataColumns[[#This Row],[ColumnLabel]:[QualityCodeCV]])&gt;0,IF(MAX(INDIRECT(CONCATENATE("R",ROW(DataColumns[#Headers]),"C",COLUMN(),":R",ROW()-1,"C",COLUMN()),FALSE))=0,1,MAX(INDIRECT(CONCATENATE("R",ROW(DataColumns[#Headers]),"C",COLUMN(),":R",ROW()-1,"C",COLUMN()),FALSE))+1),"")</f>
        <v/>
      </c>
      <c r="B42" s="105"/>
      <c r="C42" s="10"/>
      <c r="D42" s="155"/>
      <c r="E42" s="160"/>
      <c r="F42" s="139"/>
      <c r="G42" s="9"/>
      <c r="H42" s="10"/>
      <c r="I42" s="10"/>
      <c r="J42" s="10"/>
      <c r="K42" s="34"/>
      <c r="L42" s="10"/>
      <c r="M42" s="133"/>
      <c r="N42" s="105"/>
      <c r="O42" s="9"/>
      <c r="P42" s="10"/>
      <c r="Q42" s="10"/>
      <c r="R42" s="21"/>
      <c r="S42" s="21"/>
      <c r="T42" s="10"/>
      <c r="U42" s="10"/>
      <c r="V42" s="10"/>
      <c r="W42" s="10"/>
      <c r="X42" s="21"/>
      <c r="Y42" s="10"/>
      <c r="Z42" s="10"/>
      <c r="AA42" s="10"/>
      <c r="AB42" s="177" t="str">
        <f ca="1">IF(DataColumns[[#This Row],[ColumnType]]="ResultValue",IF(MAX(INDIRECT(CONCATENATE("R",ROW(DataColumns[#Headers]),"C",COLUMN(),":R",ROW()-1,"C",COLUMN()),FALSE))=0,1,MAX(INDIRECT(CONCATENATE("R",ROW(DataColumns[#Headers]),"C",COLUMN(),":R",ROW()-1,"C",COLUMN()),FALSE))+1),"")</f>
        <v/>
      </c>
      <c r="AC42" s="126" t="str">
        <f>IF(DataColumns[[#This Row],[ColumnType]]="ResultValue",CONCATENATE(DataColumns[[#This Row],[ColumnType]],DataColumns[[#This Row],[ColumnLabel]]),CONCATENATE(DataColumns[[#This Row],[ColumnType]],DataColumns[[#This Row],[AppliesToColumn]]))</f>
        <v/>
      </c>
    </row>
    <row r="43" spans="1:29" x14ac:dyDescent="0.25">
      <c r="A43" s="47" t="str">
        <f ca="1">IF(COUNTA(DataColumns[[#This Row],[ColumnLabel]:[QualityCodeCV]])&gt;0,IF(MAX(INDIRECT(CONCATENATE("R",ROW(DataColumns[#Headers]),"C",COLUMN(),":R",ROW()-1,"C",COLUMN()),FALSE))=0,1,MAX(INDIRECT(CONCATENATE("R",ROW(DataColumns[#Headers]),"C",COLUMN(),":R",ROW()-1,"C",COLUMN()),FALSE))+1),"")</f>
        <v/>
      </c>
      <c r="B43" s="105"/>
      <c r="C43" s="10"/>
      <c r="D43" s="155"/>
      <c r="E43" s="160"/>
      <c r="F43" s="139"/>
      <c r="G43" s="9"/>
      <c r="H43" s="10"/>
      <c r="I43" s="10"/>
      <c r="J43" s="10"/>
      <c r="K43" s="34"/>
      <c r="L43" s="10"/>
      <c r="M43" s="133"/>
      <c r="N43" s="105"/>
      <c r="O43" s="9"/>
      <c r="P43" s="10"/>
      <c r="Q43" s="10"/>
      <c r="R43" s="21"/>
      <c r="S43" s="21"/>
      <c r="T43" s="10"/>
      <c r="U43" s="10"/>
      <c r="V43" s="10"/>
      <c r="W43" s="10"/>
      <c r="X43" s="21"/>
      <c r="Y43" s="10"/>
      <c r="Z43" s="10"/>
      <c r="AA43" s="10"/>
      <c r="AB43" s="177" t="str">
        <f ca="1">IF(DataColumns[[#This Row],[ColumnType]]="ResultValue",IF(MAX(INDIRECT(CONCATENATE("R",ROW(DataColumns[#Headers]),"C",COLUMN(),":R",ROW()-1,"C",COLUMN()),FALSE))=0,1,MAX(INDIRECT(CONCATENATE("R",ROW(DataColumns[#Headers]),"C",COLUMN(),":R",ROW()-1,"C",COLUMN()),FALSE))+1),"")</f>
        <v/>
      </c>
      <c r="AC43" s="126" t="str">
        <f>IF(DataColumns[[#This Row],[ColumnType]]="ResultValue",CONCATENATE(DataColumns[[#This Row],[ColumnType]],DataColumns[[#This Row],[ColumnLabel]]),CONCATENATE(DataColumns[[#This Row],[ColumnType]],DataColumns[[#This Row],[AppliesToColumn]]))</f>
        <v/>
      </c>
    </row>
    <row r="44" spans="1:29" x14ac:dyDescent="0.25">
      <c r="A44" s="47" t="str">
        <f ca="1">IF(COUNTA(DataColumns[[#This Row],[ColumnLabel]:[QualityCodeCV]])&gt;0,IF(MAX(INDIRECT(CONCATENATE("R",ROW(DataColumns[#Headers]),"C",COLUMN(),":R",ROW()-1,"C",COLUMN()),FALSE))=0,1,MAX(INDIRECT(CONCATENATE("R",ROW(DataColumns[#Headers]),"C",COLUMN(),":R",ROW()-1,"C",COLUMN()),FALSE))+1),"")</f>
        <v/>
      </c>
      <c r="B44" s="105"/>
      <c r="C44" s="10"/>
      <c r="D44" s="155"/>
      <c r="E44" s="160"/>
      <c r="F44" s="139"/>
      <c r="G44" s="9"/>
      <c r="H44" s="10"/>
      <c r="I44" s="10"/>
      <c r="J44" s="10"/>
      <c r="K44" s="34"/>
      <c r="L44" s="10"/>
      <c r="M44" s="133"/>
      <c r="N44" s="105"/>
      <c r="O44" s="9"/>
      <c r="P44" s="10"/>
      <c r="Q44" s="10"/>
      <c r="R44" s="21"/>
      <c r="S44" s="21"/>
      <c r="T44" s="10"/>
      <c r="U44" s="10"/>
      <c r="V44" s="10"/>
      <c r="W44" s="10"/>
      <c r="X44" s="21"/>
      <c r="Y44" s="10"/>
      <c r="Z44" s="10"/>
      <c r="AA44" s="10"/>
      <c r="AB44" s="177" t="str">
        <f ca="1">IF(DataColumns[[#This Row],[ColumnType]]="ResultValue",IF(MAX(INDIRECT(CONCATENATE("R",ROW(DataColumns[#Headers]),"C",COLUMN(),":R",ROW()-1,"C",COLUMN()),FALSE))=0,1,MAX(INDIRECT(CONCATENATE("R",ROW(DataColumns[#Headers]),"C",COLUMN(),":R",ROW()-1,"C",COLUMN()),FALSE))+1),"")</f>
        <v/>
      </c>
      <c r="AC44" s="126" t="str">
        <f>IF(DataColumns[[#This Row],[ColumnType]]="ResultValue",CONCATENATE(DataColumns[[#This Row],[ColumnType]],DataColumns[[#This Row],[ColumnLabel]]),CONCATENATE(DataColumns[[#This Row],[ColumnType]],DataColumns[[#This Row],[AppliesToColumn]]))</f>
        <v/>
      </c>
    </row>
    <row r="45" spans="1:29" x14ac:dyDescent="0.25">
      <c r="A45" s="47" t="str">
        <f ca="1">IF(COUNTA(DataColumns[[#This Row],[ColumnLabel]:[QualityCodeCV]])&gt;0,IF(MAX(INDIRECT(CONCATENATE("R",ROW(DataColumns[#Headers]),"C",COLUMN(),":R",ROW()-1,"C",COLUMN()),FALSE))=0,1,MAX(INDIRECT(CONCATENATE("R",ROW(DataColumns[#Headers]),"C",COLUMN(),":R",ROW()-1,"C",COLUMN()),FALSE))+1),"")</f>
        <v/>
      </c>
      <c r="B45" s="105"/>
      <c r="C45" s="10"/>
      <c r="D45" s="155"/>
      <c r="E45" s="160"/>
      <c r="F45" s="139"/>
      <c r="G45" s="9"/>
      <c r="H45" s="10"/>
      <c r="I45" s="10"/>
      <c r="J45" s="10"/>
      <c r="K45" s="34"/>
      <c r="L45" s="10"/>
      <c r="M45" s="133"/>
      <c r="N45" s="105"/>
      <c r="O45" s="9"/>
      <c r="P45" s="10"/>
      <c r="Q45" s="10"/>
      <c r="R45" s="21"/>
      <c r="S45" s="21"/>
      <c r="T45" s="10"/>
      <c r="U45" s="10"/>
      <c r="V45" s="10"/>
      <c r="W45" s="10"/>
      <c r="X45" s="21"/>
      <c r="Y45" s="10"/>
      <c r="Z45" s="10"/>
      <c r="AA45" s="10"/>
      <c r="AB45" s="177" t="str">
        <f ca="1">IF(DataColumns[[#This Row],[ColumnType]]="ResultValue",IF(MAX(INDIRECT(CONCATENATE("R",ROW(DataColumns[#Headers]),"C",COLUMN(),":R",ROW()-1,"C",COLUMN()),FALSE))=0,1,MAX(INDIRECT(CONCATENATE("R",ROW(DataColumns[#Headers]),"C",COLUMN(),":R",ROW()-1,"C",COLUMN()),FALSE))+1),"")</f>
        <v/>
      </c>
      <c r="AC45" s="126" t="str">
        <f>IF(DataColumns[[#This Row],[ColumnType]]="ResultValue",CONCATENATE(DataColumns[[#This Row],[ColumnType]],DataColumns[[#This Row],[ColumnLabel]]),CONCATENATE(DataColumns[[#This Row],[ColumnType]],DataColumns[[#This Row],[AppliesToColumn]]))</f>
        <v/>
      </c>
    </row>
    <row r="46" spans="1:29" x14ac:dyDescent="0.25">
      <c r="A46" s="47" t="str">
        <f ca="1">IF(COUNTA(DataColumns[[#This Row],[ColumnLabel]:[QualityCodeCV]])&gt;0,IF(MAX(INDIRECT(CONCATENATE("R",ROW(DataColumns[#Headers]),"C",COLUMN(),":R",ROW()-1,"C",COLUMN()),FALSE))=0,1,MAX(INDIRECT(CONCATENATE("R",ROW(DataColumns[#Headers]),"C",COLUMN(),":R",ROW()-1,"C",COLUMN()),FALSE))+1),"")</f>
        <v/>
      </c>
      <c r="B46" s="105"/>
      <c r="C46" s="10"/>
      <c r="D46" s="155"/>
      <c r="E46" s="160"/>
      <c r="F46" s="139"/>
      <c r="G46" s="9"/>
      <c r="H46" s="10"/>
      <c r="I46" s="10"/>
      <c r="J46" s="10"/>
      <c r="K46" s="34"/>
      <c r="L46" s="10"/>
      <c r="M46" s="133"/>
      <c r="N46" s="105"/>
      <c r="O46" s="9"/>
      <c r="P46" s="10"/>
      <c r="Q46" s="10"/>
      <c r="R46" s="21"/>
      <c r="S46" s="21"/>
      <c r="T46" s="10"/>
      <c r="U46" s="10"/>
      <c r="V46" s="10"/>
      <c r="W46" s="10"/>
      <c r="X46" s="21"/>
      <c r="Y46" s="10"/>
      <c r="Z46" s="10"/>
      <c r="AA46" s="10"/>
      <c r="AB46" s="177" t="str">
        <f ca="1">IF(DataColumns[[#This Row],[ColumnType]]="ResultValue",IF(MAX(INDIRECT(CONCATENATE("R",ROW(DataColumns[#Headers]),"C",COLUMN(),":R",ROW()-1,"C",COLUMN()),FALSE))=0,1,MAX(INDIRECT(CONCATENATE("R",ROW(DataColumns[#Headers]),"C",COLUMN(),":R",ROW()-1,"C",COLUMN()),FALSE))+1),"")</f>
        <v/>
      </c>
      <c r="AC46" s="126" t="str">
        <f>IF(DataColumns[[#This Row],[ColumnType]]="ResultValue",CONCATENATE(DataColumns[[#This Row],[ColumnType]],DataColumns[[#This Row],[ColumnLabel]]),CONCATENATE(DataColumns[[#This Row],[ColumnType]],DataColumns[[#This Row],[AppliesToColumn]]))</f>
        <v/>
      </c>
    </row>
    <row r="47" spans="1:29" x14ac:dyDescent="0.25">
      <c r="A47" s="47" t="str">
        <f ca="1">IF(COUNTA(DataColumns[[#This Row],[ColumnLabel]:[QualityCodeCV]])&gt;0,IF(MAX(INDIRECT(CONCATENATE("R",ROW(DataColumns[#Headers]),"C",COLUMN(),":R",ROW()-1,"C",COLUMN()),FALSE))=0,1,MAX(INDIRECT(CONCATENATE("R",ROW(DataColumns[#Headers]),"C",COLUMN(),":R",ROW()-1,"C",COLUMN()),FALSE))+1),"")</f>
        <v/>
      </c>
      <c r="B47" s="105"/>
      <c r="C47" s="10"/>
      <c r="D47" s="155"/>
      <c r="E47" s="160"/>
      <c r="F47" s="139"/>
      <c r="G47" s="9"/>
      <c r="H47" s="10"/>
      <c r="I47" s="10"/>
      <c r="J47" s="10"/>
      <c r="K47" s="34"/>
      <c r="L47" s="10"/>
      <c r="M47" s="133"/>
      <c r="N47" s="105"/>
      <c r="O47" s="9"/>
      <c r="P47" s="10"/>
      <c r="Q47" s="10"/>
      <c r="R47" s="21"/>
      <c r="S47" s="21"/>
      <c r="T47" s="10"/>
      <c r="U47" s="10"/>
      <c r="V47" s="10"/>
      <c r="W47" s="10"/>
      <c r="X47" s="21"/>
      <c r="Y47" s="10"/>
      <c r="Z47" s="10"/>
      <c r="AA47" s="10"/>
      <c r="AB47" s="177" t="str">
        <f ca="1">IF(DataColumns[[#This Row],[ColumnType]]="ResultValue",IF(MAX(INDIRECT(CONCATENATE("R",ROW(DataColumns[#Headers]),"C",COLUMN(),":R",ROW()-1,"C",COLUMN()),FALSE))=0,1,MAX(INDIRECT(CONCATENATE("R",ROW(DataColumns[#Headers]),"C",COLUMN(),":R",ROW()-1,"C",COLUMN()),FALSE))+1),"")</f>
        <v/>
      </c>
      <c r="AC47" s="126" t="str">
        <f>IF(DataColumns[[#This Row],[ColumnType]]="ResultValue",CONCATENATE(DataColumns[[#This Row],[ColumnType]],DataColumns[[#This Row],[ColumnLabel]]),CONCATENATE(DataColumns[[#This Row],[ColumnType]],DataColumns[[#This Row],[AppliesToColumn]]))</f>
        <v/>
      </c>
    </row>
    <row r="48" spans="1:29" x14ac:dyDescent="0.25">
      <c r="A48" s="47" t="str">
        <f ca="1">IF(COUNTA(DataColumns[[#This Row],[ColumnLabel]:[QualityCodeCV]])&gt;0,IF(MAX(INDIRECT(CONCATENATE("R",ROW(DataColumns[#Headers]),"C",COLUMN(),":R",ROW()-1,"C",COLUMN()),FALSE))=0,1,MAX(INDIRECT(CONCATENATE("R",ROW(DataColumns[#Headers]),"C",COLUMN(),":R",ROW()-1,"C",COLUMN()),FALSE))+1),"")</f>
        <v/>
      </c>
      <c r="B48" s="105"/>
      <c r="C48" s="10"/>
      <c r="D48" s="155"/>
      <c r="E48" s="160"/>
      <c r="F48" s="139"/>
      <c r="G48" s="9"/>
      <c r="H48" s="10"/>
      <c r="I48" s="10"/>
      <c r="J48" s="10"/>
      <c r="K48" s="34"/>
      <c r="L48" s="10"/>
      <c r="M48" s="133"/>
      <c r="N48" s="105"/>
      <c r="O48" s="9"/>
      <c r="P48" s="10"/>
      <c r="Q48" s="10"/>
      <c r="R48" s="21"/>
      <c r="S48" s="21"/>
      <c r="T48" s="10"/>
      <c r="U48" s="10"/>
      <c r="V48" s="10"/>
      <c r="W48" s="10"/>
      <c r="X48" s="21"/>
      <c r="Y48" s="10"/>
      <c r="Z48" s="10"/>
      <c r="AA48" s="10"/>
      <c r="AB48" s="177" t="str">
        <f ca="1">IF(DataColumns[[#This Row],[ColumnType]]="ResultValue",IF(MAX(INDIRECT(CONCATENATE("R",ROW(DataColumns[#Headers]),"C",COLUMN(),":R",ROW()-1,"C",COLUMN()),FALSE))=0,1,MAX(INDIRECT(CONCATENATE("R",ROW(DataColumns[#Headers]),"C",COLUMN(),":R",ROW()-1,"C",COLUMN()),FALSE))+1),"")</f>
        <v/>
      </c>
      <c r="AC48" s="126" t="str">
        <f>IF(DataColumns[[#This Row],[ColumnType]]="ResultValue",CONCATENATE(DataColumns[[#This Row],[ColumnType]],DataColumns[[#This Row],[ColumnLabel]]),CONCATENATE(DataColumns[[#This Row],[ColumnType]],DataColumns[[#This Row],[AppliesToColumn]]))</f>
        <v/>
      </c>
    </row>
    <row r="49" spans="1:29" x14ac:dyDescent="0.25">
      <c r="A49" s="47" t="str">
        <f ca="1">IF(COUNTA(DataColumns[[#This Row],[ColumnLabel]:[QualityCodeCV]])&gt;0,IF(MAX(INDIRECT(CONCATENATE("R",ROW(DataColumns[#Headers]),"C",COLUMN(),":R",ROW()-1,"C",COLUMN()),FALSE))=0,1,MAX(INDIRECT(CONCATENATE("R",ROW(DataColumns[#Headers]),"C",COLUMN(),":R",ROW()-1,"C",COLUMN()),FALSE))+1),"")</f>
        <v/>
      </c>
      <c r="B49" s="105"/>
      <c r="C49" s="10"/>
      <c r="D49" s="155"/>
      <c r="E49" s="160"/>
      <c r="F49" s="139"/>
      <c r="G49" s="9"/>
      <c r="H49" s="10"/>
      <c r="I49" s="10"/>
      <c r="J49" s="10"/>
      <c r="K49" s="34"/>
      <c r="L49" s="10"/>
      <c r="M49" s="133"/>
      <c r="N49" s="105"/>
      <c r="O49" s="9"/>
      <c r="P49" s="10"/>
      <c r="Q49" s="10"/>
      <c r="R49" s="21"/>
      <c r="S49" s="21"/>
      <c r="T49" s="10"/>
      <c r="U49" s="10"/>
      <c r="V49" s="10"/>
      <c r="W49" s="10"/>
      <c r="X49" s="21"/>
      <c r="Y49" s="10"/>
      <c r="Z49" s="10"/>
      <c r="AA49" s="10"/>
      <c r="AB49" s="177" t="str">
        <f ca="1">IF(DataColumns[[#This Row],[ColumnType]]="ResultValue",IF(MAX(INDIRECT(CONCATENATE("R",ROW(DataColumns[#Headers]),"C",COLUMN(),":R",ROW()-1,"C",COLUMN()),FALSE))=0,1,MAX(INDIRECT(CONCATENATE("R",ROW(DataColumns[#Headers]),"C",COLUMN(),":R",ROW()-1,"C",COLUMN()),FALSE))+1),"")</f>
        <v/>
      </c>
      <c r="AC49" s="126" t="str">
        <f>IF(DataColumns[[#This Row],[ColumnType]]="ResultValue",CONCATENATE(DataColumns[[#This Row],[ColumnType]],DataColumns[[#This Row],[ColumnLabel]]),CONCATENATE(DataColumns[[#This Row],[ColumnType]],DataColumns[[#This Row],[AppliesToColumn]]))</f>
        <v/>
      </c>
    </row>
    <row r="50" spans="1:29" x14ac:dyDescent="0.25">
      <c r="A50" s="47" t="str">
        <f ca="1">IF(COUNTA(DataColumns[[#This Row],[ColumnLabel]:[QualityCodeCV]])&gt;0,IF(MAX(INDIRECT(CONCATENATE("R",ROW(DataColumns[#Headers]),"C",COLUMN(),":R",ROW()-1,"C",COLUMN()),FALSE))=0,1,MAX(INDIRECT(CONCATENATE("R",ROW(DataColumns[#Headers]),"C",COLUMN(),":R",ROW()-1,"C",COLUMN()),FALSE))+1),"")</f>
        <v/>
      </c>
      <c r="B50" s="105"/>
      <c r="C50" s="10"/>
      <c r="D50" s="155"/>
      <c r="E50" s="160"/>
      <c r="F50" s="139"/>
      <c r="G50" s="9"/>
      <c r="H50" s="10"/>
      <c r="I50" s="10"/>
      <c r="J50" s="10"/>
      <c r="K50" s="34"/>
      <c r="L50" s="10"/>
      <c r="M50" s="133"/>
      <c r="N50" s="105"/>
      <c r="O50" s="9"/>
      <c r="P50" s="10"/>
      <c r="Q50" s="10"/>
      <c r="R50" s="21"/>
      <c r="S50" s="21"/>
      <c r="T50" s="10"/>
      <c r="U50" s="10"/>
      <c r="V50" s="10"/>
      <c r="W50" s="10"/>
      <c r="X50" s="21"/>
      <c r="Y50" s="10"/>
      <c r="Z50" s="10"/>
      <c r="AA50" s="10"/>
      <c r="AB50" s="177" t="str">
        <f ca="1">IF(DataColumns[[#This Row],[ColumnType]]="ResultValue",IF(MAX(INDIRECT(CONCATENATE("R",ROW(DataColumns[#Headers]),"C",COLUMN(),":R",ROW()-1,"C",COLUMN()),FALSE))=0,1,MAX(INDIRECT(CONCATENATE("R",ROW(DataColumns[#Headers]),"C",COLUMN(),":R",ROW()-1,"C",COLUMN()),FALSE))+1),"")</f>
        <v/>
      </c>
      <c r="AC50" s="126" t="str">
        <f>IF(DataColumns[[#This Row],[ColumnType]]="ResultValue",CONCATENATE(DataColumns[[#This Row],[ColumnType]],DataColumns[[#This Row],[ColumnLabel]]),CONCATENATE(DataColumns[[#This Row],[ColumnType]],DataColumns[[#This Row],[AppliesToColumn]]))</f>
        <v/>
      </c>
    </row>
    <row r="51" spans="1:29" x14ac:dyDescent="0.25">
      <c r="A51" s="47" t="str">
        <f ca="1">IF(COUNTA(DataColumns[[#This Row],[ColumnLabel]:[QualityCodeCV]])&gt;0,IF(MAX(INDIRECT(CONCATENATE("R",ROW(DataColumns[#Headers]),"C",COLUMN(),":R",ROW()-1,"C",COLUMN()),FALSE))=0,1,MAX(INDIRECT(CONCATENATE("R",ROW(DataColumns[#Headers]),"C",COLUMN(),":R",ROW()-1,"C",COLUMN()),FALSE))+1),"")</f>
        <v/>
      </c>
      <c r="B51" s="105"/>
      <c r="C51" s="10"/>
      <c r="D51" s="155"/>
      <c r="E51" s="160"/>
      <c r="F51" s="139"/>
      <c r="G51" s="9"/>
      <c r="H51" s="10"/>
      <c r="I51" s="10"/>
      <c r="J51" s="10"/>
      <c r="K51" s="34"/>
      <c r="L51" s="10"/>
      <c r="M51" s="133"/>
      <c r="N51" s="105"/>
      <c r="O51" s="9"/>
      <c r="P51" s="10"/>
      <c r="Q51" s="10"/>
      <c r="R51" s="21"/>
      <c r="S51" s="21"/>
      <c r="T51" s="10"/>
      <c r="U51" s="10"/>
      <c r="V51" s="10"/>
      <c r="W51" s="10"/>
      <c r="X51" s="21"/>
      <c r="Y51" s="10"/>
      <c r="Z51" s="10"/>
      <c r="AA51" s="10"/>
      <c r="AB51" s="177" t="str">
        <f ca="1">IF(DataColumns[[#This Row],[ColumnType]]="ResultValue",IF(MAX(INDIRECT(CONCATENATE("R",ROW(DataColumns[#Headers]),"C",COLUMN(),":R",ROW()-1,"C",COLUMN()),FALSE))=0,1,MAX(INDIRECT(CONCATENATE("R",ROW(DataColumns[#Headers]),"C",COLUMN(),":R",ROW()-1,"C",COLUMN()),FALSE))+1),"")</f>
        <v/>
      </c>
      <c r="AC51" s="126" t="str">
        <f>IF(DataColumns[[#This Row],[ColumnType]]="ResultValue",CONCATENATE(DataColumns[[#This Row],[ColumnType]],DataColumns[[#This Row],[ColumnLabel]]),CONCATENATE(DataColumns[[#This Row],[ColumnType]],DataColumns[[#This Row],[AppliesToColumn]]))</f>
        <v/>
      </c>
    </row>
    <row r="52" spans="1:29" x14ac:dyDescent="0.25">
      <c r="A52" s="47" t="str">
        <f ca="1">IF(COUNTA(DataColumns[[#This Row],[ColumnLabel]:[QualityCodeCV]])&gt;0,IF(MAX(INDIRECT(CONCATENATE("R",ROW(DataColumns[#Headers]),"C",COLUMN(),":R",ROW()-1,"C",COLUMN()),FALSE))=0,1,MAX(INDIRECT(CONCATENATE("R",ROW(DataColumns[#Headers]),"C",COLUMN(),":R",ROW()-1,"C",COLUMN()),FALSE))+1),"")</f>
        <v/>
      </c>
      <c r="B52" s="105"/>
      <c r="C52" s="10"/>
      <c r="D52" s="155"/>
      <c r="E52" s="160"/>
      <c r="F52" s="139"/>
      <c r="G52" s="9"/>
      <c r="H52" s="10"/>
      <c r="I52" s="10"/>
      <c r="J52" s="10"/>
      <c r="K52" s="34"/>
      <c r="L52" s="10"/>
      <c r="M52" s="133"/>
      <c r="N52" s="105"/>
      <c r="O52" s="9"/>
      <c r="P52" s="10"/>
      <c r="Q52" s="10"/>
      <c r="R52" s="21"/>
      <c r="S52" s="21"/>
      <c r="T52" s="10"/>
      <c r="U52" s="10"/>
      <c r="V52" s="10"/>
      <c r="W52" s="10"/>
      <c r="X52" s="21"/>
      <c r="Y52" s="10"/>
      <c r="Z52" s="10"/>
      <c r="AA52" s="10"/>
      <c r="AB52" s="177" t="str">
        <f ca="1">IF(DataColumns[[#This Row],[ColumnType]]="ResultValue",IF(MAX(INDIRECT(CONCATENATE("R",ROW(DataColumns[#Headers]),"C",COLUMN(),":R",ROW()-1,"C",COLUMN()),FALSE))=0,1,MAX(INDIRECT(CONCATENATE("R",ROW(DataColumns[#Headers]),"C",COLUMN(),":R",ROW()-1,"C",COLUMN()),FALSE))+1),"")</f>
        <v/>
      </c>
      <c r="AC52" s="126" t="str">
        <f>IF(DataColumns[[#This Row],[ColumnType]]="ResultValue",CONCATENATE(DataColumns[[#This Row],[ColumnType]],DataColumns[[#This Row],[ColumnLabel]]),CONCATENATE(DataColumns[[#This Row],[ColumnType]],DataColumns[[#This Row],[AppliesToColumn]]))</f>
        <v/>
      </c>
    </row>
    <row r="53" spans="1:29" x14ac:dyDescent="0.25">
      <c r="A53" s="47" t="str">
        <f ca="1">IF(COUNTA(DataColumns[[#This Row],[ColumnLabel]:[QualityCodeCV]])&gt;0,IF(MAX(INDIRECT(CONCATENATE("R",ROW(DataColumns[#Headers]),"C",COLUMN(),":R",ROW()-1,"C",COLUMN()),FALSE))=0,1,MAX(INDIRECT(CONCATENATE("R",ROW(DataColumns[#Headers]),"C",COLUMN(),":R",ROW()-1,"C",COLUMN()),FALSE))+1),"")</f>
        <v/>
      </c>
      <c r="B53" s="105"/>
      <c r="C53" s="10"/>
      <c r="D53" s="155"/>
      <c r="E53" s="160"/>
      <c r="F53" s="139"/>
      <c r="G53" s="9"/>
      <c r="H53" s="10"/>
      <c r="I53" s="10"/>
      <c r="J53" s="10"/>
      <c r="K53" s="34"/>
      <c r="L53" s="10"/>
      <c r="M53" s="133"/>
      <c r="N53" s="105"/>
      <c r="O53" s="9"/>
      <c r="P53" s="10"/>
      <c r="Q53" s="10"/>
      <c r="R53" s="21"/>
      <c r="S53" s="21"/>
      <c r="T53" s="10"/>
      <c r="U53" s="10"/>
      <c r="V53" s="10"/>
      <c r="W53" s="10"/>
      <c r="X53" s="21"/>
      <c r="Y53" s="10"/>
      <c r="Z53" s="10"/>
      <c r="AA53" s="10"/>
      <c r="AB53" s="177" t="str">
        <f ca="1">IF(DataColumns[[#This Row],[ColumnType]]="ResultValue",IF(MAX(INDIRECT(CONCATENATE("R",ROW(DataColumns[#Headers]),"C",COLUMN(),":R",ROW()-1,"C",COLUMN()),FALSE))=0,1,MAX(INDIRECT(CONCATENATE("R",ROW(DataColumns[#Headers]),"C",COLUMN(),":R",ROW()-1,"C",COLUMN()),FALSE))+1),"")</f>
        <v/>
      </c>
      <c r="AC53" s="126" t="str">
        <f>IF(DataColumns[[#This Row],[ColumnType]]="ResultValue",CONCATENATE(DataColumns[[#This Row],[ColumnType]],DataColumns[[#This Row],[ColumnLabel]]),CONCATENATE(DataColumns[[#This Row],[ColumnType]],DataColumns[[#This Row],[AppliesToColumn]]))</f>
        <v/>
      </c>
    </row>
    <row r="54" spans="1:29" x14ac:dyDescent="0.25">
      <c r="A54" s="47" t="str">
        <f ca="1">IF(COUNTA(DataColumns[[#This Row],[ColumnLabel]:[QualityCodeCV]])&gt;0,IF(MAX(INDIRECT(CONCATENATE("R",ROW(DataColumns[#Headers]),"C",COLUMN(),":R",ROW()-1,"C",COLUMN()),FALSE))=0,1,MAX(INDIRECT(CONCATENATE("R",ROW(DataColumns[#Headers]),"C",COLUMN(),":R",ROW()-1,"C",COLUMN()),FALSE))+1),"")</f>
        <v/>
      </c>
      <c r="B54" s="105"/>
      <c r="C54" s="10"/>
      <c r="D54" s="155"/>
      <c r="E54" s="160"/>
      <c r="F54" s="139"/>
      <c r="G54" s="9"/>
      <c r="H54" s="10"/>
      <c r="I54" s="10"/>
      <c r="J54" s="10"/>
      <c r="K54" s="34"/>
      <c r="L54" s="10"/>
      <c r="M54" s="133"/>
      <c r="N54" s="105"/>
      <c r="O54" s="9"/>
      <c r="P54" s="10"/>
      <c r="Q54" s="10"/>
      <c r="R54" s="21"/>
      <c r="S54" s="21"/>
      <c r="T54" s="10"/>
      <c r="U54" s="10"/>
      <c r="V54" s="10"/>
      <c r="W54" s="10"/>
      <c r="X54" s="21"/>
      <c r="Y54" s="10"/>
      <c r="Z54" s="10"/>
      <c r="AA54" s="10"/>
      <c r="AB54" s="177" t="str">
        <f ca="1">IF(DataColumns[[#This Row],[ColumnType]]="ResultValue",IF(MAX(INDIRECT(CONCATENATE("R",ROW(DataColumns[#Headers]),"C",COLUMN(),":R",ROW()-1,"C",COLUMN()),FALSE))=0,1,MAX(INDIRECT(CONCATENATE("R",ROW(DataColumns[#Headers]),"C",COLUMN(),":R",ROW()-1,"C",COLUMN()),FALSE))+1),"")</f>
        <v/>
      </c>
      <c r="AC54" s="126" t="str">
        <f>IF(DataColumns[[#This Row],[ColumnType]]="ResultValue",CONCATENATE(DataColumns[[#This Row],[ColumnType]],DataColumns[[#This Row],[ColumnLabel]]),CONCATENATE(DataColumns[[#This Row],[ColumnType]],DataColumns[[#This Row],[AppliesToColumn]]))</f>
        <v/>
      </c>
    </row>
    <row r="55" spans="1:29" x14ac:dyDescent="0.25">
      <c r="A55" s="47" t="str">
        <f ca="1">IF(COUNTA(DataColumns[[#This Row],[ColumnLabel]:[QualityCodeCV]])&gt;0,IF(MAX(INDIRECT(CONCATENATE("R",ROW(DataColumns[#Headers]),"C",COLUMN(),":R",ROW()-1,"C",COLUMN()),FALSE))=0,1,MAX(INDIRECT(CONCATENATE("R",ROW(DataColumns[#Headers]),"C",COLUMN(),":R",ROW()-1,"C",COLUMN()),FALSE))+1),"")</f>
        <v/>
      </c>
      <c r="B55" s="105"/>
      <c r="C55" s="10"/>
      <c r="D55" s="155"/>
      <c r="E55" s="160"/>
      <c r="F55" s="139"/>
      <c r="G55" s="9"/>
      <c r="H55" s="10"/>
      <c r="I55" s="10"/>
      <c r="J55" s="10"/>
      <c r="K55" s="34"/>
      <c r="L55" s="10"/>
      <c r="M55" s="133"/>
      <c r="N55" s="105"/>
      <c r="O55" s="9"/>
      <c r="P55" s="10"/>
      <c r="Q55" s="10"/>
      <c r="R55" s="21"/>
      <c r="S55" s="21"/>
      <c r="T55" s="10"/>
      <c r="U55" s="10"/>
      <c r="V55" s="10"/>
      <c r="W55" s="10"/>
      <c r="X55" s="21"/>
      <c r="Y55" s="10"/>
      <c r="Z55" s="10"/>
      <c r="AA55" s="10"/>
      <c r="AB55" s="177" t="str">
        <f ca="1">IF(DataColumns[[#This Row],[ColumnType]]="ResultValue",IF(MAX(INDIRECT(CONCATENATE("R",ROW(DataColumns[#Headers]),"C",COLUMN(),":R",ROW()-1,"C",COLUMN()),FALSE))=0,1,MAX(INDIRECT(CONCATENATE("R",ROW(DataColumns[#Headers]),"C",COLUMN(),":R",ROW()-1,"C",COLUMN()),FALSE))+1),"")</f>
        <v/>
      </c>
      <c r="AC55" s="126" t="str">
        <f>IF(DataColumns[[#This Row],[ColumnType]]="ResultValue",CONCATENATE(DataColumns[[#This Row],[ColumnType]],DataColumns[[#This Row],[ColumnLabel]]),CONCATENATE(DataColumns[[#This Row],[ColumnType]],DataColumns[[#This Row],[AppliesToColumn]]))</f>
        <v/>
      </c>
    </row>
    <row r="56" spans="1:29" x14ac:dyDescent="0.25">
      <c r="A56" s="47" t="str">
        <f ca="1">IF(COUNTA(DataColumns[[#This Row],[ColumnLabel]:[QualityCodeCV]])&gt;0,IF(MAX(INDIRECT(CONCATENATE("R",ROW(DataColumns[#Headers]),"C",COLUMN(),":R",ROW()-1,"C",COLUMN()),FALSE))=0,1,MAX(INDIRECT(CONCATENATE("R",ROW(DataColumns[#Headers]),"C",COLUMN(),":R",ROW()-1,"C",COLUMN()),FALSE))+1),"")</f>
        <v/>
      </c>
      <c r="B56" s="105"/>
      <c r="C56" s="10"/>
      <c r="D56" s="155"/>
      <c r="E56" s="160"/>
      <c r="F56" s="139"/>
      <c r="G56" s="9"/>
      <c r="H56" s="10"/>
      <c r="I56" s="10"/>
      <c r="J56" s="10"/>
      <c r="K56" s="34"/>
      <c r="L56" s="10"/>
      <c r="M56" s="133"/>
      <c r="N56" s="105"/>
      <c r="O56" s="9"/>
      <c r="P56" s="10"/>
      <c r="Q56" s="10"/>
      <c r="R56" s="21"/>
      <c r="S56" s="21"/>
      <c r="T56" s="10"/>
      <c r="U56" s="10"/>
      <c r="V56" s="10"/>
      <c r="W56" s="10"/>
      <c r="X56" s="21"/>
      <c r="Y56" s="10"/>
      <c r="Z56" s="10"/>
      <c r="AA56" s="10"/>
      <c r="AB56" s="177" t="str">
        <f ca="1">IF(DataColumns[[#This Row],[ColumnType]]="ResultValue",IF(MAX(INDIRECT(CONCATENATE("R",ROW(DataColumns[#Headers]),"C",COLUMN(),":R",ROW()-1,"C",COLUMN()),FALSE))=0,1,MAX(INDIRECT(CONCATENATE("R",ROW(DataColumns[#Headers]),"C",COLUMN(),":R",ROW()-1,"C",COLUMN()),FALSE))+1),"")</f>
        <v/>
      </c>
      <c r="AC56" s="126" t="str">
        <f>IF(DataColumns[[#This Row],[ColumnType]]="ResultValue",CONCATENATE(DataColumns[[#This Row],[ColumnType]],DataColumns[[#This Row],[ColumnLabel]]),CONCATENATE(DataColumns[[#This Row],[ColumnType]],DataColumns[[#This Row],[AppliesToColumn]]))</f>
        <v/>
      </c>
    </row>
    <row r="57" spans="1:29" x14ac:dyDescent="0.25">
      <c r="A57" s="47" t="str">
        <f ca="1">IF(COUNTA(DataColumns[[#This Row],[ColumnLabel]:[QualityCodeCV]])&gt;0,IF(MAX(INDIRECT(CONCATENATE("R",ROW(DataColumns[#Headers]),"C",COLUMN(),":R",ROW()-1,"C",COLUMN()),FALSE))=0,1,MAX(INDIRECT(CONCATENATE("R",ROW(DataColumns[#Headers]),"C",COLUMN(),":R",ROW()-1,"C",COLUMN()),FALSE))+1),"")</f>
        <v/>
      </c>
      <c r="B57" s="105"/>
      <c r="C57" s="10"/>
      <c r="D57" s="155"/>
      <c r="E57" s="160"/>
      <c r="F57" s="139"/>
      <c r="G57" s="9"/>
      <c r="H57" s="10"/>
      <c r="I57" s="10"/>
      <c r="J57" s="10"/>
      <c r="K57" s="34"/>
      <c r="L57" s="10"/>
      <c r="M57" s="133"/>
      <c r="N57" s="105"/>
      <c r="O57" s="9"/>
      <c r="P57" s="10"/>
      <c r="Q57" s="10"/>
      <c r="R57" s="21"/>
      <c r="S57" s="21"/>
      <c r="T57" s="10"/>
      <c r="U57" s="10"/>
      <c r="V57" s="10"/>
      <c r="W57" s="10"/>
      <c r="X57" s="21"/>
      <c r="Y57" s="10"/>
      <c r="Z57" s="10"/>
      <c r="AA57" s="10"/>
      <c r="AB57" s="177" t="str">
        <f ca="1">IF(DataColumns[[#This Row],[ColumnType]]="ResultValue",IF(MAX(INDIRECT(CONCATENATE("R",ROW(DataColumns[#Headers]),"C",COLUMN(),":R",ROW()-1,"C",COLUMN()),FALSE))=0,1,MAX(INDIRECT(CONCATENATE("R",ROW(DataColumns[#Headers]),"C",COLUMN(),":R",ROW()-1,"C",COLUMN()),FALSE))+1),"")</f>
        <v/>
      </c>
      <c r="AC57" s="126" t="str">
        <f>IF(DataColumns[[#This Row],[ColumnType]]="ResultValue",CONCATENATE(DataColumns[[#This Row],[ColumnType]],DataColumns[[#This Row],[ColumnLabel]]),CONCATENATE(DataColumns[[#This Row],[ColumnType]],DataColumns[[#This Row],[AppliesToColumn]]))</f>
        <v/>
      </c>
    </row>
    <row r="58" spans="1:29" x14ac:dyDescent="0.25">
      <c r="A58" s="47" t="str">
        <f ca="1">IF(COUNTA(DataColumns[[#This Row],[ColumnLabel]:[QualityCodeCV]])&gt;0,IF(MAX(INDIRECT(CONCATENATE("R",ROW(DataColumns[#Headers]),"C",COLUMN(),":R",ROW()-1,"C",COLUMN()),FALSE))=0,1,MAX(INDIRECT(CONCATENATE("R",ROW(DataColumns[#Headers]),"C",COLUMN(),":R",ROW()-1,"C",COLUMN()),FALSE))+1),"")</f>
        <v/>
      </c>
      <c r="B58" s="105"/>
      <c r="C58" s="10"/>
      <c r="D58" s="155"/>
      <c r="E58" s="160"/>
      <c r="F58" s="139"/>
      <c r="G58" s="9"/>
      <c r="H58" s="10"/>
      <c r="I58" s="10"/>
      <c r="J58" s="10"/>
      <c r="K58" s="34"/>
      <c r="L58" s="10"/>
      <c r="M58" s="133"/>
      <c r="N58" s="105"/>
      <c r="O58" s="9"/>
      <c r="P58" s="10"/>
      <c r="Q58" s="10"/>
      <c r="R58" s="21"/>
      <c r="S58" s="21"/>
      <c r="T58" s="10"/>
      <c r="U58" s="10"/>
      <c r="V58" s="10"/>
      <c r="W58" s="10"/>
      <c r="X58" s="21"/>
      <c r="Y58" s="10"/>
      <c r="Z58" s="10"/>
      <c r="AA58" s="10"/>
      <c r="AB58" s="177" t="str">
        <f ca="1">IF(DataColumns[[#This Row],[ColumnType]]="ResultValue",IF(MAX(INDIRECT(CONCATENATE("R",ROW(DataColumns[#Headers]),"C",COLUMN(),":R",ROW()-1,"C",COLUMN()),FALSE))=0,1,MAX(INDIRECT(CONCATENATE("R",ROW(DataColumns[#Headers]),"C",COLUMN(),":R",ROW()-1,"C",COLUMN()),FALSE))+1),"")</f>
        <v/>
      </c>
      <c r="AC58" s="126" t="str">
        <f>IF(DataColumns[[#This Row],[ColumnType]]="ResultValue",CONCATENATE(DataColumns[[#This Row],[ColumnType]],DataColumns[[#This Row],[ColumnLabel]]),CONCATENATE(DataColumns[[#This Row],[ColumnType]],DataColumns[[#This Row],[AppliesToColumn]]))</f>
        <v/>
      </c>
    </row>
    <row r="59" spans="1:29" x14ac:dyDescent="0.25">
      <c r="A59" s="47" t="str">
        <f ca="1">IF(COUNTA(DataColumns[[#This Row],[ColumnLabel]:[QualityCodeCV]])&gt;0,IF(MAX(INDIRECT(CONCATENATE("R",ROW(DataColumns[#Headers]),"C",COLUMN(),":R",ROW()-1,"C",COLUMN()),FALSE))=0,1,MAX(INDIRECT(CONCATENATE("R",ROW(DataColumns[#Headers]),"C",COLUMN(),":R",ROW()-1,"C",COLUMN()),FALSE))+1),"")</f>
        <v/>
      </c>
      <c r="B59" s="105"/>
      <c r="C59" s="10"/>
      <c r="D59" s="155"/>
      <c r="E59" s="160"/>
      <c r="F59" s="139"/>
      <c r="G59" s="9"/>
      <c r="H59" s="10"/>
      <c r="I59" s="10"/>
      <c r="J59" s="10"/>
      <c r="K59" s="34"/>
      <c r="L59" s="10"/>
      <c r="M59" s="133"/>
      <c r="N59" s="105"/>
      <c r="O59" s="9"/>
      <c r="P59" s="10"/>
      <c r="Q59" s="10"/>
      <c r="R59" s="21"/>
      <c r="S59" s="21"/>
      <c r="T59" s="10"/>
      <c r="U59" s="10"/>
      <c r="V59" s="10"/>
      <c r="W59" s="10"/>
      <c r="X59" s="21"/>
      <c r="Y59" s="10"/>
      <c r="Z59" s="10"/>
      <c r="AA59" s="10"/>
      <c r="AB59" s="177" t="str">
        <f ca="1">IF(DataColumns[[#This Row],[ColumnType]]="ResultValue",IF(MAX(INDIRECT(CONCATENATE("R",ROW(DataColumns[#Headers]),"C",COLUMN(),":R",ROW()-1,"C",COLUMN()),FALSE))=0,1,MAX(INDIRECT(CONCATENATE("R",ROW(DataColumns[#Headers]),"C",COLUMN(),":R",ROW()-1,"C",COLUMN()),FALSE))+1),"")</f>
        <v/>
      </c>
      <c r="AC59" s="126" t="str">
        <f>IF(DataColumns[[#This Row],[ColumnType]]="ResultValue",CONCATENATE(DataColumns[[#This Row],[ColumnType]],DataColumns[[#This Row],[ColumnLabel]]),CONCATENATE(DataColumns[[#This Row],[ColumnType]],DataColumns[[#This Row],[AppliesToColumn]]))</f>
        <v/>
      </c>
    </row>
    <row r="60" spans="1:29" x14ac:dyDescent="0.25">
      <c r="A60" s="47" t="str">
        <f ca="1">IF(COUNTA(DataColumns[[#This Row],[ColumnLabel]:[QualityCodeCV]])&gt;0,IF(MAX(INDIRECT(CONCATENATE("R",ROW(DataColumns[#Headers]),"C",COLUMN(),":R",ROW()-1,"C",COLUMN()),FALSE))=0,1,MAX(INDIRECT(CONCATENATE("R",ROW(DataColumns[#Headers]),"C",COLUMN(),":R",ROW()-1,"C",COLUMN()),FALSE))+1),"")</f>
        <v/>
      </c>
      <c r="B60" s="105"/>
      <c r="C60" s="10"/>
      <c r="D60" s="155"/>
      <c r="E60" s="160"/>
      <c r="F60" s="139"/>
      <c r="G60" s="9"/>
      <c r="H60" s="10"/>
      <c r="I60" s="10"/>
      <c r="J60" s="10"/>
      <c r="K60" s="34"/>
      <c r="L60" s="10"/>
      <c r="M60" s="133"/>
      <c r="N60" s="105"/>
      <c r="O60" s="9"/>
      <c r="P60" s="10"/>
      <c r="Q60" s="10"/>
      <c r="R60" s="21"/>
      <c r="S60" s="21"/>
      <c r="T60" s="10"/>
      <c r="U60" s="10"/>
      <c r="V60" s="10"/>
      <c r="W60" s="10"/>
      <c r="X60" s="21"/>
      <c r="Y60" s="10"/>
      <c r="Z60" s="10"/>
      <c r="AA60" s="10"/>
      <c r="AB60" s="177" t="str">
        <f ca="1">IF(DataColumns[[#This Row],[ColumnType]]="ResultValue",IF(MAX(INDIRECT(CONCATENATE("R",ROW(DataColumns[#Headers]),"C",COLUMN(),":R",ROW()-1,"C",COLUMN()),FALSE))=0,1,MAX(INDIRECT(CONCATENATE("R",ROW(DataColumns[#Headers]),"C",COLUMN(),":R",ROW()-1,"C",COLUMN()),FALSE))+1),"")</f>
        <v/>
      </c>
      <c r="AC60" s="126" t="str">
        <f>IF(DataColumns[[#This Row],[ColumnType]]="ResultValue",CONCATENATE(DataColumns[[#This Row],[ColumnType]],DataColumns[[#This Row],[ColumnLabel]]),CONCATENATE(DataColumns[[#This Row],[ColumnType]],DataColumns[[#This Row],[AppliesToColumn]]))</f>
        <v/>
      </c>
    </row>
    <row r="61" spans="1:29" x14ac:dyDescent="0.25">
      <c r="A61" s="47" t="str">
        <f ca="1">IF(COUNTA(DataColumns[[#This Row],[ColumnLabel]:[QualityCodeCV]])&gt;0,IF(MAX(INDIRECT(CONCATENATE("R",ROW(DataColumns[#Headers]),"C",COLUMN(),":R",ROW()-1,"C",COLUMN()),FALSE))=0,1,MAX(INDIRECT(CONCATENATE("R",ROW(DataColumns[#Headers]),"C",COLUMN(),":R",ROW()-1,"C",COLUMN()),FALSE))+1),"")</f>
        <v/>
      </c>
      <c r="B61" s="105"/>
      <c r="C61" s="10"/>
      <c r="D61" s="155"/>
      <c r="E61" s="160"/>
      <c r="F61" s="139"/>
      <c r="G61" s="9"/>
      <c r="H61" s="10"/>
      <c r="I61" s="10"/>
      <c r="J61" s="10"/>
      <c r="K61" s="34"/>
      <c r="L61" s="10"/>
      <c r="M61" s="133"/>
      <c r="N61" s="105"/>
      <c r="O61" s="9"/>
      <c r="P61" s="10"/>
      <c r="Q61" s="10"/>
      <c r="R61" s="21"/>
      <c r="S61" s="21"/>
      <c r="T61" s="10"/>
      <c r="U61" s="10"/>
      <c r="V61" s="10"/>
      <c r="W61" s="10"/>
      <c r="X61" s="21"/>
      <c r="Y61" s="10"/>
      <c r="Z61" s="10"/>
      <c r="AA61" s="10"/>
      <c r="AB61" s="177" t="str">
        <f ca="1">IF(DataColumns[[#This Row],[ColumnType]]="ResultValue",IF(MAX(INDIRECT(CONCATENATE("R",ROW(DataColumns[#Headers]),"C",COLUMN(),":R",ROW()-1,"C",COLUMN()),FALSE))=0,1,MAX(INDIRECT(CONCATENATE("R",ROW(DataColumns[#Headers]),"C",COLUMN(),":R",ROW()-1,"C",COLUMN()),FALSE))+1),"")</f>
        <v/>
      </c>
      <c r="AC61" s="126" t="str">
        <f>IF(DataColumns[[#This Row],[ColumnType]]="ResultValue",CONCATENATE(DataColumns[[#This Row],[ColumnType]],DataColumns[[#This Row],[ColumnLabel]]),CONCATENATE(DataColumns[[#This Row],[ColumnType]],DataColumns[[#This Row],[AppliesToColumn]]))</f>
        <v/>
      </c>
    </row>
    <row r="62" spans="1:29" x14ac:dyDescent="0.25">
      <c r="A62" s="47" t="str">
        <f ca="1">IF(COUNTA(DataColumns[[#This Row],[ColumnLabel]:[QualityCodeCV]])&gt;0,IF(MAX(INDIRECT(CONCATENATE("R",ROW(DataColumns[#Headers]),"C",COLUMN(),":R",ROW()-1,"C",COLUMN()),FALSE))=0,1,MAX(INDIRECT(CONCATENATE("R",ROW(DataColumns[#Headers]),"C",COLUMN(),":R",ROW()-1,"C",COLUMN()),FALSE))+1),"")</f>
        <v/>
      </c>
      <c r="B62" s="105"/>
      <c r="C62" s="10"/>
      <c r="D62" s="155"/>
      <c r="E62" s="160"/>
      <c r="F62" s="139"/>
      <c r="G62" s="9"/>
      <c r="H62" s="10"/>
      <c r="I62" s="10"/>
      <c r="J62" s="10"/>
      <c r="K62" s="34"/>
      <c r="L62" s="10"/>
      <c r="M62" s="133"/>
      <c r="N62" s="105"/>
      <c r="O62" s="9"/>
      <c r="P62" s="10"/>
      <c r="Q62" s="10"/>
      <c r="R62" s="21"/>
      <c r="S62" s="21"/>
      <c r="T62" s="10"/>
      <c r="U62" s="10"/>
      <c r="V62" s="10"/>
      <c r="W62" s="10"/>
      <c r="X62" s="21"/>
      <c r="Y62" s="10"/>
      <c r="Z62" s="10"/>
      <c r="AA62" s="10"/>
      <c r="AB62" s="177" t="str">
        <f ca="1">IF(DataColumns[[#This Row],[ColumnType]]="ResultValue",IF(MAX(INDIRECT(CONCATENATE("R",ROW(DataColumns[#Headers]),"C",COLUMN(),":R",ROW()-1,"C",COLUMN()),FALSE))=0,1,MAX(INDIRECT(CONCATENATE("R",ROW(DataColumns[#Headers]),"C",COLUMN(),":R",ROW()-1,"C",COLUMN()),FALSE))+1),"")</f>
        <v/>
      </c>
      <c r="AC62" s="126" t="str">
        <f>IF(DataColumns[[#This Row],[ColumnType]]="ResultValue",CONCATENATE(DataColumns[[#This Row],[ColumnType]],DataColumns[[#This Row],[ColumnLabel]]),CONCATENATE(DataColumns[[#This Row],[ColumnType]],DataColumns[[#This Row],[AppliesToColumn]]))</f>
        <v/>
      </c>
    </row>
    <row r="63" spans="1:29" x14ac:dyDescent="0.25">
      <c r="A63" s="47" t="str">
        <f ca="1">IF(COUNTA(DataColumns[[#This Row],[ColumnLabel]:[QualityCodeCV]])&gt;0,IF(MAX(INDIRECT(CONCATENATE("R",ROW(DataColumns[#Headers]),"C",COLUMN(),":R",ROW()-1,"C",COLUMN()),FALSE))=0,1,MAX(INDIRECT(CONCATENATE("R",ROW(DataColumns[#Headers]),"C",COLUMN(),":R",ROW()-1,"C",COLUMN()),FALSE))+1),"")</f>
        <v/>
      </c>
      <c r="B63" s="105"/>
      <c r="C63" s="10"/>
      <c r="D63" s="155"/>
      <c r="E63" s="160"/>
      <c r="F63" s="139"/>
      <c r="G63" s="9"/>
      <c r="H63" s="10"/>
      <c r="I63" s="10"/>
      <c r="J63" s="10"/>
      <c r="K63" s="34"/>
      <c r="L63" s="10"/>
      <c r="M63" s="133"/>
      <c r="N63" s="105"/>
      <c r="O63" s="9"/>
      <c r="P63" s="10"/>
      <c r="Q63" s="10"/>
      <c r="R63" s="21"/>
      <c r="S63" s="21"/>
      <c r="T63" s="10"/>
      <c r="U63" s="10"/>
      <c r="V63" s="10"/>
      <c r="W63" s="10"/>
      <c r="X63" s="21"/>
      <c r="Y63" s="10"/>
      <c r="Z63" s="10"/>
      <c r="AA63" s="10"/>
      <c r="AB63" s="177" t="str">
        <f ca="1">IF(DataColumns[[#This Row],[ColumnType]]="ResultValue",IF(MAX(INDIRECT(CONCATENATE("R",ROW(DataColumns[#Headers]),"C",COLUMN(),":R",ROW()-1,"C",COLUMN()),FALSE))=0,1,MAX(INDIRECT(CONCATENATE("R",ROW(DataColumns[#Headers]),"C",COLUMN(),":R",ROW()-1,"C",COLUMN()),FALSE))+1),"")</f>
        <v/>
      </c>
      <c r="AC63" s="126" t="str">
        <f>IF(DataColumns[[#This Row],[ColumnType]]="ResultValue",CONCATENATE(DataColumns[[#This Row],[ColumnType]],DataColumns[[#This Row],[ColumnLabel]]),CONCATENATE(DataColumns[[#This Row],[ColumnType]],DataColumns[[#This Row],[AppliesToColumn]]))</f>
        <v/>
      </c>
    </row>
    <row r="64" spans="1:29" x14ac:dyDescent="0.25">
      <c r="A64" s="47" t="str">
        <f ca="1">IF(COUNTA(DataColumns[[#This Row],[ColumnLabel]:[QualityCodeCV]])&gt;0,IF(MAX(INDIRECT(CONCATENATE("R",ROW(DataColumns[#Headers]),"C",COLUMN(),":R",ROW()-1,"C",COLUMN()),FALSE))=0,1,MAX(INDIRECT(CONCATENATE("R",ROW(DataColumns[#Headers]),"C",COLUMN(),":R",ROW()-1,"C",COLUMN()),FALSE))+1),"")</f>
        <v/>
      </c>
      <c r="B64" s="105"/>
      <c r="C64" s="10"/>
      <c r="D64" s="155"/>
      <c r="E64" s="160"/>
      <c r="F64" s="139"/>
      <c r="G64" s="9"/>
      <c r="H64" s="10"/>
      <c r="I64" s="10"/>
      <c r="J64" s="10"/>
      <c r="K64" s="34"/>
      <c r="L64" s="10"/>
      <c r="M64" s="133"/>
      <c r="N64" s="105"/>
      <c r="O64" s="9"/>
      <c r="P64" s="10"/>
      <c r="Q64" s="10"/>
      <c r="R64" s="21"/>
      <c r="S64" s="21"/>
      <c r="T64" s="10"/>
      <c r="U64" s="10"/>
      <c r="V64" s="10"/>
      <c r="W64" s="10"/>
      <c r="X64" s="21"/>
      <c r="Y64" s="10"/>
      <c r="Z64" s="10"/>
      <c r="AA64" s="10"/>
      <c r="AB64" s="177" t="str">
        <f ca="1">IF(DataColumns[[#This Row],[ColumnType]]="ResultValue",IF(MAX(INDIRECT(CONCATENATE("R",ROW(DataColumns[#Headers]),"C",COLUMN(),":R",ROW()-1,"C",COLUMN()),FALSE))=0,1,MAX(INDIRECT(CONCATENATE("R",ROW(DataColumns[#Headers]),"C",COLUMN(),":R",ROW()-1,"C",COLUMN()),FALSE))+1),"")</f>
        <v/>
      </c>
      <c r="AC64" s="126" t="str">
        <f>IF(DataColumns[[#This Row],[ColumnType]]="ResultValue",CONCATENATE(DataColumns[[#This Row],[ColumnType]],DataColumns[[#This Row],[ColumnLabel]]),CONCATENATE(DataColumns[[#This Row],[ColumnType]],DataColumns[[#This Row],[AppliesToColumn]]))</f>
        <v/>
      </c>
    </row>
    <row r="65" spans="1:29" x14ac:dyDescent="0.25">
      <c r="A65" s="47" t="str">
        <f ca="1">IF(COUNTA(DataColumns[[#This Row],[ColumnLabel]:[QualityCodeCV]])&gt;0,IF(MAX(INDIRECT(CONCATENATE("R",ROW(DataColumns[#Headers]),"C",COLUMN(),":R",ROW()-1,"C",COLUMN()),FALSE))=0,1,MAX(INDIRECT(CONCATENATE("R",ROW(DataColumns[#Headers]),"C",COLUMN(),":R",ROW()-1,"C",COLUMN()),FALSE))+1),"")</f>
        <v/>
      </c>
      <c r="B65" s="105"/>
      <c r="C65" s="10"/>
      <c r="D65" s="155"/>
      <c r="E65" s="160"/>
      <c r="F65" s="139"/>
      <c r="G65" s="9"/>
      <c r="H65" s="10"/>
      <c r="I65" s="10"/>
      <c r="J65" s="10"/>
      <c r="K65" s="34"/>
      <c r="L65" s="10"/>
      <c r="M65" s="133"/>
      <c r="N65" s="105"/>
      <c r="O65" s="9"/>
      <c r="P65" s="10"/>
      <c r="Q65" s="10"/>
      <c r="R65" s="21"/>
      <c r="S65" s="21"/>
      <c r="T65" s="10"/>
      <c r="U65" s="10"/>
      <c r="V65" s="10"/>
      <c r="W65" s="10"/>
      <c r="X65" s="21"/>
      <c r="Y65" s="10"/>
      <c r="Z65" s="10"/>
      <c r="AA65" s="10"/>
      <c r="AB65" s="177" t="str">
        <f ca="1">IF(DataColumns[[#This Row],[ColumnType]]="ResultValue",IF(MAX(INDIRECT(CONCATENATE("R",ROW(DataColumns[#Headers]),"C",COLUMN(),":R",ROW()-1,"C",COLUMN()),FALSE))=0,1,MAX(INDIRECT(CONCATENATE("R",ROW(DataColumns[#Headers]),"C",COLUMN(),":R",ROW()-1,"C",COLUMN()),FALSE))+1),"")</f>
        <v/>
      </c>
      <c r="AC65" s="126" t="str">
        <f>IF(DataColumns[[#This Row],[ColumnType]]="ResultValue",CONCATENATE(DataColumns[[#This Row],[ColumnType]],DataColumns[[#This Row],[ColumnLabel]]),CONCATENATE(DataColumns[[#This Row],[ColumnType]],DataColumns[[#This Row],[AppliesToColumn]]))</f>
        <v/>
      </c>
    </row>
    <row r="66" spans="1:29" x14ac:dyDescent="0.25">
      <c r="A66" s="47" t="str">
        <f ca="1">IF(COUNTA(DataColumns[[#This Row],[ColumnLabel]:[QualityCodeCV]])&gt;0,IF(MAX(INDIRECT(CONCATENATE("R",ROW(DataColumns[#Headers]),"C",COLUMN(),":R",ROW()-1,"C",COLUMN()),FALSE))=0,1,MAX(INDIRECT(CONCATENATE("R",ROW(DataColumns[#Headers]),"C",COLUMN(),":R",ROW()-1,"C",COLUMN()),FALSE))+1),"")</f>
        <v/>
      </c>
      <c r="B66" s="105"/>
      <c r="C66" s="10"/>
      <c r="D66" s="155"/>
      <c r="E66" s="160"/>
      <c r="F66" s="139"/>
      <c r="G66" s="9"/>
      <c r="H66" s="10"/>
      <c r="I66" s="10"/>
      <c r="J66" s="10"/>
      <c r="K66" s="34"/>
      <c r="L66" s="10"/>
      <c r="M66" s="133"/>
      <c r="N66" s="105"/>
      <c r="O66" s="9"/>
      <c r="P66" s="10"/>
      <c r="Q66" s="10"/>
      <c r="R66" s="21"/>
      <c r="S66" s="21"/>
      <c r="T66" s="10"/>
      <c r="U66" s="10"/>
      <c r="V66" s="10"/>
      <c r="W66" s="10"/>
      <c r="X66" s="21"/>
      <c r="Y66" s="10"/>
      <c r="Z66" s="10"/>
      <c r="AA66" s="10"/>
      <c r="AB66" s="177" t="str">
        <f ca="1">IF(DataColumns[[#This Row],[ColumnType]]="ResultValue",IF(MAX(INDIRECT(CONCATENATE("R",ROW(DataColumns[#Headers]),"C",COLUMN(),":R",ROW()-1,"C",COLUMN()),FALSE))=0,1,MAX(INDIRECT(CONCATENATE("R",ROW(DataColumns[#Headers]),"C",COLUMN(),":R",ROW()-1,"C",COLUMN()),FALSE))+1),"")</f>
        <v/>
      </c>
      <c r="AC66" s="126" t="str">
        <f>IF(DataColumns[[#This Row],[ColumnType]]="ResultValue",CONCATENATE(DataColumns[[#This Row],[ColumnType]],DataColumns[[#This Row],[ColumnLabel]]),CONCATENATE(DataColumns[[#This Row],[ColumnType]],DataColumns[[#This Row],[AppliesToColumn]]))</f>
        <v/>
      </c>
    </row>
    <row r="67" spans="1:29" x14ac:dyDescent="0.25">
      <c r="A67" s="47" t="str">
        <f ca="1">IF(COUNTA(DataColumns[[#This Row],[ColumnLabel]:[QualityCodeCV]])&gt;0,IF(MAX(INDIRECT(CONCATENATE("R",ROW(DataColumns[#Headers]),"C",COLUMN(),":R",ROW()-1,"C",COLUMN()),FALSE))=0,1,MAX(INDIRECT(CONCATENATE("R",ROW(DataColumns[#Headers]),"C",COLUMN(),":R",ROW()-1,"C",COLUMN()),FALSE))+1),"")</f>
        <v/>
      </c>
      <c r="B67" s="105"/>
      <c r="C67" s="10"/>
      <c r="D67" s="155"/>
      <c r="E67" s="160"/>
      <c r="F67" s="139"/>
      <c r="G67" s="9"/>
      <c r="H67" s="10"/>
      <c r="I67" s="10"/>
      <c r="J67" s="10"/>
      <c r="K67" s="34"/>
      <c r="L67" s="10"/>
      <c r="M67" s="133"/>
      <c r="N67" s="105"/>
      <c r="O67" s="9"/>
      <c r="P67" s="10"/>
      <c r="Q67" s="10"/>
      <c r="R67" s="21"/>
      <c r="S67" s="21"/>
      <c r="T67" s="10"/>
      <c r="U67" s="10"/>
      <c r="V67" s="10"/>
      <c r="W67" s="10"/>
      <c r="X67" s="21"/>
      <c r="Y67" s="10"/>
      <c r="Z67" s="10"/>
      <c r="AA67" s="10"/>
      <c r="AB67" s="177" t="str">
        <f ca="1">IF(DataColumns[[#This Row],[ColumnType]]="ResultValue",IF(MAX(INDIRECT(CONCATENATE("R",ROW(DataColumns[#Headers]),"C",COLUMN(),":R",ROW()-1,"C",COLUMN()),FALSE))=0,1,MAX(INDIRECT(CONCATENATE("R",ROW(DataColumns[#Headers]),"C",COLUMN(),":R",ROW()-1,"C",COLUMN()),FALSE))+1),"")</f>
        <v/>
      </c>
      <c r="AC67" s="126" t="str">
        <f>IF(DataColumns[[#This Row],[ColumnType]]="ResultValue",CONCATENATE(DataColumns[[#This Row],[ColumnType]],DataColumns[[#This Row],[ColumnLabel]]),CONCATENATE(DataColumns[[#This Row],[ColumnType]],DataColumns[[#This Row],[AppliesToColumn]]))</f>
        <v/>
      </c>
    </row>
    <row r="68" spans="1:29" x14ac:dyDescent="0.25">
      <c r="A68" s="47" t="str">
        <f ca="1">IF(COUNTA(DataColumns[[#This Row],[ColumnLabel]:[QualityCodeCV]])&gt;0,IF(MAX(INDIRECT(CONCATENATE("R",ROW(DataColumns[#Headers]),"C",COLUMN(),":R",ROW()-1,"C",COLUMN()),FALSE))=0,1,MAX(INDIRECT(CONCATENATE("R",ROW(DataColumns[#Headers]),"C",COLUMN(),":R",ROW()-1,"C",COLUMN()),FALSE))+1),"")</f>
        <v/>
      </c>
      <c r="B68" s="105"/>
      <c r="C68" s="10"/>
      <c r="D68" s="155"/>
      <c r="E68" s="160"/>
      <c r="F68" s="139"/>
      <c r="G68" s="9"/>
      <c r="H68" s="10"/>
      <c r="I68" s="10"/>
      <c r="J68" s="10"/>
      <c r="K68" s="34"/>
      <c r="L68" s="10"/>
      <c r="M68" s="133"/>
      <c r="N68" s="105"/>
      <c r="O68" s="9"/>
      <c r="P68" s="10"/>
      <c r="Q68" s="10"/>
      <c r="R68" s="21"/>
      <c r="S68" s="21"/>
      <c r="T68" s="10"/>
      <c r="U68" s="10"/>
      <c r="V68" s="10"/>
      <c r="W68" s="10"/>
      <c r="X68" s="21"/>
      <c r="Y68" s="10"/>
      <c r="Z68" s="10"/>
      <c r="AA68" s="10"/>
      <c r="AB68" s="177" t="str">
        <f ca="1">IF(DataColumns[[#This Row],[ColumnType]]="ResultValue",IF(MAX(INDIRECT(CONCATENATE("R",ROW(DataColumns[#Headers]),"C",COLUMN(),":R",ROW()-1,"C",COLUMN()),FALSE))=0,1,MAX(INDIRECT(CONCATENATE("R",ROW(DataColumns[#Headers]),"C",COLUMN(),":R",ROW()-1,"C",COLUMN()),FALSE))+1),"")</f>
        <v/>
      </c>
      <c r="AC68" s="126" t="str">
        <f>IF(DataColumns[[#This Row],[ColumnType]]="ResultValue",CONCATENATE(DataColumns[[#This Row],[ColumnType]],DataColumns[[#This Row],[ColumnLabel]]),CONCATENATE(DataColumns[[#This Row],[ColumnType]],DataColumns[[#This Row],[AppliesToColumn]]))</f>
        <v/>
      </c>
    </row>
    <row r="69" spans="1:29" x14ac:dyDescent="0.25">
      <c r="A69" s="47" t="str">
        <f ca="1">IF(COUNTA(DataColumns[[#This Row],[ColumnLabel]:[QualityCodeCV]])&gt;0,IF(MAX(INDIRECT(CONCATENATE("R",ROW(DataColumns[#Headers]),"C",COLUMN(),":R",ROW()-1,"C",COLUMN()),FALSE))=0,1,MAX(INDIRECT(CONCATENATE("R",ROW(DataColumns[#Headers]),"C",COLUMN(),":R",ROW()-1,"C",COLUMN()),FALSE))+1),"")</f>
        <v/>
      </c>
      <c r="B69" s="105"/>
      <c r="C69" s="10"/>
      <c r="D69" s="155"/>
      <c r="E69" s="160"/>
      <c r="F69" s="139"/>
      <c r="G69" s="9"/>
      <c r="H69" s="10"/>
      <c r="I69" s="10"/>
      <c r="J69" s="10"/>
      <c r="K69" s="34"/>
      <c r="L69" s="10"/>
      <c r="M69" s="133"/>
      <c r="N69" s="105"/>
      <c r="O69" s="9"/>
      <c r="P69" s="10"/>
      <c r="Q69" s="10"/>
      <c r="R69" s="21"/>
      <c r="S69" s="21"/>
      <c r="T69" s="10"/>
      <c r="U69" s="10"/>
      <c r="V69" s="10"/>
      <c r="W69" s="10"/>
      <c r="X69" s="21"/>
      <c r="Y69" s="10"/>
      <c r="Z69" s="10"/>
      <c r="AA69" s="10"/>
      <c r="AB69" s="177" t="str">
        <f ca="1">IF(DataColumns[[#This Row],[ColumnType]]="ResultValue",IF(MAX(INDIRECT(CONCATENATE("R",ROW(DataColumns[#Headers]),"C",COLUMN(),":R",ROW()-1,"C",COLUMN()),FALSE))=0,1,MAX(INDIRECT(CONCATENATE("R",ROW(DataColumns[#Headers]),"C",COLUMN(),":R",ROW()-1,"C",COLUMN()),FALSE))+1),"")</f>
        <v/>
      </c>
      <c r="AC69" s="126" t="str">
        <f>IF(DataColumns[[#This Row],[ColumnType]]="ResultValue",CONCATENATE(DataColumns[[#This Row],[ColumnType]],DataColumns[[#This Row],[ColumnLabel]]),CONCATENATE(DataColumns[[#This Row],[ColumnType]],DataColumns[[#This Row],[AppliesToColumn]]))</f>
        <v/>
      </c>
    </row>
    <row r="70" spans="1:29" x14ac:dyDescent="0.25">
      <c r="A70" s="47" t="str">
        <f ca="1">IF(COUNTA(DataColumns[[#This Row],[ColumnLabel]:[QualityCodeCV]])&gt;0,IF(MAX(INDIRECT(CONCATENATE("R",ROW(DataColumns[#Headers]),"C",COLUMN(),":R",ROW()-1,"C",COLUMN()),FALSE))=0,1,MAX(INDIRECT(CONCATENATE("R",ROW(DataColumns[#Headers]),"C",COLUMN(),":R",ROW()-1,"C",COLUMN()),FALSE))+1),"")</f>
        <v/>
      </c>
      <c r="B70" s="105"/>
      <c r="C70" s="10"/>
      <c r="D70" s="155"/>
      <c r="E70" s="160"/>
      <c r="F70" s="139"/>
      <c r="G70" s="9"/>
      <c r="H70" s="10"/>
      <c r="I70" s="10"/>
      <c r="J70" s="10"/>
      <c r="K70" s="34"/>
      <c r="L70" s="10"/>
      <c r="M70" s="133"/>
      <c r="N70" s="105"/>
      <c r="O70" s="9"/>
      <c r="P70" s="10"/>
      <c r="Q70" s="10"/>
      <c r="R70" s="21"/>
      <c r="S70" s="21"/>
      <c r="T70" s="10"/>
      <c r="U70" s="10"/>
      <c r="V70" s="10"/>
      <c r="W70" s="10"/>
      <c r="X70" s="21"/>
      <c r="Y70" s="10"/>
      <c r="Z70" s="10"/>
      <c r="AA70" s="10"/>
      <c r="AB70" s="177" t="str">
        <f ca="1">IF(DataColumns[[#This Row],[ColumnType]]="ResultValue",IF(MAX(INDIRECT(CONCATENATE("R",ROW(DataColumns[#Headers]),"C",COLUMN(),":R",ROW()-1,"C",COLUMN()),FALSE))=0,1,MAX(INDIRECT(CONCATENATE("R",ROW(DataColumns[#Headers]),"C",COLUMN(),":R",ROW()-1,"C",COLUMN()),FALSE))+1),"")</f>
        <v/>
      </c>
      <c r="AC70" s="126" t="str">
        <f>IF(DataColumns[[#This Row],[ColumnType]]="ResultValue",CONCATENATE(DataColumns[[#This Row],[ColumnType]],DataColumns[[#This Row],[ColumnLabel]]),CONCATENATE(DataColumns[[#This Row],[ColumnType]],DataColumns[[#This Row],[AppliesToColumn]]))</f>
        <v/>
      </c>
    </row>
    <row r="71" spans="1:29" x14ac:dyDescent="0.25">
      <c r="A71" s="47" t="str">
        <f ca="1">IF(COUNTA(DataColumns[[#This Row],[ColumnLabel]:[QualityCodeCV]])&gt;0,IF(MAX(INDIRECT(CONCATENATE("R",ROW(DataColumns[#Headers]),"C",COLUMN(),":R",ROW()-1,"C",COLUMN()),FALSE))=0,1,MAX(INDIRECT(CONCATENATE("R",ROW(DataColumns[#Headers]),"C",COLUMN(),":R",ROW()-1,"C",COLUMN()),FALSE))+1),"")</f>
        <v/>
      </c>
      <c r="B71" s="105"/>
      <c r="C71" s="10"/>
      <c r="D71" s="155"/>
      <c r="E71" s="160"/>
      <c r="F71" s="139"/>
      <c r="G71" s="9"/>
      <c r="H71" s="10"/>
      <c r="I71" s="10"/>
      <c r="J71" s="10"/>
      <c r="K71" s="34"/>
      <c r="L71" s="10"/>
      <c r="M71" s="133"/>
      <c r="N71" s="105"/>
      <c r="O71" s="9"/>
      <c r="P71" s="10"/>
      <c r="Q71" s="10"/>
      <c r="R71" s="21"/>
      <c r="S71" s="21"/>
      <c r="T71" s="10"/>
      <c r="U71" s="10"/>
      <c r="V71" s="10"/>
      <c r="W71" s="10"/>
      <c r="X71" s="21"/>
      <c r="Y71" s="10"/>
      <c r="Z71" s="10"/>
      <c r="AA71" s="10"/>
      <c r="AB71" s="177" t="str">
        <f ca="1">IF(DataColumns[[#This Row],[ColumnType]]="ResultValue",IF(MAX(INDIRECT(CONCATENATE("R",ROW(DataColumns[#Headers]),"C",COLUMN(),":R",ROW()-1,"C",COLUMN()),FALSE))=0,1,MAX(INDIRECT(CONCATENATE("R",ROW(DataColumns[#Headers]),"C",COLUMN(),":R",ROW()-1,"C",COLUMN()),FALSE))+1),"")</f>
        <v/>
      </c>
      <c r="AC71" s="126" t="str">
        <f>IF(DataColumns[[#This Row],[ColumnType]]="ResultValue",CONCATENATE(DataColumns[[#This Row],[ColumnType]],DataColumns[[#This Row],[ColumnLabel]]),CONCATENATE(DataColumns[[#This Row],[ColumnType]],DataColumns[[#This Row],[AppliesToColumn]]))</f>
        <v/>
      </c>
    </row>
    <row r="72" spans="1:29" x14ac:dyDescent="0.25">
      <c r="A72" s="47" t="str">
        <f ca="1">IF(COUNTA(DataColumns[[#This Row],[ColumnLabel]:[QualityCodeCV]])&gt;0,IF(MAX(INDIRECT(CONCATENATE("R",ROW(DataColumns[#Headers]),"C",COLUMN(),":R",ROW()-1,"C",COLUMN()),FALSE))=0,1,MAX(INDIRECT(CONCATENATE("R",ROW(DataColumns[#Headers]),"C",COLUMN(),":R",ROW()-1,"C",COLUMN()),FALSE))+1),"")</f>
        <v/>
      </c>
      <c r="B72" s="105"/>
      <c r="C72" s="10"/>
      <c r="D72" s="155"/>
      <c r="E72" s="160"/>
      <c r="F72" s="139"/>
      <c r="G72" s="9"/>
      <c r="H72" s="10"/>
      <c r="I72" s="10"/>
      <c r="J72" s="10"/>
      <c r="K72" s="34"/>
      <c r="L72" s="10"/>
      <c r="M72" s="133"/>
      <c r="N72" s="105"/>
      <c r="O72" s="9"/>
      <c r="P72" s="10"/>
      <c r="Q72" s="10"/>
      <c r="R72" s="21"/>
      <c r="S72" s="21"/>
      <c r="T72" s="10"/>
      <c r="U72" s="10"/>
      <c r="V72" s="10"/>
      <c r="W72" s="10"/>
      <c r="X72" s="21"/>
      <c r="Y72" s="10"/>
      <c r="Z72" s="10"/>
      <c r="AA72" s="10"/>
      <c r="AB72" s="177" t="str">
        <f ca="1">IF(DataColumns[[#This Row],[ColumnType]]="ResultValue",IF(MAX(INDIRECT(CONCATENATE("R",ROW(DataColumns[#Headers]),"C",COLUMN(),":R",ROW()-1,"C",COLUMN()),FALSE))=0,1,MAX(INDIRECT(CONCATENATE("R",ROW(DataColumns[#Headers]),"C",COLUMN(),":R",ROW()-1,"C",COLUMN()),FALSE))+1),"")</f>
        <v/>
      </c>
      <c r="AC72" s="126" t="str">
        <f>IF(DataColumns[[#This Row],[ColumnType]]="ResultValue",CONCATENATE(DataColumns[[#This Row],[ColumnType]],DataColumns[[#This Row],[ColumnLabel]]),CONCATENATE(DataColumns[[#This Row],[ColumnType]],DataColumns[[#This Row],[AppliesToColumn]]))</f>
        <v/>
      </c>
    </row>
    <row r="73" spans="1:29" x14ac:dyDescent="0.25">
      <c r="A73" s="47" t="str">
        <f ca="1">IF(COUNTA(DataColumns[[#This Row],[ColumnLabel]:[QualityCodeCV]])&gt;0,IF(MAX(INDIRECT(CONCATENATE("R",ROW(DataColumns[#Headers]),"C",COLUMN(),":R",ROW()-1,"C",COLUMN()),FALSE))=0,1,MAX(INDIRECT(CONCATENATE("R",ROW(DataColumns[#Headers]),"C",COLUMN(),":R",ROW()-1,"C",COLUMN()),FALSE))+1),"")</f>
        <v/>
      </c>
      <c r="B73" s="105"/>
      <c r="C73" s="10"/>
      <c r="D73" s="155"/>
      <c r="E73" s="160"/>
      <c r="F73" s="139"/>
      <c r="G73" s="9"/>
      <c r="H73" s="10"/>
      <c r="I73" s="10"/>
      <c r="J73" s="10"/>
      <c r="K73" s="34"/>
      <c r="L73" s="10"/>
      <c r="M73" s="133"/>
      <c r="N73" s="105"/>
      <c r="O73" s="9"/>
      <c r="P73" s="10"/>
      <c r="Q73" s="10"/>
      <c r="R73" s="21"/>
      <c r="S73" s="21"/>
      <c r="T73" s="10"/>
      <c r="U73" s="10"/>
      <c r="V73" s="10"/>
      <c r="W73" s="10"/>
      <c r="X73" s="21"/>
      <c r="Y73" s="10"/>
      <c r="Z73" s="10"/>
      <c r="AA73" s="10"/>
      <c r="AB73" s="177" t="str">
        <f ca="1">IF(DataColumns[[#This Row],[ColumnType]]="ResultValue",IF(MAX(INDIRECT(CONCATENATE("R",ROW(DataColumns[#Headers]),"C",COLUMN(),":R",ROW()-1,"C",COLUMN()),FALSE))=0,1,MAX(INDIRECT(CONCATENATE("R",ROW(DataColumns[#Headers]),"C",COLUMN(),":R",ROW()-1,"C",COLUMN()),FALSE))+1),"")</f>
        <v/>
      </c>
      <c r="AC73" s="126" t="str">
        <f>IF(DataColumns[[#This Row],[ColumnType]]="ResultValue",CONCATENATE(DataColumns[[#This Row],[ColumnType]],DataColumns[[#This Row],[ColumnLabel]]),CONCATENATE(DataColumns[[#This Row],[ColumnType]],DataColumns[[#This Row],[AppliesToColumn]]))</f>
        <v/>
      </c>
    </row>
    <row r="74" spans="1:29" x14ac:dyDescent="0.25">
      <c r="A74" s="47" t="str">
        <f ca="1">IF(COUNTA(DataColumns[[#This Row],[ColumnLabel]:[QualityCodeCV]])&gt;0,IF(MAX(INDIRECT(CONCATENATE("R",ROW(DataColumns[#Headers]),"C",COLUMN(),":R",ROW()-1,"C",COLUMN()),FALSE))=0,1,MAX(INDIRECT(CONCATENATE("R",ROW(DataColumns[#Headers]),"C",COLUMN(),":R",ROW()-1,"C",COLUMN()),FALSE))+1),"")</f>
        <v/>
      </c>
      <c r="B74" s="105"/>
      <c r="C74" s="10"/>
      <c r="D74" s="155"/>
      <c r="E74" s="160"/>
      <c r="F74" s="139"/>
      <c r="G74" s="9"/>
      <c r="H74" s="10"/>
      <c r="I74" s="10"/>
      <c r="J74" s="10"/>
      <c r="K74" s="34"/>
      <c r="L74" s="10"/>
      <c r="M74" s="133"/>
      <c r="N74" s="105"/>
      <c r="O74" s="9"/>
      <c r="P74" s="10"/>
      <c r="Q74" s="10"/>
      <c r="R74" s="21"/>
      <c r="S74" s="21"/>
      <c r="T74" s="10"/>
      <c r="U74" s="10"/>
      <c r="V74" s="10"/>
      <c r="W74" s="10"/>
      <c r="X74" s="21"/>
      <c r="Y74" s="10"/>
      <c r="Z74" s="10"/>
      <c r="AA74" s="10"/>
      <c r="AB74" s="177" t="str">
        <f ca="1">IF(DataColumns[[#This Row],[ColumnType]]="ResultValue",IF(MAX(INDIRECT(CONCATENATE("R",ROW(DataColumns[#Headers]),"C",COLUMN(),":R",ROW()-1,"C",COLUMN()),FALSE))=0,1,MAX(INDIRECT(CONCATENATE("R",ROW(DataColumns[#Headers]),"C",COLUMN(),":R",ROW()-1,"C",COLUMN()),FALSE))+1),"")</f>
        <v/>
      </c>
      <c r="AC74" s="126" t="str">
        <f>IF(DataColumns[[#This Row],[ColumnType]]="ResultValue",CONCATENATE(DataColumns[[#This Row],[ColumnType]],DataColumns[[#This Row],[ColumnLabel]]),CONCATENATE(DataColumns[[#This Row],[ColumnType]],DataColumns[[#This Row],[AppliesToColumn]]))</f>
        <v/>
      </c>
    </row>
    <row r="75" spans="1:29" x14ac:dyDescent="0.25">
      <c r="A75" s="47" t="str">
        <f ca="1">IF(COUNTA(DataColumns[[#This Row],[ColumnLabel]:[QualityCodeCV]])&gt;0,IF(MAX(INDIRECT(CONCATENATE("R",ROW(DataColumns[#Headers]),"C",COLUMN(),":R",ROW()-1,"C",COLUMN()),FALSE))=0,1,MAX(INDIRECT(CONCATENATE("R",ROW(DataColumns[#Headers]),"C",COLUMN(),":R",ROW()-1,"C",COLUMN()),FALSE))+1),"")</f>
        <v/>
      </c>
      <c r="B75" s="105"/>
      <c r="C75" s="10"/>
      <c r="D75" s="155"/>
      <c r="E75" s="160"/>
      <c r="F75" s="139"/>
      <c r="G75" s="9"/>
      <c r="H75" s="10"/>
      <c r="I75" s="10"/>
      <c r="J75" s="10"/>
      <c r="K75" s="34"/>
      <c r="L75" s="10"/>
      <c r="M75" s="133"/>
      <c r="N75" s="105"/>
      <c r="O75" s="9"/>
      <c r="P75" s="10"/>
      <c r="Q75" s="10"/>
      <c r="R75" s="21"/>
      <c r="S75" s="21"/>
      <c r="T75" s="10"/>
      <c r="U75" s="10"/>
      <c r="V75" s="10"/>
      <c r="W75" s="10"/>
      <c r="X75" s="21"/>
      <c r="Y75" s="10"/>
      <c r="Z75" s="10"/>
      <c r="AA75" s="10"/>
      <c r="AB75" s="177" t="str">
        <f ca="1">IF(DataColumns[[#This Row],[ColumnType]]="ResultValue",IF(MAX(INDIRECT(CONCATENATE("R",ROW(DataColumns[#Headers]),"C",COLUMN(),":R",ROW()-1,"C",COLUMN()),FALSE))=0,1,MAX(INDIRECT(CONCATENATE("R",ROW(DataColumns[#Headers]),"C",COLUMN(),":R",ROW()-1,"C",COLUMN()),FALSE))+1),"")</f>
        <v/>
      </c>
      <c r="AC75" s="126" t="str">
        <f>IF(DataColumns[[#This Row],[ColumnType]]="ResultValue",CONCATENATE(DataColumns[[#This Row],[ColumnType]],DataColumns[[#This Row],[ColumnLabel]]),CONCATENATE(DataColumns[[#This Row],[ColumnType]],DataColumns[[#This Row],[AppliesToColumn]]))</f>
        <v/>
      </c>
    </row>
    <row r="76" spans="1:29" x14ac:dyDescent="0.25">
      <c r="A76" s="47" t="str">
        <f ca="1">IF(COUNTA(DataColumns[[#This Row],[ColumnLabel]:[QualityCodeCV]])&gt;0,IF(MAX(INDIRECT(CONCATENATE("R",ROW(DataColumns[#Headers]),"C",COLUMN(),":R",ROW()-1,"C",COLUMN()),FALSE))=0,1,MAX(INDIRECT(CONCATENATE("R",ROW(DataColumns[#Headers]),"C",COLUMN(),":R",ROW()-1,"C",COLUMN()),FALSE))+1),"")</f>
        <v/>
      </c>
      <c r="B76" s="105"/>
      <c r="C76" s="10"/>
      <c r="D76" s="155"/>
      <c r="E76" s="160"/>
      <c r="F76" s="139"/>
      <c r="G76" s="9"/>
      <c r="H76" s="10"/>
      <c r="I76" s="10"/>
      <c r="J76" s="10"/>
      <c r="K76" s="34"/>
      <c r="L76" s="10"/>
      <c r="M76" s="133"/>
      <c r="N76" s="105"/>
      <c r="O76" s="9"/>
      <c r="P76" s="10"/>
      <c r="Q76" s="10"/>
      <c r="R76" s="21"/>
      <c r="S76" s="21"/>
      <c r="T76" s="10"/>
      <c r="U76" s="10"/>
      <c r="V76" s="10"/>
      <c r="W76" s="10"/>
      <c r="X76" s="21"/>
      <c r="Y76" s="10"/>
      <c r="Z76" s="10"/>
      <c r="AA76" s="10"/>
      <c r="AB76" s="177" t="str">
        <f ca="1">IF(DataColumns[[#This Row],[ColumnType]]="ResultValue",IF(MAX(INDIRECT(CONCATENATE("R",ROW(DataColumns[#Headers]),"C",COLUMN(),":R",ROW()-1,"C",COLUMN()),FALSE))=0,1,MAX(INDIRECT(CONCATENATE("R",ROW(DataColumns[#Headers]),"C",COLUMN(),":R",ROW()-1,"C",COLUMN()),FALSE))+1),"")</f>
        <v/>
      </c>
      <c r="AC76" s="126" t="str">
        <f>IF(DataColumns[[#This Row],[ColumnType]]="ResultValue",CONCATENATE(DataColumns[[#This Row],[ColumnType]],DataColumns[[#This Row],[ColumnLabel]]),CONCATENATE(DataColumns[[#This Row],[ColumnType]],DataColumns[[#This Row],[AppliesToColumn]]))</f>
        <v/>
      </c>
    </row>
    <row r="77" spans="1:29" x14ac:dyDescent="0.25">
      <c r="A77" s="47" t="str">
        <f ca="1">IF(COUNTA(DataColumns[[#This Row],[ColumnLabel]:[QualityCodeCV]])&gt;0,IF(MAX(INDIRECT(CONCATENATE("R",ROW(DataColumns[#Headers]),"C",COLUMN(),":R",ROW()-1,"C",COLUMN()),FALSE))=0,1,MAX(INDIRECT(CONCATENATE("R",ROW(DataColumns[#Headers]),"C",COLUMN(),":R",ROW()-1,"C",COLUMN()),FALSE))+1),"")</f>
        <v/>
      </c>
      <c r="B77" s="105"/>
      <c r="C77" s="10"/>
      <c r="D77" s="155"/>
      <c r="E77" s="160"/>
      <c r="F77" s="139"/>
      <c r="G77" s="9"/>
      <c r="H77" s="10"/>
      <c r="I77" s="10"/>
      <c r="J77" s="10"/>
      <c r="K77" s="34"/>
      <c r="L77" s="10"/>
      <c r="M77" s="133"/>
      <c r="N77" s="105"/>
      <c r="O77" s="9"/>
      <c r="P77" s="10"/>
      <c r="Q77" s="10"/>
      <c r="R77" s="21"/>
      <c r="S77" s="21"/>
      <c r="T77" s="10"/>
      <c r="U77" s="10"/>
      <c r="V77" s="10"/>
      <c r="W77" s="10"/>
      <c r="X77" s="21"/>
      <c r="Y77" s="10"/>
      <c r="Z77" s="10"/>
      <c r="AA77" s="10"/>
      <c r="AB77" s="177" t="str">
        <f ca="1">IF(DataColumns[[#This Row],[ColumnType]]="ResultValue",IF(MAX(INDIRECT(CONCATENATE("R",ROW(DataColumns[#Headers]),"C",COLUMN(),":R",ROW()-1,"C",COLUMN()),FALSE))=0,1,MAX(INDIRECT(CONCATENATE("R",ROW(DataColumns[#Headers]),"C",COLUMN(),":R",ROW()-1,"C",COLUMN()),FALSE))+1),"")</f>
        <v/>
      </c>
      <c r="AC77" s="126" t="str">
        <f>IF(DataColumns[[#This Row],[ColumnType]]="ResultValue",CONCATENATE(DataColumns[[#This Row],[ColumnType]],DataColumns[[#This Row],[ColumnLabel]]),CONCATENATE(DataColumns[[#This Row],[ColumnType]],DataColumns[[#This Row],[AppliesToColumn]]))</f>
        <v/>
      </c>
    </row>
    <row r="78" spans="1:29" x14ac:dyDescent="0.25">
      <c r="A78" s="47" t="str">
        <f ca="1">IF(COUNTA(DataColumns[[#This Row],[ColumnLabel]:[QualityCodeCV]])&gt;0,IF(MAX(INDIRECT(CONCATENATE("R",ROW(DataColumns[#Headers]),"C",COLUMN(),":R",ROW()-1,"C",COLUMN()),FALSE))=0,1,MAX(INDIRECT(CONCATENATE("R",ROW(DataColumns[#Headers]),"C",COLUMN(),":R",ROW()-1,"C",COLUMN()),FALSE))+1),"")</f>
        <v/>
      </c>
      <c r="B78" s="105"/>
      <c r="C78" s="10"/>
      <c r="D78" s="155"/>
      <c r="E78" s="160"/>
      <c r="F78" s="139"/>
      <c r="G78" s="9"/>
      <c r="H78" s="10"/>
      <c r="I78" s="10"/>
      <c r="J78" s="10"/>
      <c r="K78" s="34"/>
      <c r="L78" s="10"/>
      <c r="M78" s="133"/>
      <c r="N78" s="105"/>
      <c r="O78" s="9"/>
      <c r="P78" s="10"/>
      <c r="Q78" s="10"/>
      <c r="R78" s="21"/>
      <c r="S78" s="21"/>
      <c r="T78" s="10"/>
      <c r="U78" s="10"/>
      <c r="V78" s="10"/>
      <c r="W78" s="10"/>
      <c r="X78" s="21"/>
      <c r="Y78" s="10"/>
      <c r="Z78" s="10"/>
      <c r="AA78" s="10"/>
      <c r="AB78" s="177" t="str">
        <f ca="1">IF(DataColumns[[#This Row],[ColumnType]]="ResultValue",IF(MAX(INDIRECT(CONCATENATE("R",ROW(DataColumns[#Headers]),"C",COLUMN(),":R",ROW()-1,"C",COLUMN()),FALSE))=0,1,MAX(INDIRECT(CONCATENATE("R",ROW(DataColumns[#Headers]),"C",COLUMN(),":R",ROW()-1,"C",COLUMN()),FALSE))+1),"")</f>
        <v/>
      </c>
      <c r="AC78" s="126" t="str">
        <f>IF(DataColumns[[#This Row],[ColumnType]]="ResultValue",CONCATENATE(DataColumns[[#This Row],[ColumnType]],DataColumns[[#This Row],[ColumnLabel]]),CONCATENATE(DataColumns[[#This Row],[ColumnType]],DataColumns[[#This Row],[AppliesToColumn]]))</f>
        <v/>
      </c>
    </row>
    <row r="79" spans="1:29" x14ac:dyDescent="0.25">
      <c r="A79" s="47" t="str">
        <f ca="1">IF(COUNTA(DataColumns[[#This Row],[ColumnLabel]:[QualityCodeCV]])&gt;0,IF(MAX(INDIRECT(CONCATENATE("R",ROW(DataColumns[#Headers]),"C",COLUMN(),":R",ROW()-1,"C",COLUMN()),FALSE))=0,1,MAX(INDIRECT(CONCATENATE("R",ROW(DataColumns[#Headers]),"C",COLUMN(),":R",ROW()-1,"C",COLUMN()),FALSE))+1),"")</f>
        <v/>
      </c>
      <c r="B79" s="105"/>
      <c r="C79" s="10"/>
      <c r="D79" s="155"/>
      <c r="E79" s="160"/>
      <c r="F79" s="139"/>
      <c r="G79" s="9"/>
      <c r="H79" s="10"/>
      <c r="I79" s="10"/>
      <c r="J79" s="10"/>
      <c r="K79" s="34"/>
      <c r="L79" s="10"/>
      <c r="M79" s="133"/>
      <c r="N79" s="105"/>
      <c r="O79" s="9"/>
      <c r="P79" s="10"/>
      <c r="Q79" s="10"/>
      <c r="R79" s="21"/>
      <c r="S79" s="21"/>
      <c r="T79" s="10"/>
      <c r="U79" s="10"/>
      <c r="V79" s="10"/>
      <c r="W79" s="10"/>
      <c r="X79" s="21"/>
      <c r="Y79" s="10"/>
      <c r="Z79" s="10"/>
      <c r="AA79" s="10"/>
      <c r="AB79" s="177" t="str">
        <f ca="1">IF(DataColumns[[#This Row],[ColumnType]]="ResultValue",IF(MAX(INDIRECT(CONCATENATE("R",ROW(DataColumns[#Headers]),"C",COLUMN(),":R",ROW()-1,"C",COLUMN()),FALSE))=0,1,MAX(INDIRECT(CONCATENATE("R",ROW(DataColumns[#Headers]),"C",COLUMN(),":R",ROW()-1,"C",COLUMN()),FALSE))+1),"")</f>
        <v/>
      </c>
      <c r="AC79" s="126" t="str">
        <f>IF(DataColumns[[#This Row],[ColumnType]]="ResultValue",CONCATENATE(DataColumns[[#This Row],[ColumnType]],DataColumns[[#This Row],[ColumnLabel]]),CONCATENATE(DataColumns[[#This Row],[ColumnType]],DataColumns[[#This Row],[AppliesToColumn]]))</f>
        <v/>
      </c>
    </row>
    <row r="80" spans="1:29" x14ac:dyDescent="0.25">
      <c r="A80" s="47" t="str">
        <f ca="1">IF(COUNTA(DataColumns[[#This Row],[ColumnLabel]:[QualityCodeCV]])&gt;0,IF(MAX(INDIRECT(CONCATENATE("R",ROW(DataColumns[#Headers]),"C",COLUMN(),":R",ROW()-1,"C",COLUMN()),FALSE))=0,1,MAX(INDIRECT(CONCATENATE("R",ROW(DataColumns[#Headers]),"C",COLUMN(),":R",ROW()-1,"C",COLUMN()),FALSE))+1),"")</f>
        <v/>
      </c>
      <c r="B80" s="105"/>
      <c r="C80" s="10"/>
      <c r="D80" s="155"/>
      <c r="E80" s="160"/>
      <c r="F80" s="139"/>
      <c r="G80" s="9"/>
      <c r="H80" s="10"/>
      <c r="I80" s="10"/>
      <c r="J80" s="10"/>
      <c r="K80" s="34"/>
      <c r="L80" s="10"/>
      <c r="M80" s="133"/>
      <c r="N80" s="105"/>
      <c r="O80" s="9"/>
      <c r="P80" s="10"/>
      <c r="Q80" s="10"/>
      <c r="R80" s="21"/>
      <c r="S80" s="21"/>
      <c r="T80" s="10"/>
      <c r="U80" s="10"/>
      <c r="V80" s="10"/>
      <c r="W80" s="10"/>
      <c r="X80" s="21"/>
      <c r="Y80" s="10"/>
      <c r="Z80" s="10"/>
      <c r="AA80" s="10"/>
      <c r="AB80" s="177" t="str">
        <f ca="1">IF(DataColumns[[#This Row],[ColumnType]]="ResultValue",IF(MAX(INDIRECT(CONCATENATE("R",ROW(DataColumns[#Headers]),"C",COLUMN(),":R",ROW()-1,"C",COLUMN()),FALSE))=0,1,MAX(INDIRECT(CONCATENATE("R",ROW(DataColumns[#Headers]),"C",COLUMN(),":R",ROW()-1,"C",COLUMN()),FALSE))+1),"")</f>
        <v/>
      </c>
      <c r="AC80" s="126" t="str">
        <f>IF(DataColumns[[#This Row],[ColumnType]]="ResultValue",CONCATENATE(DataColumns[[#This Row],[ColumnType]],DataColumns[[#This Row],[ColumnLabel]]),CONCATENATE(DataColumns[[#This Row],[ColumnType]],DataColumns[[#This Row],[AppliesToColumn]]))</f>
        <v/>
      </c>
    </row>
    <row r="81" spans="1:29" x14ac:dyDescent="0.25">
      <c r="A81" s="47" t="str">
        <f ca="1">IF(COUNTA(DataColumns[[#This Row],[ColumnLabel]:[QualityCodeCV]])&gt;0,IF(MAX(INDIRECT(CONCATENATE("R",ROW(DataColumns[#Headers]),"C",COLUMN(),":R",ROW()-1,"C",COLUMN()),FALSE))=0,1,MAX(INDIRECT(CONCATENATE("R",ROW(DataColumns[#Headers]),"C",COLUMN(),":R",ROW()-1,"C",COLUMN()),FALSE))+1),"")</f>
        <v/>
      </c>
      <c r="B81" s="105"/>
      <c r="C81" s="10"/>
      <c r="D81" s="155"/>
      <c r="E81" s="160"/>
      <c r="F81" s="139"/>
      <c r="G81" s="9"/>
      <c r="H81" s="10"/>
      <c r="I81" s="10"/>
      <c r="J81" s="10"/>
      <c r="K81" s="34"/>
      <c r="L81" s="10"/>
      <c r="M81" s="133"/>
      <c r="N81" s="105"/>
      <c r="O81" s="9"/>
      <c r="P81" s="10"/>
      <c r="Q81" s="10"/>
      <c r="R81" s="21"/>
      <c r="S81" s="21"/>
      <c r="T81" s="10"/>
      <c r="U81" s="10"/>
      <c r="V81" s="10"/>
      <c r="W81" s="10"/>
      <c r="X81" s="21"/>
      <c r="Y81" s="10"/>
      <c r="Z81" s="10"/>
      <c r="AA81" s="10"/>
      <c r="AB81" s="177" t="str">
        <f ca="1">IF(DataColumns[[#This Row],[ColumnType]]="ResultValue",IF(MAX(INDIRECT(CONCATENATE("R",ROW(DataColumns[#Headers]),"C",COLUMN(),":R",ROW()-1,"C",COLUMN()),FALSE))=0,1,MAX(INDIRECT(CONCATENATE("R",ROW(DataColumns[#Headers]),"C",COLUMN(),":R",ROW()-1,"C",COLUMN()),FALSE))+1),"")</f>
        <v/>
      </c>
      <c r="AC81" s="126" t="str">
        <f>IF(DataColumns[[#This Row],[ColumnType]]="ResultValue",CONCATENATE(DataColumns[[#This Row],[ColumnType]],DataColumns[[#This Row],[ColumnLabel]]),CONCATENATE(DataColumns[[#This Row],[ColumnType]],DataColumns[[#This Row],[AppliesToColumn]]))</f>
        <v/>
      </c>
    </row>
    <row r="82" spans="1:29" x14ac:dyDescent="0.25">
      <c r="A82" s="47" t="str">
        <f ca="1">IF(COUNTA(DataColumns[[#This Row],[ColumnLabel]:[QualityCodeCV]])&gt;0,IF(MAX(INDIRECT(CONCATENATE("R",ROW(DataColumns[#Headers]),"C",COLUMN(),":R",ROW()-1,"C",COLUMN()),FALSE))=0,1,MAX(INDIRECT(CONCATENATE("R",ROW(DataColumns[#Headers]),"C",COLUMN(),":R",ROW()-1,"C",COLUMN()),FALSE))+1),"")</f>
        <v/>
      </c>
      <c r="B82" s="105"/>
      <c r="C82" s="10"/>
      <c r="D82" s="155"/>
      <c r="E82" s="160"/>
      <c r="F82" s="139"/>
      <c r="G82" s="9"/>
      <c r="H82" s="10"/>
      <c r="I82" s="10"/>
      <c r="J82" s="10"/>
      <c r="K82" s="34"/>
      <c r="L82" s="10"/>
      <c r="M82" s="133"/>
      <c r="N82" s="105"/>
      <c r="O82" s="9"/>
      <c r="P82" s="10"/>
      <c r="Q82" s="10"/>
      <c r="R82" s="21"/>
      <c r="S82" s="21"/>
      <c r="T82" s="10"/>
      <c r="U82" s="10"/>
      <c r="V82" s="10"/>
      <c r="W82" s="10"/>
      <c r="X82" s="21"/>
      <c r="Y82" s="10"/>
      <c r="Z82" s="10"/>
      <c r="AA82" s="10"/>
      <c r="AB82" s="177" t="str">
        <f ca="1">IF(DataColumns[[#This Row],[ColumnType]]="ResultValue",IF(MAX(INDIRECT(CONCATENATE("R",ROW(DataColumns[#Headers]),"C",COLUMN(),":R",ROW()-1,"C",COLUMN()),FALSE))=0,1,MAX(INDIRECT(CONCATENATE("R",ROW(DataColumns[#Headers]),"C",COLUMN(),":R",ROW()-1,"C",COLUMN()),FALSE))+1),"")</f>
        <v/>
      </c>
      <c r="AC82" s="126" t="str">
        <f>IF(DataColumns[[#This Row],[ColumnType]]="ResultValue",CONCATENATE(DataColumns[[#This Row],[ColumnType]],DataColumns[[#This Row],[ColumnLabel]]),CONCATENATE(DataColumns[[#This Row],[ColumnType]],DataColumns[[#This Row],[AppliesToColumn]]))</f>
        <v/>
      </c>
    </row>
    <row r="83" spans="1:29" x14ac:dyDescent="0.25">
      <c r="A83" s="47" t="str">
        <f ca="1">IF(COUNTA(DataColumns[[#This Row],[ColumnLabel]:[QualityCodeCV]])&gt;0,IF(MAX(INDIRECT(CONCATENATE("R",ROW(DataColumns[#Headers]),"C",COLUMN(),":R",ROW()-1,"C",COLUMN()),FALSE))=0,1,MAX(INDIRECT(CONCATENATE("R",ROW(DataColumns[#Headers]),"C",COLUMN(),":R",ROW()-1,"C",COLUMN()),FALSE))+1),"")</f>
        <v/>
      </c>
      <c r="B83" s="105"/>
      <c r="C83" s="10"/>
      <c r="D83" s="155"/>
      <c r="E83" s="160"/>
      <c r="F83" s="139"/>
      <c r="G83" s="9"/>
      <c r="H83" s="10"/>
      <c r="I83" s="10"/>
      <c r="J83" s="10"/>
      <c r="K83" s="34"/>
      <c r="L83" s="10"/>
      <c r="M83" s="133"/>
      <c r="N83" s="105"/>
      <c r="O83" s="9"/>
      <c r="P83" s="10"/>
      <c r="Q83" s="10"/>
      <c r="R83" s="21"/>
      <c r="S83" s="21"/>
      <c r="T83" s="10"/>
      <c r="U83" s="10"/>
      <c r="V83" s="10"/>
      <c r="W83" s="10"/>
      <c r="X83" s="21"/>
      <c r="Y83" s="10"/>
      <c r="Z83" s="10"/>
      <c r="AA83" s="10"/>
      <c r="AB83" s="177" t="str">
        <f ca="1">IF(DataColumns[[#This Row],[ColumnType]]="ResultValue",IF(MAX(INDIRECT(CONCATENATE("R",ROW(DataColumns[#Headers]),"C",COLUMN(),":R",ROW()-1,"C",COLUMN()),FALSE))=0,1,MAX(INDIRECT(CONCATENATE("R",ROW(DataColumns[#Headers]),"C",COLUMN(),":R",ROW()-1,"C",COLUMN()),FALSE))+1),"")</f>
        <v/>
      </c>
      <c r="AC83" s="126" t="str">
        <f>IF(DataColumns[[#This Row],[ColumnType]]="ResultValue",CONCATENATE(DataColumns[[#This Row],[ColumnType]],DataColumns[[#This Row],[ColumnLabel]]),CONCATENATE(DataColumns[[#This Row],[ColumnType]],DataColumns[[#This Row],[AppliesToColumn]]))</f>
        <v/>
      </c>
    </row>
    <row r="84" spans="1:29" x14ac:dyDescent="0.25">
      <c r="A84" s="47" t="str">
        <f ca="1">IF(COUNTA(DataColumns[[#This Row],[ColumnLabel]:[QualityCodeCV]])&gt;0,IF(MAX(INDIRECT(CONCATENATE("R",ROW(DataColumns[#Headers]),"C",COLUMN(),":R",ROW()-1,"C",COLUMN()),FALSE))=0,1,MAX(INDIRECT(CONCATENATE("R",ROW(DataColumns[#Headers]),"C",COLUMN(),":R",ROW()-1,"C",COLUMN()),FALSE))+1),"")</f>
        <v/>
      </c>
      <c r="B84" s="105"/>
      <c r="C84" s="10"/>
      <c r="D84" s="155"/>
      <c r="E84" s="160"/>
      <c r="F84" s="139"/>
      <c r="G84" s="9"/>
      <c r="H84" s="10"/>
      <c r="I84" s="10"/>
      <c r="J84" s="10"/>
      <c r="K84" s="34"/>
      <c r="L84" s="10"/>
      <c r="M84" s="133"/>
      <c r="N84" s="105"/>
      <c r="O84" s="9"/>
      <c r="P84" s="10"/>
      <c r="Q84" s="10"/>
      <c r="R84" s="21"/>
      <c r="S84" s="21"/>
      <c r="T84" s="10"/>
      <c r="U84" s="10"/>
      <c r="V84" s="10"/>
      <c r="W84" s="10"/>
      <c r="X84" s="21"/>
      <c r="Y84" s="10"/>
      <c r="Z84" s="10"/>
      <c r="AA84" s="10"/>
      <c r="AB84" s="177" t="str">
        <f ca="1">IF(DataColumns[[#This Row],[ColumnType]]="ResultValue",IF(MAX(INDIRECT(CONCATENATE("R",ROW(DataColumns[#Headers]),"C",COLUMN(),":R",ROW()-1,"C",COLUMN()),FALSE))=0,1,MAX(INDIRECT(CONCATENATE("R",ROW(DataColumns[#Headers]),"C",COLUMN(),":R",ROW()-1,"C",COLUMN()),FALSE))+1),"")</f>
        <v/>
      </c>
      <c r="AC84" s="126" t="str">
        <f>IF(DataColumns[[#This Row],[ColumnType]]="ResultValue",CONCATENATE(DataColumns[[#This Row],[ColumnType]],DataColumns[[#This Row],[ColumnLabel]]),CONCATENATE(DataColumns[[#This Row],[ColumnType]],DataColumns[[#This Row],[AppliesToColumn]]))</f>
        <v/>
      </c>
    </row>
    <row r="85" spans="1:29" x14ac:dyDescent="0.25">
      <c r="A85" s="47" t="str">
        <f ca="1">IF(COUNTA(DataColumns[[#This Row],[ColumnLabel]:[QualityCodeCV]])&gt;0,IF(MAX(INDIRECT(CONCATENATE("R",ROW(DataColumns[#Headers]),"C",COLUMN(),":R",ROW()-1,"C",COLUMN()),FALSE))=0,1,MAX(INDIRECT(CONCATENATE("R",ROW(DataColumns[#Headers]),"C",COLUMN(),":R",ROW()-1,"C",COLUMN()),FALSE))+1),"")</f>
        <v/>
      </c>
      <c r="B85" s="105"/>
      <c r="C85" s="10"/>
      <c r="D85" s="155"/>
      <c r="E85" s="160"/>
      <c r="F85" s="139"/>
      <c r="G85" s="9"/>
      <c r="H85" s="10"/>
      <c r="I85" s="10"/>
      <c r="J85" s="10"/>
      <c r="K85" s="34"/>
      <c r="L85" s="10"/>
      <c r="M85" s="133"/>
      <c r="N85" s="105"/>
      <c r="O85" s="9"/>
      <c r="P85" s="10"/>
      <c r="Q85" s="10"/>
      <c r="R85" s="21"/>
      <c r="S85" s="21"/>
      <c r="T85" s="10"/>
      <c r="U85" s="10"/>
      <c r="V85" s="10"/>
      <c r="W85" s="10"/>
      <c r="X85" s="21"/>
      <c r="Y85" s="10"/>
      <c r="Z85" s="10"/>
      <c r="AA85" s="10"/>
      <c r="AB85" s="177" t="str">
        <f ca="1">IF(DataColumns[[#This Row],[ColumnType]]="ResultValue",IF(MAX(INDIRECT(CONCATENATE("R",ROW(DataColumns[#Headers]),"C",COLUMN(),":R",ROW()-1,"C",COLUMN()),FALSE))=0,1,MAX(INDIRECT(CONCATENATE("R",ROW(DataColumns[#Headers]),"C",COLUMN(),":R",ROW()-1,"C",COLUMN()),FALSE))+1),"")</f>
        <v/>
      </c>
      <c r="AC85" s="126" t="str">
        <f>IF(DataColumns[[#This Row],[ColumnType]]="ResultValue",CONCATENATE(DataColumns[[#This Row],[ColumnType]],DataColumns[[#This Row],[ColumnLabel]]),CONCATENATE(DataColumns[[#This Row],[ColumnType]],DataColumns[[#This Row],[AppliesToColumn]]))</f>
        <v/>
      </c>
    </row>
    <row r="86" spans="1:29" x14ac:dyDescent="0.25">
      <c r="A86" s="47" t="str">
        <f ca="1">IF(COUNTA(DataColumns[[#This Row],[ColumnLabel]:[QualityCodeCV]])&gt;0,IF(MAX(INDIRECT(CONCATENATE("R",ROW(DataColumns[#Headers]),"C",COLUMN(),":R",ROW()-1,"C",COLUMN()),FALSE))=0,1,MAX(INDIRECT(CONCATENATE("R",ROW(DataColumns[#Headers]),"C",COLUMN(),":R",ROW()-1,"C",COLUMN()),FALSE))+1),"")</f>
        <v/>
      </c>
      <c r="B86" s="105"/>
      <c r="C86" s="10"/>
      <c r="D86" s="155"/>
      <c r="E86" s="160"/>
      <c r="F86" s="139"/>
      <c r="G86" s="9"/>
      <c r="H86" s="10"/>
      <c r="I86" s="10"/>
      <c r="J86" s="10"/>
      <c r="K86" s="34"/>
      <c r="L86" s="10"/>
      <c r="M86" s="133"/>
      <c r="N86" s="105"/>
      <c r="O86" s="9"/>
      <c r="P86" s="10"/>
      <c r="Q86" s="10"/>
      <c r="R86" s="21"/>
      <c r="S86" s="21"/>
      <c r="T86" s="10"/>
      <c r="U86" s="10"/>
      <c r="V86" s="10"/>
      <c r="W86" s="10"/>
      <c r="X86" s="21"/>
      <c r="Y86" s="10"/>
      <c r="Z86" s="10"/>
      <c r="AA86" s="10"/>
      <c r="AB86" s="177" t="str">
        <f ca="1">IF(DataColumns[[#This Row],[ColumnType]]="ResultValue",IF(MAX(INDIRECT(CONCATENATE("R",ROW(DataColumns[#Headers]),"C",COLUMN(),":R",ROW()-1,"C",COLUMN()),FALSE))=0,1,MAX(INDIRECT(CONCATENATE("R",ROW(DataColumns[#Headers]),"C",COLUMN(),":R",ROW()-1,"C",COLUMN()),FALSE))+1),"")</f>
        <v/>
      </c>
      <c r="AC86" s="126" t="str">
        <f>IF(DataColumns[[#This Row],[ColumnType]]="ResultValue",CONCATENATE(DataColumns[[#This Row],[ColumnType]],DataColumns[[#This Row],[ColumnLabel]]),CONCATENATE(DataColumns[[#This Row],[ColumnType]],DataColumns[[#This Row],[AppliesToColumn]]))</f>
        <v/>
      </c>
    </row>
    <row r="87" spans="1:29" x14ac:dyDescent="0.25">
      <c r="A87" s="47" t="str">
        <f ca="1">IF(COUNTA(DataColumns[[#This Row],[ColumnLabel]:[QualityCodeCV]])&gt;0,IF(MAX(INDIRECT(CONCATENATE("R",ROW(DataColumns[#Headers]),"C",COLUMN(),":R",ROW()-1,"C",COLUMN()),FALSE))=0,1,MAX(INDIRECT(CONCATENATE("R",ROW(DataColumns[#Headers]),"C",COLUMN(),":R",ROW()-1,"C",COLUMN()),FALSE))+1),"")</f>
        <v/>
      </c>
      <c r="B87" s="105"/>
      <c r="C87" s="10"/>
      <c r="D87" s="155"/>
      <c r="E87" s="160"/>
      <c r="F87" s="139"/>
      <c r="G87" s="9"/>
      <c r="H87" s="10"/>
      <c r="I87" s="10"/>
      <c r="J87" s="10"/>
      <c r="K87" s="34"/>
      <c r="L87" s="10"/>
      <c r="M87" s="133"/>
      <c r="N87" s="105"/>
      <c r="O87" s="9"/>
      <c r="P87" s="10"/>
      <c r="Q87" s="10"/>
      <c r="R87" s="21"/>
      <c r="S87" s="21"/>
      <c r="T87" s="10"/>
      <c r="U87" s="10"/>
      <c r="V87" s="10"/>
      <c r="W87" s="10"/>
      <c r="X87" s="21"/>
      <c r="Y87" s="10"/>
      <c r="Z87" s="10"/>
      <c r="AA87" s="10"/>
      <c r="AB87" s="177" t="str">
        <f ca="1">IF(DataColumns[[#This Row],[ColumnType]]="ResultValue",IF(MAX(INDIRECT(CONCATENATE("R",ROW(DataColumns[#Headers]),"C",COLUMN(),":R",ROW()-1,"C",COLUMN()),FALSE))=0,1,MAX(INDIRECT(CONCATENATE("R",ROW(DataColumns[#Headers]),"C",COLUMN(),":R",ROW()-1,"C",COLUMN()),FALSE))+1),"")</f>
        <v/>
      </c>
      <c r="AC87" s="126" t="str">
        <f>IF(DataColumns[[#This Row],[ColumnType]]="ResultValue",CONCATENATE(DataColumns[[#This Row],[ColumnType]],DataColumns[[#This Row],[ColumnLabel]]),CONCATENATE(DataColumns[[#This Row],[ColumnType]],DataColumns[[#This Row],[AppliesToColumn]]))</f>
        <v/>
      </c>
    </row>
    <row r="88" spans="1:29" x14ac:dyDescent="0.25">
      <c r="A88" s="47" t="str">
        <f ca="1">IF(COUNTA(DataColumns[[#This Row],[ColumnLabel]:[QualityCodeCV]])&gt;0,IF(MAX(INDIRECT(CONCATENATE("R",ROW(DataColumns[#Headers]),"C",COLUMN(),":R",ROW()-1,"C",COLUMN()),FALSE))=0,1,MAX(INDIRECT(CONCATENATE("R",ROW(DataColumns[#Headers]),"C",COLUMN(),":R",ROW()-1,"C",COLUMN()),FALSE))+1),"")</f>
        <v/>
      </c>
      <c r="B88" s="105"/>
      <c r="C88" s="10"/>
      <c r="D88" s="155"/>
      <c r="E88" s="160"/>
      <c r="F88" s="139"/>
      <c r="G88" s="9"/>
      <c r="H88" s="10"/>
      <c r="I88" s="10"/>
      <c r="J88" s="10"/>
      <c r="K88" s="34"/>
      <c r="L88" s="10"/>
      <c r="M88" s="133"/>
      <c r="N88" s="105"/>
      <c r="O88" s="9"/>
      <c r="P88" s="10"/>
      <c r="Q88" s="10"/>
      <c r="R88" s="21"/>
      <c r="S88" s="21"/>
      <c r="T88" s="10"/>
      <c r="U88" s="10"/>
      <c r="V88" s="10"/>
      <c r="W88" s="10"/>
      <c r="X88" s="21"/>
      <c r="Y88" s="10"/>
      <c r="Z88" s="10"/>
      <c r="AA88" s="10"/>
      <c r="AB88" s="177" t="str">
        <f ca="1">IF(DataColumns[[#This Row],[ColumnType]]="ResultValue",IF(MAX(INDIRECT(CONCATENATE("R",ROW(DataColumns[#Headers]),"C",COLUMN(),":R",ROW()-1,"C",COLUMN()),FALSE))=0,1,MAX(INDIRECT(CONCATENATE("R",ROW(DataColumns[#Headers]),"C",COLUMN(),":R",ROW()-1,"C",COLUMN()),FALSE))+1),"")</f>
        <v/>
      </c>
      <c r="AC88" s="126" t="str">
        <f>IF(DataColumns[[#This Row],[ColumnType]]="ResultValue",CONCATENATE(DataColumns[[#This Row],[ColumnType]],DataColumns[[#This Row],[ColumnLabel]]),CONCATENATE(DataColumns[[#This Row],[ColumnType]],DataColumns[[#This Row],[AppliesToColumn]]))</f>
        <v/>
      </c>
    </row>
    <row r="89" spans="1:29" x14ac:dyDescent="0.25">
      <c r="A89" s="47" t="str">
        <f ca="1">IF(COUNTA(DataColumns[[#This Row],[ColumnLabel]:[QualityCodeCV]])&gt;0,IF(MAX(INDIRECT(CONCATENATE("R",ROW(DataColumns[#Headers]),"C",COLUMN(),":R",ROW()-1,"C",COLUMN()),FALSE))=0,1,MAX(INDIRECT(CONCATENATE("R",ROW(DataColumns[#Headers]),"C",COLUMN(),":R",ROW()-1,"C",COLUMN()),FALSE))+1),"")</f>
        <v/>
      </c>
      <c r="B89" s="105"/>
      <c r="C89" s="10"/>
      <c r="D89" s="155"/>
      <c r="E89" s="160"/>
      <c r="F89" s="139"/>
      <c r="G89" s="9"/>
      <c r="H89" s="10"/>
      <c r="I89" s="10"/>
      <c r="J89" s="10"/>
      <c r="K89" s="34"/>
      <c r="L89" s="10"/>
      <c r="M89" s="133"/>
      <c r="N89" s="105"/>
      <c r="O89" s="9"/>
      <c r="P89" s="10"/>
      <c r="Q89" s="10"/>
      <c r="R89" s="21"/>
      <c r="S89" s="21"/>
      <c r="T89" s="10"/>
      <c r="U89" s="10"/>
      <c r="V89" s="10"/>
      <c r="W89" s="10"/>
      <c r="X89" s="21"/>
      <c r="Y89" s="10"/>
      <c r="Z89" s="10"/>
      <c r="AA89" s="10"/>
      <c r="AB89" s="177" t="str">
        <f ca="1">IF(DataColumns[[#This Row],[ColumnType]]="ResultValue",IF(MAX(INDIRECT(CONCATENATE("R",ROW(DataColumns[#Headers]),"C",COLUMN(),":R",ROW()-1,"C",COLUMN()),FALSE))=0,1,MAX(INDIRECT(CONCATENATE("R",ROW(DataColumns[#Headers]),"C",COLUMN(),":R",ROW()-1,"C",COLUMN()),FALSE))+1),"")</f>
        <v/>
      </c>
      <c r="AC89" s="126" t="str">
        <f>IF(DataColumns[[#This Row],[ColumnType]]="ResultValue",CONCATENATE(DataColumns[[#This Row],[ColumnType]],DataColumns[[#This Row],[ColumnLabel]]),CONCATENATE(DataColumns[[#This Row],[ColumnType]],DataColumns[[#This Row],[AppliesToColumn]]))</f>
        <v/>
      </c>
    </row>
    <row r="90" spans="1:29" x14ac:dyDescent="0.25">
      <c r="A90" s="47" t="str">
        <f ca="1">IF(COUNTA(DataColumns[[#This Row],[ColumnLabel]:[QualityCodeCV]])&gt;0,IF(MAX(INDIRECT(CONCATENATE("R",ROW(DataColumns[#Headers]),"C",COLUMN(),":R",ROW()-1,"C",COLUMN()),FALSE))=0,1,MAX(INDIRECT(CONCATENATE("R",ROW(DataColumns[#Headers]),"C",COLUMN(),":R",ROW()-1,"C",COLUMN()),FALSE))+1),"")</f>
        <v/>
      </c>
      <c r="B90" s="105"/>
      <c r="C90" s="10"/>
      <c r="D90" s="155"/>
      <c r="E90" s="160"/>
      <c r="F90" s="139"/>
      <c r="G90" s="9"/>
      <c r="H90" s="10"/>
      <c r="I90" s="10"/>
      <c r="J90" s="10"/>
      <c r="K90" s="34"/>
      <c r="L90" s="10"/>
      <c r="M90" s="133"/>
      <c r="N90" s="105"/>
      <c r="O90" s="9"/>
      <c r="P90" s="10"/>
      <c r="Q90" s="10"/>
      <c r="R90" s="21"/>
      <c r="S90" s="21"/>
      <c r="T90" s="10"/>
      <c r="U90" s="10"/>
      <c r="V90" s="10"/>
      <c r="W90" s="10"/>
      <c r="X90" s="21"/>
      <c r="Y90" s="10"/>
      <c r="Z90" s="10"/>
      <c r="AA90" s="10"/>
      <c r="AB90" s="177" t="str">
        <f ca="1">IF(DataColumns[[#This Row],[ColumnType]]="ResultValue",IF(MAX(INDIRECT(CONCATENATE("R",ROW(DataColumns[#Headers]),"C",COLUMN(),":R",ROW()-1,"C",COLUMN()),FALSE))=0,1,MAX(INDIRECT(CONCATENATE("R",ROW(DataColumns[#Headers]),"C",COLUMN(),":R",ROW()-1,"C",COLUMN()),FALSE))+1),"")</f>
        <v/>
      </c>
      <c r="AC90" s="126" t="str">
        <f>IF(DataColumns[[#This Row],[ColumnType]]="ResultValue",CONCATENATE(DataColumns[[#This Row],[ColumnType]],DataColumns[[#This Row],[ColumnLabel]]),CONCATENATE(DataColumns[[#This Row],[ColumnType]],DataColumns[[#This Row],[AppliesToColumn]]))</f>
        <v/>
      </c>
    </row>
    <row r="91" spans="1:29" x14ac:dyDescent="0.25">
      <c r="A91" s="47" t="str">
        <f ca="1">IF(COUNTA(DataColumns[[#This Row],[ColumnLabel]:[QualityCodeCV]])&gt;0,IF(MAX(INDIRECT(CONCATENATE("R",ROW(DataColumns[#Headers]),"C",COLUMN(),":R",ROW()-1,"C",COLUMN()),FALSE))=0,1,MAX(INDIRECT(CONCATENATE("R",ROW(DataColumns[#Headers]),"C",COLUMN(),":R",ROW()-1,"C",COLUMN()),FALSE))+1),"")</f>
        <v/>
      </c>
      <c r="B91" s="105"/>
      <c r="C91" s="10"/>
      <c r="D91" s="155"/>
      <c r="E91" s="160"/>
      <c r="F91" s="139"/>
      <c r="G91" s="9"/>
      <c r="H91" s="10"/>
      <c r="I91" s="10"/>
      <c r="J91" s="10"/>
      <c r="K91" s="34"/>
      <c r="L91" s="10"/>
      <c r="M91" s="133"/>
      <c r="N91" s="105"/>
      <c r="O91" s="9"/>
      <c r="P91" s="10"/>
      <c r="Q91" s="10"/>
      <c r="R91" s="21"/>
      <c r="S91" s="21"/>
      <c r="T91" s="10"/>
      <c r="U91" s="10"/>
      <c r="V91" s="10"/>
      <c r="W91" s="10"/>
      <c r="X91" s="21"/>
      <c r="Y91" s="10"/>
      <c r="Z91" s="10"/>
      <c r="AA91" s="10"/>
      <c r="AB91" s="177" t="str">
        <f ca="1">IF(DataColumns[[#This Row],[ColumnType]]="ResultValue",IF(MAX(INDIRECT(CONCATENATE("R",ROW(DataColumns[#Headers]),"C",COLUMN(),":R",ROW()-1,"C",COLUMN()),FALSE))=0,1,MAX(INDIRECT(CONCATENATE("R",ROW(DataColumns[#Headers]),"C",COLUMN(),":R",ROW()-1,"C",COLUMN()),FALSE))+1),"")</f>
        <v/>
      </c>
      <c r="AC91" s="126" t="str">
        <f>IF(DataColumns[[#This Row],[ColumnType]]="ResultValue",CONCATENATE(DataColumns[[#This Row],[ColumnType]],DataColumns[[#This Row],[ColumnLabel]]),CONCATENATE(DataColumns[[#This Row],[ColumnType]],DataColumns[[#This Row],[AppliesToColumn]]))</f>
        <v/>
      </c>
    </row>
    <row r="92" spans="1:29" x14ac:dyDescent="0.25">
      <c r="A92" s="47" t="str">
        <f ca="1">IF(COUNTA(DataColumns[[#This Row],[ColumnLabel]:[QualityCodeCV]])&gt;0,IF(MAX(INDIRECT(CONCATENATE("R",ROW(DataColumns[#Headers]),"C",COLUMN(),":R",ROW()-1,"C",COLUMN()),FALSE))=0,1,MAX(INDIRECT(CONCATENATE("R",ROW(DataColumns[#Headers]),"C",COLUMN(),":R",ROW()-1,"C",COLUMN()),FALSE))+1),"")</f>
        <v/>
      </c>
      <c r="B92" s="105"/>
      <c r="C92" s="10"/>
      <c r="D92" s="155"/>
      <c r="E92" s="160"/>
      <c r="F92" s="139"/>
      <c r="G92" s="9"/>
      <c r="H92" s="10"/>
      <c r="I92" s="10"/>
      <c r="J92" s="10"/>
      <c r="K92" s="34"/>
      <c r="L92" s="10"/>
      <c r="M92" s="133"/>
      <c r="N92" s="105"/>
      <c r="O92" s="9"/>
      <c r="P92" s="10"/>
      <c r="Q92" s="10"/>
      <c r="R92" s="21"/>
      <c r="S92" s="21"/>
      <c r="T92" s="10"/>
      <c r="U92" s="10"/>
      <c r="V92" s="10"/>
      <c r="W92" s="10"/>
      <c r="X92" s="21"/>
      <c r="Y92" s="10"/>
      <c r="Z92" s="10"/>
      <c r="AA92" s="10"/>
      <c r="AB92" s="177" t="str">
        <f ca="1">IF(DataColumns[[#This Row],[ColumnType]]="ResultValue",IF(MAX(INDIRECT(CONCATENATE("R",ROW(DataColumns[#Headers]),"C",COLUMN(),":R",ROW()-1,"C",COLUMN()),FALSE))=0,1,MAX(INDIRECT(CONCATENATE("R",ROW(DataColumns[#Headers]),"C",COLUMN(),":R",ROW()-1,"C",COLUMN()),FALSE))+1),"")</f>
        <v/>
      </c>
      <c r="AC92" s="126" t="str">
        <f>IF(DataColumns[[#This Row],[ColumnType]]="ResultValue",CONCATENATE(DataColumns[[#This Row],[ColumnType]],DataColumns[[#This Row],[ColumnLabel]]),CONCATENATE(DataColumns[[#This Row],[ColumnType]],DataColumns[[#This Row],[AppliesToColumn]]))</f>
        <v/>
      </c>
    </row>
    <row r="93" spans="1:29" x14ac:dyDescent="0.25">
      <c r="A93" s="47" t="str">
        <f ca="1">IF(COUNTA(DataColumns[[#This Row],[ColumnLabel]:[QualityCodeCV]])&gt;0,IF(MAX(INDIRECT(CONCATENATE("R",ROW(DataColumns[#Headers]),"C",COLUMN(),":R",ROW()-1,"C",COLUMN()),FALSE))=0,1,MAX(INDIRECT(CONCATENATE("R",ROW(DataColumns[#Headers]),"C",COLUMN(),":R",ROW()-1,"C",COLUMN()),FALSE))+1),"")</f>
        <v/>
      </c>
      <c r="B93" s="105"/>
      <c r="C93" s="10"/>
      <c r="D93" s="155"/>
      <c r="E93" s="160"/>
      <c r="F93" s="139"/>
      <c r="G93" s="9"/>
      <c r="H93" s="10"/>
      <c r="I93" s="10"/>
      <c r="J93" s="10"/>
      <c r="K93" s="34"/>
      <c r="L93" s="10"/>
      <c r="M93" s="133"/>
      <c r="N93" s="105"/>
      <c r="O93" s="9"/>
      <c r="P93" s="10"/>
      <c r="Q93" s="10"/>
      <c r="R93" s="21"/>
      <c r="S93" s="21"/>
      <c r="T93" s="10"/>
      <c r="U93" s="10"/>
      <c r="V93" s="10"/>
      <c r="W93" s="10"/>
      <c r="X93" s="21"/>
      <c r="Y93" s="10"/>
      <c r="Z93" s="10"/>
      <c r="AA93" s="10"/>
      <c r="AB93" s="177" t="str">
        <f ca="1">IF(DataColumns[[#This Row],[ColumnType]]="ResultValue",IF(MAX(INDIRECT(CONCATENATE("R",ROW(DataColumns[#Headers]),"C",COLUMN(),":R",ROW()-1,"C",COLUMN()),FALSE))=0,1,MAX(INDIRECT(CONCATENATE("R",ROW(DataColumns[#Headers]),"C",COLUMN(),":R",ROW()-1,"C",COLUMN()),FALSE))+1),"")</f>
        <v/>
      </c>
      <c r="AC93" s="126" t="str">
        <f>IF(DataColumns[[#This Row],[ColumnType]]="ResultValue",CONCATENATE(DataColumns[[#This Row],[ColumnType]],DataColumns[[#This Row],[ColumnLabel]]),CONCATENATE(DataColumns[[#This Row],[ColumnType]],DataColumns[[#This Row],[AppliesToColumn]]))</f>
        <v/>
      </c>
    </row>
    <row r="94" spans="1:29" x14ac:dyDescent="0.25">
      <c r="A94" s="47" t="str">
        <f ca="1">IF(COUNTA(DataColumns[[#This Row],[ColumnLabel]:[QualityCodeCV]])&gt;0,IF(MAX(INDIRECT(CONCATENATE("R",ROW(DataColumns[#Headers]),"C",COLUMN(),":R",ROW()-1,"C",COLUMN()),FALSE))=0,1,MAX(INDIRECT(CONCATENATE("R",ROW(DataColumns[#Headers]),"C",COLUMN(),":R",ROW()-1,"C",COLUMN()),FALSE))+1),"")</f>
        <v/>
      </c>
      <c r="B94" s="105"/>
      <c r="C94" s="10"/>
      <c r="D94" s="155"/>
      <c r="E94" s="160"/>
      <c r="F94" s="139"/>
      <c r="G94" s="9"/>
      <c r="H94" s="10"/>
      <c r="I94" s="10"/>
      <c r="J94" s="10"/>
      <c r="K94" s="34"/>
      <c r="L94" s="10"/>
      <c r="M94" s="133"/>
      <c r="N94" s="105"/>
      <c r="O94" s="9"/>
      <c r="P94" s="10"/>
      <c r="Q94" s="10"/>
      <c r="R94" s="21"/>
      <c r="S94" s="21"/>
      <c r="T94" s="10"/>
      <c r="U94" s="10"/>
      <c r="V94" s="10"/>
      <c r="W94" s="10"/>
      <c r="X94" s="21"/>
      <c r="Y94" s="10"/>
      <c r="Z94" s="10"/>
      <c r="AA94" s="10"/>
      <c r="AB94" s="177" t="str">
        <f ca="1">IF(DataColumns[[#This Row],[ColumnType]]="ResultValue",IF(MAX(INDIRECT(CONCATENATE("R",ROW(DataColumns[#Headers]),"C",COLUMN(),":R",ROW()-1,"C",COLUMN()),FALSE))=0,1,MAX(INDIRECT(CONCATENATE("R",ROW(DataColumns[#Headers]),"C",COLUMN(),":R",ROW()-1,"C",COLUMN()),FALSE))+1),"")</f>
        <v/>
      </c>
      <c r="AC94" s="126" t="str">
        <f>IF(DataColumns[[#This Row],[ColumnType]]="ResultValue",CONCATENATE(DataColumns[[#This Row],[ColumnType]],DataColumns[[#This Row],[ColumnLabel]]),CONCATENATE(DataColumns[[#This Row],[ColumnType]],DataColumns[[#This Row],[AppliesToColumn]]))</f>
        <v/>
      </c>
    </row>
    <row r="95" spans="1:29" x14ac:dyDescent="0.25">
      <c r="A95" s="47" t="str">
        <f ca="1">IF(COUNTA(DataColumns[[#This Row],[ColumnLabel]:[QualityCodeCV]])&gt;0,IF(MAX(INDIRECT(CONCATENATE("R",ROW(DataColumns[#Headers]),"C",COLUMN(),":R",ROW()-1,"C",COLUMN()),FALSE))=0,1,MAX(INDIRECT(CONCATENATE("R",ROW(DataColumns[#Headers]),"C",COLUMN(),":R",ROW()-1,"C",COLUMN()),FALSE))+1),"")</f>
        <v/>
      </c>
      <c r="B95" s="105"/>
      <c r="C95" s="10"/>
      <c r="D95" s="155"/>
      <c r="E95" s="160"/>
      <c r="F95" s="139"/>
      <c r="G95" s="9"/>
      <c r="H95" s="10"/>
      <c r="I95" s="10"/>
      <c r="J95" s="10"/>
      <c r="K95" s="34"/>
      <c r="L95" s="10"/>
      <c r="M95" s="133"/>
      <c r="N95" s="105"/>
      <c r="O95" s="9"/>
      <c r="P95" s="10"/>
      <c r="Q95" s="10"/>
      <c r="R95" s="21"/>
      <c r="S95" s="21"/>
      <c r="T95" s="10"/>
      <c r="U95" s="10"/>
      <c r="V95" s="10"/>
      <c r="W95" s="10"/>
      <c r="X95" s="21"/>
      <c r="Y95" s="10"/>
      <c r="Z95" s="10"/>
      <c r="AA95" s="10"/>
      <c r="AB95" s="177" t="str">
        <f ca="1">IF(DataColumns[[#This Row],[ColumnType]]="ResultValue",IF(MAX(INDIRECT(CONCATENATE("R",ROW(DataColumns[#Headers]),"C",COLUMN(),":R",ROW()-1,"C",COLUMN()),FALSE))=0,1,MAX(INDIRECT(CONCATENATE("R",ROW(DataColumns[#Headers]),"C",COLUMN(),":R",ROW()-1,"C",COLUMN()),FALSE))+1),"")</f>
        <v/>
      </c>
      <c r="AC95" s="126" t="str">
        <f>IF(DataColumns[[#This Row],[ColumnType]]="ResultValue",CONCATENATE(DataColumns[[#This Row],[ColumnType]],DataColumns[[#This Row],[ColumnLabel]]),CONCATENATE(DataColumns[[#This Row],[ColumnType]],DataColumns[[#This Row],[AppliesToColumn]]))</f>
        <v/>
      </c>
    </row>
    <row r="96" spans="1:29" x14ac:dyDescent="0.25">
      <c r="A96" s="47" t="str">
        <f ca="1">IF(COUNTA(DataColumns[[#This Row],[ColumnLabel]:[QualityCodeCV]])&gt;0,IF(MAX(INDIRECT(CONCATENATE("R",ROW(DataColumns[#Headers]),"C",COLUMN(),":R",ROW()-1,"C",COLUMN()),FALSE))=0,1,MAX(INDIRECT(CONCATENATE("R",ROW(DataColumns[#Headers]),"C",COLUMN(),":R",ROW()-1,"C",COLUMN()),FALSE))+1),"")</f>
        <v/>
      </c>
      <c r="B96" s="105"/>
      <c r="C96" s="10"/>
      <c r="D96" s="155"/>
      <c r="E96" s="160"/>
      <c r="F96" s="139"/>
      <c r="G96" s="9"/>
      <c r="H96" s="10"/>
      <c r="I96" s="10"/>
      <c r="J96" s="10"/>
      <c r="K96" s="34"/>
      <c r="L96" s="10"/>
      <c r="M96" s="133"/>
      <c r="N96" s="105"/>
      <c r="O96" s="9"/>
      <c r="P96" s="10"/>
      <c r="Q96" s="10"/>
      <c r="R96" s="21"/>
      <c r="S96" s="21"/>
      <c r="T96" s="10"/>
      <c r="U96" s="10"/>
      <c r="V96" s="10"/>
      <c r="W96" s="10"/>
      <c r="X96" s="21"/>
      <c r="Y96" s="10"/>
      <c r="Z96" s="10"/>
      <c r="AA96" s="10"/>
      <c r="AB96" s="177" t="str">
        <f ca="1">IF(DataColumns[[#This Row],[ColumnType]]="ResultValue",IF(MAX(INDIRECT(CONCATENATE("R",ROW(DataColumns[#Headers]),"C",COLUMN(),":R",ROW()-1,"C",COLUMN()),FALSE))=0,1,MAX(INDIRECT(CONCATENATE("R",ROW(DataColumns[#Headers]),"C",COLUMN(),":R",ROW()-1,"C",COLUMN()),FALSE))+1),"")</f>
        <v/>
      </c>
      <c r="AC96" s="126" t="str">
        <f>IF(DataColumns[[#This Row],[ColumnType]]="ResultValue",CONCATENATE(DataColumns[[#This Row],[ColumnType]],DataColumns[[#This Row],[ColumnLabel]]),CONCATENATE(DataColumns[[#This Row],[ColumnType]],DataColumns[[#This Row],[AppliesToColumn]]))</f>
        <v/>
      </c>
    </row>
    <row r="97" spans="1:29" x14ac:dyDescent="0.25">
      <c r="A97" s="47" t="str">
        <f ca="1">IF(COUNTA(DataColumns[[#This Row],[ColumnLabel]:[QualityCodeCV]])&gt;0,IF(MAX(INDIRECT(CONCATENATE("R",ROW(DataColumns[#Headers]),"C",COLUMN(),":R",ROW()-1,"C",COLUMN()),FALSE))=0,1,MAX(INDIRECT(CONCATENATE("R",ROW(DataColumns[#Headers]),"C",COLUMN(),":R",ROW()-1,"C",COLUMN()),FALSE))+1),"")</f>
        <v/>
      </c>
      <c r="B97" s="105"/>
      <c r="C97" s="10"/>
      <c r="D97" s="155"/>
      <c r="E97" s="160"/>
      <c r="F97" s="139"/>
      <c r="G97" s="9"/>
      <c r="H97" s="10"/>
      <c r="I97" s="10"/>
      <c r="J97" s="10"/>
      <c r="K97" s="34"/>
      <c r="L97" s="10"/>
      <c r="M97" s="133"/>
      <c r="N97" s="105"/>
      <c r="O97" s="9"/>
      <c r="P97" s="10"/>
      <c r="Q97" s="10"/>
      <c r="R97" s="21"/>
      <c r="S97" s="21"/>
      <c r="T97" s="10"/>
      <c r="U97" s="10"/>
      <c r="V97" s="10"/>
      <c r="W97" s="10"/>
      <c r="X97" s="21"/>
      <c r="Y97" s="10"/>
      <c r="Z97" s="10"/>
      <c r="AA97" s="10"/>
      <c r="AB97" s="177" t="str">
        <f ca="1">IF(DataColumns[[#This Row],[ColumnType]]="ResultValue",IF(MAX(INDIRECT(CONCATENATE("R",ROW(DataColumns[#Headers]),"C",COLUMN(),":R",ROW()-1,"C",COLUMN()),FALSE))=0,1,MAX(INDIRECT(CONCATENATE("R",ROW(DataColumns[#Headers]),"C",COLUMN(),":R",ROW()-1,"C",COLUMN()),FALSE))+1),"")</f>
        <v/>
      </c>
      <c r="AC97" s="126" t="str">
        <f>IF(DataColumns[[#This Row],[ColumnType]]="ResultValue",CONCATENATE(DataColumns[[#This Row],[ColumnType]],DataColumns[[#This Row],[ColumnLabel]]),CONCATENATE(DataColumns[[#This Row],[ColumnType]],DataColumns[[#This Row],[AppliesToColumn]]))</f>
        <v/>
      </c>
    </row>
    <row r="98" spans="1:29" x14ac:dyDescent="0.25">
      <c r="A98" s="47" t="str">
        <f ca="1">IF(COUNTA(DataColumns[[#This Row],[ColumnLabel]:[QualityCodeCV]])&gt;0,IF(MAX(INDIRECT(CONCATENATE("R",ROW(DataColumns[#Headers]),"C",COLUMN(),":R",ROW()-1,"C",COLUMN()),FALSE))=0,1,MAX(INDIRECT(CONCATENATE("R",ROW(DataColumns[#Headers]),"C",COLUMN(),":R",ROW()-1,"C",COLUMN()),FALSE))+1),"")</f>
        <v/>
      </c>
      <c r="B98" s="105"/>
      <c r="C98" s="10"/>
      <c r="D98" s="155"/>
      <c r="E98" s="160"/>
      <c r="F98" s="139"/>
      <c r="G98" s="9"/>
      <c r="H98" s="10"/>
      <c r="I98" s="10"/>
      <c r="J98" s="10"/>
      <c r="K98" s="34"/>
      <c r="L98" s="10"/>
      <c r="M98" s="133"/>
      <c r="N98" s="105"/>
      <c r="O98" s="9"/>
      <c r="P98" s="10"/>
      <c r="Q98" s="10"/>
      <c r="R98" s="21"/>
      <c r="S98" s="21"/>
      <c r="T98" s="10"/>
      <c r="U98" s="10"/>
      <c r="V98" s="10"/>
      <c r="W98" s="10"/>
      <c r="X98" s="21"/>
      <c r="Y98" s="10"/>
      <c r="Z98" s="10"/>
      <c r="AA98" s="10"/>
      <c r="AB98" s="177" t="str">
        <f ca="1">IF(DataColumns[[#This Row],[ColumnType]]="ResultValue",IF(MAX(INDIRECT(CONCATENATE("R",ROW(DataColumns[#Headers]),"C",COLUMN(),":R",ROW()-1,"C",COLUMN()),FALSE))=0,1,MAX(INDIRECT(CONCATENATE("R",ROW(DataColumns[#Headers]),"C",COLUMN(),":R",ROW()-1,"C",COLUMN()),FALSE))+1),"")</f>
        <v/>
      </c>
      <c r="AC98" s="126" t="str">
        <f>IF(DataColumns[[#This Row],[ColumnType]]="ResultValue",CONCATENATE(DataColumns[[#This Row],[ColumnType]],DataColumns[[#This Row],[ColumnLabel]]),CONCATENATE(DataColumns[[#This Row],[ColumnType]],DataColumns[[#This Row],[AppliesToColumn]]))</f>
        <v/>
      </c>
    </row>
    <row r="99" spans="1:29" ht="15.75" thickBot="1" x14ac:dyDescent="0.3">
      <c r="A99" s="49" t="str">
        <f ca="1">IF(COUNTA(DataColumns[[#This Row],[ColumnLabel]:[QualityCodeCV]])&gt;0,IF(MAX(INDIRECT(CONCATENATE("R",ROW(DataColumns[#Headers]),"C",COLUMN(),":R",ROW()-1,"C",COLUMN()),FALSE))=0,1,MAX(INDIRECT(CONCATENATE("R",ROW(DataColumns[#Headers]),"C",COLUMN(),":R",ROW()-1,"C",COLUMN()),FALSE))+1),"")</f>
        <v/>
      </c>
      <c r="B99" s="107"/>
      <c r="C99" s="108"/>
      <c r="D99" s="156"/>
      <c r="E99" s="161"/>
      <c r="F99" s="171"/>
      <c r="G99" s="152"/>
      <c r="H99" s="108"/>
      <c r="I99" s="108"/>
      <c r="J99" s="108"/>
      <c r="K99" s="158"/>
      <c r="L99" s="108"/>
      <c r="M99" s="134"/>
      <c r="N99" s="107"/>
      <c r="O99" s="152"/>
      <c r="P99" s="108"/>
      <c r="Q99" s="108"/>
      <c r="R99" s="142"/>
      <c r="S99" s="142"/>
      <c r="T99" s="108"/>
      <c r="U99" s="108"/>
      <c r="V99" s="108"/>
      <c r="W99" s="108"/>
      <c r="X99" s="142"/>
      <c r="Y99" s="108"/>
      <c r="Z99" s="108"/>
      <c r="AA99" s="108"/>
      <c r="AB99" s="178" t="str">
        <f ca="1">IF(DataColumns[[#This Row],[ColumnType]]="ResultValue",IF(MAX(INDIRECT(CONCATENATE("R",ROW(DataColumns[#Headers]),"C",COLUMN(),":R",ROW()-1,"C",COLUMN()),FALSE))=0,1,MAX(INDIRECT(CONCATENATE("R",ROW(DataColumns[#Headers]),"C",COLUMN(),":R",ROW()-1,"C",COLUMN()),FALSE))+1),"")</f>
        <v/>
      </c>
      <c r="AC99" s="127" t="str">
        <f>IF(DataColumns[[#This Row],[ColumnType]]="ResultValue",CONCATENATE(DataColumns[[#This Row],[ColumnType]],DataColumns[[#This Row],[ColumnLabel]]),CONCATENATE(DataColumns[[#This Row],[ColumnType]],DataColumns[[#This Row],[AppliesToColumn]]))</f>
        <v/>
      </c>
    </row>
  </sheetData>
  <sheetProtection password="CA31" sheet="1" objects="1" scenarios="1" formatColumns="0" insertRows="0" insertHyperlinks="0" deleteRows="0"/>
  <dataConsolidate/>
  <mergeCells count="3">
    <mergeCell ref="A10:D10"/>
    <mergeCell ref="E10:M10"/>
    <mergeCell ref="N10:AC10"/>
  </mergeCells>
  <conditionalFormatting sqref="B11:AA11">
    <cfRule type="containsText" dxfId="14" priority="19" operator="containsText" text="REQUIRED">
      <formula>NOT(ISERROR(SEARCH("REQUIRED",B11)))</formula>
    </cfRule>
  </conditionalFormatting>
  <conditionalFormatting sqref="B13:B99">
    <cfRule type="duplicateValues" dxfId="13" priority="15"/>
  </conditionalFormatting>
  <conditionalFormatting sqref="B12:AA12">
    <cfRule type="expression" dxfId="12" priority="34">
      <formula>AND(B$11&lt;&gt;"REQUIRED",B$11&lt;&gt;"OPTIONAL")</formula>
    </cfRule>
  </conditionalFormatting>
  <conditionalFormatting sqref="E13:M99">
    <cfRule type="expression" dxfId="11" priority="2">
      <formula>AND($C13="SpecimenCode",E$11="REQUIRED",E13="")</formula>
    </cfRule>
    <cfRule type="expression" dxfId="10" priority="13">
      <formula>AND($C13&lt;&gt;"SpecimenCode",E13&lt;&gt;"")</formula>
    </cfRule>
    <cfRule type="expression" dxfId="9" priority="14">
      <formula>$C13&lt;&gt;"SpecimenCode"</formula>
    </cfRule>
  </conditionalFormatting>
  <conditionalFormatting sqref="N13:AA99">
    <cfRule type="expression" dxfId="8" priority="1">
      <formula>AND($C13="ResultValue",N$11="REQUIRED",N13="")</formula>
    </cfRule>
    <cfRule type="expression" dxfId="7" priority="11">
      <formula>AND($C13&lt;&gt;"ResultValue",N13&lt;&gt;"")</formula>
    </cfRule>
    <cfRule type="expression" dxfId="6" priority="12">
      <formula>$C13&lt;&gt;"ResultValue"</formula>
    </cfRule>
  </conditionalFormatting>
  <conditionalFormatting sqref="D13:D99">
    <cfRule type="expression" dxfId="5" priority="3">
      <formula>OR(COUNTIF(ResultColumns,$C13)=0,$C13="ResultValue")</formula>
    </cfRule>
    <cfRule type="expression" dxfId="4" priority="4">
      <formula>AND($C13="ResultValue",$D13&lt;&gt;"")</formula>
    </cfRule>
    <cfRule type="expression" dxfId="3" priority="5">
      <formula>AND(COUNTIF(ResultColumns,$C13)&gt;0,$C13&lt;&gt;"ResultValue",$D13="")</formula>
    </cfRule>
    <cfRule type="expression" dxfId="2" priority="6">
      <formula>AND(COUNTIF(ResultColumns,$C13)=0,$D13&lt;&gt;"")</formula>
    </cfRule>
  </conditionalFormatting>
  <dataValidations count="16">
    <dataValidation type="list" allowBlank="1" showInputMessage="1" showErrorMessage="1" sqref="T13:T99">
      <formula1>MethodCodes</formula1>
    </dataValidation>
    <dataValidation type="list" allowBlank="1" showInputMessage="1" showErrorMessage="1" sqref="N13:N99">
      <formula1>ResultTypeCV</formula1>
    </dataValidation>
    <dataValidation type="list" allowBlank="1" showInputMessage="1" showErrorMessage="1" sqref="O13:O99">
      <formula1>VariableCodes</formula1>
    </dataValidation>
    <dataValidation type="list" allowBlank="1" showInputMessage="1" showErrorMessage="1" sqref="U13:U99">
      <formula1>ProcessingLevelCodes</formula1>
    </dataValidation>
    <dataValidation type="list" allowBlank="1" showInputMessage="1" showErrorMessage="1" sqref="AA13:AA99">
      <formula1>AggregationStatisticCV</formula1>
    </dataValidation>
    <dataValidation type="list" allowBlank="1" showInputMessage="1" showErrorMessage="1" sqref="V13:V99">
      <formula1>CensorCodeCV</formula1>
    </dataValidation>
    <dataValidation type="list" allowBlank="1" showInputMessage="1" showErrorMessage="1" sqref="W13:W99">
      <formula1>QualityCodeCV</formula1>
    </dataValidation>
    <dataValidation type="list" allowBlank="1" showInputMessage="1" showErrorMessage="1" sqref="R13:S99 H13:I99">
      <formula1>PeopleNames</formula1>
    </dataValidation>
    <dataValidation type="list" allowBlank="1" showInputMessage="1" showErrorMessage="1" sqref="C13:C99">
      <formula1>ColumnTypes</formula1>
    </dataValidation>
    <dataValidation type="list" allowBlank="1" showInputMessage="1" showErrorMessage="1" sqref="E13:E99">
      <formula1>FeatureCodes</formula1>
    </dataValidation>
    <dataValidation type="list" allowBlank="1" showInputMessage="1" showErrorMessage="1" sqref="X13:X99">
      <formula1>TaxClassifiers</formula1>
    </dataValidation>
    <dataValidation type="list" allowBlank="1" showInputMessage="1" showErrorMessage="1" sqref="J13:J99 Q13:Q99">
      <formula1>SampledMediumCV</formula1>
    </dataValidation>
    <dataValidation type="list" allowBlank="1" showInputMessage="1" showErrorMessage="1" sqref="K13:K99">
      <formula1>SpecimenTypeCV</formula1>
    </dataValidation>
    <dataValidation type="list" allowBlank="1" showInputMessage="1" showErrorMessage="1" sqref="L13:M99">
      <formula1>Boolean</formula1>
    </dataValidation>
    <dataValidation type="list" allowBlank="1" showInputMessage="1" showErrorMessage="1" sqref="D13:D99">
      <formula1>DataValueLabels</formula1>
    </dataValidation>
    <dataValidation type="list" allowBlank="1" showInputMessage="1" showErrorMessage="1" sqref="F13:G99">
      <formula1>RelationshipTypeCV</formula1>
    </dataValidation>
  </dataValidation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GenerateYODA">
              <controlPr defaultSize="0" print="0" autoFill="0" autoPict="0" macro="[0]!CreateYODA">
                <anchor>
                  <from>
                    <xdr:col>12</xdr:col>
                    <xdr:colOff>66675</xdr:colOff>
                    <xdr:row>2</xdr:row>
                    <xdr:rowOff>38100</xdr:rowOff>
                  </from>
                  <to>
                    <xdr:col>14</xdr:col>
                    <xdr:colOff>266700</xdr:colOff>
                    <xdr:row>4</xdr:row>
                    <xdr:rowOff>95250</xdr:rowOff>
                  </to>
                </anchor>
              </controlPr>
            </control>
          </mc:Choice>
        </mc:AlternateContent>
      </controls>
    </mc:Choice>
  </mc:AlternateContent>
  <tableParts count="1">
    <tablePart r:id="rId5"/>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N278"/>
  <sheetViews>
    <sheetView workbookViewId="0">
      <selection activeCell="C14" sqref="C14"/>
    </sheetView>
  </sheetViews>
  <sheetFormatPr defaultColWidth="8.85546875" defaultRowHeight="15" x14ac:dyDescent="0.25"/>
  <cols>
    <col min="1" max="1" width="15.85546875" style="4" bestFit="1" customWidth="1"/>
    <col min="2" max="2" width="10.42578125" style="4" bestFit="1" customWidth="1"/>
    <col min="3" max="3" width="8" style="4" bestFit="1" customWidth="1"/>
    <col min="4" max="4" width="15.42578125" style="4" bestFit="1" customWidth="1"/>
    <col min="5" max="6" width="14.5703125" style="4" bestFit="1" customWidth="1"/>
    <col min="7" max="7" width="21.5703125" style="4" bestFit="1" customWidth="1"/>
    <col min="8" max="8" width="6" style="4" bestFit="1" customWidth="1"/>
    <col min="9" max="9" width="11.85546875" style="4" bestFit="1" customWidth="1"/>
    <col min="10" max="10" width="7" style="4" bestFit="1" customWidth="1"/>
    <col min="11" max="11" width="16.42578125" style="4" bestFit="1" customWidth="1"/>
    <col min="12" max="12" width="22.42578125" style="4" bestFit="1" customWidth="1"/>
    <col min="13" max="13" width="7" style="4" bestFit="1" customWidth="1"/>
    <col min="14" max="14" width="15.85546875" style="4" bestFit="1" customWidth="1"/>
    <col min="15" max="15" width="5.42578125" style="4" bestFit="1" customWidth="1"/>
    <col min="16" max="16384" width="8.85546875" style="4"/>
  </cols>
  <sheetData>
    <row r="1" spans="1:14" x14ac:dyDescent="0.25">
      <c r="A1" s="5"/>
      <c r="B1" s="5"/>
      <c r="C1" s="5"/>
      <c r="D1" s="5"/>
      <c r="E1" s="5"/>
      <c r="F1" s="5"/>
      <c r="G1" s="5"/>
      <c r="H1" s="5"/>
      <c r="I1" s="5"/>
      <c r="J1" s="5"/>
      <c r="K1" s="5"/>
      <c r="L1" s="5"/>
      <c r="M1" s="5"/>
    </row>
    <row r="2" spans="1:14" x14ac:dyDescent="0.25">
      <c r="A2" s="143"/>
      <c r="B2" s="5"/>
      <c r="C2" s="5"/>
      <c r="D2" s="5"/>
      <c r="E2" s="5"/>
      <c r="F2" s="5"/>
      <c r="G2" s="5"/>
      <c r="H2" s="5"/>
      <c r="I2" s="5"/>
      <c r="J2" s="5"/>
      <c r="K2" s="5"/>
      <c r="L2" s="5"/>
      <c r="M2" s="5"/>
      <c r="N2" s="150"/>
    </row>
    <row r="3" spans="1:14" x14ac:dyDescent="0.25">
      <c r="A3" s="143"/>
      <c r="B3" s="5"/>
      <c r="C3" s="5"/>
      <c r="D3" s="5"/>
      <c r="E3" s="5"/>
      <c r="F3" s="5"/>
      <c r="G3" s="5"/>
      <c r="H3" s="5"/>
      <c r="I3" s="5"/>
      <c r="J3" s="5"/>
      <c r="K3" s="5"/>
      <c r="L3" s="5"/>
      <c r="M3" s="5"/>
      <c r="N3" s="150"/>
    </row>
    <row r="4" spans="1:14" x14ac:dyDescent="0.25">
      <c r="A4" s="143"/>
      <c r="B4" s="5"/>
      <c r="C4" s="5"/>
      <c r="D4" s="5"/>
      <c r="E4" s="5"/>
      <c r="F4" s="5"/>
      <c r="G4" s="5"/>
      <c r="H4" s="5"/>
      <c r="I4" s="5"/>
      <c r="J4" s="5"/>
      <c r="K4" s="5"/>
      <c r="L4" s="5"/>
      <c r="M4" s="5"/>
      <c r="N4" s="150"/>
    </row>
    <row r="5" spans="1:14" x14ac:dyDescent="0.25">
      <c r="A5" s="143"/>
      <c r="B5" s="5"/>
      <c r="C5" s="5"/>
      <c r="D5" s="5"/>
      <c r="E5" s="5"/>
      <c r="F5" s="5"/>
      <c r="G5" s="5"/>
      <c r="H5" s="5"/>
      <c r="I5" s="5"/>
      <c r="J5" s="5"/>
      <c r="K5" s="5"/>
      <c r="L5" s="5"/>
      <c r="M5" s="5"/>
      <c r="N5" s="150"/>
    </row>
    <row r="6" spans="1:14" x14ac:dyDescent="0.25">
      <c r="A6" s="143"/>
      <c r="B6" s="5"/>
      <c r="C6" s="5"/>
      <c r="D6" s="5"/>
      <c r="E6" s="5"/>
      <c r="F6" s="5"/>
      <c r="G6" s="5"/>
      <c r="H6" s="5"/>
      <c r="I6" s="5"/>
      <c r="J6" s="5"/>
      <c r="K6" s="5"/>
      <c r="L6" s="5"/>
      <c r="M6" s="5"/>
      <c r="N6" s="150"/>
    </row>
    <row r="7" spans="1:14" x14ac:dyDescent="0.25">
      <c r="A7" s="143"/>
      <c r="B7" s="5"/>
      <c r="C7" s="5"/>
      <c r="D7" s="5"/>
      <c r="E7" s="5"/>
      <c r="F7" s="5"/>
      <c r="G7" s="5"/>
      <c r="H7" s="5"/>
      <c r="I7" s="5"/>
      <c r="J7" s="5"/>
      <c r="K7" s="5"/>
      <c r="L7" s="5"/>
      <c r="M7" s="5"/>
      <c r="N7" s="150"/>
    </row>
    <row r="8" spans="1:14" x14ac:dyDescent="0.25">
      <c r="A8" s="143"/>
      <c r="B8" s="5"/>
      <c r="C8" s="5"/>
      <c r="D8" s="5"/>
      <c r="E8" s="5"/>
      <c r="F8" s="5"/>
      <c r="G8" s="5"/>
      <c r="H8" s="5"/>
      <c r="I8" s="5"/>
      <c r="J8" s="5"/>
      <c r="K8" s="5"/>
      <c r="L8" s="5"/>
      <c r="M8" s="5"/>
      <c r="N8" s="150"/>
    </row>
    <row r="9" spans="1:14" x14ac:dyDescent="0.25">
      <c r="A9" s="143"/>
      <c r="B9" s="5"/>
      <c r="C9" s="5"/>
      <c r="D9" s="5"/>
      <c r="E9" s="5"/>
      <c r="F9" s="5"/>
      <c r="G9" s="5"/>
      <c r="H9" s="5"/>
      <c r="I9" s="5"/>
      <c r="J9" s="5"/>
      <c r="K9" s="5"/>
      <c r="L9" s="5"/>
      <c r="M9" s="5"/>
      <c r="N9" s="150"/>
    </row>
    <row r="10" spans="1:14" x14ac:dyDescent="0.25">
      <c r="A10" s="143"/>
      <c r="B10" s="5"/>
      <c r="C10" s="5"/>
      <c r="D10" s="5"/>
      <c r="E10" s="5"/>
      <c r="F10" s="5"/>
      <c r="G10" s="5"/>
      <c r="H10" s="5"/>
      <c r="I10" s="5"/>
      <c r="J10" s="5"/>
      <c r="K10" s="5"/>
      <c r="L10" s="5"/>
      <c r="M10" s="5"/>
      <c r="N10" s="150"/>
    </row>
    <row r="11" spans="1:14" x14ac:dyDescent="0.25">
      <c r="A11" s="143"/>
      <c r="B11" s="5"/>
      <c r="C11" s="5"/>
      <c r="D11" s="5"/>
      <c r="E11" s="5"/>
      <c r="F11" s="5"/>
      <c r="G11" s="5"/>
      <c r="H11" s="5"/>
      <c r="I11" s="5"/>
      <c r="J11" s="5"/>
      <c r="K11" s="5"/>
      <c r="L11" s="5"/>
      <c r="M11" s="5"/>
      <c r="N11" s="150"/>
    </row>
    <row r="12" spans="1:14" x14ac:dyDescent="0.25">
      <c r="A12" s="143"/>
      <c r="B12" s="5"/>
      <c r="C12" s="5"/>
      <c r="D12" s="5"/>
      <c r="E12" s="5"/>
      <c r="F12" s="5"/>
      <c r="G12" s="5"/>
      <c r="H12" s="5"/>
      <c r="I12" s="5"/>
      <c r="J12" s="5"/>
      <c r="K12" s="5"/>
      <c r="L12" s="5"/>
      <c r="M12" s="5"/>
      <c r="N12" s="150"/>
    </row>
    <row r="13" spans="1:14" x14ac:dyDescent="0.25">
      <c r="A13" s="143"/>
      <c r="B13" s="5"/>
      <c r="C13" s="5"/>
      <c r="D13" s="5"/>
      <c r="E13" s="5"/>
      <c r="F13" s="5"/>
      <c r="G13" s="5"/>
      <c r="H13" s="5"/>
      <c r="I13" s="5"/>
      <c r="J13" s="5"/>
      <c r="K13" s="5"/>
      <c r="L13" s="5"/>
      <c r="M13" s="5"/>
      <c r="N13" s="150"/>
    </row>
    <row r="14" spans="1:14" x14ac:dyDescent="0.25">
      <c r="A14" s="143"/>
      <c r="B14" s="5"/>
      <c r="C14" s="5"/>
      <c r="D14" s="5"/>
      <c r="E14" s="5"/>
      <c r="F14" s="5"/>
      <c r="G14" s="5"/>
      <c r="H14" s="5"/>
      <c r="I14" s="5"/>
      <c r="J14" s="5"/>
      <c r="K14" s="5"/>
      <c r="L14" s="5"/>
      <c r="M14" s="5"/>
      <c r="N14" s="150"/>
    </row>
    <row r="15" spans="1:14" x14ac:dyDescent="0.25">
      <c r="A15" s="143"/>
      <c r="B15" s="5"/>
      <c r="C15" s="5"/>
      <c r="D15" s="5"/>
      <c r="E15" s="5"/>
      <c r="F15" s="5"/>
      <c r="G15" s="5"/>
      <c r="H15" s="5"/>
      <c r="I15" s="5"/>
      <c r="J15" s="5"/>
      <c r="K15" s="5"/>
      <c r="L15" s="5"/>
      <c r="M15" s="5"/>
      <c r="N15" s="150"/>
    </row>
    <row r="16" spans="1:14" x14ac:dyDescent="0.25">
      <c r="A16" s="143"/>
      <c r="B16" s="5"/>
      <c r="C16" s="5"/>
      <c r="D16" s="5"/>
      <c r="E16" s="5"/>
      <c r="F16" s="5"/>
      <c r="G16" s="5"/>
      <c r="H16" s="5"/>
      <c r="I16" s="5"/>
      <c r="J16" s="5"/>
      <c r="K16" s="5"/>
      <c r="L16" s="5"/>
      <c r="M16" s="5"/>
      <c r="N16" s="150"/>
    </row>
    <row r="17" spans="1:14" x14ac:dyDescent="0.25">
      <c r="A17" s="143"/>
      <c r="B17" s="5"/>
      <c r="C17" s="5"/>
      <c r="D17" s="5"/>
      <c r="E17" s="5"/>
      <c r="F17" s="5"/>
      <c r="G17" s="5"/>
      <c r="H17" s="5"/>
      <c r="I17" s="5"/>
      <c r="J17" s="5"/>
      <c r="K17" s="5"/>
      <c r="L17" s="5"/>
      <c r="M17" s="5"/>
      <c r="N17" s="150"/>
    </row>
    <row r="18" spans="1:14" x14ac:dyDescent="0.25">
      <c r="A18" s="143"/>
      <c r="B18" s="5"/>
      <c r="C18" s="5"/>
      <c r="D18" s="5"/>
      <c r="E18" s="5"/>
      <c r="F18" s="5"/>
      <c r="G18" s="5"/>
      <c r="H18" s="5"/>
      <c r="I18" s="5"/>
      <c r="J18" s="5"/>
      <c r="K18" s="5"/>
      <c r="L18" s="5"/>
      <c r="M18" s="5"/>
      <c r="N18" s="150"/>
    </row>
    <row r="19" spans="1:14" x14ac:dyDescent="0.25">
      <c r="A19" s="143"/>
      <c r="B19" s="5"/>
      <c r="C19" s="5"/>
      <c r="D19" s="5"/>
      <c r="E19" s="5"/>
      <c r="F19" s="5"/>
      <c r="G19" s="5"/>
      <c r="H19" s="5"/>
      <c r="I19" s="5"/>
      <c r="J19" s="5"/>
      <c r="K19" s="5"/>
      <c r="L19" s="5"/>
      <c r="M19" s="5"/>
      <c r="N19" s="150"/>
    </row>
    <row r="20" spans="1:14" x14ac:dyDescent="0.25">
      <c r="A20" s="143"/>
      <c r="B20" s="5"/>
      <c r="C20" s="5"/>
      <c r="D20" s="5"/>
      <c r="E20" s="5"/>
      <c r="F20" s="5"/>
      <c r="G20" s="5"/>
      <c r="H20" s="5"/>
      <c r="I20" s="5"/>
      <c r="J20" s="5"/>
      <c r="K20" s="5"/>
      <c r="L20" s="5"/>
      <c r="M20" s="5"/>
      <c r="N20" s="150"/>
    </row>
    <row r="21" spans="1:14" x14ac:dyDescent="0.25">
      <c r="A21" s="143"/>
      <c r="B21" s="5"/>
      <c r="C21" s="5"/>
      <c r="D21" s="5"/>
      <c r="E21" s="5"/>
      <c r="F21" s="5"/>
      <c r="G21" s="5"/>
      <c r="H21" s="5"/>
      <c r="I21" s="5"/>
      <c r="J21" s="5"/>
      <c r="K21" s="5"/>
      <c r="L21" s="5"/>
      <c r="M21" s="5"/>
      <c r="N21" s="150"/>
    </row>
    <row r="22" spans="1:14" x14ac:dyDescent="0.25">
      <c r="A22" s="143"/>
      <c r="B22" s="5"/>
      <c r="C22" s="5"/>
      <c r="D22" s="5"/>
      <c r="E22" s="5"/>
      <c r="F22" s="5"/>
      <c r="G22" s="5"/>
      <c r="H22" s="5"/>
      <c r="I22" s="5"/>
      <c r="J22" s="5"/>
      <c r="K22" s="5"/>
      <c r="L22" s="5"/>
      <c r="M22" s="5"/>
      <c r="N22" s="150"/>
    </row>
    <row r="23" spans="1:14" x14ac:dyDescent="0.25">
      <c r="A23" s="143"/>
      <c r="B23" s="5"/>
      <c r="C23" s="5"/>
      <c r="D23" s="5"/>
      <c r="E23" s="5"/>
      <c r="F23" s="5"/>
      <c r="G23" s="5"/>
      <c r="H23" s="5"/>
      <c r="I23" s="5"/>
      <c r="J23" s="5"/>
      <c r="K23" s="5"/>
      <c r="L23" s="5"/>
      <c r="M23" s="5"/>
      <c r="N23" s="150"/>
    </row>
    <row r="24" spans="1:14" x14ac:dyDescent="0.25">
      <c r="A24" s="143"/>
      <c r="B24" s="5"/>
      <c r="C24" s="5"/>
      <c r="D24" s="5"/>
      <c r="E24" s="5"/>
      <c r="F24" s="5"/>
      <c r="G24" s="5"/>
      <c r="H24" s="5"/>
      <c r="I24" s="5"/>
      <c r="J24" s="5"/>
      <c r="K24" s="5"/>
      <c r="L24" s="5"/>
      <c r="M24" s="5"/>
      <c r="N24" s="150"/>
    </row>
    <row r="25" spans="1:14" x14ac:dyDescent="0.25">
      <c r="A25" s="143"/>
      <c r="B25" s="5"/>
      <c r="C25" s="5"/>
      <c r="D25" s="5"/>
      <c r="E25" s="5"/>
      <c r="F25" s="5"/>
      <c r="G25" s="5"/>
      <c r="H25" s="5"/>
      <c r="I25" s="5"/>
      <c r="J25" s="5"/>
      <c r="K25" s="5"/>
      <c r="L25" s="5"/>
      <c r="M25" s="5"/>
      <c r="N25" s="150"/>
    </row>
    <row r="26" spans="1:14" x14ac:dyDescent="0.25">
      <c r="A26" s="143"/>
      <c r="B26" s="5"/>
      <c r="C26" s="5"/>
      <c r="D26" s="5"/>
      <c r="E26" s="5"/>
      <c r="F26" s="5"/>
      <c r="G26" s="5"/>
      <c r="H26" s="5"/>
      <c r="I26" s="5"/>
      <c r="J26" s="5"/>
      <c r="K26" s="5"/>
      <c r="L26" s="5"/>
      <c r="M26" s="5"/>
      <c r="N26" s="150"/>
    </row>
    <row r="27" spans="1:14" x14ac:dyDescent="0.25">
      <c r="A27" s="143"/>
      <c r="B27" s="5"/>
      <c r="C27" s="5"/>
      <c r="D27" s="5"/>
      <c r="E27" s="5"/>
      <c r="F27" s="5"/>
      <c r="G27" s="5"/>
      <c r="H27" s="5"/>
      <c r="I27" s="5"/>
      <c r="J27" s="5"/>
      <c r="K27" s="5"/>
      <c r="L27" s="5"/>
      <c r="M27" s="5"/>
      <c r="N27" s="150"/>
    </row>
    <row r="28" spans="1:14" x14ac:dyDescent="0.25">
      <c r="A28" s="143"/>
      <c r="B28" s="5"/>
      <c r="C28" s="5"/>
      <c r="D28" s="5"/>
      <c r="E28" s="5"/>
      <c r="F28" s="5"/>
      <c r="G28" s="5"/>
      <c r="H28" s="5"/>
      <c r="I28" s="5"/>
      <c r="J28" s="5"/>
      <c r="K28" s="5"/>
      <c r="L28" s="5"/>
      <c r="M28" s="5"/>
      <c r="N28" s="150"/>
    </row>
    <row r="29" spans="1:14" x14ac:dyDescent="0.25">
      <c r="A29" s="143"/>
      <c r="B29" s="5"/>
      <c r="C29" s="5"/>
      <c r="D29" s="5"/>
      <c r="E29" s="5"/>
      <c r="F29" s="5"/>
      <c r="G29" s="5"/>
      <c r="H29" s="5"/>
      <c r="I29" s="5"/>
      <c r="J29" s="5"/>
      <c r="K29" s="5"/>
      <c r="L29" s="5"/>
      <c r="M29" s="5"/>
      <c r="N29" s="150"/>
    </row>
    <row r="30" spans="1:14" x14ac:dyDescent="0.25">
      <c r="A30" s="143"/>
      <c r="B30" s="5"/>
      <c r="C30" s="5"/>
      <c r="D30" s="5"/>
      <c r="E30" s="5"/>
      <c r="F30" s="5"/>
      <c r="G30" s="5"/>
      <c r="H30" s="5"/>
      <c r="I30" s="5"/>
      <c r="J30" s="5"/>
      <c r="K30" s="5"/>
      <c r="L30" s="5"/>
      <c r="M30" s="5"/>
      <c r="N30" s="150"/>
    </row>
    <row r="31" spans="1:14" x14ac:dyDescent="0.25">
      <c r="A31" s="143"/>
      <c r="B31" s="5"/>
      <c r="C31" s="5"/>
      <c r="D31" s="5"/>
      <c r="E31" s="5"/>
      <c r="F31" s="5"/>
      <c r="G31" s="5"/>
      <c r="H31" s="5"/>
      <c r="I31" s="5"/>
      <c r="J31" s="5"/>
      <c r="K31" s="5"/>
      <c r="L31" s="5"/>
      <c r="M31" s="5"/>
      <c r="N31" s="150"/>
    </row>
    <row r="32" spans="1:14" x14ac:dyDescent="0.25">
      <c r="A32" s="143"/>
      <c r="B32" s="5"/>
      <c r="C32" s="5"/>
      <c r="D32" s="5"/>
      <c r="E32" s="5"/>
      <c r="F32" s="5"/>
      <c r="G32" s="5"/>
      <c r="H32" s="5"/>
      <c r="I32" s="5"/>
      <c r="J32" s="5"/>
      <c r="K32" s="5"/>
      <c r="L32" s="5"/>
      <c r="M32" s="5"/>
      <c r="N32" s="150"/>
    </row>
    <row r="33" spans="1:14" x14ac:dyDescent="0.25">
      <c r="A33" s="143"/>
      <c r="B33" s="5"/>
      <c r="C33" s="5"/>
      <c r="D33" s="5"/>
      <c r="E33" s="5"/>
      <c r="F33" s="5"/>
      <c r="G33" s="5"/>
      <c r="H33" s="5"/>
      <c r="I33" s="5"/>
      <c r="J33" s="5"/>
      <c r="K33" s="5"/>
      <c r="L33" s="5"/>
      <c r="M33" s="5"/>
      <c r="N33" s="150"/>
    </row>
    <row r="34" spans="1:14" x14ac:dyDescent="0.25">
      <c r="A34" s="143"/>
      <c r="B34" s="5"/>
      <c r="C34" s="5"/>
      <c r="D34" s="5"/>
      <c r="E34" s="5"/>
      <c r="F34" s="5"/>
      <c r="G34" s="5"/>
      <c r="H34" s="5"/>
      <c r="I34" s="5"/>
      <c r="J34" s="5"/>
      <c r="K34" s="5"/>
      <c r="L34" s="5"/>
      <c r="M34" s="5"/>
      <c r="N34" s="150"/>
    </row>
    <row r="35" spans="1:14" x14ac:dyDescent="0.25">
      <c r="A35" s="143"/>
      <c r="B35" s="5"/>
      <c r="C35" s="5"/>
      <c r="D35" s="5"/>
      <c r="E35" s="5"/>
      <c r="F35" s="5"/>
      <c r="G35" s="5"/>
      <c r="H35" s="5"/>
      <c r="I35" s="5"/>
      <c r="J35" s="5"/>
      <c r="K35" s="5"/>
      <c r="L35" s="5"/>
      <c r="M35" s="5"/>
      <c r="N35" s="150"/>
    </row>
    <row r="36" spans="1:14" x14ac:dyDescent="0.25">
      <c r="A36" s="143"/>
      <c r="B36" s="5"/>
      <c r="C36" s="5"/>
      <c r="D36" s="5"/>
      <c r="E36" s="5"/>
      <c r="F36" s="5"/>
      <c r="G36" s="5"/>
      <c r="H36" s="5"/>
      <c r="I36" s="5"/>
      <c r="J36" s="5"/>
      <c r="K36" s="5"/>
      <c r="L36" s="5"/>
      <c r="M36" s="5"/>
      <c r="N36" s="150"/>
    </row>
    <row r="37" spans="1:14" x14ac:dyDescent="0.25">
      <c r="A37" s="143"/>
      <c r="B37" s="5"/>
      <c r="C37" s="5"/>
      <c r="D37" s="5"/>
      <c r="E37" s="5"/>
      <c r="F37" s="5"/>
      <c r="G37" s="5"/>
      <c r="H37" s="5"/>
      <c r="I37" s="5"/>
      <c r="J37" s="5"/>
      <c r="K37" s="5"/>
      <c r="L37" s="5"/>
      <c r="M37" s="5"/>
      <c r="N37" s="150"/>
    </row>
    <row r="38" spans="1:14" x14ac:dyDescent="0.25">
      <c r="A38" s="143"/>
      <c r="B38" s="5"/>
      <c r="C38" s="5"/>
      <c r="D38" s="5"/>
      <c r="E38" s="5"/>
      <c r="F38" s="5"/>
      <c r="G38" s="5"/>
      <c r="H38" s="5"/>
      <c r="I38" s="5"/>
      <c r="J38" s="5"/>
      <c r="K38" s="5"/>
      <c r="L38" s="5"/>
      <c r="M38" s="5"/>
      <c r="N38" s="150"/>
    </row>
    <row r="39" spans="1:14" x14ac:dyDescent="0.25">
      <c r="A39" s="143"/>
      <c r="B39" s="5"/>
      <c r="C39" s="5"/>
      <c r="D39" s="5"/>
      <c r="E39" s="5"/>
      <c r="F39" s="5"/>
      <c r="G39" s="5"/>
      <c r="H39" s="5"/>
      <c r="I39" s="5"/>
      <c r="J39" s="5"/>
      <c r="K39" s="5"/>
      <c r="L39" s="5"/>
      <c r="M39" s="5"/>
      <c r="N39" s="150"/>
    </row>
    <row r="40" spans="1:14" x14ac:dyDescent="0.25">
      <c r="A40" s="143"/>
      <c r="B40" s="5"/>
      <c r="C40" s="5"/>
      <c r="D40" s="5"/>
      <c r="E40" s="5"/>
      <c r="F40" s="5"/>
      <c r="G40" s="5"/>
      <c r="H40" s="5"/>
      <c r="I40" s="5"/>
      <c r="J40" s="5"/>
      <c r="K40" s="5"/>
      <c r="L40" s="5"/>
      <c r="M40" s="5"/>
      <c r="N40" s="150"/>
    </row>
    <row r="41" spans="1:14" x14ac:dyDescent="0.25">
      <c r="A41" s="143"/>
      <c r="B41" s="5"/>
      <c r="C41" s="5"/>
      <c r="D41" s="5"/>
      <c r="E41" s="5"/>
      <c r="F41" s="5"/>
      <c r="G41" s="5"/>
      <c r="H41" s="5"/>
      <c r="I41" s="5"/>
      <c r="J41" s="5"/>
      <c r="K41" s="5"/>
      <c r="L41" s="5"/>
      <c r="M41" s="5"/>
      <c r="N41" s="150"/>
    </row>
    <row r="42" spans="1:14" x14ac:dyDescent="0.25">
      <c r="A42" s="143"/>
      <c r="B42" s="5"/>
      <c r="C42" s="5"/>
      <c r="D42" s="5"/>
      <c r="E42" s="5"/>
      <c r="F42" s="5"/>
      <c r="G42" s="5"/>
      <c r="H42" s="5"/>
      <c r="I42" s="5"/>
      <c r="J42" s="5"/>
      <c r="K42" s="5"/>
      <c r="L42" s="5"/>
      <c r="M42" s="5"/>
      <c r="N42" s="150"/>
    </row>
    <row r="43" spans="1:14" x14ac:dyDescent="0.25">
      <c r="A43" s="143"/>
      <c r="B43" s="5"/>
      <c r="C43" s="5"/>
      <c r="D43" s="5"/>
      <c r="E43" s="5"/>
      <c r="F43" s="5"/>
      <c r="G43" s="5"/>
      <c r="H43" s="5"/>
      <c r="I43" s="5"/>
      <c r="J43" s="5"/>
      <c r="K43" s="5"/>
      <c r="L43" s="5"/>
      <c r="M43" s="5"/>
      <c r="N43" s="150"/>
    </row>
    <row r="44" spans="1:14" x14ac:dyDescent="0.25">
      <c r="A44" s="143"/>
      <c r="B44" s="5"/>
      <c r="C44" s="5"/>
      <c r="D44" s="5"/>
      <c r="E44" s="5"/>
      <c r="F44" s="5"/>
      <c r="G44" s="5"/>
      <c r="H44" s="5"/>
      <c r="I44" s="5"/>
      <c r="J44" s="5"/>
      <c r="K44" s="5"/>
      <c r="L44" s="5"/>
      <c r="M44" s="5"/>
      <c r="N44" s="150"/>
    </row>
    <row r="45" spans="1:14" x14ac:dyDescent="0.25">
      <c r="A45" s="143"/>
      <c r="B45" s="5"/>
      <c r="C45" s="5"/>
      <c r="D45" s="5"/>
      <c r="E45" s="5"/>
      <c r="F45" s="5"/>
      <c r="G45" s="5"/>
      <c r="H45" s="5"/>
      <c r="I45" s="5"/>
      <c r="J45" s="5"/>
      <c r="K45" s="5"/>
      <c r="L45" s="5"/>
      <c r="M45" s="5"/>
      <c r="N45" s="150"/>
    </row>
    <row r="46" spans="1:14" x14ac:dyDescent="0.25">
      <c r="A46" s="143"/>
      <c r="B46" s="5"/>
      <c r="C46" s="5"/>
      <c r="D46" s="5"/>
      <c r="E46" s="5"/>
      <c r="F46" s="5"/>
      <c r="G46" s="5"/>
      <c r="H46" s="5"/>
      <c r="I46" s="5"/>
      <c r="J46" s="5"/>
      <c r="K46" s="5"/>
      <c r="L46" s="5"/>
      <c r="M46" s="5"/>
      <c r="N46" s="150"/>
    </row>
    <row r="47" spans="1:14" x14ac:dyDescent="0.25">
      <c r="A47" s="143"/>
      <c r="B47" s="5"/>
      <c r="C47" s="5"/>
      <c r="D47" s="5"/>
      <c r="E47" s="5"/>
      <c r="F47" s="5"/>
      <c r="G47" s="5"/>
      <c r="H47" s="5"/>
      <c r="I47" s="5"/>
      <c r="J47" s="5"/>
      <c r="K47" s="5"/>
      <c r="L47" s="5"/>
      <c r="M47" s="5"/>
      <c r="N47" s="150"/>
    </row>
    <row r="48" spans="1:14" x14ac:dyDescent="0.25">
      <c r="A48" s="143"/>
      <c r="B48" s="5"/>
      <c r="C48" s="5"/>
      <c r="D48" s="5"/>
      <c r="E48" s="5"/>
      <c r="F48" s="5"/>
      <c r="G48" s="5"/>
      <c r="H48" s="5"/>
      <c r="I48" s="5"/>
      <c r="J48" s="5"/>
      <c r="K48" s="5"/>
      <c r="L48" s="5"/>
      <c r="M48" s="5"/>
      <c r="N48" s="150"/>
    </row>
    <row r="49" spans="1:14" x14ac:dyDescent="0.25">
      <c r="A49" s="143"/>
      <c r="B49" s="5"/>
      <c r="C49" s="5"/>
      <c r="D49" s="5"/>
      <c r="E49" s="5"/>
      <c r="F49" s="5"/>
      <c r="G49" s="5"/>
      <c r="H49" s="5"/>
      <c r="I49" s="5"/>
      <c r="J49" s="5"/>
      <c r="K49" s="5"/>
      <c r="L49" s="5"/>
      <c r="M49" s="5"/>
      <c r="N49" s="150"/>
    </row>
    <row r="50" spans="1:14" x14ac:dyDescent="0.25">
      <c r="A50" s="143"/>
      <c r="B50" s="5"/>
      <c r="C50" s="5"/>
      <c r="D50" s="5"/>
      <c r="E50" s="5"/>
      <c r="F50" s="5"/>
      <c r="G50" s="5"/>
      <c r="H50" s="5"/>
      <c r="I50" s="5"/>
      <c r="J50" s="5"/>
      <c r="K50" s="5"/>
      <c r="L50" s="5"/>
      <c r="M50" s="5"/>
      <c r="N50" s="150"/>
    </row>
    <row r="51" spans="1:14" x14ac:dyDescent="0.25">
      <c r="A51" s="143"/>
      <c r="B51" s="5"/>
      <c r="C51" s="5"/>
      <c r="D51" s="5"/>
      <c r="E51" s="5"/>
      <c r="F51" s="5"/>
      <c r="G51" s="5"/>
      <c r="H51" s="5"/>
      <c r="I51" s="5"/>
      <c r="J51" s="5"/>
      <c r="K51" s="5"/>
      <c r="L51" s="5"/>
      <c r="M51" s="5"/>
      <c r="N51" s="150"/>
    </row>
    <row r="52" spans="1:14" x14ac:dyDescent="0.25">
      <c r="A52" s="143"/>
      <c r="B52" s="5"/>
      <c r="C52" s="5"/>
      <c r="D52" s="5"/>
      <c r="E52" s="5"/>
      <c r="F52" s="5"/>
      <c r="G52" s="5"/>
      <c r="H52" s="5"/>
      <c r="I52" s="5"/>
      <c r="J52" s="5"/>
      <c r="K52" s="5"/>
      <c r="L52" s="5"/>
      <c r="M52" s="5"/>
      <c r="N52" s="150"/>
    </row>
    <row r="53" spans="1:14" x14ac:dyDescent="0.25">
      <c r="A53" s="143"/>
      <c r="B53" s="5"/>
      <c r="C53" s="5"/>
      <c r="D53" s="5"/>
      <c r="E53" s="5"/>
      <c r="F53" s="5"/>
      <c r="G53" s="5"/>
      <c r="H53" s="5"/>
      <c r="I53" s="5"/>
      <c r="J53" s="5"/>
      <c r="K53" s="5"/>
      <c r="L53" s="5"/>
      <c r="M53" s="5"/>
      <c r="N53" s="150"/>
    </row>
    <row r="54" spans="1:14" x14ac:dyDescent="0.25">
      <c r="A54" s="143"/>
      <c r="B54" s="5"/>
      <c r="C54" s="5"/>
      <c r="D54" s="5"/>
      <c r="E54" s="5"/>
      <c r="F54" s="5"/>
      <c r="G54" s="5"/>
      <c r="H54" s="5"/>
      <c r="I54" s="5"/>
      <c r="J54" s="5"/>
      <c r="K54" s="5"/>
      <c r="L54" s="5"/>
      <c r="M54" s="5"/>
      <c r="N54" s="150"/>
    </row>
    <row r="55" spans="1:14" x14ac:dyDescent="0.25">
      <c r="A55" s="143"/>
      <c r="B55" s="5"/>
      <c r="C55" s="5"/>
      <c r="D55" s="5"/>
      <c r="E55" s="5"/>
      <c r="F55" s="5"/>
      <c r="G55" s="5"/>
      <c r="H55" s="5"/>
      <c r="I55" s="5"/>
      <c r="J55" s="5"/>
      <c r="K55" s="5"/>
      <c r="L55" s="5"/>
      <c r="M55" s="5"/>
      <c r="N55" s="150"/>
    </row>
    <row r="56" spans="1:14" x14ac:dyDescent="0.25">
      <c r="A56" s="143"/>
      <c r="B56" s="5"/>
      <c r="C56" s="5"/>
      <c r="D56" s="5"/>
      <c r="E56" s="5"/>
      <c r="F56" s="5"/>
      <c r="G56" s="5"/>
      <c r="H56" s="5"/>
      <c r="I56" s="5"/>
      <c r="J56" s="5"/>
      <c r="K56" s="5"/>
      <c r="L56" s="5"/>
      <c r="M56" s="5"/>
      <c r="N56" s="150"/>
    </row>
    <row r="57" spans="1:14" x14ac:dyDescent="0.25">
      <c r="A57" s="143"/>
      <c r="B57" s="5"/>
      <c r="C57" s="5"/>
      <c r="D57" s="5"/>
      <c r="E57" s="5"/>
      <c r="F57" s="5"/>
      <c r="G57" s="5"/>
      <c r="H57" s="5"/>
      <c r="I57" s="5"/>
      <c r="J57" s="5"/>
      <c r="K57" s="5"/>
      <c r="L57" s="5"/>
      <c r="M57" s="5"/>
      <c r="N57" s="150"/>
    </row>
    <row r="58" spans="1:14" x14ac:dyDescent="0.25">
      <c r="A58" s="143"/>
      <c r="B58" s="5"/>
      <c r="C58" s="5"/>
      <c r="D58" s="5"/>
      <c r="E58" s="5"/>
      <c r="F58" s="5"/>
      <c r="G58" s="5"/>
      <c r="H58" s="5"/>
      <c r="I58" s="5"/>
      <c r="J58" s="5"/>
      <c r="K58" s="5"/>
      <c r="L58" s="5"/>
      <c r="M58" s="5"/>
      <c r="N58" s="150"/>
    </row>
    <row r="59" spans="1:14" x14ac:dyDescent="0.25">
      <c r="A59" s="143"/>
      <c r="B59" s="5"/>
      <c r="C59" s="5"/>
      <c r="D59" s="5"/>
      <c r="E59" s="5"/>
      <c r="F59" s="5"/>
      <c r="G59" s="5"/>
      <c r="H59" s="5"/>
      <c r="I59" s="5"/>
      <c r="J59" s="5"/>
      <c r="K59" s="5"/>
      <c r="L59" s="5"/>
      <c r="M59" s="5"/>
      <c r="N59" s="150"/>
    </row>
    <row r="60" spans="1:14" x14ac:dyDescent="0.25">
      <c r="A60" s="143"/>
      <c r="B60" s="5"/>
      <c r="C60" s="5"/>
      <c r="D60" s="5"/>
      <c r="E60" s="5"/>
      <c r="F60" s="5"/>
      <c r="G60" s="5"/>
      <c r="H60" s="5"/>
      <c r="I60" s="5"/>
      <c r="J60" s="5"/>
      <c r="K60" s="5"/>
      <c r="L60" s="5"/>
      <c r="M60" s="5"/>
      <c r="N60" s="150"/>
    </row>
    <row r="61" spans="1:14" x14ac:dyDescent="0.25">
      <c r="A61" s="143"/>
      <c r="B61" s="5"/>
      <c r="C61" s="5"/>
      <c r="D61" s="5"/>
      <c r="E61" s="5"/>
      <c r="F61" s="5"/>
      <c r="G61" s="5"/>
      <c r="H61" s="5"/>
      <c r="I61" s="5"/>
      <c r="J61" s="5"/>
      <c r="K61" s="5"/>
      <c r="L61" s="5"/>
      <c r="M61" s="5"/>
      <c r="N61" s="150"/>
    </row>
    <row r="62" spans="1:14" x14ac:dyDescent="0.25">
      <c r="A62" s="143"/>
      <c r="B62" s="5"/>
      <c r="C62" s="5"/>
      <c r="D62" s="5"/>
      <c r="E62" s="5"/>
      <c r="F62" s="5"/>
      <c r="G62" s="5"/>
      <c r="H62" s="5"/>
      <c r="I62" s="5"/>
      <c r="J62" s="5"/>
      <c r="K62" s="5"/>
      <c r="L62" s="5"/>
      <c r="M62" s="5"/>
      <c r="N62" s="150"/>
    </row>
    <row r="63" spans="1:14" x14ac:dyDescent="0.25">
      <c r="A63" s="143"/>
      <c r="B63" s="5"/>
      <c r="C63" s="5"/>
      <c r="D63" s="5"/>
      <c r="E63" s="5"/>
      <c r="F63" s="5"/>
      <c r="G63" s="5"/>
      <c r="H63" s="5"/>
      <c r="I63" s="5"/>
      <c r="J63" s="5"/>
      <c r="K63" s="5"/>
      <c r="L63" s="5"/>
      <c r="M63" s="5"/>
      <c r="N63" s="150"/>
    </row>
    <row r="64" spans="1:14" x14ac:dyDescent="0.25">
      <c r="A64" s="143"/>
      <c r="B64" s="5"/>
      <c r="C64" s="5"/>
      <c r="D64" s="5"/>
      <c r="E64" s="5"/>
      <c r="F64" s="5"/>
      <c r="G64" s="5"/>
      <c r="H64" s="5"/>
      <c r="I64" s="5"/>
      <c r="J64" s="5"/>
      <c r="K64" s="5"/>
      <c r="L64" s="5"/>
      <c r="M64" s="5"/>
      <c r="N64" s="150"/>
    </row>
    <row r="65" spans="1:14" x14ac:dyDescent="0.25">
      <c r="A65" s="143"/>
      <c r="B65" s="5"/>
      <c r="C65" s="5"/>
      <c r="D65" s="5"/>
      <c r="E65" s="5"/>
      <c r="F65" s="5"/>
      <c r="G65" s="5"/>
      <c r="H65" s="5"/>
      <c r="I65" s="5"/>
      <c r="J65" s="5"/>
      <c r="K65" s="5"/>
      <c r="L65" s="5"/>
      <c r="M65" s="5"/>
      <c r="N65" s="150"/>
    </row>
    <row r="66" spans="1:14" x14ac:dyDescent="0.25">
      <c r="A66" s="143"/>
      <c r="B66" s="5"/>
      <c r="C66" s="5"/>
      <c r="D66" s="5"/>
      <c r="E66" s="5"/>
      <c r="F66" s="5"/>
      <c r="G66" s="5"/>
      <c r="H66" s="5"/>
      <c r="I66" s="5"/>
      <c r="J66" s="5"/>
      <c r="K66" s="5"/>
      <c r="L66" s="5"/>
      <c r="M66" s="5"/>
      <c r="N66" s="150"/>
    </row>
    <row r="67" spans="1:14" x14ac:dyDescent="0.25">
      <c r="A67" s="143"/>
      <c r="B67" s="5"/>
      <c r="C67" s="5"/>
      <c r="D67" s="5"/>
      <c r="E67" s="5"/>
      <c r="F67" s="5"/>
      <c r="G67" s="5"/>
      <c r="H67" s="5"/>
      <c r="I67" s="5"/>
      <c r="J67" s="5"/>
      <c r="K67" s="5"/>
      <c r="L67" s="5"/>
      <c r="M67" s="5"/>
      <c r="N67" s="150"/>
    </row>
    <row r="68" spans="1:14" x14ac:dyDescent="0.25">
      <c r="A68" s="143"/>
      <c r="B68" s="5"/>
      <c r="C68" s="5"/>
      <c r="D68" s="5"/>
      <c r="E68" s="5"/>
      <c r="F68" s="5"/>
      <c r="G68" s="5"/>
      <c r="H68" s="5"/>
      <c r="I68" s="5"/>
      <c r="J68" s="5"/>
      <c r="K68" s="5"/>
      <c r="L68" s="5"/>
      <c r="M68" s="5"/>
      <c r="N68" s="150"/>
    </row>
    <row r="69" spans="1:14" x14ac:dyDescent="0.25">
      <c r="A69" s="143"/>
      <c r="B69" s="5"/>
      <c r="C69" s="5"/>
      <c r="D69" s="5"/>
      <c r="E69" s="5"/>
      <c r="F69" s="5"/>
      <c r="G69" s="5"/>
      <c r="H69" s="5"/>
      <c r="I69" s="5"/>
      <c r="J69" s="5"/>
      <c r="K69" s="5"/>
      <c r="L69" s="5"/>
      <c r="M69" s="5"/>
      <c r="N69" s="150"/>
    </row>
    <row r="70" spans="1:14" x14ac:dyDescent="0.25">
      <c r="A70" s="143"/>
      <c r="B70" s="5"/>
      <c r="C70" s="5"/>
      <c r="D70" s="5"/>
      <c r="E70" s="5"/>
      <c r="F70" s="5"/>
      <c r="G70" s="5"/>
      <c r="H70" s="5"/>
      <c r="I70" s="5"/>
      <c r="J70" s="5"/>
      <c r="K70" s="5"/>
      <c r="L70" s="5"/>
      <c r="M70" s="5"/>
      <c r="N70" s="150"/>
    </row>
    <row r="71" spans="1:14" x14ac:dyDescent="0.25">
      <c r="A71" s="143"/>
      <c r="B71" s="5"/>
      <c r="C71" s="5"/>
      <c r="D71" s="5"/>
      <c r="E71" s="5"/>
      <c r="F71" s="5"/>
      <c r="G71" s="5"/>
      <c r="H71" s="5"/>
      <c r="I71" s="5"/>
      <c r="J71" s="5"/>
      <c r="K71" s="5"/>
      <c r="L71" s="5"/>
      <c r="M71" s="5"/>
      <c r="N71" s="150"/>
    </row>
    <row r="72" spans="1:14" x14ac:dyDescent="0.25">
      <c r="A72" s="143"/>
      <c r="B72" s="5"/>
      <c r="C72" s="5"/>
      <c r="D72" s="5"/>
      <c r="E72" s="5"/>
      <c r="F72" s="5"/>
      <c r="G72" s="5"/>
      <c r="H72" s="5"/>
      <c r="I72" s="5"/>
      <c r="J72" s="5"/>
      <c r="K72" s="5"/>
      <c r="L72" s="5"/>
      <c r="M72" s="5"/>
      <c r="N72" s="150"/>
    </row>
    <row r="73" spans="1:14" x14ac:dyDescent="0.25">
      <c r="A73" s="143"/>
      <c r="B73" s="5"/>
      <c r="C73" s="5"/>
      <c r="D73" s="5"/>
      <c r="E73" s="5"/>
      <c r="F73" s="5"/>
      <c r="G73" s="5"/>
      <c r="H73" s="5"/>
      <c r="I73" s="5"/>
      <c r="J73" s="5"/>
      <c r="K73" s="5"/>
      <c r="L73" s="5"/>
      <c r="M73" s="5"/>
      <c r="N73" s="150"/>
    </row>
    <row r="74" spans="1:14" x14ac:dyDescent="0.25">
      <c r="A74" s="143"/>
      <c r="B74" s="5"/>
      <c r="C74" s="5"/>
      <c r="D74" s="5"/>
      <c r="E74" s="5"/>
      <c r="F74" s="5"/>
      <c r="G74" s="5"/>
      <c r="H74" s="5"/>
      <c r="I74" s="5"/>
      <c r="J74" s="5"/>
      <c r="K74" s="5"/>
      <c r="L74" s="5"/>
      <c r="M74" s="5"/>
      <c r="N74" s="150"/>
    </row>
    <row r="75" spans="1:14" x14ac:dyDescent="0.25">
      <c r="A75" s="143"/>
      <c r="B75" s="5"/>
      <c r="C75" s="5"/>
      <c r="D75" s="5"/>
      <c r="E75" s="5"/>
      <c r="F75" s="5"/>
      <c r="G75" s="5"/>
      <c r="H75" s="5"/>
      <c r="I75" s="5"/>
      <c r="J75" s="5"/>
      <c r="K75" s="5"/>
      <c r="L75" s="5"/>
      <c r="M75" s="5"/>
      <c r="N75" s="150"/>
    </row>
    <row r="76" spans="1:14" x14ac:dyDescent="0.25">
      <c r="A76" s="143"/>
      <c r="B76" s="5"/>
      <c r="C76" s="5"/>
      <c r="D76" s="5"/>
      <c r="E76" s="5"/>
      <c r="F76" s="5"/>
      <c r="G76" s="5"/>
      <c r="H76" s="5"/>
      <c r="I76" s="5"/>
      <c r="J76" s="5"/>
      <c r="K76" s="5"/>
      <c r="L76" s="5"/>
      <c r="M76" s="5"/>
      <c r="N76" s="150"/>
    </row>
    <row r="77" spans="1:14" x14ac:dyDescent="0.25">
      <c r="A77" s="143"/>
      <c r="B77" s="5"/>
      <c r="C77" s="5"/>
      <c r="D77" s="5"/>
      <c r="E77" s="5"/>
      <c r="F77" s="5"/>
      <c r="G77" s="5"/>
      <c r="H77" s="5"/>
      <c r="I77" s="5"/>
      <c r="J77" s="5"/>
      <c r="K77" s="5"/>
      <c r="L77" s="5"/>
      <c r="M77" s="5"/>
      <c r="N77" s="150"/>
    </row>
    <row r="78" spans="1:14" x14ac:dyDescent="0.25">
      <c r="A78" s="143"/>
      <c r="B78" s="5"/>
      <c r="C78" s="5"/>
      <c r="D78" s="5"/>
      <c r="E78" s="5"/>
      <c r="F78" s="5"/>
      <c r="G78" s="5"/>
      <c r="H78" s="5"/>
      <c r="I78" s="5"/>
      <c r="J78" s="5"/>
      <c r="K78" s="5"/>
      <c r="L78" s="5"/>
      <c r="M78" s="5"/>
      <c r="N78" s="150"/>
    </row>
    <row r="79" spans="1:14" x14ac:dyDescent="0.25">
      <c r="A79" s="143"/>
      <c r="B79" s="5"/>
      <c r="C79" s="5"/>
      <c r="D79" s="5"/>
      <c r="E79" s="5"/>
      <c r="F79" s="5"/>
      <c r="G79" s="5"/>
      <c r="H79" s="5"/>
      <c r="I79" s="5"/>
      <c r="J79" s="5"/>
      <c r="K79" s="5"/>
      <c r="L79" s="5"/>
      <c r="M79" s="5"/>
      <c r="N79" s="150"/>
    </row>
    <row r="80" spans="1:14" x14ac:dyDescent="0.25">
      <c r="A80" s="143"/>
      <c r="B80" s="5"/>
      <c r="C80" s="5"/>
      <c r="D80" s="5"/>
      <c r="E80" s="5"/>
      <c r="F80" s="5"/>
      <c r="G80" s="5"/>
      <c r="H80" s="5"/>
      <c r="I80" s="5"/>
      <c r="J80" s="5"/>
      <c r="K80" s="5"/>
      <c r="L80" s="5"/>
      <c r="M80" s="5"/>
      <c r="N80" s="150"/>
    </row>
    <row r="81" spans="1:14" x14ac:dyDescent="0.25">
      <c r="A81" s="143"/>
      <c r="B81" s="5"/>
      <c r="C81" s="5"/>
      <c r="D81" s="5"/>
      <c r="E81" s="5"/>
      <c r="F81" s="5"/>
      <c r="G81" s="5"/>
      <c r="H81" s="5"/>
      <c r="I81" s="5"/>
      <c r="J81" s="5"/>
      <c r="K81" s="5"/>
      <c r="L81" s="5"/>
      <c r="M81" s="5"/>
      <c r="N81" s="150"/>
    </row>
    <row r="82" spans="1:14" x14ac:dyDescent="0.25">
      <c r="A82" s="143"/>
      <c r="B82" s="5"/>
      <c r="C82" s="5"/>
      <c r="D82" s="5"/>
      <c r="E82" s="5"/>
      <c r="F82" s="5"/>
      <c r="G82" s="5"/>
      <c r="H82" s="5"/>
      <c r="I82" s="5"/>
      <c r="J82" s="5"/>
      <c r="K82" s="5"/>
      <c r="L82" s="5"/>
      <c r="M82" s="5"/>
      <c r="N82" s="150"/>
    </row>
    <row r="83" spans="1:14" x14ac:dyDescent="0.25">
      <c r="A83" s="143"/>
      <c r="B83" s="5"/>
      <c r="C83" s="5"/>
      <c r="D83" s="5"/>
      <c r="E83" s="5"/>
      <c r="F83" s="5"/>
      <c r="G83" s="5"/>
      <c r="H83" s="5"/>
      <c r="I83" s="5"/>
      <c r="J83" s="5"/>
      <c r="K83" s="5"/>
      <c r="L83" s="5"/>
      <c r="M83" s="5"/>
      <c r="N83" s="150"/>
    </row>
    <row r="84" spans="1:14" x14ac:dyDescent="0.25">
      <c r="A84" s="143"/>
      <c r="B84" s="5"/>
      <c r="C84" s="5"/>
      <c r="D84" s="5"/>
      <c r="E84" s="5"/>
      <c r="F84" s="5"/>
      <c r="G84" s="5"/>
      <c r="H84" s="5"/>
      <c r="I84" s="5"/>
      <c r="J84" s="5"/>
      <c r="K84" s="5"/>
      <c r="L84" s="5"/>
      <c r="M84" s="5"/>
      <c r="N84" s="150"/>
    </row>
    <row r="85" spans="1:14" x14ac:dyDescent="0.25">
      <c r="A85" s="143"/>
      <c r="B85" s="5"/>
      <c r="C85" s="5"/>
      <c r="D85" s="5"/>
      <c r="E85" s="5"/>
      <c r="F85" s="5"/>
      <c r="G85" s="5"/>
      <c r="H85" s="5"/>
      <c r="I85" s="5"/>
      <c r="J85" s="5"/>
      <c r="K85" s="5"/>
      <c r="L85" s="5"/>
      <c r="M85" s="5"/>
      <c r="N85" s="150"/>
    </row>
    <row r="86" spans="1:14" x14ac:dyDescent="0.25">
      <c r="A86" s="143"/>
      <c r="B86" s="5"/>
      <c r="C86" s="5"/>
      <c r="D86" s="5"/>
      <c r="E86" s="5"/>
      <c r="F86" s="5"/>
      <c r="G86" s="5"/>
      <c r="H86" s="5"/>
      <c r="I86" s="5"/>
      <c r="J86" s="5"/>
      <c r="K86" s="5"/>
      <c r="L86" s="5"/>
      <c r="M86" s="5"/>
      <c r="N86" s="150"/>
    </row>
    <row r="87" spans="1:14" x14ac:dyDescent="0.25">
      <c r="A87" s="143"/>
      <c r="B87" s="5"/>
      <c r="C87" s="5"/>
      <c r="D87" s="5"/>
      <c r="E87" s="5"/>
      <c r="F87" s="5"/>
      <c r="G87" s="5"/>
      <c r="H87" s="5"/>
      <c r="I87" s="5"/>
      <c r="J87" s="5"/>
      <c r="K87" s="5"/>
      <c r="L87" s="5"/>
      <c r="M87" s="5"/>
      <c r="N87" s="150"/>
    </row>
    <row r="88" spans="1:14" x14ac:dyDescent="0.25">
      <c r="A88" s="143"/>
      <c r="B88" s="5"/>
      <c r="C88" s="5"/>
      <c r="D88" s="5"/>
      <c r="E88" s="5"/>
      <c r="F88" s="5"/>
      <c r="G88" s="5"/>
      <c r="H88" s="5"/>
      <c r="I88" s="5"/>
      <c r="J88" s="5"/>
      <c r="K88" s="5"/>
      <c r="L88" s="5"/>
      <c r="M88" s="5"/>
      <c r="N88" s="150"/>
    </row>
    <row r="89" spans="1:14" x14ac:dyDescent="0.25">
      <c r="A89" s="143"/>
      <c r="B89" s="5"/>
      <c r="C89" s="5"/>
      <c r="D89" s="5"/>
      <c r="E89" s="5"/>
      <c r="F89" s="5"/>
      <c r="G89" s="5"/>
      <c r="H89" s="5"/>
      <c r="I89" s="5"/>
      <c r="J89" s="5"/>
      <c r="K89" s="5"/>
      <c r="L89" s="5"/>
      <c r="M89" s="5"/>
      <c r="N89" s="150"/>
    </row>
    <row r="90" spans="1:14" x14ac:dyDescent="0.25">
      <c r="A90" s="143"/>
      <c r="B90" s="5"/>
      <c r="C90" s="5"/>
      <c r="D90" s="5"/>
      <c r="E90" s="5"/>
      <c r="F90" s="5"/>
      <c r="G90" s="5"/>
      <c r="H90" s="5"/>
      <c r="I90" s="5"/>
      <c r="J90" s="5"/>
      <c r="K90" s="5"/>
      <c r="L90" s="5"/>
      <c r="M90" s="5"/>
      <c r="N90" s="150"/>
    </row>
    <row r="91" spans="1:14" x14ac:dyDescent="0.25">
      <c r="A91" s="143"/>
      <c r="B91" s="5"/>
      <c r="C91" s="5"/>
      <c r="D91" s="5"/>
      <c r="E91" s="5"/>
      <c r="F91" s="5"/>
      <c r="G91" s="5"/>
      <c r="H91" s="5"/>
      <c r="I91" s="5"/>
      <c r="J91" s="5"/>
      <c r="K91" s="5"/>
      <c r="L91" s="5"/>
      <c r="M91" s="5"/>
      <c r="N91" s="150"/>
    </row>
    <row r="92" spans="1:14" x14ac:dyDescent="0.25">
      <c r="A92" s="143"/>
      <c r="B92" s="5"/>
      <c r="C92" s="5"/>
      <c r="D92" s="5"/>
      <c r="E92" s="5"/>
      <c r="F92" s="5"/>
      <c r="G92" s="5"/>
      <c r="H92" s="5"/>
      <c r="I92" s="5"/>
      <c r="J92" s="5"/>
      <c r="K92" s="5"/>
      <c r="L92" s="5"/>
      <c r="M92" s="5"/>
      <c r="N92" s="150"/>
    </row>
    <row r="93" spans="1:14" x14ac:dyDescent="0.25">
      <c r="A93" s="143"/>
      <c r="B93" s="5"/>
      <c r="C93" s="5"/>
      <c r="D93" s="5"/>
      <c r="E93" s="5"/>
      <c r="F93" s="5"/>
      <c r="G93" s="5"/>
      <c r="H93" s="5"/>
      <c r="I93" s="5"/>
      <c r="J93" s="5"/>
      <c r="K93" s="5"/>
      <c r="L93" s="5"/>
      <c r="M93" s="5"/>
      <c r="N93" s="150"/>
    </row>
    <row r="94" spans="1:14" x14ac:dyDescent="0.25">
      <c r="A94" s="143"/>
      <c r="B94" s="5"/>
      <c r="C94" s="5"/>
      <c r="D94" s="5"/>
      <c r="E94" s="5"/>
      <c r="F94" s="5"/>
      <c r="G94" s="5"/>
      <c r="H94" s="5"/>
      <c r="I94" s="5"/>
      <c r="J94" s="5"/>
      <c r="K94" s="5"/>
      <c r="L94" s="5"/>
      <c r="M94" s="5"/>
      <c r="N94" s="150"/>
    </row>
    <row r="95" spans="1:14" x14ac:dyDescent="0.25">
      <c r="A95" s="143"/>
      <c r="B95" s="5"/>
      <c r="C95" s="5"/>
      <c r="D95" s="5"/>
      <c r="E95" s="5"/>
      <c r="F95" s="5"/>
      <c r="G95" s="5"/>
      <c r="H95" s="5"/>
      <c r="I95" s="5"/>
      <c r="J95" s="5"/>
      <c r="K95" s="5"/>
      <c r="L95" s="5"/>
      <c r="M95" s="5"/>
      <c r="N95" s="150"/>
    </row>
    <row r="96" spans="1:14" x14ac:dyDescent="0.25">
      <c r="A96" s="143"/>
      <c r="B96" s="5"/>
      <c r="C96" s="5"/>
      <c r="D96" s="5"/>
      <c r="E96" s="5"/>
      <c r="F96" s="5"/>
      <c r="G96" s="5"/>
      <c r="H96" s="5"/>
      <c r="I96" s="5"/>
      <c r="J96" s="5"/>
      <c r="K96" s="5"/>
      <c r="L96" s="5"/>
      <c r="M96" s="5"/>
      <c r="N96" s="150"/>
    </row>
    <row r="97" spans="1:14" x14ac:dyDescent="0.25">
      <c r="A97" s="143"/>
      <c r="B97" s="5"/>
      <c r="C97" s="5"/>
      <c r="D97" s="5"/>
      <c r="E97" s="5"/>
      <c r="F97" s="5"/>
      <c r="G97" s="5"/>
      <c r="H97" s="5"/>
      <c r="I97" s="5"/>
      <c r="J97" s="5"/>
      <c r="K97" s="5"/>
      <c r="L97" s="5"/>
      <c r="M97" s="5"/>
      <c r="N97" s="150"/>
    </row>
    <row r="98" spans="1:14" x14ac:dyDescent="0.25">
      <c r="A98" s="143"/>
      <c r="B98" s="5"/>
      <c r="C98" s="5"/>
      <c r="D98" s="5"/>
      <c r="E98" s="5"/>
      <c r="F98" s="5"/>
      <c r="G98" s="5"/>
      <c r="H98" s="5"/>
      <c r="I98" s="5"/>
      <c r="J98" s="5"/>
      <c r="K98" s="5"/>
      <c r="L98" s="5"/>
      <c r="M98" s="5"/>
      <c r="N98" s="150"/>
    </row>
    <row r="99" spans="1:14" x14ac:dyDescent="0.25">
      <c r="A99" s="143"/>
      <c r="B99" s="5"/>
      <c r="C99" s="5"/>
      <c r="D99" s="5"/>
      <c r="E99" s="5"/>
      <c r="F99" s="5"/>
      <c r="G99" s="5"/>
      <c r="H99" s="5"/>
      <c r="I99" s="5"/>
      <c r="J99" s="5"/>
      <c r="K99" s="5"/>
      <c r="L99" s="5"/>
      <c r="M99" s="5"/>
      <c r="N99" s="150"/>
    </row>
    <row r="100" spans="1:14" x14ac:dyDescent="0.25">
      <c r="A100" s="143"/>
      <c r="B100" s="5"/>
      <c r="C100" s="5"/>
      <c r="D100" s="5"/>
      <c r="E100" s="5"/>
      <c r="F100" s="5"/>
      <c r="G100" s="5"/>
      <c r="H100" s="5"/>
      <c r="I100" s="5"/>
      <c r="J100" s="5"/>
      <c r="K100" s="5"/>
      <c r="L100" s="5"/>
      <c r="M100" s="5"/>
      <c r="N100" s="150"/>
    </row>
    <row r="101" spans="1:14" x14ac:dyDescent="0.25">
      <c r="A101" s="143"/>
      <c r="B101" s="5"/>
      <c r="C101" s="5"/>
      <c r="D101" s="5"/>
      <c r="E101" s="5"/>
      <c r="F101" s="5"/>
      <c r="G101" s="5"/>
      <c r="H101" s="5"/>
      <c r="I101" s="5"/>
      <c r="J101" s="5"/>
      <c r="K101" s="5"/>
      <c r="L101" s="5"/>
      <c r="M101" s="5"/>
      <c r="N101" s="150"/>
    </row>
    <row r="102" spans="1:14" x14ac:dyDescent="0.25">
      <c r="A102" s="143"/>
      <c r="B102" s="5"/>
      <c r="C102" s="5"/>
      <c r="D102" s="5"/>
      <c r="E102" s="5"/>
      <c r="F102" s="5"/>
      <c r="G102" s="5"/>
      <c r="H102" s="5"/>
      <c r="I102" s="5"/>
      <c r="J102" s="5"/>
      <c r="K102" s="5"/>
      <c r="L102" s="5"/>
      <c r="M102" s="5"/>
      <c r="N102" s="150"/>
    </row>
    <row r="103" spans="1:14" x14ac:dyDescent="0.25">
      <c r="A103" s="143"/>
      <c r="B103" s="5"/>
      <c r="C103" s="5"/>
      <c r="D103" s="5"/>
      <c r="E103" s="5"/>
      <c r="F103" s="5"/>
      <c r="G103" s="5"/>
      <c r="H103" s="5"/>
      <c r="I103" s="5"/>
      <c r="J103" s="5"/>
      <c r="K103" s="5"/>
      <c r="L103" s="5"/>
      <c r="M103" s="5"/>
      <c r="N103" s="150"/>
    </row>
    <row r="104" spans="1:14" x14ac:dyDescent="0.25">
      <c r="A104" s="143"/>
      <c r="B104" s="5"/>
      <c r="C104" s="5"/>
      <c r="D104" s="5"/>
      <c r="E104" s="5"/>
      <c r="F104" s="5"/>
      <c r="G104" s="5"/>
      <c r="H104" s="5"/>
      <c r="I104" s="5"/>
      <c r="J104" s="5"/>
      <c r="K104" s="5"/>
      <c r="L104" s="5"/>
      <c r="M104" s="5"/>
      <c r="N104" s="150"/>
    </row>
    <row r="105" spans="1:14" x14ac:dyDescent="0.25">
      <c r="A105" s="143"/>
      <c r="B105" s="5"/>
      <c r="C105" s="5"/>
      <c r="D105" s="5"/>
      <c r="E105" s="5"/>
      <c r="F105" s="5"/>
      <c r="G105" s="5"/>
      <c r="H105" s="5"/>
      <c r="I105" s="5"/>
      <c r="J105" s="5"/>
      <c r="K105" s="5"/>
      <c r="L105" s="5"/>
      <c r="M105" s="5"/>
      <c r="N105" s="150"/>
    </row>
    <row r="106" spans="1:14" x14ac:dyDescent="0.25">
      <c r="A106" s="143"/>
      <c r="B106" s="5"/>
      <c r="C106" s="5"/>
      <c r="D106" s="5"/>
      <c r="E106" s="5"/>
      <c r="F106" s="5"/>
      <c r="G106" s="5"/>
      <c r="H106" s="5"/>
      <c r="I106" s="5"/>
      <c r="J106" s="5"/>
      <c r="K106" s="5"/>
      <c r="L106" s="5"/>
      <c r="M106" s="5"/>
      <c r="N106" s="150"/>
    </row>
    <row r="107" spans="1:14" x14ac:dyDescent="0.25">
      <c r="A107" s="143"/>
      <c r="B107" s="5"/>
      <c r="C107" s="5"/>
      <c r="D107" s="5"/>
      <c r="E107" s="5"/>
      <c r="F107" s="5"/>
      <c r="G107" s="5"/>
      <c r="H107" s="5"/>
      <c r="I107" s="5"/>
      <c r="J107" s="5"/>
      <c r="K107" s="5"/>
      <c r="L107" s="5"/>
      <c r="M107" s="5"/>
      <c r="N107" s="150"/>
    </row>
    <row r="108" spans="1:14" x14ac:dyDescent="0.25">
      <c r="A108" s="143"/>
      <c r="B108" s="5"/>
      <c r="C108" s="5"/>
      <c r="D108" s="5"/>
      <c r="E108" s="5"/>
      <c r="F108" s="5"/>
      <c r="G108" s="5"/>
      <c r="H108" s="5"/>
      <c r="I108" s="5"/>
      <c r="J108" s="5"/>
      <c r="K108" s="5"/>
      <c r="L108" s="5"/>
      <c r="M108" s="5"/>
      <c r="N108" s="150"/>
    </row>
    <row r="109" spans="1:14" x14ac:dyDescent="0.25">
      <c r="A109" s="143"/>
      <c r="B109" s="5"/>
      <c r="C109" s="5"/>
      <c r="D109" s="5"/>
      <c r="E109" s="5"/>
      <c r="F109" s="5"/>
      <c r="G109" s="5"/>
      <c r="H109" s="5"/>
      <c r="I109" s="5"/>
      <c r="J109" s="5"/>
      <c r="K109" s="5"/>
      <c r="L109" s="5"/>
      <c r="M109" s="5"/>
      <c r="N109" s="150"/>
    </row>
    <row r="110" spans="1:14" x14ac:dyDescent="0.25">
      <c r="A110" s="143"/>
      <c r="B110" s="5"/>
      <c r="C110" s="5"/>
      <c r="D110" s="5"/>
      <c r="E110" s="5"/>
      <c r="F110" s="5"/>
      <c r="G110" s="5"/>
      <c r="H110" s="5"/>
      <c r="I110" s="5"/>
      <c r="J110" s="5"/>
      <c r="K110" s="5"/>
      <c r="L110" s="5"/>
      <c r="M110" s="5"/>
      <c r="N110" s="150"/>
    </row>
    <row r="111" spans="1:14" x14ac:dyDescent="0.25">
      <c r="A111" s="143"/>
      <c r="B111" s="5"/>
      <c r="C111" s="5"/>
      <c r="D111" s="5"/>
      <c r="E111" s="5"/>
      <c r="F111" s="5"/>
      <c r="G111" s="5"/>
      <c r="H111" s="5"/>
      <c r="I111" s="5"/>
      <c r="J111" s="5"/>
      <c r="K111" s="5"/>
      <c r="L111" s="5"/>
      <c r="M111" s="5"/>
      <c r="N111" s="150"/>
    </row>
    <row r="112" spans="1:14" x14ac:dyDescent="0.25">
      <c r="A112" s="143"/>
      <c r="B112" s="5"/>
      <c r="C112" s="5"/>
      <c r="D112" s="5"/>
      <c r="E112" s="5"/>
      <c r="F112" s="5"/>
      <c r="G112" s="5"/>
      <c r="H112" s="5"/>
      <c r="I112" s="5"/>
      <c r="J112" s="5"/>
      <c r="K112" s="5"/>
      <c r="L112" s="5"/>
      <c r="M112" s="5"/>
      <c r="N112" s="150"/>
    </row>
    <row r="113" spans="1:14" x14ac:dyDescent="0.25">
      <c r="A113" s="143"/>
      <c r="B113" s="5"/>
      <c r="C113" s="5"/>
      <c r="D113" s="5"/>
      <c r="E113" s="5"/>
      <c r="F113" s="5"/>
      <c r="G113" s="5"/>
      <c r="H113" s="5"/>
      <c r="I113" s="5"/>
      <c r="J113" s="5"/>
      <c r="K113" s="5"/>
      <c r="L113" s="5"/>
      <c r="M113" s="5"/>
      <c r="N113" s="150"/>
    </row>
    <row r="114" spans="1:14" x14ac:dyDescent="0.25">
      <c r="A114" s="143"/>
      <c r="B114" s="5"/>
      <c r="C114" s="5"/>
      <c r="D114" s="5"/>
      <c r="E114" s="5"/>
      <c r="F114" s="5"/>
      <c r="G114" s="5"/>
      <c r="H114" s="5"/>
      <c r="I114" s="5"/>
      <c r="J114" s="5"/>
      <c r="K114" s="5"/>
      <c r="L114" s="5"/>
      <c r="M114" s="5"/>
      <c r="N114" s="150"/>
    </row>
    <row r="115" spans="1:14" x14ac:dyDescent="0.25">
      <c r="A115" s="143"/>
      <c r="B115" s="5"/>
      <c r="C115" s="5"/>
      <c r="D115" s="5"/>
      <c r="E115" s="5"/>
      <c r="F115" s="5"/>
      <c r="G115" s="5"/>
      <c r="H115" s="5"/>
      <c r="I115" s="5"/>
      <c r="J115" s="5"/>
      <c r="K115" s="5"/>
      <c r="L115" s="5"/>
      <c r="M115" s="5"/>
      <c r="N115" s="150"/>
    </row>
    <row r="116" spans="1:14" x14ac:dyDescent="0.25">
      <c r="A116" s="143"/>
      <c r="B116" s="5"/>
      <c r="C116" s="5"/>
      <c r="D116" s="5"/>
      <c r="E116" s="5"/>
      <c r="F116" s="5"/>
      <c r="G116" s="5"/>
      <c r="H116" s="5"/>
      <c r="I116" s="5"/>
      <c r="J116" s="5"/>
      <c r="K116" s="5"/>
      <c r="L116" s="5"/>
      <c r="M116" s="5"/>
      <c r="N116" s="150"/>
    </row>
    <row r="117" spans="1:14" x14ac:dyDescent="0.25">
      <c r="A117" s="143"/>
      <c r="B117" s="5"/>
      <c r="C117" s="5"/>
      <c r="D117" s="5"/>
      <c r="E117" s="5"/>
      <c r="F117" s="5"/>
      <c r="G117" s="5"/>
      <c r="H117" s="5"/>
      <c r="I117" s="5"/>
      <c r="J117" s="5"/>
      <c r="K117" s="5"/>
      <c r="L117" s="5"/>
      <c r="M117" s="5"/>
      <c r="N117" s="150"/>
    </row>
    <row r="118" spans="1:14" x14ac:dyDescent="0.25">
      <c r="A118" s="143"/>
      <c r="B118" s="5"/>
      <c r="C118" s="5"/>
      <c r="D118" s="5"/>
      <c r="E118" s="5"/>
      <c r="F118" s="5"/>
      <c r="G118" s="5"/>
      <c r="H118" s="5"/>
      <c r="I118" s="5"/>
      <c r="J118" s="5"/>
      <c r="K118" s="5"/>
      <c r="L118" s="5"/>
      <c r="M118" s="5"/>
      <c r="N118" s="150"/>
    </row>
    <row r="119" spans="1:14" x14ac:dyDescent="0.25">
      <c r="A119" s="143"/>
      <c r="B119" s="5"/>
      <c r="C119" s="5"/>
      <c r="D119" s="5"/>
      <c r="E119" s="5"/>
      <c r="F119" s="5"/>
      <c r="G119" s="5"/>
      <c r="H119" s="5"/>
      <c r="I119" s="5"/>
      <c r="J119" s="5"/>
      <c r="K119" s="5"/>
      <c r="L119" s="5"/>
      <c r="M119" s="5"/>
      <c r="N119" s="150"/>
    </row>
    <row r="120" spans="1:14" x14ac:dyDescent="0.25">
      <c r="A120" s="143"/>
      <c r="B120" s="5"/>
      <c r="C120" s="5"/>
      <c r="D120" s="5"/>
      <c r="E120" s="5"/>
      <c r="F120" s="5"/>
      <c r="G120" s="5"/>
      <c r="H120" s="5"/>
      <c r="I120" s="5"/>
      <c r="J120" s="5"/>
      <c r="K120" s="5"/>
      <c r="L120" s="5"/>
      <c r="M120" s="5"/>
      <c r="N120" s="150"/>
    </row>
    <row r="121" spans="1:14" x14ac:dyDescent="0.25">
      <c r="A121" s="143"/>
      <c r="B121" s="5"/>
      <c r="C121" s="5"/>
      <c r="D121" s="5"/>
      <c r="E121" s="5"/>
      <c r="F121" s="5"/>
      <c r="G121" s="5"/>
      <c r="H121" s="5"/>
      <c r="I121" s="5"/>
      <c r="J121" s="5"/>
      <c r="K121" s="5"/>
      <c r="L121" s="5"/>
      <c r="M121" s="5"/>
      <c r="N121" s="150"/>
    </row>
    <row r="122" spans="1:14" x14ac:dyDescent="0.25">
      <c r="A122" s="143"/>
      <c r="B122" s="5"/>
      <c r="C122" s="5"/>
      <c r="D122" s="5"/>
      <c r="E122" s="5"/>
      <c r="F122" s="5"/>
      <c r="G122" s="5"/>
      <c r="H122" s="5"/>
      <c r="I122" s="5"/>
      <c r="J122" s="5"/>
      <c r="K122" s="5"/>
      <c r="L122" s="5"/>
      <c r="M122" s="5"/>
      <c r="N122" s="150"/>
    </row>
    <row r="123" spans="1:14" x14ac:dyDescent="0.25">
      <c r="A123" s="143"/>
      <c r="B123" s="5"/>
      <c r="C123" s="5"/>
      <c r="D123" s="5"/>
      <c r="E123" s="5"/>
      <c r="F123" s="5"/>
      <c r="G123" s="5"/>
      <c r="H123" s="5"/>
      <c r="I123" s="5"/>
      <c r="J123" s="5"/>
      <c r="K123" s="5"/>
      <c r="L123" s="5"/>
      <c r="M123" s="5"/>
      <c r="N123" s="150"/>
    </row>
    <row r="124" spans="1:14" x14ac:dyDescent="0.25">
      <c r="A124" s="143"/>
      <c r="B124" s="5"/>
      <c r="C124" s="5"/>
      <c r="D124" s="5"/>
      <c r="E124" s="5"/>
      <c r="F124" s="5"/>
      <c r="G124" s="5"/>
      <c r="H124" s="5"/>
      <c r="I124" s="5"/>
      <c r="J124" s="5"/>
      <c r="K124" s="5"/>
      <c r="L124" s="5"/>
      <c r="M124" s="5"/>
      <c r="N124" s="150"/>
    </row>
    <row r="125" spans="1:14" x14ac:dyDescent="0.25">
      <c r="A125" s="143"/>
      <c r="B125" s="5"/>
      <c r="C125" s="5"/>
      <c r="D125" s="5"/>
      <c r="E125" s="5"/>
      <c r="F125" s="5"/>
      <c r="G125" s="5"/>
      <c r="H125" s="5"/>
      <c r="I125" s="5"/>
      <c r="J125" s="5"/>
      <c r="K125" s="5"/>
      <c r="L125" s="5"/>
      <c r="M125" s="5"/>
      <c r="N125" s="150"/>
    </row>
    <row r="126" spans="1:14" x14ac:dyDescent="0.25">
      <c r="A126" s="143"/>
      <c r="B126" s="5"/>
      <c r="C126" s="5"/>
      <c r="D126" s="5"/>
      <c r="E126" s="5"/>
      <c r="F126" s="5"/>
      <c r="G126" s="5"/>
      <c r="H126" s="5"/>
      <c r="I126" s="5"/>
      <c r="J126" s="5"/>
      <c r="K126" s="5"/>
      <c r="L126" s="5"/>
      <c r="M126" s="5"/>
      <c r="N126" s="150"/>
    </row>
    <row r="127" spans="1:14" x14ac:dyDescent="0.25">
      <c r="A127" s="143"/>
      <c r="B127" s="5"/>
      <c r="C127" s="5"/>
      <c r="D127" s="5"/>
      <c r="E127" s="5"/>
      <c r="F127" s="5"/>
      <c r="G127" s="5"/>
      <c r="H127" s="5"/>
      <c r="I127" s="5"/>
      <c r="J127" s="5"/>
      <c r="K127" s="5"/>
      <c r="L127" s="5"/>
      <c r="M127" s="5"/>
      <c r="N127" s="150"/>
    </row>
    <row r="128" spans="1:14" x14ac:dyDescent="0.25">
      <c r="A128" s="143"/>
      <c r="B128" s="5"/>
      <c r="C128" s="5"/>
      <c r="D128" s="5"/>
      <c r="E128" s="5"/>
      <c r="F128" s="5"/>
      <c r="G128" s="5"/>
      <c r="H128" s="5"/>
      <c r="I128" s="5"/>
      <c r="J128" s="5"/>
      <c r="K128" s="5"/>
      <c r="L128" s="5"/>
      <c r="M128" s="5"/>
      <c r="N128" s="150"/>
    </row>
    <row r="129" spans="1:14" x14ac:dyDescent="0.25">
      <c r="A129" s="143"/>
      <c r="B129" s="5"/>
      <c r="C129" s="5"/>
      <c r="D129" s="5"/>
      <c r="E129" s="5"/>
      <c r="F129" s="5"/>
      <c r="G129" s="5"/>
      <c r="H129" s="5"/>
      <c r="I129" s="5"/>
      <c r="J129" s="5"/>
      <c r="K129" s="5"/>
      <c r="L129" s="5"/>
      <c r="M129" s="5"/>
      <c r="N129" s="150"/>
    </row>
    <row r="130" spans="1:14" x14ac:dyDescent="0.25">
      <c r="A130" s="143"/>
      <c r="B130" s="5"/>
      <c r="C130" s="5"/>
      <c r="D130" s="5"/>
      <c r="E130" s="5"/>
      <c r="F130" s="5"/>
      <c r="G130" s="5"/>
      <c r="H130" s="5"/>
      <c r="I130" s="5"/>
      <c r="J130" s="5"/>
      <c r="K130" s="5"/>
      <c r="L130" s="5"/>
      <c r="M130" s="5"/>
      <c r="N130" s="150"/>
    </row>
    <row r="131" spans="1:14" x14ac:dyDescent="0.25">
      <c r="A131" s="143"/>
      <c r="B131" s="5"/>
      <c r="C131" s="5"/>
      <c r="D131" s="5"/>
      <c r="E131" s="5"/>
      <c r="F131" s="5"/>
      <c r="G131" s="5"/>
      <c r="H131" s="5"/>
      <c r="I131" s="5"/>
      <c r="J131" s="5"/>
      <c r="K131" s="5"/>
      <c r="L131" s="5"/>
      <c r="M131" s="5"/>
      <c r="N131" s="150"/>
    </row>
    <row r="132" spans="1:14" x14ac:dyDescent="0.25">
      <c r="A132" s="143"/>
      <c r="B132" s="5"/>
      <c r="C132" s="5"/>
      <c r="D132" s="5"/>
      <c r="E132" s="5"/>
      <c r="F132" s="5"/>
      <c r="G132" s="5"/>
      <c r="H132" s="5"/>
      <c r="I132" s="5"/>
      <c r="J132" s="5"/>
      <c r="K132" s="5"/>
      <c r="L132" s="5"/>
      <c r="M132" s="5"/>
      <c r="N132" s="150"/>
    </row>
    <row r="133" spans="1:14" x14ac:dyDescent="0.25">
      <c r="A133" s="143"/>
      <c r="B133" s="5"/>
      <c r="C133" s="5"/>
      <c r="D133" s="5"/>
      <c r="E133" s="5"/>
      <c r="F133" s="5"/>
      <c r="G133" s="5"/>
      <c r="H133" s="5"/>
      <c r="I133" s="5"/>
      <c r="J133" s="5"/>
      <c r="K133" s="5"/>
      <c r="L133" s="5"/>
      <c r="M133" s="5"/>
      <c r="N133" s="150"/>
    </row>
    <row r="134" spans="1:14" x14ac:dyDescent="0.25">
      <c r="A134" s="143"/>
      <c r="B134" s="5"/>
      <c r="C134" s="5"/>
      <c r="D134" s="5"/>
      <c r="E134" s="5"/>
      <c r="F134" s="5"/>
      <c r="G134" s="5"/>
      <c r="H134" s="5"/>
      <c r="I134" s="5"/>
      <c r="J134" s="5"/>
      <c r="K134" s="5"/>
      <c r="L134" s="5"/>
      <c r="M134" s="5"/>
      <c r="N134" s="150"/>
    </row>
    <row r="135" spans="1:14" x14ac:dyDescent="0.25">
      <c r="A135" s="143"/>
      <c r="B135" s="5"/>
      <c r="C135" s="5"/>
      <c r="D135" s="5"/>
      <c r="E135" s="5"/>
      <c r="F135" s="5"/>
      <c r="G135" s="5"/>
      <c r="H135" s="5"/>
      <c r="I135" s="5"/>
      <c r="J135" s="5"/>
      <c r="K135" s="5"/>
      <c r="L135" s="5"/>
      <c r="M135" s="5"/>
      <c r="N135" s="150"/>
    </row>
    <row r="136" spans="1:14" x14ac:dyDescent="0.25">
      <c r="A136" s="143"/>
      <c r="B136" s="5"/>
      <c r="C136" s="5"/>
      <c r="D136" s="5"/>
      <c r="E136" s="5"/>
      <c r="F136" s="5"/>
      <c r="G136" s="5"/>
      <c r="H136" s="5"/>
      <c r="I136" s="5"/>
      <c r="J136" s="5"/>
      <c r="K136" s="5"/>
      <c r="L136" s="5"/>
      <c r="M136" s="5"/>
      <c r="N136" s="150"/>
    </row>
    <row r="137" spans="1:14" x14ac:dyDescent="0.25">
      <c r="A137" s="143"/>
      <c r="B137" s="5"/>
      <c r="C137" s="5"/>
      <c r="D137" s="5"/>
      <c r="E137" s="5"/>
      <c r="F137" s="5"/>
      <c r="G137" s="5"/>
      <c r="H137" s="5"/>
      <c r="I137" s="5"/>
      <c r="J137" s="5"/>
      <c r="K137" s="5"/>
      <c r="L137" s="5"/>
      <c r="M137" s="5"/>
      <c r="N137" s="150"/>
    </row>
    <row r="138" spans="1:14" x14ac:dyDescent="0.25">
      <c r="A138" s="143"/>
      <c r="B138" s="5"/>
      <c r="C138" s="5"/>
      <c r="D138" s="5"/>
      <c r="E138" s="5"/>
      <c r="F138" s="5"/>
      <c r="G138" s="5"/>
      <c r="H138" s="5"/>
      <c r="I138" s="5"/>
      <c r="J138" s="5"/>
      <c r="K138" s="5"/>
      <c r="L138" s="5"/>
      <c r="M138" s="5"/>
      <c r="N138" s="150"/>
    </row>
    <row r="139" spans="1:14" x14ac:dyDescent="0.25">
      <c r="A139" s="143"/>
      <c r="B139" s="5"/>
      <c r="C139" s="5"/>
      <c r="D139" s="5"/>
      <c r="E139" s="5"/>
      <c r="F139" s="5"/>
      <c r="G139" s="5"/>
      <c r="H139" s="5"/>
      <c r="I139" s="5"/>
      <c r="J139" s="5"/>
      <c r="K139" s="5"/>
      <c r="L139" s="5"/>
      <c r="M139" s="5"/>
      <c r="N139" s="150"/>
    </row>
    <row r="140" spans="1:14" x14ac:dyDescent="0.25">
      <c r="A140" s="143"/>
      <c r="B140" s="5"/>
      <c r="C140" s="5"/>
      <c r="D140" s="5"/>
      <c r="E140" s="5"/>
      <c r="F140" s="5"/>
      <c r="G140" s="5"/>
      <c r="H140" s="5"/>
      <c r="I140" s="5"/>
      <c r="J140" s="5"/>
      <c r="K140" s="5"/>
      <c r="L140" s="5"/>
      <c r="M140" s="5"/>
      <c r="N140" s="150"/>
    </row>
    <row r="141" spans="1:14" x14ac:dyDescent="0.25">
      <c r="A141" s="143"/>
      <c r="B141" s="5"/>
      <c r="C141" s="5"/>
      <c r="D141" s="5"/>
      <c r="E141" s="5"/>
      <c r="F141" s="5"/>
      <c r="G141" s="5"/>
      <c r="H141" s="5"/>
      <c r="I141" s="5"/>
      <c r="J141" s="5"/>
      <c r="K141" s="5"/>
      <c r="L141" s="5"/>
      <c r="M141" s="5"/>
      <c r="N141" s="150"/>
    </row>
    <row r="142" spans="1:14" x14ac:dyDescent="0.25">
      <c r="A142" s="143"/>
      <c r="B142" s="5"/>
      <c r="C142" s="5"/>
      <c r="D142" s="5"/>
      <c r="E142" s="5"/>
      <c r="F142" s="5"/>
      <c r="G142" s="5"/>
      <c r="H142" s="5"/>
      <c r="I142" s="5"/>
      <c r="J142" s="5"/>
      <c r="K142" s="5"/>
      <c r="L142" s="5"/>
      <c r="M142" s="5"/>
      <c r="N142" s="150"/>
    </row>
    <row r="143" spans="1:14" x14ac:dyDescent="0.25">
      <c r="A143" s="143"/>
      <c r="B143" s="5"/>
      <c r="C143" s="5"/>
      <c r="D143" s="5"/>
      <c r="E143" s="5"/>
      <c r="F143" s="5"/>
      <c r="G143" s="5"/>
      <c r="H143" s="5"/>
      <c r="I143" s="5"/>
      <c r="J143" s="5"/>
      <c r="K143" s="5"/>
      <c r="L143" s="5"/>
      <c r="M143" s="5"/>
      <c r="N143" s="150"/>
    </row>
    <row r="144" spans="1:14" x14ac:dyDescent="0.25">
      <c r="A144" s="143"/>
      <c r="B144" s="5"/>
      <c r="C144" s="5"/>
      <c r="D144" s="5"/>
      <c r="E144" s="5"/>
      <c r="F144" s="5"/>
      <c r="G144" s="5"/>
      <c r="H144" s="5"/>
      <c r="I144" s="5"/>
      <c r="J144" s="5"/>
      <c r="K144" s="5"/>
      <c r="L144" s="5"/>
      <c r="M144" s="5"/>
      <c r="N144" s="150"/>
    </row>
    <row r="145" spans="1:14" x14ac:dyDescent="0.25">
      <c r="A145" s="143"/>
      <c r="B145" s="5"/>
      <c r="C145" s="5"/>
      <c r="D145" s="5"/>
      <c r="E145" s="5"/>
      <c r="F145" s="5"/>
      <c r="G145" s="5"/>
      <c r="H145" s="5"/>
      <c r="I145" s="5"/>
      <c r="J145" s="5"/>
      <c r="K145" s="5"/>
      <c r="L145" s="5"/>
      <c r="M145" s="5"/>
      <c r="N145" s="150"/>
    </row>
    <row r="146" spans="1:14" x14ac:dyDescent="0.25">
      <c r="A146" s="143"/>
      <c r="B146" s="5"/>
      <c r="C146" s="5"/>
      <c r="D146" s="5"/>
      <c r="E146" s="5"/>
      <c r="F146" s="5"/>
      <c r="G146" s="5"/>
      <c r="H146" s="5"/>
      <c r="I146" s="5"/>
      <c r="J146" s="5"/>
      <c r="K146" s="5"/>
      <c r="L146" s="5"/>
      <c r="M146" s="5"/>
      <c r="N146" s="150"/>
    </row>
    <row r="147" spans="1:14" x14ac:dyDescent="0.25">
      <c r="A147" s="143"/>
      <c r="B147" s="5"/>
      <c r="C147" s="5"/>
      <c r="D147" s="5"/>
      <c r="E147" s="5"/>
      <c r="F147" s="5"/>
      <c r="G147" s="5"/>
      <c r="H147" s="5"/>
      <c r="I147" s="5"/>
      <c r="J147" s="5"/>
      <c r="K147" s="5"/>
      <c r="L147" s="5"/>
      <c r="M147" s="5"/>
      <c r="N147" s="150"/>
    </row>
    <row r="148" spans="1:14" x14ac:dyDescent="0.25">
      <c r="A148" s="143"/>
      <c r="B148" s="5"/>
      <c r="C148" s="5"/>
      <c r="D148" s="5"/>
      <c r="E148" s="5"/>
      <c r="F148" s="5"/>
      <c r="G148" s="5"/>
      <c r="H148" s="5"/>
      <c r="I148" s="5"/>
      <c r="J148" s="5"/>
      <c r="K148" s="5"/>
      <c r="L148" s="5"/>
      <c r="M148" s="5"/>
      <c r="N148" s="150"/>
    </row>
    <row r="149" spans="1:14" x14ac:dyDescent="0.25">
      <c r="A149" s="143"/>
      <c r="B149" s="5"/>
      <c r="C149" s="5"/>
      <c r="D149" s="5"/>
      <c r="E149" s="5"/>
      <c r="F149" s="5"/>
      <c r="G149" s="5"/>
      <c r="H149" s="5"/>
      <c r="I149" s="5"/>
      <c r="J149" s="5"/>
      <c r="K149" s="5"/>
      <c r="L149" s="5"/>
      <c r="M149" s="5"/>
      <c r="N149" s="150"/>
    </row>
    <row r="150" spans="1:14" x14ac:dyDescent="0.25">
      <c r="A150" s="143"/>
      <c r="B150" s="5"/>
      <c r="C150" s="5"/>
      <c r="D150" s="5"/>
      <c r="E150" s="5"/>
      <c r="F150" s="5"/>
      <c r="G150" s="5"/>
      <c r="H150" s="5"/>
      <c r="I150" s="5"/>
      <c r="J150" s="5"/>
      <c r="K150" s="5"/>
      <c r="L150" s="5"/>
      <c r="M150" s="5"/>
      <c r="N150" s="150"/>
    </row>
    <row r="151" spans="1:14" x14ac:dyDescent="0.25">
      <c r="A151" s="143"/>
      <c r="B151" s="5"/>
      <c r="C151" s="5"/>
      <c r="D151" s="5"/>
      <c r="E151" s="5"/>
      <c r="F151" s="5"/>
      <c r="G151" s="5"/>
      <c r="H151" s="5"/>
      <c r="I151" s="5"/>
      <c r="J151" s="5"/>
      <c r="K151" s="5"/>
      <c r="L151" s="5"/>
      <c r="M151" s="5"/>
      <c r="N151" s="150"/>
    </row>
    <row r="152" spans="1:14" x14ac:dyDescent="0.25">
      <c r="A152" s="143"/>
      <c r="B152" s="5"/>
      <c r="C152" s="5"/>
      <c r="D152" s="5"/>
      <c r="E152" s="5"/>
      <c r="F152" s="5"/>
      <c r="G152" s="5"/>
      <c r="H152" s="5"/>
      <c r="I152" s="5"/>
      <c r="J152" s="5"/>
      <c r="K152" s="5"/>
      <c r="L152" s="5"/>
      <c r="M152" s="5"/>
      <c r="N152" s="150"/>
    </row>
    <row r="153" spans="1:14" x14ac:dyDescent="0.25">
      <c r="A153" s="143"/>
      <c r="B153" s="5"/>
      <c r="C153" s="5"/>
      <c r="D153" s="5"/>
      <c r="E153" s="5"/>
      <c r="F153" s="5"/>
      <c r="G153" s="5"/>
      <c r="H153" s="5"/>
      <c r="I153" s="5"/>
      <c r="J153" s="5"/>
      <c r="K153" s="5"/>
      <c r="L153" s="5"/>
      <c r="M153" s="5"/>
      <c r="N153" s="150"/>
    </row>
    <row r="154" spans="1:14" x14ac:dyDescent="0.25">
      <c r="A154" s="143"/>
      <c r="B154" s="5"/>
      <c r="C154" s="5"/>
      <c r="D154" s="5"/>
      <c r="E154" s="5"/>
      <c r="F154" s="5"/>
      <c r="G154" s="5"/>
      <c r="H154" s="5"/>
      <c r="I154" s="5"/>
      <c r="J154" s="5"/>
      <c r="K154" s="5"/>
      <c r="L154" s="5"/>
      <c r="M154" s="5"/>
      <c r="N154" s="150"/>
    </row>
    <row r="155" spans="1:14" x14ac:dyDescent="0.25">
      <c r="A155" s="143"/>
      <c r="B155" s="5"/>
      <c r="C155" s="5"/>
      <c r="D155" s="5"/>
      <c r="E155" s="5"/>
      <c r="F155" s="5"/>
      <c r="G155" s="5"/>
      <c r="H155" s="5"/>
      <c r="I155" s="5"/>
      <c r="J155" s="5"/>
      <c r="K155" s="5"/>
      <c r="L155" s="5"/>
      <c r="M155" s="5"/>
      <c r="N155" s="150"/>
    </row>
    <row r="156" spans="1:14" x14ac:dyDescent="0.25">
      <c r="A156" s="143"/>
      <c r="B156" s="5"/>
      <c r="C156" s="5"/>
      <c r="D156" s="5"/>
      <c r="E156" s="5"/>
      <c r="F156" s="5"/>
      <c r="G156" s="5"/>
      <c r="H156" s="5"/>
      <c r="I156" s="5"/>
      <c r="J156" s="5"/>
      <c r="K156" s="5"/>
      <c r="L156" s="5"/>
      <c r="M156" s="5"/>
      <c r="N156" s="150"/>
    </row>
    <row r="157" spans="1:14" x14ac:dyDescent="0.25">
      <c r="A157" s="143"/>
      <c r="B157" s="5"/>
      <c r="C157" s="5"/>
      <c r="D157" s="5"/>
      <c r="E157" s="5"/>
      <c r="F157" s="5"/>
      <c r="G157" s="5"/>
      <c r="H157" s="5"/>
      <c r="I157" s="5"/>
      <c r="J157" s="5"/>
      <c r="K157" s="5"/>
      <c r="L157" s="5"/>
      <c r="M157" s="5"/>
      <c r="N157" s="150"/>
    </row>
    <row r="158" spans="1:14" x14ac:dyDescent="0.25">
      <c r="A158" s="143"/>
      <c r="B158" s="5"/>
      <c r="C158" s="5"/>
      <c r="D158" s="5"/>
      <c r="E158" s="5"/>
      <c r="F158" s="5"/>
      <c r="G158" s="5"/>
      <c r="H158" s="5"/>
      <c r="I158" s="5"/>
      <c r="J158" s="5"/>
      <c r="K158" s="5"/>
      <c r="L158" s="5"/>
      <c r="M158" s="5"/>
      <c r="N158" s="150"/>
    </row>
    <row r="159" spans="1:14" x14ac:dyDescent="0.25">
      <c r="A159" s="143"/>
      <c r="B159" s="5"/>
      <c r="C159" s="5"/>
      <c r="D159" s="5"/>
      <c r="E159" s="5"/>
      <c r="F159" s="5"/>
      <c r="G159" s="5"/>
      <c r="H159" s="5"/>
      <c r="I159" s="5"/>
      <c r="J159" s="5"/>
      <c r="K159" s="5"/>
      <c r="L159" s="5"/>
      <c r="M159" s="5"/>
      <c r="N159" s="150"/>
    </row>
    <row r="160" spans="1:14" x14ac:dyDescent="0.25">
      <c r="A160" s="143"/>
      <c r="B160" s="5"/>
      <c r="C160" s="5"/>
      <c r="D160" s="5"/>
      <c r="E160" s="5"/>
      <c r="F160" s="5"/>
      <c r="G160" s="5"/>
      <c r="H160" s="5"/>
      <c r="I160" s="5"/>
      <c r="J160" s="5"/>
      <c r="K160" s="5"/>
      <c r="L160" s="5"/>
      <c r="M160" s="5"/>
      <c r="N160" s="150"/>
    </row>
    <row r="161" spans="1:14" x14ac:dyDescent="0.25">
      <c r="A161" s="143"/>
      <c r="B161" s="5"/>
      <c r="C161" s="5"/>
      <c r="D161" s="5"/>
      <c r="E161" s="5"/>
      <c r="F161" s="5"/>
      <c r="G161" s="5"/>
      <c r="H161" s="5"/>
      <c r="I161" s="5"/>
      <c r="J161" s="5"/>
      <c r="K161" s="5"/>
      <c r="L161" s="5"/>
      <c r="M161" s="5"/>
      <c r="N161" s="150"/>
    </row>
    <row r="162" spans="1:14" x14ac:dyDescent="0.25">
      <c r="A162" s="143"/>
      <c r="B162" s="5"/>
      <c r="C162" s="5"/>
      <c r="D162" s="5"/>
      <c r="E162" s="5"/>
      <c r="F162" s="5"/>
      <c r="G162" s="5"/>
      <c r="H162" s="5"/>
      <c r="I162" s="5"/>
      <c r="J162" s="5"/>
      <c r="K162" s="5"/>
      <c r="L162" s="5"/>
      <c r="M162" s="5"/>
      <c r="N162" s="150"/>
    </row>
    <row r="163" spans="1:14" x14ac:dyDescent="0.25">
      <c r="A163" s="143"/>
      <c r="B163" s="5"/>
      <c r="C163" s="5"/>
      <c r="D163" s="5"/>
      <c r="E163" s="5"/>
      <c r="F163" s="5"/>
      <c r="G163" s="5"/>
      <c r="H163" s="5"/>
      <c r="I163" s="5"/>
      <c r="J163" s="5"/>
      <c r="K163" s="5"/>
      <c r="L163" s="5"/>
      <c r="M163" s="5"/>
      <c r="N163" s="150"/>
    </row>
    <row r="164" spans="1:14" x14ac:dyDescent="0.25">
      <c r="A164" s="143"/>
      <c r="B164" s="5"/>
      <c r="C164" s="5"/>
      <c r="D164" s="5"/>
      <c r="E164" s="5"/>
      <c r="F164" s="5"/>
      <c r="G164" s="5"/>
      <c r="H164" s="5"/>
      <c r="I164" s="5"/>
      <c r="J164" s="5"/>
      <c r="K164" s="5"/>
      <c r="L164" s="5"/>
      <c r="M164" s="5"/>
      <c r="N164" s="150"/>
    </row>
    <row r="165" spans="1:14" x14ac:dyDescent="0.25">
      <c r="A165" s="143"/>
      <c r="B165" s="5"/>
      <c r="C165" s="5"/>
      <c r="D165" s="5"/>
      <c r="E165" s="5"/>
      <c r="F165" s="5"/>
      <c r="G165" s="5"/>
      <c r="H165" s="5"/>
      <c r="I165" s="5"/>
      <c r="J165" s="5"/>
      <c r="K165" s="5"/>
      <c r="L165" s="5"/>
      <c r="M165" s="5"/>
      <c r="N165" s="150"/>
    </row>
    <row r="166" spans="1:14" x14ac:dyDescent="0.25">
      <c r="A166" s="143"/>
      <c r="B166" s="5"/>
      <c r="C166" s="5"/>
      <c r="D166" s="5"/>
      <c r="E166" s="5"/>
      <c r="F166" s="5"/>
      <c r="G166" s="5"/>
      <c r="H166" s="5"/>
      <c r="I166" s="5"/>
      <c r="J166" s="5"/>
      <c r="K166" s="5"/>
      <c r="L166" s="5"/>
      <c r="M166" s="5"/>
      <c r="N166" s="150"/>
    </row>
    <row r="167" spans="1:14" x14ac:dyDescent="0.25">
      <c r="A167" s="143"/>
      <c r="B167" s="5"/>
      <c r="C167" s="5"/>
      <c r="D167" s="5"/>
      <c r="E167" s="5"/>
      <c r="F167" s="5"/>
      <c r="G167" s="5"/>
      <c r="H167" s="5"/>
      <c r="I167" s="5"/>
      <c r="J167" s="5"/>
      <c r="K167" s="5"/>
      <c r="L167" s="5"/>
      <c r="M167" s="5"/>
      <c r="N167" s="150"/>
    </row>
    <row r="168" spans="1:14" x14ac:dyDescent="0.25">
      <c r="A168" s="143"/>
      <c r="B168" s="5"/>
      <c r="C168" s="5"/>
      <c r="D168" s="5"/>
      <c r="E168" s="5"/>
      <c r="F168" s="5"/>
      <c r="G168" s="5"/>
      <c r="H168" s="5"/>
      <c r="I168" s="5"/>
      <c r="J168" s="5"/>
      <c r="K168" s="5"/>
      <c r="L168" s="5"/>
      <c r="M168" s="5"/>
      <c r="N168" s="150"/>
    </row>
    <row r="169" spans="1:14" x14ac:dyDescent="0.25">
      <c r="A169" s="143"/>
      <c r="B169" s="5"/>
      <c r="C169" s="5"/>
      <c r="D169" s="5"/>
      <c r="E169" s="5"/>
      <c r="F169" s="5"/>
      <c r="G169" s="5"/>
      <c r="H169" s="5"/>
      <c r="I169" s="5"/>
      <c r="J169" s="5"/>
      <c r="K169" s="5"/>
      <c r="L169" s="5"/>
      <c r="M169" s="5"/>
      <c r="N169" s="150"/>
    </row>
    <row r="170" spans="1:14" x14ac:dyDescent="0.25">
      <c r="A170" s="143"/>
      <c r="B170" s="5"/>
      <c r="C170" s="5"/>
      <c r="D170" s="5"/>
      <c r="E170" s="5"/>
      <c r="F170" s="5"/>
      <c r="G170" s="5"/>
      <c r="H170" s="5"/>
      <c r="I170" s="5"/>
      <c r="J170" s="5"/>
      <c r="K170" s="5"/>
      <c r="L170" s="5"/>
      <c r="M170" s="5"/>
      <c r="N170" s="150"/>
    </row>
    <row r="171" spans="1:14" x14ac:dyDescent="0.25">
      <c r="A171" s="143"/>
      <c r="B171" s="5"/>
      <c r="C171" s="5"/>
      <c r="D171" s="5"/>
      <c r="E171" s="5"/>
      <c r="F171" s="5"/>
      <c r="G171" s="5"/>
      <c r="H171" s="5"/>
      <c r="I171" s="5"/>
      <c r="J171" s="5"/>
      <c r="K171" s="5"/>
      <c r="L171" s="5"/>
      <c r="M171" s="5"/>
      <c r="N171" s="150"/>
    </row>
    <row r="172" spans="1:14" x14ac:dyDescent="0.25">
      <c r="A172" s="143"/>
      <c r="B172" s="5"/>
      <c r="C172" s="5"/>
      <c r="D172" s="5"/>
      <c r="E172" s="5"/>
      <c r="F172" s="5"/>
      <c r="G172" s="5"/>
      <c r="H172" s="5"/>
      <c r="I172" s="5"/>
      <c r="J172" s="5"/>
      <c r="K172" s="5"/>
      <c r="L172" s="5"/>
      <c r="M172" s="5"/>
      <c r="N172" s="150"/>
    </row>
    <row r="173" spans="1:14" x14ac:dyDescent="0.25">
      <c r="A173" s="143"/>
      <c r="B173" s="5"/>
      <c r="C173" s="5"/>
      <c r="D173" s="5"/>
      <c r="E173" s="5"/>
      <c r="F173" s="5"/>
      <c r="G173" s="5"/>
      <c r="H173" s="5"/>
      <c r="I173" s="5"/>
      <c r="J173" s="5"/>
      <c r="K173" s="5"/>
      <c r="L173" s="5"/>
      <c r="M173" s="5"/>
      <c r="N173" s="150"/>
    </row>
    <row r="174" spans="1:14" x14ac:dyDescent="0.25">
      <c r="A174" s="143"/>
      <c r="B174" s="5"/>
      <c r="C174" s="5"/>
      <c r="D174" s="5"/>
      <c r="E174" s="5"/>
      <c r="F174" s="5"/>
      <c r="G174" s="5"/>
      <c r="H174" s="5"/>
      <c r="I174" s="5"/>
      <c r="J174" s="5"/>
      <c r="K174" s="5"/>
      <c r="L174" s="5"/>
      <c r="M174" s="5"/>
      <c r="N174" s="150"/>
    </row>
    <row r="175" spans="1:14" x14ac:dyDescent="0.25">
      <c r="A175" s="143"/>
      <c r="B175" s="5"/>
      <c r="C175" s="5"/>
      <c r="D175" s="5"/>
      <c r="E175" s="5"/>
      <c r="F175" s="5"/>
      <c r="G175" s="5"/>
      <c r="H175" s="5"/>
      <c r="I175" s="5"/>
      <c r="J175" s="5"/>
      <c r="K175" s="5"/>
      <c r="L175" s="5"/>
      <c r="M175" s="5"/>
      <c r="N175" s="150"/>
    </row>
    <row r="176" spans="1:14" x14ac:dyDescent="0.25">
      <c r="A176" s="143"/>
      <c r="B176" s="5"/>
      <c r="C176" s="5"/>
      <c r="D176" s="5"/>
      <c r="E176" s="5"/>
      <c r="F176" s="5"/>
      <c r="G176" s="5"/>
      <c r="H176" s="5"/>
      <c r="I176" s="5"/>
      <c r="J176" s="5"/>
      <c r="K176" s="5"/>
      <c r="L176" s="5"/>
      <c r="M176" s="5"/>
      <c r="N176" s="150"/>
    </row>
    <row r="177" spans="1:14" x14ac:dyDescent="0.25">
      <c r="A177" s="143"/>
      <c r="B177" s="5"/>
      <c r="C177" s="5"/>
      <c r="D177" s="5"/>
      <c r="E177" s="5"/>
      <c r="F177" s="5"/>
      <c r="G177" s="5"/>
      <c r="H177" s="5"/>
      <c r="I177" s="5"/>
      <c r="J177" s="5"/>
      <c r="K177" s="5"/>
      <c r="L177" s="5"/>
      <c r="M177" s="5"/>
      <c r="N177" s="150"/>
    </row>
    <row r="178" spans="1:14" x14ac:dyDescent="0.25">
      <c r="A178" s="143"/>
      <c r="B178" s="5"/>
      <c r="C178" s="5"/>
      <c r="D178" s="5"/>
      <c r="E178" s="5"/>
      <c r="F178" s="5"/>
      <c r="G178" s="5"/>
      <c r="H178" s="5"/>
      <c r="I178" s="5"/>
      <c r="J178" s="5"/>
      <c r="K178" s="5"/>
      <c r="L178" s="5"/>
      <c r="M178" s="5"/>
      <c r="N178" s="150"/>
    </row>
    <row r="179" spans="1:14" x14ac:dyDescent="0.25">
      <c r="A179" s="143"/>
      <c r="B179" s="5"/>
      <c r="C179" s="5"/>
      <c r="D179" s="5"/>
      <c r="E179" s="5"/>
      <c r="F179" s="5"/>
      <c r="G179" s="5"/>
      <c r="H179" s="5"/>
      <c r="I179" s="5"/>
      <c r="J179" s="5"/>
      <c r="K179" s="5"/>
      <c r="L179" s="5"/>
      <c r="M179" s="5"/>
      <c r="N179" s="150"/>
    </row>
    <row r="180" spans="1:14" x14ac:dyDescent="0.25">
      <c r="A180" s="143"/>
      <c r="B180" s="5"/>
      <c r="C180" s="5"/>
      <c r="D180" s="5"/>
      <c r="E180" s="5"/>
      <c r="F180" s="5"/>
      <c r="G180" s="5"/>
      <c r="H180" s="5"/>
      <c r="I180" s="5"/>
      <c r="J180" s="5"/>
      <c r="K180" s="5"/>
      <c r="L180" s="5"/>
      <c r="M180" s="5"/>
      <c r="N180" s="150"/>
    </row>
    <row r="181" spans="1:14" x14ac:dyDescent="0.25">
      <c r="A181" s="143"/>
      <c r="B181" s="5"/>
      <c r="C181" s="5"/>
      <c r="D181" s="5"/>
      <c r="E181" s="5"/>
      <c r="F181" s="5"/>
      <c r="G181" s="5"/>
      <c r="H181" s="5"/>
      <c r="I181" s="5"/>
      <c r="J181" s="5"/>
      <c r="K181" s="5"/>
      <c r="L181" s="5"/>
      <c r="M181" s="5"/>
      <c r="N181" s="150"/>
    </row>
    <row r="182" spans="1:14" x14ac:dyDescent="0.25">
      <c r="A182" s="143"/>
      <c r="B182" s="5"/>
      <c r="C182" s="5"/>
      <c r="D182" s="5"/>
      <c r="E182" s="5"/>
      <c r="F182" s="5"/>
      <c r="G182" s="5"/>
      <c r="H182" s="5"/>
      <c r="I182" s="5"/>
      <c r="J182" s="5"/>
      <c r="K182" s="5"/>
      <c r="L182" s="5"/>
      <c r="M182" s="5"/>
      <c r="N182" s="150"/>
    </row>
    <row r="183" spans="1:14" x14ac:dyDescent="0.25">
      <c r="A183" s="143"/>
      <c r="B183" s="5"/>
      <c r="C183" s="5"/>
      <c r="D183" s="5"/>
      <c r="E183" s="5"/>
      <c r="F183" s="5"/>
      <c r="G183" s="5"/>
      <c r="H183" s="5"/>
      <c r="I183" s="5"/>
      <c r="J183" s="5"/>
      <c r="K183" s="5"/>
      <c r="L183" s="5"/>
      <c r="M183" s="5"/>
      <c r="N183" s="150"/>
    </row>
    <row r="184" spans="1:14" x14ac:dyDescent="0.25">
      <c r="A184" s="143"/>
      <c r="B184" s="5"/>
      <c r="C184" s="5"/>
      <c r="D184" s="5"/>
      <c r="E184" s="5"/>
      <c r="F184" s="5"/>
      <c r="G184" s="5"/>
      <c r="H184" s="5"/>
      <c r="I184" s="5"/>
      <c r="J184" s="5"/>
      <c r="K184" s="5"/>
      <c r="L184" s="5"/>
      <c r="M184" s="5"/>
      <c r="N184" s="150"/>
    </row>
    <row r="185" spans="1:14" x14ac:dyDescent="0.25">
      <c r="A185" s="143"/>
      <c r="B185" s="5"/>
      <c r="C185" s="5"/>
      <c r="D185" s="5"/>
      <c r="E185" s="5"/>
      <c r="F185" s="5"/>
      <c r="G185" s="5"/>
      <c r="H185" s="5"/>
      <c r="I185" s="5"/>
      <c r="J185" s="5"/>
      <c r="K185" s="5"/>
      <c r="L185" s="5"/>
      <c r="M185" s="5"/>
      <c r="N185" s="150"/>
    </row>
    <row r="186" spans="1:14" x14ac:dyDescent="0.25">
      <c r="A186" s="143"/>
      <c r="B186" s="5"/>
      <c r="C186" s="5"/>
      <c r="D186" s="5"/>
      <c r="E186" s="5"/>
      <c r="F186" s="5"/>
      <c r="G186" s="5"/>
      <c r="H186" s="5"/>
      <c r="I186" s="5"/>
      <c r="J186" s="5"/>
      <c r="K186" s="5"/>
      <c r="L186" s="5"/>
      <c r="M186" s="5"/>
      <c r="N186" s="150"/>
    </row>
    <row r="187" spans="1:14" x14ac:dyDescent="0.25">
      <c r="A187" s="143"/>
      <c r="B187" s="5"/>
      <c r="C187" s="5"/>
      <c r="D187" s="5"/>
      <c r="E187" s="5"/>
      <c r="F187" s="5"/>
      <c r="G187" s="5"/>
      <c r="H187" s="5"/>
      <c r="I187" s="5"/>
      <c r="J187" s="5"/>
      <c r="K187" s="5"/>
      <c r="L187" s="5"/>
      <c r="M187" s="5"/>
      <c r="N187" s="150"/>
    </row>
    <row r="188" spans="1:14" x14ac:dyDescent="0.25">
      <c r="A188" s="143"/>
      <c r="B188" s="5"/>
      <c r="C188" s="5"/>
      <c r="D188" s="5"/>
      <c r="E188" s="5"/>
      <c r="F188" s="5"/>
      <c r="G188" s="5"/>
      <c r="H188" s="5"/>
      <c r="I188" s="5"/>
      <c r="J188" s="5"/>
      <c r="K188" s="5"/>
      <c r="L188" s="5"/>
      <c r="M188" s="5"/>
      <c r="N188" s="150"/>
    </row>
    <row r="189" spans="1:14" x14ac:dyDescent="0.25">
      <c r="A189" s="143"/>
      <c r="B189" s="5"/>
      <c r="C189" s="5"/>
      <c r="D189" s="5"/>
      <c r="E189" s="5"/>
      <c r="F189" s="5"/>
      <c r="G189" s="5"/>
      <c r="H189" s="5"/>
      <c r="I189" s="5"/>
      <c r="J189" s="5"/>
      <c r="K189" s="5"/>
      <c r="L189" s="5"/>
      <c r="M189" s="5"/>
      <c r="N189" s="150"/>
    </row>
    <row r="190" spans="1:14" x14ac:dyDescent="0.25">
      <c r="A190" s="143"/>
      <c r="B190" s="5"/>
      <c r="C190" s="5"/>
      <c r="D190" s="5"/>
      <c r="E190" s="5"/>
      <c r="F190" s="5"/>
      <c r="G190" s="5"/>
      <c r="H190" s="5"/>
      <c r="I190" s="5"/>
      <c r="J190" s="5"/>
      <c r="K190" s="5"/>
      <c r="L190" s="5"/>
      <c r="M190" s="5"/>
      <c r="N190" s="150"/>
    </row>
    <row r="191" spans="1:14" x14ac:dyDescent="0.25">
      <c r="A191" s="143"/>
      <c r="B191" s="5"/>
      <c r="C191" s="5"/>
      <c r="D191" s="5"/>
      <c r="E191" s="5"/>
      <c r="F191" s="5"/>
      <c r="G191" s="5"/>
      <c r="H191" s="5"/>
      <c r="I191" s="5"/>
      <c r="J191" s="5"/>
      <c r="K191" s="5"/>
      <c r="L191" s="5"/>
      <c r="M191" s="5"/>
      <c r="N191" s="150"/>
    </row>
    <row r="192" spans="1:14" x14ac:dyDescent="0.25">
      <c r="A192" s="143"/>
      <c r="B192" s="5"/>
      <c r="C192" s="5"/>
      <c r="D192" s="5"/>
      <c r="E192" s="5"/>
      <c r="F192" s="5"/>
      <c r="G192" s="5"/>
      <c r="H192" s="5"/>
      <c r="I192" s="5"/>
      <c r="J192" s="5"/>
      <c r="K192" s="5"/>
      <c r="L192" s="5"/>
      <c r="M192" s="5"/>
      <c r="N192" s="150"/>
    </row>
    <row r="193" spans="1:14" x14ac:dyDescent="0.25">
      <c r="A193" s="143"/>
      <c r="B193" s="5"/>
      <c r="C193" s="5"/>
      <c r="D193" s="5"/>
      <c r="E193" s="5"/>
      <c r="F193" s="5"/>
      <c r="G193" s="5"/>
      <c r="H193" s="5"/>
      <c r="I193" s="5"/>
      <c r="J193" s="5"/>
      <c r="K193" s="5"/>
      <c r="L193" s="5"/>
      <c r="M193" s="5"/>
      <c r="N193" s="150"/>
    </row>
    <row r="194" spans="1:14" x14ac:dyDescent="0.25">
      <c r="A194" s="143"/>
      <c r="B194" s="5"/>
      <c r="C194" s="5"/>
      <c r="D194" s="5"/>
      <c r="E194" s="5"/>
      <c r="F194" s="5"/>
      <c r="G194" s="5"/>
      <c r="H194" s="5"/>
      <c r="I194" s="5"/>
      <c r="J194" s="5"/>
      <c r="K194" s="5"/>
      <c r="L194" s="5"/>
      <c r="M194" s="5"/>
      <c r="N194" s="150"/>
    </row>
    <row r="195" spans="1:14" x14ac:dyDescent="0.25">
      <c r="A195" s="143"/>
      <c r="B195" s="5"/>
      <c r="C195" s="5"/>
      <c r="D195" s="5"/>
      <c r="E195" s="5"/>
      <c r="F195" s="5"/>
      <c r="G195" s="5"/>
      <c r="H195" s="5"/>
      <c r="I195" s="5"/>
      <c r="J195" s="5"/>
      <c r="K195" s="5"/>
      <c r="L195" s="5"/>
      <c r="M195" s="5"/>
      <c r="N195" s="150"/>
    </row>
    <row r="196" spans="1:14" x14ac:dyDescent="0.25">
      <c r="A196" s="143"/>
      <c r="B196" s="5"/>
      <c r="C196" s="5"/>
      <c r="D196" s="5"/>
      <c r="E196" s="5"/>
      <c r="F196" s="5"/>
      <c r="G196" s="5"/>
      <c r="H196" s="5"/>
      <c r="I196" s="5"/>
      <c r="J196" s="5"/>
      <c r="K196" s="5"/>
      <c r="L196" s="5"/>
      <c r="M196" s="5"/>
      <c r="N196" s="150"/>
    </row>
    <row r="197" spans="1:14" x14ac:dyDescent="0.25">
      <c r="A197" s="143"/>
      <c r="B197" s="5"/>
      <c r="C197" s="5"/>
      <c r="D197" s="5"/>
      <c r="E197" s="5"/>
      <c r="F197" s="5"/>
      <c r="G197" s="5"/>
      <c r="H197" s="5"/>
      <c r="I197" s="5"/>
      <c r="J197" s="5"/>
      <c r="K197" s="5"/>
      <c r="L197" s="5"/>
      <c r="M197" s="5"/>
      <c r="N197" s="150"/>
    </row>
    <row r="198" spans="1:14" x14ac:dyDescent="0.25">
      <c r="A198" s="143"/>
      <c r="B198" s="5"/>
      <c r="C198" s="5"/>
      <c r="D198" s="5"/>
      <c r="E198" s="5"/>
      <c r="F198" s="5"/>
      <c r="G198" s="5"/>
      <c r="H198" s="5"/>
      <c r="I198" s="5"/>
      <c r="J198" s="5"/>
      <c r="K198" s="5"/>
      <c r="L198" s="5"/>
      <c r="M198" s="5"/>
      <c r="N198" s="150"/>
    </row>
    <row r="199" spans="1:14" x14ac:dyDescent="0.25">
      <c r="A199" s="143"/>
      <c r="B199" s="5"/>
      <c r="C199" s="5"/>
      <c r="D199" s="5"/>
      <c r="E199" s="5"/>
      <c r="F199" s="5"/>
      <c r="G199" s="5"/>
      <c r="H199" s="5"/>
      <c r="I199" s="5"/>
      <c r="J199" s="5"/>
      <c r="K199" s="5"/>
      <c r="L199" s="5"/>
      <c r="M199" s="5"/>
      <c r="N199" s="150"/>
    </row>
    <row r="200" spans="1:14" x14ac:dyDescent="0.25">
      <c r="A200" s="143"/>
      <c r="B200" s="5"/>
      <c r="C200" s="5"/>
      <c r="D200" s="5"/>
      <c r="E200" s="5"/>
      <c r="F200" s="5"/>
      <c r="G200" s="5"/>
      <c r="H200" s="5"/>
      <c r="I200" s="5"/>
      <c r="J200" s="5"/>
      <c r="K200" s="5"/>
      <c r="L200" s="5"/>
      <c r="M200" s="5"/>
      <c r="N200" s="150"/>
    </row>
    <row r="201" spans="1:14" x14ac:dyDescent="0.25">
      <c r="A201" s="143"/>
      <c r="B201" s="5"/>
      <c r="C201" s="5"/>
      <c r="D201" s="5"/>
      <c r="E201" s="5"/>
      <c r="F201" s="5"/>
      <c r="G201" s="5"/>
      <c r="H201" s="5"/>
      <c r="I201" s="5"/>
      <c r="J201" s="5"/>
      <c r="K201" s="5"/>
      <c r="L201" s="5"/>
      <c r="M201" s="5"/>
      <c r="N201" s="150"/>
    </row>
    <row r="202" spans="1:14" x14ac:dyDescent="0.25">
      <c r="A202" s="143"/>
      <c r="B202" s="5"/>
      <c r="C202" s="5"/>
      <c r="D202" s="5"/>
      <c r="E202" s="5"/>
      <c r="F202" s="5"/>
      <c r="G202" s="5"/>
      <c r="H202" s="5"/>
      <c r="I202" s="5"/>
      <c r="J202" s="5"/>
      <c r="K202" s="5"/>
      <c r="L202" s="5"/>
      <c r="M202" s="5"/>
      <c r="N202" s="150"/>
    </row>
    <row r="203" spans="1:14" x14ac:dyDescent="0.25">
      <c r="A203" s="143"/>
      <c r="B203" s="5"/>
      <c r="C203" s="5"/>
      <c r="D203" s="5"/>
      <c r="E203" s="5"/>
      <c r="F203" s="5"/>
      <c r="G203" s="5"/>
      <c r="H203" s="5"/>
      <c r="I203" s="5"/>
      <c r="J203" s="5"/>
      <c r="K203" s="5"/>
      <c r="L203" s="5"/>
      <c r="M203" s="5"/>
      <c r="N203" s="150"/>
    </row>
    <row r="204" spans="1:14" x14ac:dyDescent="0.25">
      <c r="A204" s="143"/>
      <c r="B204" s="5"/>
      <c r="C204" s="5"/>
      <c r="D204" s="5"/>
      <c r="E204" s="5"/>
      <c r="F204" s="5"/>
      <c r="G204" s="5"/>
      <c r="H204" s="5"/>
      <c r="I204" s="5"/>
      <c r="J204" s="5"/>
      <c r="K204" s="5"/>
      <c r="L204" s="5"/>
      <c r="M204" s="5"/>
      <c r="N204" s="150"/>
    </row>
    <row r="205" spans="1:14" x14ac:dyDescent="0.25">
      <c r="A205" s="143"/>
      <c r="B205" s="5"/>
      <c r="C205" s="5"/>
      <c r="D205" s="5"/>
      <c r="E205" s="5"/>
      <c r="F205" s="5"/>
      <c r="G205" s="5"/>
      <c r="H205" s="5"/>
      <c r="I205" s="5"/>
      <c r="J205" s="5"/>
      <c r="K205" s="5"/>
      <c r="L205" s="5"/>
      <c r="M205" s="5"/>
      <c r="N205" s="150"/>
    </row>
    <row r="206" spans="1:14" x14ac:dyDescent="0.25">
      <c r="A206" s="143"/>
      <c r="B206" s="5"/>
      <c r="C206" s="5"/>
      <c r="D206" s="5"/>
      <c r="E206" s="5"/>
      <c r="F206" s="5"/>
      <c r="G206" s="5"/>
      <c r="H206" s="5"/>
      <c r="I206" s="5"/>
      <c r="J206" s="5"/>
      <c r="K206" s="5"/>
      <c r="L206" s="5"/>
      <c r="M206" s="5"/>
      <c r="N206" s="150"/>
    </row>
    <row r="207" spans="1:14" x14ac:dyDescent="0.25">
      <c r="A207" s="143"/>
      <c r="B207" s="5"/>
      <c r="C207" s="5"/>
      <c r="D207" s="5"/>
      <c r="E207" s="5"/>
      <c r="F207" s="5"/>
      <c r="G207" s="5"/>
      <c r="H207" s="5"/>
      <c r="I207" s="5"/>
      <c r="J207" s="5"/>
      <c r="K207" s="5"/>
      <c r="L207" s="5"/>
      <c r="M207" s="5"/>
      <c r="N207" s="150"/>
    </row>
    <row r="208" spans="1:14" x14ac:dyDescent="0.25">
      <c r="A208" s="143"/>
      <c r="B208" s="5"/>
      <c r="C208" s="5"/>
      <c r="D208" s="5"/>
      <c r="E208" s="5"/>
      <c r="F208" s="5"/>
      <c r="G208" s="5"/>
      <c r="H208" s="5"/>
      <c r="I208" s="5"/>
      <c r="J208" s="5"/>
      <c r="K208" s="5"/>
      <c r="L208" s="5"/>
      <c r="M208" s="5"/>
      <c r="N208" s="150"/>
    </row>
    <row r="209" spans="1:14" x14ac:dyDescent="0.25">
      <c r="A209" s="143"/>
      <c r="B209" s="5"/>
      <c r="C209" s="5"/>
      <c r="D209" s="5"/>
      <c r="E209" s="5"/>
      <c r="F209" s="5"/>
      <c r="G209" s="5"/>
      <c r="H209" s="5"/>
      <c r="I209" s="5"/>
      <c r="J209" s="5"/>
      <c r="K209" s="5"/>
      <c r="L209" s="5"/>
      <c r="M209" s="5"/>
      <c r="N209" s="150"/>
    </row>
    <row r="210" spans="1:14" x14ac:dyDescent="0.25">
      <c r="A210" s="143"/>
      <c r="B210" s="5"/>
      <c r="C210" s="5"/>
      <c r="D210" s="5"/>
      <c r="E210" s="5"/>
      <c r="F210" s="5"/>
      <c r="G210" s="5"/>
      <c r="H210" s="5"/>
      <c r="I210" s="5"/>
      <c r="J210" s="5"/>
      <c r="K210" s="5"/>
      <c r="L210" s="5"/>
      <c r="M210" s="5"/>
      <c r="N210" s="150"/>
    </row>
    <row r="211" spans="1:14" x14ac:dyDescent="0.25">
      <c r="A211" s="143"/>
      <c r="B211" s="5"/>
      <c r="C211" s="5"/>
      <c r="D211" s="5"/>
      <c r="E211" s="5"/>
      <c r="F211" s="5"/>
      <c r="G211" s="5"/>
      <c r="H211" s="5"/>
      <c r="I211" s="5"/>
      <c r="J211" s="5"/>
      <c r="K211" s="5"/>
      <c r="L211" s="5"/>
      <c r="M211" s="5"/>
      <c r="N211" s="150"/>
    </row>
    <row r="212" spans="1:14" x14ac:dyDescent="0.25">
      <c r="A212" s="143"/>
      <c r="B212" s="5"/>
      <c r="C212" s="5"/>
      <c r="D212" s="5"/>
      <c r="E212" s="5"/>
      <c r="F212" s="5"/>
      <c r="G212" s="5"/>
      <c r="H212" s="5"/>
      <c r="I212" s="5"/>
      <c r="J212" s="5"/>
      <c r="K212" s="5"/>
      <c r="L212" s="5"/>
      <c r="M212" s="5"/>
      <c r="N212" s="150"/>
    </row>
    <row r="213" spans="1:14" x14ac:dyDescent="0.25">
      <c r="A213" s="143"/>
      <c r="B213" s="5"/>
      <c r="C213" s="5"/>
      <c r="D213" s="5"/>
      <c r="E213" s="5"/>
      <c r="F213" s="5"/>
      <c r="G213" s="5"/>
      <c r="H213" s="5"/>
      <c r="I213" s="5"/>
      <c r="J213" s="5"/>
      <c r="K213" s="5"/>
      <c r="L213" s="5"/>
      <c r="M213" s="5"/>
      <c r="N213" s="150"/>
    </row>
    <row r="214" spans="1:14" x14ac:dyDescent="0.25">
      <c r="A214" s="143"/>
      <c r="B214" s="5"/>
      <c r="C214" s="5"/>
      <c r="D214" s="5"/>
      <c r="E214" s="5"/>
      <c r="F214" s="5"/>
      <c r="G214" s="5"/>
      <c r="H214" s="5"/>
      <c r="I214" s="5"/>
      <c r="J214" s="5"/>
      <c r="K214" s="5"/>
      <c r="L214" s="5"/>
      <c r="M214" s="5"/>
      <c r="N214" s="150"/>
    </row>
    <row r="215" spans="1:14" x14ac:dyDescent="0.25">
      <c r="A215" s="143"/>
      <c r="B215" s="5"/>
      <c r="C215" s="5"/>
      <c r="D215" s="5"/>
      <c r="E215" s="5"/>
      <c r="F215" s="5"/>
      <c r="G215" s="5"/>
      <c r="H215" s="5"/>
      <c r="I215" s="5"/>
      <c r="J215" s="5"/>
      <c r="K215" s="5"/>
      <c r="L215" s="5"/>
      <c r="M215" s="5"/>
      <c r="N215" s="150"/>
    </row>
    <row r="216" spans="1:14" x14ac:dyDescent="0.25">
      <c r="A216" s="143"/>
      <c r="B216" s="5"/>
      <c r="C216" s="5"/>
      <c r="D216" s="5"/>
      <c r="E216" s="5"/>
      <c r="F216" s="5"/>
      <c r="G216" s="5"/>
      <c r="H216" s="5"/>
      <c r="I216" s="5"/>
      <c r="J216" s="5"/>
      <c r="K216" s="5"/>
      <c r="L216" s="5"/>
      <c r="M216" s="5"/>
      <c r="N216" s="150"/>
    </row>
    <row r="217" spans="1:14" x14ac:dyDescent="0.25">
      <c r="A217" s="143"/>
      <c r="B217" s="5"/>
      <c r="C217" s="5"/>
      <c r="D217" s="5"/>
      <c r="E217" s="5"/>
      <c r="F217" s="5"/>
      <c r="G217" s="5"/>
      <c r="H217" s="5"/>
      <c r="I217" s="5"/>
      <c r="J217" s="5"/>
      <c r="K217" s="5"/>
      <c r="L217" s="5"/>
      <c r="M217" s="5"/>
      <c r="N217" s="150"/>
    </row>
    <row r="218" spans="1:14" x14ac:dyDescent="0.25">
      <c r="A218" s="143"/>
      <c r="B218" s="5"/>
      <c r="C218" s="5"/>
      <c r="D218" s="5"/>
      <c r="E218" s="5"/>
      <c r="F218" s="5"/>
      <c r="G218" s="5"/>
      <c r="H218" s="5"/>
      <c r="I218" s="5"/>
      <c r="J218" s="5"/>
      <c r="K218" s="5"/>
      <c r="L218" s="5"/>
      <c r="M218" s="5"/>
      <c r="N218" s="150"/>
    </row>
    <row r="219" spans="1:14" x14ac:dyDescent="0.25">
      <c r="A219" s="143"/>
      <c r="B219" s="5"/>
      <c r="C219" s="5"/>
      <c r="D219" s="5"/>
      <c r="E219" s="5"/>
      <c r="F219" s="5"/>
      <c r="G219" s="5"/>
      <c r="H219" s="5"/>
      <c r="I219" s="5"/>
      <c r="J219" s="5"/>
      <c r="K219" s="5"/>
      <c r="L219" s="5"/>
      <c r="M219" s="5"/>
      <c r="N219" s="150"/>
    </row>
    <row r="220" spans="1:14" x14ac:dyDescent="0.25">
      <c r="A220" s="143"/>
      <c r="B220" s="5"/>
      <c r="C220" s="5"/>
      <c r="D220" s="5"/>
      <c r="E220" s="5"/>
      <c r="F220" s="5"/>
      <c r="G220" s="5"/>
      <c r="H220" s="5"/>
      <c r="I220" s="5"/>
      <c r="J220" s="5"/>
      <c r="K220" s="5"/>
      <c r="L220" s="5"/>
      <c r="M220" s="5"/>
      <c r="N220" s="150"/>
    </row>
    <row r="221" spans="1:14" x14ac:dyDescent="0.25">
      <c r="A221" s="143"/>
      <c r="B221" s="5"/>
      <c r="C221" s="5"/>
      <c r="D221" s="5"/>
      <c r="E221" s="5"/>
      <c r="F221" s="5"/>
      <c r="G221" s="5"/>
      <c r="H221" s="5"/>
      <c r="I221" s="5"/>
      <c r="J221" s="5"/>
      <c r="K221" s="5"/>
      <c r="L221" s="5"/>
      <c r="M221" s="5"/>
      <c r="N221" s="150"/>
    </row>
    <row r="222" spans="1:14" x14ac:dyDescent="0.25">
      <c r="A222" s="143"/>
      <c r="B222" s="5"/>
      <c r="C222" s="5"/>
      <c r="D222" s="5"/>
      <c r="E222" s="5"/>
      <c r="F222" s="5"/>
      <c r="G222" s="5"/>
      <c r="H222" s="5"/>
      <c r="I222" s="5"/>
      <c r="J222" s="5"/>
      <c r="K222" s="5"/>
      <c r="L222" s="5"/>
      <c r="M222" s="5"/>
      <c r="N222" s="150"/>
    </row>
    <row r="223" spans="1:14" x14ac:dyDescent="0.25">
      <c r="A223" s="143"/>
      <c r="B223" s="5"/>
      <c r="C223" s="5"/>
      <c r="D223" s="5"/>
      <c r="E223" s="5"/>
      <c r="F223" s="5"/>
      <c r="G223" s="5"/>
      <c r="H223" s="5"/>
      <c r="I223" s="5"/>
      <c r="J223" s="5"/>
      <c r="K223" s="5"/>
      <c r="L223" s="5"/>
      <c r="M223" s="5"/>
      <c r="N223" s="150"/>
    </row>
    <row r="224" spans="1:14" x14ac:dyDescent="0.25">
      <c r="A224" s="143"/>
      <c r="B224" s="5"/>
      <c r="C224" s="5"/>
      <c r="D224" s="5"/>
      <c r="E224" s="5"/>
      <c r="F224" s="5"/>
      <c r="G224" s="5"/>
      <c r="H224" s="5"/>
      <c r="I224" s="5"/>
      <c r="J224" s="5"/>
      <c r="K224" s="5"/>
      <c r="L224" s="5"/>
      <c r="M224" s="5"/>
      <c r="N224" s="150"/>
    </row>
    <row r="225" spans="1:14" x14ac:dyDescent="0.25">
      <c r="A225" s="143"/>
      <c r="B225" s="5"/>
      <c r="C225" s="5"/>
      <c r="D225" s="5"/>
      <c r="E225" s="5"/>
      <c r="F225" s="5"/>
      <c r="G225" s="5"/>
      <c r="H225" s="5"/>
      <c r="I225" s="5"/>
      <c r="J225" s="5"/>
      <c r="K225" s="5"/>
      <c r="L225" s="5"/>
      <c r="M225" s="5"/>
      <c r="N225" s="150"/>
    </row>
    <row r="226" spans="1:14" x14ac:dyDescent="0.25">
      <c r="A226" s="143"/>
      <c r="B226" s="5"/>
      <c r="C226" s="5"/>
      <c r="D226" s="5"/>
      <c r="E226" s="5"/>
      <c r="F226" s="5"/>
      <c r="G226" s="5"/>
      <c r="H226" s="5"/>
      <c r="I226" s="5"/>
      <c r="J226" s="5"/>
      <c r="K226" s="5"/>
      <c r="L226" s="5"/>
      <c r="M226" s="5"/>
      <c r="N226" s="150"/>
    </row>
    <row r="227" spans="1:14" x14ac:dyDescent="0.25">
      <c r="A227" s="143"/>
      <c r="B227" s="5"/>
      <c r="C227" s="5"/>
      <c r="D227" s="5"/>
      <c r="E227" s="5"/>
      <c r="F227" s="5"/>
      <c r="G227" s="5"/>
      <c r="H227" s="5"/>
      <c r="I227" s="5"/>
      <c r="J227" s="5"/>
      <c r="K227" s="5"/>
      <c r="L227" s="5"/>
      <c r="M227" s="5"/>
      <c r="N227" s="150"/>
    </row>
    <row r="228" spans="1:14" x14ac:dyDescent="0.25">
      <c r="A228" s="143"/>
      <c r="B228" s="5"/>
      <c r="C228" s="5"/>
      <c r="D228" s="5"/>
      <c r="E228" s="5"/>
      <c r="F228" s="5"/>
      <c r="G228" s="5"/>
      <c r="H228" s="5"/>
      <c r="I228" s="5"/>
      <c r="J228" s="5"/>
      <c r="K228" s="5"/>
      <c r="L228" s="5"/>
      <c r="M228" s="5"/>
      <c r="N228" s="150"/>
    </row>
    <row r="229" spans="1:14" x14ac:dyDescent="0.25">
      <c r="A229" s="143"/>
      <c r="B229" s="5"/>
      <c r="C229" s="5"/>
      <c r="D229" s="5"/>
      <c r="E229" s="5"/>
      <c r="F229" s="5"/>
      <c r="G229" s="5"/>
      <c r="H229" s="5"/>
      <c r="I229" s="5"/>
      <c r="J229" s="5"/>
      <c r="K229" s="5"/>
      <c r="L229" s="5"/>
      <c r="M229" s="5"/>
      <c r="N229" s="150"/>
    </row>
    <row r="230" spans="1:14" x14ac:dyDescent="0.25">
      <c r="A230" s="143"/>
      <c r="B230" s="5"/>
      <c r="C230" s="5"/>
      <c r="D230" s="5"/>
      <c r="E230" s="5"/>
      <c r="F230" s="5"/>
      <c r="G230" s="5"/>
      <c r="H230" s="5"/>
      <c r="I230" s="5"/>
      <c r="J230" s="5"/>
      <c r="K230" s="5"/>
      <c r="L230" s="5"/>
      <c r="M230" s="5"/>
      <c r="N230" s="150"/>
    </row>
    <row r="231" spans="1:14" x14ac:dyDescent="0.25">
      <c r="A231" s="143"/>
      <c r="B231" s="5"/>
      <c r="C231" s="5"/>
      <c r="D231" s="5"/>
      <c r="E231" s="5"/>
      <c r="F231" s="5"/>
      <c r="G231" s="5"/>
      <c r="H231" s="5"/>
      <c r="I231" s="5"/>
      <c r="J231" s="5"/>
      <c r="K231" s="5"/>
      <c r="L231" s="5"/>
      <c r="M231" s="5"/>
      <c r="N231" s="150"/>
    </row>
    <row r="232" spans="1:14" x14ac:dyDescent="0.25">
      <c r="A232" s="143"/>
      <c r="B232" s="5"/>
      <c r="C232" s="5"/>
      <c r="D232" s="5"/>
      <c r="E232" s="5"/>
      <c r="F232" s="5"/>
      <c r="G232" s="5"/>
      <c r="H232" s="5"/>
      <c r="I232" s="5"/>
      <c r="J232" s="5"/>
      <c r="K232" s="5"/>
      <c r="L232" s="5"/>
      <c r="M232" s="5"/>
      <c r="N232" s="150"/>
    </row>
    <row r="233" spans="1:14" x14ac:dyDescent="0.25">
      <c r="A233" s="143"/>
      <c r="B233" s="5"/>
      <c r="C233" s="5"/>
      <c r="D233" s="5"/>
      <c r="E233" s="5"/>
      <c r="F233" s="5"/>
      <c r="G233" s="5"/>
      <c r="H233" s="5"/>
      <c r="I233" s="5"/>
      <c r="J233" s="5"/>
      <c r="K233" s="5"/>
      <c r="L233" s="5"/>
      <c r="M233" s="5"/>
      <c r="N233" s="150"/>
    </row>
    <row r="234" spans="1:14" x14ac:dyDescent="0.25">
      <c r="A234" s="143"/>
      <c r="B234" s="5"/>
      <c r="C234" s="5"/>
      <c r="D234" s="5"/>
      <c r="E234" s="5"/>
      <c r="F234" s="5"/>
      <c r="G234" s="5"/>
      <c r="H234" s="5"/>
      <c r="I234" s="5"/>
      <c r="J234" s="5"/>
      <c r="K234" s="5"/>
      <c r="L234" s="5"/>
      <c r="M234" s="5"/>
      <c r="N234" s="150"/>
    </row>
    <row r="235" spans="1:14" x14ac:dyDescent="0.25">
      <c r="A235" s="143"/>
      <c r="B235" s="5"/>
      <c r="C235" s="5"/>
      <c r="D235" s="5"/>
      <c r="E235" s="5"/>
      <c r="F235" s="5"/>
      <c r="G235" s="5"/>
      <c r="H235" s="5"/>
      <c r="I235" s="5"/>
      <c r="J235" s="5"/>
      <c r="K235" s="5"/>
      <c r="L235" s="5"/>
      <c r="M235" s="5"/>
      <c r="N235" s="150"/>
    </row>
    <row r="236" spans="1:14" x14ac:dyDescent="0.25">
      <c r="A236" s="143"/>
      <c r="B236" s="5"/>
      <c r="C236" s="5"/>
      <c r="D236" s="5"/>
      <c r="E236" s="5"/>
      <c r="F236" s="5"/>
      <c r="G236" s="5"/>
      <c r="H236" s="5"/>
      <c r="I236" s="5"/>
      <c r="J236" s="5"/>
      <c r="K236" s="5"/>
      <c r="L236" s="5"/>
      <c r="M236" s="5"/>
      <c r="N236" s="150"/>
    </row>
    <row r="237" spans="1:14" x14ac:dyDescent="0.25">
      <c r="A237" s="143"/>
      <c r="B237" s="5"/>
      <c r="C237" s="5"/>
      <c r="D237" s="5"/>
      <c r="E237" s="5"/>
      <c r="F237" s="5"/>
      <c r="G237" s="5"/>
      <c r="H237" s="5"/>
      <c r="I237" s="5"/>
      <c r="J237" s="5"/>
      <c r="K237" s="5"/>
      <c r="L237" s="5"/>
      <c r="M237" s="5"/>
      <c r="N237" s="150"/>
    </row>
    <row r="238" spans="1:14" x14ac:dyDescent="0.25">
      <c r="A238" s="143"/>
      <c r="B238" s="5"/>
      <c r="C238" s="5"/>
      <c r="D238" s="5"/>
      <c r="E238" s="5"/>
      <c r="F238" s="5"/>
      <c r="G238" s="5"/>
      <c r="H238" s="5"/>
      <c r="I238" s="5"/>
      <c r="J238" s="5"/>
      <c r="K238" s="5"/>
      <c r="L238" s="5"/>
      <c r="M238" s="5"/>
      <c r="N238" s="150"/>
    </row>
    <row r="239" spans="1:14" x14ac:dyDescent="0.25">
      <c r="A239" s="143"/>
      <c r="B239" s="5"/>
      <c r="C239" s="5"/>
      <c r="D239" s="5"/>
      <c r="E239" s="5"/>
      <c r="F239" s="5"/>
      <c r="G239" s="5"/>
      <c r="H239" s="5"/>
      <c r="I239" s="5"/>
      <c r="J239" s="5"/>
      <c r="K239" s="5"/>
      <c r="L239" s="5"/>
      <c r="M239" s="5"/>
      <c r="N239" s="150"/>
    </row>
    <row r="240" spans="1:14" x14ac:dyDescent="0.25">
      <c r="A240" s="143"/>
      <c r="B240" s="5"/>
      <c r="C240" s="5"/>
      <c r="D240" s="5"/>
      <c r="E240" s="5"/>
      <c r="F240" s="5"/>
      <c r="G240" s="5"/>
      <c r="H240" s="5"/>
      <c r="I240" s="5"/>
      <c r="J240" s="5"/>
      <c r="K240" s="5"/>
      <c r="L240" s="5"/>
      <c r="M240" s="5"/>
      <c r="N240" s="150"/>
    </row>
    <row r="241" spans="1:14" x14ac:dyDescent="0.25">
      <c r="A241" s="143"/>
      <c r="B241" s="5"/>
      <c r="C241" s="5"/>
      <c r="D241" s="5"/>
      <c r="E241" s="5"/>
      <c r="F241" s="5"/>
      <c r="G241" s="5"/>
      <c r="H241" s="5"/>
      <c r="I241" s="5"/>
      <c r="J241" s="5"/>
      <c r="K241" s="5"/>
      <c r="L241" s="5"/>
      <c r="M241" s="5"/>
      <c r="N241" s="150"/>
    </row>
    <row r="242" spans="1:14" x14ac:dyDescent="0.25">
      <c r="A242" s="143"/>
      <c r="B242" s="5"/>
      <c r="C242" s="5"/>
      <c r="D242" s="5"/>
      <c r="E242" s="5"/>
      <c r="F242" s="5"/>
      <c r="G242" s="5"/>
      <c r="H242" s="5"/>
      <c r="I242" s="5"/>
      <c r="J242" s="5"/>
      <c r="K242" s="5"/>
      <c r="L242" s="5"/>
      <c r="M242" s="5"/>
      <c r="N242" s="150"/>
    </row>
    <row r="243" spans="1:14" x14ac:dyDescent="0.25">
      <c r="A243" s="143"/>
      <c r="B243" s="5"/>
      <c r="C243" s="5"/>
      <c r="D243" s="5"/>
      <c r="E243" s="5"/>
      <c r="F243" s="5"/>
      <c r="G243" s="5"/>
      <c r="H243" s="5"/>
      <c r="I243" s="5"/>
      <c r="J243" s="5"/>
      <c r="K243" s="5"/>
      <c r="L243" s="5"/>
      <c r="M243" s="5"/>
      <c r="N243" s="150"/>
    </row>
    <row r="244" spans="1:14" x14ac:dyDescent="0.25">
      <c r="A244" s="143"/>
      <c r="B244" s="5"/>
      <c r="C244" s="5"/>
      <c r="D244" s="5"/>
      <c r="E244" s="5"/>
      <c r="F244" s="5"/>
      <c r="G244" s="5"/>
      <c r="H244" s="5"/>
      <c r="I244" s="5"/>
      <c r="J244" s="5"/>
      <c r="K244" s="5"/>
      <c r="L244" s="5"/>
      <c r="M244" s="5"/>
      <c r="N244" s="150"/>
    </row>
    <row r="245" spans="1:14" x14ac:dyDescent="0.25">
      <c r="A245" s="143"/>
      <c r="B245" s="5"/>
      <c r="C245" s="5"/>
      <c r="D245" s="5"/>
      <c r="E245" s="5"/>
      <c r="F245" s="5"/>
      <c r="G245" s="5"/>
      <c r="H245" s="5"/>
      <c r="I245" s="5"/>
      <c r="J245" s="5"/>
      <c r="K245" s="5"/>
      <c r="L245" s="5"/>
      <c r="M245" s="5"/>
      <c r="N245" s="150"/>
    </row>
    <row r="246" spans="1:14" x14ac:dyDescent="0.25">
      <c r="A246" s="143"/>
      <c r="B246" s="5"/>
      <c r="C246" s="5"/>
      <c r="D246" s="5"/>
      <c r="E246" s="5"/>
      <c r="F246" s="5"/>
      <c r="G246" s="5"/>
      <c r="H246" s="5"/>
      <c r="I246" s="5"/>
      <c r="J246" s="5"/>
      <c r="K246" s="5"/>
      <c r="L246" s="5"/>
      <c r="M246" s="5"/>
      <c r="N246" s="150"/>
    </row>
    <row r="247" spans="1:14" x14ac:dyDescent="0.25">
      <c r="A247" s="143"/>
      <c r="B247" s="5"/>
      <c r="C247" s="5"/>
      <c r="D247" s="5"/>
      <c r="E247" s="5"/>
      <c r="F247" s="5"/>
      <c r="G247" s="5"/>
      <c r="H247" s="5"/>
      <c r="I247" s="5"/>
      <c r="J247" s="5"/>
      <c r="K247" s="5"/>
      <c r="L247" s="5"/>
      <c r="M247" s="5"/>
      <c r="N247" s="150"/>
    </row>
    <row r="248" spans="1:14" x14ac:dyDescent="0.25">
      <c r="A248" s="143"/>
      <c r="B248" s="5"/>
      <c r="C248" s="5"/>
      <c r="D248" s="5"/>
      <c r="E248" s="5"/>
      <c r="F248" s="5"/>
      <c r="G248" s="5"/>
      <c r="H248" s="5"/>
      <c r="I248" s="5"/>
      <c r="J248" s="5"/>
      <c r="K248" s="5"/>
      <c r="L248" s="5"/>
      <c r="M248" s="5"/>
      <c r="N248" s="150"/>
    </row>
    <row r="249" spans="1:14" x14ac:dyDescent="0.25">
      <c r="A249" s="143"/>
      <c r="B249" s="5"/>
      <c r="C249" s="5"/>
      <c r="D249" s="5"/>
      <c r="E249" s="5"/>
      <c r="F249" s="5"/>
      <c r="G249" s="5"/>
      <c r="H249" s="5"/>
      <c r="I249" s="5"/>
      <c r="J249" s="5"/>
      <c r="K249" s="5"/>
      <c r="L249" s="5"/>
      <c r="M249" s="5"/>
      <c r="N249" s="150"/>
    </row>
    <row r="250" spans="1:14" x14ac:dyDescent="0.25">
      <c r="A250" s="143"/>
      <c r="B250" s="5"/>
      <c r="C250" s="5"/>
      <c r="D250" s="5"/>
      <c r="E250" s="5"/>
      <c r="F250" s="5"/>
      <c r="G250" s="5"/>
      <c r="H250" s="5"/>
      <c r="I250" s="5"/>
      <c r="J250" s="5"/>
      <c r="K250" s="5"/>
      <c r="L250" s="5"/>
      <c r="M250" s="5"/>
      <c r="N250" s="150"/>
    </row>
    <row r="251" spans="1:14" x14ac:dyDescent="0.25">
      <c r="A251" s="143"/>
      <c r="B251" s="5"/>
      <c r="C251" s="5"/>
      <c r="D251" s="5"/>
      <c r="E251" s="5"/>
      <c r="F251" s="5"/>
      <c r="G251" s="5"/>
      <c r="H251" s="5"/>
      <c r="I251" s="5"/>
      <c r="J251" s="5"/>
      <c r="K251" s="5"/>
      <c r="L251" s="5"/>
      <c r="M251" s="5"/>
      <c r="N251" s="150"/>
    </row>
    <row r="252" spans="1:14" x14ac:dyDescent="0.25">
      <c r="A252" s="143"/>
      <c r="B252" s="5"/>
      <c r="C252" s="5"/>
      <c r="D252" s="5"/>
      <c r="E252" s="5"/>
      <c r="F252" s="5"/>
      <c r="G252" s="5"/>
      <c r="H252" s="5"/>
      <c r="I252" s="5"/>
      <c r="J252" s="5"/>
      <c r="K252" s="5"/>
      <c r="L252" s="5"/>
      <c r="M252" s="5"/>
      <c r="N252" s="150"/>
    </row>
    <row r="253" spans="1:14" x14ac:dyDescent="0.25">
      <c r="A253" s="143"/>
      <c r="B253" s="5"/>
      <c r="C253" s="5"/>
      <c r="D253" s="5"/>
      <c r="E253" s="5"/>
      <c r="F253" s="5"/>
      <c r="G253" s="5"/>
      <c r="H253" s="5"/>
      <c r="I253" s="5"/>
      <c r="J253" s="5"/>
      <c r="K253" s="5"/>
      <c r="L253" s="5"/>
      <c r="M253" s="5"/>
      <c r="N253" s="150"/>
    </row>
    <row r="254" spans="1:14" x14ac:dyDescent="0.25">
      <c r="A254" s="143"/>
      <c r="B254" s="5"/>
      <c r="C254" s="5"/>
      <c r="D254" s="5"/>
      <c r="E254" s="5"/>
      <c r="F254" s="5"/>
      <c r="G254" s="5"/>
      <c r="H254" s="5"/>
      <c r="I254" s="5"/>
      <c r="J254" s="5"/>
      <c r="K254" s="5"/>
      <c r="L254" s="5"/>
      <c r="M254" s="5"/>
      <c r="N254" s="150"/>
    </row>
    <row r="255" spans="1:14" x14ac:dyDescent="0.25">
      <c r="A255" s="143"/>
      <c r="B255" s="5"/>
      <c r="C255" s="5"/>
      <c r="D255" s="5"/>
      <c r="E255" s="5"/>
      <c r="F255" s="5"/>
      <c r="G255" s="5"/>
      <c r="H255" s="5"/>
      <c r="I255" s="5"/>
      <c r="J255" s="5"/>
      <c r="K255" s="5"/>
      <c r="L255" s="5"/>
      <c r="M255" s="5"/>
      <c r="N255" s="150"/>
    </row>
    <row r="256" spans="1:14" x14ac:dyDescent="0.25">
      <c r="A256" s="143"/>
      <c r="B256" s="5"/>
      <c r="C256" s="5"/>
      <c r="D256" s="5"/>
      <c r="E256" s="5"/>
      <c r="F256" s="5"/>
      <c r="G256" s="5"/>
      <c r="H256" s="5"/>
      <c r="I256" s="5"/>
      <c r="J256" s="5"/>
      <c r="K256" s="5"/>
      <c r="L256" s="5"/>
      <c r="M256" s="5"/>
      <c r="N256" s="150"/>
    </row>
    <row r="257" spans="1:14" x14ac:dyDescent="0.25">
      <c r="A257" s="143"/>
      <c r="B257" s="5"/>
      <c r="C257" s="5"/>
      <c r="D257" s="5"/>
      <c r="E257" s="5"/>
      <c r="F257" s="5"/>
      <c r="G257" s="5"/>
      <c r="H257" s="5"/>
      <c r="I257" s="5"/>
      <c r="J257" s="5"/>
      <c r="K257" s="5"/>
      <c r="L257" s="5"/>
      <c r="M257" s="5"/>
      <c r="N257" s="150"/>
    </row>
    <row r="258" spans="1:14" x14ac:dyDescent="0.25">
      <c r="A258" s="143"/>
      <c r="B258" s="5"/>
      <c r="C258" s="5"/>
      <c r="D258" s="5"/>
      <c r="E258" s="5"/>
      <c r="F258" s="5"/>
      <c r="G258" s="5"/>
      <c r="H258" s="5"/>
      <c r="I258" s="5"/>
      <c r="J258" s="5"/>
      <c r="K258" s="5"/>
      <c r="L258" s="5"/>
      <c r="M258" s="5"/>
      <c r="N258" s="150"/>
    </row>
    <row r="259" spans="1:14" x14ac:dyDescent="0.25">
      <c r="A259" s="143"/>
      <c r="B259" s="5"/>
      <c r="C259" s="5"/>
      <c r="D259" s="5"/>
      <c r="E259" s="5"/>
      <c r="F259" s="5"/>
      <c r="G259" s="5"/>
      <c r="H259" s="5"/>
      <c r="I259" s="5"/>
      <c r="J259" s="5"/>
      <c r="K259" s="5"/>
      <c r="L259" s="5"/>
      <c r="M259" s="5"/>
      <c r="N259" s="150"/>
    </row>
    <row r="260" spans="1:14" x14ac:dyDescent="0.25">
      <c r="A260" s="143"/>
      <c r="B260" s="5"/>
      <c r="C260" s="5"/>
      <c r="D260" s="5"/>
      <c r="E260" s="5"/>
      <c r="F260" s="5"/>
      <c r="G260" s="5"/>
      <c r="H260" s="5"/>
      <c r="I260" s="5"/>
      <c r="J260" s="5"/>
      <c r="K260" s="5"/>
      <c r="L260" s="5"/>
      <c r="M260" s="5"/>
      <c r="N260" s="150"/>
    </row>
    <row r="261" spans="1:14" x14ac:dyDescent="0.25">
      <c r="A261" s="143"/>
      <c r="B261" s="5"/>
      <c r="C261" s="5"/>
      <c r="D261" s="5"/>
      <c r="E261" s="5"/>
      <c r="F261" s="5"/>
      <c r="G261" s="5"/>
      <c r="H261" s="5"/>
      <c r="I261" s="5"/>
      <c r="J261" s="5"/>
      <c r="K261" s="5"/>
      <c r="L261" s="5"/>
      <c r="M261" s="5"/>
      <c r="N261" s="150"/>
    </row>
    <row r="262" spans="1:14" x14ac:dyDescent="0.25">
      <c r="A262" s="143"/>
      <c r="B262" s="5"/>
      <c r="C262" s="5"/>
      <c r="D262" s="5"/>
      <c r="E262" s="5"/>
      <c r="F262" s="5"/>
      <c r="G262" s="5"/>
      <c r="H262" s="5"/>
      <c r="I262" s="5"/>
      <c r="J262" s="5"/>
      <c r="K262" s="5"/>
      <c r="L262" s="5"/>
      <c r="M262" s="5"/>
      <c r="N262" s="150"/>
    </row>
    <row r="263" spans="1:14" x14ac:dyDescent="0.25">
      <c r="A263" s="143"/>
      <c r="B263" s="5"/>
      <c r="C263" s="5"/>
      <c r="D263" s="5"/>
      <c r="E263" s="5"/>
      <c r="F263" s="5"/>
      <c r="G263" s="5"/>
      <c r="H263" s="5"/>
      <c r="I263" s="5"/>
      <c r="J263" s="5"/>
      <c r="K263" s="5"/>
      <c r="L263" s="5"/>
      <c r="M263" s="5"/>
      <c r="N263" s="150"/>
    </row>
    <row r="264" spans="1:14" x14ac:dyDescent="0.25">
      <c r="A264" s="143"/>
      <c r="B264" s="5"/>
      <c r="C264" s="5"/>
      <c r="D264" s="5"/>
      <c r="E264" s="5"/>
      <c r="F264" s="5"/>
      <c r="G264" s="5"/>
      <c r="H264" s="5"/>
      <c r="I264" s="5"/>
      <c r="J264" s="5"/>
      <c r="K264" s="5"/>
      <c r="L264" s="5"/>
      <c r="M264" s="5"/>
      <c r="N264" s="150"/>
    </row>
    <row r="265" spans="1:14" x14ac:dyDescent="0.25">
      <c r="A265" s="143"/>
      <c r="B265" s="5"/>
      <c r="C265" s="5"/>
      <c r="D265" s="5"/>
      <c r="E265" s="5"/>
      <c r="F265" s="5"/>
      <c r="G265" s="5"/>
      <c r="H265" s="5"/>
      <c r="I265" s="5"/>
      <c r="J265" s="5"/>
      <c r="K265" s="5"/>
      <c r="L265" s="5"/>
      <c r="M265" s="5"/>
      <c r="N265" s="150"/>
    </row>
    <row r="266" spans="1:14" x14ac:dyDescent="0.25">
      <c r="A266" s="143"/>
      <c r="B266" s="5"/>
      <c r="C266" s="5"/>
      <c r="D266" s="5"/>
      <c r="E266" s="5"/>
      <c r="F266" s="5"/>
      <c r="G266" s="5"/>
      <c r="H266" s="5"/>
      <c r="I266" s="5"/>
      <c r="J266" s="5"/>
      <c r="K266" s="5"/>
      <c r="L266" s="5"/>
      <c r="M266" s="5"/>
      <c r="N266" s="150"/>
    </row>
    <row r="267" spans="1:14" x14ac:dyDescent="0.25">
      <c r="A267" s="143"/>
      <c r="B267" s="5"/>
      <c r="C267" s="5"/>
      <c r="D267" s="5"/>
      <c r="E267" s="5"/>
      <c r="F267" s="5"/>
      <c r="G267" s="5"/>
      <c r="H267" s="5"/>
      <c r="I267" s="5"/>
      <c r="J267" s="5"/>
      <c r="K267" s="5"/>
      <c r="L267" s="5"/>
      <c r="M267" s="5"/>
      <c r="N267" s="150"/>
    </row>
    <row r="268" spans="1:14" x14ac:dyDescent="0.25">
      <c r="A268" s="143"/>
      <c r="B268" s="5"/>
      <c r="C268" s="5"/>
      <c r="D268" s="5"/>
      <c r="E268" s="5"/>
      <c r="F268" s="5"/>
      <c r="G268" s="5"/>
      <c r="H268" s="5"/>
      <c r="I268" s="5"/>
      <c r="J268" s="5"/>
      <c r="K268" s="5"/>
      <c r="L268" s="5"/>
      <c r="M268" s="5"/>
      <c r="N268" s="150"/>
    </row>
    <row r="269" spans="1:14" x14ac:dyDescent="0.25">
      <c r="A269" s="143"/>
      <c r="B269" s="5"/>
      <c r="C269" s="5"/>
      <c r="D269" s="5"/>
      <c r="E269" s="5"/>
      <c r="F269" s="5"/>
      <c r="G269" s="5"/>
      <c r="H269" s="5"/>
      <c r="I269" s="5"/>
      <c r="J269" s="5"/>
      <c r="K269" s="5"/>
      <c r="L269" s="5"/>
      <c r="M269" s="5"/>
      <c r="N269" s="150"/>
    </row>
    <row r="270" spans="1:14" x14ac:dyDescent="0.25">
      <c r="A270" s="143"/>
      <c r="B270" s="5"/>
      <c r="C270" s="5"/>
      <c r="D270" s="5"/>
      <c r="E270" s="5"/>
      <c r="F270" s="5"/>
      <c r="G270" s="5"/>
      <c r="H270" s="5"/>
      <c r="I270" s="5"/>
      <c r="J270" s="5"/>
      <c r="K270" s="5"/>
      <c r="L270" s="5"/>
      <c r="M270" s="5"/>
      <c r="N270" s="150"/>
    </row>
    <row r="271" spans="1:14" x14ac:dyDescent="0.25">
      <c r="A271" s="143"/>
      <c r="B271" s="5"/>
      <c r="C271" s="5"/>
      <c r="D271" s="5"/>
      <c r="E271" s="5"/>
      <c r="F271" s="5"/>
      <c r="G271" s="5"/>
      <c r="H271" s="5"/>
      <c r="I271" s="5"/>
      <c r="J271" s="5"/>
      <c r="K271" s="5"/>
      <c r="L271" s="5"/>
      <c r="M271" s="5"/>
      <c r="N271" s="150"/>
    </row>
    <row r="272" spans="1:14" x14ac:dyDescent="0.25">
      <c r="A272" s="143"/>
      <c r="B272" s="5"/>
      <c r="C272" s="5"/>
      <c r="D272" s="5"/>
      <c r="E272" s="5"/>
      <c r="F272" s="5"/>
      <c r="G272" s="5"/>
      <c r="H272" s="5"/>
      <c r="I272" s="5"/>
      <c r="J272" s="5"/>
      <c r="K272" s="5"/>
      <c r="L272" s="5"/>
      <c r="M272" s="5"/>
      <c r="N272" s="150"/>
    </row>
    <row r="273" spans="1:14" x14ac:dyDescent="0.25">
      <c r="A273" s="143"/>
      <c r="B273" s="5"/>
      <c r="C273" s="5"/>
      <c r="D273" s="5"/>
      <c r="E273" s="5"/>
      <c r="F273" s="5"/>
      <c r="G273" s="5"/>
      <c r="H273" s="5"/>
      <c r="I273" s="5"/>
      <c r="J273" s="5"/>
      <c r="K273" s="5"/>
      <c r="L273" s="5"/>
      <c r="M273" s="5"/>
      <c r="N273" s="150"/>
    </row>
    <row r="274" spans="1:14" x14ac:dyDescent="0.25">
      <c r="A274" s="143"/>
      <c r="B274" s="5"/>
      <c r="C274" s="5"/>
      <c r="D274" s="5"/>
      <c r="E274" s="5"/>
      <c r="F274" s="5"/>
      <c r="G274" s="5"/>
      <c r="H274" s="5"/>
      <c r="I274" s="5"/>
      <c r="J274" s="5"/>
      <c r="K274" s="5"/>
      <c r="L274" s="5"/>
      <c r="M274" s="5"/>
      <c r="N274" s="150"/>
    </row>
    <row r="275" spans="1:14" x14ac:dyDescent="0.25">
      <c r="A275" s="143"/>
      <c r="B275" s="5"/>
      <c r="C275" s="5"/>
      <c r="D275" s="5"/>
      <c r="E275" s="5"/>
      <c r="F275" s="5"/>
      <c r="G275" s="5"/>
      <c r="H275" s="5"/>
      <c r="I275" s="5"/>
      <c r="J275" s="5"/>
      <c r="K275" s="5"/>
      <c r="L275" s="5"/>
      <c r="M275" s="5"/>
      <c r="N275" s="150"/>
    </row>
    <row r="276" spans="1:14" x14ac:dyDescent="0.25">
      <c r="A276" s="143"/>
      <c r="B276" s="5"/>
      <c r="C276" s="5"/>
      <c r="D276" s="5"/>
      <c r="E276" s="5"/>
      <c r="F276" s="5"/>
      <c r="G276" s="5"/>
      <c r="H276" s="5"/>
      <c r="I276" s="5"/>
      <c r="J276" s="5"/>
      <c r="K276" s="5"/>
      <c r="L276" s="5"/>
      <c r="M276" s="5"/>
      <c r="N276" s="150"/>
    </row>
    <row r="277" spans="1:14" x14ac:dyDescent="0.25">
      <c r="A277" s="143"/>
      <c r="B277" s="5"/>
      <c r="C277" s="5"/>
      <c r="D277" s="5"/>
      <c r="E277" s="5"/>
      <c r="F277" s="5"/>
      <c r="G277" s="5"/>
      <c r="H277" s="5"/>
      <c r="I277" s="5"/>
      <c r="J277" s="5"/>
      <c r="K277" s="5"/>
      <c r="L277" s="5"/>
      <c r="M277" s="5"/>
      <c r="N277" s="150"/>
    </row>
    <row r="278" spans="1:14" x14ac:dyDescent="0.25">
      <c r="A278" s="143"/>
      <c r="B278" s="5"/>
      <c r="C278" s="5"/>
      <c r="D278" s="5"/>
      <c r="E278" s="5"/>
      <c r="F278" s="5"/>
      <c r="G278" s="5"/>
      <c r="H278" s="5"/>
      <c r="I278" s="5"/>
      <c r="J278" s="5"/>
      <c r="K278" s="5"/>
      <c r="L278" s="5"/>
      <c r="M278" s="5"/>
      <c r="N278" s="150"/>
    </row>
  </sheetData>
  <pageMargins left="0.7" right="0.7" top="0.75" bottom="0.75" header="0.3" footer="0.3"/>
  <pageSetup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O16"/>
  <sheetViews>
    <sheetView workbookViewId="0">
      <selection activeCell="B8" sqref="B8"/>
    </sheetView>
  </sheetViews>
  <sheetFormatPr defaultColWidth="15.42578125" defaultRowHeight="15" x14ac:dyDescent="0.25"/>
  <cols>
    <col min="1" max="1" width="28.140625" style="6" bestFit="1" customWidth="1"/>
    <col min="2" max="2" width="34.28515625" style="6" bestFit="1" customWidth="1"/>
    <col min="3" max="3" width="19.140625" style="6" bestFit="1" customWidth="1"/>
    <col min="4" max="4" width="10" style="6" bestFit="1" customWidth="1"/>
    <col min="5" max="5" width="15" style="6" bestFit="1" customWidth="1"/>
    <col min="6" max="6" width="13.28515625" style="6" bestFit="1" customWidth="1"/>
    <col min="7" max="7" width="15.7109375" style="6" bestFit="1" customWidth="1"/>
    <col min="8" max="8" width="14" style="6" bestFit="1" customWidth="1"/>
    <col min="9" max="9" width="11" style="6" bestFit="1" customWidth="1"/>
    <col min="10" max="10" width="6.28515625" style="6" bestFit="1" customWidth="1"/>
    <col min="11" max="11" width="20.28515625" style="6" bestFit="1" customWidth="1"/>
    <col min="12" max="12" width="21.5703125" style="6" bestFit="1" customWidth="1"/>
    <col min="13" max="14" width="15.42578125" style="6"/>
    <col min="15" max="15" width="19.85546875" style="6" bestFit="1" customWidth="1"/>
    <col min="16" max="16384" width="15.42578125" style="6"/>
  </cols>
  <sheetData>
    <row r="1" spans="1:15" s="78" customFormat="1" ht="30" x14ac:dyDescent="0.25">
      <c r="A1" s="200" t="s">
        <v>1354</v>
      </c>
      <c r="B1" s="200" t="s">
        <v>1385</v>
      </c>
      <c r="C1" s="200" t="s">
        <v>1345</v>
      </c>
      <c r="D1" s="200" t="s">
        <v>1299</v>
      </c>
      <c r="E1" s="200" t="s">
        <v>1384</v>
      </c>
      <c r="F1" s="200" t="s">
        <v>1386</v>
      </c>
      <c r="G1" s="200" t="s">
        <v>1358</v>
      </c>
      <c r="H1" s="200" t="s">
        <v>1388</v>
      </c>
      <c r="I1" s="200" t="s">
        <v>1389</v>
      </c>
      <c r="J1" s="200" t="s">
        <v>1383</v>
      </c>
      <c r="K1" s="200" t="s">
        <v>1403</v>
      </c>
      <c r="L1" s="200" t="s">
        <v>1390</v>
      </c>
    </row>
    <row r="2" spans="1:15" x14ac:dyDescent="0.25">
      <c r="A2" s="6" t="s">
        <v>1364</v>
      </c>
      <c r="B2" s="6" t="s">
        <v>1339</v>
      </c>
      <c r="C2" s="6" t="s">
        <v>1346</v>
      </c>
      <c r="D2" s="6" t="s">
        <v>1344</v>
      </c>
      <c r="E2" s="6" t="s">
        <v>1337</v>
      </c>
      <c r="F2" s="6">
        <f>MATCH(SpecimenColumnFinder[[#This Row],[DataType]],DataColumns[#Headers],0)</f>
        <v>8</v>
      </c>
      <c r="G2" s="6" t="e">
        <f>MATCH(SpecimenColumnFinder[[#This Row],[DataType]],DataColumns[ColumnType],0)</f>
        <v>#N/A</v>
      </c>
      <c r="H2" s="6">
        <f>IF(SpecimenColumnFinder[[#This Row],[REQUIRED]]="Optional",0,
IF(SpecimenColumnFinder[[#This Row],[VBV or Column]]="Value-By-Value",NumSpecimens,
1))</f>
        <v>0</v>
      </c>
      <c r="I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2" s="201" t="str">
        <f>IF(SpecimenColumnFinder[[#This Row],[Num Given]]&lt;SpecimenColumnFinder[[#This Row],[Num Required]],
"MISSING",
"OK")</f>
        <v>OK</v>
      </c>
      <c r="K2"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2" s="201" t="e">
        <f>INDIRECT(SpecimenColumnFinder[[#This Row],[First Value Address]],FALSE)</f>
        <v>#N/A</v>
      </c>
    </row>
    <row r="3" spans="1:15" x14ac:dyDescent="0.25">
      <c r="A3" s="6" t="s">
        <v>1423</v>
      </c>
      <c r="B3" s="6" t="s">
        <v>1179</v>
      </c>
      <c r="D3" s="6" t="s">
        <v>1299</v>
      </c>
      <c r="E3" s="6" t="s">
        <v>1337</v>
      </c>
      <c r="F3" s="201">
        <f>MATCH(SpecimenColumnFinder[[#This Row],[DataType]],DataColumns[#Headers],0)</f>
        <v>9</v>
      </c>
      <c r="G3" s="201" t="e">
        <f>MATCH(SpecimenColumnFinder[[#This Row],[DataType]],DataColumns[ColumnType],0)</f>
        <v>#N/A</v>
      </c>
      <c r="H3" s="201">
        <f>IF(SpecimenColumnFinder[[#This Row],[REQUIRED]]="Optional",0,
IF(SpecimenColumnFinder[[#This Row],[VBV or Column]]="Value-By-Value",NumSpecimens,
1))</f>
        <v>1</v>
      </c>
      <c r="I3"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3" s="201" t="str">
        <f>IF(SpecimenColumnFinder[[#This Row],[Num Given]]&lt;SpecimenColumnFinder[[#This Row],[Num Required]],
"MISSING",
"OK")</f>
        <v>MISSING</v>
      </c>
      <c r="K3"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3" s="201" t="e">
        <f>INDIRECT(SpecimenColumnFinder[[#This Row],[First Value Address]],FALSE)</f>
        <v>#N/A</v>
      </c>
    </row>
    <row r="4" spans="1:15" x14ac:dyDescent="0.25">
      <c r="A4" s="6" t="s">
        <v>1332</v>
      </c>
      <c r="B4" s="6" t="s">
        <v>1387</v>
      </c>
      <c r="D4" s="6" t="s">
        <v>1299</v>
      </c>
      <c r="E4" s="6" t="s">
        <v>1338</v>
      </c>
      <c r="F4" s="6" t="e">
        <f>MATCH(SpecimenColumnFinder[[#This Row],[DataType]],DataColumns[#Headers],0)</f>
        <v>#N/A</v>
      </c>
      <c r="G4" s="6" t="e">
        <f>MATCH(SpecimenColumnFinder[[#This Row],[DataType]],DataColumns[ColumnType],0)</f>
        <v>#N/A</v>
      </c>
      <c r="H4" s="6">
        <f>IF(SpecimenColumnFinder[[#This Row],[REQUIRED]]="Optional",0,
IF(SpecimenColumnFinder[[#This Row],[VBV or Column]]="Value-By-Value",NumSpecimens,
1))</f>
        <v>1</v>
      </c>
      <c r="I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4" s="201" t="str">
        <f>IF(SpecimenColumnFinder[[#This Row],[Num Given]]&lt;SpecimenColumnFinder[[#This Row],[Num Required]],
"MISSING",
"OK")</f>
        <v>MISSING</v>
      </c>
      <c r="K4"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4" s="201" t="e">
        <f>INDIRECT(SpecimenColumnFinder[[#This Row],[First Value Address]],FALSE)</f>
        <v>#REF!</v>
      </c>
    </row>
    <row r="5" spans="1:15" x14ac:dyDescent="0.25">
      <c r="A5" s="6" t="s">
        <v>1333</v>
      </c>
      <c r="B5" s="6" t="s">
        <v>1387</v>
      </c>
      <c r="D5" s="6" t="s">
        <v>1299</v>
      </c>
      <c r="E5" s="6" t="s">
        <v>1337</v>
      </c>
      <c r="F5" s="6">
        <f>MATCH(SpecimenColumnFinder[[#This Row],[DataType]],DataColumns[#Headers],0)</f>
        <v>7</v>
      </c>
      <c r="G5" s="6" t="e">
        <f>MATCH(SpecimenColumnFinder[[#This Row],[DataType]],DataColumns[ColumnType],0)</f>
        <v>#N/A</v>
      </c>
      <c r="H5" s="6">
        <f>IF(SpecimenColumnFinder[[#This Row],[REQUIRED]]="Optional",0,
IF(SpecimenColumnFinder[[#This Row],[VBV or Column]]="Value-By-Value",NumSpecimens,
1))</f>
        <v>1</v>
      </c>
      <c r="I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5" s="201" t="str">
        <f>IF(SpecimenColumnFinder[[#This Row],[Num Given]]&lt;SpecimenColumnFinder[[#This Row],[Num Required]],
"MISSING",
"OK")</f>
        <v>MISSING</v>
      </c>
      <c r="K5"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5" s="201" t="e">
        <f>INDIRECT(SpecimenColumnFinder[[#This Row],[First Value Address]],FALSE)</f>
        <v>#N/A</v>
      </c>
    </row>
    <row r="6" spans="1:15" x14ac:dyDescent="0.25">
      <c r="A6" s="6" t="s">
        <v>1379</v>
      </c>
      <c r="B6" s="6" t="s">
        <v>1381</v>
      </c>
      <c r="C6" s="6" t="s">
        <v>1348</v>
      </c>
      <c r="D6" s="6" t="s">
        <v>1344</v>
      </c>
      <c r="E6" s="6" t="s">
        <v>1337</v>
      </c>
      <c r="F6" s="6">
        <f>MATCH(SpecimenColumnFinder[[#This Row],[DataType]],DataColumns[#Headers],0)</f>
        <v>5</v>
      </c>
      <c r="G6" s="6" t="e">
        <f>MATCH(SpecimenColumnFinder[[#This Row],[DataType]],DataColumns[ColumnType],0)</f>
        <v>#N/A</v>
      </c>
      <c r="H6" s="6">
        <f>IF(SpecimenColumnFinder[[#This Row],[REQUIRED]]="Optional",0,
IF(SpecimenColumnFinder[[#This Row],[VBV or Column]]="Value-By-Value",NumSpecimens,
1))</f>
        <v>0</v>
      </c>
      <c r="I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6" s="201" t="str">
        <f>IF(SpecimenColumnFinder[[#This Row],[Num Given]]&lt;SpecimenColumnFinder[[#This Row],[Num Required]],
"MISSING",
"OK")</f>
        <v>OK</v>
      </c>
      <c r="K6"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6" s="201" t="e">
        <f>INDIRECT(SpecimenColumnFinder[[#This Row],[First Value Address]],FALSE)</f>
        <v>#N/A</v>
      </c>
    </row>
    <row r="7" spans="1:15" x14ac:dyDescent="0.25">
      <c r="A7" s="6" t="s">
        <v>1380</v>
      </c>
      <c r="B7" s="6" t="s">
        <v>1381</v>
      </c>
      <c r="C7" s="6" t="s">
        <v>1382</v>
      </c>
      <c r="D7" s="6" t="s">
        <v>1344</v>
      </c>
      <c r="E7" s="6" t="s">
        <v>1337</v>
      </c>
      <c r="F7" s="6">
        <f>MATCH(SpecimenColumnFinder[[#This Row],[DataType]],DataColumns[#Headers],0)</f>
        <v>13</v>
      </c>
      <c r="G7" s="201" t="e">
        <f>MATCH(SpecimenColumnFinder[[#This Row],[DataType]],DataColumns[ColumnType],0)</f>
        <v>#N/A</v>
      </c>
      <c r="H7" s="201">
        <f>IF(SpecimenColumnFinder[[#This Row],[REQUIRED]]="Optional",0,
IF(SpecimenColumnFinder[[#This Row],[VBV or Column]]="Value-By-Value",NumSpecimens,
1))</f>
        <v>0</v>
      </c>
      <c r="I7"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7" s="201" t="str">
        <f>IF(SpecimenColumnFinder[[#This Row],[Num Given]]&lt;SpecimenColumnFinder[[#This Row],[Num Required]],
"MISSING",
"OK")</f>
        <v>OK</v>
      </c>
      <c r="K7"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7" s="201" t="e">
        <f>INDIRECT(SpecimenColumnFinder[[#This Row],[First Value Address]],FALSE)</f>
        <v>#N/A</v>
      </c>
      <c r="O7" s="202"/>
    </row>
    <row r="8" spans="1:15" x14ac:dyDescent="0.25">
      <c r="A8" s="6" t="s">
        <v>198</v>
      </c>
      <c r="B8" s="6" t="s">
        <v>1381</v>
      </c>
      <c r="C8" s="6" t="s">
        <v>198</v>
      </c>
      <c r="D8" s="6" t="s">
        <v>1344</v>
      </c>
      <c r="E8" s="6" t="s">
        <v>1337</v>
      </c>
      <c r="F8" s="201">
        <f>MATCH(SpecimenColumnFinder[[#This Row],[DataType]],DataColumns[#Headers],0)</f>
        <v>6</v>
      </c>
      <c r="G8" s="201" t="e">
        <f>MATCH(SpecimenColumnFinder[[#This Row],[DataType]],DataColumns[ColumnType],0)</f>
        <v>#N/A</v>
      </c>
      <c r="H8" s="201">
        <f>IF(SpecimenColumnFinder[[#This Row],[REQUIRED]]="Optional",0,
IF(SpecimenColumnFinder[[#This Row],[VBV or Column]]="Value-By-Value",NumSpecimens,
1))</f>
        <v>0</v>
      </c>
      <c r="I8"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8" s="201" t="str">
        <f>IF(SpecimenColumnFinder[[#This Row],[Num Given]]&lt;SpecimenColumnFinder[[#This Row],[Num Required]],
"MISSING",
"OK")</f>
        <v>OK</v>
      </c>
      <c r="K8"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8" s="201" t="e">
        <f>INDIRECT(SpecimenColumnFinder[[#This Row],[First Value Address]],FALSE)</f>
        <v>#N/A</v>
      </c>
    </row>
    <row r="9" spans="1:15" x14ac:dyDescent="0.25">
      <c r="A9" s="6" t="s">
        <v>1433</v>
      </c>
      <c r="B9" s="6" t="s">
        <v>1342</v>
      </c>
      <c r="D9" s="6" t="s">
        <v>1299</v>
      </c>
      <c r="E9" s="6" t="s">
        <v>1338</v>
      </c>
      <c r="F9" s="6" t="e">
        <f>MATCH(SpecimenColumnFinder[[#This Row],[DataType]],DataColumns[#Headers],0)</f>
        <v>#N/A</v>
      </c>
      <c r="G9" s="6" t="e">
        <f>MATCH(SpecimenColumnFinder[[#This Row],[DataType]],DataColumns[ColumnType],0)</f>
        <v>#N/A</v>
      </c>
      <c r="H9" s="6">
        <f>IF(SpecimenColumnFinder[[#This Row],[REQUIRED]]="Optional",0,
IF(SpecimenColumnFinder[[#This Row],[VBV or Column]]="Value-By-Value",NumSpecimens,
1))</f>
        <v>1</v>
      </c>
      <c r="I9" s="6">
        <f>IF(ISERROR(SpecimenColumnFinder[[#This Row],[Data Values Column Number]]),
IF(ISERROR(INDEX(DataColumns[],SpecimenColumnNumber,SpecimenColumnFinder[[#This Row],[Data Columns Input Column]])),
0,
1),
COUNTA(INDIRECT(CONCATENATE("'Data Values'!C",SpecimenColumnFinder[[#This Row],[Data Values Column Number]]),FALSE))-1)</f>
        <v>0</v>
      </c>
      <c r="J9" s="201" t="str">
        <f>IF(SpecimenColumnFinder[[#This Row],[Num Given]]&lt;SpecimenColumnFinder[[#This Row],[Num Required]],
"MISSING",
"OK")</f>
        <v>MISSING</v>
      </c>
      <c r="K9"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9" s="201" t="e">
        <f>INDIRECT(SpecimenColumnFinder[[#This Row],[First Value Address]],FALSE)</f>
        <v>#REF!</v>
      </c>
    </row>
    <row r="10" spans="1:15" x14ac:dyDescent="0.25">
      <c r="A10" s="6" t="s">
        <v>1331</v>
      </c>
      <c r="B10" s="6" t="s">
        <v>1342</v>
      </c>
      <c r="D10" s="6" t="s">
        <v>1344</v>
      </c>
      <c r="E10" s="6" t="s">
        <v>1338</v>
      </c>
      <c r="F10" s="201" t="e">
        <f>MATCH(SpecimenColumnFinder[[#This Row],[DataType]],DataColumns[#Headers],0)</f>
        <v>#N/A</v>
      </c>
      <c r="G10" s="201" t="e">
        <f>MATCH(SpecimenColumnFinder[[#This Row],[DataType]],DataColumns[ColumnType],0)</f>
        <v>#N/A</v>
      </c>
      <c r="H10" s="201">
        <f>IF(SpecimenColumnFinder[[#This Row],[REQUIRED]]="Optional",0,
IF(SpecimenColumnFinder[[#This Row],[VBV or Column]]="Value-By-Value",NumSpecimens,
1))</f>
        <v>0</v>
      </c>
      <c r="I10" s="201">
        <f>IF(ISERROR(SpecimenColumnFinder[[#This Row],[Data Values Column Number]]),
IF(ISERROR(INDEX(DataColumns[],SpecimenColumnNumber,SpecimenColumnFinder[[#This Row],[Data Columns Input Column]])),
0,
1),
COUNTA(INDIRECT(CONCATENATE("'Data Values'!C",SpecimenColumnFinder[[#This Row],[Data Values Column Number]]),FALSE))-1)</f>
        <v>0</v>
      </c>
      <c r="J10" s="201" t="str">
        <f>IF(SpecimenColumnFinder[[#This Row],[Num Given]]&lt;SpecimenColumnFinder[[#This Row],[Num Required]],
"MISSING",
"OK")</f>
        <v>OK</v>
      </c>
      <c r="K10"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0" s="201" t="e">
        <f>INDIRECT(SpecimenColumnFinder[[#This Row],[First Value Address]],FALSE)</f>
        <v>#REF!</v>
      </c>
    </row>
    <row r="11" spans="1:15" x14ac:dyDescent="0.25">
      <c r="A11" s="6" t="s">
        <v>1330</v>
      </c>
      <c r="B11" s="6" t="s">
        <v>1342</v>
      </c>
      <c r="D11" s="6" t="s">
        <v>1344</v>
      </c>
      <c r="E11" s="6" t="s">
        <v>1338</v>
      </c>
      <c r="F11" s="6" t="e">
        <f>MATCH(SpecimenColumnFinder[[#This Row],[DataType]],DataColumns[#Headers],0)</f>
        <v>#N/A</v>
      </c>
      <c r="G11" s="6" t="e">
        <f>MATCH(SpecimenColumnFinder[[#This Row],[DataType]],DataColumns[ColumnType],0)</f>
        <v>#N/A</v>
      </c>
      <c r="H11" s="6">
        <f>IF(SpecimenColumnFinder[[#This Row],[REQUIRED]]="Optional",0,
IF(SpecimenColumnFinder[[#This Row],[VBV or Column]]="Value-By-Value",NumSpecimens,
1))</f>
        <v>0</v>
      </c>
      <c r="I11"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1" s="201" t="str">
        <f>IF(SpecimenColumnFinder[[#This Row],[Num Given]]&lt;SpecimenColumnFinder[[#This Row],[Num Required]],
"MISSING",
"OK")</f>
        <v>OK</v>
      </c>
      <c r="K11"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1" s="201" t="e">
        <f>INDIRECT(SpecimenColumnFinder[[#This Row],[First Value Address]],FALSE)</f>
        <v>#REF!</v>
      </c>
    </row>
    <row r="12" spans="1:15" x14ac:dyDescent="0.25">
      <c r="A12" s="6" t="s">
        <v>1305</v>
      </c>
      <c r="B12" s="6" t="s">
        <v>1342</v>
      </c>
      <c r="C12" s="6" t="s">
        <v>196</v>
      </c>
      <c r="D12" s="6" t="s">
        <v>1344</v>
      </c>
      <c r="E12" s="6" t="s">
        <v>1338</v>
      </c>
      <c r="F12" s="6" t="e">
        <f>MATCH(SpecimenColumnFinder[[#This Row],[DataType]],DataColumns[#Headers],0)</f>
        <v>#N/A</v>
      </c>
      <c r="G12" s="6" t="e">
        <f>MATCH(SpecimenColumnFinder[[#This Row],[DataType]],DataColumns[ColumnType],0)</f>
        <v>#N/A</v>
      </c>
      <c r="H12" s="6">
        <f>IF(SpecimenColumnFinder[[#This Row],[REQUIRED]]="Optional",0,
IF(SpecimenColumnFinder[[#This Row],[VBV or Column]]="Value-By-Value",NumSpecimens,
1))</f>
        <v>0</v>
      </c>
      <c r="I12"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2" s="201" t="str">
        <f>IF(SpecimenColumnFinder[[#This Row],[Num Given]]&lt;SpecimenColumnFinder[[#This Row],[Num Required]],
"MISSING",
"OK")</f>
        <v>OK</v>
      </c>
      <c r="K12"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2" s="201" t="e">
        <f>INDIRECT(SpecimenColumnFinder[[#This Row],[First Value Address]],FALSE)</f>
        <v>#REF!</v>
      </c>
    </row>
    <row r="13" spans="1:15" x14ac:dyDescent="0.25">
      <c r="A13" s="6" t="s">
        <v>1304</v>
      </c>
      <c r="B13" s="6" t="s">
        <v>1453</v>
      </c>
      <c r="D13" s="6" t="s">
        <v>1344</v>
      </c>
      <c r="E13" s="6" t="s">
        <v>1338</v>
      </c>
      <c r="F13" s="6" t="e">
        <f>MATCH(SpecimenColumnFinder[[#This Row],[DataType]],DataColumns[#Headers],0)</f>
        <v>#N/A</v>
      </c>
      <c r="G13" s="6" t="e">
        <f>MATCH(SpecimenColumnFinder[[#This Row],[DataType]],DataColumns[ColumnType],0)</f>
        <v>#N/A</v>
      </c>
      <c r="H13" s="6">
        <f>IF(SpecimenColumnFinder[[#This Row],[REQUIRED]]="Optional",0,
IF(SpecimenColumnFinder[[#This Row],[VBV or Column]]="Value-By-Value",NumSpecimens,
1))</f>
        <v>0</v>
      </c>
      <c r="I13"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3" s="201" t="str">
        <f>IF(SpecimenColumnFinder[[#This Row],[Num Given]]&lt;SpecimenColumnFinder[[#This Row],[Num Required]],
"MISSING",
"OK")</f>
        <v>OK</v>
      </c>
      <c r="K13" s="201" t="str">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NOT GIVEN</v>
      </c>
      <c r="L13" s="201" t="e">
        <f>INDIRECT(SpecimenColumnFinder[[#This Row],[First Value Address]],FALSE)</f>
        <v>#REF!</v>
      </c>
    </row>
    <row r="14" spans="1:15" x14ac:dyDescent="0.25">
      <c r="A14" s="6" t="s">
        <v>1359</v>
      </c>
      <c r="B14" s="6" t="s">
        <v>226</v>
      </c>
      <c r="C14" s="6" t="s">
        <v>188</v>
      </c>
      <c r="D14" s="6" t="s">
        <v>1299</v>
      </c>
      <c r="E14" s="6" t="s">
        <v>1337</v>
      </c>
      <c r="F14" s="6">
        <f>MATCH(SpecimenColumnFinder[[#This Row],[DataType]],DataColumns[#Headers],0)</f>
        <v>12</v>
      </c>
      <c r="G14" s="6" t="e">
        <f>MATCH(SpecimenColumnFinder[[#This Row],[DataType]],DataColumns[ColumnType],0)</f>
        <v>#N/A</v>
      </c>
      <c r="H14" s="6">
        <f>IF(SpecimenColumnFinder[[#This Row],[REQUIRED]]="Optional",0,
IF(SpecimenColumnFinder[[#This Row],[VBV or Column]]="Value-By-Value",NumSpecimens,
1))</f>
        <v>1</v>
      </c>
      <c r="I14"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4" s="201" t="str">
        <f>IF(SpecimenColumnFinder[[#This Row],[Num Given]]&lt;SpecimenColumnFinder[[#This Row],[Num Required]],
"MISSING",
"OK")</f>
        <v>MISSING</v>
      </c>
      <c r="K14"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4" s="201" t="e">
        <f>INDIRECT(SpecimenColumnFinder[[#This Row],[First Value Address]],FALSE)</f>
        <v>#N/A</v>
      </c>
    </row>
    <row r="15" spans="1:15" x14ac:dyDescent="0.25">
      <c r="A15" s="6" t="s">
        <v>1301</v>
      </c>
      <c r="B15" s="6" t="s">
        <v>226</v>
      </c>
      <c r="C15" s="6" t="s">
        <v>201</v>
      </c>
      <c r="D15" s="6" t="s">
        <v>1299</v>
      </c>
      <c r="E15" s="6" t="s">
        <v>1337</v>
      </c>
      <c r="F15" s="6">
        <f>MATCH(SpecimenColumnFinder[[#This Row],[DataType]],DataColumns[#Headers],0)</f>
        <v>10</v>
      </c>
      <c r="G15" s="6" t="e">
        <f>MATCH(SpecimenColumnFinder[[#This Row],[DataType]],DataColumns[ColumnType],0)</f>
        <v>#N/A</v>
      </c>
      <c r="H15" s="6">
        <f>IF(SpecimenColumnFinder[[#This Row],[REQUIRED]]="Optional",0,
IF(SpecimenColumnFinder[[#This Row],[VBV or Column]]="Value-By-Value",NumSpecimens,
1))</f>
        <v>1</v>
      </c>
      <c r="I15"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5" s="201" t="str">
        <f>IF(SpecimenColumnFinder[[#This Row],[Num Given]]&lt;SpecimenColumnFinder[[#This Row],[Num Required]],
"MISSING",
"OK")</f>
        <v>MISSING</v>
      </c>
      <c r="K15"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5" s="201" t="e">
        <f>INDIRECT(SpecimenColumnFinder[[#This Row],[First Value Address]],FALSE)</f>
        <v>#N/A</v>
      </c>
    </row>
    <row r="16" spans="1:15" x14ac:dyDescent="0.25">
      <c r="A16" s="6" t="s">
        <v>196</v>
      </c>
      <c r="B16" s="6" t="s">
        <v>226</v>
      </c>
      <c r="D16" s="6" t="s">
        <v>1299</v>
      </c>
      <c r="E16" s="6" t="s">
        <v>1337</v>
      </c>
      <c r="F16" s="6">
        <f>MATCH(SpecimenColumnFinder[[#This Row],[DataType]],DataColumns[#Headers],0)</f>
        <v>11</v>
      </c>
      <c r="G16" s="6" t="e">
        <f>MATCH(SpecimenColumnFinder[[#This Row],[DataType]],DataColumns[ColumnType],0)</f>
        <v>#N/A</v>
      </c>
      <c r="H16" s="6">
        <f>IF(SpecimenColumnFinder[[#This Row],[REQUIRED]]="Optional",0,
IF(SpecimenColumnFinder[[#This Row],[VBV or Column]]="Value-By-Value",NumSpecimens,
1))</f>
        <v>1</v>
      </c>
      <c r="I16" s="6">
        <f>IF(ISERROR(SpecimenColumnFinder[[#This Row],[Data Values Column Number]]),
IF(ISERROR(INDEX(DataColumns[],SpecimenColumnNumber,SpecimenColumnFinder[[#This Row],[Data Columns Input Column]])),
0,
1),
COUNTA(INDIRECT(CONCATENATE("'Data Values'!C",SpecimenColumnFinder[[#This Row],[Data Values Column Number]]),FALSE))-1)</f>
        <v>0</v>
      </c>
      <c r="J16" s="201" t="str">
        <f>IF(SpecimenColumnFinder[[#This Row],[Num Given]]&lt;SpecimenColumnFinder[[#This Row],[Num Required]],
"MISSING",
"OK")</f>
        <v>MISSING</v>
      </c>
      <c r="K16" s="201" t="e">
        <f>IF(ISERROR(SpecimenColumnFinder[[#This Row],[Data Values Column Number]]),
IF(ISERROR(SpecimenColumnFinder[[#This Row],[Data Columns Input Column]]),
"NOT GIVEN",
IF(INDIRECT(CONCATENATE("'Data Columns'!R",ROW(DataColumns[#Headers])+SpecimenColumnNumber,"C",SpecimenColumnFinder[[#This Row],[Data Columns Input Column]]),FALSE)="",
"NOT GIVEN",
CONCATENATE("'Data Columns'!R",ROW(DataColumns[#Headers])+SpecimenColumnNumber,"C",SpecimenColumnFinder[[#This Row],[Data Columns Input Column]]))),
CONCATENATE("'Data Values'!R2",,"C",SpecimenColumnFinder[[#This Row],[Data Values Column Number]]))</f>
        <v>#N/A</v>
      </c>
      <c r="L16" s="201" t="e">
        <f>INDIRECT(SpecimenColumnFinder[[#This Row],[First Value Address]],FALSE)</f>
        <v>#N/A</v>
      </c>
    </row>
  </sheetData>
  <sortState ref="A2:A26">
    <sortCondition ref="A2:A26"/>
  </sortState>
  <pageMargins left="0.7" right="0.7" top="0.75" bottom="0.75" header="0.3" footer="0.3"/>
  <pageSetup orientation="portrait" verticalDpi="0"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B1001"/>
  <sheetViews>
    <sheetView topLeftCell="A2" workbookViewId="0">
      <selection activeCell="B2" sqref="B2"/>
    </sheetView>
  </sheetViews>
  <sheetFormatPr defaultRowHeight="15" x14ac:dyDescent="0.25"/>
  <cols>
    <col min="1" max="1" width="20.42578125" customWidth="1"/>
    <col min="2" max="2" width="17.85546875" customWidth="1"/>
  </cols>
  <sheetData>
    <row r="1" spans="1:2" x14ac:dyDescent="0.25">
      <c r="A1" t="s">
        <v>1688</v>
      </c>
      <c r="B1" t="s">
        <v>1399</v>
      </c>
    </row>
    <row r="2" spans="1:2" x14ac:dyDescent="0.25">
      <c r="A2" t="str">
        <f ca="1">IF(ROW()-1&gt;NumDataColumns,"",MAX(INDIRECT(CONCATENATE("R",ROW(ResultColumnLabels[#Headers]),"C",COLUMN(),":R",ROW()-1,"C",COLUMN()),FALSE))+1)</f>
        <v/>
      </c>
      <c r="B2" t="str">
        <f ca="1">IF(ResultColumnLabels[[#This Row],[Data Value Number]]="","",INDEX(DataColumns[ColumnLabel],MATCH(ResultColumnLabels[[#This Row],[Data Value Number]],DataColumns[DVNum],0)))</f>
        <v/>
      </c>
    </row>
    <row r="3" spans="1:2" x14ac:dyDescent="0.25">
      <c r="A3" t="str">
        <f ca="1">IF(ROW()-1&gt;NumDataColumns,"",MAX(INDIRECT(CONCATENATE("R",ROW(ResultColumnLabels[#Headers]),"C",COLUMN(),":R",ROW()-1,"C",COLUMN()),FALSE))+1)</f>
        <v/>
      </c>
      <c r="B3" t="str">
        <f ca="1">IF(ResultColumnLabels[[#This Row],[Data Value Number]]="","",INDEX(DataColumns[ColumnLabel],MATCH(ResultColumnLabels[[#This Row],[Data Value Number]],DataColumns[DVNum],0)))</f>
        <v/>
      </c>
    </row>
    <row r="4" spans="1:2" x14ac:dyDescent="0.25">
      <c r="A4" t="str">
        <f ca="1">IF(ROW()-1&gt;NumDataColumns,"",MAX(INDIRECT(CONCATENATE("R",ROW(ResultColumnLabels[#Headers]),"C",COLUMN(),":R",ROW()-1,"C",COLUMN()),FALSE))+1)</f>
        <v/>
      </c>
      <c r="B4" t="str">
        <f ca="1">IF(ResultColumnLabels[[#This Row],[Data Value Number]]="","",INDEX(DataColumns[ColumnLabel],MATCH(ResultColumnLabels[[#This Row],[Data Value Number]],DataColumns[DVNum],0)))</f>
        <v/>
      </c>
    </row>
    <row r="5" spans="1:2" x14ac:dyDescent="0.25">
      <c r="A5" t="str">
        <f ca="1">IF(ROW()-1&gt;NumDataColumns,"",MAX(INDIRECT(CONCATENATE("R",ROW(ResultColumnLabels[#Headers]),"C",COLUMN(),":R",ROW()-1,"C",COLUMN()),FALSE))+1)</f>
        <v/>
      </c>
      <c r="B5" s="219" t="str">
        <f ca="1">IF(ResultColumnLabels[[#This Row],[Data Value Number]]="","",INDEX(DataColumns[ColumnLabel],MATCH(ResultColumnLabels[[#This Row],[Data Value Number]],DataColumns[DVNum],0)))</f>
        <v/>
      </c>
    </row>
    <row r="6" spans="1:2" x14ac:dyDescent="0.25">
      <c r="A6" t="str">
        <f ca="1">IF(ROW()-1&gt;NumDataColumns,"",MAX(INDIRECT(CONCATENATE("R",ROW(ResultColumnLabels[#Headers]),"C",COLUMN(),":R",ROW()-1,"C",COLUMN()),FALSE))+1)</f>
        <v/>
      </c>
      <c r="B6" s="219" t="str">
        <f ca="1">IF(ResultColumnLabels[[#This Row],[Data Value Number]]="","",INDEX(DataColumns[ColumnLabel],MATCH(ResultColumnLabels[[#This Row],[Data Value Number]],DataColumns[DVNum],0)))</f>
        <v/>
      </c>
    </row>
    <row r="7" spans="1:2" x14ac:dyDescent="0.25">
      <c r="A7" t="str">
        <f ca="1">IF(ROW()-1&gt;NumDataColumns,"",MAX(INDIRECT(CONCATENATE("R",ROW(ResultColumnLabels[#Headers]),"C",COLUMN(),":R",ROW()-1,"C",COLUMN()),FALSE))+1)</f>
        <v/>
      </c>
      <c r="B7" s="219" t="str">
        <f ca="1">IF(ResultColumnLabels[[#This Row],[Data Value Number]]="","",INDEX(DataColumns[ColumnLabel],MATCH(ResultColumnLabels[[#This Row],[Data Value Number]],DataColumns[DVNum],0)))</f>
        <v/>
      </c>
    </row>
    <row r="8" spans="1:2" x14ac:dyDescent="0.25">
      <c r="A8" t="str">
        <f ca="1">IF(ROW()-1&gt;NumDataColumns,"",MAX(INDIRECT(CONCATENATE("R",ROW(ResultColumnLabels[#Headers]),"C",COLUMN(),":R",ROW()-1,"C",COLUMN()),FALSE))+1)</f>
        <v/>
      </c>
      <c r="B8" s="219" t="str">
        <f ca="1">IF(ResultColumnLabels[[#This Row],[Data Value Number]]="","",INDEX(DataColumns[ColumnLabel],MATCH(ResultColumnLabels[[#This Row],[Data Value Number]],DataColumns[DVNum],0)))</f>
        <v/>
      </c>
    </row>
    <row r="9" spans="1:2" x14ac:dyDescent="0.25">
      <c r="A9" t="str">
        <f ca="1">IF(ROW()-1&gt;NumDataColumns,"",MAX(INDIRECT(CONCATENATE("R",ROW(ResultColumnLabels[#Headers]),"C",COLUMN(),":R",ROW()-1,"C",COLUMN()),FALSE))+1)</f>
        <v/>
      </c>
      <c r="B9" s="219" t="str">
        <f ca="1">IF(ResultColumnLabels[[#This Row],[Data Value Number]]="","",INDEX(DataColumns[ColumnLabel],MATCH(ResultColumnLabels[[#This Row],[Data Value Number]],DataColumns[DVNum],0)))</f>
        <v/>
      </c>
    </row>
    <row r="10" spans="1:2" x14ac:dyDescent="0.25">
      <c r="A10" t="str">
        <f ca="1">IF(ROW()-1&gt;NumDataColumns,"",MAX(INDIRECT(CONCATENATE("R",ROW(ResultColumnLabels[#Headers]),"C",COLUMN(),":R",ROW()-1,"C",COLUMN()),FALSE))+1)</f>
        <v/>
      </c>
      <c r="B10" s="219" t="str">
        <f ca="1">IF(ResultColumnLabels[[#This Row],[Data Value Number]]="","",INDEX(DataColumns[ColumnLabel],MATCH(ResultColumnLabels[[#This Row],[Data Value Number]],DataColumns[DVNum],0)))</f>
        <v/>
      </c>
    </row>
    <row r="11" spans="1:2" x14ac:dyDescent="0.25">
      <c r="A11" t="str">
        <f ca="1">IF(ROW()-1&gt;NumDataColumns,"",MAX(INDIRECT(CONCATENATE("R",ROW(ResultColumnLabels[#Headers]),"C",COLUMN(),":R",ROW()-1,"C",COLUMN()),FALSE))+1)</f>
        <v/>
      </c>
      <c r="B11" s="219" t="str">
        <f ca="1">IF(ResultColumnLabels[[#This Row],[Data Value Number]]="","",INDEX(DataColumns[ColumnLabel],MATCH(ResultColumnLabels[[#This Row],[Data Value Number]],DataColumns[DVNum],0)))</f>
        <v/>
      </c>
    </row>
    <row r="12" spans="1:2" x14ac:dyDescent="0.25">
      <c r="A12" t="str">
        <f ca="1">IF(ROW()-1&gt;NumDataColumns,"",MAX(INDIRECT(CONCATENATE("R",ROW(ResultColumnLabels[#Headers]),"C",COLUMN(),":R",ROW()-1,"C",COLUMN()),FALSE))+1)</f>
        <v/>
      </c>
      <c r="B12" s="219" t="str">
        <f ca="1">IF(ResultColumnLabels[[#This Row],[Data Value Number]]="","",INDEX(DataColumns[ColumnLabel],MATCH(ResultColumnLabels[[#This Row],[Data Value Number]],DataColumns[DVNum],0)))</f>
        <v/>
      </c>
    </row>
    <row r="13" spans="1:2" x14ac:dyDescent="0.25">
      <c r="A13" t="str">
        <f ca="1">IF(ROW()-1&gt;NumDataColumns,"",MAX(INDIRECT(CONCATENATE("R",ROW(ResultColumnLabels[#Headers]),"C",COLUMN(),":R",ROW()-1,"C",COLUMN()),FALSE))+1)</f>
        <v/>
      </c>
      <c r="B13" s="219" t="str">
        <f ca="1">IF(ResultColumnLabels[[#This Row],[Data Value Number]]="","",INDEX(DataColumns[ColumnLabel],MATCH(ResultColumnLabels[[#This Row],[Data Value Number]],DataColumns[DVNum],0)))</f>
        <v/>
      </c>
    </row>
    <row r="14" spans="1:2" x14ac:dyDescent="0.25">
      <c r="A14" t="str">
        <f ca="1">IF(ROW()-1&gt;NumDataColumns,"",MAX(INDIRECT(CONCATENATE("R",ROW(ResultColumnLabels[#Headers]),"C",COLUMN(),":R",ROW()-1,"C",COLUMN()),FALSE))+1)</f>
        <v/>
      </c>
      <c r="B14" s="219" t="str">
        <f ca="1">IF(ResultColumnLabels[[#This Row],[Data Value Number]]="","",INDEX(DataColumns[ColumnLabel],MATCH(ResultColumnLabels[[#This Row],[Data Value Number]],DataColumns[DVNum],0)))</f>
        <v/>
      </c>
    </row>
    <row r="15" spans="1:2" x14ac:dyDescent="0.25">
      <c r="A15" t="str">
        <f ca="1">IF(ROW()-1&gt;NumDataColumns,"",MAX(INDIRECT(CONCATENATE("R",ROW(ResultColumnLabels[#Headers]),"C",COLUMN(),":R",ROW()-1,"C",COLUMN()),FALSE))+1)</f>
        <v/>
      </c>
      <c r="B15" s="219" t="str">
        <f ca="1">IF(ResultColumnLabels[[#This Row],[Data Value Number]]="","",INDEX(DataColumns[ColumnLabel],MATCH(ResultColumnLabels[[#This Row],[Data Value Number]],DataColumns[DVNum],0)))</f>
        <v/>
      </c>
    </row>
    <row r="16" spans="1:2" x14ac:dyDescent="0.25">
      <c r="A16" t="str">
        <f ca="1">IF(ROW()-1&gt;NumDataColumns,"",MAX(INDIRECT(CONCATENATE("R",ROW(ResultColumnLabels[#Headers]),"C",COLUMN(),":R",ROW()-1,"C",COLUMN()),FALSE))+1)</f>
        <v/>
      </c>
      <c r="B16" s="219" t="str">
        <f ca="1">IF(ResultColumnLabels[[#This Row],[Data Value Number]]="","",INDEX(DataColumns[ColumnLabel],MATCH(ResultColumnLabels[[#This Row],[Data Value Number]],DataColumns[DVNum],0)))</f>
        <v/>
      </c>
    </row>
    <row r="17" spans="1:2" x14ac:dyDescent="0.25">
      <c r="A17" t="str">
        <f ca="1">IF(ROW()-1&gt;NumDataColumns,"",MAX(INDIRECT(CONCATENATE("R",ROW(ResultColumnLabels[#Headers]),"C",COLUMN(),":R",ROW()-1,"C",COLUMN()),FALSE))+1)</f>
        <v/>
      </c>
      <c r="B17" s="219" t="str">
        <f ca="1">IF(ResultColumnLabels[[#This Row],[Data Value Number]]="","",INDEX(DataColumns[ColumnLabel],MATCH(ResultColumnLabels[[#This Row],[Data Value Number]],DataColumns[DVNum],0)))</f>
        <v/>
      </c>
    </row>
    <row r="18" spans="1:2" x14ac:dyDescent="0.25">
      <c r="A18" t="str">
        <f ca="1">IF(ROW()-1&gt;NumDataColumns,"",MAX(INDIRECT(CONCATENATE("R",ROW(ResultColumnLabels[#Headers]),"C",COLUMN(),":R",ROW()-1,"C",COLUMN()),FALSE))+1)</f>
        <v/>
      </c>
      <c r="B18" s="219" t="str">
        <f ca="1">IF(ResultColumnLabels[[#This Row],[Data Value Number]]="","",INDEX(DataColumns[ColumnLabel],MATCH(ResultColumnLabels[[#This Row],[Data Value Number]],DataColumns[DVNum],0)))</f>
        <v/>
      </c>
    </row>
    <row r="19" spans="1:2" x14ac:dyDescent="0.25">
      <c r="A19" t="str">
        <f ca="1">IF(ROW()-1&gt;NumDataColumns,"",MAX(INDIRECT(CONCATENATE("R",ROW(ResultColumnLabels[#Headers]),"C",COLUMN(),":R",ROW()-1,"C",COLUMN()),FALSE))+1)</f>
        <v/>
      </c>
      <c r="B19" s="219" t="str">
        <f ca="1">IF(ResultColumnLabels[[#This Row],[Data Value Number]]="","",INDEX(DataColumns[ColumnLabel],MATCH(ResultColumnLabels[[#This Row],[Data Value Number]],DataColumns[DVNum],0)))</f>
        <v/>
      </c>
    </row>
    <row r="20" spans="1:2" x14ac:dyDescent="0.25">
      <c r="A20" t="str">
        <f ca="1">IF(ROW()-1&gt;NumDataColumns,"",MAX(INDIRECT(CONCATENATE("R",ROW(ResultColumnLabels[#Headers]),"C",COLUMN(),":R",ROW()-1,"C",COLUMN()),FALSE))+1)</f>
        <v/>
      </c>
      <c r="B20" s="219" t="str">
        <f ca="1">IF(ResultColumnLabels[[#This Row],[Data Value Number]]="","",INDEX(DataColumns[ColumnLabel],MATCH(ResultColumnLabels[[#This Row],[Data Value Number]],DataColumns[DVNum],0)))</f>
        <v/>
      </c>
    </row>
    <row r="21" spans="1:2" x14ac:dyDescent="0.25">
      <c r="A21" t="str">
        <f ca="1">IF(ROW()-1&gt;NumDataColumns,"",MAX(INDIRECT(CONCATENATE("R",ROW(ResultColumnLabels[#Headers]),"C",COLUMN(),":R",ROW()-1,"C",COLUMN()),FALSE))+1)</f>
        <v/>
      </c>
      <c r="B21" s="219" t="str">
        <f ca="1">IF(ResultColumnLabels[[#This Row],[Data Value Number]]="","",INDEX(DataColumns[ColumnLabel],MATCH(ResultColumnLabels[[#This Row],[Data Value Number]],DataColumns[DVNum],0)))</f>
        <v/>
      </c>
    </row>
    <row r="22" spans="1:2" x14ac:dyDescent="0.25">
      <c r="A22" t="str">
        <f ca="1">IF(ROW()-1&gt;NumDataColumns,"",MAX(INDIRECT(CONCATENATE("R",ROW(ResultColumnLabels[#Headers]),"C",COLUMN(),":R",ROW()-1,"C",COLUMN()),FALSE))+1)</f>
        <v/>
      </c>
      <c r="B22" s="219" t="str">
        <f ca="1">IF(ResultColumnLabels[[#This Row],[Data Value Number]]="","",INDEX(DataColumns[ColumnLabel],MATCH(ResultColumnLabels[[#This Row],[Data Value Number]],DataColumns[DVNum],0)))</f>
        <v/>
      </c>
    </row>
    <row r="23" spans="1:2" x14ac:dyDescent="0.25">
      <c r="A23" t="str">
        <f ca="1">IF(ROW()-1&gt;NumDataColumns,"",MAX(INDIRECT(CONCATENATE("R",ROW(ResultColumnLabels[#Headers]),"C",COLUMN(),":R",ROW()-1,"C",COLUMN()),FALSE))+1)</f>
        <v/>
      </c>
      <c r="B23" s="219" t="str">
        <f ca="1">IF(ResultColumnLabels[[#This Row],[Data Value Number]]="","",INDEX(DataColumns[ColumnLabel],MATCH(ResultColumnLabels[[#This Row],[Data Value Number]],DataColumns[DVNum],0)))</f>
        <v/>
      </c>
    </row>
    <row r="24" spans="1:2" x14ac:dyDescent="0.25">
      <c r="A24" t="str">
        <f ca="1">IF(ROW()-1&gt;NumDataColumns,"",MAX(INDIRECT(CONCATENATE("R",ROW(ResultColumnLabels[#Headers]),"C",COLUMN(),":R",ROW()-1,"C",COLUMN()),FALSE))+1)</f>
        <v/>
      </c>
      <c r="B24" s="219" t="str">
        <f ca="1">IF(ResultColumnLabels[[#This Row],[Data Value Number]]="","",INDEX(DataColumns[ColumnLabel],MATCH(ResultColumnLabels[[#This Row],[Data Value Number]],DataColumns[DVNum],0)))</f>
        <v/>
      </c>
    </row>
    <row r="25" spans="1:2" x14ac:dyDescent="0.25">
      <c r="A25" t="str">
        <f ca="1">IF(ROW()-1&gt;NumDataColumns,"",MAX(INDIRECT(CONCATENATE("R",ROW(ResultColumnLabels[#Headers]),"C",COLUMN(),":R",ROW()-1,"C",COLUMN()),FALSE))+1)</f>
        <v/>
      </c>
      <c r="B25" s="219" t="str">
        <f ca="1">IF(ResultColumnLabels[[#This Row],[Data Value Number]]="","",INDEX(DataColumns[ColumnLabel],MATCH(ResultColumnLabels[[#This Row],[Data Value Number]],DataColumns[DVNum],0)))</f>
        <v/>
      </c>
    </row>
    <row r="26" spans="1:2" x14ac:dyDescent="0.25">
      <c r="A26" t="str">
        <f ca="1">IF(ROW()-1&gt;NumDataColumns,"",MAX(INDIRECT(CONCATENATE("R",ROW(ResultColumnLabels[#Headers]),"C",COLUMN(),":R",ROW()-1,"C",COLUMN()),FALSE))+1)</f>
        <v/>
      </c>
      <c r="B26" s="219" t="str">
        <f ca="1">IF(ResultColumnLabels[[#This Row],[Data Value Number]]="","",INDEX(DataColumns[ColumnLabel],MATCH(ResultColumnLabels[[#This Row],[Data Value Number]],DataColumns[DVNum],0)))</f>
        <v/>
      </c>
    </row>
    <row r="27" spans="1:2" x14ac:dyDescent="0.25">
      <c r="A27" t="str">
        <f ca="1">IF(ROW()-1&gt;NumDataColumns,"",MAX(INDIRECT(CONCATENATE("R",ROW(ResultColumnLabels[#Headers]),"C",COLUMN(),":R",ROW()-1,"C",COLUMN()),FALSE))+1)</f>
        <v/>
      </c>
      <c r="B27" s="219" t="str">
        <f ca="1">IF(ResultColumnLabels[[#This Row],[Data Value Number]]="","",INDEX(DataColumns[ColumnLabel],MATCH(ResultColumnLabels[[#This Row],[Data Value Number]],DataColumns[DVNum],0)))</f>
        <v/>
      </c>
    </row>
    <row r="28" spans="1:2" x14ac:dyDescent="0.25">
      <c r="A28" t="str">
        <f ca="1">IF(ROW()-1&gt;NumDataColumns,"",MAX(INDIRECT(CONCATENATE("R",ROW(ResultColumnLabels[#Headers]),"C",COLUMN(),":R",ROW()-1,"C",COLUMN()),FALSE))+1)</f>
        <v/>
      </c>
      <c r="B28" s="219" t="str">
        <f ca="1">IF(ResultColumnLabels[[#This Row],[Data Value Number]]="","",INDEX(DataColumns[ColumnLabel],MATCH(ResultColumnLabels[[#This Row],[Data Value Number]],DataColumns[DVNum],0)))</f>
        <v/>
      </c>
    </row>
    <row r="29" spans="1:2" x14ac:dyDescent="0.25">
      <c r="A29" t="str">
        <f ca="1">IF(ROW()-1&gt;NumDataColumns,"",MAX(INDIRECT(CONCATENATE("R",ROW(ResultColumnLabels[#Headers]),"C",COLUMN(),":R",ROW()-1,"C",COLUMN()),FALSE))+1)</f>
        <v/>
      </c>
      <c r="B29" s="219" t="str">
        <f ca="1">IF(ResultColumnLabels[[#This Row],[Data Value Number]]="","",INDEX(DataColumns[ColumnLabel],MATCH(ResultColumnLabels[[#This Row],[Data Value Number]],DataColumns[DVNum],0)))</f>
        <v/>
      </c>
    </row>
    <row r="30" spans="1:2" x14ac:dyDescent="0.25">
      <c r="A30" t="str">
        <f ca="1">IF(ROW()-1&gt;NumDataColumns,"",MAX(INDIRECT(CONCATENATE("R",ROW(ResultColumnLabels[#Headers]),"C",COLUMN(),":R",ROW()-1,"C",COLUMN()),FALSE))+1)</f>
        <v/>
      </c>
      <c r="B30" s="219" t="str">
        <f ca="1">IF(ResultColumnLabels[[#This Row],[Data Value Number]]="","",INDEX(DataColumns[ColumnLabel],MATCH(ResultColumnLabels[[#This Row],[Data Value Number]],DataColumns[DVNum],0)))</f>
        <v/>
      </c>
    </row>
    <row r="31" spans="1:2" x14ac:dyDescent="0.25">
      <c r="A31" t="str">
        <f ca="1">IF(ROW()-1&gt;NumDataColumns,"",MAX(INDIRECT(CONCATENATE("R",ROW(ResultColumnLabels[#Headers]),"C",COLUMN(),":R",ROW()-1,"C",COLUMN()),FALSE))+1)</f>
        <v/>
      </c>
      <c r="B31" s="219" t="str">
        <f ca="1">IF(ResultColumnLabels[[#This Row],[Data Value Number]]="","",INDEX(DataColumns[ColumnLabel],MATCH(ResultColumnLabels[[#This Row],[Data Value Number]],DataColumns[DVNum],0)))</f>
        <v/>
      </c>
    </row>
    <row r="32" spans="1:2" x14ac:dyDescent="0.25">
      <c r="A32" t="str">
        <f ca="1">IF(ROW()-1&gt;NumDataColumns,"",MAX(INDIRECT(CONCATENATE("R",ROW(ResultColumnLabels[#Headers]),"C",COLUMN(),":R",ROW()-1,"C",COLUMN()),FALSE))+1)</f>
        <v/>
      </c>
      <c r="B32" s="219" t="str">
        <f ca="1">IF(ResultColumnLabels[[#This Row],[Data Value Number]]="","",INDEX(DataColumns[ColumnLabel],MATCH(ResultColumnLabels[[#This Row],[Data Value Number]],DataColumns[DVNum],0)))</f>
        <v/>
      </c>
    </row>
    <row r="33" spans="1:2" x14ac:dyDescent="0.25">
      <c r="A33" t="str">
        <f ca="1">IF(ROW()-1&gt;NumDataColumns,"",MAX(INDIRECT(CONCATENATE("R",ROW(ResultColumnLabels[#Headers]),"C",COLUMN(),":R",ROW()-1,"C",COLUMN()),FALSE))+1)</f>
        <v/>
      </c>
      <c r="B33" s="219" t="str">
        <f ca="1">IF(ResultColumnLabels[[#This Row],[Data Value Number]]="","",INDEX(DataColumns[ColumnLabel],MATCH(ResultColumnLabels[[#This Row],[Data Value Number]],DataColumns[DVNum],0)))</f>
        <v/>
      </c>
    </row>
    <row r="34" spans="1:2" x14ac:dyDescent="0.25">
      <c r="A34" t="str">
        <f ca="1">IF(ROW()-1&gt;NumDataColumns,"",MAX(INDIRECT(CONCATENATE("R",ROW(ResultColumnLabels[#Headers]),"C",COLUMN(),":R",ROW()-1,"C",COLUMN()),FALSE))+1)</f>
        <v/>
      </c>
      <c r="B34" s="219" t="str">
        <f ca="1">IF(ResultColumnLabels[[#This Row],[Data Value Number]]="","",INDEX(DataColumns[ColumnLabel],MATCH(ResultColumnLabels[[#This Row],[Data Value Number]],DataColumns[DVNum],0)))</f>
        <v/>
      </c>
    </row>
    <row r="35" spans="1:2" x14ac:dyDescent="0.25">
      <c r="A35" t="str">
        <f ca="1">IF(ROW()-1&gt;NumDataColumns,"",MAX(INDIRECT(CONCATENATE("R",ROW(ResultColumnLabels[#Headers]),"C",COLUMN(),":R",ROW()-1,"C",COLUMN()),FALSE))+1)</f>
        <v/>
      </c>
      <c r="B35" s="219" t="str">
        <f ca="1">IF(ResultColumnLabels[[#This Row],[Data Value Number]]="","",INDEX(DataColumns[ColumnLabel],MATCH(ResultColumnLabels[[#This Row],[Data Value Number]],DataColumns[DVNum],0)))</f>
        <v/>
      </c>
    </row>
    <row r="36" spans="1:2" x14ac:dyDescent="0.25">
      <c r="A36" t="str">
        <f ca="1">IF(ROW()-1&gt;NumDataColumns,"",MAX(INDIRECT(CONCATENATE("R",ROW(ResultColumnLabels[#Headers]),"C",COLUMN(),":R",ROW()-1,"C",COLUMN()),FALSE))+1)</f>
        <v/>
      </c>
      <c r="B36" s="219" t="str">
        <f ca="1">IF(ResultColumnLabels[[#This Row],[Data Value Number]]="","",INDEX(DataColumns[ColumnLabel],MATCH(ResultColumnLabels[[#This Row],[Data Value Number]],DataColumns[DVNum],0)))</f>
        <v/>
      </c>
    </row>
    <row r="37" spans="1:2" x14ac:dyDescent="0.25">
      <c r="A37" t="str">
        <f ca="1">IF(ROW()-1&gt;NumDataColumns,"",MAX(INDIRECT(CONCATENATE("R",ROW(ResultColumnLabels[#Headers]),"C",COLUMN(),":R",ROW()-1,"C",COLUMN()),FALSE))+1)</f>
        <v/>
      </c>
      <c r="B37" s="219" t="str">
        <f ca="1">IF(ResultColumnLabels[[#This Row],[Data Value Number]]="","",INDEX(DataColumns[ColumnLabel],MATCH(ResultColumnLabels[[#This Row],[Data Value Number]],DataColumns[DVNum],0)))</f>
        <v/>
      </c>
    </row>
    <row r="38" spans="1:2" x14ac:dyDescent="0.25">
      <c r="A38" t="str">
        <f ca="1">IF(ROW()-1&gt;NumDataColumns,"",MAX(INDIRECT(CONCATENATE("R",ROW(ResultColumnLabels[#Headers]),"C",COLUMN(),":R",ROW()-1,"C",COLUMN()),FALSE))+1)</f>
        <v/>
      </c>
      <c r="B38" s="219" t="str">
        <f ca="1">IF(ResultColumnLabels[[#This Row],[Data Value Number]]="","",INDEX(DataColumns[ColumnLabel],MATCH(ResultColumnLabels[[#This Row],[Data Value Number]],DataColumns[DVNum],0)))</f>
        <v/>
      </c>
    </row>
    <row r="39" spans="1:2" x14ac:dyDescent="0.25">
      <c r="A39" t="str">
        <f ca="1">IF(ROW()-1&gt;NumDataColumns,"",MAX(INDIRECT(CONCATENATE("R",ROW(ResultColumnLabels[#Headers]),"C",COLUMN(),":R",ROW()-1,"C",COLUMN()),FALSE))+1)</f>
        <v/>
      </c>
      <c r="B39" s="219" t="str">
        <f ca="1">IF(ResultColumnLabels[[#This Row],[Data Value Number]]="","",INDEX(DataColumns[ColumnLabel],MATCH(ResultColumnLabels[[#This Row],[Data Value Number]],DataColumns[DVNum],0)))</f>
        <v/>
      </c>
    </row>
    <row r="40" spans="1:2" x14ac:dyDescent="0.25">
      <c r="A40" t="str">
        <f ca="1">IF(ROW()-1&gt;NumDataColumns,"",MAX(INDIRECT(CONCATENATE("R",ROW(ResultColumnLabels[#Headers]),"C",COLUMN(),":R",ROW()-1,"C",COLUMN()),FALSE))+1)</f>
        <v/>
      </c>
      <c r="B40" s="219" t="str">
        <f ca="1">IF(ResultColumnLabels[[#This Row],[Data Value Number]]="","",INDEX(DataColumns[ColumnLabel],MATCH(ResultColumnLabels[[#This Row],[Data Value Number]],DataColumns[DVNum],0)))</f>
        <v/>
      </c>
    </row>
    <row r="41" spans="1:2" x14ac:dyDescent="0.25">
      <c r="A41" t="str">
        <f ca="1">IF(ROW()-1&gt;NumDataColumns,"",MAX(INDIRECT(CONCATENATE("R",ROW(ResultColumnLabels[#Headers]),"C",COLUMN(),":R",ROW()-1,"C",COLUMN()),FALSE))+1)</f>
        <v/>
      </c>
      <c r="B41" s="219" t="str">
        <f ca="1">IF(ResultColumnLabels[[#This Row],[Data Value Number]]="","",INDEX(DataColumns[ColumnLabel],MATCH(ResultColumnLabels[[#This Row],[Data Value Number]],DataColumns[DVNum],0)))</f>
        <v/>
      </c>
    </row>
    <row r="42" spans="1:2" x14ac:dyDescent="0.25">
      <c r="A42" t="str">
        <f ca="1">IF(ROW()-1&gt;NumDataColumns,"",MAX(INDIRECT(CONCATENATE("R",ROW(ResultColumnLabels[#Headers]),"C",COLUMN(),":R",ROW()-1,"C",COLUMN()),FALSE))+1)</f>
        <v/>
      </c>
      <c r="B42" s="219" t="str">
        <f ca="1">IF(ResultColumnLabels[[#This Row],[Data Value Number]]="","",INDEX(DataColumns[ColumnLabel],MATCH(ResultColumnLabels[[#This Row],[Data Value Number]],DataColumns[DVNum],0)))</f>
        <v/>
      </c>
    </row>
    <row r="43" spans="1:2" x14ac:dyDescent="0.25">
      <c r="A43" t="str">
        <f ca="1">IF(ROW()-1&gt;NumDataColumns,"",MAX(INDIRECT(CONCATENATE("R",ROW(ResultColumnLabels[#Headers]),"C",COLUMN(),":R",ROW()-1,"C",COLUMN()),FALSE))+1)</f>
        <v/>
      </c>
      <c r="B43" s="219" t="str">
        <f ca="1">IF(ResultColumnLabels[[#This Row],[Data Value Number]]="","",INDEX(DataColumns[ColumnLabel],MATCH(ResultColumnLabels[[#This Row],[Data Value Number]],DataColumns[DVNum],0)))</f>
        <v/>
      </c>
    </row>
    <row r="44" spans="1:2" x14ac:dyDescent="0.25">
      <c r="A44" t="str">
        <f ca="1">IF(ROW()-1&gt;NumDataColumns,"",MAX(INDIRECT(CONCATENATE("R",ROW(ResultColumnLabels[#Headers]),"C",COLUMN(),":R",ROW()-1,"C",COLUMN()),FALSE))+1)</f>
        <v/>
      </c>
      <c r="B44" s="219" t="str">
        <f ca="1">IF(ResultColumnLabels[[#This Row],[Data Value Number]]="","",INDEX(DataColumns[ColumnLabel],MATCH(ResultColumnLabels[[#This Row],[Data Value Number]],DataColumns[DVNum],0)))</f>
        <v/>
      </c>
    </row>
    <row r="45" spans="1:2" x14ac:dyDescent="0.25">
      <c r="A45" t="str">
        <f ca="1">IF(ROW()-1&gt;NumDataColumns,"",MAX(INDIRECT(CONCATENATE("R",ROW(ResultColumnLabels[#Headers]),"C",COLUMN(),":R",ROW()-1,"C",COLUMN()),FALSE))+1)</f>
        <v/>
      </c>
      <c r="B45" s="219" t="str">
        <f ca="1">IF(ResultColumnLabels[[#This Row],[Data Value Number]]="","",INDEX(DataColumns[ColumnLabel],MATCH(ResultColumnLabels[[#This Row],[Data Value Number]],DataColumns[DVNum],0)))</f>
        <v/>
      </c>
    </row>
    <row r="46" spans="1:2" x14ac:dyDescent="0.25">
      <c r="A46" t="str">
        <f ca="1">IF(ROW()-1&gt;NumDataColumns,"",MAX(INDIRECT(CONCATENATE("R",ROW(ResultColumnLabels[#Headers]),"C",COLUMN(),":R",ROW()-1,"C",COLUMN()),FALSE))+1)</f>
        <v/>
      </c>
      <c r="B46" s="219" t="str">
        <f ca="1">IF(ResultColumnLabels[[#This Row],[Data Value Number]]="","",INDEX(DataColumns[ColumnLabel],MATCH(ResultColumnLabels[[#This Row],[Data Value Number]],DataColumns[DVNum],0)))</f>
        <v/>
      </c>
    </row>
    <row r="47" spans="1:2" x14ac:dyDescent="0.25">
      <c r="A47" t="str">
        <f ca="1">IF(ROW()-1&gt;NumDataColumns,"",MAX(INDIRECT(CONCATENATE("R",ROW(ResultColumnLabels[#Headers]),"C",COLUMN(),":R",ROW()-1,"C",COLUMN()),FALSE))+1)</f>
        <v/>
      </c>
      <c r="B47" s="219" t="str">
        <f ca="1">IF(ResultColumnLabels[[#This Row],[Data Value Number]]="","",INDEX(DataColumns[ColumnLabel],MATCH(ResultColumnLabels[[#This Row],[Data Value Number]],DataColumns[DVNum],0)))</f>
        <v/>
      </c>
    </row>
    <row r="48" spans="1:2" x14ac:dyDescent="0.25">
      <c r="A48" t="str">
        <f ca="1">IF(ROW()-1&gt;NumDataColumns,"",MAX(INDIRECT(CONCATENATE("R",ROW(ResultColumnLabels[#Headers]),"C",COLUMN(),":R",ROW()-1,"C",COLUMN()),FALSE))+1)</f>
        <v/>
      </c>
      <c r="B48" s="219" t="str">
        <f ca="1">IF(ResultColumnLabels[[#This Row],[Data Value Number]]="","",INDEX(DataColumns[ColumnLabel],MATCH(ResultColumnLabels[[#This Row],[Data Value Number]],DataColumns[DVNum],0)))</f>
        <v/>
      </c>
    </row>
    <row r="49" spans="1:2" x14ac:dyDescent="0.25">
      <c r="A49" t="str">
        <f ca="1">IF(ROW()-1&gt;NumDataColumns,"",MAX(INDIRECT(CONCATENATE("R",ROW(ResultColumnLabels[#Headers]),"C",COLUMN(),":R",ROW()-1,"C",COLUMN()),FALSE))+1)</f>
        <v/>
      </c>
      <c r="B49" s="219" t="str">
        <f ca="1">IF(ResultColumnLabels[[#This Row],[Data Value Number]]="","",INDEX(DataColumns[ColumnLabel],MATCH(ResultColumnLabels[[#This Row],[Data Value Number]],DataColumns[DVNum],0)))</f>
        <v/>
      </c>
    </row>
    <row r="50" spans="1:2" x14ac:dyDescent="0.25">
      <c r="A50" t="str">
        <f ca="1">IF(ROW()-1&gt;NumDataColumns,"",MAX(INDIRECT(CONCATENATE("R",ROW(ResultColumnLabels[#Headers]),"C",COLUMN(),":R",ROW()-1,"C",COLUMN()),FALSE))+1)</f>
        <v/>
      </c>
      <c r="B50" s="219" t="str">
        <f ca="1">IF(ResultColumnLabels[[#This Row],[Data Value Number]]="","",INDEX(DataColumns[ColumnLabel],MATCH(ResultColumnLabels[[#This Row],[Data Value Number]],DataColumns[DVNum],0)))</f>
        <v/>
      </c>
    </row>
    <row r="51" spans="1:2" x14ac:dyDescent="0.25">
      <c r="A51" t="str">
        <f ca="1">IF(ROW()-1&gt;NumDataColumns,"",MAX(INDIRECT(CONCATENATE("R",ROW(ResultColumnLabels[#Headers]),"C",COLUMN(),":R",ROW()-1,"C",COLUMN()),FALSE))+1)</f>
        <v/>
      </c>
      <c r="B51" s="219" t="str">
        <f ca="1">IF(ResultColumnLabels[[#This Row],[Data Value Number]]="","",INDEX(DataColumns[ColumnLabel],MATCH(ResultColumnLabels[[#This Row],[Data Value Number]],DataColumns[DVNum],0)))</f>
        <v/>
      </c>
    </row>
    <row r="52" spans="1:2" x14ac:dyDescent="0.25">
      <c r="A52" t="str">
        <f ca="1">IF(ROW()-1&gt;NumDataColumns,"",MAX(INDIRECT(CONCATENATE("R",ROW(ResultColumnLabels[#Headers]),"C",COLUMN(),":R",ROW()-1,"C",COLUMN()),FALSE))+1)</f>
        <v/>
      </c>
      <c r="B52" s="219" t="str">
        <f ca="1">IF(ResultColumnLabels[[#This Row],[Data Value Number]]="","",INDEX(DataColumns[ColumnLabel],MATCH(ResultColumnLabels[[#This Row],[Data Value Number]],DataColumns[DVNum],0)))</f>
        <v/>
      </c>
    </row>
    <row r="53" spans="1:2" x14ac:dyDescent="0.25">
      <c r="A53" t="str">
        <f ca="1">IF(ROW()-1&gt;NumDataColumns,"",MAX(INDIRECT(CONCATENATE("R",ROW(ResultColumnLabels[#Headers]),"C",COLUMN(),":R",ROW()-1,"C",COLUMN()),FALSE))+1)</f>
        <v/>
      </c>
      <c r="B53" s="219" t="str">
        <f ca="1">IF(ResultColumnLabels[[#This Row],[Data Value Number]]="","",INDEX(DataColumns[ColumnLabel],MATCH(ResultColumnLabels[[#This Row],[Data Value Number]],DataColumns[DVNum],0)))</f>
        <v/>
      </c>
    </row>
    <row r="54" spans="1:2" x14ac:dyDescent="0.25">
      <c r="A54" t="str">
        <f ca="1">IF(ROW()-1&gt;NumDataColumns,"",MAX(INDIRECT(CONCATENATE("R",ROW(ResultColumnLabels[#Headers]),"C",COLUMN(),":R",ROW()-1,"C",COLUMN()),FALSE))+1)</f>
        <v/>
      </c>
      <c r="B54" s="219" t="str">
        <f ca="1">IF(ResultColumnLabels[[#This Row],[Data Value Number]]="","",INDEX(DataColumns[ColumnLabel],MATCH(ResultColumnLabels[[#This Row],[Data Value Number]],DataColumns[DVNum],0)))</f>
        <v/>
      </c>
    </row>
    <row r="55" spans="1:2" x14ac:dyDescent="0.25">
      <c r="A55" t="str">
        <f ca="1">IF(ROW()-1&gt;NumDataColumns,"",MAX(INDIRECT(CONCATENATE("R",ROW(ResultColumnLabels[#Headers]),"C",COLUMN(),":R",ROW()-1,"C",COLUMN()),FALSE))+1)</f>
        <v/>
      </c>
      <c r="B55" s="219" t="str">
        <f ca="1">IF(ResultColumnLabels[[#This Row],[Data Value Number]]="","",INDEX(DataColumns[ColumnLabel],MATCH(ResultColumnLabels[[#This Row],[Data Value Number]],DataColumns[DVNum],0)))</f>
        <v/>
      </c>
    </row>
    <row r="56" spans="1:2" x14ac:dyDescent="0.25">
      <c r="A56" t="str">
        <f ca="1">IF(ROW()-1&gt;NumDataColumns,"",MAX(INDIRECT(CONCATENATE("R",ROW(ResultColumnLabels[#Headers]),"C",COLUMN(),":R",ROW()-1,"C",COLUMN()),FALSE))+1)</f>
        <v/>
      </c>
      <c r="B56" s="219" t="str">
        <f ca="1">IF(ResultColumnLabels[[#This Row],[Data Value Number]]="","",INDEX(DataColumns[ColumnLabel],MATCH(ResultColumnLabels[[#This Row],[Data Value Number]],DataColumns[DVNum],0)))</f>
        <v/>
      </c>
    </row>
    <row r="57" spans="1:2" x14ac:dyDescent="0.25">
      <c r="A57" t="str">
        <f ca="1">IF(ROW()-1&gt;NumDataColumns,"",MAX(INDIRECT(CONCATENATE("R",ROW(ResultColumnLabels[#Headers]),"C",COLUMN(),":R",ROW()-1,"C",COLUMN()),FALSE))+1)</f>
        <v/>
      </c>
      <c r="B57" s="219" t="str">
        <f ca="1">IF(ResultColumnLabels[[#This Row],[Data Value Number]]="","",INDEX(DataColumns[ColumnLabel],MATCH(ResultColumnLabels[[#This Row],[Data Value Number]],DataColumns[DVNum],0)))</f>
        <v/>
      </c>
    </row>
    <row r="58" spans="1:2" x14ac:dyDescent="0.25">
      <c r="A58" t="str">
        <f ca="1">IF(ROW()-1&gt;NumDataColumns,"",MAX(INDIRECT(CONCATENATE("R",ROW(ResultColumnLabels[#Headers]),"C",COLUMN(),":R",ROW()-1,"C",COLUMN()),FALSE))+1)</f>
        <v/>
      </c>
      <c r="B58" s="219" t="str">
        <f ca="1">IF(ResultColumnLabels[[#This Row],[Data Value Number]]="","",INDEX(DataColumns[ColumnLabel],MATCH(ResultColumnLabels[[#This Row],[Data Value Number]],DataColumns[DVNum],0)))</f>
        <v/>
      </c>
    </row>
    <row r="59" spans="1:2" x14ac:dyDescent="0.25">
      <c r="A59" t="str">
        <f ca="1">IF(ROW()-1&gt;NumDataColumns,"",MAX(INDIRECT(CONCATENATE("R",ROW(ResultColumnLabels[#Headers]),"C",COLUMN(),":R",ROW()-1,"C",COLUMN()),FALSE))+1)</f>
        <v/>
      </c>
      <c r="B59" s="219" t="str">
        <f ca="1">IF(ResultColumnLabels[[#This Row],[Data Value Number]]="","",INDEX(DataColumns[ColumnLabel],MATCH(ResultColumnLabels[[#This Row],[Data Value Number]],DataColumns[DVNum],0)))</f>
        <v/>
      </c>
    </row>
    <row r="60" spans="1:2" x14ac:dyDescent="0.25">
      <c r="A60" t="str">
        <f ca="1">IF(ROW()-1&gt;NumDataColumns,"",MAX(INDIRECT(CONCATENATE("R",ROW(ResultColumnLabels[#Headers]),"C",COLUMN(),":R",ROW()-1,"C",COLUMN()),FALSE))+1)</f>
        <v/>
      </c>
      <c r="B60" s="219" t="str">
        <f ca="1">IF(ResultColumnLabels[[#This Row],[Data Value Number]]="","",INDEX(DataColumns[ColumnLabel],MATCH(ResultColumnLabels[[#This Row],[Data Value Number]],DataColumns[DVNum],0)))</f>
        <v/>
      </c>
    </row>
    <row r="61" spans="1:2" x14ac:dyDescent="0.25">
      <c r="A61" t="str">
        <f ca="1">IF(ROW()-1&gt;NumDataColumns,"",MAX(INDIRECT(CONCATENATE("R",ROW(ResultColumnLabels[#Headers]),"C",COLUMN(),":R",ROW()-1,"C",COLUMN()),FALSE))+1)</f>
        <v/>
      </c>
      <c r="B61" s="219" t="str">
        <f ca="1">IF(ResultColumnLabels[[#This Row],[Data Value Number]]="","",INDEX(DataColumns[ColumnLabel],MATCH(ResultColumnLabels[[#This Row],[Data Value Number]],DataColumns[DVNum],0)))</f>
        <v/>
      </c>
    </row>
    <row r="62" spans="1:2" x14ac:dyDescent="0.25">
      <c r="A62" t="str">
        <f ca="1">IF(ROW()-1&gt;NumDataColumns,"",MAX(INDIRECT(CONCATENATE("R",ROW(ResultColumnLabels[#Headers]),"C",COLUMN(),":R",ROW()-1,"C",COLUMN()),FALSE))+1)</f>
        <v/>
      </c>
      <c r="B62" s="219" t="str">
        <f ca="1">IF(ResultColumnLabels[[#This Row],[Data Value Number]]="","",INDEX(DataColumns[ColumnLabel],MATCH(ResultColumnLabels[[#This Row],[Data Value Number]],DataColumns[DVNum],0)))</f>
        <v/>
      </c>
    </row>
    <row r="63" spans="1:2" x14ac:dyDescent="0.25">
      <c r="A63" t="str">
        <f ca="1">IF(ROW()-1&gt;NumDataColumns,"",MAX(INDIRECT(CONCATENATE("R",ROW(ResultColumnLabels[#Headers]),"C",COLUMN(),":R",ROW()-1,"C",COLUMN()),FALSE))+1)</f>
        <v/>
      </c>
      <c r="B63" s="219" t="str">
        <f ca="1">IF(ResultColumnLabels[[#This Row],[Data Value Number]]="","",INDEX(DataColumns[ColumnLabel],MATCH(ResultColumnLabels[[#This Row],[Data Value Number]],DataColumns[DVNum],0)))</f>
        <v/>
      </c>
    </row>
    <row r="64" spans="1:2" x14ac:dyDescent="0.25">
      <c r="A64" t="str">
        <f ca="1">IF(ROW()-1&gt;NumDataColumns,"",MAX(INDIRECT(CONCATENATE("R",ROW(ResultColumnLabels[#Headers]),"C",COLUMN(),":R",ROW()-1,"C",COLUMN()),FALSE))+1)</f>
        <v/>
      </c>
      <c r="B64" s="219" t="str">
        <f ca="1">IF(ResultColumnLabels[[#This Row],[Data Value Number]]="","",INDEX(DataColumns[ColumnLabel],MATCH(ResultColumnLabels[[#This Row],[Data Value Number]],DataColumns[DVNum],0)))</f>
        <v/>
      </c>
    </row>
    <row r="65" spans="1:2" x14ac:dyDescent="0.25">
      <c r="A65" t="str">
        <f ca="1">IF(ROW()-1&gt;NumDataColumns,"",MAX(INDIRECT(CONCATENATE("R",ROW(ResultColumnLabels[#Headers]),"C",COLUMN(),":R",ROW()-1,"C",COLUMN()),FALSE))+1)</f>
        <v/>
      </c>
      <c r="B65" s="219" t="str">
        <f ca="1">IF(ResultColumnLabels[[#This Row],[Data Value Number]]="","",INDEX(DataColumns[ColumnLabel],MATCH(ResultColumnLabels[[#This Row],[Data Value Number]],DataColumns[DVNum],0)))</f>
        <v/>
      </c>
    </row>
    <row r="66" spans="1:2" x14ac:dyDescent="0.25">
      <c r="A66" t="str">
        <f ca="1">IF(ROW()-1&gt;NumDataColumns,"",MAX(INDIRECT(CONCATENATE("R",ROW(ResultColumnLabels[#Headers]),"C",COLUMN(),":R",ROW()-1,"C",COLUMN()),FALSE))+1)</f>
        <v/>
      </c>
      <c r="B66" s="219" t="str">
        <f ca="1">IF(ResultColumnLabels[[#This Row],[Data Value Number]]="","",INDEX(DataColumns[ColumnLabel],MATCH(ResultColumnLabels[[#This Row],[Data Value Number]],DataColumns[DVNum],0)))</f>
        <v/>
      </c>
    </row>
    <row r="67" spans="1:2" x14ac:dyDescent="0.25">
      <c r="A67" t="str">
        <f ca="1">IF(ROW()-1&gt;NumDataColumns,"",MAX(INDIRECT(CONCATENATE("R",ROW(ResultColumnLabels[#Headers]),"C",COLUMN(),":R",ROW()-1,"C",COLUMN()),FALSE))+1)</f>
        <v/>
      </c>
      <c r="B67" s="219" t="str">
        <f ca="1">IF(ResultColumnLabels[[#This Row],[Data Value Number]]="","",INDEX(DataColumns[ColumnLabel],MATCH(ResultColumnLabels[[#This Row],[Data Value Number]],DataColumns[DVNum],0)))</f>
        <v/>
      </c>
    </row>
    <row r="68" spans="1:2" x14ac:dyDescent="0.25">
      <c r="A68" t="str">
        <f ca="1">IF(ROW()-1&gt;NumDataColumns,"",MAX(INDIRECT(CONCATENATE("R",ROW(ResultColumnLabels[#Headers]),"C",COLUMN(),":R",ROW()-1,"C",COLUMN()),FALSE))+1)</f>
        <v/>
      </c>
      <c r="B68" s="219" t="str">
        <f ca="1">IF(ResultColumnLabels[[#This Row],[Data Value Number]]="","",INDEX(DataColumns[ColumnLabel],MATCH(ResultColumnLabels[[#This Row],[Data Value Number]],DataColumns[DVNum],0)))</f>
        <v/>
      </c>
    </row>
    <row r="69" spans="1:2" x14ac:dyDescent="0.25">
      <c r="A69" t="str">
        <f ca="1">IF(ROW()-1&gt;NumDataColumns,"",MAX(INDIRECT(CONCATENATE("R",ROW(ResultColumnLabels[#Headers]),"C",COLUMN(),":R",ROW()-1,"C",COLUMN()),FALSE))+1)</f>
        <v/>
      </c>
      <c r="B69" s="219" t="str">
        <f ca="1">IF(ResultColumnLabels[[#This Row],[Data Value Number]]="","",INDEX(DataColumns[ColumnLabel],MATCH(ResultColumnLabels[[#This Row],[Data Value Number]],DataColumns[DVNum],0)))</f>
        <v/>
      </c>
    </row>
    <row r="70" spans="1:2" x14ac:dyDescent="0.25">
      <c r="A70" t="str">
        <f ca="1">IF(ROW()-1&gt;NumDataColumns,"",MAX(INDIRECT(CONCATENATE("R",ROW(ResultColumnLabels[#Headers]),"C",COLUMN(),":R",ROW()-1,"C",COLUMN()),FALSE))+1)</f>
        <v/>
      </c>
      <c r="B70" s="219" t="str">
        <f ca="1">IF(ResultColumnLabels[[#This Row],[Data Value Number]]="","",INDEX(DataColumns[ColumnLabel],MATCH(ResultColumnLabels[[#This Row],[Data Value Number]],DataColumns[DVNum],0)))</f>
        <v/>
      </c>
    </row>
    <row r="71" spans="1:2" x14ac:dyDescent="0.25">
      <c r="A71" t="str">
        <f ca="1">IF(ROW()-1&gt;NumDataColumns,"",MAX(INDIRECT(CONCATENATE("R",ROW(ResultColumnLabels[#Headers]),"C",COLUMN(),":R",ROW()-1,"C",COLUMN()),FALSE))+1)</f>
        <v/>
      </c>
      <c r="B71" s="219" t="str">
        <f ca="1">IF(ResultColumnLabels[[#This Row],[Data Value Number]]="","",INDEX(DataColumns[ColumnLabel],MATCH(ResultColumnLabels[[#This Row],[Data Value Number]],DataColumns[DVNum],0)))</f>
        <v/>
      </c>
    </row>
    <row r="72" spans="1:2" x14ac:dyDescent="0.25">
      <c r="A72" t="str">
        <f ca="1">IF(ROW()-1&gt;NumDataColumns,"",MAX(INDIRECT(CONCATENATE("R",ROW(ResultColumnLabels[#Headers]),"C",COLUMN(),":R",ROW()-1,"C",COLUMN()),FALSE))+1)</f>
        <v/>
      </c>
      <c r="B72" s="219" t="str">
        <f ca="1">IF(ResultColumnLabels[[#This Row],[Data Value Number]]="","",INDEX(DataColumns[ColumnLabel],MATCH(ResultColumnLabels[[#This Row],[Data Value Number]],DataColumns[DVNum],0)))</f>
        <v/>
      </c>
    </row>
    <row r="73" spans="1:2" x14ac:dyDescent="0.25">
      <c r="A73" t="str">
        <f ca="1">IF(ROW()-1&gt;NumDataColumns,"",MAX(INDIRECT(CONCATENATE("R",ROW(ResultColumnLabels[#Headers]),"C",COLUMN(),":R",ROW()-1,"C",COLUMN()),FALSE))+1)</f>
        <v/>
      </c>
      <c r="B73" s="219" t="str">
        <f ca="1">IF(ResultColumnLabels[[#This Row],[Data Value Number]]="","",INDEX(DataColumns[ColumnLabel],MATCH(ResultColumnLabels[[#This Row],[Data Value Number]],DataColumns[DVNum],0)))</f>
        <v/>
      </c>
    </row>
    <row r="74" spans="1:2" x14ac:dyDescent="0.25">
      <c r="A74" t="str">
        <f ca="1">IF(ROW()-1&gt;NumDataColumns,"",MAX(INDIRECT(CONCATENATE("R",ROW(ResultColumnLabels[#Headers]),"C",COLUMN(),":R",ROW()-1,"C",COLUMN()),FALSE))+1)</f>
        <v/>
      </c>
      <c r="B74" s="219" t="str">
        <f ca="1">IF(ResultColumnLabels[[#This Row],[Data Value Number]]="","",INDEX(DataColumns[ColumnLabel],MATCH(ResultColumnLabels[[#This Row],[Data Value Number]],DataColumns[DVNum],0)))</f>
        <v/>
      </c>
    </row>
    <row r="75" spans="1:2" x14ac:dyDescent="0.25">
      <c r="A75" t="str">
        <f ca="1">IF(ROW()-1&gt;NumDataColumns,"",MAX(INDIRECT(CONCATENATE("R",ROW(ResultColumnLabels[#Headers]),"C",COLUMN(),":R",ROW()-1,"C",COLUMN()),FALSE))+1)</f>
        <v/>
      </c>
      <c r="B75" s="219" t="str">
        <f ca="1">IF(ResultColumnLabels[[#This Row],[Data Value Number]]="","",INDEX(DataColumns[ColumnLabel],MATCH(ResultColumnLabels[[#This Row],[Data Value Number]],DataColumns[DVNum],0)))</f>
        <v/>
      </c>
    </row>
    <row r="76" spans="1:2" x14ac:dyDescent="0.25">
      <c r="A76" t="str">
        <f ca="1">IF(ROW()-1&gt;NumDataColumns,"",MAX(INDIRECT(CONCATENATE("R",ROW(ResultColumnLabels[#Headers]),"C",COLUMN(),":R",ROW()-1,"C",COLUMN()),FALSE))+1)</f>
        <v/>
      </c>
      <c r="B76" s="219" t="str">
        <f ca="1">IF(ResultColumnLabels[[#This Row],[Data Value Number]]="","",INDEX(DataColumns[ColumnLabel],MATCH(ResultColumnLabels[[#This Row],[Data Value Number]],DataColumns[DVNum],0)))</f>
        <v/>
      </c>
    </row>
    <row r="77" spans="1:2" x14ac:dyDescent="0.25">
      <c r="A77" t="str">
        <f ca="1">IF(ROW()-1&gt;NumDataColumns,"",MAX(INDIRECT(CONCATENATE("R",ROW(ResultColumnLabels[#Headers]),"C",COLUMN(),":R",ROW()-1,"C",COLUMN()),FALSE))+1)</f>
        <v/>
      </c>
      <c r="B77" s="219" t="str">
        <f ca="1">IF(ResultColumnLabels[[#This Row],[Data Value Number]]="","",INDEX(DataColumns[ColumnLabel],MATCH(ResultColumnLabels[[#This Row],[Data Value Number]],DataColumns[DVNum],0)))</f>
        <v/>
      </c>
    </row>
    <row r="78" spans="1:2" x14ac:dyDescent="0.25">
      <c r="A78" t="str">
        <f ca="1">IF(ROW()-1&gt;NumDataColumns,"",MAX(INDIRECT(CONCATENATE("R",ROW(ResultColumnLabels[#Headers]),"C",COLUMN(),":R",ROW()-1,"C",COLUMN()),FALSE))+1)</f>
        <v/>
      </c>
      <c r="B78" s="219" t="str">
        <f ca="1">IF(ResultColumnLabels[[#This Row],[Data Value Number]]="","",INDEX(DataColumns[ColumnLabel],MATCH(ResultColumnLabels[[#This Row],[Data Value Number]],DataColumns[DVNum],0)))</f>
        <v/>
      </c>
    </row>
    <row r="79" spans="1:2" x14ac:dyDescent="0.25">
      <c r="A79" t="str">
        <f ca="1">IF(ROW()-1&gt;NumDataColumns,"",MAX(INDIRECT(CONCATENATE("R",ROW(ResultColumnLabels[#Headers]),"C",COLUMN(),":R",ROW()-1,"C",COLUMN()),FALSE))+1)</f>
        <v/>
      </c>
      <c r="B79" s="219" t="str">
        <f ca="1">IF(ResultColumnLabels[[#This Row],[Data Value Number]]="","",INDEX(DataColumns[ColumnLabel],MATCH(ResultColumnLabels[[#This Row],[Data Value Number]],DataColumns[DVNum],0)))</f>
        <v/>
      </c>
    </row>
    <row r="80" spans="1:2" x14ac:dyDescent="0.25">
      <c r="A80" t="str">
        <f ca="1">IF(ROW()-1&gt;NumDataColumns,"",MAX(INDIRECT(CONCATENATE("R",ROW(ResultColumnLabels[#Headers]),"C",COLUMN(),":R",ROW()-1,"C",COLUMN()),FALSE))+1)</f>
        <v/>
      </c>
      <c r="B80" s="219" t="str">
        <f ca="1">IF(ResultColumnLabels[[#This Row],[Data Value Number]]="","",INDEX(DataColumns[ColumnLabel],MATCH(ResultColumnLabels[[#This Row],[Data Value Number]],DataColumns[DVNum],0)))</f>
        <v/>
      </c>
    </row>
    <row r="81" spans="1:2" x14ac:dyDescent="0.25">
      <c r="A81" t="str">
        <f ca="1">IF(ROW()-1&gt;NumDataColumns,"",MAX(INDIRECT(CONCATENATE("R",ROW(ResultColumnLabels[#Headers]),"C",COLUMN(),":R",ROW()-1,"C",COLUMN()),FALSE))+1)</f>
        <v/>
      </c>
      <c r="B81" s="219" t="str">
        <f ca="1">IF(ResultColumnLabels[[#This Row],[Data Value Number]]="","",INDEX(DataColumns[ColumnLabel],MATCH(ResultColumnLabels[[#This Row],[Data Value Number]],DataColumns[DVNum],0)))</f>
        <v/>
      </c>
    </row>
    <row r="82" spans="1:2" x14ac:dyDescent="0.25">
      <c r="A82" t="str">
        <f ca="1">IF(ROW()-1&gt;NumDataColumns,"",MAX(INDIRECT(CONCATENATE("R",ROW(ResultColumnLabels[#Headers]),"C",COLUMN(),":R",ROW()-1,"C",COLUMN()),FALSE))+1)</f>
        <v/>
      </c>
      <c r="B82" s="219" t="str">
        <f ca="1">IF(ResultColumnLabels[[#This Row],[Data Value Number]]="","",INDEX(DataColumns[ColumnLabel],MATCH(ResultColumnLabels[[#This Row],[Data Value Number]],DataColumns[DVNum],0)))</f>
        <v/>
      </c>
    </row>
    <row r="83" spans="1:2" x14ac:dyDescent="0.25">
      <c r="A83" t="str">
        <f ca="1">IF(ROW()-1&gt;NumDataColumns,"",MAX(INDIRECT(CONCATENATE("R",ROW(ResultColumnLabels[#Headers]),"C",COLUMN(),":R",ROW()-1,"C",COLUMN()),FALSE))+1)</f>
        <v/>
      </c>
      <c r="B83" s="219" t="str">
        <f ca="1">IF(ResultColumnLabels[[#This Row],[Data Value Number]]="","",INDEX(DataColumns[ColumnLabel],MATCH(ResultColumnLabels[[#This Row],[Data Value Number]],DataColumns[DVNum],0)))</f>
        <v/>
      </c>
    </row>
    <row r="84" spans="1:2" x14ac:dyDescent="0.25">
      <c r="A84" t="str">
        <f ca="1">IF(ROW()-1&gt;NumDataColumns,"",MAX(INDIRECT(CONCATENATE("R",ROW(ResultColumnLabels[#Headers]),"C",COLUMN(),":R",ROW()-1,"C",COLUMN()),FALSE))+1)</f>
        <v/>
      </c>
      <c r="B84" s="219" t="str">
        <f ca="1">IF(ResultColumnLabels[[#This Row],[Data Value Number]]="","",INDEX(DataColumns[ColumnLabel],MATCH(ResultColumnLabels[[#This Row],[Data Value Number]],DataColumns[DVNum],0)))</f>
        <v/>
      </c>
    </row>
    <row r="85" spans="1:2" x14ac:dyDescent="0.25">
      <c r="A85" t="str">
        <f ca="1">IF(ROW()-1&gt;NumDataColumns,"",MAX(INDIRECT(CONCATENATE("R",ROW(ResultColumnLabels[#Headers]),"C",COLUMN(),":R",ROW()-1,"C",COLUMN()),FALSE))+1)</f>
        <v/>
      </c>
      <c r="B85" s="219" t="str">
        <f ca="1">IF(ResultColumnLabels[[#This Row],[Data Value Number]]="","",INDEX(DataColumns[ColumnLabel],MATCH(ResultColumnLabels[[#This Row],[Data Value Number]],DataColumns[DVNum],0)))</f>
        <v/>
      </c>
    </row>
    <row r="86" spans="1:2" x14ac:dyDescent="0.25">
      <c r="A86" t="str">
        <f ca="1">IF(ROW()-1&gt;NumDataColumns,"",MAX(INDIRECT(CONCATENATE("R",ROW(ResultColumnLabels[#Headers]),"C",COLUMN(),":R",ROW()-1,"C",COLUMN()),FALSE))+1)</f>
        <v/>
      </c>
      <c r="B86" s="219" t="str">
        <f ca="1">IF(ResultColumnLabels[[#This Row],[Data Value Number]]="","",INDEX(DataColumns[ColumnLabel],MATCH(ResultColumnLabels[[#This Row],[Data Value Number]],DataColumns[DVNum],0)))</f>
        <v/>
      </c>
    </row>
    <row r="87" spans="1:2" x14ac:dyDescent="0.25">
      <c r="A87" t="str">
        <f ca="1">IF(ROW()-1&gt;NumDataColumns,"",MAX(INDIRECT(CONCATENATE("R",ROW(ResultColumnLabels[#Headers]),"C",COLUMN(),":R",ROW()-1,"C",COLUMN()),FALSE))+1)</f>
        <v/>
      </c>
      <c r="B87" s="219" t="str">
        <f ca="1">IF(ResultColumnLabels[[#This Row],[Data Value Number]]="","",INDEX(DataColumns[ColumnLabel],MATCH(ResultColumnLabels[[#This Row],[Data Value Number]],DataColumns[DVNum],0)))</f>
        <v/>
      </c>
    </row>
    <row r="88" spans="1:2" x14ac:dyDescent="0.25">
      <c r="A88" t="str">
        <f ca="1">IF(ROW()-1&gt;NumDataColumns,"",MAX(INDIRECT(CONCATENATE("R",ROW(ResultColumnLabels[#Headers]),"C",COLUMN(),":R",ROW()-1,"C",COLUMN()),FALSE))+1)</f>
        <v/>
      </c>
      <c r="B88" s="219" t="str">
        <f ca="1">IF(ResultColumnLabels[[#This Row],[Data Value Number]]="","",INDEX(DataColumns[ColumnLabel],MATCH(ResultColumnLabels[[#This Row],[Data Value Number]],DataColumns[DVNum],0)))</f>
        <v/>
      </c>
    </row>
    <row r="89" spans="1:2" x14ac:dyDescent="0.25">
      <c r="A89" t="str">
        <f ca="1">IF(ROW()-1&gt;NumDataColumns,"",MAX(INDIRECT(CONCATENATE("R",ROW(ResultColumnLabels[#Headers]),"C",COLUMN(),":R",ROW()-1,"C",COLUMN()),FALSE))+1)</f>
        <v/>
      </c>
      <c r="B89" s="219" t="str">
        <f ca="1">IF(ResultColumnLabels[[#This Row],[Data Value Number]]="","",INDEX(DataColumns[ColumnLabel],MATCH(ResultColumnLabels[[#This Row],[Data Value Number]],DataColumns[DVNum],0)))</f>
        <v/>
      </c>
    </row>
    <row r="90" spans="1:2" x14ac:dyDescent="0.25">
      <c r="A90" t="str">
        <f ca="1">IF(ROW()-1&gt;NumDataColumns,"",MAX(INDIRECT(CONCATENATE("R",ROW(ResultColumnLabels[#Headers]),"C",COLUMN(),":R",ROW()-1,"C",COLUMN()),FALSE))+1)</f>
        <v/>
      </c>
      <c r="B90" s="219" t="str">
        <f ca="1">IF(ResultColumnLabels[[#This Row],[Data Value Number]]="","",INDEX(DataColumns[ColumnLabel],MATCH(ResultColumnLabels[[#This Row],[Data Value Number]],DataColumns[DVNum],0)))</f>
        <v/>
      </c>
    </row>
    <row r="91" spans="1:2" x14ac:dyDescent="0.25">
      <c r="A91" t="str">
        <f ca="1">IF(ROW()-1&gt;NumDataColumns,"",MAX(INDIRECT(CONCATENATE("R",ROW(ResultColumnLabels[#Headers]),"C",COLUMN(),":R",ROW()-1,"C",COLUMN()),FALSE))+1)</f>
        <v/>
      </c>
      <c r="B91" s="219" t="str">
        <f ca="1">IF(ResultColumnLabels[[#This Row],[Data Value Number]]="","",INDEX(DataColumns[ColumnLabel],MATCH(ResultColumnLabels[[#This Row],[Data Value Number]],DataColumns[DVNum],0)))</f>
        <v/>
      </c>
    </row>
    <row r="92" spans="1:2" x14ac:dyDescent="0.25">
      <c r="A92" t="str">
        <f ca="1">IF(ROW()-1&gt;NumDataColumns,"",MAX(INDIRECT(CONCATENATE("R",ROW(ResultColumnLabels[#Headers]),"C",COLUMN(),":R",ROW()-1,"C",COLUMN()),FALSE))+1)</f>
        <v/>
      </c>
      <c r="B92" s="219" t="str">
        <f ca="1">IF(ResultColumnLabels[[#This Row],[Data Value Number]]="","",INDEX(DataColumns[ColumnLabel],MATCH(ResultColumnLabels[[#This Row],[Data Value Number]],DataColumns[DVNum],0)))</f>
        <v/>
      </c>
    </row>
    <row r="93" spans="1:2" x14ac:dyDescent="0.25">
      <c r="A93" t="str">
        <f ca="1">IF(ROW()-1&gt;NumDataColumns,"",MAX(INDIRECT(CONCATENATE("R",ROW(ResultColumnLabels[#Headers]),"C",COLUMN(),":R",ROW()-1,"C",COLUMN()),FALSE))+1)</f>
        <v/>
      </c>
      <c r="B93" s="219" t="str">
        <f ca="1">IF(ResultColumnLabels[[#This Row],[Data Value Number]]="","",INDEX(DataColumns[ColumnLabel],MATCH(ResultColumnLabels[[#This Row],[Data Value Number]],DataColumns[DVNum],0)))</f>
        <v/>
      </c>
    </row>
    <row r="94" spans="1:2" x14ac:dyDescent="0.25">
      <c r="A94" t="str">
        <f ca="1">IF(ROW()-1&gt;NumDataColumns,"",MAX(INDIRECT(CONCATENATE("R",ROW(ResultColumnLabels[#Headers]),"C",COLUMN(),":R",ROW()-1,"C",COLUMN()),FALSE))+1)</f>
        <v/>
      </c>
      <c r="B94" s="219" t="str">
        <f ca="1">IF(ResultColumnLabels[[#This Row],[Data Value Number]]="","",INDEX(DataColumns[ColumnLabel],MATCH(ResultColumnLabels[[#This Row],[Data Value Number]],DataColumns[DVNum],0)))</f>
        <v/>
      </c>
    </row>
    <row r="95" spans="1:2" x14ac:dyDescent="0.25">
      <c r="A95" t="str">
        <f ca="1">IF(ROW()-1&gt;NumDataColumns,"",MAX(INDIRECT(CONCATENATE("R",ROW(ResultColumnLabels[#Headers]),"C",COLUMN(),":R",ROW()-1,"C",COLUMN()),FALSE))+1)</f>
        <v/>
      </c>
      <c r="B95" s="219" t="str">
        <f ca="1">IF(ResultColumnLabels[[#This Row],[Data Value Number]]="","",INDEX(DataColumns[ColumnLabel],MATCH(ResultColumnLabels[[#This Row],[Data Value Number]],DataColumns[DVNum],0)))</f>
        <v/>
      </c>
    </row>
    <row r="96" spans="1:2" x14ac:dyDescent="0.25">
      <c r="A96" t="str">
        <f ca="1">IF(ROW()-1&gt;NumDataColumns,"",MAX(INDIRECT(CONCATENATE("R",ROW(ResultColumnLabels[#Headers]),"C",COLUMN(),":R",ROW()-1,"C",COLUMN()),FALSE))+1)</f>
        <v/>
      </c>
      <c r="B96" s="219" t="str">
        <f ca="1">IF(ResultColumnLabels[[#This Row],[Data Value Number]]="","",INDEX(DataColumns[ColumnLabel],MATCH(ResultColumnLabels[[#This Row],[Data Value Number]],DataColumns[DVNum],0)))</f>
        <v/>
      </c>
    </row>
    <row r="97" spans="1:2" x14ac:dyDescent="0.25">
      <c r="A97" t="str">
        <f ca="1">IF(ROW()-1&gt;NumDataColumns,"",MAX(INDIRECT(CONCATENATE("R",ROW(ResultColumnLabels[#Headers]),"C",COLUMN(),":R",ROW()-1,"C",COLUMN()),FALSE))+1)</f>
        <v/>
      </c>
      <c r="B97" s="219" t="str">
        <f ca="1">IF(ResultColumnLabels[[#This Row],[Data Value Number]]="","",INDEX(DataColumns[ColumnLabel],MATCH(ResultColumnLabels[[#This Row],[Data Value Number]],DataColumns[DVNum],0)))</f>
        <v/>
      </c>
    </row>
    <row r="98" spans="1:2" x14ac:dyDescent="0.25">
      <c r="A98" t="str">
        <f ca="1">IF(ROW()-1&gt;NumDataColumns,"",MAX(INDIRECT(CONCATENATE("R",ROW(ResultColumnLabels[#Headers]),"C",COLUMN(),":R",ROW()-1,"C",COLUMN()),FALSE))+1)</f>
        <v/>
      </c>
      <c r="B98" s="219" t="str">
        <f ca="1">IF(ResultColumnLabels[[#This Row],[Data Value Number]]="","",INDEX(DataColumns[ColumnLabel],MATCH(ResultColumnLabels[[#This Row],[Data Value Number]],DataColumns[DVNum],0)))</f>
        <v/>
      </c>
    </row>
    <row r="99" spans="1:2" x14ac:dyDescent="0.25">
      <c r="A99" t="str">
        <f ca="1">IF(ROW()-1&gt;NumDataColumns,"",MAX(INDIRECT(CONCATENATE("R",ROW(ResultColumnLabels[#Headers]),"C",COLUMN(),":R",ROW()-1,"C",COLUMN()),FALSE))+1)</f>
        <v/>
      </c>
      <c r="B99" s="219" t="str">
        <f ca="1">IF(ResultColumnLabels[[#This Row],[Data Value Number]]="","",INDEX(DataColumns[ColumnLabel],MATCH(ResultColumnLabels[[#This Row],[Data Value Number]],DataColumns[DVNum],0)))</f>
        <v/>
      </c>
    </row>
    <row r="100" spans="1:2" x14ac:dyDescent="0.25">
      <c r="A100" t="str">
        <f ca="1">IF(ROW()-1&gt;NumDataColumns,"",MAX(INDIRECT(CONCATENATE("R",ROW(ResultColumnLabels[#Headers]),"C",COLUMN(),":R",ROW()-1,"C",COLUMN()),FALSE))+1)</f>
        <v/>
      </c>
      <c r="B100" s="219" t="str">
        <f ca="1">IF(ResultColumnLabels[[#This Row],[Data Value Number]]="","",INDEX(DataColumns[ColumnLabel],MATCH(ResultColumnLabels[[#This Row],[Data Value Number]],DataColumns[DVNum],0)))</f>
        <v/>
      </c>
    </row>
    <row r="101" spans="1:2" x14ac:dyDescent="0.25">
      <c r="A101" t="str">
        <f ca="1">IF(ROW()-1&gt;NumDataColumns,"",MAX(INDIRECT(CONCATENATE("R",ROW(ResultColumnLabels[#Headers]),"C",COLUMN(),":R",ROW()-1,"C",COLUMN()),FALSE))+1)</f>
        <v/>
      </c>
      <c r="B101" s="219" t="str">
        <f ca="1">IF(ResultColumnLabels[[#This Row],[Data Value Number]]="","",INDEX(DataColumns[ColumnLabel],MATCH(ResultColumnLabels[[#This Row],[Data Value Number]],DataColumns[DVNum],0)))</f>
        <v/>
      </c>
    </row>
    <row r="102" spans="1:2" x14ac:dyDescent="0.25">
      <c r="A102" t="str">
        <f ca="1">IF(ROW()-1&gt;NumDataColumns,"",MAX(INDIRECT(CONCATENATE("R",ROW(ResultColumnLabels[#Headers]),"C",COLUMN(),":R",ROW()-1,"C",COLUMN()),FALSE))+1)</f>
        <v/>
      </c>
      <c r="B102" s="219" t="str">
        <f ca="1">IF(ResultColumnLabels[[#This Row],[Data Value Number]]="","",INDEX(DataColumns[ColumnLabel],MATCH(ResultColumnLabels[[#This Row],[Data Value Number]],DataColumns[DVNum],0)))</f>
        <v/>
      </c>
    </row>
    <row r="103" spans="1:2" x14ac:dyDescent="0.25">
      <c r="A103" t="str">
        <f ca="1">IF(ROW()-1&gt;NumDataColumns,"",MAX(INDIRECT(CONCATENATE("R",ROW(ResultColumnLabels[#Headers]),"C",COLUMN(),":R",ROW()-1,"C",COLUMN()),FALSE))+1)</f>
        <v/>
      </c>
      <c r="B103" s="219" t="str">
        <f ca="1">IF(ResultColumnLabels[[#This Row],[Data Value Number]]="","",INDEX(DataColumns[ColumnLabel],MATCH(ResultColumnLabels[[#This Row],[Data Value Number]],DataColumns[DVNum],0)))</f>
        <v/>
      </c>
    </row>
    <row r="104" spans="1:2" x14ac:dyDescent="0.25">
      <c r="A104" t="str">
        <f ca="1">IF(ROW()-1&gt;NumDataColumns,"",MAX(INDIRECT(CONCATENATE("R",ROW(ResultColumnLabels[#Headers]),"C",COLUMN(),":R",ROW()-1,"C",COLUMN()),FALSE))+1)</f>
        <v/>
      </c>
      <c r="B104" s="219" t="str">
        <f ca="1">IF(ResultColumnLabels[[#This Row],[Data Value Number]]="","",INDEX(DataColumns[ColumnLabel],MATCH(ResultColumnLabels[[#This Row],[Data Value Number]],DataColumns[DVNum],0)))</f>
        <v/>
      </c>
    </row>
    <row r="105" spans="1:2" x14ac:dyDescent="0.25">
      <c r="A105" t="str">
        <f ca="1">IF(ROW()-1&gt;NumDataColumns,"",MAX(INDIRECT(CONCATENATE("R",ROW(ResultColumnLabels[#Headers]),"C",COLUMN(),":R",ROW()-1,"C",COLUMN()),FALSE))+1)</f>
        <v/>
      </c>
      <c r="B105" s="219" t="str">
        <f ca="1">IF(ResultColumnLabels[[#This Row],[Data Value Number]]="","",INDEX(DataColumns[ColumnLabel],MATCH(ResultColumnLabels[[#This Row],[Data Value Number]],DataColumns[DVNum],0)))</f>
        <v/>
      </c>
    </row>
    <row r="106" spans="1:2" x14ac:dyDescent="0.25">
      <c r="A106" t="str">
        <f ca="1">IF(ROW()-1&gt;NumDataColumns,"",MAX(INDIRECT(CONCATENATE("R",ROW(ResultColumnLabels[#Headers]),"C",COLUMN(),":R",ROW()-1,"C",COLUMN()),FALSE))+1)</f>
        <v/>
      </c>
      <c r="B106" s="219" t="str">
        <f ca="1">IF(ResultColumnLabels[[#This Row],[Data Value Number]]="","",INDEX(DataColumns[ColumnLabel],MATCH(ResultColumnLabels[[#This Row],[Data Value Number]],DataColumns[DVNum],0)))</f>
        <v/>
      </c>
    </row>
    <row r="107" spans="1:2" x14ac:dyDescent="0.25">
      <c r="A107" t="str">
        <f ca="1">IF(ROW()-1&gt;NumDataColumns,"",MAX(INDIRECT(CONCATENATE("R",ROW(ResultColumnLabels[#Headers]),"C",COLUMN(),":R",ROW()-1,"C",COLUMN()),FALSE))+1)</f>
        <v/>
      </c>
      <c r="B107" s="219" t="str">
        <f ca="1">IF(ResultColumnLabels[[#This Row],[Data Value Number]]="","",INDEX(DataColumns[ColumnLabel],MATCH(ResultColumnLabels[[#This Row],[Data Value Number]],DataColumns[DVNum],0)))</f>
        <v/>
      </c>
    </row>
    <row r="108" spans="1:2" x14ac:dyDescent="0.25">
      <c r="A108" t="str">
        <f ca="1">IF(ROW()-1&gt;NumDataColumns,"",MAX(INDIRECT(CONCATENATE("R",ROW(ResultColumnLabels[#Headers]),"C",COLUMN(),":R",ROW()-1,"C",COLUMN()),FALSE))+1)</f>
        <v/>
      </c>
      <c r="B108" s="219" t="str">
        <f ca="1">IF(ResultColumnLabels[[#This Row],[Data Value Number]]="","",INDEX(DataColumns[ColumnLabel],MATCH(ResultColumnLabels[[#This Row],[Data Value Number]],DataColumns[DVNum],0)))</f>
        <v/>
      </c>
    </row>
    <row r="109" spans="1:2" x14ac:dyDescent="0.25">
      <c r="A109" t="str">
        <f ca="1">IF(ROW()-1&gt;NumDataColumns,"",MAX(INDIRECT(CONCATENATE("R",ROW(ResultColumnLabels[#Headers]),"C",COLUMN(),":R",ROW()-1,"C",COLUMN()),FALSE))+1)</f>
        <v/>
      </c>
      <c r="B109" s="219" t="str">
        <f ca="1">IF(ResultColumnLabels[[#This Row],[Data Value Number]]="","",INDEX(DataColumns[ColumnLabel],MATCH(ResultColumnLabels[[#This Row],[Data Value Number]],DataColumns[DVNum],0)))</f>
        <v/>
      </c>
    </row>
    <row r="110" spans="1:2" x14ac:dyDescent="0.25">
      <c r="A110" t="str">
        <f ca="1">IF(ROW()-1&gt;NumDataColumns,"",MAX(INDIRECT(CONCATENATE("R",ROW(ResultColumnLabels[#Headers]),"C",COLUMN(),":R",ROW()-1,"C",COLUMN()),FALSE))+1)</f>
        <v/>
      </c>
      <c r="B110" s="219" t="str">
        <f ca="1">IF(ResultColumnLabels[[#This Row],[Data Value Number]]="","",INDEX(DataColumns[ColumnLabel],MATCH(ResultColumnLabels[[#This Row],[Data Value Number]],DataColumns[DVNum],0)))</f>
        <v/>
      </c>
    </row>
    <row r="111" spans="1:2" x14ac:dyDescent="0.25">
      <c r="A111" t="str">
        <f ca="1">IF(ROW()-1&gt;NumDataColumns,"",MAX(INDIRECT(CONCATENATE("R",ROW(ResultColumnLabels[#Headers]),"C",COLUMN(),":R",ROW()-1,"C",COLUMN()),FALSE))+1)</f>
        <v/>
      </c>
      <c r="B111" s="219" t="str">
        <f ca="1">IF(ResultColumnLabels[[#This Row],[Data Value Number]]="","",INDEX(DataColumns[ColumnLabel],MATCH(ResultColumnLabels[[#This Row],[Data Value Number]],DataColumns[DVNum],0)))</f>
        <v/>
      </c>
    </row>
    <row r="112" spans="1:2" x14ac:dyDescent="0.25">
      <c r="A112" t="str">
        <f ca="1">IF(ROW()-1&gt;NumDataColumns,"",MAX(INDIRECT(CONCATENATE("R",ROW(ResultColumnLabels[#Headers]),"C",COLUMN(),":R",ROW()-1,"C",COLUMN()),FALSE))+1)</f>
        <v/>
      </c>
      <c r="B112" s="219" t="str">
        <f ca="1">IF(ResultColumnLabels[[#This Row],[Data Value Number]]="","",INDEX(DataColumns[ColumnLabel],MATCH(ResultColumnLabels[[#This Row],[Data Value Number]],DataColumns[DVNum],0)))</f>
        <v/>
      </c>
    </row>
    <row r="113" spans="1:2" x14ac:dyDescent="0.25">
      <c r="A113" t="str">
        <f ca="1">IF(ROW()-1&gt;NumDataColumns,"",MAX(INDIRECT(CONCATENATE("R",ROW(ResultColumnLabels[#Headers]),"C",COLUMN(),":R",ROW()-1,"C",COLUMN()),FALSE))+1)</f>
        <v/>
      </c>
      <c r="B113" s="219" t="str">
        <f ca="1">IF(ResultColumnLabels[[#This Row],[Data Value Number]]="","",INDEX(DataColumns[ColumnLabel],MATCH(ResultColumnLabels[[#This Row],[Data Value Number]],DataColumns[DVNum],0)))</f>
        <v/>
      </c>
    </row>
    <row r="114" spans="1:2" x14ac:dyDescent="0.25">
      <c r="A114" t="str">
        <f ca="1">IF(ROW()-1&gt;NumDataColumns,"",MAX(INDIRECT(CONCATENATE("R",ROW(ResultColumnLabels[#Headers]),"C",COLUMN(),":R",ROW()-1,"C",COLUMN()),FALSE))+1)</f>
        <v/>
      </c>
      <c r="B114" s="219" t="str">
        <f ca="1">IF(ResultColumnLabels[[#This Row],[Data Value Number]]="","",INDEX(DataColumns[ColumnLabel],MATCH(ResultColumnLabels[[#This Row],[Data Value Number]],DataColumns[DVNum],0)))</f>
        <v/>
      </c>
    </row>
    <row r="115" spans="1:2" x14ac:dyDescent="0.25">
      <c r="A115" t="str">
        <f ca="1">IF(ROW()-1&gt;NumDataColumns,"",MAX(INDIRECT(CONCATENATE("R",ROW(ResultColumnLabels[#Headers]),"C",COLUMN(),":R",ROW()-1,"C",COLUMN()),FALSE))+1)</f>
        <v/>
      </c>
      <c r="B115" s="219" t="str">
        <f ca="1">IF(ResultColumnLabels[[#This Row],[Data Value Number]]="","",INDEX(DataColumns[ColumnLabel],MATCH(ResultColumnLabels[[#This Row],[Data Value Number]],DataColumns[DVNum],0)))</f>
        <v/>
      </c>
    </row>
    <row r="116" spans="1:2" x14ac:dyDescent="0.25">
      <c r="A116" t="str">
        <f ca="1">IF(ROW()-1&gt;NumDataColumns,"",MAX(INDIRECT(CONCATENATE("R",ROW(ResultColumnLabels[#Headers]),"C",COLUMN(),":R",ROW()-1,"C",COLUMN()),FALSE))+1)</f>
        <v/>
      </c>
      <c r="B116" s="219" t="str">
        <f ca="1">IF(ResultColumnLabels[[#This Row],[Data Value Number]]="","",INDEX(DataColumns[ColumnLabel],MATCH(ResultColumnLabels[[#This Row],[Data Value Number]],DataColumns[DVNum],0)))</f>
        <v/>
      </c>
    </row>
    <row r="117" spans="1:2" x14ac:dyDescent="0.25">
      <c r="A117" s="219" t="str">
        <f ca="1">IF(ROW()-1&gt;NumDataColumns,"",MAX(INDIRECT(CONCATENATE("R",ROW(ResultColumnLabels[#Headers]),"C",COLUMN(),":R",ROW()-1,"C",COLUMN()),FALSE))+1)</f>
        <v/>
      </c>
      <c r="B117" s="219" t="str">
        <f ca="1">IF(ResultColumnLabels[[#This Row],[Data Value Number]]="","",INDEX(DataColumns[ColumnLabel],MATCH(ResultColumnLabels[[#This Row],[Data Value Number]],DataColumns[DVNum],0)))</f>
        <v/>
      </c>
    </row>
    <row r="118" spans="1:2" x14ac:dyDescent="0.25">
      <c r="A118" s="219" t="str">
        <f ca="1">IF(ROW()-1&gt;NumDataColumns,"",MAX(INDIRECT(CONCATENATE("R",ROW(ResultColumnLabels[#Headers]),"C",COLUMN(),":R",ROW()-1,"C",COLUMN()),FALSE))+1)</f>
        <v/>
      </c>
      <c r="B118" s="219" t="str">
        <f ca="1">IF(ResultColumnLabels[[#This Row],[Data Value Number]]="","",INDEX(DataColumns[ColumnLabel],MATCH(ResultColumnLabels[[#This Row],[Data Value Number]],DataColumns[DVNum],0)))</f>
        <v/>
      </c>
    </row>
    <row r="119" spans="1:2" x14ac:dyDescent="0.25">
      <c r="A119" s="219" t="str">
        <f ca="1">IF(ROW()-1&gt;NumDataColumns,"",MAX(INDIRECT(CONCATENATE("R",ROW(ResultColumnLabels[#Headers]),"C",COLUMN(),":R",ROW()-1,"C",COLUMN()),FALSE))+1)</f>
        <v/>
      </c>
      <c r="B119" s="219" t="str">
        <f ca="1">IF(ResultColumnLabels[[#This Row],[Data Value Number]]="","",INDEX(DataColumns[ColumnLabel],MATCH(ResultColumnLabels[[#This Row],[Data Value Number]],DataColumns[DVNum],0)))</f>
        <v/>
      </c>
    </row>
    <row r="120" spans="1:2" x14ac:dyDescent="0.25">
      <c r="A120" s="219" t="str">
        <f ca="1">IF(ROW()-1&gt;NumDataColumns,"",MAX(INDIRECT(CONCATENATE("R",ROW(ResultColumnLabels[#Headers]),"C",COLUMN(),":R",ROW()-1,"C",COLUMN()),FALSE))+1)</f>
        <v/>
      </c>
      <c r="B120" s="219" t="str">
        <f ca="1">IF(ResultColumnLabels[[#This Row],[Data Value Number]]="","",INDEX(DataColumns[ColumnLabel],MATCH(ResultColumnLabels[[#This Row],[Data Value Number]],DataColumns[DVNum],0)))</f>
        <v/>
      </c>
    </row>
    <row r="121" spans="1:2" x14ac:dyDescent="0.25">
      <c r="A121" s="219" t="str">
        <f ca="1">IF(ROW()-1&gt;NumDataColumns,"",MAX(INDIRECT(CONCATENATE("R",ROW(ResultColumnLabels[#Headers]),"C",COLUMN(),":R",ROW()-1,"C",COLUMN()),FALSE))+1)</f>
        <v/>
      </c>
      <c r="B121" s="219" t="str">
        <f ca="1">IF(ResultColumnLabels[[#This Row],[Data Value Number]]="","",INDEX(DataColumns[ColumnLabel],MATCH(ResultColumnLabels[[#This Row],[Data Value Number]],DataColumns[DVNum],0)))</f>
        <v/>
      </c>
    </row>
    <row r="122" spans="1:2" x14ac:dyDescent="0.25">
      <c r="A122" s="219" t="str">
        <f ca="1">IF(ROW()-1&gt;NumDataColumns,"",MAX(INDIRECT(CONCATENATE("R",ROW(ResultColumnLabels[#Headers]),"C",COLUMN(),":R",ROW()-1,"C",COLUMN()),FALSE))+1)</f>
        <v/>
      </c>
      <c r="B122" s="219" t="str">
        <f ca="1">IF(ResultColumnLabels[[#This Row],[Data Value Number]]="","",INDEX(DataColumns[ColumnLabel],MATCH(ResultColumnLabels[[#This Row],[Data Value Number]],DataColumns[DVNum],0)))</f>
        <v/>
      </c>
    </row>
    <row r="123" spans="1:2" x14ac:dyDescent="0.25">
      <c r="A123" s="219" t="str">
        <f ca="1">IF(ROW()-1&gt;NumDataColumns,"",MAX(INDIRECT(CONCATENATE("R",ROW(ResultColumnLabels[#Headers]),"C",COLUMN(),":R",ROW()-1,"C",COLUMN()),FALSE))+1)</f>
        <v/>
      </c>
      <c r="B123" s="219" t="str">
        <f ca="1">IF(ResultColumnLabels[[#This Row],[Data Value Number]]="","",INDEX(DataColumns[ColumnLabel],MATCH(ResultColumnLabels[[#This Row],[Data Value Number]],DataColumns[DVNum],0)))</f>
        <v/>
      </c>
    </row>
    <row r="124" spans="1:2" x14ac:dyDescent="0.25">
      <c r="A124" s="219" t="str">
        <f ca="1">IF(ROW()-1&gt;NumDataColumns,"",MAX(INDIRECT(CONCATENATE("R",ROW(ResultColumnLabels[#Headers]),"C",COLUMN(),":R",ROW()-1,"C",COLUMN()),FALSE))+1)</f>
        <v/>
      </c>
      <c r="B124" s="219" t="str">
        <f ca="1">IF(ResultColumnLabels[[#This Row],[Data Value Number]]="","",INDEX(DataColumns[ColumnLabel],MATCH(ResultColumnLabels[[#This Row],[Data Value Number]],DataColumns[DVNum],0)))</f>
        <v/>
      </c>
    </row>
    <row r="125" spans="1:2" x14ac:dyDescent="0.25">
      <c r="A125" s="219" t="str">
        <f ca="1">IF(ROW()-1&gt;NumDataColumns,"",MAX(INDIRECT(CONCATENATE("R",ROW(ResultColumnLabels[#Headers]),"C",COLUMN(),":R",ROW()-1,"C",COLUMN()),FALSE))+1)</f>
        <v/>
      </c>
      <c r="B125" s="219" t="str">
        <f ca="1">IF(ResultColumnLabels[[#This Row],[Data Value Number]]="","",INDEX(DataColumns[ColumnLabel],MATCH(ResultColumnLabels[[#This Row],[Data Value Number]],DataColumns[DVNum],0)))</f>
        <v/>
      </c>
    </row>
    <row r="126" spans="1:2" x14ac:dyDescent="0.25">
      <c r="A126" s="219" t="str">
        <f ca="1">IF(ROW()-1&gt;NumDataColumns,"",MAX(INDIRECT(CONCATENATE("R",ROW(ResultColumnLabels[#Headers]),"C",COLUMN(),":R",ROW()-1,"C",COLUMN()),FALSE))+1)</f>
        <v/>
      </c>
      <c r="B126" s="219" t="str">
        <f ca="1">IF(ResultColumnLabels[[#This Row],[Data Value Number]]="","",INDEX(DataColumns[ColumnLabel],MATCH(ResultColumnLabels[[#This Row],[Data Value Number]],DataColumns[DVNum],0)))</f>
        <v/>
      </c>
    </row>
    <row r="127" spans="1:2" x14ac:dyDescent="0.25">
      <c r="A127" s="219" t="str">
        <f ca="1">IF(ROW()-1&gt;NumDataColumns,"",MAX(INDIRECT(CONCATENATE("R",ROW(ResultColumnLabels[#Headers]),"C",COLUMN(),":R",ROW()-1,"C",COLUMN()),FALSE))+1)</f>
        <v/>
      </c>
      <c r="B127" s="219" t="str">
        <f ca="1">IF(ResultColumnLabels[[#This Row],[Data Value Number]]="","",INDEX(DataColumns[ColumnLabel],MATCH(ResultColumnLabels[[#This Row],[Data Value Number]],DataColumns[DVNum],0)))</f>
        <v/>
      </c>
    </row>
    <row r="128" spans="1:2" x14ac:dyDescent="0.25">
      <c r="A128" s="219" t="str">
        <f ca="1">IF(ROW()-1&gt;NumDataColumns,"",MAX(INDIRECT(CONCATENATE("R",ROW(ResultColumnLabels[#Headers]),"C",COLUMN(),":R",ROW()-1,"C",COLUMN()),FALSE))+1)</f>
        <v/>
      </c>
      <c r="B128" s="219" t="str">
        <f ca="1">IF(ResultColumnLabels[[#This Row],[Data Value Number]]="","",INDEX(DataColumns[ColumnLabel],MATCH(ResultColumnLabels[[#This Row],[Data Value Number]],DataColumns[DVNum],0)))</f>
        <v/>
      </c>
    </row>
    <row r="129" spans="1:2" x14ac:dyDescent="0.25">
      <c r="A129" s="219" t="str">
        <f ca="1">IF(ROW()-1&gt;NumDataColumns,"",MAX(INDIRECT(CONCATENATE("R",ROW(ResultColumnLabels[#Headers]),"C",COLUMN(),":R",ROW()-1,"C",COLUMN()),FALSE))+1)</f>
        <v/>
      </c>
      <c r="B129" s="219" t="str">
        <f ca="1">IF(ResultColumnLabels[[#This Row],[Data Value Number]]="","",INDEX(DataColumns[ColumnLabel],MATCH(ResultColumnLabels[[#This Row],[Data Value Number]],DataColumns[DVNum],0)))</f>
        <v/>
      </c>
    </row>
    <row r="130" spans="1:2" x14ac:dyDescent="0.25">
      <c r="A130" s="219" t="str">
        <f ca="1">IF(ROW()-1&gt;NumDataColumns,"",MAX(INDIRECT(CONCATENATE("R",ROW(ResultColumnLabels[#Headers]),"C",COLUMN(),":R",ROW()-1,"C",COLUMN()),FALSE))+1)</f>
        <v/>
      </c>
      <c r="B130" s="219" t="str">
        <f ca="1">IF(ResultColumnLabels[[#This Row],[Data Value Number]]="","",INDEX(DataColumns[ColumnLabel],MATCH(ResultColumnLabels[[#This Row],[Data Value Number]],DataColumns[DVNum],0)))</f>
        <v/>
      </c>
    </row>
    <row r="131" spans="1:2" x14ac:dyDescent="0.25">
      <c r="A131" s="219" t="str">
        <f ca="1">IF(ROW()-1&gt;NumDataColumns,"",MAX(INDIRECT(CONCATENATE("R",ROW(ResultColumnLabels[#Headers]),"C",COLUMN(),":R",ROW()-1,"C",COLUMN()),FALSE))+1)</f>
        <v/>
      </c>
      <c r="B131" s="219" t="str">
        <f ca="1">IF(ResultColumnLabels[[#This Row],[Data Value Number]]="","",INDEX(DataColumns[ColumnLabel],MATCH(ResultColumnLabels[[#This Row],[Data Value Number]],DataColumns[DVNum],0)))</f>
        <v/>
      </c>
    </row>
    <row r="132" spans="1:2" x14ac:dyDescent="0.25">
      <c r="A132" s="219" t="str">
        <f ca="1">IF(ROW()-1&gt;NumDataColumns,"",MAX(INDIRECT(CONCATENATE("R",ROW(ResultColumnLabels[#Headers]),"C",COLUMN(),":R",ROW()-1,"C",COLUMN()),FALSE))+1)</f>
        <v/>
      </c>
      <c r="B132" s="219" t="str">
        <f ca="1">IF(ResultColumnLabels[[#This Row],[Data Value Number]]="","",INDEX(DataColumns[ColumnLabel],MATCH(ResultColumnLabels[[#This Row],[Data Value Number]],DataColumns[DVNum],0)))</f>
        <v/>
      </c>
    </row>
    <row r="133" spans="1:2" x14ac:dyDescent="0.25">
      <c r="A133" s="219" t="str">
        <f ca="1">IF(ROW()-1&gt;NumDataColumns,"",MAX(INDIRECT(CONCATENATE("R",ROW(ResultColumnLabels[#Headers]),"C",COLUMN(),":R",ROW()-1,"C",COLUMN()),FALSE))+1)</f>
        <v/>
      </c>
      <c r="B133" s="219" t="str">
        <f ca="1">IF(ResultColumnLabels[[#This Row],[Data Value Number]]="","",INDEX(DataColumns[ColumnLabel],MATCH(ResultColumnLabels[[#This Row],[Data Value Number]],DataColumns[DVNum],0)))</f>
        <v/>
      </c>
    </row>
    <row r="134" spans="1:2" x14ac:dyDescent="0.25">
      <c r="A134" s="219" t="str">
        <f ca="1">IF(ROW()-1&gt;NumDataColumns,"",MAX(INDIRECT(CONCATENATE("R",ROW(ResultColumnLabels[#Headers]),"C",COLUMN(),":R",ROW()-1,"C",COLUMN()),FALSE))+1)</f>
        <v/>
      </c>
      <c r="B134" s="219" t="str">
        <f ca="1">IF(ResultColumnLabels[[#This Row],[Data Value Number]]="","",INDEX(DataColumns[ColumnLabel],MATCH(ResultColumnLabels[[#This Row],[Data Value Number]],DataColumns[DVNum],0)))</f>
        <v/>
      </c>
    </row>
    <row r="135" spans="1:2" x14ac:dyDescent="0.25">
      <c r="A135" s="219" t="str">
        <f ca="1">IF(ROW()-1&gt;NumDataColumns,"",MAX(INDIRECT(CONCATENATE("R",ROW(ResultColumnLabels[#Headers]),"C",COLUMN(),":R",ROW()-1,"C",COLUMN()),FALSE))+1)</f>
        <v/>
      </c>
      <c r="B135" s="219" t="str">
        <f ca="1">IF(ResultColumnLabels[[#This Row],[Data Value Number]]="","",INDEX(DataColumns[ColumnLabel],MATCH(ResultColumnLabels[[#This Row],[Data Value Number]],DataColumns[DVNum],0)))</f>
        <v/>
      </c>
    </row>
    <row r="136" spans="1:2" x14ac:dyDescent="0.25">
      <c r="A136" s="219" t="str">
        <f ca="1">IF(ROW()-1&gt;NumDataColumns,"",MAX(INDIRECT(CONCATENATE("R",ROW(ResultColumnLabels[#Headers]),"C",COLUMN(),":R",ROW()-1,"C",COLUMN()),FALSE))+1)</f>
        <v/>
      </c>
      <c r="B136" s="219" t="str">
        <f ca="1">IF(ResultColumnLabels[[#This Row],[Data Value Number]]="","",INDEX(DataColumns[ColumnLabel],MATCH(ResultColumnLabels[[#This Row],[Data Value Number]],DataColumns[DVNum],0)))</f>
        <v/>
      </c>
    </row>
    <row r="137" spans="1:2" x14ac:dyDescent="0.25">
      <c r="A137" s="219" t="str">
        <f ca="1">IF(ROW()-1&gt;NumDataColumns,"",MAX(INDIRECT(CONCATENATE("R",ROW(ResultColumnLabels[#Headers]),"C",COLUMN(),":R",ROW()-1,"C",COLUMN()),FALSE))+1)</f>
        <v/>
      </c>
      <c r="B137" s="219" t="str">
        <f ca="1">IF(ResultColumnLabels[[#This Row],[Data Value Number]]="","",INDEX(DataColumns[ColumnLabel],MATCH(ResultColumnLabels[[#This Row],[Data Value Number]],DataColumns[DVNum],0)))</f>
        <v/>
      </c>
    </row>
    <row r="138" spans="1:2" x14ac:dyDescent="0.25">
      <c r="A138" s="219" t="str">
        <f ca="1">IF(ROW()-1&gt;NumDataColumns,"",MAX(INDIRECT(CONCATENATE("R",ROW(ResultColumnLabels[#Headers]),"C",COLUMN(),":R",ROW()-1,"C",COLUMN()),FALSE))+1)</f>
        <v/>
      </c>
      <c r="B138" s="219" t="str">
        <f ca="1">IF(ResultColumnLabels[[#This Row],[Data Value Number]]="","",INDEX(DataColumns[ColumnLabel],MATCH(ResultColumnLabels[[#This Row],[Data Value Number]],DataColumns[DVNum],0)))</f>
        <v/>
      </c>
    </row>
    <row r="139" spans="1:2" x14ac:dyDescent="0.25">
      <c r="A139" s="219" t="str">
        <f ca="1">IF(ROW()-1&gt;NumDataColumns,"",MAX(INDIRECT(CONCATENATE("R",ROW(ResultColumnLabels[#Headers]),"C",COLUMN(),":R",ROW()-1,"C",COLUMN()),FALSE))+1)</f>
        <v/>
      </c>
      <c r="B139" s="219" t="str">
        <f ca="1">IF(ResultColumnLabels[[#This Row],[Data Value Number]]="","",INDEX(DataColumns[ColumnLabel],MATCH(ResultColumnLabels[[#This Row],[Data Value Number]],DataColumns[DVNum],0)))</f>
        <v/>
      </c>
    </row>
    <row r="140" spans="1:2" x14ac:dyDescent="0.25">
      <c r="A140" s="219" t="str">
        <f ca="1">IF(ROW()-1&gt;NumDataColumns,"",MAX(INDIRECT(CONCATENATE("R",ROW(ResultColumnLabels[#Headers]),"C",COLUMN(),":R",ROW()-1,"C",COLUMN()),FALSE))+1)</f>
        <v/>
      </c>
      <c r="B140" s="219" t="str">
        <f ca="1">IF(ResultColumnLabels[[#This Row],[Data Value Number]]="","",INDEX(DataColumns[ColumnLabel],MATCH(ResultColumnLabels[[#This Row],[Data Value Number]],DataColumns[DVNum],0)))</f>
        <v/>
      </c>
    </row>
    <row r="141" spans="1:2" x14ac:dyDescent="0.25">
      <c r="A141" s="219" t="str">
        <f ca="1">IF(ROW()-1&gt;NumDataColumns,"",MAX(INDIRECT(CONCATENATE("R",ROW(ResultColumnLabels[#Headers]),"C",COLUMN(),":R",ROW()-1,"C",COLUMN()),FALSE))+1)</f>
        <v/>
      </c>
      <c r="B141" s="219" t="str">
        <f ca="1">IF(ResultColumnLabels[[#This Row],[Data Value Number]]="","",INDEX(DataColumns[ColumnLabel],MATCH(ResultColumnLabels[[#This Row],[Data Value Number]],DataColumns[DVNum],0)))</f>
        <v/>
      </c>
    </row>
    <row r="142" spans="1:2" x14ac:dyDescent="0.25">
      <c r="A142" s="219" t="str">
        <f ca="1">IF(ROW()-1&gt;NumDataColumns,"",MAX(INDIRECT(CONCATENATE("R",ROW(ResultColumnLabels[#Headers]),"C",COLUMN(),":R",ROW()-1,"C",COLUMN()),FALSE))+1)</f>
        <v/>
      </c>
      <c r="B142" s="219" t="str">
        <f ca="1">IF(ResultColumnLabels[[#This Row],[Data Value Number]]="","",INDEX(DataColumns[ColumnLabel],MATCH(ResultColumnLabels[[#This Row],[Data Value Number]],DataColumns[DVNum],0)))</f>
        <v/>
      </c>
    </row>
    <row r="143" spans="1:2" x14ac:dyDescent="0.25">
      <c r="A143" s="219" t="str">
        <f ca="1">IF(ROW()-1&gt;NumDataColumns,"",MAX(INDIRECT(CONCATENATE("R",ROW(ResultColumnLabels[#Headers]),"C",COLUMN(),":R",ROW()-1,"C",COLUMN()),FALSE))+1)</f>
        <v/>
      </c>
      <c r="B143" s="219" t="str">
        <f ca="1">IF(ResultColumnLabels[[#This Row],[Data Value Number]]="","",INDEX(DataColumns[ColumnLabel],MATCH(ResultColumnLabels[[#This Row],[Data Value Number]],DataColumns[DVNum],0)))</f>
        <v/>
      </c>
    </row>
    <row r="144" spans="1:2" x14ac:dyDescent="0.25">
      <c r="A144" s="219" t="str">
        <f ca="1">IF(ROW()-1&gt;NumDataColumns,"",MAX(INDIRECT(CONCATENATE("R",ROW(ResultColumnLabels[#Headers]),"C",COLUMN(),":R",ROW()-1,"C",COLUMN()),FALSE))+1)</f>
        <v/>
      </c>
      <c r="B144" s="219" t="str">
        <f ca="1">IF(ResultColumnLabels[[#This Row],[Data Value Number]]="","",INDEX(DataColumns[ColumnLabel],MATCH(ResultColumnLabels[[#This Row],[Data Value Number]],DataColumns[DVNum],0)))</f>
        <v/>
      </c>
    </row>
    <row r="145" spans="1:2" x14ac:dyDescent="0.25">
      <c r="A145" s="219" t="str">
        <f ca="1">IF(ROW()-1&gt;NumDataColumns,"",MAX(INDIRECT(CONCATENATE("R",ROW(ResultColumnLabels[#Headers]),"C",COLUMN(),":R",ROW()-1,"C",COLUMN()),FALSE))+1)</f>
        <v/>
      </c>
      <c r="B145" s="219" t="str">
        <f ca="1">IF(ResultColumnLabels[[#This Row],[Data Value Number]]="","",INDEX(DataColumns[ColumnLabel],MATCH(ResultColumnLabels[[#This Row],[Data Value Number]],DataColumns[DVNum],0)))</f>
        <v/>
      </c>
    </row>
    <row r="146" spans="1:2" x14ac:dyDescent="0.25">
      <c r="A146" s="219" t="str">
        <f ca="1">IF(ROW()-1&gt;NumDataColumns,"",MAX(INDIRECT(CONCATENATE("R",ROW(ResultColumnLabels[#Headers]),"C",COLUMN(),":R",ROW()-1,"C",COLUMN()),FALSE))+1)</f>
        <v/>
      </c>
      <c r="B146" s="219" t="str">
        <f ca="1">IF(ResultColumnLabels[[#This Row],[Data Value Number]]="","",INDEX(DataColumns[ColumnLabel],MATCH(ResultColumnLabels[[#This Row],[Data Value Number]],DataColumns[DVNum],0)))</f>
        <v/>
      </c>
    </row>
    <row r="147" spans="1:2" x14ac:dyDescent="0.25">
      <c r="A147" s="219" t="str">
        <f ca="1">IF(ROW()-1&gt;NumDataColumns,"",MAX(INDIRECT(CONCATENATE("R",ROW(ResultColumnLabels[#Headers]),"C",COLUMN(),":R",ROW()-1,"C",COLUMN()),FALSE))+1)</f>
        <v/>
      </c>
      <c r="B147" s="219" t="str">
        <f ca="1">IF(ResultColumnLabels[[#This Row],[Data Value Number]]="","",INDEX(DataColumns[ColumnLabel],MATCH(ResultColumnLabels[[#This Row],[Data Value Number]],DataColumns[DVNum],0)))</f>
        <v/>
      </c>
    </row>
    <row r="148" spans="1:2" x14ac:dyDescent="0.25">
      <c r="A148" s="219" t="str">
        <f ca="1">IF(ROW()-1&gt;NumDataColumns,"",MAX(INDIRECT(CONCATENATE("R",ROW(ResultColumnLabels[#Headers]),"C",COLUMN(),":R",ROW()-1,"C",COLUMN()),FALSE))+1)</f>
        <v/>
      </c>
      <c r="B148" s="219" t="str">
        <f ca="1">IF(ResultColumnLabels[[#This Row],[Data Value Number]]="","",INDEX(DataColumns[ColumnLabel],MATCH(ResultColumnLabels[[#This Row],[Data Value Number]],DataColumns[DVNum],0)))</f>
        <v/>
      </c>
    </row>
    <row r="149" spans="1:2" x14ac:dyDescent="0.25">
      <c r="A149" s="219" t="str">
        <f ca="1">IF(ROW()-1&gt;NumDataColumns,"",MAX(INDIRECT(CONCATENATE("R",ROW(ResultColumnLabels[#Headers]),"C",COLUMN(),":R",ROW()-1,"C",COLUMN()),FALSE))+1)</f>
        <v/>
      </c>
      <c r="B149" s="219" t="str">
        <f ca="1">IF(ResultColumnLabels[[#This Row],[Data Value Number]]="","",INDEX(DataColumns[ColumnLabel],MATCH(ResultColumnLabels[[#This Row],[Data Value Number]],DataColumns[DVNum],0)))</f>
        <v/>
      </c>
    </row>
    <row r="150" spans="1:2" x14ac:dyDescent="0.25">
      <c r="A150" s="219" t="str">
        <f ca="1">IF(ROW()-1&gt;NumDataColumns,"",MAX(INDIRECT(CONCATENATE("R",ROW(ResultColumnLabels[#Headers]),"C",COLUMN(),":R",ROW()-1,"C",COLUMN()),FALSE))+1)</f>
        <v/>
      </c>
      <c r="B150" s="219" t="str">
        <f ca="1">IF(ResultColumnLabels[[#This Row],[Data Value Number]]="","",INDEX(DataColumns[ColumnLabel],MATCH(ResultColumnLabels[[#This Row],[Data Value Number]],DataColumns[DVNum],0)))</f>
        <v/>
      </c>
    </row>
    <row r="151" spans="1:2" x14ac:dyDescent="0.25">
      <c r="A151" s="219" t="str">
        <f ca="1">IF(ROW()-1&gt;NumDataColumns,"",MAX(INDIRECT(CONCATENATE("R",ROW(ResultColumnLabels[#Headers]),"C",COLUMN(),":R",ROW()-1,"C",COLUMN()),FALSE))+1)</f>
        <v/>
      </c>
      <c r="B151" s="219" t="str">
        <f ca="1">IF(ResultColumnLabels[[#This Row],[Data Value Number]]="","",INDEX(DataColumns[ColumnLabel],MATCH(ResultColumnLabels[[#This Row],[Data Value Number]],DataColumns[DVNum],0)))</f>
        <v/>
      </c>
    </row>
    <row r="152" spans="1:2" x14ac:dyDescent="0.25">
      <c r="A152" s="219" t="str">
        <f ca="1">IF(ROW()-1&gt;NumDataColumns,"",MAX(INDIRECT(CONCATENATE("R",ROW(ResultColumnLabels[#Headers]),"C",COLUMN(),":R",ROW()-1,"C",COLUMN()),FALSE))+1)</f>
        <v/>
      </c>
      <c r="B152" s="219" t="str">
        <f ca="1">IF(ResultColumnLabels[[#This Row],[Data Value Number]]="","",INDEX(DataColumns[ColumnLabel],MATCH(ResultColumnLabels[[#This Row],[Data Value Number]],DataColumns[DVNum],0)))</f>
        <v/>
      </c>
    </row>
    <row r="153" spans="1:2" x14ac:dyDescent="0.25">
      <c r="A153" s="219" t="str">
        <f ca="1">IF(ROW()-1&gt;NumDataColumns,"",MAX(INDIRECT(CONCATENATE("R",ROW(ResultColumnLabels[#Headers]),"C",COLUMN(),":R",ROW()-1,"C",COLUMN()),FALSE))+1)</f>
        <v/>
      </c>
      <c r="B153" s="219" t="str">
        <f ca="1">IF(ResultColumnLabels[[#This Row],[Data Value Number]]="","",INDEX(DataColumns[ColumnLabel],MATCH(ResultColumnLabels[[#This Row],[Data Value Number]],DataColumns[DVNum],0)))</f>
        <v/>
      </c>
    </row>
    <row r="154" spans="1:2" x14ac:dyDescent="0.25">
      <c r="A154" s="219" t="str">
        <f ca="1">IF(ROW()-1&gt;NumDataColumns,"",MAX(INDIRECT(CONCATENATE("R",ROW(ResultColumnLabels[#Headers]),"C",COLUMN(),":R",ROW()-1,"C",COLUMN()),FALSE))+1)</f>
        <v/>
      </c>
      <c r="B154" s="219" t="str">
        <f ca="1">IF(ResultColumnLabels[[#This Row],[Data Value Number]]="","",INDEX(DataColumns[ColumnLabel],MATCH(ResultColumnLabels[[#This Row],[Data Value Number]],DataColumns[DVNum],0)))</f>
        <v/>
      </c>
    </row>
    <row r="155" spans="1:2" x14ac:dyDescent="0.25">
      <c r="A155" s="219" t="str">
        <f ca="1">IF(ROW()-1&gt;NumDataColumns,"",MAX(INDIRECT(CONCATENATE("R",ROW(ResultColumnLabels[#Headers]),"C",COLUMN(),":R",ROW()-1,"C",COLUMN()),FALSE))+1)</f>
        <v/>
      </c>
      <c r="B155" s="219" t="str">
        <f ca="1">IF(ResultColumnLabels[[#This Row],[Data Value Number]]="","",INDEX(DataColumns[ColumnLabel],MATCH(ResultColumnLabels[[#This Row],[Data Value Number]],DataColumns[DVNum],0)))</f>
        <v/>
      </c>
    </row>
    <row r="156" spans="1:2" x14ac:dyDescent="0.25">
      <c r="A156" s="219" t="str">
        <f ca="1">IF(ROW()-1&gt;NumDataColumns,"",MAX(INDIRECT(CONCATENATE("R",ROW(ResultColumnLabels[#Headers]),"C",COLUMN(),":R",ROW()-1,"C",COLUMN()),FALSE))+1)</f>
        <v/>
      </c>
      <c r="B156" s="219" t="str">
        <f ca="1">IF(ResultColumnLabels[[#This Row],[Data Value Number]]="","",INDEX(DataColumns[ColumnLabel],MATCH(ResultColumnLabels[[#This Row],[Data Value Number]],DataColumns[DVNum],0)))</f>
        <v/>
      </c>
    </row>
    <row r="157" spans="1:2" x14ac:dyDescent="0.25">
      <c r="A157" s="219" t="str">
        <f ca="1">IF(ROW()-1&gt;NumDataColumns,"",MAX(INDIRECT(CONCATENATE("R",ROW(ResultColumnLabels[#Headers]),"C",COLUMN(),":R",ROW()-1,"C",COLUMN()),FALSE))+1)</f>
        <v/>
      </c>
      <c r="B157" s="219" t="str">
        <f ca="1">IF(ResultColumnLabels[[#This Row],[Data Value Number]]="","",INDEX(DataColumns[ColumnLabel],MATCH(ResultColumnLabels[[#This Row],[Data Value Number]],DataColumns[DVNum],0)))</f>
        <v/>
      </c>
    </row>
    <row r="158" spans="1:2" x14ac:dyDescent="0.25">
      <c r="A158" s="219" t="str">
        <f ca="1">IF(ROW()-1&gt;NumDataColumns,"",MAX(INDIRECT(CONCATENATE("R",ROW(ResultColumnLabels[#Headers]),"C",COLUMN(),":R",ROW()-1,"C",COLUMN()),FALSE))+1)</f>
        <v/>
      </c>
      <c r="B158" s="219" t="str">
        <f ca="1">IF(ResultColumnLabels[[#This Row],[Data Value Number]]="","",INDEX(DataColumns[ColumnLabel],MATCH(ResultColumnLabels[[#This Row],[Data Value Number]],DataColumns[DVNum],0)))</f>
        <v/>
      </c>
    </row>
    <row r="159" spans="1:2" x14ac:dyDescent="0.25">
      <c r="A159" s="219" t="str">
        <f ca="1">IF(ROW()-1&gt;NumDataColumns,"",MAX(INDIRECT(CONCATENATE("R",ROW(ResultColumnLabels[#Headers]),"C",COLUMN(),":R",ROW()-1,"C",COLUMN()),FALSE))+1)</f>
        <v/>
      </c>
      <c r="B159" s="219" t="str">
        <f ca="1">IF(ResultColumnLabels[[#This Row],[Data Value Number]]="","",INDEX(DataColumns[ColumnLabel],MATCH(ResultColumnLabels[[#This Row],[Data Value Number]],DataColumns[DVNum],0)))</f>
        <v/>
      </c>
    </row>
    <row r="160" spans="1:2" x14ac:dyDescent="0.25">
      <c r="A160" s="219" t="str">
        <f ca="1">IF(ROW()-1&gt;NumDataColumns,"",MAX(INDIRECT(CONCATENATE("R",ROW(ResultColumnLabels[#Headers]),"C",COLUMN(),":R",ROW()-1,"C",COLUMN()),FALSE))+1)</f>
        <v/>
      </c>
      <c r="B160" s="219" t="str">
        <f ca="1">IF(ResultColumnLabels[[#This Row],[Data Value Number]]="","",INDEX(DataColumns[ColumnLabel],MATCH(ResultColumnLabels[[#This Row],[Data Value Number]],DataColumns[DVNum],0)))</f>
        <v/>
      </c>
    </row>
    <row r="161" spans="1:2" x14ac:dyDescent="0.25">
      <c r="A161" s="219" t="str">
        <f ca="1">IF(ROW()-1&gt;NumDataColumns,"",MAX(INDIRECT(CONCATENATE("R",ROW(ResultColumnLabels[#Headers]),"C",COLUMN(),":R",ROW()-1,"C",COLUMN()),FALSE))+1)</f>
        <v/>
      </c>
      <c r="B161" s="219" t="str">
        <f ca="1">IF(ResultColumnLabels[[#This Row],[Data Value Number]]="","",INDEX(DataColumns[ColumnLabel],MATCH(ResultColumnLabels[[#This Row],[Data Value Number]],DataColumns[DVNum],0)))</f>
        <v/>
      </c>
    </row>
    <row r="162" spans="1:2" x14ac:dyDescent="0.25">
      <c r="A162" s="219" t="str">
        <f ca="1">IF(ROW()-1&gt;NumDataColumns,"",MAX(INDIRECT(CONCATENATE("R",ROW(ResultColumnLabels[#Headers]),"C",COLUMN(),":R",ROW()-1,"C",COLUMN()),FALSE))+1)</f>
        <v/>
      </c>
      <c r="B162" s="219" t="str">
        <f ca="1">IF(ResultColumnLabels[[#This Row],[Data Value Number]]="","",INDEX(DataColumns[ColumnLabel],MATCH(ResultColumnLabels[[#This Row],[Data Value Number]],DataColumns[DVNum],0)))</f>
        <v/>
      </c>
    </row>
    <row r="163" spans="1:2" x14ac:dyDescent="0.25">
      <c r="A163" s="219" t="str">
        <f ca="1">IF(ROW()-1&gt;NumDataColumns,"",MAX(INDIRECT(CONCATENATE("R",ROW(ResultColumnLabels[#Headers]),"C",COLUMN(),":R",ROW()-1,"C",COLUMN()),FALSE))+1)</f>
        <v/>
      </c>
      <c r="B163" s="219" t="str">
        <f ca="1">IF(ResultColumnLabels[[#This Row],[Data Value Number]]="","",INDEX(DataColumns[ColumnLabel],MATCH(ResultColumnLabels[[#This Row],[Data Value Number]],DataColumns[DVNum],0)))</f>
        <v/>
      </c>
    </row>
    <row r="164" spans="1:2" x14ac:dyDescent="0.25">
      <c r="A164" s="219" t="str">
        <f ca="1">IF(ROW()-1&gt;NumDataColumns,"",MAX(INDIRECT(CONCATENATE("R",ROW(ResultColumnLabels[#Headers]),"C",COLUMN(),":R",ROW()-1,"C",COLUMN()),FALSE))+1)</f>
        <v/>
      </c>
      <c r="B164" s="219" t="str">
        <f ca="1">IF(ResultColumnLabels[[#This Row],[Data Value Number]]="","",INDEX(DataColumns[ColumnLabel],MATCH(ResultColumnLabels[[#This Row],[Data Value Number]],DataColumns[DVNum],0)))</f>
        <v/>
      </c>
    </row>
    <row r="165" spans="1:2" x14ac:dyDescent="0.25">
      <c r="A165" s="219" t="str">
        <f ca="1">IF(ROW()-1&gt;NumDataColumns,"",MAX(INDIRECT(CONCATENATE("R",ROW(ResultColumnLabels[#Headers]),"C",COLUMN(),":R",ROW()-1,"C",COLUMN()),FALSE))+1)</f>
        <v/>
      </c>
      <c r="B165" s="219" t="str">
        <f ca="1">IF(ResultColumnLabels[[#This Row],[Data Value Number]]="","",INDEX(DataColumns[ColumnLabel],MATCH(ResultColumnLabels[[#This Row],[Data Value Number]],DataColumns[DVNum],0)))</f>
        <v/>
      </c>
    </row>
    <row r="166" spans="1:2" x14ac:dyDescent="0.25">
      <c r="A166" s="219" t="str">
        <f ca="1">IF(ROW()-1&gt;NumDataColumns,"",MAX(INDIRECT(CONCATENATE("R",ROW(ResultColumnLabels[#Headers]),"C",COLUMN(),":R",ROW()-1,"C",COLUMN()),FALSE))+1)</f>
        <v/>
      </c>
      <c r="B166" s="219" t="str">
        <f ca="1">IF(ResultColumnLabels[[#This Row],[Data Value Number]]="","",INDEX(DataColumns[ColumnLabel],MATCH(ResultColumnLabels[[#This Row],[Data Value Number]],DataColumns[DVNum],0)))</f>
        <v/>
      </c>
    </row>
    <row r="167" spans="1:2" x14ac:dyDescent="0.25">
      <c r="A167" s="219" t="str">
        <f ca="1">IF(ROW()-1&gt;NumDataColumns,"",MAX(INDIRECT(CONCATENATE("R",ROW(ResultColumnLabels[#Headers]),"C",COLUMN(),":R",ROW()-1,"C",COLUMN()),FALSE))+1)</f>
        <v/>
      </c>
      <c r="B167" s="219" t="str">
        <f ca="1">IF(ResultColumnLabels[[#This Row],[Data Value Number]]="","",INDEX(DataColumns[ColumnLabel],MATCH(ResultColumnLabels[[#This Row],[Data Value Number]],DataColumns[DVNum],0)))</f>
        <v/>
      </c>
    </row>
    <row r="168" spans="1:2" x14ac:dyDescent="0.25">
      <c r="A168" s="219" t="str">
        <f ca="1">IF(ROW()-1&gt;NumDataColumns,"",MAX(INDIRECT(CONCATENATE("R",ROW(ResultColumnLabels[#Headers]),"C",COLUMN(),":R",ROW()-1,"C",COLUMN()),FALSE))+1)</f>
        <v/>
      </c>
      <c r="B168" s="219" t="str">
        <f ca="1">IF(ResultColumnLabels[[#This Row],[Data Value Number]]="","",INDEX(DataColumns[ColumnLabel],MATCH(ResultColumnLabels[[#This Row],[Data Value Number]],DataColumns[DVNum],0)))</f>
        <v/>
      </c>
    </row>
    <row r="169" spans="1:2" x14ac:dyDescent="0.25">
      <c r="A169" s="219" t="str">
        <f ca="1">IF(ROW()-1&gt;NumDataColumns,"",MAX(INDIRECT(CONCATENATE("R",ROW(ResultColumnLabels[#Headers]),"C",COLUMN(),":R",ROW()-1,"C",COLUMN()),FALSE))+1)</f>
        <v/>
      </c>
      <c r="B169" s="219" t="str">
        <f ca="1">IF(ResultColumnLabels[[#This Row],[Data Value Number]]="","",INDEX(DataColumns[ColumnLabel],MATCH(ResultColumnLabels[[#This Row],[Data Value Number]],DataColumns[DVNum],0)))</f>
        <v/>
      </c>
    </row>
    <row r="170" spans="1:2" x14ac:dyDescent="0.25">
      <c r="A170" s="219" t="str">
        <f ca="1">IF(ROW()-1&gt;NumDataColumns,"",MAX(INDIRECT(CONCATENATE("R",ROW(ResultColumnLabels[#Headers]),"C",COLUMN(),":R",ROW()-1,"C",COLUMN()),FALSE))+1)</f>
        <v/>
      </c>
      <c r="B170" s="219" t="str">
        <f ca="1">IF(ResultColumnLabels[[#This Row],[Data Value Number]]="","",INDEX(DataColumns[ColumnLabel],MATCH(ResultColumnLabels[[#This Row],[Data Value Number]],DataColumns[DVNum],0)))</f>
        <v/>
      </c>
    </row>
    <row r="171" spans="1:2" x14ac:dyDescent="0.25">
      <c r="A171" s="219" t="str">
        <f ca="1">IF(ROW()-1&gt;NumDataColumns,"",MAX(INDIRECT(CONCATENATE("R",ROW(ResultColumnLabels[#Headers]),"C",COLUMN(),":R",ROW()-1,"C",COLUMN()),FALSE))+1)</f>
        <v/>
      </c>
      <c r="B171" s="219" t="str">
        <f ca="1">IF(ResultColumnLabels[[#This Row],[Data Value Number]]="","",INDEX(DataColumns[ColumnLabel],MATCH(ResultColumnLabels[[#This Row],[Data Value Number]],DataColumns[DVNum],0)))</f>
        <v/>
      </c>
    </row>
    <row r="172" spans="1:2" x14ac:dyDescent="0.25">
      <c r="A172" s="219" t="str">
        <f ca="1">IF(ROW()-1&gt;NumDataColumns,"",MAX(INDIRECT(CONCATENATE("R",ROW(ResultColumnLabels[#Headers]),"C",COLUMN(),":R",ROW()-1,"C",COLUMN()),FALSE))+1)</f>
        <v/>
      </c>
      <c r="B172" s="219" t="str">
        <f ca="1">IF(ResultColumnLabels[[#This Row],[Data Value Number]]="","",INDEX(DataColumns[ColumnLabel],MATCH(ResultColumnLabels[[#This Row],[Data Value Number]],DataColumns[DVNum],0)))</f>
        <v/>
      </c>
    </row>
    <row r="173" spans="1:2" x14ac:dyDescent="0.25">
      <c r="A173" s="219" t="str">
        <f ca="1">IF(ROW()-1&gt;NumDataColumns,"",MAX(INDIRECT(CONCATENATE("R",ROW(ResultColumnLabels[#Headers]),"C",COLUMN(),":R",ROW()-1,"C",COLUMN()),FALSE))+1)</f>
        <v/>
      </c>
      <c r="B173" s="219" t="str">
        <f ca="1">IF(ResultColumnLabels[[#This Row],[Data Value Number]]="","",INDEX(DataColumns[ColumnLabel],MATCH(ResultColumnLabels[[#This Row],[Data Value Number]],DataColumns[DVNum],0)))</f>
        <v/>
      </c>
    </row>
    <row r="174" spans="1:2" x14ac:dyDescent="0.25">
      <c r="A174" s="219" t="str">
        <f ca="1">IF(ROW()-1&gt;NumDataColumns,"",MAX(INDIRECT(CONCATENATE("R",ROW(ResultColumnLabels[#Headers]),"C",COLUMN(),":R",ROW()-1,"C",COLUMN()),FALSE))+1)</f>
        <v/>
      </c>
      <c r="B174" s="219" t="str">
        <f ca="1">IF(ResultColumnLabels[[#This Row],[Data Value Number]]="","",INDEX(DataColumns[ColumnLabel],MATCH(ResultColumnLabels[[#This Row],[Data Value Number]],DataColumns[DVNum],0)))</f>
        <v/>
      </c>
    </row>
    <row r="175" spans="1:2" x14ac:dyDescent="0.25">
      <c r="A175" s="219" t="str">
        <f ca="1">IF(ROW()-1&gt;NumDataColumns,"",MAX(INDIRECT(CONCATENATE("R",ROW(ResultColumnLabels[#Headers]),"C",COLUMN(),":R",ROW()-1,"C",COLUMN()),FALSE))+1)</f>
        <v/>
      </c>
      <c r="B175" s="219" t="str">
        <f ca="1">IF(ResultColumnLabels[[#This Row],[Data Value Number]]="","",INDEX(DataColumns[ColumnLabel],MATCH(ResultColumnLabels[[#This Row],[Data Value Number]],DataColumns[DVNum],0)))</f>
        <v/>
      </c>
    </row>
    <row r="176" spans="1:2" x14ac:dyDescent="0.25">
      <c r="A176" s="219" t="str">
        <f ca="1">IF(ROW()-1&gt;NumDataColumns,"",MAX(INDIRECT(CONCATENATE("R",ROW(ResultColumnLabels[#Headers]),"C",COLUMN(),":R",ROW()-1,"C",COLUMN()),FALSE))+1)</f>
        <v/>
      </c>
      <c r="B176" s="219" t="str">
        <f ca="1">IF(ResultColumnLabels[[#This Row],[Data Value Number]]="","",INDEX(DataColumns[ColumnLabel],MATCH(ResultColumnLabels[[#This Row],[Data Value Number]],DataColumns[DVNum],0)))</f>
        <v/>
      </c>
    </row>
    <row r="177" spans="1:2" x14ac:dyDescent="0.25">
      <c r="A177" s="219" t="str">
        <f ca="1">IF(ROW()-1&gt;NumDataColumns,"",MAX(INDIRECT(CONCATENATE("R",ROW(ResultColumnLabels[#Headers]),"C",COLUMN(),":R",ROW()-1,"C",COLUMN()),FALSE))+1)</f>
        <v/>
      </c>
      <c r="B177" s="219" t="str">
        <f ca="1">IF(ResultColumnLabels[[#This Row],[Data Value Number]]="","",INDEX(DataColumns[ColumnLabel],MATCH(ResultColumnLabels[[#This Row],[Data Value Number]],DataColumns[DVNum],0)))</f>
        <v/>
      </c>
    </row>
    <row r="178" spans="1:2" x14ac:dyDescent="0.25">
      <c r="A178" s="219" t="str">
        <f ca="1">IF(ROW()-1&gt;NumDataColumns,"",MAX(INDIRECT(CONCATENATE("R",ROW(ResultColumnLabels[#Headers]),"C",COLUMN(),":R",ROW()-1,"C",COLUMN()),FALSE))+1)</f>
        <v/>
      </c>
      <c r="B178" s="219" t="str">
        <f ca="1">IF(ResultColumnLabels[[#This Row],[Data Value Number]]="","",INDEX(DataColumns[ColumnLabel],MATCH(ResultColumnLabels[[#This Row],[Data Value Number]],DataColumns[DVNum],0)))</f>
        <v/>
      </c>
    </row>
    <row r="179" spans="1:2" x14ac:dyDescent="0.25">
      <c r="A179" s="219" t="str">
        <f ca="1">IF(ROW()-1&gt;NumDataColumns,"",MAX(INDIRECT(CONCATENATE("R",ROW(ResultColumnLabels[#Headers]),"C",COLUMN(),":R",ROW()-1,"C",COLUMN()),FALSE))+1)</f>
        <v/>
      </c>
      <c r="B179" s="219" t="str">
        <f ca="1">IF(ResultColumnLabels[[#This Row],[Data Value Number]]="","",INDEX(DataColumns[ColumnLabel],MATCH(ResultColumnLabels[[#This Row],[Data Value Number]],DataColumns[DVNum],0)))</f>
        <v/>
      </c>
    </row>
    <row r="180" spans="1:2" x14ac:dyDescent="0.25">
      <c r="A180" s="219" t="str">
        <f ca="1">IF(ROW()-1&gt;NumDataColumns,"",MAX(INDIRECT(CONCATENATE("R",ROW(ResultColumnLabels[#Headers]),"C",COLUMN(),":R",ROW()-1,"C",COLUMN()),FALSE))+1)</f>
        <v/>
      </c>
      <c r="B180" s="219" t="str">
        <f ca="1">IF(ResultColumnLabels[[#This Row],[Data Value Number]]="","",INDEX(DataColumns[ColumnLabel],MATCH(ResultColumnLabels[[#This Row],[Data Value Number]],DataColumns[DVNum],0)))</f>
        <v/>
      </c>
    </row>
    <row r="181" spans="1:2" x14ac:dyDescent="0.25">
      <c r="A181" s="219" t="str">
        <f ca="1">IF(ROW()-1&gt;NumDataColumns,"",MAX(INDIRECT(CONCATENATE("R",ROW(ResultColumnLabels[#Headers]),"C",COLUMN(),":R",ROW()-1,"C",COLUMN()),FALSE))+1)</f>
        <v/>
      </c>
      <c r="B181" s="219" t="str">
        <f ca="1">IF(ResultColumnLabels[[#This Row],[Data Value Number]]="","",INDEX(DataColumns[ColumnLabel],MATCH(ResultColumnLabels[[#This Row],[Data Value Number]],DataColumns[DVNum],0)))</f>
        <v/>
      </c>
    </row>
    <row r="182" spans="1:2" x14ac:dyDescent="0.25">
      <c r="A182" s="219" t="str">
        <f ca="1">IF(ROW()-1&gt;NumDataColumns,"",MAX(INDIRECT(CONCATENATE("R",ROW(ResultColumnLabels[#Headers]),"C",COLUMN(),":R",ROW()-1,"C",COLUMN()),FALSE))+1)</f>
        <v/>
      </c>
      <c r="B182" s="219" t="str">
        <f ca="1">IF(ResultColumnLabels[[#This Row],[Data Value Number]]="","",INDEX(DataColumns[ColumnLabel],MATCH(ResultColumnLabels[[#This Row],[Data Value Number]],DataColumns[DVNum],0)))</f>
        <v/>
      </c>
    </row>
    <row r="183" spans="1:2" x14ac:dyDescent="0.25">
      <c r="A183" s="219" t="str">
        <f ca="1">IF(ROW()-1&gt;NumDataColumns,"",MAX(INDIRECT(CONCATENATE("R",ROW(ResultColumnLabels[#Headers]),"C",COLUMN(),":R",ROW()-1,"C",COLUMN()),FALSE))+1)</f>
        <v/>
      </c>
      <c r="B183" s="219" t="str">
        <f ca="1">IF(ResultColumnLabels[[#This Row],[Data Value Number]]="","",INDEX(DataColumns[ColumnLabel],MATCH(ResultColumnLabels[[#This Row],[Data Value Number]],DataColumns[DVNum],0)))</f>
        <v/>
      </c>
    </row>
    <row r="184" spans="1:2" x14ac:dyDescent="0.25">
      <c r="A184" s="219" t="str">
        <f ca="1">IF(ROW()-1&gt;NumDataColumns,"",MAX(INDIRECT(CONCATENATE("R",ROW(ResultColumnLabels[#Headers]),"C",COLUMN(),":R",ROW()-1,"C",COLUMN()),FALSE))+1)</f>
        <v/>
      </c>
      <c r="B184" s="219" t="str">
        <f ca="1">IF(ResultColumnLabels[[#This Row],[Data Value Number]]="","",INDEX(DataColumns[ColumnLabel],MATCH(ResultColumnLabels[[#This Row],[Data Value Number]],DataColumns[DVNum],0)))</f>
        <v/>
      </c>
    </row>
    <row r="185" spans="1:2" x14ac:dyDescent="0.25">
      <c r="A185" s="219" t="str">
        <f ca="1">IF(ROW()-1&gt;NumDataColumns,"",MAX(INDIRECT(CONCATENATE("R",ROW(ResultColumnLabels[#Headers]),"C",COLUMN(),":R",ROW()-1,"C",COLUMN()),FALSE))+1)</f>
        <v/>
      </c>
      <c r="B185" s="219" t="str">
        <f ca="1">IF(ResultColumnLabels[[#This Row],[Data Value Number]]="","",INDEX(DataColumns[ColumnLabel],MATCH(ResultColumnLabels[[#This Row],[Data Value Number]],DataColumns[DVNum],0)))</f>
        <v/>
      </c>
    </row>
    <row r="186" spans="1:2" x14ac:dyDescent="0.25">
      <c r="A186" s="219" t="str">
        <f ca="1">IF(ROW()-1&gt;NumDataColumns,"",MAX(INDIRECT(CONCATENATE("R",ROW(ResultColumnLabels[#Headers]),"C",COLUMN(),":R",ROW()-1,"C",COLUMN()),FALSE))+1)</f>
        <v/>
      </c>
      <c r="B186" s="219" t="str">
        <f ca="1">IF(ResultColumnLabels[[#This Row],[Data Value Number]]="","",INDEX(DataColumns[ColumnLabel],MATCH(ResultColumnLabels[[#This Row],[Data Value Number]],DataColumns[DVNum],0)))</f>
        <v/>
      </c>
    </row>
    <row r="187" spans="1:2" x14ac:dyDescent="0.25">
      <c r="A187" s="219" t="str">
        <f ca="1">IF(ROW()-1&gt;NumDataColumns,"",MAX(INDIRECT(CONCATENATE("R",ROW(ResultColumnLabels[#Headers]),"C",COLUMN(),":R",ROW()-1,"C",COLUMN()),FALSE))+1)</f>
        <v/>
      </c>
      <c r="B187" s="219" t="str">
        <f ca="1">IF(ResultColumnLabels[[#This Row],[Data Value Number]]="","",INDEX(DataColumns[ColumnLabel],MATCH(ResultColumnLabels[[#This Row],[Data Value Number]],DataColumns[DVNum],0)))</f>
        <v/>
      </c>
    </row>
    <row r="188" spans="1:2" x14ac:dyDescent="0.25">
      <c r="A188" s="219" t="str">
        <f ca="1">IF(ROW()-1&gt;NumDataColumns,"",MAX(INDIRECT(CONCATENATE("R",ROW(ResultColumnLabels[#Headers]),"C",COLUMN(),":R",ROW()-1,"C",COLUMN()),FALSE))+1)</f>
        <v/>
      </c>
      <c r="B188" s="219" t="str">
        <f ca="1">IF(ResultColumnLabels[[#This Row],[Data Value Number]]="","",INDEX(DataColumns[ColumnLabel],MATCH(ResultColumnLabels[[#This Row],[Data Value Number]],DataColumns[DVNum],0)))</f>
        <v/>
      </c>
    </row>
    <row r="189" spans="1:2" x14ac:dyDescent="0.25">
      <c r="A189" s="219" t="str">
        <f ca="1">IF(ROW()-1&gt;NumDataColumns,"",MAX(INDIRECT(CONCATENATE("R",ROW(ResultColumnLabels[#Headers]),"C",COLUMN(),":R",ROW()-1,"C",COLUMN()),FALSE))+1)</f>
        <v/>
      </c>
      <c r="B189" s="219" t="str">
        <f ca="1">IF(ResultColumnLabels[[#This Row],[Data Value Number]]="","",INDEX(DataColumns[ColumnLabel],MATCH(ResultColumnLabels[[#This Row],[Data Value Number]],DataColumns[DVNum],0)))</f>
        <v/>
      </c>
    </row>
    <row r="190" spans="1:2" x14ac:dyDescent="0.25">
      <c r="A190" s="219" t="str">
        <f ca="1">IF(ROW()-1&gt;NumDataColumns,"",MAX(INDIRECT(CONCATENATE("R",ROW(ResultColumnLabels[#Headers]),"C",COLUMN(),":R",ROW()-1,"C",COLUMN()),FALSE))+1)</f>
        <v/>
      </c>
      <c r="B190" s="219" t="str">
        <f ca="1">IF(ResultColumnLabels[[#This Row],[Data Value Number]]="","",INDEX(DataColumns[ColumnLabel],MATCH(ResultColumnLabels[[#This Row],[Data Value Number]],DataColumns[DVNum],0)))</f>
        <v/>
      </c>
    </row>
    <row r="191" spans="1:2" x14ac:dyDescent="0.25">
      <c r="A191" s="219" t="str">
        <f ca="1">IF(ROW()-1&gt;NumDataColumns,"",MAX(INDIRECT(CONCATENATE("R",ROW(ResultColumnLabels[#Headers]),"C",COLUMN(),":R",ROW()-1,"C",COLUMN()),FALSE))+1)</f>
        <v/>
      </c>
      <c r="B191" s="219" t="str">
        <f ca="1">IF(ResultColumnLabels[[#This Row],[Data Value Number]]="","",INDEX(DataColumns[ColumnLabel],MATCH(ResultColumnLabels[[#This Row],[Data Value Number]],DataColumns[DVNum],0)))</f>
        <v/>
      </c>
    </row>
    <row r="192" spans="1:2" x14ac:dyDescent="0.25">
      <c r="A192" s="219" t="str">
        <f ca="1">IF(ROW()-1&gt;NumDataColumns,"",MAX(INDIRECT(CONCATENATE("R",ROW(ResultColumnLabels[#Headers]),"C",COLUMN(),":R",ROW()-1,"C",COLUMN()),FALSE))+1)</f>
        <v/>
      </c>
      <c r="B192" s="219" t="str">
        <f ca="1">IF(ResultColumnLabels[[#This Row],[Data Value Number]]="","",INDEX(DataColumns[ColumnLabel],MATCH(ResultColumnLabels[[#This Row],[Data Value Number]],DataColumns[DVNum],0)))</f>
        <v/>
      </c>
    </row>
    <row r="193" spans="1:2" x14ac:dyDescent="0.25">
      <c r="A193" s="219" t="str">
        <f ca="1">IF(ROW()-1&gt;NumDataColumns,"",MAX(INDIRECT(CONCATENATE("R",ROW(ResultColumnLabels[#Headers]),"C",COLUMN(),":R",ROW()-1,"C",COLUMN()),FALSE))+1)</f>
        <v/>
      </c>
      <c r="B193" s="219" t="str">
        <f ca="1">IF(ResultColumnLabels[[#This Row],[Data Value Number]]="","",INDEX(DataColumns[ColumnLabel],MATCH(ResultColumnLabels[[#This Row],[Data Value Number]],DataColumns[DVNum],0)))</f>
        <v/>
      </c>
    </row>
    <row r="194" spans="1:2" x14ac:dyDescent="0.25">
      <c r="A194" s="219" t="str">
        <f ca="1">IF(ROW()-1&gt;NumDataColumns,"",MAX(INDIRECT(CONCATENATE("R",ROW(ResultColumnLabels[#Headers]),"C",COLUMN(),":R",ROW()-1,"C",COLUMN()),FALSE))+1)</f>
        <v/>
      </c>
      <c r="B194" s="219" t="str">
        <f ca="1">IF(ResultColumnLabels[[#This Row],[Data Value Number]]="","",INDEX(DataColumns[ColumnLabel],MATCH(ResultColumnLabels[[#This Row],[Data Value Number]],DataColumns[DVNum],0)))</f>
        <v/>
      </c>
    </row>
    <row r="195" spans="1:2" x14ac:dyDescent="0.25">
      <c r="A195" s="219" t="str">
        <f ca="1">IF(ROW()-1&gt;NumDataColumns,"",MAX(INDIRECT(CONCATENATE("R",ROW(ResultColumnLabels[#Headers]),"C",COLUMN(),":R",ROW()-1,"C",COLUMN()),FALSE))+1)</f>
        <v/>
      </c>
      <c r="B195" s="219" t="str">
        <f ca="1">IF(ResultColumnLabels[[#This Row],[Data Value Number]]="","",INDEX(DataColumns[ColumnLabel],MATCH(ResultColumnLabels[[#This Row],[Data Value Number]],DataColumns[DVNum],0)))</f>
        <v/>
      </c>
    </row>
    <row r="196" spans="1:2" x14ac:dyDescent="0.25">
      <c r="A196" s="219" t="str">
        <f ca="1">IF(ROW()-1&gt;NumDataColumns,"",MAX(INDIRECT(CONCATENATE("R",ROW(ResultColumnLabels[#Headers]),"C",COLUMN(),":R",ROW()-1,"C",COLUMN()),FALSE))+1)</f>
        <v/>
      </c>
      <c r="B196" s="219" t="str">
        <f ca="1">IF(ResultColumnLabels[[#This Row],[Data Value Number]]="","",INDEX(DataColumns[ColumnLabel],MATCH(ResultColumnLabels[[#This Row],[Data Value Number]],DataColumns[DVNum],0)))</f>
        <v/>
      </c>
    </row>
    <row r="197" spans="1:2" x14ac:dyDescent="0.25">
      <c r="A197" s="219" t="str">
        <f ca="1">IF(ROW()-1&gt;NumDataColumns,"",MAX(INDIRECT(CONCATENATE("R",ROW(ResultColumnLabels[#Headers]),"C",COLUMN(),":R",ROW()-1,"C",COLUMN()),FALSE))+1)</f>
        <v/>
      </c>
      <c r="B197" s="219" t="str">
        <f ca="1">IF(ResultColumnLabels[[#This Row],[Data Value Number]]="","",INDEX(DataColumns[ColumnLabel],MATCH(ResultColumnLabels[[#This Row],[Data Value Number]],DataColumns[DVNum],0)))</f>
        <v/>
      </c>
    </row>
    <row r="198" spans="1:2" x14ac:dyDescent="0.25">
      <c r="A198" s="219" t="str">
        <f ca="1">IF(ROW()-1&gt;NumDataColumns,"",MAX(INDIRECT(CONCATENATE("R",ROW(ResultColumnLabels[#Headers]),"C",COLUMN(),":R",ROW()-1,"C",COLUMN()),FALSE))+1)</f>
        <v/>
      </c>
      <c r="B198" s="219" t="str">
        <f ca="1">IF(ResultColumnLabels[[#This Row],[Data Value Number]]="","",INDEX(DataColumns[ColumnLabel],MATCH(ResultColumnLabels[[#This Row],[Data Value Number]],DataColumns[DVNum],0)))</f>
        <v/>
      </c>
    </row>
    <row r="199" spans="1:2" x14ac:dyDescent="0.25">
      <c r="A199" s="219" t="str">
        <f ca="1">IF(ROW()-1&gt;NumDataColumns,"",MAX(INDIRECT(CONCATENATE("R",ROW(ResultColumnLabels[#Headers]),"C",COLUMN(),":R",ROW()-1,"C",COLUMN()),FALSE))+1)</f>
        <v/>
      </c>
      <c r="B199" s="219" t="str">
        <f ca="1">IF(ResultColumnLabels[[#This Row],[Data Value Number]]="","",INDEX(DataColumns[ColumnLabel],MATCH(ResultColumnLabels[[#This Row],[Data Value Number]],DataColumns[DVNum],0)))</f>
        <v/>
      </c>
    </row>
    <row r="200" spans="1:2" x14ac:dyDescent="0.25">
      <c r="A200" s="219" t="str">
        <f ca="1">IF(ROW()-1&gt;NumDataColumns,"",MAX(INDIRECT(CONCATENATE("R",ROW(ResultColumnLabels[#Headers]),"C",COLUMN(),":R",ROW()-1,"C",COLUMN()),FALSE))+1)</f>
        <v/>
      </c>
      <c r="B200" s="219" t="str">
        <f ca="1">IF(ResultColumnLabels[[#This Row],[Data Value Number]]="","",INDEX(DataColumns[ColumnLabel],MATCH(ResultColumnLabels[[#This Row],[Data Value Number]],DataColumns[DVNum],0)))</f>
        <v/>
      </c>
    </row>
    <row r="201" spans="1:2" x14ac:dyDescent="0.25">
      <c r="A201" s="219" t="str">
        <f ca="1">IF(ROW()-1&gt;NumDataColumns,"",MAX(INDIRECT(CONCATENATE("R",ROW(ResultColumnLabels[#Headers]),"C",COLUMN(),":R",ROW()-1,"C",COLUMN()),FALSE))+1)</f>
        <v/>
      </c>
      <c r="B201" s="219" t="str">
        <f ca="1">IF(ResultColumnLabels[[#This Row],[Data Value Number]]="","",INDEX(DataColumns[ColumnLabel],MATCH(ResultColumnLabels[[#This Row],[Data Value Number]],DataColumns[DVNum],0)))</f>
        <v/>
      </c>
    </row>
    <row r="202" spans="1:2" x14ac:dyDescent="0.25">
      <c r="A202" s="219" t="str">
        <f ca="1">IF(ROW()-1&gt;NumDataColumns,"",MAX(INDIRECT(CONCATENATE("R",ROW(ResultColumnLabels[#Headers]),"C",COLUMN(),":R",ROW()-1,"C",COLUMN()),FALSE))+1)</f>
        <v/>
      </c>
      <c r="B202" s="219" t="str">
        <f ca="1">IF(ResultColumnLabels[[#This Row],[Data Value Number]]="","",INDEX(DataColumns[ColumnLabel],MATCH(ResultColumnLabels[[#This Row],[Data Value Number]],DataColumns[DVNum],0)))</f>
        <v/>
      </c>
    </row>
    <row r="203" spans="1:2" x14ac:dyDescent="0.25">
      <c r="A203" s="219" t="str">
        <f ca="1">IF(ROW()-1&gt;NumDataColumns,"",MAX(INDIRECT(CONCATENATE("R",ROW(ResultColumnLabels[#Headers]),"C",COLUMN(),":R",ROW()-1,"C",COLUMN()),FALSE))+1)</f>
        <v/>
      </c>
      <c r="B203" s="219" t="str">
        <f ca="1">IF(ResultColumnLabels[[#This Row],[Data Value Number]]="","",INDEX(DataColumns[ColumnLabel],MATCH(ResultColumnLabels[[#This Row],[Data Value Number]],DataColumns[DVNum],0)))</f>
        <v/>
      </c>
    </row>
    <row r="204" spans="1:2" x14ac:dyDescent="0.25">
      <c r="A204" s="219" t="str">
        <f ca="1">IF(ROW()-1&gt;NumDataColumns,"",MAX(INDIRECT(CONCATENATE("R",ROW(ResultColumnLabels[#Headers]),"C",COLUMN(),":R",ROW()-1,"C",COLUMN()),FALSE))+1)</f>
        <v/>
      </c>
      <c r="B204" s="219" t="str">
        <f ca="1">IF(ResultColumnLabels[[#This Row],[Data Value Number]]="","",INDEX(DataColumns[ColumnLabel],MATCH(ResultColumnLabels[[#This Row],[Data Value Number]],DataColumns[DVNum],0)))</f>
        <v/>
      </c>
    </row>
    <row r="205" spans="1:2" x14ac:dyDescent="0.25">
      <c r="A205" s="219" t="str">
        <f ca="1">IF(ROW()-1&gt;NumDataColumns,"",MAX(INDIRECT(CONCATENATE("R",ROW(ResultColumnLabels[#Headers]),"C",COLUMN(),":R",ROW()-1,"C",COLUMN()),FALSE))+1)</f>
        <v/>
      </c>
      <c r="B205" s="219" t="str">
        <f ca="1">IF(ResultColumnLabels[[#This Row],[Data Value Number]]="","",INDEX(DataColumns[ColumnLabel],MATCH(ResultColumnLabels[[#This Row],[Data Value Number]],DataColumns[DVNum],0)))</f>
        <v/>
      </c>
    </row>
    <row r="206" spans="1:2" x14ac:dyDescent="0.25">
      <c r="A206" s="219" t="str">
        <f ca="1">IF(ROW()-1&gt;NumDataColumns,"",MAX(INDIRECT(CONCATENATE("R",ROW(ResultColumnLabels[#Headers]),"C",COLUMN(),":R",ROW()-1,"C",COLUMN()),FALSE))+1)</f>
        <v/>
      </c>
      <c r="B206" s="219" t="str">
        <f ca="1">IF(ResultColumnLabels[[#This Row],[Data Value Number]]="","",INDEX(DataColumns[ColumnLabel],MATCH(ResultColumnLabels[[#This Row],[Data Value Number]],DataColumns[DVNum],0)))</f>
        <v/>
      </c>
    </row>
    <row r="207" spans="1:2" x14ac:dyDescent="0.25">
      <c r="A207" s="219" t="str">
        <f ca="1">IF(ROW()-1&gt;NumDataColumns,"",MAX(INDIRECT(CONCATENATE("R",ROW(ResultColumnLabels[#Headers]),"C",COLUMN(),":R",ROW()-1,"C",COLUMN()),FALSE))+1)</f>
        <v/>
      </c>
      <c r="B207" s="219" t="str">
        <f ca="1">IF(ResultColumnLabels[[#This Row],[Data Value Number]]="","",INDEX(DataColumns[ColumnLabel],MATCH(ResultColumnLabels[[#This Row],[Data Value Number]],DataColumns[DVNum],0)))</f>
        <v/>
      </c>
    </row>
    <row r="208" spans="1:2" x14ac:dyDescent="0.25">
      <c r="A208" s="219" t="str">
        <f ca="1">IF(ROW()-1&gt;NumDataColumns,"",MAX(INDIRECT(CONCATENATE("R",ROW(ResultColumnLabels[#Headers]),"C",COLUMN(),":R",ROW()-1,"C",COLUMN()),FALSE))+1)</f>
        <v/>
      </c>
      <c r="B208" s="219" t="str">
        <f ca="1">IF(ResultColumnLabels[[#This Row],[Data Value Number]]="","",INDEX(DataColumns[ColumnLabel],MATCH(ResultColumnLabels[[#This Row],[Data Value Number]],DataColumns[DVNum],0)))</f>
        <v/>
      </c>
    </row>
    <row r="209" spans="1:2" x14ac:dyDescent="0.25">
      <c r="A209" s="219" t="str">
        <f ca="1">IF(ROW()-1&gt;NumDataColumns,"",MAX(INDIRECT(CONCATENATE("R",ROW(ResultColumnLabels[#Headers]),"C",COLUMN(),":R",ROW()-1,"C",COLUMN()),FALSE))+1)</f>
        <v/>
      </c>
      <c r="B209" s="219" t="str">
        <f ca="1">IF(ResultColumnLabels[[#This Row],[Data Value Number]]="","",INDEX(DataColumns[ColumnLabel],MATCH(ResultColumnLabels[[#This Row],[Data Value Number]],DataColumns[DVNum],0)))</f>
        <v/>
      </c>
    </row>
    <row r="210" spans="1:2" x14ac:dyDescent="0.25">
      <c r="A210" s="219" t="str">
        <f ca="1">IF(ROW()-1&gt;NumDataColumns,"",MAX(INDIRECT(CONCATENATE("R",ROW(ResultColumnLabels[#Headers]),"C",COLUMN(),":R",ROW()-1,"C",COLUMN()),FALSE))+1)</f>
        <v/>
      </c>
      <c r="B210" s="219" t="str">
        <f ca="1">IF(ResultColumnLabels[[#This Row],[Data Value Number]]="","",INDEX(DataColumns[ColumnLabel],MATCH(ResultColumnLabels[[#This Row],[Data Value Number]],DataColumns[DVNum],0)))</f>
        <v/>
      </c>
    </row>
    <row r="211" spans="1:2" x14ac:dyDescent="0.25">
      <c r="A211" s="219" t="str">
        <f ca="1">IF(ROW()-1&gt;NumDataColumns,"",MAX(INDIRECT(CONCATENATE("R",ROW(ResultColumnLabels[#Headers]),"C",COLUMN(),":R",ROW()-1,"C",COLUMN()),FALSE))+1)</f>
        <v/>
      </c>
      <c r="B211" s="219" t="str">
        <f ca="1">IF(ResultColumnLabels[[#This Row],[Data Value Number]]="","",INDEX(DataColumns[ColumnLabel],MATCH(ResultColumnLabels[[#This Row],[Data Value Number]],DataColumns[DVNum],0)))</f>
        <v/>
      </c>
    </row>
    <row r="212" spans="1:2" x14ac:dyDescent="0.25">
      <c r="A212" s="219" t="str">
        <f ca="1">IF(ROW()-1&gt;NumDataColumns,"",MAX(INDIRECT(CONCATENATE("R",ROW(ResultColumnLabels[#Headers]),"C",COLUMN(),":R",ROW()-1,"C",COLUMN()),FALSE))+1)</f>
        <v/>
      </c>
      <c r="B212" s="219" t="str">
        <f ca="1">IF(ResultColumnLabels[[#This Row],[Data Value Number]]="","",INDEX(DataColumns[ColumnLabel],MATCH(ResultColumnLabels[[#This Row],[Data Value Number]],DataColumns[DVNum],0)))</f>
        <v/>
      </c>
    </row>
    <row r="213" spans="1:2" x14ac:dyDescent="0.25">
      <c r="A213" s="219" t="str">
        <f ca="1">IF(ROW()-1&gt;NumDataColumns,"",MAX(INDIRECT(CONCATENATE("R",ROW(ResultColumnLabels[#Headers]),"C",COLUMN(),":R",ROW()-1,"C",COLUMN()),FALSE))+1)</f>
        <v/>
      </c>
      <c r="B213" s="219" t="str">
        <f ca="1">IF(ResultColumnLabels[[#This Row],[Data Value Number]]="","",INDEX(DataColumns[ColumnLabel],MATCH(ResultColumnLabels[[#This Row],[Data Value Number]],DataColumns[DVNum],0)))</f>
        <v/>
      </c>
    </row>
    <row r="214" spans="1:2" x14ac:dyDescent="0.25">
      <c r="A214" s="219" t="str">
        <f ca="1">IF(ROW()-1&gt;NumDataColumns,"",MAX(INDIRECT(CONCATENATE("R",ROW(ResultColumnLabels[#Headers]),"C",COLUMN(),":R",ROW()-1,"C",COLUMN()),FALSE))+1)</f>
        <v/>
      </c>
      <c r="B214" s="219" t="str">
        <f ca="1">IF(ResultColumnLabels[[#This Row],[Data Value Number]]="","",INDEX(DataColumns[ColumnLabel],MATCH(ResultColumnLabels[[#This Row],[Data Value Number]],DataColumns[DVNum],0)))</f>
        <v/>
      </c>
    </row>
    <row r="215" spans="1:2" x14ac:dyDescent="0.25">
      <c r="A215" s="219" t="str">
        <f ca="1">IF(ROW()-1&gt;NumDataColumns,"",MAX(INDIRECT(CONCATENATE("R",ROW(ResultColumnLabels[#Headers]),"C",COLUMN(),":R",ROW()-1,"C",COLUMN()),FALSE))+1)</f>
        <v/>
      </c>
      <c r="B215" s="219" t="str">
        <f ca="1">IF(ResultColumnLabels[[#This Row],[Data Value Number]]="","",INDEX(DataColumns[ColumnLabel],MATCH(ResultColumnLabels[[#This Row],[Data Value Number]],DataColumns[DVNum],0)))</f>
        <v/>
      </c>
    </row>
    <row r="216" spans="1:2" x14ac:dyDescent="0.25">
      <c r="A216" s="219" t="str">
        <f ca="1">IF(ROW()-1&gt;NumDataColumns,"",MAX(INDIRECT(CONCATENATE("R",ROW(ResultColumnLabels[#Headers]),"C",COLUMN(),":R",ROW()-1,"C",COLUMN()),FALSE))+1)</f>
        <v/>
      </c>
      <c r="B216" s="219" t="str">
        <f ca="1">IF(ResultColumnLabels[[#This Row],[Data Value Number]]="","",INDEX(DataColumns[ColumnLabel],MATCH(ResultColumnLabels[[#This Row],[Data Value Number]],DataColumns[DVNum],0)))</f>
        <v/>
      </c>
    </row>
    <row r="217" spans="1:2" x14ac:dyDescent="0.25">
      <c r="A217" s="219" t="str">
        <f ca="1">IF(ROW()-1&gt;NumDataColumns,"",MAX(INDIRECT(CONCATENATE("R",ROW(ResultColumnLabels[#Headers]),"C",COLUMN(),":R",ROW()-1,"C",COLUMN()),FALSE))+1)</f>
        <v/>
      </c>
      <c r="B217" s="219" t="str">
        <f ca="1">IF(ResultColumnLabels[[#This Row],[Data Value Number]]="","",INDEX(DataColumns[ColumnLabel],MATCH(ResultColumnLabels[[#This Row],[Data Value Number]],DataColumns[DVNum],0)))</f>
        <v/>
      </c>
    </row>
    <row r="218" spans="1:2" x14ac:dyDescent="0.25">
      <c r="A218" s="219" t="str">
        <f ca="1">IF(ROW()-1&gt;NumDataColumns,"",MAX(INDIRECT(CONCATENATE("R",ROW(ResultColumnLabels[#Headers]),"C",COLUMN(),":R",ROW()-1,"C",COLUMN()),FALSE))+1)</f>
        <v/>
      </c>
      <c r="B218" s="219" t="str">
        <f ca="1">IF(ResultColumnLabels[[#This Row],[Data Value Number]]="","",INDEX(DataColumns[ColumnLabel],MATCH(ResultColumnLabels[[#This Row],[Data Value Number]],DataColumns[DVNum],0)))</f>
        <v/>
      </c>
    </row>
    <row r="219" spans="1:2" x14ac:dyDescent="0.25">
      <c r="A219" s="219" t="str">
        <f ca="1">IF(ROW()-1&gt;NumDataColumns,"",MAX(INDIRECT(CONCATENATE("R",ROW(ResultColumnLabels[#Headers]),"C",COLUMN(),":R",ROW()-1,"C",COLUMN()),FALSE))+1)</f>
        <v/>
      </c>
      <c r="B219" s="219" t="str">
        <f ca="1">IF(ResultColumnLabels[[#This Row],[Data Value Number]]="","",INDEX(DataColumns[ColumnLabel],MATCH(ResultColumnLabels[[#This Row],[Data Value Number]],DataColumns[DVNum],0)))</f>
        <v/>
      </c>
    </row>
    <row r="220" spans="1:2" x14ac:dyDescent="0.25">
      <c r="A220" s="219" t="str">
        <f ca="1">IF(ROW()-1&gt;NumDataColumns,"",MAX(INDIRECT(CONCATENATE("R",ROW(ResultColumnLabels[#Headers]),"C",COLUMN(),":R",ROW()-1,"C",COLUMN()),FALSE))+1)</f>
        <v/>
      </c>
      <c r="B220" s="219" t="str">
        <f ca="1">IF(ResultColumnLabels[[#This Row],[Data Value Number]]="","",INDEX(DataColumns[ColumnLabel],MATCH(ResultColumnLabels[[#This Row],[Data Value Number]],DataColumns[DVNum],0)))</f>
        <v/>
      </c>
    </row>
    <row r="221" spans="1:2" x14ac:dyDescent="0.25">
      <c r="A221" s="219" t="str">
        <f ca="1">IF(ROW()-1&gt;NumDataColumns,"",MAX(INDIRECT(CONCATENATE("R",ROW(ResultColumnLabels[#Headers]),"C",COLUMN(),":R",ROW()-1,"C",COLUMN()),FALSE))+1)</f>
        <v/>
      </c>
      <c r="B221" s="219" t="str">
        <f ca="1">IF(ResultColumnLabels[[#This Row],[Data Value Number]]="","",INDEX(DataColumns[ColumnLabel],MATCH(ResultColumnLabels[[#This Row],[Data Value Number]],DataColumns[DVNum],0)))</f>
        <v/>
      </c>
    </row>
    <row r="222" spans="1:2" x14ac:dyDescent="0.25">
      <c r="A222" s="219" t="str">
        <f ca="1">IF(ROW()-1&gt;NumDataColumns,"",MAX(INDIRECT(CONCATENATE("R",ROW(ResultColumnLabels[#Headers]),"C",COLUMN(),":R",ROW()-1,"C",COLUMN()),FALSE))+1)</f>
        <v/>
      </c>
      <c r="B222" s="219" t="str">
        <f ca="1">IF(ResultColumnLabels[[#This Row],[Data Value Number]]="","",INDEX(DataColumns[ColumnLabel],MATCH(ResultColumnLabels[[#This Row],[Data Value Number]],DataColumns[DVNum],0)))</f>
        <v/>
      </c>
    </row>
    <row r="223" spans="1:2" x14ac:dyDescent="0.25">
      <c r="A223" s="219" t="str">
        <f ca="1">IF(ROW()-1&gt;NumDataColumns,"",MAX(INDIRECT(CONCATENATE("R",ROW(ResultColumnLabels[#Headers]),"C",COLUMN(),":R",ROW()-1,"C",COLUMN()),FALSE))+1)</f>
        <v/>
      </c>
      <c r="B223" s="219" t="str">
        <f ca="1">IF(ResultColumnLabels[[#This Row],[Data Value Number]]="","",INDEX(DataColumns[ColumnLabel],MATCH(ResultColumnLabels[[#This Row],[Data Value Number]],DataColumns[DVNum],0)))</f>
        <v/>
      </c>
    </row>
    <row r="224" spans="1:2" x14ac:dyDescent="0.25">
      <c r="A224" s="219" t="str">
        <f ca="1">IF(ROW()-1&gt;NumDataColumns,"",MAX(INDIRECT(CONCATENATE("R",ROW(ResultColumnLabels[#Headers]),"C",COLUMN(),":R",ROW()-1,"C",COLUMN()),FALSE))+1)</f>
        <v/>
      </c>
      <c r="B224" s="219" t="str">
        <f ca="1">IF(ResultColumnLabels[[#This Row],[Data Value Number]]="","",INDEX(DataColumns[ColumnLabel],MATCH(ResultColumnLabels[[#This Row],[Data Value Number]],DataColumns[DVNum],0)))</f>
        <v/>
      </c>
    </row>
    <row r="225" spans="1:2" x14ac:dyDescent="0.25">
      <c r="A225" s="219" t="str">
        <f ca="1">IF(ROW()-1&gt;NumDataColumns,"",MAX(INDIRECT(CONCATENATE("R",ROW(ResultColumnLabels[#Headers]),"C",COLUMN(),":R",ROW()-1,"C",COLUMN()),FALSE))+1)</f>
        <v/>
      </c>
      <c r="B225" s="219" t="str">
        <f ca="1">IF(ResultColumnLabels[[#This Row],[Data Value Number]]="","",INDEX(DataColumns[ColumnLabel],MATCH(ResultColumnLabels[[#This Row],[Data Value Number]],DataColumns[DVNum],0)))</f>
        <v/>
      </c>
    </row>
    <row r="226" spans="1:2" x14ac:dyDescent="0.25">
      <c r="A226" s="219" t="str">
        <f ca="1">IF(ROW()-1&gt;NumDataColumns,"",MAX(INDIRECT(CONCATENATE("R",ROW(ResultColumnLabels[#Headers]),"C",COLUMN(),":R",ROW()-1,"C",COLUMN()),FALSE))+1)</f>
        <v/>
      </c>
      <c r="B226" s="219" t="str">
        <f ca="1">IF(ResultColumnLabels[[#This Row],[Data Value Number]]="","",INDEX(DataColumns[ColumnLabel],MATCH(ResultColumnLabels[[#This Row],[Data Value Number]],DataColumns[DVNum],0)))</f>
        <v/>
      </c>
    </row>
    <row r="227" spans="1:2" x14ac:dyDescent="0.25">
      <c r="A227" s="219" t="str">
        <f ca="1">IF(ROW()-1&gt;NumDataColumns,"",MAX(INDIRECT(CONCATENATE("R",ROW(ResultColumnLabels[#Headers]),"C",COLUMN(),":R",ROW()-1,"C",COLUMN()),FALSE))+1)</f>
        <v/>
      </c>
      <c r="B227" s="219" t="str">
        <f ca="1">IF(ResultColumnLabels[[#This Row],[Data Value Number]]="","",INDEX(DataColumns[ColumnLabel],MATCH(ResultColumnLabels[[#This Row],[Data Value Number]],DataColumns[DVNum],0)))</f>
        <v/>
      </c>
    </row>
    <row r="228" spans="1:2" x14ac:dyDescent="0.25">
      <c r="A228" s="219" t="str">
        <f ca="1">IF(ROW()-1&gt;NumDataColumns,"",MAX(INDIRECT(CONCATENATE("R",ROW(ResultColumnLabels[#Headers]),"C",COLUMN(),":R",ROW()-1,"C",COLUMN()),FALSE))+1)</f>
        <v/>
      </c>
      <c r="B228" s="219" t="str">
        <f ca="1">IF(ResultColumnLabels[[#This Row],[Data Value Number]]="","",INDEX(DataColumns[ColumnLabel],MATCH(ResultColumnLabels[[#This Row],[Data Value Number]],DataColumns[DVNum],0)))</f>
        <v/>
      </c>
    </row>
    <row r="229" spans="1:2" x14ac:dyDescent="0.25">
      <c r="A229" s="219" t="str">
        <f ca="1">IF(ROW()-1&gt;NumDataColumns,"",MAX(INDIRECT(CONCATENATE("R",ROW(ResultColumnLabels[#Headers]),"C",COLUMN(),":R",ROW()-1,"C",COLUMN()),FALSE))+1)</f>
        <v/>
      </c>
      <c r="B229" s="219" t="str">
        <f ca="1">IF(ResultColumnLabels[[#This Row],[Data Value Number]]="","",INDEX(DataColumns[ColumnLabel],MATCH(ResultColumnLabels[[#This Row],[Data Value Number]],DataColumns[DVNum],0)))</f>
        <v/>
      </c>
    </row>
    <row r="230" spans="1:2" x14ac:dyDescent="0.25">
      <c r="A230" s="219" t="str">
        <f ca="1">IF(ROW()-1&gt;NumDataColumns,"",MAX(INDIRECT(CONCATENATE("R",ROW(ResultColumnLabels[#Headers]),"C",COLUMN(),":R",ROW()-1,"C",COLUMN()),FALSE))+1)</f>
        <v/>
      </c>
      <c r="B230" s="219" t="str">
        <f ca="1">IF(ResultColumnLabels[[#This Row],[Data Value Number]]="","",INDEX(DataColumns[ColumnLabel],MATCH(ResultColumnLabels[[#This Row],[Data Value Number]],DataColumns[DVNum],0)))</f>
        <v/>
      </c>
    </row>
    <row r="231" spans="1:2" x14ac:dyDescent="0.25">
      <c r="A231" s="219" t="str">
        <f ca="1">IF(ROW()-1&gt;NumDataColumns,"",MAX(INDIRECT(CONCATENATE("R",ROW(ResultColumnLabels[#Headers]),"C",COLUMN(),":R",ROW()-1,"C",COLUMN()),FALSE))+1)</f>
        <v/>
      </c>
      <c r="B231" s="219" t="str">
        <f ca="1">IF(ResultColumnLabels[[#This Row],[Data Value Number]]="","",INDEX(DataColumns[ColumnLabel],MATCH(ResultColumnLabels[[#This Row],[Data Value Number]],DataColumns[DVNum],0)))</f>
        <v/>
      </c>
    </row>
    <row r="232" spans="1:2" x14ac:dyDescent="0.25">
      <c r="A232" s="219" t="str">
        <f ca="1">IF(ROW()-1&gt;NumDataColumns,"",MAX(INDIRECT(CONCATENATE("R",ROW(ResultColumnLabels[#Headers]),"C",COLUMN(),":R",ROW()-1,"C",COLUMN()),FALSE))+1)</f>
        <v/>
      </c>
      <c r="B232" s="219" t="str">
        <f ca="1">IF(ResultColumnLabels[[#This Row],[Data Value Number]]="","",INDEX(DataColumns[ColumnLabel],MATCH(ResultColumnLabels[[#This Row],[Data Value Number]],DataColumns[DVNum],0)))</f>
        <v/>
      </c>
    </row>
    <row r="233" spans="1:2" x14ac:dyDescent="0.25">
      <c r="A233" s="219" t="str">
        <f ca="1">IF(ROW()-1&gt;NumDataColumns,"",MAX(INDIRECT(CONCATENATE("R",ROW(ResultColumnLabels[#Headers]),"C",COLUMN(),":R",ROW()-1,"C",COLUMN()),FALSE))+1)</f>
        <v/>
      </c>
      <c r="B233" s="219" t="str">
        <f ca="1">IF(ResultColumnLabels[[#This Row],[Data Value Number]]="","",INDEX(DataColumns[ColumnLabel],MATCH(ResultColumnLabels[[#This Row],[Data Value Number]],DataColumns[DVNum],0)))</f>
        <v/>
      </c>
    </row>
    <row r="234" spans="1:2" x14ac:dyDescent="0.25">
      <c r="A234" s="219" t="str">
        <f ca="1">IF(ROW()-1&gt;NumDataColumns,"",MAX(INDIRECT(CONCATENATE("R",ROW(ResultColumnLabels[#Headers]),"C",COLUMN(),":R",ROW()-1,"C",COLUMN()),FALSE))+1)</f>
        <v/>
      </c>
      <c r="B234" s="219" t="str">
        <f ca="1">IF(ResultColumnLabels[[#This Row],[Data Value Number]]="","",INDEX(DataColumns[ColumnLabel],MATCH(ResultColumnLabels[[#This Row],[Data Value Number]],DataColumns[DVNum],0)))</f>
        <v/>
      </c>
    </row>
    <row r="235" spans="1:2" x14ac:dyDescent="0.25">
      <c r="A235" s="219" t="str">
        <f ca="1">IF(ROW()-1&gt;NumDataColumns,"",MAX(INDIRECT(CONCATENATE("R",ROW(ResultColumnLabels[#Headers]),"C",COLUMN(),":R",ROW()-1,"C",COLUMN()),FALSE))+1)</f>
        <v/>
      </c>
      <c r="B235" s="219" t="str">
        <f ca="1">IF(ResultColumnLabels[[#This Row],[Data Value Number]]="","",INDEX(DataColumns[ColumnLabel],MATCH(ResultColumnLabels[[#This Row],[Data Value Number]],DataColumns[DVNum],0)))</f>
        <v/>
      </c>
    </row>
    <row r="236" spans="1:2" x14ac:dyDescent="0.25">
      <c r="A236" s="219" t="str">
        <f ca="1">IF(ROW()-1&gt;NumDataColumns,"",MAX(INDIRECT(CONCATENATE("R",ROW(ResultColumnLabels[#Headers]),"C",COLUMN(),":R",ROW()-1,"C",COLUMN()),FALSE))+1)</f>
        <v/>
      </c>
      <c r="B236" s="219" t="str">
        <f ca="1">IF(ResultColumnLabels[[#This Row],[Data Value Number]]="","",INDEX(DataColumns[ColumnLabel],MATCH(ResultColumnLabels[[#This Row],[Data Value Number]],DataColumns[DVNum],0)))</f>
        <v/>
      </c>
    </row>
    <row r="237" spans="1:2" x14ac:dyDescent="0.25">
      <c r="A237" s="219" t="str">
        <f ca="1">IF(ROW()-1&gt;NumDataColumns,"",MAX(INDIRECT(CONCATENATE("R",ROW(ResultColumnLabels[#Headers]),"C",COLUMN(),":R",ROW()-1,"C",COLUMN()),FALSE))+1)</f>
        <v/>
      </c>
      <c r="B237" s="219" t="str">
        <f ca="1">IF(ResultColumnLabels[[#This Row],[Data Value Number]]="","",INDEX(DataColumns[ColumnLabel],MATCH(ResultColumnLabels[[#This Row],[Data Value Number]],DataColumns[DVNum],0)))</f>
        <v/>
      </c>
    </row>
    <row r="238" spans="1:2" x14ac:dyDescent="0.25">
      <c r="A238" s="219" t="str">
        <f ca="1">IF(ROW()-1&gt;NumDataColumns,"",MAX(INDIRECT(CONCATENATE("R",ROW(ResultColumnLabels[#Headers]),"C",COLUMN(),":R",ROW()-1,"C",COLUMN()),FALSE))+1)</f>
        <v/>
      </c>
      <c r="B238" s="219" t="str">
        <f ca="1">IF(ResultColumnLabels[[#This Row],[Data Value Number]]="","",INDEX(DataColumns[ColumnLabel],MATCH(ResultColumnLabels[[#This Row],[Data Value Number]],DataColumns[DVNum],0)))</f>
        <v/>
      </c>
    </row>
    <row r="239" spans="1:2" x14ac:dyDescent="0.25">
      <c r="A239" s="219" t="str">
        <f ca="1">IF(ROW()-1&gt;NumDataColumns,"",MAX(INDIRECT(CONCATENATE("R",ROW(ResultColumnLabels[#Headers]),"C",COLUMN(),":R",ROW()-1,"C",COLUMN()),FALSE))+1)</f>
        <v/>
      </c>
      <c r="B239" s="219" t="str">
        <f ca="1">IF(ResultColumnLabels[[#This Row],[Data Value Number]]="","",INDEX(DataColumns[ColumnLabel],MATCH(ResultColumnLabels[[#This Row],[Data Value Number]],DataColumns[DVNum],0)))</f>
        <v/>
      </c>
    </row>
    <row r="240" spans="1:2" x14ac:dyDescent="0.25">
      <c r="A240" s="219" t="str">
        <f ca="1">IF(ROW()-1&gt;NumDataColumns,"",MAX(INDIRECT(CONCATENATE("R",ROW(ResultColumnLabels[#Headers]),"C",COLUMN(),":R",ROW()-1,"C",COLUMN()),FALSE))+1)</f>
        <v/>
      </c>
      <c r="B240" s="219" t="str">
        <f ca="1">IF(ResultColumnLabels[[#This Row],[Data Value Number]]="","",INDEX(DataColumns[ColumnLabel],MATCH(ResultColumnLabels[[#This Row],[Data Value Number]],DataColumns[DVNum],0)))</f>
        <v/>
      </c>
    </row>
    <row r="241" spans="1:2" x14ac:dyDescent="0.25">
      <c r="A241" s="219" t="str">
        <f ca="1">IF(ROW()-1&gt;NumDataColumns,"",MAX(INDIRECT(CONCATENATE("R",ROW(ResultColumnLabels[#Headers]),"C",COLUMN(),":R",ROW()-1,"C",COLUMN()),FALSE))+1)</f>
        <v/>
      </c>
      <c r="B241" s="219" t="str">
        <f ca="1">IF(ResultColumnLabels[[#This Row],[Data Value Number]]="","",INDEX(DataColumns[ColumnLabel],MATCH(ResultColumnLabels[[#This Row],[Data Value Number]],DataColumns[DVNum],0)))</f>
        <v/>
      </c>
    </row>
    <row r="242" spans="1:2" x14ac:dyDescent="0.25">
      <c r="A242" s="219" t="str">
        <f ca="1">IF(ROW()-1&gt;NumDataColumns,"",MAX(INDIRECT(CONCATENATE("R",ROW(ResultColumnLabels[#Headers]),"C",COLUMN(),":R",ROW()-1,"C",COLUMN()),FALSE))+1)</f>
        <v/>
      </c>
      <c r="B242" s="219" t="str">
        <f ca="1">IF(ResultColumnLabels[[#This Row],[Data Value Number]]="","",INDEX(DataColumns[ColumnLabel],MATCH(ResultColumnLabels[[#This Row],[Data Value Number]],DataColumns[DVNum],0)))</f>
        <v/>
      </c>
    </row>
    <row r="243" spans="1:2" x14ac:dyDescent="0.25">
      <c r="A243" s="219" t="str">
        <f ca="1">IF(ROW()-1&gt;NumDataColumns,"",MAX(INDIRECT(CONCATENATE("R",ROW(ResultColumnLabels[#Headers]),"C",COLUMN(),":R",ROW()-1,"C",COLUMN()),FALSE))+1)</f>
        <v/>
      </c>
      <c r="B243" s="219" t="str">
        <f ca="1">IF(ResultColumnLabels[[#This Row],[Data Value Number]]="","",INDEX(DataColumns[ColumnLabel],MATCH(ResultColumnLabels[[#This Row],[Data Value Number]],DataColumns[DVNum],0)))</f>
        <v/>
      </c>
    </row>
    <row r="244" spans="1:2" x14ac:dyDescent="0.25">
      <c r="A244" s="219" t="str">
        <f ca="1">IF(ROW()-1&gt;NumDataColumns,"",MAX(INDIRECT(CONCATENATE("R",ROW(ResultColumnLabels[#Headers]),"C",COLUMN(),":R",ROW()-1,"C",COLUMN()),FALSE))+1)</f>
        <v/>
      </c>
      <c r="B244" s="219" t="str">
        <f ca="1">IF(ResultColumnLabels[[#This Row],[Data Value Number]]="","",INDEX(DataColumns[ColumnLabel],MATCH(ResultColumnLabels[[#This Row],[Data Value Number]],DataColumns[DVNum],0)))</f>
        <v/>
      </c>
    </row>
    <row r="245" spans="1:2" x14ac:dyDescent="0.25">
      <c r="A245" s="219" t="str">
        <f ca="1">IF(ROW()-1&gt;NumDataColumns,"",MAX(INDIRECT(CONCATENATE("R",ROW(ResultColumnLabels[#Headers]),"C",COLUMN(),":R",ROW()-1,"C",COLUMN()),FALSE))+1)</f>
        <v/>
      </c>
      <c r="B245" s="219" t="str">
        <f ca="1">IF(ResultColumnLabels[[#This Row],[Data Value Number]]="","",INDEX(DataColumns[ColumnLabel],MATCH(ResultColumnLabels[[#This Row],[Data Value Number]],DataColumns[DVNum],0)))</f>
        <v/>
      </c>
    </row>
    <row r="246" spans="1:2" x14ac:dyDescent="0.25">
      <c r="A246" s="219" t="str">
        <f ca="1">IF(ROW()-1&gt;NumDataColumns,"",MAX(INDIRECT(CONCATENATE("R",ROW(ResultColumnLabels[#Headers]),"C",COLUMN(),":R",ROW()-1,"C",COLUMN()),FALSE))+1)</f>
        <v/>
      </c>
      <c r="B246" s="219" t="str">
        <f ca="1">IF(ResultColumnLabels[[#This Row],[Data Value Number]]="","",INDEX(DataColumns[ColumnLabel],MATCH(ResultColumnLabels[[#This Row],[Data Value Number]],DataColumns[DVNum],0)))</f>
        <v/>
      </c>
    </row>
    <row r="247" spans="1:2" x14ac:dyDescent="0.25">
      <c r="A247" s="219" t="str">
        <f ca="1">IF(ROW()-1&gt;NumDataColumns,"",MAX(INDIRECT(CONCATENATE("R",ROW(ResultColumnLabels[#Headers]),"C",COLUMN(),":R",ROW()-1,"C",COLUMN()),FALSE))+1)</f>
        <v/>
      </c>
      <c r="B247" s="219" t="str">
        <f ca="1">IF(ResultColumnLabels[[#This Row],[Data Value Number]]="","",INDEX(DataColumns[ColumnLabel],MATCH(ResultColumnLabels[[#This Row],[Data Value Number]],DataColumns[DVNum],0)))</f>
        <v/>
      </c>
    </row>
    <row r="248" spans="1:2" x14ac:dyDescent="0.25">
      <c r="A248" s="219" t="str">
        <f ca="1">IF(ROW()-1&gt;NumDataColumns,"",MAX(INDIRECT(CONCATENATE("R",ROW(ResultColumnLabels[#Headers]),"C",COLUMN(),":R",ROW()-1,"C",COLUMN()),FALSE))+1)</f>
        <v/>
      </c>
      <c r="B248" s="219" t="str">
        <f ca="1">IF(ResultColumnLabels[[#This Row],[Data Value Number]]="","",INDEX(DataColumns[ColumnLabel],MATCH(ResultColumnLabels[[#This Row],[Data Value Number]],DataColumns[DVNum],0)))</f>
        <v/>
      </c>
    </row>
    <row r="249" spans="1:2" x14ac:dyDescent="0.25">
      <c r="A249" s="219" t="str">
        <f ca="1">IF(ROW()-1&gt;NumDataColumns,"",MAX(INDIRECT(CONCATENATE("R",ROW(ResultColumnLabels[#Headers]),"C",COLUMN(),":R",ROW()-1,"C",COLUMN()),FALSE))+1)</f>
        <v/>
      </c>
      <c r="B249" s="219" t="str">
        <f ca="1">IF(ResultColumnLabels[[#This Row],[Data Value Number]]="","",INDEX(DataColumns[ColumnLabel],MATCH(ResultColumnLabels[[#This Row],[Data Value Number]],DataColumns[DVNum],0)))</f>
        <v/>
      </c>
    </row>
    <row r="250" spans="1:2" x14ac:dyDescent="0.25">
      <c r="A250" s="219" t="str">
        <f ca="1">IF(ROW()-1&gt;NumDataColumns,"",MAX(INDIRECT(CONCATENATE("R",ROW(ResultColumnLabels[#Headers]),"C",COLUMN(),":R",ROW()-1,"C",COLUMN()),FALSE))+1)</f>
        <v/>
      </c>
      <c r="B250" s="219" t="str">
        <f ca="1">IF(ResultColumnLabels[[#This Row],[Data Value Number]]="","",INDEX(DataColumns[ColumnLabel],MATCH(ResultColumnLabels[[#This Row],[Data Value Number]],DataColumns[DVNum],0)))</f>
        <v/>
      </c>
    </row>
    <row r="251" spans="1:2" x14ac:dyDescent="0.25">
      <c r="A251" s="219" t="str">
        <f ca="1">IF(ROW()-1&gt;NumDataColumns,"",MAX(INDIRECT(CONCATENATE("R",ROW(ResultColumnLabels[#Headers]),"C",COLUMN(),":R",ROW()-1,"C",COLUMN()),FALSE))+1)</f>
        <v/>
      </c>
      <c r="B251" s="219" t="str">
        <f ca="1">IF(ResultColumnLabels[[#This Row],[Data Value Number]]="","",INDEX(DataColumns[ColumnLabel],MATCH(ResultColumnLabels[[#This Row],[Data Value Number]],DataColumns[DVNum],0)))</f>
        <v/>
      </c>
    </row>
    <row r="252" spans="1:2" x14ac:dyDescent="0.25">
      <c r="A252" s="219" t="str">
        <f ca="1">IF(ROW()-1&gt;NumDataColumns,"",MAX(INDIRECT(CONCATENATE("R",ROW(ResultColumnLabels[#Headers]),"C",COLUMN(),":R",ROW()-1,"C",COLUMN()),FALSE))+1)</f>
        <v/>
      </c>
      <c r="B252" s="219" t="str">
        <f ca="1">IF(ResultColumnLabels[[#This Row],[Data Value Number]]="","",INDEX(DataColumns[ColumnLabel],MATCH(ResultColumnLabels[[#This Row],[Data Value Number]],DataColumns[DVNum],0)))</f>
        <v/>
      </c>
    </row>
    <row r="253" spans="1:2" x14ac:dyDescent="0.25">
      <c r="A253" s="219" t="str">
        <f ca="1">IF(ROW()-1&gt;NumDataColumns,"",MAX(INDIRECT(CONCATENATE("R",ROW(ResultColumnLabels[#Headers]),"C",COLUMN(),":R",ROW()-1,"C",COLUMN()),FALSE))+1)</f>
        <v/>
      </c>
      <c r="B253" s="219" t="str">
        <f ca="1">IF(ResultColumnLabels[[#This Row],[Data Value Number]]="","",INDEX(DataColumns[ColumnLabel],MATCH(ResultColumnLabels[[#This Row],[Data Value Number]],DataColumns[DVNum],0)))</f>
        <v/>
      </c>
    </row>
    <row r="254" spans="1:2" x14ac:dyDescent="0.25">
      <c r="A254" s="219" t="str">
        <f ca="1">IF(ROW()-1&gt;NumDataColumns,"",MAX(INDIRECT(CONCATENATE("R",ROW(ResultColumnLabels[#Headers]),"C",COLUMN(),":R",ROW()-1,"C",COLUMN()),FALSE))+1)</f>
        <v/>
      </c>
      <c r="B254" s="219" t="str">
        <f ca="1">IF(ResultColumnLabels[[#This Row],[Data Value Number]]="","",INDEX(DataColumns[ColumnLabel],MATCH(ResultColumnLabels[[#This Row],[Data Value Number]],DataColumns[DVNum],0)))</f>
        <v/>
      </c>
    </row>
    <row r="255" spans="1:2" x14ac:dyDescent="0.25">
      <c r="A255" s="219" t="str">
        <f ca="1">IF(ROW()-1&gt;NumDataColumns,"",MAX(INDIRECT(CONCATENATE("R",ROW(ResultColumnLabels[#Headers]),"C",COLUMN(),":R",ROW()-1,"C",COLUMN()),FALSE))+1)</f>
        <v/>
      </c>
      <c r="B255" s="219" t="str">
        <f ca="1">IF(ResultColumnLabels[[#This Row],[Data Value Number]]="","",INDEX(DataColumns[ColumnLabel],MATCH(ResultColumnLabels[[#This Row],[Data Value Number]],DataColumns[DVNum],0)))</f>
        <v/>
      </c>
    </row>
    <row r="256" spans="1:2" x14ac:dyDescent="0.25">
      <c r="A256" s="219" t="str">
        <f ca="1">IF(ROW()-1&gt;NumDataColumns,"",MAX(INDIRECT(CONCATENATE("R",ROW(ResultColumnLabels[#Headers]),"C",COLUMN(),":R",ROW()-1,"C",COLUMN()),FALSE))+1)</f>
        <v/>
      </c>
      <c r="B256" s="219" t="str">
        <f ca="1">IF(ResultColumnLabels[[#This Row],[Data Value Number]]="","",INDEX(DataColumns[ColumnLabel],MATCH(ResultColumnLabels[[#This Row],[Data Value Number]],DataColumns[DVNum],0)))</f>
        <v/>
      </c>
    </row>
    <row r="257" spans="1:2" x14ac:dyDescent="0.25">
      <c r="A257" s="219" t="str">
        <f ca="1">IF(ROW()-1&gt;NumDataColumns,"",MAX(INDIRECT(CONCATENATE("R",ROW(ResultColumnLabels[#Headers]),"C",COLUMN(),":R",ROW()-1,"C",COLUMN()),FALSE))+1)</f>
        <v/>
      </c>
      <c r="B257" s="219" t="str">
        <f ca="1">IF(ResultColumnLabels[[#This Row],[Data Value Number]]="","",INDEX(DataColumns[ColumnLabel],MATCH(ResultColumnLabels[[#This Row],[Data Value Number]],DataColumns[DVNum],0)))</f>
        <v/>
      </c>
    </row>
    <row r="258" spans="1:2" x14ac:dyDescent="0.25">
      <c r="A258" s="219" t="str">
        <f ca="1">IF(ROW()-1&gt;NumDataColumns,"",MAX(INDIRECT(CONCATENATE("R",ROW(ResultColumnLabels[#Headers]),"C",COLUMN(),":R",ROW()-1,"C",COLUMN()),FALSE))+1)</f>
        <v/>
      </c>
      <c r="B258" s="219" t="str">
        <f ca="1">IF(ResultColumnLabels[[#This Row],[Data Value Number]]="","",INDEX(DataColumns[ColumnLabel],MATCH(ResultColumnLabels[[#This Row],[Data Value Number]],DataColumns[DVNum],0)))</f>
        <v/>
      </c>
    </row>
    <row r="259" spans="1:2" x14ac:dyDescent="0.25">
      <c r="A259" s="219" t="str">
        <f ca="1">IF(ROW()-1&gt;NumDataColumns,"",MAX(INDIRECT(CONCATENATE("R",ROW(ResultColumnLabels[#Headers]),"C",COLUMN(),":R",ROW()-1,"C",COLUMN()),FALSE))+1)</f>
        <v/>
      </c>
      <c r="B259" s="219" t="str">
        <f ca="1">IF(ResultColumnLabels[[#This Row],[Data Value Number]]="","",INDEX(DataColumns[ColumnLabel],MATCH(ResultColumnLabels[[#This Row],[Data Value Number]],DataColumns[DVNum],0)))</f>
        <v/>
      </c>
    </row>
    <row r="260" spans="1:2" x14ac:dyDescent="0.25">
      <c r="A260" s="219" t="str">
        <f ca="1">IF(ROW()-1&gt;NumDataColumns,"",MAX(INDIRECT(CONCATENATE("R",ROW(ResultColumnLabels[#Headers]),"C",COLUMN(),":R",ROW()-1,"C",COLUMN()),FALSE))+1)</f>
        <v/>
      </c>
      <c r="B260" s="219" t="str">
        <f ca="1">IF(ResultColumnLabels[[#This Row],[Data Value Number]]="","",INDEX(DataColumns[ColumnLabel],MATCH(ResultColumnLabels[[#This Row],[Data Value Number]],DataColumns[DVNum],0)))</f>
        <v/>
      </c>
    </row>
    <row r="261" spans="1:2" x14ac:dyDescent="0.25">
      <c r="A261" s="219" t="str">
        <f ca="1">IF(ROW()-1&gt;NumDataColumns,"",MAX(INDIRECT(CONCATENATE("R",ROW(ResultColumnLabels[#Headers]),"C",COLUMN(),":R",ROW()-1,"C",COLUMN()),FALSE))+1)</f>
        <v/>
      </c>
      <c r="B261" s="219" t="str">
        <f ca="1">IF(ResultColumnLabels[[#This Row],[Data Value Number]]="","",INDEX(DataColumns[ColumnLabel],MATCH(ResultColumnLabels[[#This Row],[Data Value Number]],DataColumns[DVNum],0)))</f>
        <v/>
      </c>
    </row>
    <row r="262" spans="1:2" x14ac:dyDescent="0.25">
      <c r="A262" s="219" t="str">
        <f ca="1">IF(ROW()-1&gt;NumDataColumns,"",MAX(INDIRECT(CONCATENATE("R",ROW(ResultColumnLabels[#Headers]),"C",COLUMN(),":R",ROW()-1,"C",COLUMN()),FALSE))+1)</f>
        <v/>
      </c>
      <c r="B262" s="219" t="str">
        <f ca="1">IF(ResultColumnLabels[[#This Row],[Data Value Number]]="","",INDEX(DataColumns[ColumnLabel],MATCH(ResultColumnLabels[[#This Row],[Data Value Number]],DataColumns[DVNum],0)))</f>
        <v/>
      </c>
    </row>
    <row r="263" spans="1:2" x14ac:dyDescent="0.25">
      <c r="A263" s="219" t="str">
        <f ca="1">IF(ROW()-1&gt;NumDataColumns,"",MAX(INDIRECT(CONCATENATE("R",ROW(ResultColumnLabels[#Headers]),"C",COLUMN(),":R",ROW()-1,"C",COLUMN()),FALSE))+1)</f>
        <v/>
      </c>
      <c r="B263" s="219" t="str">
        <f ca="1">IF(ResultColumnLabels[[#This Row],[Data Value Number]]="","",INDEX(DataColumns[ColumnLabel],MATCH(ResultColumnLabels[[#This Row],[Data Value Number]],DataColumns[DVNum],0)))</f>
        <v/>
      </c>
    </row>
    <row r="264" spans="1:2" x14ac:dyDescent="0.25">
      <c r="A264" s="219" t="str">
        <f ca="1">IF(ROW()-1&gt;NumDataColumns,"",MAX(INDIRECT(CONCATENATE("R",ROW(ResultColumnLabels[#Headers]),"C",COLUMN(),":R",ROW()-1,"C",COLUMN()),FALSE))+1)</f>
        <v/>
      </c>
      <c r="B264" s="219" t="str">
        <f ca="1">IF(ResultColumnLabels[[#This Row],[Data Value Number]]="","",INDEX(DataColumns[ColumnLabel],MATCH(ResultColumnLabels[[#This Row],[Data Value Number]],DataColumns[DVNum],0)))</f>
        <v/>
      </c>
    </row>
    <row r="265" spans="1:2" x14ac:dyDescent="0.25">
      <c r="A265" s="219" t="str">
        <f ca="1">IF(ROW()-1&gt;NumDataColumns,"",MAX(INDIRECT(CONCATENATE("R",ROW(ResultColumnLabels[#Headers]),"C",COLUMN(),":R",ROW()-1,"C",COLUMN()),FALSE))+1)</f>
        <v/>
      </c>
      <c r="B265" s="219" t="str">
        <f ca="1">IF(ResultColumnLabels[[#This Row],[Data Value Number]]="","",INDEX(DataColumns[ColumnLabel],MATCH(ResultColumnLabels[[#This Row],[Data Value Number]],DataColumns[DVNum],0)))</f>
        <v/>
      </c>
    </row>
    <row r="266" spans="1:2" x14ac:dyDescent="0.25">
      <c r="A266" s="219" t="str">
        <f ca="1">IF(ROW()-1&gt;NumDataColumns,"",MAX(INDIRECT(CONCATENATE("R",ROW(ResultColumnLabels[#Headers]),"C",COLUMN(),":R",ROW()-1,"C",COLUMN()),FALSE))+1)</f>
        <v/>
      </c>
      <c r="B266" s="219" t="str">
        <f ca="1">IF(ResultColumnLabels[[#This Row],[Data Value Number]]="","",INDEX(DataColumns[ColumnLabel],MATCH(ResultColumnLabels[[#This Row],[Data Value Number]],DataColumns[DVNum],0)))</f>
        <v/>
      </c>
    </row>
    <row r="267" spans="1:2" x14ac:dyDescent="0.25">
      <c r="A267" s="219" t="str">
        <f ca="1">IF(ROW()-1&gt;NumDataColumns,"",MAX(INDIRECT(CONCATENATE("R",ROW(ResultColumnLabels[#Headers]),"C",COLUMN(),":R",ROW()-1,"C",COLUMN()),FALSE))+1)</f>
        <v/>
      </c>
      <c r="B267" s="219" t="str">
        <f ca="1">IF(ResultColumnLabels[[#This Row],[Data Value Number]]="","",INDEX(DataColumns[ColumnLabel],MATCH(ResultColumnLabels[[#This Row],[Data Value Number]],DataColumns[DVNum],0)))</f>
        <v/>
      </c>
    </row>
    <row r="268" spans="1:2" x14ac:dyDescent="0.25">
      <c r="A268" s="219" t="str">
        <f ca="1">IF(ROW()-1&gt;NumDataColumns,"",MAX(INDIRECT(CONCATENATE("R",ROW(ResultColumnLabels[#Headers]),"C",COLUMN(),":R",ROW()-1,"C",COLUMN()),FALSE))+1)</f>
        <v/>
      </c>
      <c r="B268" s="219" t="str">
        <f ca="1">IF(ResultColumnLabels[[#This Row],[Data Value Number]]="","",INDEX(DataColumns[ColumnLabel],MATCH(ResultColumnLabels[[#This Row],[Data Value Number]],DataColumns[DVNum],0)))</f>
        <v/>
      </c>
    </row>
    <row r="269" spans="1:2" x14ac:dyDescent="0.25">
      <c r="A269" s="219" t="str">
        <f ca="1">IF(ROW()-1&gt;NumDataColumns,"",MAX(INDIRECT(CONCATENATE("R",ROW(ResultColumnLabels[#Headers]),"C",COLUMN(),":R",ROW()-1,"C",COLUMN()),FALSE))+1)</f>
        <v/>
      </c>
      <c r="B269" s="219" t="str">
        <f ca="1">IF(ResultColumnLabels[[#This Row],[Data Value Number]]="","",INDEX(DataColumns[ColumnLabel],MATCH(ResultColumnLabels[[#This Row],[Data Value Number]],DataColumns[DVNum],0)))</f>
        <v/>
      </c>
    </row>
    <row r="270" spans="1:2" x14ac:dyDescent="0.25">
      <c r="A270" s="219" t="str">
        <f ca="1">IF(ROW()-1&gt;NumDataColumns,"",MAX(INDIRECT(CONCATENATE("R",ROW(ResultColumnLabels[#Headers]),"C",COLUMN(),":R",ROW()-1,"C",COLUMN()),FALSE))+1)</f>
        <v/>
      </c>
      <c r="B270" s="219" t="str">
        <f ca="1">IF(ResultColumnLabels[[#This Row],[Data Value Number]]="","",INDEX(DataColumns[ColumnLabel],MATCH(ResultColumnLabels[[#This Row],[Data Value Number]],DataColumns[DVNum],0)))</f>
        <v/>
      </c>
    </row>
    <row r="271" spans="1:2" x14ac:dyDescent="0.25">
      <c r="A271" s="219" t="str">
        <f ca="1">IF(ROW()-1&gt;NumDataColumns,"",MAX(INDIRECT(CONCATENATE("R",ROW(ResultColumnLabels[#Headers]),"C",COLUMN(),":R",ROW()-1,"C",COLUMN()),FALSE))+1)</f>
        <v/>
      </c>
      <c r="B271" s="219" t="str">
        <f ca="1">IF(ResultColumnLabels[[#This Row],[Data Value Number]]="","",INDEX(DataColumns[ColumnLabel],MATCH(ResultColumnLabels[[#This Row],[Data Value Number]],DataColumns[DVNum],0)))</f>
        <v/>
      </c>
    </row>
    <row r="272" spans="1:2" x14ac:dyDescent="0.25">
      <c r="A272" s="219" t="str">
        <f ca="1">IF(ROW()-1&gt;NumDataColumns,"",MAX(INDIRECT(CONCATENATE("R",ROW(ResultColumnLabels[#Headers]),"C",COLUMN(),":R",ROW()-1,"C",COLUMN()),FALSE))+1)</f>
        <v/>
      </c>
      <c r="B272" s="219" t="str">
        <f ca="1">IF(ResultColumnLabels[[#This Row],[Data Value Number]]="","",INDEX(DataColumns[ColumnLabel],MATCH(ResultColumnLabels[[#This Row],[Data Value Number]],DataColumns[DVNum],0)))</f>
        <v/>
      </c>
    </row>
    <row r="273" spans="1:2" x14ac:dyDescent="0.25">
      <c r="A273" s="219" t="str">
        <f ca="1">IF(ROW()-1&gt;NumDataColumns,"",MAX(INDIRECT(CONCATENATE("R",ROW(ResultColumnLabels[#Headers]),"C",COLUMN(),":R",ROW()-1,"C",COLUMN()),FALSE))+1)</f>
        <v/>
      </c>
      <c r="B273" s="219" t="str">
        <f ca="1">IF(ResultColumnLabels[[#This Row],[Data Value Number]]="","",INDEX(DataColumns[ColumnLabel],MATCH(ResultColumnLabels[[#This Row],[Data Value Number]],DataColumns[DVNum],0)))</f>
        <v/>
      </c>
    </row>
    <row r="274" spans="1:2" x14ac:dyDescent="0.25">
      <c r="A274" s="219" t="str">
        <f ca="1">IF(ROW()-1&gt;NumDataColumns,"",MAX(INDIRECT(CONCATENATE("R",ROW(ResultColumnLabels[#Headers]),"C",COLUMN(),":R",ROW()-1,"C",COLUMN()),FALSE))+1)</f>
        <v/>
      </c>
      <c r="B274" s="219" t="str">
        <f ca="1">IF(ResultColumnLabels[[#This Row],[Data Value Number]]="","",INDEX(DataColumns[ColumnLabel],MATCH(ResultColumnLabels[[#This Row],[Data Value Number]],DataColumns[DVNum],0)))</f>
        <v/>
      </c>
    </row>
    <row r="275" spans="1:2" x14ac:dyDescent="0.25">
      <c r="A275" s="219" t="str">
        <f ca="1">IF(ROW()-1&gt;NumDataColumns,"",MAX(INDIRECT(CONCATENATE("R",ROW(ResultColumnLabels[#Headers]),"C",COLUMN(),":R",ROW()-1,"C",COLUMN()),FALSE))+1)</f>
        <v/>
      </c>
      <c r="B275" s="219" t="str">
        <f ca="1">IF(ResultColumnLabels[[#This Row],[Data Value Number]]="","",INDEX(DataColumns[ColumnLabel],MATCH(ResultColumnLabels[[#This Row],[Data Value Number]],DataColumns[DVNum],0)))</f>
        <v/>
      </c>
    </row>
    <row r="276" spans="1:2" x14ac:dyDescent="0.25">
      <c r="A276" s="219" t="str">
        <f ca="1">IF(ROW()-1&gt;NumDataColumns,"",MAX(INDIRECT(CONCATENATE("R",ROW(ResultColumnLabels[#Headers]),"C",COLUMN(),":R",ROW()-1,"C",COLUMN()),FALSE))+1)</f>
        <v/>
      </c>
      <c r="B276" s="219" t="str">
        <f ca="1">IF(ResultColumnLabels[[#This Row],[Data Value Number]]="","",INDEX(DataColumns[ColumnLabel],MATCH(ResultColumnLabels[[#This Row],[Data Value Number]],DataColumns[DVNum],0)))</f>
        <v/>
      </c>
    </row>
    <row r="277" spans="1:2" x14ac:dyDescent="0.25">
      <c r="A277" s="219" t="str">
        <f ca="1">IF(ROW()-1&gt;NumDataColumns,"",MAX(INDIRECT(CONCATENATE("R",ROW(ResultColumnLabels[#Headers]),"C",COLUMN(),":R",ROW()-1,"C",COLUMN()),FALSE))+1)</f>
        <v/>
      </c>
      <c r="B277" s="219" t="str">
        <f ca="1">IF(ResultColumnLabels[[#This Row],[Data Value Number]]="","",INDEX(DataColumns[ColumnLabel],MATCH(ResultColumnLabels[[#This Row],[Data Value Number]],DataColumns[DVNum],0)))</f>
        <v/>
      </c>
    </row>
    <row r="278" spans="1:2" x14ac:dyDescent="0.25">
      <c r="A278" s="219" t="str">
        <f ca="1">IF(ROW()-1&gt;NumDataColumns,"",MAX(INDIRECT(CONCATENATE("R",ROW(ResultColumnLabels[#Headers]),"C",COLUMN(),":R",ROW()-1,"C",COLUMN()),FALSE))+1)</f>
        <v/>
      </c>
      <c r="B278" s="219" t="str">
        <f ca="1">IF(ResultColumnLabels[[#This Row],[Data Value Number]]="","",INDEX(DataColumns[ColumnLabel],MATCH(ResultColumnLabels[[#This Row],[Data Value Number]],DataColumns[DVNum],0)))</f>
        <v/>
      </c>
    </row>
    <row r="279" spans="1:2" x14ac:dyDescent="0.25">
      <c r="A279" s="219" t="str">
        <f ca="1">IF(ROW()-1&gt;NumDataColumns,"",MAX(INDIRECT(CONCATENATE("R",ROW(ResultColumnLabels[#Headers]),"C",COLUMN(),":R",ROW()-1,"C",COLUMN()),FALSE))+1)</f>
        <v/>
      </c>
      <c r="B279" s="219" t="str">
        <f ca="1">IF(ResultColumnLabels[[#This Row],[Data Value Number]]="","",INDEX(DataColumns[ColumnLabel],MATCH(ResultColumnLabels[[#This Row],[Data Value Number]],DataColumns[DVNum],0)))</f>
        <v/>
      </c>
    </row>
    <row r="280" spans="1:2" x14ac:dyDescent="0.25">
      <c r="A280" s="219" t="str">
        <f ca="1">IF(ROW()-1&gt;NumDataColumns,"",MAX(INDIRECT(CONCATENATE("R",ROW(ResultColumnLabels[#Headers]),"C",COLUMN(),":R",ROW()-1,"C",COLUMN()),FALSE))+1)</f>
        <v/>
      </c>
      <c r="B280" s="219" t="str">
        <f ca="1">IF(ResultColumnLabels[[#This Row],[Data Value Number]]="","",INDEX(DataColumns[ColumnLabel],MATCH(ResultColumnLabels[[#This Row],[Data Value Number]],DataColumns[DVNum],0)))</f>
        <v/>
      </c>
    </row>
    <row r="281" spans="1:2" x14ac:dyDescent="0.25">
      <c r="A281" s="219" t="str">
        <f ca="1">IF(ROW()-1&gt;NumDataColumns,"",MAX(INDIRECT(CONCATENATE("R",ROW(ResultColumnLabels[#Headers]),"C",COLUMN(),":R",ROW()-1,"C",COLUMN()),FALSE))+1)</f>
        <v/>
      </c>
      <c r="B281" s="219" t="str">
        <f ca="1">IF(ResultColumnLabels[[#This Row],[Data Value Number]]="","",INDEX(DataColumns[ColumnLabel],MATCH(ResultColumnLabels[[#This Row],[Data Value Number]],DataColumns[DVNum],0)))</f>
        <v/>
      </c>
    </row>
    <row r="282" spans="1:2" x14ac:dyDescent="0.25">
      <c r="A282" s="219" t="str">
        <f ca="1">IF(ROW()-1&gt;NumDataColumns,"",MAX(INDIRECT(CONCATENATE("R",ROW(ResultColumnLabels[#Headers]),"C",COLUMN(),":R",ROW()-1,"C",COLUMN()),FALSE))+1)</f>
        <v/>
      </c>
      <c r="B282" s="219" t="str">
        <f ca="1">IF(ResultColumnLabels[[#This Row],[Data Value Number]]="","",INDEX(DataColumns[ColumnLabel],MATCH(ResultColumnLabels[[#This Row],[Data Value Number]],DataColumns[DVNum],0)))</f>
        <v/>
      </c>
    </row>
    <row r="283" spans="1:2" x14ac:dyDescent="0.25">
      <c r="A283" s="219" t="str">
        <f ca="1">IF(ROW()-1&gt;NumDataColumns,"",MAX(INDIRECT(CONCATENATE("R",ROW(ResultColumnLabels[#Headers]),"C",COLUMN(),":R",ROW()-1,"C",COLUMN()),FALSE))+1)</f>
        <v/>
      </c>
      <c r="B283" s="219" t="str">
        <f ca="1">IF(ResultColumnLabels[[#This Row],[Data Value Number]]="","",INDEX(DataColumns[ColumnLabel],MATCH(ResultColumnLabels[[#This Row],[Data Value Number]],DataColumns[DVNum],0)))</f>
        <v/>
      </c>
    </row>
    <row r="284" spans="1:2" x14ac:dyDescent="0.25">
      <c r="A284" s="219" t="str">
        <f ca="1">IF(ROW()-1&gt;NumDataColumns,"",MAX(INDIRECT(CONCATENATE("R",ROW(ResultColumnLabels[#Headers]),"C",COLUMN(),":R",ROW()-1,"C",COLUMN()),FALSE))+1)</f>
        <v/>
      </c>
      <c r="B284" s="219" t="str">
        <f ca="1">IF(ResultColumnLabels[[#This Row],[Data Value Number]]="","",INDEX(DataColumns[ColumnLabel],MATCH(ResultColumnLabels[[#This Row],[Data Value Number]],DataColumns[DVNum],0)))</f>
        <v/>
      </c>
    </row>
    <row r="285" spans="1:2" x14ac:dyDescent="0.25">
      <c r="A285" s="219" t="str">
        <f ca="1">IF(ROW()-1&gt;NumDataColumns,"",MAX(INDIRECT(CONCATENATE("R",ROW(ResultColumnLabels[#Headers]),"C",COLUMN(),":R",ROW()-1,"C",COLUMN()),FALSE))+1)</f>
        <v/>
      </c>
      <c r="B285" s="219" t="str">
        <f ca="1">IF(ResultColumnLabels[[#This Row],[Data Value Number]]="","",INDEX(DataColumns[ColumnLabel],MATCH(ResultColumnLabels[[#This Row],[Data Value Number]],DataColumns[DVNum],0)))</f>
        <v/>
      </c>
    </row>
    <row r="286" spans="1:2" x14ac:dyDescent="0.25">
      <c r="A286" s="219" t="str">
        <f ca="1">IF(ROW()-1&gt;NumDataColumns,"",MAX(INDIRECT(CONCATENATE("R",ROW(ResultColumnLabels[#Headers]),"C",COLUMN(),":R",ROW()-1,"C",COLUMN()),FALSE))+1)</f>
        <v/>
      </c>
      <c r="B286" s="219" t="str">
        <f ca="1">IF(ResultColumnLabels[[#This Row],[Data Value Number]]="","",INDEX(DataColumns[ColumnLabel],MATCH(ResultColumnLabels[[#This Row],[Data Value Number]],DataColumns[DVNum],0)))</f>
        <v/>
      </c>
    </row>
    <row r="287" spans="1:2" x14ac:dyDescent="0.25">
      <c r="A287" s="219" t="str">
        <f ca="1">IF(ROW()-1&gt;NumDataColumns,"",MAX(INDIRECT(CONCATENATE("R",ROW(ResultColumnLabels[#Headers]),"C",COLUMN(),":R",ROW()-1,"C",COLUMN()),FALSE))+1)</f>
        <v/>
      </c>
      <c r="B287" s="219" t="str">
        <f ca="1">IF(ResultColumnLabels[[#This Row],[Data Value Number]]="","",INDEX(DataColumns[ColumnLabel],MATCH(ResultColumnLabels[[#This Row],[Data Value Number]],DataColumns[DVNum],0)))</f>
        <v/>
      </c>
    </row>
    <row r="288" spans="1:2" x14ac:dyDescent="0.25">
      <c r="A288" s="219" t="str">
        <f ca="1">IF(ROW()-1&gt;NumDataColumns,"",MAX(INDIRECT(CONCATENATE("R",ROW(ResultColumnLabels[#Headers]),"C",COLUMN(),":R",ROW()-1,"C",COLUMN()),FALSE))+1)</f>
        <v/>
      </c>
      <c r="B288" s="219" t="str">
        <f ca="1">IF(ResultColumnLabels[[#This Row],[Data Value Number]]="","",INDEX(DataColumns[ColumnLabel],MATCH(ResultColumnLabels[[#This Row],[Data Value Number]],DataColumns[DVNum],0)))</f>
        <v/>
      </c>
    </row>
    <row r="289" spans="1:2" x14ac:dyDescent="0.25">
      <c r="A289" s="219" t="str">
        <f ca="1">IF(ROW()-1&gt;NumDataColumns,"",MAX(INDIRECT(CONCATENATE("R",ROW(ResultColumnLabels[#Headers]),"C",COLUMN(),":R",ROW()-1,"C",COLUMN()),FALSE))+1)</f>
        <v/>
      </c>
      <c r="B289" s="219" t="str">
        <f ca="1">IF(ResultColumnLabels[[#This Row],[Data Value Number]]="","",INDEX(DataColumns[ColumnLabel],MATCH(ResultColumnLabels[[#This Row],[Data Value Number]],DataColumns[DVNum],0)))</f>
        <v/>
      </c>
    </row>
    <row r="290" spans="1:2" x14ac:dyDescent="0.25">
      <c r="A290" s="219" t="str">
        <f ca="1">IF(ROW()-1&gt;NumDataColumns,"",MAX(INDIRECT(CONCATENATE("R",ROW(ResultColumnLabels[#Headers]),"C",COLUMN(),":R",ROW()-1,"C",COLUMN()),FALSE))+1)</f>
        <v/>
      </c>
      <c r="B290" s="219" t="str">
        <f ca="1">IF(ResultColumnLabels[[#This Row],[Data Value Number]]="","",INDEX(DataColumns[ColumnLabel],MATCH(ResultColumnLabels[[#This Row],[Data Value Number]],DataColumns[DVNum],0)))</f>
        <v/>
      </c>
    </row>
    <row r="291" spans="1:2" x14ac:dyDescent="0.25">
      <c r="A291" s="219" t="str">
        <f ca="1">IF(ROW()-1&gt;NumDataColumns,"",MAX(INDIRECT(CONCATENATE("R",ROW(ResultColumnLabels[#Headers]),"C",COLUMN(),":R",ROW()-1,"C",COLUMN()),FALSE))+1)</f>
        <v/>
      </c>
      <c r="B291" s="219" t="str">
        <f ca="1">IF(ResultColumnLabels[[#This Row],[Data Value Number]]="","",INDEX(DataColumns[ColumnLabel],MATCH(ResultColumnLabels[[#This Row],[Data Value Number]],DataColumns[DVNum],0)))</f>
        <v/>
      </c>
    </row>
    <row r="292" spans="1:2" x14ac:dyDescent="0.25">
      <c r="A292" s="219" t="str">
        <f ca="1">IF(ROW()-1&gt;NumDataColumns,"",MAX(INDIRECT(CONCATENATE("R",ROW(ResultColumnLabels[#Headers]),"C",COLUMN(),":R",ROW()-1,"C",COLUMN()),FALSE))+1)</f>
        <v/>
      </c>
      <c r="B292" s="219" t="str">
        <f ca="1">IF(ResultColumnLabels[[#This Row],[Data Value Number]]="","",INDEX(DataColumns[ColumnLabel],MATCH(ResultColumnLabels[[#This Row],[Data Value Number]],DataColumns[DVNum],0)))</f>
        <v/>
      </c>
    </row>
    <row r="293" spans="1:2" x14ac:dyDescent="0.25">
      <c r="A293" s="219" t="str">
        <f ca="1">IF(ROW()-1&gt;NumDataColumns,"",MAX(INDIRECT(CONCATENATE("R",ROW(ResultColumnLabels[#Headers]),"C",COLUMN(),":R",ROW()-1,"C",COLUMN()),FALSE))+1)</f>
        <v/>
      </c>
      <c r="B293" s="219" t="str">
        <f ca="1">IF(ResultColumnLabels[[#This Row],[Data Value Number]]="","",INDEX(DataColumns[ColumnLabel],MATCH(ResultColumnLabels[[#This Row],[Data Value Number]],DataColumns[DVNum],0)))</f>
        <v/>
      </c>
    </row>
    <row r="294" spans="1:2" x14ac:dyDescent="0.25">
      <c r="A294" s="219" t="str">
        <f ca="1">IF(ROW()-1&gt;NumDataColumns,"",MAX(INDIRECT(CONCATENATE("R",ROW(ResultColumnLabels[#Headers]),"C",COLUMN(),":R",ROW()-1,"C",COLUMN()),FALSE))+1)</f>
        <v/>
      </c>
      <c r="B294" s="219" t="str">
        <f ca="1">IF(ResultColumnLabels[[#This Row],[Data Value Number]]="","",INDEX(DataColumns[ColumnLabel],MATCH(ResultColumnLabels[[#This Row],[Data Value Number]],DataColumns[DVNum],0)))</f>
        <v/>
      </c>
    </row>
    <row r="295" spans="1:2" x14ac:dyDescent="0.25">
      <c r="A295" s="219" t="str">
        <f ca="1">IF(ROW()-1&gt;NumDataColumns,"",MAX(INDIRECT(CONCATENATE("R",ROW(ResultColumnLabels[#Headers]),"C",COLUMN(),":R",ROW()-1,"C",COLUMN()),FALSE))+1)</f>
        <v/>
      </c>
      <c r="B295" s="219" t="str">
        <f ca="1">IF(ResultColumnLabels[[#This Row],[Data Value Number]]="","",INDEX(DataColumns[ColumnLabel],MATCH(ResultColumnLabels[[#This Row],[Data Value Number]],DataColumns[DVNum],0)))</f>
        <v/>
      </c>
    </row>
    <row r="296" spans="1:2" x14ac:dyDescent="0.25">
      <c r="A296" s="219" t="str">
        <f ca="1">IF(ROW()-1&gt;NumDataColumns,"",MAX(INDIRECT(CONCATENATE("R",ROW(ResultColumnLabels[#Headers]),"C",COLUMN(),":R",ROW()-1,"C",COLUMN()),FALSE))+1)</f>
        <v/>
      </c>
      <c r="B296" s="219" t="str">
        <f ca="1">IF(ResultColumnLabels[[#This Row],[Data Value Number]]="","",INDEX(DataColumns[ColumnLabel],MATCH(ResultColumnLabels[[#This Row],[Data Value Number]],DataColumns[DVNum],0)))</f>
        <v/>
      </c>
    </row>
    <row r="297" spans="1:2" x14ac:dyDescent="0.25">
      <c r="A297" s="219" t="str">
        <f ca="1">IF(ROW()-1&gt;NumDataColumns,"",MAX(INDIRECT(CONCATENATE("R",ROW(ResultColumnLabels[#Headers]),"C",COLUMN(),":R",ROW()-1,"C",COLUMN()),FALSE))+1)</f>
        <v/>
      </c>
      <c r="B297" s="219" t="str">
        <f ca="1">IF(ResultColumnLabels[[#This Row],[Data Value Number]]="","",INDEX(DataColumns[ColumnLabel],MATCH(ResultColumnLabels[[#This Row],[Data Value Number]],DataColumns[DVNum],0)))</f>
        <v/>
      </c>
    </row>
    <row r="298" spans="1:2" x14ac:dyDescent="0.25">
      <c r="A298" s="219" t="str">
        <f ca="1">IF(ROW()-1&gt;NumDataColumns,"",MAX(INDIRECT(CONCATENATE("R",ROW(ResultColumnLabels[#Headers]),"C",COLUMN(),":R",ROW()-1,"C",COLUMN()),FALSE))+1)</f>
        <v/>
      </c>
      <c r="B298" s="219" t="str">
        <f ca="1">IF(ResultColumnLabels[[#This Row],[Data Value Number]]="","",INDEX(DataColumns[ColumnLabel],MATCH(ResultColumnLabels[[#This Row],[Data Value Number]],DataColumns[DVNum],0)))</f>
        <v/>
      </c>
    </row>
    <row r="299" spans="1:2" x14ac:dyDescent="0.25">
      <c r="A299" s="219" t="str">
        <f ca="1">IF(ROW()-1&gt;NumDataColumns,"",MAX(INDIRECT(CONCATENATE("R",ROW(ResultColumnLabels[#Headers]),"C",COLUMN(),":R",ROW()-1,"C",COLUMN()),FALSE))+1)</f>
        <v/>
      </c>
      <c r="B299" s="219" t="str">
        <f ca="1">IF(ResultColumnLabels[[#This Row],[Data Value Number]]="","",INDEX(DataColumns[ColumnLabel],MATCH(ResultColumnLabels[[#This Row],[Data Value Number]],DataColumns[DVNum],0)))</f>
        <v/>
      </c>
    </row>
    <row r="300" spans="1:2" x14ac:dyDescent="0.25">
      <c r="A300" s="219" t="str">
        <f ca="1">IF(ROW()-1&gt;NumDataColumns,"",MAX(INDIRECT(CONCATENATE("R",ROW(ResultColumnLabels[#Headers]),"C",COLUMN(),":R",ROW()-1,"C",COLUMN()),FALSE))+1)</f>
        <v/>
      </c>
      <c r="B300" s="219" t="str">
        <f ca="1">IF(ResultColumnLabels[[#This Row],[Data Value Number]]="","",INDEX(DataColumns[ColumnLabel],MATCH(ResultColumnLabels[[#This Row],[Data Value Number]],DataColumns[DVNum],0)))</f>
        <v/>
      </c>
    </row>
    <row r="301" spans="1:2" x14ac:dyDescent="0.25">
      <c r="A301" s="219" t="str">
        <f ca="1">IF(ROW()-1&gt;NumDataColumns,"",MAX(INDIRECT(CONCATENATE("R",ROW(ResultColumnLabels[#Headers]),"C",COLUMN(),":R",ROW()-1,"C",COLUMN()),FALSE))+1)</f>
        <v/>
      </c>
      <c r="B301" s="219" t="str">
        <f ca="1">IF(ResultColumnLabels[[#This Row],[Data Value Number]]="","",INDEX(DataColumns[ColumnLabel],MATCH(ResultColumnLabels[[#This Row],[Data Value Number]],DataColumns[DVNum],0)))</f>
        <v/>
      </c>
    </row>
    <row r="302" spans="1:2" x14ac:dyDescent="0.25">
      <c r="A302" s="219" t="str">
        <f ca="1">IF(ROW()-1&gt;NumDataColumns,"",MAX(INDIRECT(CONCATENATE("R",ROW(ResultColumnLabels[#Headers]),"C",COLUMN(),":R",ROW()-1,"C",COLUMN()),FALSE))+1)</f>
        <v/>
      </c>
      <c r="B302" s="219" t="str">
        <f ca="1">IF(ResultColumnLabels[[#This Row],[Data Value Number]]="","",INDEX(DataColumns[ColumnLabel],MATCH(ResultColumnLabels[[#This Row],[Data Value Number]],DataColumns[DVNum],0)))</f>
        <v/>
      </c>
    </row>
    <row r="303" spans="1:2" x14ac:dyDescent="0.25">
      <c r="A303" s="219" t="str">
        <f ca="1">IF(ROW()-1&gt;NumDataColumns,"",MAX(INDIRECT(CONCATENATE("R",ROW(ResultColumnLabels[#Headers]),"C",COLUMN(),":R",ROW()-1,"C",COLUMN()),FALSE))+1)</f>
        <v/>
      </c>
      <c r="B303" s="219" t="str">
        <f ca="1">IF(ResultColumnLabels[[#This Row],[Data Value Number]]="","",INDEX(DataColumns[ColumnLabel],MATCH(ResultColumnLabels[[#This Row],[Data Value Number]],DataColumns[DVNum],0)))</f>
        <v/>
      </c>
    </row>
    <row r="304" spans="1:2" x14ac:dyDescent="0.25">
      <c r="A304" s="219" t="str">
        <f ca="1">IF(ROW()-1&gt;NumDataColumns,"",MAX(INDIRECT(CONCATENATE("R",ROW(ResultColumnLabels[#Headers]),"C",COLUMN(),":R",ROW()-1,"C",COLUMN()),FALSE))+1)</f>
        <v/>
      </c>
      <c r="B304" s="219" t="str">
        <f ca="1">IF(ResultColumnLabels[[#This Row],[Data Value Number]]="","",INDEX(DataColumns[ColumnLabel],MATCH(ResultColumnLabels[[#This Row],[Data Value Number]],DataColumns[DVNum],0)))</f>
        <v/>
      </c>
    </row>
    <row r="305" spans="1:2" x14ac:dyDescent="0.25">
      <c r="A305" s="219" t="str">
        <f ca="1">IF(ROW()-1&gt;NumDataColumns,"",MAX(INDIRECT(CONCATENATE("R",ROW(ResultColumnLabels[#Headers]),"C",COLUMN(),":R",ROW()-1,"C",COLUMN()),FALSE))+1)</f>
        <v/>
      </c>
      <c r="B305" s="219" t="str">
        <f ca="1">IF(ResultColumnLabels[[#This Row],[Data Value Number]]="","",INDEX(DataColumns[ColumnLabel],MATCH(ResultColumnLabels[[#This Row],[Data Value Number]],DataColumns[DVNum],0)))</f>
        <v/>
      </c>
    </row>
    <row r="306" spans="1:2" x14ac:dyDescent="0.25">
      <c r="A306" s="219" t="str">
        <f ca="1">IF(ROW()-1&gt;NumDataColumns,"",MAX(INDIRECT(CONCATENATE("R",ROW(ResultColumnLabels[#Headers]),"C",COLUMN(),":R",ROW()-1,"C",COLUMN()),FALSE))+1)</f>
        <v/>
      </c>
      <c r="B306" s="219" t="str">
        <f ca="1">IF(ResultColumnLabels[[#This Row],[Data Value Number]]="","",INDEX(DataColumns[ColumnLabel],MATCH(ResultColumnLabels[[#This Row],[Data Value Number]],DataColumns[DVNum],0)))</f>
        <v/>
      </c>
    </row>
    <row r="307" spans="1:2" x14ac:dyDescent="0.25">
      <c r="A307" s="219" t="str">
        <f ca="1">IF(ROW()-1&gt;NumDataColumns,"",MAX(INDIRECT(CONCATENATE("R",ROW(ResultColumnLabels[#Headers]),"C",COLUMN(),":R",ROW()-1,"C",COLUMN()),FALSE))+1)</f>
        <v/>
      </c>
      <c r="B307" s="219" t="str">
        <f ca="1">IF(ResultColumnLabels[[#This Row],[Data Value Number]]="","",INDEX(DataColumns[ColumnLabel],MATCH(ResultColumnLabels[[#This Row],[Data Value Number]],DataColumns[DVNum],0)))</f>
        <v/>
      </c>
    </row>
    <row r="308" spans="1:2" x14ac:dyDescent="0.25">
      <c r="A308" s="219" t="str">
        <f ca="1">IF(ROW()-1&gt;NumDataColumns,"",MAX(INDIRECT(CONCATENATE("R",ROW(ResultColumnLabels[#Headers]),"C",COLUMN(),":R",ROW()-1,"C",COLUMN()),FALSE))+1)</f>
        <v/>
      </c>
      <c r="B308" s="219" t="str">
        <f ca="1">IF(ResultColumnLabels[[#This Row],[Data Value Number]]="","",INDEX(DataColumns[ColumnLabel],MATCH(ResultColumnLabels[[#This Row],[Data Value Number]],DataColumns[DVNum],0)))</f>
        <v/>
      </c>
    </row>
    <row r="309" spans="1:2" x14ac:dyDescent="0.25">
      <c r="A309" s="219" t="str">
        <f ca="1">IF(ROW()-1&gt;NumDataColumns,"",MAX(INDIRECT(CONCATENATE("R",ROW(ResultColumnLabels[#Headers]),"C",COLUMN(),":R",ROW()-1,"C",COLUMN()),FALSE))+1)</f>
        <v/>
      </c>
      <c r="B309" s="219" t="str">
        <f ca="1">IF(ResultColumnLabels[[#This Row],[Data Value Number]]="","",INDEX(DataColumns[ColumnLabel],MATCH(ResultColumnLabels[[#This Row],[Data Value Number]],DataColumns[DVNum],0)))</f>
        <v/>
      </c>
    </row>
    <row r="310" spans="1:2" x14ac:dyDescent="0.25">
      <c r="A310" s="219" t="str">
        <f ca="1">IF(ROW()-1&gt;NumDataColumns,"",MAX(INDIRECT(CONCATENATE("R",ROW(ResultColumnLabels[#Headers]),"C",COLUMN(),":R",ROW()-1,"C",COLUMN()),FALSE))+1)</f>
        <v/>
      </c>
      <c r="B310" s="219" t="str">
        <f ca="1">IF(ResultColumnLabels[[#This Row],[Data Value Number]]="","",INDEX(DataColumns[ColumnLabel],MATCH(ResultColumnLabels[[#This Row],[Data Value Number]],DataColumns[DVNum],0)))</f>
        <v/>
      </c>
    </row>
    <row r="311" spans="1:2" x14ac:dyDescent="0.25">
      <c r="A311" s="219" t="str">
        <f ca="1">IF(ROW()-1&gt;NumDataColumns,"",MAX(INDIRECT(CONCATENATE("R",ROW(ResultColumnLabels[#Headers]),"C",COLUMN(),":R",ROW()-1,"C",COLUMN()),FALSE))+1)</f>
        <v/>
      </c>
      <c r="B311" s="219" t="str">
        <f ca="1">IF(ResultColumnLabels[[#This Row],[Data Value Number]]="","",INDEX(DataColumns[ColumnLabel],MATCH(ResultColumnLabels[[#This Row],[Data Value Number]],DataColumns[DVNum],0)))</f>
        <v/>
      </c>
    </row>
    <row r="312" spans="1:2" x14ac:dyDescent="0.25">
      <c r="A312" s="219" t="str">
        <f ca="1">IF(ROW()-1&gt;NumDataColumns,"",MAX(INDIRECT(CONCATENATE("R",ROW(ResultColumnLabels[#Headers]),"C",COLUMN(),":R",ROW()-1,"C",COLUMN()),FALSE))+1)</f>
        <v/>
      </c>
      <c r="B312" s="219" t="str">
        <f ca="1">IF(ResultColumnLabels[[#This Row],[Data Value Number]]="","",INDEX(DataColumns[ColumnLabel],MATCH(ResultColumnLabels[[#This Row],[Data Value Number]],DataColumns[DVNum],0)))</f>
        <v/>
      </c>
    </row>
    <row r="313" spans="1:2" x14ac:dyDescent="0.25">
      <c r="A313" s="219" t="str">
        <f ca="1">IF(ROW()-1&gt;NumDataColumns,"",MAX(INDIRECT(CONCATENATE("R",ROW(ResultColumnLabels[#Headers]),"C",COLUMN(),":R",ROW()-1,"C",COLUMN()),FALSE))+1)</f>
        <v/>
      </c>
      <c r="B313" s="219" t="str">
        <f ca="1">IF(ResultColumnLabels[[#This Row],[Data Value Number]]="","",INDEX(DataColumns[ColumnLabel],MATCH(ResultColumnLabels[[#This Row],[Data Value Number]],DataColumns[DVNum],0)))</f>
        <v/>
      </c>
    </row>
    <row r="314" spans="1:2" x14ac:dyDescent="0.25">
      <c r="A314" s="219" t="str">
        <f ca="1">IF(ROW()-1&gt;NumDataColumns,"",MAX(INDIRECT(CONCATENATE("R",ROW(ResultColumnLabels[#Headers]),"C",COLUMN(),":R",ROW()-1,"C",COLUMN()),FALSE))+1)</f>
        <v/>
      </c>
      <c r="B314" s="219" t="str">
        <f ca="1">IF(ResultColumnLabels[[#This Row],[Data Value Number]]="","",INDEX(DataColumns[ColumnLabel],MATCH(ResultColumnLabels[[#This Row],[Data Value Number]],DataColumns[DVNum],0)))</f>
        <v/>
      </c>
    </row>
    <row r="315" spans="1:2" x14ac:dyDescent="0.25">
      <c r="A315" s="219" t="str">
        <f ca="1">IF(ROW()-1&gt;NumDataColumns,"",MAX(INDIRECT(CONCATENATE("R",ROW(ResultColumnLabels[#Headers]),"C",COLUMN(),":R",ROW()-1,"C",COLUMN()),FALSE))+1)</f>
        <v/>
      </c>
      <c r="B315" s="219" t="str">
        <f ca="1">IF(ResultColumnLabels[[#This Row],[Data Value Number]]="","",INDEX(DataColumns[ColumnLabel],MATCH(ResultColumnLabels[[#This Row],[Data Value Number]],DataColumns[DVNum],0)))</f>
        <v/>
      </c>
    </row>
    <row r="316" spans="1:2" x14ac:dyDescent="0.25">
      <c r="A316" s="219" t="str">
        <f ca="1">IF(ROW()-1&gt;NumDataColumns,"",MAX(INDIRECT(CONCATENATE("R",ROW(ResultColumnLabels[#Headers]),"C",COLUMN(),":R",ROW()-1,"C",COLUMN()),FALSE))+1)</f>
        <v/>
      </c>
      <c r="B316" s="219" t="str">
        <f ca="1">IF(ResultColumnLabels[[#This Row],[Data Value Number]]="","",INDEX(DataColumns[ColumnLabel],MATCH(ResultColumnLabels[[#This Row],[Data Value Number]],DataColumns[DVNum],0)))</f>
        <v/>
      </c>
    </row>
    <row r="317" spans="1:2" x14ac:dyDescent="0.25">
      <c r="A317" s="219" t="str">
        <f ca="1">IF(ROW()-1&gt;NumDataColumns,"",MAX(INDIRECT(CONCATENATE("R",ROW(ResultColumnLabels[#Headers]),"C",COLUMN(),":R",ROW()-1,"C",COLUMN()),FALSE))+1)</f>
        <v/>
      </c>
      <c r="B317" s="219" t="str">
        <f ca="1">IF(ResultColumnLabels[[#This Row],[Data Value Number]]="","",INDEX(DataColumns[ColumnLabel],MATCH(ResultColumnLabels[[#This Row],[Data Value Number]],DataColumns[DVNum],0)))</f>
        <v/>
      </c>
    </row>
    <row r="318" spans="1:2" x14ac:dyDescent="0.25">
      <c r="A318" s="219" t="str">
        <f ca="1">IF(ROW()-1&gt;NumDataColumns,"",MAX(INDIRECT(CONCATENATE("R",ROW(ResultColumnLabels[#Headers]),"C",COLUMN(),":R",ROW()-1,"C",COLUMN()),FALSE))+1)</f>
        <v/>
      </c>
      <c r="B318" s="219" t="str">
        <f ca="1">IF(ResultColumnLabels[[#This Row],[Data Value Number]]="","",INDEX(DataColumns[ColumnLabel],MATCH(ResultColumnLabels[[#This Row],[Data Value Number]],DataColumns[DVNum],0)))</f>
        <v/>
      </c>
    </row>
    <row r="319" spans="1:2" x14ac:dyDescent="0.25">
      <c r="A319" s="219" t="str">
        <f ca="1">IF(ROW()-1&gt;NumDataColumns,"",MAX(INDIRECT(CONCATENATE("R",ROW(ResultColumnLabels[#Headers]),"C",COLUMN(),":R",ROW()-1,"C",COLUMN()),FALSE))+1)</f>
        <v/>
      </c>
      <c r="B319" s="219" t="str">
        <f ca="1">IF(ResultColumnLabels[[#This Row],[Data Value Number]]="","",INDEX(DataColumns[ColumnLabel],MATCH(ResultColumnLabels[[#This Row],[Data Value Number]],DataColumns[DVNum],0)))</f>
        <v/>
      </c>
    </row>
    <row r="320" spans="1:2" x14ac:dyDescent="0.25">
      <c r="A320" s="219" t="str">
        <f ca="1">IF(ROW()-1&gt;NumDataColumns,"",MAX(INDIRECT(CONCATENATE("R",ROW(ResultColumnLabels[#Headers]),"C",COLUMN(),":R",ROW()-1,"C",COLUMN()),FALSE))+1)</f>
        <v/>
      </c>
      <c r="B320" s="219" t="str">
        <f ca="1">IF(ResultColumnLabels[[#This Row],[Data Value Number]]="","",INDEX(DataColumns[ColumnLabel],MATCH(ResultColumnLabels[[#This Row],[Data Value Number]],DataColumns[DVNum],0)))</f>
        <v/>
      </c>
    </row>
    <row r="321" spans="1:2" x14ac:dyDescent="0.25">
      <c r="A321" s="219" t="str">
        <f ca="1">IF(ROW()-1&gt;NumDataColumns,"",MAX(INDIRECT(CONCATENATE("R",ROW(ResultColumnLabels[#Headers]),"C",COLUMN(),":R",ROW()-1,"C",COLUMN()),FALSE))+1)</f>
        <v/>
      </c>
      <c r="B321" s="219" t="str">
        <f ca="1">IF(ResultColumnLabels[[#This Row],[Data Value Number]]="","",INDEX(DataColumns[ColumnLabel],MATCH(ResultColumnLabels[[#This Row],[Data Value Number]],DataColumns[DVNum],0)))</f>
        <v/>
      </c>
    </row>
    <row r="322" spans="1:2" x14ac:dyDescent="0.25">
      <c r="A322" s="219" t="str">
        <f ca="1">IF(ROW()-1&gt;NumDataColumns,"",MAX(INDIRECT(CONCATENATE("R",ROW(ResultColumnLabels[#Headers]),"C",COLUMN(),":R",ROW()-1,"C",COLUMN()),FALSE))+1)</f>
        <v/>
      </c>
      <c r="B322" s="219" t="str">
        <f ca="1">IF(ResultColumnLabels[[#This Row],[Data Value Number]]="","",INDEX(DataColumns[ColumnLabel],MATCH(ResultColumnLabels[[#This Row],[Data Value Number]],DataColumns[DVNum],0)))</f>
        <v/>
      </c>
    </row>
    <row r="323" spans="1:2" x14ac:dyDescent="0.25">
      <c r="A323" s="219" t="str">
        <f ca="1">IF(ROW()-1&gt;NumDataColumns,"",MAX(INDIRECT(CONCATENATE("R",ROW(ResultColumnLabels[#Headers]),"C",COLUMN(),":R",ROW()-1,"C",COLUMN()),FALSE))+1)</f>
        <v/>
      </c>
      <c r="B323" s="219" t="str">
        <f ca="1">IF(ResultColumnLabels[[#This Row],[Data Value Number]]="","",INDEX(DataColumns[ColumnLabel],MATCH(ResultColumnLabels[[#This Row],[Data Value Number]],DataColumns[DVNum],0)))</f>
        <v/>
      </c>
    </row>
    <row r="324" spans="1:2" x14ac:dyDescent="0.25">
      <c r="A324" s="219" t="str">
        <f ca="1">IF(ROW()-1&gt;NumDataColumns,"",MAX(INDIRECT(CONCATENATE("R",ROW(ResultColumnLabels[#Headers]),"C",COLUMN(),":R",ROW()-1,"C",COLUMN()),FALSE))+1)</f>
        <v/>
      </c>
      <c r="B324" s="219" t="str">
        <f ca="1">IF(ResultColumnLabels[[#This Row],[Data Value Number]]="","",INDEX(DataColumns[ColumnLabel],MATCH(ResultColumnLabels[[#This Row],[Data Value Number]],DataColumns[DVNum],0)))</f>
        <v/>
      </c>
    </row>
    <row r="325" spans="1:2" x14ac:dyDescent="0.25">
      <c r="A325" s="219" t="str">
        <f ca="1">IF(ROW()-1&gt;NumDataColumns,"",MAX(INDIRECT(CONCATENATE("R",ROW(ResultColumnLabels[#Headers]),"C",COLUMN(),":R",ROW()-1,"C",COLUMN()),FALSE))+1)</f>
        <v/>
      </c>
      <c r="B325" s="219" t="str">
        <f ca="1">IF(ResultColumnLabels[[#This Row],[Data Value Number]]="","",INDEX(DataColumns[ColumnLabel],MATCH(ResultColumnLabels[[#This Row],[Data Value Number]],DataColumns[DVNum],0)))</f>
        <v/>
      </c>
    </row>
    <row r="326" spans="1:2" x14ac:dyDescent="0.25">
      <c r="A326" s="219" t="str">
        <f ca="1">IF(ROW()-1&gt;NumDataColumns,"",MAX(INDIRECT(CONCATENATE("R",ROW(ResultColumnLabels[#Headers]),"C",COLUMN(),":R",ROW()-1,"C",COLUMN()),FALSE))+1)</f>
        <v/>
      </c>
      <c r="B326" s="219" t="str">
        <f ca="1">IF(ResultColumnLabels[[#This Row],[Data Value Number]]="","",INDEX(DataColumns[ColumnLabel],MATCH(ResultColumnLabels[[#This Row],[Data Value Number]],DataColumns[DVNum],0)))</f>
        <v/>
      </c>
    </row>
    <row r="327" spans="1:2" x14ac:dyDescent="0.25">
      <c r="A327" s="219" t="str">
        <f ca="1">IF(ROW()-1&gt;NumDataColumns,"",MAX(INDIRECT(CONCATENATE("R",ROW(ResultColumnLabels[#Headers]),"C",COLUMN(),":R",ROW()-1,"C",COLUMN()),FALSE))+1)</f>
        <v/>
      </c>
      <c r="B327" s="219" t="str">
        <f ca="1">IF(ResultColumnLabels[[#This Row],[Data Value Number]]="","",INDEX(DataColumns[ColumnLabel],MATCH(ResultColumnLabels[[#This Row],[Data Value Number]],DataColumns[DVNum],0)))</f>
        <v/>
      </c>
    </row>
    <row r="328" spans="1:2" x14ac:dyDescent="0.25">
      <c r="A328" s="219" t="str">
        <f ca="1">IF(ROW()-1&gt;NumDataColumns,"",MAX(INDIRECT(CONCATENATE("R",ROW(ResultColumnLabels[#Headers]),"C",COLUMN(),":R",ROW()-1,"C",COLUMN()),FALSE))+1)</f>
        <v/>
      </c>
      <c r="B328" s="219" t="str">
        <f ca="1">IF(ResultColumnLabels[[#This Row],[Data Value Number]]="","",INDEX(DataColumns[ColumnLabel],MATCH(ResultColumnLabels[[#This Row],[Data Value Number]],DataColumns[DVNum],0)))</f>
        <v/>
      </c>
    </row>
    <row r="329" spans="1:2" x14ac:dyDescent="0.25">
      <c r="A329" s="219" t="str">
        <f ca="1">IF(ROW()-1&gt;NumDataColumns,"",MAX(INDIRECT(CONCATENATE("R",ROW(ResultColumnLabels[#Headers]),"C",COLUMN(),":R",ROW()-1,"C",COLUMN()),FALSE))+1)</f>
        <v/>
      </c>
      <c r="B329" s="219" t="str">
        <f ca="1">IF(ResultColumnLabels[[#This Row],[Data Value Number]]="","",INDEX(DataColumns[ColumnLabel],MATCH(ResultColumnLabels[[#This Row],[Data Value Number]],DataColumns[DVNum],0)))</f>
        <v/>
      </c>
    </row>
    <row r="330" spans="1:2" x14ac:dyDescent="0.25">
      <c r="A330" s="219" t="str">
        <f ca="1">IF(ROW()-1&gt;NumDataColumns,"",MAX(INDIRECT(CONCATENATE("R",ROW(ResultColumnLabels[#Headers]),"C",COLUMN(),":R",ROW()-1,"C",COLUMN()),FALSE))+1)</f>
        <v/>
      </c>
      <c r="B330" s="219" t="str">
        <f ca="1">IF(ResultColumnLabels[[#This Row],[Data Value Number]]="","",INDEX(DataColumns[ColumnLabel],MATCH(ResultColumnLabels[[#This Row],[Data Value Number]],DataColumns[DVNum],0)))</f>
        <v/>
      </c>
    </row>
    <row r="331" spans="1:2" x14ac:dyDescent="0.25">
      <c r="A331" s="219" t="str">
        <f ca="1">IF(ROW()-1&gt;NumDataColumns,"",MAX(INDIRECT(CONCATENATE("R",ROW(ResultColumnLabels[#Headers]),"C",COLUMN(),":R",ROW()-1,"C",COLUMN()),FALSE))+1)</f>
        <v/>
      </c>
      <c r="B331" s="219" t="str">
        <f ca="1">IF(ResultColumnLabels[[#This Row],[Data Value Number]]="","",INDEX(DataColumns[ColumnLabel],MATCH(ResultColumnLabels[[#This Row],[Data Value Number]],DataColumns[DVNum],0)))</f>
        <v/>
      </c>
    </row>
    <row r="332" spans="1:2" x14ac:dyDescent="0.25">
      <c r="A332" s="219" t="str">
        <f ca="1">IF(ROW()-1&gt;NumDataColumns,"",MAX(INDIRECT(CONCATENATE("R",ROW(ResultColumnLabels[#Headers]),"C",COLUMN(),":R",ROW()-1,"C",COLUMN()),FALSE))+1)</f>
        <v/>
      </c>
      <c r="B332" s="219" t="str">
        <f ca="1">IF(ResultColumnLabels[[#This Row],[Data Value Number]]="","",INDEX(DataColumns[ColumnLabel],MATCH(ResultColumnLabels[[#This Row],[Data Value Number]],DataColumns[DVNum],0)))</f>
        <v/>
      </c>
    </row>
    <row r="333" spans="1:2" x14ac:dyDescent="0.25">
      <c r="A333" s="219" t="str">
        <f ca="1">IF(ROW()-1&gt;NumDataColumns,"",MAX(INDIRECT(CONCATENATE("R",ROW(ResultColumnLabels[#Headers]),"C",COLUMN(),":R",ROW()-1,"C",COLUMN()),FALSE))+1)</f>
        <v/>
      </c>
      <c r="B333" s="219" t="str">
        <f ca="1">IF(ResultColumnLabels[[#This Row],[Data Value Number]]="","",INDEX(DataColumns[ColumnLabel],MATCH(ResultColumnLabels[[#This Row],[Data Value Number]],DataColumns[DVNum],0)))</f>
        <v/>
      </c>
    </row>
    <row r="334" spans="1:2" x14ac:dyDescent="0.25">
      <c r="A334" s="219" t="str">
        <f ca="1">IF(ROW()-1&gt;NumDataColumns,"",MAX(INDIRECT(CONCATENATE("R",ROW(ResultColumnLabels[#Headers]),"C",COLUMN(),":R",ROW()-1,"C",COLUMN()),FALSE))+1)</f>
        <v/>
      </c>
      <c r="B334" s="219" t="str">
        <f ca="1">IF(ResultColumnLabels[[#This Row],[Data Value Number]]="","",INDEX(DataColumns[ColumnLabel],MATCH(ResultColumnLabels[[#This Row],[Data Value Number]],DataColumns[DVNum],0)))</f>
        <v/>
      </c>
    </row>
    <row r="335" spans="1:2" x14ac:dyDescent="0.25">
      <c r="A335" s="219" t="str">
        <f ca="1">IF(ROW()-1&gt;NumDataColumns,"",MAX(INDIRECT(CONCATENATE("R",ROW(ResultColumnLabels[#Headers]),"C",COLUMN(),":R",ROW()-1,"C",COLUMN()),FALSE))+1)</f>
        <v/>
      </c>
      <c r="B335" s="219" t="str">
        <f ca="1">IF(ResultColumnLabels[[#This Row],[Data Value Number]]="","",INDEX(DataColumns[ColumnLabel],MATCH(ResultColumnLabels[[#This Row],[Data Value Number]],DataColumns[DVNum],0)))</f>
        <v/>
      </c>
    </row>
    <row r="336" spans="1:2" x14ac:dyDescent="0.25">
      <c r="A336" s="219" t="str">
        <f ca="1">IF(ROW()-1&gt;NumDataColumns,"",MAX(INDIRECT(CONCATENATE("R",ROW(ResultColumnLabels[#Headers]),"C",COLUMN(),":R",ROW()-1,"C",COLUMN()),FALSE))+1)</f>
        <v/>
      </c>
      <c r="B336" s="219" t="str">
        <f ca="1">IF(ResultColumnLabels[[#This Row],[Data Value Number]]="","",INDEX(DataColumns[ColumnLabel],MATCH(ResultColumnLabels[[#This Row],[Data Value Number]],DataColumns[DVNum],0)))</f>
        <v/>
      </c>
    </row>
    <row r="337" spans="1:2" x14ac:dyDescent="0.25">
      <c r="A337" s="219" t="str">
        <f ca="1">IF(ROW()-1&gt;NumDataColumns,"",MAX(INDIRECT(CONCATENATE("R",ROW(ResultColumnLabels[#Headers]),"C",COLUMN(),":R",ROW()-1,"C",COLUMN()),FALSE))+1)</f>
        <v/>
      </c>
      <c r="B337" s="219" t="str">
        <f ca="1">IF(ResultColumnLabels[[#This Row],[Data Value Number]]="","",INDEX(DataColumns[ColumnLabel],MATCH(ResultColumnLabels[[#This Row],[Data Value Number]],DataColumns[DVNum],0)))</f>
        <v/>
      </c>
    </row>
    <row r="338" spans="1:2" x14ac:dyDescent="0.25">
      <c r="A338" s="219" t="str">
        <f ca="1">IF(ROW()-1&gt;NumDataColumns,"",MAX(INDIRECT(CONCATENATE("R",ROW(ResultColumnLabels[#Headers]),"C",COLUMN(),":R",ROW()-1,"C",COLUMN()),FALSE))+1)</f>
        <v/>
      </c>
      <c r="B338" s="219" t="str">
        <f ca="1">IF(ResultColumnLabels[[#This Row],[Data Value Number]]="","",INDEX(DataColumns[ColumnLabel],MATCH(ResultColumnLabels[[#This Row],[Data Value Number]],DataColumns[DVNum],0)))</f>
        <v/>
      </c>
    </row>
    <row r="339" spans="1:2" x14ac:dyDescent="0.25">
      <c r="A339" s="219" t="str">
        <f ca="1">IF(ROW()-1&gt;NumDataColumns,"",MAX(INDIRECT(CONCATENATE("R",ROW(ResultColumnLabels[#Headers]),"C",COLUMN(),":R",ROW()-1,"C",COLUMN()),FALSE))+1)</f>
        <v/>
      </c>
      <c r="B339" s="219" t="str">
        <f ca="1">IF(ResultColumnLabels[[#This Row],[Data Value Number]]="","",INDEX(DataColumns[ColumnLabel],MATCH(ResultColumnLabels[[#This Row],[Data Value Number]],DataColumns[DVNum],0)))</f>
        <v/>
      </c>
    </row>
    <row r="340" spans="1:2" x14ac:dyDescent="0.25">
      <c r="A340" s="219" t="str">
        <f ca="1">IF(ROW()-1&gt;NumDataColumns,"",MAX(INDIRECT(CONCATENATE("R",ROW(ResultColumnLabels[#Headers]),"C",COLUMN(),":R",ROW()-1,"C",COLUMN()),FALSE))+1)</f>
        <v/>
      </c>
      <c r="B340" s="219" t="str">
        <f ca="1">IF(ResultColumnLabels[[#This Row],[Data Value Number]]="","",INDEX(DataColumns[ColumnLabel],MATCH(ResultColumnLabels[[#This Row],[Data Value Number]],DataColumns[DVNum],0)))</f>
        <v/>
      </c>
    </row>
    <row r="341" spans="1:2" x14ac:dyDescent="0.25">
      <c r="A341" s="219" t="str">
        <f ca="1">IF(ROW()-1&gt;NumDataColumns,"",MAX(INDIRECT(CONCATENATE("R",ROW(ResultColumnLabels[#Headers]),"C",COLUMN(),":R",ROW()-1,"C",COLUMN()),FALSE))+1)</f>
        <v/>
      </c>
      <c r="B341" s="219" t="str">
        <f ca="1">IF(ResultColumnLabels[[#This Row],[Data Value Number]]="","",INDEX(DataColumns[ColumnLabel],MATCH(ResultColumnLabels[[#This Row],[Data Value Number]],DataColumns[DVNum],0)))</f>
        <v/>
      </c>
    </row>
    <row r="342" spans="1:2" x14ac:dyDescent="0.25">
      <c r="A342" s="219" t="str">
        <f ca="1">IF(ROW()-1&gt;NumDataColumns,"",MAX(INDIRECT(CONCATENATE("R",ROW(ResultColumnLabels[#Headers]),"C",COLUMN(),":R",ROW()-1,"C",COLUMN()),FALSE))+1)</f>
        <v/>
      </c>
      <c r="B342" s="219" t="str">
        <f ca="1">IF(ResultColumnLabels[[#This Row],[Data Value Number]]="","",INDEX(DataColumns[ColumnLabel],MATCH(ResultColumnLabels[[#This Row],[Data Value Number]],DataColumns[DVNum],0)))</f>
        <v/>
      </c>
    </row>
    <row r="343" spans="1:2" x14ac:dyDescent="0.25">
      <c r="A343" s="219" t="str">
        <f ca="1">IF(ROW()-1&gt;NumDataColumns,"",MAX(INDIRECT(CONCATENATE("R",ROW(ResultColumnLabels[#Headers]),"C",COLUMN(),":R",ROW()-1,"C",COLUMN()),FALSE))+1)</f>
        <v/>
      </c>
      <c r="B343" s="219" t="str">
        <f ca="1">IF(ResultColumnLabels[[#This Row],[Data Value Number]]="","",INDEX(DataColumns[ColumnLabel],MATCH(ResultColumnLabels[[#This Row],[Data Value Number]],DataColumns[DVNum],0)))</f>
        <v/>
      </c>
    </row>
    <row r="344" spans="1:2" x14ac:dyDescent="0.25">
      <c r="A344" s="219" t="str">
        <f ca="1">IF(ROW()-1&gt;NumDataColumns,"",MAX(INDIRECT(CONCATENATE("R",ROW(ResultColumnLabels[#Headers]),"C",COLUMN(),":R",ROW()-1,"C",COLUMN()),FALSE))+1)</f>
        <v/>
      </c>
      <c r="B344" s="219" t="str">
        <f ca="1">IF(ResultColumnLabels[[#This Row],[Data Value Number]]="","",INDEX(DataColumns[ColumnLabel],MATCH(ResultColumnLabels[[#This Row],[Data Value Number]],DataColumns[DVNum],0)))</f>
        <v/>
      </c>
    </row>
    <row r="345" spans="1:2" x14ac:dyDescent="0.25">
      <c r="A345" s="219" t="str">
        <f ca="1">IF(ROW()-1&gt;NumDataColumns,"",MAX(INDIRECT(CONCATENATE("R",ROW(ResultColumnLabels[#Headers]),"C",COLUMN(),":R",ROW()-1,"C",COLUMN()),FALSE))+1)</f>
        <v/>
      </c>
      <c r="B345" s="219" t="str">
        <f ca="1">IF(ResultColumnLabels[[#This Row],[Data Value Number]]="","",INDEX(DataColumns[ColumnLabel],MATCH(ResultColumnLabels[[#This Row],[Data Value Number]],DataColumns[DVNum],0)))</f>
        <v/>
      </c>
    </row>
    <row r="346" spans="1:2" x14ac:dyDescent="0.25">
      <c r="A346" s="219" t="str">
        <f ca="1">IF(ROW()-1&gt;NumDataColumns,"",MAX(INDIRECT(CONCATENATE("R",ROW(ResultColumnLabels[#Headers]),"C",COLUMN(),":R",ROW()-1,"C",COLUMN()),FALSE))+1)</f>
        <v/>
      </c>
      <c r="B346" s="219" t="str">
        <f ca="1">IF(ResultColumnLabels[[#This Row],[Data Value Number]]="","",INDEX(DataColumns[ColumnLabel],MATCH(ResultColumnLabels[[#This Row],[Data Value Number]],DataColumns[DVNum],0)))</f>
        <v/>
      </c>
    </row>
    <row r="347" spans="1:2" x14ac:dyDescent="0.25">
      <c r="A347" s="219" t="str">
        <f ca="1">IF(ROW()-1&gt;NumDataColumns,"",MAX(INDIRECT(CONCATENATE("R",ROW(ResultColumnLabels[#Headers]),"C",COLUMN(),":R",ROW()-1,"C",COLUMN()),FALSE))+1)</f>
        <v/>
      </c>
      <c r="B347" s="219" t="str">
        <f ca="1">IF(ResultColumnLabels[[#This Row],[Data Value Number]]="","",INDEX(DataColumns[ColumnLabel],MATCH(ResultColumnLabels[[#This Row],[Data Value Number]],DataColumns[DVNum],0)))</f>
        <v/>
      </c>
    </row>
    <row r="348" spans="1:2" x14ac:dyDescent="0.25">
      <c r="A348" s="219" t="str">
        <f ca="1">IF(ROW()-1&gt;NumDataColumns,"",MAX(INDIRECT(CONCATENATE("R",ROW(ResultColumnLabels[#Headers]),"C",COLUMN(),":R",ROW()-1,"C",COLUMN()),FALSE))+1)</f>
        <v/>
      </c>
      <c r="B348" s="219" t="str">
        <f ca="1">IF(ResultColumnLabels[[#This Row],[Data Value Number]]="","",INDEX(DataColumns[ColumnLabel],MATCH(ResultColumnLabels[[#This Row],[Data Value Number]],DataColumns[DVNum],0)))</f>
        <v/>
      </c>
    </row>
    <row r="349" spans="1:2" x14ac:dyDescent="0.25">
      <c r="A349" s="219" t="str">
        <f ca="1">IF(ROW()-1&gt;NumDataColumns,"",MAX(INDIRECT(CONCATENATE("R",ROW(ResultColumnLabels[#Headers]),"C",COLUMN(),":R",ROW()-1,"C",COLUMN()),FALSE))+1)</f>
        <v/>
      </c>
      <c r="B349" s="219" t="str">
        <f ca="1">IF(ResultColumnLabels[[#This Row],[Data Value Number]]="","",INDEX(DataColumns[ColumnLabel],MATCH(ResultColumnLabels[[#This Row],[Data Value Number]],DataColumns[DVNum],0)))</f>
        <v/>
      </c>
    </row>
    <row r="350" spans="1:2" x14ac:dyDescent="0.25">
      <c r="A350" s="219" t="str">
        <f ca="1">IF(ROW()-1&gt;NumDataColumns,"",MAX(INDIRECT(CONCATENATE("R",ROW(ResultColumnLabels[#Headers]),"C",COLUMN(),":R",ROW()-1,"C",COLUMN()),FALSE))+1)</f>
        <v/>
      </c>
      <c r="B350" s="219" t="str">
        <f ca="1">IF(ResultColumnLabels[[#This Row],[Data Value Number]]="","",INDEX(DataColumns[ColumnLabel],MATCH(ResultColumnLabels[[#This Row],[Data Value Number]],DataColumns[DVNum],0)))</f>
        <v/>
      </c>
    </row>
    <row r="351" spans="1:2" x14ac:dyDescent="0.25">
      <c r="A351" s="219" t="str">
        <f ca="1">IF(ROW()-1&gt;NumDataColumns,"",MAX(INDIRECT(CONCATENATE("R",ROW(ResultColumnLabels[#Headers]),"C",COLUMN(),":R",ROW()-1,"C",COLUMN()),FALSE))+1)</f>
        <v/>
      </c>
      <c r="B351" s="219" t="str">
        <f ca="1">IF(ResultColumnLabels[[#This Row],[Data Value Number]]="","",INDEX(DataColumns[ColumnLabel],MATCH(ResultColumnLabels[[#This Row],[Data Value Number]],DataColumns[DVNum],0)))</f>
        <v/>
      </c>
    </row>
    <row r="352" spans="1:2" x14ac:dyDescent="0.25">
      <c r="A352" s="219" t="str">
        <f ca="1">IF(ROW()-1&gt;NumDataColumns,"",MAX(INDIRECT(CONCATENATE("R",ROW(ResultColumnLabels[#Headers]),"C",COLUMN(),":R",ROW()-1,"C",COLUMN()),FALSE))+1)</f>
        <v/>
      </c>
      <c r="B352" s="219" t="str">
        <f ca="1">IF(ResultColumnLabels[[#This Row],[Data Value Number]]="","",INDEX(DataColumns[ColumnLabel],MATCH(ResultColumnLabels[[#This Row],[Data Value Number]],DataColumns[DVNum],0)))</f>
        <v/>
      </c>
    </row>
    <row r="353" spans="1:2" x14ac:dyDescent="0.25">
      <c r="A353" s="219" t="str">
        <f ca="1">IF(ROW()-1&gt;NumDataColumns,"",MAX(INDIRECT(CONCATENATE("R",ROW(ResultColumnLabels[#Headers]),"C",COLUMN(),":R",ROW()-1,"C",COLUMN()),FALSE))+1)</f>
        <v/>
      </c>
      <c r="B353" s="219" t="str">
        <f ca="1">IF(ResultColumnLabels[[#This Row],[Data Value Number]]="","",INDEX(DataColumns[ColumnLabel],MATCH(ResultColumnLabels[[#This Row],[Data Value Number]],DataColumns[DVNum],0)))</f>
        <v/>
      </c>
    </row>
    <row r="354" spans="1:2" x14ac:dyDescent="0.25">
      <c r="A354" s="219" t="str">
        <f ca="1">IF(ROW()-1&gt;NumDataColumns,"",MAX(INDIRECT(CONCATENATE("R",ROW(ResultColumnLabels[#Headers]),"C",COLUMN(),":R",ROW()-1,"C",COLUMN()),FALSE))+1)</f>
        <v/>
      </c>
      <c r="B354" s="219" t="str">
        <f ca="1">IF(ResultColumnLabels[[#This Row],[Data Value Number]]="","",INDEX(DataColumns[ColumnLabel],MATCH(ResultColumnLabels[[#This Row],[Data Value Number]],DataColumns[DVNum],0)))</f>
        <v/>
      </c>
    </row>
    <row r="355" spans="1:2" x14ac:dyDescent="0.25">
      <c r="A355" s="219" t="str">
        <f ca="1">IF(ROW()-1&gt;NumDataColumns,"",MAX(INDIRECT(CONCATENATE("R",ROW(ResultColumnLabels[#Headers]),"C",COLUMN(),":R",ROW()-1,"C",COLUMN()),FALSE))+1)</f>
        <v/>
      </c>
      <c r="B355" s="219" t="str">
        <f ca="1">IF(ResultColumnLabels[[#This Row],[Data Value Number]]="","",INDEX(DataColumns[ColumnLabel],MATCH(ResultColumnLabels[[#This Row],[Data Value Number]],DataColumns[DVNum],0)))</f>
        <v/>
      </c>
    </row>
    <row r="356" spans="1:2" x14ac:dyDescent="0.25">
      <c r="A356" s="219" t="str">
        <f ca="1">IF(ROW()-1&gt;NumDataColumns,"",MAX(INDIRECT(CONCATENATE("R",ROW(ResultColumnLabels[#Headers]),"C",COLUMN(),":R",ROW()-1,"C",COLUMN()),FALSE))+1)</f>
        <v/>
      </c>
      <c r="B356" s="219" t="str">
        <f ca="1">IF(ResultColumnLabels[[#This Row],[Data Value Number]]="","",INDEX(DataColumns[ColumnLabel],MATCH(ResultColumnLabels[[#This Row],[Data Value Number]],DataColumns[DVNum],0)))</f>
        <v/>
      </c>
    </row>
    <row r="357" spans="1:2" x14ac:dyDescent="0.25">
      <c r="A357" s="219" t="str">
        <f ca="1">IF(ROW()-1&gt;NumDataColumns,"",MAX(INDIRECT(CONCATENATE("R",ROW(ResultColumnLabels[#Headers]),"C",COLUMN(),":R",ROW()-1,"C",COLUMN()),FALSE))+1)</f>
        <v/>
      </c>
      <c r="B357" s="219" t="str">
        <f ca="1">IF(ResultColumnLabels[[#This Row],[Data Value Number]]="","",INDEX(DataColumns[ColumnLabel],MATCH(ResultColumnLabels[[#This Row],[Data Value Number]],DataColumns[DVNum],0)))</f>
        <v/>
      </c>
    </row>
    <row r="358" spans="1:2" x14ac:dyDescent="0.25">
      <c r="A358" s="219" t="str">
        <f ca="1">IF(ROW()-1&gt;NumDataColumns,"",MAX(INDIRECT(CONCATENATE("R",ROW(ResultColumnLabels[#Headers]),"C",COLUMN(),":R",ROW()-1,"C",COLUMN()),FALSE))+1)</f>
        <v/>
      </c>
      <c r="B358" s="219" t="str">
        <f ca="1">IF(ResultColumnLabels[[#This Row],[Data Value Number]]="","",INDEX(DataColumns[ColumnLabel],MATCH(ResultColumnLabels[[#This Row],[Data Value Number]],DataColumns[DVNum],0)))</f>
        <v/>
      </c>
    </row>
    <row r="359" spans="1:2" x14ac:dyDescent="0.25">
      <c r="A359" s="219" t="str">
        <f ca="1">IF(ROW()-1&gt;NumDataColumns,"",MAX(INDIRECT(CONCATENATE("R",ROW(ResultColumnLabels[#Headers]),"C",COLUMN(),":R",ROW()-1,"C",COLUMN()),FALSE))+1)</f>
        <v/>
      </c>
      <c r="B359" s="219" t="str">
        <f ca="1">IF(ResultColumnLabels[[#This Row],[Data Value Number]]="","",INDEX(DataColumns[ColumnLabel],MATCH(ResultColumnLabels[[#This Row],[Data Value Number]],DataColumns[DVNum],0)))</f>
        <v/>
      </c>
    </row>
    <row r="360" spans="1:2" x14ac:dyDescent="0.25">
      <c r="A360" s="219" t="str">
        <f ca="1">IF(ROW()-1&gt;NumDataColumns,"",MAX(INDIRECT(CONCATENATE("R",ROW(ResultColumnLabels[#Headers]),"C",COLUMN(),":R",ROW()-1,"C",COLUMN()),FALSE))+1)</f>
        <v/>
      </c>
      <c r="B360" s="219" t="str">
        <f ca="1">IF(ResultColumnLabels[[#This Row],[Data Value Number]]="","",INDEX(DataColumns[ColumnLabel],MATCH(ResultColumnLabels[[#This Row],[Data Value Number]],DataColumns[DVNum],0)))</f>
        <v/>
      </c>
    </row>
    <row r="361" spans="1:2" x14ac:dyDescent="0.25">
      <c r="A361" s="219" t="str">
        <f ca="1">IF(ROW()-1&gt;NumDataColumns,"",MAX(INDIRECT(CONCATENATE("R",ROW(ResultColumnLabels[#Headers]),"C",COLUMN(),":R",ROW()-1,"C",COLUMN()),FALSE))+1)</f>
        <v/>
      </c>
      <c r="B361" s="219" t="str">
        <f ca="1">IF(ResultColumnLabels[[#This Row],[Data Value Number]]="","",INDEX(DataColumns[ColumnLabel],MATCH(ResultColumnLabels[[#This Row],[Data Value Number]],DataColumns[DVNum],0)))</f>
        <v/>
      </c>
    </row>
    <row r="362" spans="1:2" x14ac:dyDescent="0.25">
      <c r="A362" s="219" t="str">
        <f ca="1">IF(ROW()-1&gt;NumDataColumns,"",MAX(INDIRECT(CONCATENATE("R",ROW(ResultColumnLabels[#Headers]),"C",COLUMN(),":R",ROW()-1,"C",COLUMN()),FALSE))+1)</f>
        <v/>
      </c>
      <c r="B362" s="219" t="str">
        <f ca="1">IF(ResultColumnLabels[[#This Row],[Data Value Number]]="","",INDEX(DataColumns[ColumnLabel],MATCH(ResultColumnLabels[[#This Row],[Data Value Number]],DataColumns[DVNum],0)))</f>
        <v/>
      </c>
    </row>
    <row r="363" spans="1:2" x14ac:dyDescent="0.25">
      <c r="A363" s="219" t="str">
        <f ca="1">IF(ROW()-1&gt;NumDataColumns,"",MAX(INDIRECT(CONCATENATE("R",ROW(ResultColumnLabels[#Headers]),"C",COLUMN(),":R",ROW()-1,"C",COLUMN()),FALSE))+1)</f>
        <v/>
      </c>
      <c r="B363" s="219" t="str">
        <f ca="1">IF(ResultColumnLabels[[#This Row],[Data Value Number]]="","",INDEX(DataColumns[ColumnLabel],MATCH(ResultColumnLabels[[#This Row],[Data Value Number]],DataColumns[DVNum],0)))</f>
        <v/>
      </c>
    </row>
    <row r="364" spans="1:2" x14ac:dyDescent="0.25">
      <c r="A364" s="219" t="str">
        <f ca="1">IF(ROW()-1&gt;NumDataColumns,"",MAX(INDIRECT(CONCATENATE("R",ROW(ResultColumnLabels[#Headers]),"C",COLUMN(),":R",ROW()-1,"C",COLUMN()),FALSE))+1)</f>
        <v/>
      </c>
      <c r="B364" s="219" t="str">
        <f ca="1">IF(ResultColumnLabels[[#This Row],[Data Value Number]]="","",INDEX(DataColumns[ColumnLabel],MATCH(ResultColumnLabels[[#This Row],[Data Value Number]],DataColumns[DVNum],0)))</f>
        <v/>
      </c>
    </row>
    <row r="365" spans="1:2" x14ac:dyDescent="0.25">
      <c r="A365" s="219" t="str">
        <f ca="1">IF(ROW()-1&gt;NumDataColumns,"",MAX(INDIRECT(CONCATENATE("R",ROW(ResultColumnLabels[#Headers]),"C",COLUMN(),":R",ROW()-1,"C",COLUMN()),FALSE))+1)</f>
        <v/>
      </c>
      <c r="B365" s="219" t="str">
        <f ca="1">IF(ResultColumnLabels[[#This Row],[Data Value Number]]="","",INDEX(DataColumns[ColumnLabel],MATCH(ResultColumnLabels[[#This Row],[Data Value Number]],DataColumns[DVNum],0)))</f>
        <v/>
      </c>
    </row>
    <row r="366" spans="1:2" x14ac:dyDescent="0.25">
      <c r="A366" s="219" t="str">
        <f ca="1">IF(ROW()-1&gt;NumDataColumns,"",MAX(INDIRECT(CONCATENATE("R",ROW(ResultColumnLabels[#Headers]),"C",COLUMN(),":R",ROW()-1,"C",COLUMN()),FALSE))+1)</f>
        <v/>
      </c>
      <c r="B366" s="219" t="str">
        <f ca="1">IF(ResultColumnLabels[[#This Row],[Data Value Number]]="","",INDEX(DataColumns[ColumnLabel],MATCH(ResultColumnLabels[[#This Row],[Data Value Number]],DataColumns[DVNum],0)))</f>
        <v/>
      </c>
    </row>
    <row r="367" spans="1:2" x14ac:dyDescent="0.25">
      <c r="A367" s="219" t="str">
        <f ca="1">IF(ROW()-1&gt;NumDataColumns,"",MAX(INDIRECT(CONCATENATE("R",ROW(ResultColumnLabels[#Headers]),"C",COLUMN(),":R",ROW()-1,"C",COLUMN()),FALSE))+1)</f>
        <v/>
      </c>
      <c r="B367" s="219" t="str">
        <f ca="1">IF(ResultColumnLabels[[#This Row],[Data Value Number]]="","",INDEX(DataColumns[ColumnLabel],MATCH(ResultColumnLabels[[#This Row],[Data Value Number]],DataColumns[DVNum],0)))</f>
        <v/>
      </c>
    </row>
    <row r="368" spans="1:2" x14ac:dyDescent="0.25">
      <c r="A368" s="219" t="str">
        <f ca="1">IF(ROW()-1&gt;NumDataColumns,"",MAX(INDIRECT(CONCATENATE("R",ROW(ResultColumnLabels[#Headers]),"C",COLUMN(),":R",ROW()-1,"C",COLUMN()),FALSE))+1)</f>
        <v/>
      </c>
      <c r="B368" s="219" t="str">
        <f ca="1">IF(ResultColumnLabels[[#This Row],[Data Value Number]]="","",INDEX(DataColumns[ColumnLabel],MATCH(ResultColumnLabels[[#This Row],[Data Value Number]],DataColumns[DVNum],0)))</f>
        <v/>
      </c>
    </row>
    <row r="369" spans="1:2" x14ac:dyDescent="0.25">
      <c r="A369" s="219" t="str">
        <f ca="1">IF(ROW()-1&gt;NumDataColumns,"",MAX(INDIRECT(CONCATENATE("R",ROW(ResultColumnLabels[#Headers]),"C",COLUMN(),":R",ROW()-1,"C",COLUMN()),FALSE))+1)</f>
        <v/>
      </c>
      <c r="B369" s="219" t="str">
        <f ca="1">IF(ResultColumnLabels[[#This Row],[Data Value Number]]="","",INDEX(DataColumns[ColumnLabel],MATCH(ResultColumnLabels[[#This Row],[Data Value Number]],DataColumns[DVNum],0)))</f>
        <v/>
      </c>
    </row>
    <row r="370" spans="1:2" x14ac:dyDescent="0.25">
      <c r="A370" s="219" t="str">
        <f ca="1">IF(ROW()-1&gt;NumDataColumns,"",MAX(INDIRECT(CONCATENATE("R",ROW(ResultColumnLabels[#Headers]),"C",COLUMN(),":R",ROW()-1,"C",COLUMN()),FALSE))+1)</f>
        <v/>
      </c>
      <c r="B370" s="219" t="str">
        <f ca="1">IF(ResultColumnLabels[[#This Row],[Data Value Number]]="","",INDEX(DataColumns[ColumnLabel],MATCH(ResultColumnLabels[[#This Row],[Data Value Number]],DataColumns[DVNum],0)))</f>
        <v/>
      </c>
    </row>
    <row r="371" spans="1:2" x14ac:dyDescent="0.25">
      <c r="A371" s="219" t="str">
        <f ca="1">IF(ROW()-1&gt;NumDataColumns,"",MAX(INDIRECT(CONCATENATE("R",ROW(ResultColumnLabels[#Headers]),"C",COLUMN(),":R",ROW()-1,"C",COLUMN()),FALSE))+1)</f>
        <v/>
      </c>
      <c r="B371" s="219" t="str">
        <f ca="1">IF(ResultColumnLabels[[#This Row],[Data Value Number]]="","",INDEX(DataColumns[ColumnLabel],MATCH(ResultColumnLabels[[#This Row],[Data Value Number]],DataColumns[DVNum],0)))</f>
        <v/>
      </c>
    </row>
    <row r="372" spans="1:2" x14ac:dyDescent="0.25">
      <c r="A372" s="219" t="str">
        <f ca="1">IF(ROW()-1&gt;NumDataColumns,"",MAX(INDIRECT(CONCATENATE("R",ROW(ResultColumnLabels[#Headers]),"C",COLUMN(),":R",ROW()-1,"C",COLUMN()),FALSE))+1)</f>
        <v/>
      </c>
      <c r="B372" s="219" t="str">
        <f ca="1">IF(ResultColumnLabels[[#This Row],[Data Value Number]]="","",INDEX(DataColumns[ColumnLabel],MATCH(ResultColumnLabels[[#This Row],[Data Value Number]],DataColumns[DVNum],0)))</f>
        <v/>
      </c>
    </row>
    <row r="373" spans="1:2" x14ac:dyDescent="0.25">
      <c r="A373" s="219" t="str">
        <f ca="1">IF(ROW()-1&gt;NumDataColumns,"",MAX(INDIRECT(CONCATENATE("R",ROW(ResultColumnLabels[#Headers]),"C",COLUMN(),":R",ROW()-1,"C",COLUMN()),FALSE))+1)</f>
        <v/>
      </c>
      <c r="B373" s="219" t="str">
        <f ca="1">IF(ResultColumnLabels[[#This Row],[Data Value Number]]="","",INDEX(DataColumns[ColumnLabel],MATCH(ResultColumnLabels[[#This Row],[Data Value Number]],DataColumns[DVNum],0)))</f>
        <v/>
      </c>
    </row>
    <row r="374" spans="1:2" x14ac:dyDescent="0.25">
      <c r="A374" s="219" t="str">
        <f ca="1">IF(ROW()-1&gt;NumDataColumns,"",MAX(INDIRECT(CONCATENATE("R",ROW(ResultColumnLabels[#Headers]),"C",COLUMN(),":R",ROW()-1,"C",COLUMN()),FALSE))+1)</f>
        <v/>
      </c>
      <c r="B374" s="219" t="str">
        <f ca="1">IF(ResultColumnLabels[[#This Row],[Data Value Number]]="","",INDEX(DataColumns[ColumnLabel],MATCH(ResultColumnLabels[[#This Row],[Data Value Number]],DataColumns[DVNum],0)))</f>
        <v/>
      </c>
    </row>
    <row r="375" spans="1:2" x14ac:dyDescent="0.25">
      <c r="A375" s="219" t="str">
        <f ca="1">IF(ROW()-1&gt;NumDataColumns,"",MAX(INDIRECT(CONCATENATE("R",ROW(ResultColumnLabels[#Headers]),"C",COLUMN(),":R",ROW()-1,"C",COLUMN()),FALSE))+1)</f>
        <v/>
      </c>
      <c r="B375" s="219" t="str">
        <f ca="1">IF(ResultColumnLabels[[#This Row],[Data Value Number]]="","",INDEX(DataColumns[ColumnLabel],MATCH(ResultColumnLabels[[#This Row],[Data Value Number]],DataColumns[DVNum],0)))</f>
        <v/>
      </c>
    </row>
    <row r="376" spans="1:2" x14ac:dyDescent="0.25">
      <c r="A376" s="219" t="str">
        <f ca="1">IF(ROW()-1&gt;NumDataColumns,"",MAX(INDIRECT(CONCATENATE("R",ROW(ResultColumnLabels[#Headers]),"C",COLUMN(),":R",ROW()-1,"C",COLUMN()),FALSE))+1)</f>
        <v/>
      </c>
      <c r="B376" s="219" t="str">
        <f ca="1">IF(ResultColumnLabels[[#This Row],[Data Value Number]]="","",INDEX(DataColumns[ColumnLabel],MATCH(ResultColumnLabels[[#This Row],[Data Value Number]],DataColumns[DVNum],0)))</f>
        <v/>
      </c>
    </row>
    <row r="377" spans="1:2" x14ac:dyDescent="0.25">
      <c r="A377" s="219" t="str">
        <f ca="1">IF(ROW()-1&gt;NumDataColumns,"",MAX(INDIRECT(CONCATENATE("R",ROW(ResultColumnLabels[#Headers]),"C",COLUMN(),":R",ROW()-1,"C",COLUMN()),FALSE))+1)</f>
        <v/>
      </c>
      <c r="B377" s="219" t="str">
        <f ca="1">IF(ResultColumnLabels[[#This Row],[Data Value Number]]="","",INDEX(DataColumns[ColumnLabel],MATCH(ResultColumnLabels[[#This Row],[Data Value Number]],DataColumns[DVNum],0)))</f>
        <v/>
      </c>
    </row>
    <row r="378" spans="1:2" x14ac:dyDescent="0.25">
      <c r="A378" s="219" t="str">
        <f ca="1">IF(ROW()-1&gt;NumDataColumns,"",MAX(INDIRECT(CONCATENATE("R",ROW(ResultColumnLabels[#Headers]),"C",COLUMN(),":R",ROW()-1,"C",COLUMN()),FALSE))+1)</f>
        <v/>
      </c>
      <c r="B378" s="219" t="str">
        <f ca="1">IF(ResultColumnLabels[[#This Row],[Data Value Number]]="","",INDEX(DataColumns[ColumnLabel],MATCH(ResultColumnLabels[[#This Row],[Data Value Number]],DataColumns[DVNum],0)))</f>
        <v/>
      </c>
    </row>
    <row r="379" spans="1:2" x14ac:dyDescent="0.25">
      <c r="A379" s="219" t="str">
        <f ca="1">IF(ROW()-1&gt;NumDataColumns,"",MAX(INDIRECT(CONCATENATE("R",ROW(ResultColumnLabels[#Headers]),"C",COLUMN(),":R",ROW()-1,"C",COLUMN()),FALSE))+1)</f>
        <v/>
      </c>
      <c r="B379" s="219" t="str">
        <f ca="1">IF(ResultColumnLabels[[#This Row],[Data Value Number]]="","",INDEX(DataColumns[ColumnLabel],MATCH(ResultColumnLabels[[#This Row],[Data Value Number]],DataColumns[DVNum],0)))</f>
        <v/>
      </c>
    </row>
    <row r="380" spans="1:2" x14ac:dyDescent="0.25">
      <c r="A380" s="219" t="str">
        <f ca="1">IF(ROW()-1&gt;NumDataColumns,"",MAX(INDIRECT(CONCATENATE("R",ROW(ResultColumnLabels[#Headers]),"C",COLUMN(),":R",ROW()-1,"C",COLUMN()),FALSE))+1)</f>
        <v/>
      </c>
      <c r="B380" s="219" t="str">
        <f ca="1">IF(ResultColumnLabels[[#This Row],[Data Value Number]]="","",INDEX(DataColumns[ColumnLabel],MATCH(ResultColumnLabels[[#This Row],[Data Value Number]],DataColumns[DVNum],0)))</f>
        <v/>
      </c>
    </row>
    <row r="381" spans="1:2" x14ac:dyDescent="0.25">
      <c r="A381" s="219" t="str">
        <f ca="1">IF(ROW()-1&gt;NumDataColumns,"",MAX(INDIRECT(CONCATENATE("R",ROW(ResultColumnLabels[#Headers]),"C",COLUMN(),":R",ROW()-1,"C",COLUMN()),FALSE))+1)</f>
        <v/>
      </c>
      <c r="B381" s="219" t="str">
        <f ca="1">IF(ResultColumnLabels[[#This Row],[Data Value Number]]="","",INDEX(DataColumns[ColumnLabel],MATCH(ResultColumnLabels[[#This Row],[Data Value Number]],DataColumns[DVNum],0)))</f>
        <v/>
      </c>
    </row>
    <row r="382" spans="1:2" x14ac:dyDescent="0.25">
      <c r="A382" s="219" t="str">
        <f ca="1">IF(ROW()-1&gt;NumDataColumns,"",MAX(INDIRECT(CONCATENATE("R",ROW(ResultColumnLabels[#Headers]),"C",COLUMN(),":R",ROW()-1,"C",COLUMN()),FALSE))+1)</f>
        <v/>
      </c>
      <c r="B382" s="219" t="str">
        <f ca="1">IF(ResultColumnLabels[[#This Row],[Data Value Number]]="","",INDEX(DataColumns[ColumnLabel],MATCH(ResultColumnLabels[[#This Row],[Data Value Number]],DataColumns[DVNum],0)))</f>
        <v/>
      </c>
    </row>
    <row r="383" spans="1:2" x14ac:dyDescent="0.25">
      <c r="A383" s="219" t="str">
        <f ca="1">IF(ROW()-1&gt;NumDataColumns,"",MAX(INDIRECT(CONCATENATE("R",ROW(ResultColumnLabels[#Headers]),"C",COLUMN(),":R",ROW()-1,"C",COLUMN()),FALSE))+1)</f>
        <v/>
      </c>
      <c r="B383" s="219" t="str">
        <f ca="1">IF(ResultColumnLabels[[#This Row],[Data Value Number]]="","",INDEX(DataColumns[ColumnLabel],MATCH(ResultColumnLabels[[#This Row],[Data Value Number]],DataColumns[DVNum],0)))</f>
        <v/>
      </c>
    </row>
    <row r="384" spans="1:2" x14ac:dyDescent="0.25">
      <c r="A384" s="219" t="str">
        <f ca="1">IF(ROW()-1&gt;NumDataColumns,"",MAX(INDIRECT(CONCATENATE("R",ROW(ResultColumnLabels[#Headers]),"C",COLUMN(),":R",ROW()-1,"C",COLUMN()),FALSE))+1)</f>
        <v/>
      </c>
      <c r="B384" s="219" t="str">
        <f ca="1">IF(ResultColumnLabels[[#This Row],[Data Value Number]]="","",INDEX(DataColumns[ColumnLabel],MATCH(ResultColumnLabels[[#This Row],[Data Value Number]],DataColumns[DVNum],0)))</f>
        <v/>
      </c>
    </row>
    <row r="385" spans="1:2" x14ac:dyDescent="0.25">
      <c r="A385" s="219" t="str">
        <f ca="1">IF(ROW()-1&gt;NumDataColumns,"",MAX(INDIRECT(CONCATENATE("R",ROW(ResultColumnLabels[#Headers]),"C",COLUMN(),":R",ROW()-1,"C",COLUMN()),FALSE))+1)</f>
        <v/>
      </c>
      <c r="B385" s="219" t="str">
        <f ca="1">IF(ResultColumnLabels[[#This Row],[Data Value Number]]="","",INDEX(DataColumns[ColumnLabel],MATCH(ResultColumnLabels[[#This Row],[Data Value Number]],DataColumns[DVNum],0)))</f>
        <v/>
      </c>
    </row>
    <row r="386" spans="1:2" x14ac:dyDescent="0.25">
      <c r="A386" s="219" t="str">
        <f ca="1">IF(ROW()-1&gt;NumDataColumns,"",MAX(INDIRECT(CONCATENATE("R",ROW(ResultColumnLabels[#Headers]),"C",COLUMN(),":R",ROW()-1,"C",COLUMN()),FALSE))+1)</f>
        <v/>
      </c>
      <c r="B386" s="219" t="str">
        <f ca="1">IF(ResultColumnLabels[[#This Row],[Data Value Number]]="","",INDEX(DataColumns[ColumnLabel],MATCH(ResultColumnLabels[[#This Row],[Data Value Number]],DataColumns[DVNum],0)))</f>
        <v/>
      </c>
    </row>
    <row r="387" spans="1:2" x14ac:dyDescent="0.25">
      <c r="A387" s="219" t="str">
        <f ca="1">IF(ROW()-1&gt;NumDataColumns,"",MAX(INDIRECT(CONCATENATE("R",ROW(ResultColumnLabels[#Headers]),"C",COLUMN(),":R",ROW()-1,"C",COLUMN()),FALSE))+1)</f>
        <v/>
      </c>
      <c r="B387" s="219" t="str">
        <f ca="1">IF(ResultColumnLabels[[#This Row],[Data Value Number]]="","",INDEX(DataColumns[ColumnLabel],MATCH(ResultColumnLabels[[#This Row],[Data Value Number]],DataColumns[DVNum],0)))</f>
        <v/>
      </c>
    </row>
    <row r="388" spans="1:2" x14ac:dyDescent="0.25">
      <c r="A388" s="219" t="str">
        <f ca="1">IF(ROW()-1&gt;NumDataColumns,"",MAX(INDIRECT(CONCATENATE("R",ROW(ResultColumnLabels[#Headers]),"C",COLUMN(),":R",ROW()-1,"C",COLUMN()),FALSE))+1)</f>
        <v/>
      </c>
      <c r="B388" s="219" t="str">
        <f ca="1">IF(ResultColumnLabels[[#This Row],[Data Value Number]]="","",INDEX(DataColumns[ColumnLabel],MATCH(ResultColumnLabels[[#This Row],[Data Value Number]],DataColumns[DVNum],0)))</f>
        <v/>
      </c>
    </row>
    <row r="389" spans="1:2" x14ac:dyDescent="0.25">
      <c r="A389" s="219" t="str">
        <f ca="1">IF(ROW()-1&gt;NumDataColumns,"",MAX(INDIRECT(CONCATENATE("R",ROW(ResultColumnLabels[#Headers]),"C",COLUMN(),":R",ROW()-1,"C",COLUMN()),FALSE))+1)</f>
        <v/>
      </c>
      <c r="B389" s="219" t="str">
        <f ca="1">IF(ResultColumnLabels[[#This Row],[Data Value Number]]="","",INDEX(DataColumns[ColumnLabel],MATCH(ResultColumnLabels[[#This Row],[Data Value Number]],DataColumns[DVNum],0)))</f>
        <v/>
      </c>
    </row>
    <row r="390" spans="1:2" x14ac:dyDescent="0.25">
      <c r="A390" s="219" t="str">
        <f ca="1">IF(ROW()-1&gt;NumDataColumns,"",MAX(INDIRECT(CONCATENATE("R",ROW(ResultColumnLabels[#Headers]),"C",COLUMN(),":R",ROW()-1,"C",COLUMN()),FALSE))+1)</f>
        <v/>
      </c>
      <c r="B390" s="219" t="str">
        <f ca="1">IF(ResultColumnLabels[[#This Row],[Data Value Number]]="","",INDEX(DataColumns[ColumnLabel],MATCH(ResultColumnLabels[[#This Row],[Data Value Number]],DataColumns[DVNum],0)))</f>
        <v/>
      </c>
    </row>
    <row r="391" spans="1:2" x14ac:dyDescent="0.25">
      <c r="A391" s="219" t="str">
        <f ca="1">IF(ROW()-1&gt;NumDataColumns,"",MAX(INDIRECT(CONCATENATE("R",ROW(ResultColumnLabels[#Headers]),"C",COLUMN(),":R",ROW()-1,"C",COLUMN()),FALSE))+1)</f>
        <v/>
      </c>
      <c r="B391" s="219" t="str">
        <f ca="1">IF(ResultColumnLabels[[#This Row],[Data Value Number]]="","",INDEX(DataColumns[ColumnLabel],MATCH(ResultColumnLabels[[#This Row],[Data Value Number]],DataColumns[DVNum],0)))</f>
        <v/>
      </c>
    </row>
    <row r="392" spans="1:2" x14ac:dyDescent="0.25">
      <c r="A392" s="219" t="str">
        <f ca="1">IF(ROW()-1&gt;NumDataColumns,"",MAX(INDIRECT(CONCATENATE("R",ROW(ResultColumnLabels[#Headers]),"C",COLUMN(),":R",ROW()-1,"C",COLUMN()),FALSE))+1)</f>
        <v/>
      </c>
      <c r="B392" s="219" t="str">
        <f ca="1">IF(ResultColumnLabels[[#This Row],[Data Value Number]]="","",INDEX(DataColumns[ColumnLabel],MATCH(ResultColumnLabels[[#This Row],[Data Value Number]],DataColumns[DVNum],0)))</f>
        <v/>
      </c>
    </row>
    <row r="393" spans="1:2" x14ac:dyDescent="0.25">
      <c r="A393" s="219" t="str">
        <f ca="1">IF(ROW()-1&gt;NumDataColumns,"",MAX(INDIRECT(CONCATENATE("R",ROW(ResultColumnLabels[#Headers]),"C",COLUMN(),":R",ROW()-1,"C",COLUMN()),FALSE))+1)</f>
        <v/>
      </c>
      <c r="B393" s="219" t="str">
        <f ca="1">IF(ResultColumnLabels[[#This Row],[Data Value Number]]="","",INDEX(DataColumns[ColumnLabel],MATCH(ResultColumnLabels[[#This Row],[Data Value Number]],DataColumns[DVNum],0)))</f>
        <v/>
      </c>
    </row>
    <row r="394" spans="1:2" x14ac:dyDescent="0.25">
      <c r="A394" s="219" t="str">
        <f ca="1">IF(ROW()-1&gt;NumDataColumns,"",MAX(INDIRECT(CONCATENATE("R",ROW(ResultColumnLabels[#Headers]),"C",COLUMN(),":R",ROW()-1,"C",COLUMN()),FALSE))+1)</f>
        <v/>
      </c>
      <c r="B394" s="219" t="str">
        <f ca="1">IF(ResultColumnLabels[[#This Row],[Data Value Number]]="","",INDEX(DataColumns[ColumnLabel],MATCH(ResultColumnLabels[[#This Row],[Data Value Number]],DataColumns[DVNum],0)))</f>
        <v/>
      </c>
    </row>
    <row r="395" spans="1:2" x14ac:dyDescent="0.25">
      <c r="A395" s="219" t="str">
        <f ca="1">IF(ROW()-1&gt;NumDataColumns,"",MAX(INDIRECT(CONCATENATE("R",ROW(ResultColumnLabels[#Headers]),"C",COLUMN(),":R",ROW()-1,"C",COLUMN()),FALSE))+1)</f>
        <v/>
      </c>
      <c r="B395" s="219" t="str">
        <f ca="1">IF(ResultColumnLabels[[#This Row],[Data Value Number]]="","",INDEX(DataColumns[ColumnLabel],MATCH(ResultColumnLabels[[#This Row],[Data Value Number]],DataColumns[DVNum],0)))</f>
        <v/>
      </c>
    </row>
    <row r="396" spans="1:2" x14ac:dyDescent="0.25">
      <c r="A396" s="219" t="str">
        <f ca="1">IF(ROW()-1&gt;NumDataColumns,"",MAX(INDIRECT(CONCATENATE("R",ROW(ResultColumnLabels[#Headers]),"C",COLUMN(),":R",ROW()-1,"C",COLUMN()),FALSE))+1)</f>
        <v/>
      </c>
      <c r="B396" s="219" t="str">
        <f ca="1">IF(ResultColumnLabels[[#This Row],[Data Value Number]]="","",INDEX(DataColumns[ColumnLabel],MATCH(ResultColumnLabels[[#This Row],[Data Value Number]],DataColumns[DVNum],0)))</f>
        <v/>
      </c>
    </row>
    <row r="397" spans="1:2" x14ac:dyDescent="0.25">
      <c r="A397" s="219" t="str">
        <f ca="1">IF(ROW()-1&gt;NumDataColumns,"",MAX(INDIRECT(CONCATENATE("R",ROW(ResultColumnLabels[#Headers]),"C",COLUMN(),":R",ROW()-1,"C",COLUMN()),FALSE))+1)</f>
        <v/>
      </c>
      <c r="B397" s="219" t="str">
        <f ca="1">IF(ResultColumnLabels[[#This Row],[Data Value Number]]="","",INDEX(DataColumns[ColumnLabel],MATCH(ResultColumnLabels[[#This Row],[Data Value Number]],DataColumns[DVNum],0)))</f>
        <v/>
      </c>
    </row>
    <row r="398" spans="1:2" x14ac:dyDescent="0.25">
      <c r="A398" s="219" t="str">
        <f ca="1">IF(ROW()-1&gt;NumDataColumns,"",MAX(INDIRECT(CONCATENATE("R",ROW(ResultColumnLabels[#Headers]),"C",COLUMN(),":R",ROW()-1,"C",COLUMN()),FALSE))+1)</f>
        <v/>
      </c>
      <c r="B398" s="219" t="str">
        <f ca="1">IF(ResultColumnLabels[[#This Row],[Data Value Number]]="","",INDEX(DataColumns[ColumnLabel],MATCH(ResultColumnLabels[[#This Row],[Data Value Number]],DataColumns[DVNum],0)))</f>
        <v/>
      </c>
    </row>
    <row r="399" spans="1:2" x14ac:dyDescent="0.25">
      <c r="A399" s="219" t="str">
        <f ca="1">IF(ROW()-1&gt;NumDataColumns,"",MAX(INDIRECT(CONCATENATE("R",ROW(ResultColumnLabels[#Headers]),"C",COLUMN(),":R",ROW()-1,"C",COLUMN()),FALSE))+1)</f>
        <v/>
      </c>
      <c r="B399" s="219" t="str">
        <f ca="1">IF(ResultColumnLabels[[#This Row],[Data Value Number]]="","",INDEX(DataColumns[ColumnLabel],MATCH(ResultColumnLabels[[#This Row],[Data Value Number]],DataColumns[DVNum],0)))</f>
        <v/>
      </c>
    </row>
    <row r="400" spans="1:2" x14ac:dyDescent="0.25">
      <c r="A400" s="219" t="str">
        <f ca="1">IF(ROW()-1&gt;NumDataColumns,"",MAX(INDIRECT(CONCATENATE("R",ROW(ResultColumnLabels[#Headers]),"C",COLUMN(),":R",ROW()-1,"C",COLUMN()),FALSE))+1)</f>
        <v/>
      </c>
      <c r="B400" s="219" t="str">
        <f ca="1">IF(ResultColumnLabels[[#This Row],[Data Value Number]]="","",INDEX(DataColumns[ColumnLabel],MATCH(ResultColumnLabels[[#This Row],[Data Value Number]],DataColumns[DVNum],0)))</f>
        <v/>
      </c>
    </row>
    <row r="401" spans="1:2" x14ac:dyDescent="0.25">
      <c r="A401" s="219" t="str">
        <f ca="1">IF(ROW()-1&gt;NumDataColumns,"",MAX(INDIRECT(CONCATENATE("R",ROW(ResultColumnLabels[#Headers]),"C",COLUMN(),":R",ROW()-1,"C",COLUMN()),FALSE))+1)</f>
        <v/>
      </c>
      <c r="B401" s="219" t="str">
        <f ca="1">IF(ResultColumnLabels[[#This Row],[Data Value Number]]="","",INDEX(DataColumns[ColumnLabel],MATCH(ResultColumnLabels[[#This Row],[Data Value Number]],DataColumns[DVNum],0)))</f>
        <v/>
      </c>
    </row>
    <row r="402" spans="1:2" x14ac:dyDescent="0.25">
      <c r="A402" s="219" t="str">
        <f ca="1">IF(ROW()-1&gt;NumDataColumns,"",MAX(INDIRECT(CONCATENATE("R",ROW(ResultColumnLabels[#Headers]),"C",COLUMN(),":R",ROW()-1,"C",COLUMN()),FALSE))+1)</f>
        <v/>
      </c>
      <c r="B402" s="219" t="str">
        <f ca="1">IF(ResultColumnLabels[[#This Row],[Data Value Number]]="","",INDEX(DataColumns[ColumnLabel],MATCH(ResultColumnLabels[[#This Row],[Data Value Number]],DataColumns[DVNum],0)))</f>
        <v/>
      </c>
    </row>
    <row r="403" spans="1:2" x14ac:dyDescent="0.25">
      <c r="A403" s="219" t="str">
        <f ca="1">IF(ROW()-1&gt;NumDataColumns,"",MAX(INDIRECT(CONCATENATE("R",ROW(ResultColumnLabels[#Headers]),"C",COLUMN(),":R",ROW()-1,"C",COLUMN()),FALSE))+1)</f>
        <v/>
      </c>
      <c r="B403" s="219" t="str">
        <f ca="1">IF(ResultColumnLabels[[#This Row],[Data Value Number]]="","",INDEX(DataColumns[ColumnLabel],MATCH(ResultColumnLabels[[#This Row],[Data Value Number]],DataColumns[DVNum],0)))</f>
        <v/>
      </c>
    </row>
    <row r="404" spans="1:2" x14ac:dyDescent="0.25">
      <c r="A404" s="219" t="str">
        <f ca="1">IF(ROW()-1&gt;NumDataColumns,"",MAX(INDIRECT(CONCATENATE("R",ROW(ResultColumnLabels[#Headers]),"C",COLUMN(),":R",ROW()-1,"C",COLUMN()),FALSE))+1)</f>
        <v/>
      </c>
      <c r="B404" s="219" t="str">
        <f ca="1">IF(ResultColumnLabels[[#This Row],[Data Value Number]]="","",INDEX(DataColumns[ColumnLabel],MATCH(ResultColumnLabels[[#This Row],[Data Value Number]],DataColumns[DVNum],0)))</f>
        <v/>
      </c>
    </row>
    <row r="405" spans="1:2" x14ac:dyDescent="0.25">
      <c r="A405" s="219" t="str">
        <f ca="1">IF(ROW()-1&gt;NumDataColumns,"",MAX(INDIRECT(CONCATENATE("R",ROW(ResultColumnLabels[#Headers]),"C",COLUMN(),":R",ROW()-1,"C",COLUMN()),FALSE))+1)</f>
        <v/>
      </c>
      <c r="B405" s="219" t="str">
        <f ca="1">IF(ResultColumnLabels[[#This Row],[Data Value Number]]="","",INDEX(DataColumns[ColumnLabel],MATCH(ResultColumnLabels[[#This Row],[Data Value Number]],DataColumns[DVNum],0)))</f>
        <v/>
      </c>
    </row>
    <row r="406" spans="1:2" x14ac:dyDescent="0.25">
      <c r="A406" s="219" t="str">
        <f ca="1">IF(ROW()-1&gt;NumDataColumns,"",MAX(INDIRECT(CONCATENATE("R",ROW(ResultColumnLabels[#Headers]),"C",COLUMN(),":R",ROW()-1,"C",COLUMN()),FALSE))+1)</f>
        <v/>
      </c>
      <c r="B406" s="219" t="str">
        <f ca="1">IF(ResultColumnLabels[[#This Row],[Data Value Number]]="","",INDEX(DataColumns[ColumnLabel],MATCH(ResultColumnLabels[[#This Row],[Data Value Number]],DataColumns[DVNum],0)))</f>
        <v/>
      </c>
    </row>
    <row r="407" spans="1:2" x14ac:dyDescent="0.25">
      <c r="A407" s="219" t="str">
        <f ca="1">IF(ROW()-1&gt;NumDataColumns,"",MAX(INDIRECT(CONCATENATE("R",ROW(ResultColumnLabels[#Headers]),"C",COLUMN(),":R",ROW()-1,"C",COLUMN()),FALSE))+1)</f>
        <v/>
      </c>
      <c r="B407" s="219" t="str">
        <f ca="1">IF(ResultColumnLabels[[#This Row],[Data Value Number]]="","",INDEX(DataColumns[ColumnLabel],MATCH(ResultColumnLabels[[#This Row],[Data Value Number]],DataColumns[DVNum],0)))</f>
        <v/>
      </c>
    </row>
    <row r="408" spans="1:2" x14ac:dyDescent="0.25">
      <c r="A408" s="219" t="str">
        <f ca="1">IF(ROW()-1&gt;NumDataColumns,"",MAX(INDIRECT(CONCATENATE("R",ROW(ResultColumnLabels[#Headers]),"C",COLUMN(),":R",ROW()-1,"C",COLUMN()),FALSE))+1)</f>
        <v/>
      </c>
      <c r="B408" s="219" t="str">
        <f ca="1">IF(ResultColumnLabels[[#This Row],[Data Value Number]]="","",INDEX(DataColumns[ColumnLabel],MATCH(ResultColumnLabels[[#This Row],[Data Value Number]],DataColumns[DVNum],0)))</f>
        <v/>
      </c>
    </row>
    <row r="409" spans="1:2" x14ac:dyDescent="0.25">
      <c r="A409" s="219" t="str">
        <f ca="1">IF(ROW()-1&gt;NumDataColumns,"",MAX(INDIRECT(CONCATENATE("R",ROW(ResultColumnLabels[#Headers]),"C",COLUMN(),":R",ROW()-1,"C",COLUMN()),FALSE))+1)</f>
        <v/>
      </c>
      <c r="B409" s="219" t="str">
        <f ca="1">IF(ResultColumnLabels[[#This Row],[Data Value Number]]="","",INDEX(DataColumns[ColumnLabel],MATCH(ResultColumnLabels[[#This Row],[Data Value Number]],DataColumns[DVNum],0)))</f>
        <v/>
      </c>
    </row>
    <row r="410" spans="1:2" x14ac:dyDescent="0.25">
      <c r="A410" s="219" t="str">
        <f ca="1">IF(ROW()-1&gt;NumDataColumns,"",MAX(INDIRECT(CONCATENATE("R",ROW(ResultColumnLabels[#Headers]),"C",COLUMN(),":R",ROW()-1,"C",COLUMN()),FALSE))+1)</f>
        <v/>
      </c>
      <c r="B410" s="219" t="str">
        <f ca="1">IF(ResultColumnLabels[[#This Row],[Data Value Number]]="","",INDEX(DataColumns[ColumnLabel],MATCH(ResultColumnLabels[[#This Row],[Data Value Number]],DataColumns[DVNum],0)))</f>
        <v/>
      </c>
    </row>
    <row r="411" spans="1:2" x14ac:dyDescent="0.25">
      <c r="A411" s="219" t="str">
        <f ca="1">IF(ROW()-1&gt;NumDataColumns,"",MAX(INDIRECT(CONCATENATE("R",ROW(ResultColumnLabels[#Headers]),"C",COLUMN(),":R",ROW()-1,"C",COLUMN()),FALSE))+1)</f>
        <v/>
      </c>
      <c r="B411" s="219" t="str">
        <f ca="1">IF(ResultColumnLabels[[#This Row],[Data Value Number]]="","",INDEX(DataColumns[ColumnLabel],MATCH(ResultColumnLabels[[#This Row],[Data Value Number]],DataColumns[DVNum],0)))</f>
        <v/>
      </c>
    </row>
    <row r="412" spans="1:2" x14ac:dyDescent="0.25">
      <c r="A412" s="219" t="str">
        <f ca="1">IF(ROW()-1&gt;NumDataColumns,"",MAX(INDIRECT(CONCATENATE("R",ROW(ResultColumnLabels[#Headers]),"C",COLUMN(),":R",ROW()-1,"C",COLUMN()),FALSE))+1)</f>
        <v/>
      </c>
      <c r="B412" s="219" t="str">
        <f ca="1">IF(ResultColumnLabels[[#This Row],[Data Value Number]]="","",INDEX(DataColumns[ColumnLabel],MATCH(ResultColumnLabels[[#This Row],[Data Value Number]],DataColumns[DVNum],0)))</f>
        <v/>
      </c>
    </row>
    <row r="413" spans="1:2" x14ac:dyDescent="0.25">
      <c r="A413" s="219" t="str">
        <f ca="1">IF(ROW()-1&gt;NumDataColumns,"",MAX(INDIRECT(CONCATENATE("R",ROW(ResultColumnLabels[#Headers]),"C",COLUMN(),":R",ROW()-1,"C",COLUMN()),FALSE))+1)</f>
        <v/>
      </c>
      <c r="B413" s="219" t="str">
        <f ca="1">IF(ResultColumnLabels[[#This Row],[Data Value Number]]="","",INDEX(DataColumns[ColumnLabel],MATCH(ResultColumnLabels[[#This Row],[Data Value Number]],DataColumns[DVNum],0)))</f>
        <v/>
      </c>
    </row>
    <row r="414" spans="1:2" x14ac:dyDescent="0.25">
      <c r="A414" s="219" t="str">
        <f ca="1">IF(ROW()-1&gt;NumDataColumns,"",MAX(INDIRECT(CONCATENATE("R",ROW(ResultColumnLabels[#Headers]),"C",COLUMN(),":R",ROW()-1,"C",COLUMN()),FALSE))+1)</f>
        <v/>
      </c>
      <c r="B414" s="219" t="str">
        <f ca="1">IF(ResultColumnLabels[[#This Row],[Data Value Number]]="","",INDEX(DataColumns[ColumnLabel],MATCH(ResultColumnLabels[[#This Row],[Data Value Number]],DataColumns[DVNum],0)))</f>
        <v/>
      </c>
    </row>
    <row r="415" spans="1:2" x14ac:dyDescent="0.25">
      <c r="A415" s="219" t="str">
        <f ca="1">IF(ROW()-1&gt;NumDataColumns,"",MAX(INDIRECT(CONCATENATE("R",ROW(ResultColumnLabels[#Headers]),"C",COLUMN(),":R",ROW()-1,"C",COLUMN()),FALSE))+1)</f>
        <v/>
      </c>
      <c r="B415" s="219" t="str">
        <f ca="1">IF(ResultColumnLabels[[#This Row],[Data Value Number]]="","",INDEX(DataColumns[ColumnLabel],MATCH(ResultColumnLabels[[#This Row],[Data Value Number]],DataColumns[DVNum],0)))</f>
        <v/>
      </c>
    </row>
    <row r="416" spans="1:2" x14ac:dyDescent="0.25">
      <c r="A416" s="219" t="str">
        <f ca="1">IF(ROW()-1&gt;NumDataColumns,"",MAX(INDIRECT(CONCATENATE("R",ROW(ResultColumnLabels[#Headers]),"C",COLUMN(),":R",ROW()-1,"C",COLUMN()),FALSE))+1)</f>
        <v/>
      </c>
      <c r="B416" s="219" t="str">
        <f ca="1">IF(ResultColumnLabels[[#This Row],[Data Value Number]]="","",INDEX(DataColumns[ColumnLabel],MATCH(ResultColumnLabels[[#This Row],[Data Value Number]],DataColumns[DVNum],0)))</f>
        <v/>
      </c>
    </row>
    <row r="417" spans="1:2" x14ac:dyDescent="0.25">
      <c r="A417" s="219" t="str">
        <f ca="1">IF(ROW()-1&gt;NumDataColumns,"",MAX(INDIRECT(CONCATENATE("R",ROW(ResultColumnLabels[#Headers]),"C",COLUMN(),":R",ROW()-1,"C",COLUMN()),FALSE))+1)</f>
        <v/>
      </c>
      <c r="B417" s="219" t="str">
        <f ca="1">IF(ResultColumnLabels[[#This Row],[Data Value Number]]="","",INDEX(DataColumns[ColumnLabel],MATCH(ResultColumnLabels[[#This Row],[Data Value Number]],DataColumns[DVNum],0)))</f>
        <v/>
      </c>
    </row>
    <row r="418" spans="1:2" x14ac:dyDescent="0.25">
      <c r="A418" s="219" t="str">
        <f ca="1">IF(ROW()-1&gt;NumDataColumns,"",MAX(INDIRECT(CONCATENATE("R",ROW(ResultColumnLabels[#Headers]),"C",COLUMN(),":R",ROW()-1,"C",COLUMN()),FALSE))+1)</f>
        <v/>
      </c>
      <c r="B418" s="219" t="str">
        <f ca="1">IF(ResultColumnLabels[[#This Row],[Data Value Number]]="","",INDEX(DataColumns[ColumnLabel],MATCH(ResultColumnLabels[[#This Row],[Data Value Number]],DataColumns[DVNum],0)))</f>
        <v/>
      </c>
    </row>
    <row r="419" spans="1:2" x14ac:dyDescent="0.25">
      <c r="A419" s="219" t="str">
        <f ca="1">IF(ROW()-1&gt;NumDataColumns,"",MAX(INDIRECT(CONCATENATE("R",ROW(ResultColumnLabels[#Headers]),"C",COLUMN(),":R",ROW()-1,"C",COLUMN()),FALSE))+1)</f>
        <v/>
      </c>
      <c r="B419" s="219" t="str">
        <f ca="1">IF(ResultColumnLabels[[#This Row],[Data Value Number]]="","",INDEX(DataColumns[ColumnLabel],MATCH(ResultColumnLabels[[#This Row],[Data Value Number]],DataColumns[DVNum],0)))</f>
        <v/>
      </c>
    </row>
    <row r="420" spans="1:2" x14ac:dyDescent="0.25">
      <c r="A420" s="219" t="str">
        <f ca="1">IF(ROW()-1&gt;NumDataColumns,"",MAX(INDIRECT(CONCATENATE("R",ROW(ResultColumnLabels[#Headers]),"C",COLUMN(),":R",ROW()-1,"C",COLUMN()),FALSE))+1)</f>
        <v/>
      </c>
      <c r="B420" s="219" t="str">
        <f ca="1">IF(ResultColumnLabels[[#This Row],[Data Value Number]]="","",INDEX(DataColumns[ColumnLabel],MATCH(ResultColumnLabels[[#This Row],[Data Value Number]],DataColumns[DVNum],0)))</f>
        <v/>
      </c>
    </row>
    <row r="421" spans="1:2" x14ac:dyDescent="0.25">
      <c r="A421" s="219" t="str">
        <f ca="1">IF(ROW()-1&gt;NumDataColumns,"",MAX(INDIRECT(CONCATENATE("R",ROW(ResultColumnLabels[#Headers]),"C",COLUMN(),":R",ROW()-1,"C",COLUMN()),FALSE))+1)</f>
        <v/>
      </c>
      <c r="B421" s="219" t="str">
        <f ca="1">IF(ResultColumnLabels[[#This Row],[Data Value Number]]="","",INDEX(DataColumns[ColumnLabel],MATCH(ResultColumnLabels[[#This Row],[Data Value Number]],DataColumns[DVNum],0)))</f>
        <v/>
      </c>
    </row>
    <row r="422" spans="1:2" x14ac:dyDescent="0.25">
      <c r="A422" s="219" t="str">
        <f ca="1">IF(ROW()-1&gt;NumDataColumns,"",MAX(INDIRECT(CONCATENATE("R",ROW(ResultColumnLabels[#Headers]),"C",COLUMN(),":R",ROW()-1,"C",COLUMN()),FALSE))+1)</f>
        <v/>
      </c>
      <c r="B422" s="219" t="str">
        <f ca="1">IF(ResultColumnLabels[[#This Row],[Data Value Number]]="","",INDEX(DataColumns[ColumnLabel],MATCH(ResultColumnLabels[[#This Row],[Data Value Number]],DataColumns[DVNum],0)))</f>
        <v/>
      </c>
    </row>
    <row r="423" spans="1:2" x14ac:dyDescent="0.25">
      <c r="A423" s="219" t="str">
        <f ca="1">IF(ROW()-1&gt;NumDataColumns,"",MAX(INDIRECT(CONCATENATE("R",ROW(ResultColumnLabels[#Headers]),"C",COLUMN(),":R",ROW()-1,"C",COLUMN()),FALSE))+1)</f>
        <v/>
      </c>
      <c r="B423" s="219" t="str">
        <f ca="1">IF(ResultColumnLabels[[#This Row],[Data Value Number]]="","",INDEX(DataColumns[ColumnLabel],MATCH(ResultColumnLabels[[#This Row],[Data Value Number]],DataColumns[DVNum],0)))</f>
        <v/>
      </c>
    </row>
    <row r="424" spans="1:2" x14ac:dyDescent="0.25">
      <c r="A424" s="219" t="str">
        <f ca="1">IF(ROW()-1&gt;NumDataColumns,"",MAX(INDIRECT(CONCATENATE("R",ROW(ResultColumnLabels[#Headers]),"C",COLUMN(),":R",ROW()-1,"C",COLUMN()),FALSE))+1)</f>
        <v/>
      </c>
      <c r="B424" s="219" t="str">
        <f ca="1">IF(ResultColumnLabels[[#This Row],[Data Value Number]]="","",INDEX(DataColumns[ColumnLabel],MATCH(ResultColumnLabels[[#This Row],[Data Value Number]],DataColumns[DVNum],0)))</f>
        <v/>
      </c>
    </row>
    <row r="425" spans="1:2" x14ac:dyDescent="0.25">
      <c r="A425" s="219" t="str">
        <f ca="1">IF(ROW()-1&gt;NumDataColumns,"",MAX(INDIRECT(CONCATENATE("R",ROW(ResultColumnLabels[#Headers]),"C",COLUMN(),":R",ROW()-1,"C",COLUMN()),FALSE))+1)</f>
        <v/>
      </c>
      <c r="B425" s="219" t="str">
        <f ca="1">IF(ResultColumnLabels[[#This Row],[Data Value Number]]="","",INDEX(DataColumns[ColumnLabel],MATCH(ResultColumnLabels[[#This Row],[Data Value Number]],DataColumns[DVNum],0)))</f>
        <v/>
      </c>
    </row>
    <row r="426" spans="1:2" x14ac:dyDescent="0.25">
      <c r="A426" s="219" t="str">
        <f ca="1">IF(ROW()-1&gt;NumDataColumns,"",MAX(INDIRECT(CONCATENATE("R",ROW(ResultColumnLabels[#Headers]),"C",COLUMN(),":R",ROW()-1,"C",COLUMN()),FALSE))+1)</f>
        <v/>
      </c>
      <c r="B426" s="219" t="str">
        <f ca="1">IF(ResultColumnLabels[[#This Row],[Data Value Number]]="","",INDEX(DataColumns[ColumnLabel],MATCH(ResultColumnLabels[[#This Row],[Data Value Number]],DataColumns[DVNum],0)))</f>
        <v/>
      </c>
    </row>
    <row r="427" spans="1:2" x14ac:dyDescent="0.25">
      <c r="A427" s="219" t="str">
        <f ca="1">IF(ROW()-1&gt;NumDataColumns,"",MAX(INDIRECT(CONCATENATE("R",ROW(ResultColumnLabels[#Headers]),"C",COLUMN(),":R",ROW()-1,"C",COLUMN()),FALSE))+1)</f>
        <v/>
      </c>
      <c r="B427" s="219" t="str">
        <f ca="1">IF(ResultColumnLabels[[#This Row],[Data Value Number]]="","",INDEX(DataColumns[ColumnLabel],MATCH(ResultColumnLabels[[#This Row],[Data Value Number]],DataColumns[DVNum],0)))</f>
        <v/>
      </c>
    </row>
    <row r="428" spans="1:2" x14ac:dyDescent="0.25">
      <c r="A428" s="219" t="str">
        <f ca="1">IF(ROW()-1&gt;NumDataColumns,"",MAX(INDIRECT(CONCATENATE("R",ROW(ResultColumnLabels[#Headers]),"C",COLUMN(),":R",ROW()-1,"C",COLUMN()),FALSE))+1)</f>
        <v/>
      </c>
      <c r="B428" s="219" t="str">
        <f ca="1">IF(ResultColumnLabels[[#This Row],[Data Value Number]]="","",INDEX(DataColumns[ColumnLabel],MATCH(ResultColumnLabels[[#This Row],[Data Value Number]],DataColumns[DVNum],0)))</f>
        <v/>
      </c>
    </row>
    <row r="429" spans="1:2" x14ac:dyDescent="0.25">
      <c r="A429" s="219" t="str">
        <f ca="1">IF(ROW()-1&gt;NumDataColumns,"",MAX(INDIRECT(CONCATENATE("R",ROW(ResultColumnLabels[#Headers]),"C",COLUMN(),":R",ROW()-1,"C",COLUMN()),FALSE))+1)</f>
        <v/>
      </c>
      <c r="B429" s="219" t="str">
        <f ca="1">IF(ResultColumnLabels[[#This Row],[Data Value Number]]="","",INDEX(DataColumns[ColumnLabel],MATCH(ResultColumnLabels[[#This Row],[Data Value Number]],DataColumns[DVNum],0)))</f>
        <v/>
      </c>
    </row>
    <row r="430" spans="1:2" x14ac:dyDescent="0.25">
      <c r="A430" s="219" t="str">
        <f ca="1">IF(ROW()-1&gt;NumDataColumns,"",MAX(INDIRECT(CONCATENATE("R",ROW(ResultColumnLabels[#Headers]),"C",COLUMN(),":R",ROW()-1,"C",COLUMN()),FALSE))+1)</f>
        <v/>
      </c>
      <c r="B430" s="219" t="str">
        <f ca="1">IF(ResultColumnLabels[[#This Row],[Data Value Number]]="","",INDEX(DataColumns[ColumnLabel],MATCH(ResultColumnLabels[[#This Row],[Data Value Number]],DataColumns[DVNum],0)))</f>
        <v/>
      </c>
    </row>
    <row r="431" spans="1:2" x14ac:dyDescent="0.25">
      <c r="A431" s="219" t="str">
        <f ca="1">IF(ROW()-1&gt;NumDataColumns,"",MAX(INDIRECT(CONCATENATE("R",ROW(ResultColumnLabels[#Headers]),"C",COLUMN(),":R",ROW()-1,"C",COLUMN()),FALSE))+1)</f>
        <v/>
      </c>
      <c r="B431" s="219" t="str">
        <f ca="1">IF(ResultColumnLabels[[#This Row],[Data Value Number]]="","",INDEX(DataColumns[ColumnLabel],MATCH(ResultColumnLabels[[#This Row],[Data Value Number]],DataColumns[DVNum],0)))</f>
        <v/>
      </c>
    </row>
    <row r="432" spans="1:2" x14ac:dyDescent="0.25">
      <c r="A432" s="219" t="str">
        <f ca="1">IF(ROW()-1&gt;NumDataColumns,"",MAX(INDIRECT(CONCATENATE("R",ROW(ResultColumnLabels[#Headers]),"C",COLUMN(),":R",ROW()-1,"C",COLUMN()),FALSE))+1)</f>
        <v/>
      </c>
      <c r="B432" s="219" t="str">
        <f ca="1">IF(ResultColumnLabels[[#This Row],[Data Value Number]]="","",INDEX(DataColumns[ColumnLabel],MATCH(ResultColumnLabels[[#This Row],[Data Value Number]],DataColumns[DVNum],0)))</f>
        <v/>
      </c>
    </row>
    <row r="433" spans="1:2" x14ac:dyDescent="0.25">
      <c r="A433" s="219" t="str">
        <f ca="1">IF(ROW()-1&gt;NumDataColumns,"",MAX(INDIRECT(CONCATENATE("R",ROW(ResultColumnLabels[#Headers]),"C",COLUMN(),":R",ROW()-1,"C",COLUMN()),FALSE))+1)</f>
        <v/>
      </c>
      <c r="B433" s="219" t="str">
        <f ca="1">IF(ResultColumnLabels[[#This Row],[Data Value Number]]="","",INDEX(DataColumns[ColumnLabel],MATCH(ResultColumnLabels[[#This Row],[Data Value Number]],DataColumns[DVNum],0)))</f>
        <v/>
      </c>
    </row>
    <row r="434" spans="1:2" x14ac:dyDescent="0.25">
      <c r="A434" s="219" t="str">
        <f ca="1">IF(ROW()-1&gt;NumDataColumns,"",MAX(INDIRECT(CONCATENATE("R",ROW(ResultColumnLabels[#Headers]),"C",COLUMN(),":R",ROW()-1,"C",COLUMN()),FALSE))+1)</f>
        <v/>
      </c>
      <c r="B434" s="219" t="str">
        <f ca="1">IF(ResultColumnLabels[[#This Row],[Data Value Number]]="","",INDEX(DataColumns[ColumnLabel],MATCH(ResultColumnLabels[[#This Row],[Data Value Number]],DataColumns[DVNum],0)))</f>
        <v/>
      </c>
    </row>
    <row r="435" spans="1:2" x14ac:dyDescent="0.25">
      <c r="A435" s="219" t="str">
        <f ca="1">IF(ROW()-1&gt;NumDataColumns,"",MAX(INDIRECT(CONCATENATE("R",ROW(ResultColumnLabels[#Headers]),"C",COLUMN(),":R",ROW()-1,"C",COLUMN()),FALSE))+1)</f>
        <v/>
      </c>
      <c r="B435" s="219" t="str">
        <f ca="1">IF(ResultColumnLabels[[#This Row],[Data Value Number]]="","",INDEX(DataColumns[ColumnLabel],MATCH(ResultColumnLabels[[#This Row],[Data Value Number]],DataColumns[DVNum],0)))</f>
        <v/>
      </c>
    </row>
    <row r="436" spans="1:2" x14ac:dyDescent="0.25">
      <c r="A436" s="219" t="str">
        <f ca="1">IF(ROW()-1&gt;NumDataColumns,"",MAX(INDIRECT(CONCATENATE("R",ROW(ResultColumnLabels[#Headers]),"C",COLUMN(),":R",ROW()-1,"C",COLUMN()),FALSE))+1)</f>
        <v/>
      </c>
      <c r="B436" s="219" t="str">
        <f ca="1">IF(ResultColumnLabels[[#This Row],[Data Value Number]]="","",INDEX(DataColumns[ColumnLabel],MATCH(ResultColumnLabels[[#This Row],[Data Value Number]],DataColumns[DVNum],0)))</f>
        <v/>
      </c>
    </row>
    <row r="437" spans="1:2" x14ac:dyDescent="0.25">
      <c r="A437" s="219" t="str">
        <f ca="1">IF(ROW()-1&gt;NumDataColumns,"",MAX(INDIRECT(CONCATENATE("R",ROW(ResultColumnLabels[#Headers]),"C",COLUMN(),":R",ROW()-1,"C",COLUMN()),FALSE))+1)</f>
        <v/>
      </c>
      <c r="B437" s="219" t="str">
        <f ca="1">IF(ResultColumnLabels[[#This Row],[Data Value Number]]="","",INDEX(DataColumns[ColumnLabel],MATCH(ResultColumnLabels[[#This Row],[Data Value Number]],DataColumns[DVNum],0)))</f>
        <v/>
      </c>
    </row>
    <row r="438" spans="1:2" x14ac:dyDescent="0.25">
      <c r="A438" s="219" t="str">
        <f ca="1">IF(ROW()-1&gt;NumDataColumns,"",MAX(INDIRECT(CONCATENATE("R",ROW(ResultColumnLabels[#Headers]),"C",COLUMN(),":R",ROW()-1,"C",COLUMN()),FALSE))+1)</f>
        <v/>
      </c>
      <c r="B438" s="219" t="str">
        <f ca="1">IF(ResultColumnLabels[[#This Row],[Data Value Number]]="","",INDEX(DataColumns[ColumnLabel],MATCH(ResultColumnLabels[[#This Row],[Data Value Number]],DataColumns[DVNum],0)))</f>
        <v/>
      </c>
    </row>
    <row r="439" spans="1:2" x14ac:dyDescent="0.25">
      <c r="A439" s="219" t="str">
        <f ca="1">IF(ROW()-1&gt;NumDataColumns,"",MAX(INDIRECT(CONCATENATE("R",ROW(ResultColumnLabels[#Headers]),"C",COLUMN(),":R",ROW()-1,"C",COLUMN()),FALSE))+1)</f>
        <v/>
      </c>
      <c r="B439" s="219" t="str">
        <f ca="1">IF(ResultColumnLabels[[#This Row],[Data Value Number]]="","",INDEX(DataColumns[ColumnLabel],MATCH(ResultColumnLabels[[#This Row],[Data Value Number]],DataColumns[DVNum],0)))</f>
        <v/>
      </c>
    </row>
    <row r="440" spans="1:2" x14ac:dyDescent="0.25">
      <c r="A440" s="219" t="str">
        <f ca="1">IF(ROW()-1&gt;NumDataColumns,"",MAX(INDIRECT(CONCATENATE("R",ROW(ResultColumnLabels[#Headers]),"C",COLUMN(),":R",ROW()-1,"C",COLUMN()),FALSE))+1)</f>
        <v/>
      </c>
      <c r="B440" s="219" t="str">
        <f ca="1">IF(ResultColumnLabels[[#This Row],[Data Value Number]]="","",INDEX(DataColumns[ColumnLabel],MATCH(ResultColumnLabels[[#This Row],[Data Value Number]],DataColumns[DVNum],0)))</f>
        <v/>
      </c>
    </row>
    <row r="441" spans="1:2" x14ac:dyDescent="0.25">
      <c r="A441" s="219" t="str">
        <f ca="1">IF(ROW()-1&gt;NumDataColumns,"",MAX(INDIRECT(CONCATENATE("R",ROW(ResultColumnLabels[#Headers]),"C",COLUMN(),":R",ROW()-1,"C",COLUMN()),FALSE))+1)</f>
        <v/>
      </c>
      <c r="B441" s="219" t="str">
        <f ca="1">IF(ResultColumnLabels[[#This Row],[Data Value Number]]="","",INDEX(DataColumns[ColumnLabel],MATCH(ResultColumnLabels[[#This Row],[Data Value Number]],DataColumns[DVNum],0)))</f>
        <v/>
      </c>
    </row>
    <row r="442" spans="1:2" x14ac:dyDescent="0.25">
      <c r="A442" s="219" t="str">
        <f ca="1">IF(ROW()-1&gt;NumDataColumns,"",MAX(INDIRECT(CONCATENATE("R",ROW(ResultColumnLabels[#Headers]),"C",COLUMN(),":R",ROW()-1,"C",COLUMN()),FALSE))+1)</f>
        <v/>
      </c>
      <c r="B442" s="219" t="str">
        <f ca="1">IF(ResultColumnLabels[[#This Row],[Data Value Number]]="","",INDEX(DataColumns[ColumnLabel],MATCH(ResultColumnLabels[[#This Row],[Data Value Number]],DataColumns[DVNum],0)))</f>
        <v/>
      </c>
    </row>
    <row r="443" spans="1:2" x14ac:dyDescent="0.25">
      <c r="A443" s="219" t="str">
        <f ca="1">IF(ROW()-1&gt;NumDataColumns,"",MAX(INDIRECT(CONCATENATE("R",ROW(ResultColumnLabels[#Headers]),"C",COLUMN(),":R",ROW()-1,"C",COLUMN()),FALSE))+1)</f>
        <v/>
      </c>
      <c r="B443" s="219" t="str">
        <f ca="1">IF(ResultColumnLabels[[#This Row],[Data Value Number]]="","",INDEX(DataColumns[ColumnLabel],MATCH(ResultColumnLabels[[#This Row],[Data Value Number]],DataColumns[DVNum],0)))</f>
        <v/>
      </c>
    </row>
    <row r="444" spans="1:2" x14ac:dyDescent="0.25">
      <c r="A444" s="219" t="str">
        <f ca="1">IF(ROW()-1&gt;NumDataColumns,"",MAX(INDIRECT(CONCATENATE("R",ROW(ResultColumnLabels[#Headers]),"C",COLUMN(),":R",ROW()-1,"C",COLUMN()),FALSE))+1)</f>
        <v/>
      </c>
      <c r="B444" s="219" t="str">
        <f ca="1">IF(ResultColumnLabels[[#This Row],[Data Value Number]]="","",INDEX(DataColumns[ColumnLabel],MATCH(ResultColumnLabels[[#This Row],[Data Value Number]],DataColumns[DVNum],0)))</f>
        <v/>
      </c>
    </row>
    <row r="445" spans="1:2" x14ac:dyDescent="0.25">
      <c r="A445" s="219" t="str">
        <f ca="1">IF(ROW()-1&gt;NumDataColumns,"",MAX(INDIRECT(CONCATENATE("R",ROW(ResultColumnLabels[#Headers]),"C",COLUMN(),":R",ROW()-1,"C",COLUMN()),FALSE))+1)</f>
        <v/>
      </c>
      <c r="B445" s="219" t="str">
        <f ca="1">IF(ResultColumnLabels[[#This Row],[Data Value Number]]="","",INDEX(DataColumns[ColumnLabel],MATCH(ResultColumnLabels[[#This Row],[Data Value Number]],DataColumns[DVNum],0)))</f>
        <v/>
      </c>
    </row>
    <row r="446" spans="1:2" x14ac:dyDescent="0.25">
      <c r="A446" s="219" t="str">
        <f ca="1">IF(ROW()-1&gt;NumDataColumns,"",MAX(INDIRECT(CONCATENATE("R",ROW(ResultColumnLabels[#Headers]),"C",COLUMN(),":R",ROW()-1,"C",COLUMN()),FALSE))+1)</f>
        <v/>
      </c>
      <c r="B446" s="219" t="str">
        <f ca="1">IF(ResultColumnLabels[[#This Row],[Data Value Number]]="","",INDEX(DataColumns[ColumnLabel],MATCH(ResultColumnLabels[[#This Row],[Data Value Number]],DataColumns[DVNum],0)))</f>
        <v/>
      </c>
    </row>
    <row r="447" spans="1:2" x14ac:dyDescent="0.25">
      <c r="A447" s="219" t="str">
        <f ca="1">IF(ROW()-1&gt;NumDataColumns,"",MAX(INDIRECT(CONCATENATE("R",ROW(ResultColumnLabels[#Headers]),"C",COLUMN(),":R",ROW()-1,"C",COLUMN()),FALSE))+1)</f>
        <v/>
      </c>
      <c r="B447" s="219" t="str">
        <f ca="1">IF(ResultColumnLabels[[#This Row],[Data Value Number]]="","",INDEX(DataColumns[ColumnLabel],MATCH(ResultColumnLabels[[#This Row],[Data Value Number]],DataColumns[DVNum],0)))</f>
        <v/>
      </c>
    </row>
    <row r="448" spans="1:2" x14ac:dyDescent="0.25">
      <c r="A448" s="219" t="str">
        <f ca="1">IF(ROW()-1&gt;NumDataColumns,"",MAX(INDIRECT(CONCATENATE("R",ROW(ResultColumnLabels[#Headers]),"C",COLUMN(),":R",ROW()-1,"C",COLUMN()),FALSE))+1)</f>
        <v/>
      </c>
      <c r="B448" s="219" t="str">
        <f ca="1">IF(ResultColumnLabels[[#This Row],[Data Value Number]]="","",INDEX(DataColumns[ColumnLabel],MATCH(ResultColumnLabels[[#This Row],[Data Value Number]],DataColumns[DVNum],0)))</f>
        <v/>
      </c>
    </row>
    <row r="449" spans="1:2" x14ac:dyDescent="0.25">
      <c r="A449" s="219" t="str">
        <f ca="1">IF(ROW()-1&gt;NumDataColumns,"",MAX(INDIRECT(CONCATENATE("R",ROW(ResultColumnLabels[#Headers]),"C",COLUMN(),":R",ROW()-1,"C",COLUMN()),FALSE))+1)</f>
        <v/>
      </c>
      <c r="B449" s="219" t="str">
        <f ca="1">IF(ResultColumnLabels[[#This Row],[Data Value Number]]="","",INDEX(DataColumns[ColumnLabel],MATCH(ResultColumnLabels[[#This Row],[Data Value Number]],DataColumns[DVNum],0)))</f>
        <v/>
      </c>
    </row>
    <row r="450" spans="1:2" x14ac:dyDescent="0.25">
      <c r="A450" s="219" t="str">
        <f ca="1">IF(ROW()-1&gt;NumDataColumns,"",MAX(INDIRECT(CONCATENATE("R",ROW(ResultColumnLabels[#Headers]),"C",COLUMN(),":R",ROW()-1,"C",COLUMN()),FALSE))+1)</f>
        <v/>
      </c>
      <c r="B450" s="219" t="str">
        <f ca="1">IF(ResultColumnLabels[[#This Row],[Data Value Number]]="","",INDEX(DataColumns[ColumnLabel],MATCH(ResultColumnLabels[[#This Row],[Data Value Number]],DataColumns[DVNum],0)))</f>
        <v/>
      </c>
    </row>
    <row r="451" spans="1:2" x14ac:dyDescent="0.25">
      <c r="A451" s="219" t="str">
        <f ca="1">IF(ROW()-1&gt;NumDataColumns,"",MAX(INDIRECT(CONCATENATE("R",ROW(ResultColumnLabels[#Headers]),"C",COLUMN(),":R",ROW()-1,"C",COLUMN()),FALSE))+1)</f>
        <v/>
      </c>
      <c r="B451" s="219" t="str">
        <f ca="1">IF(ResultColumnLabels[[#This Row],[Data Value Number]]="","",INDEX(DataColumns[ColumnLabel],MATCH(ResultColumnLabels[[#This Row],[Data Value Number]],DataColumns[DVNum],0)))</f>
        <v/>
      </c>
    </row>
    <row r="452" spans="1:2" x14ac:dyDescent="0.25">
      <c r="A452" s="219" t="str">
        <f ca="1">IF(ROW()-1&gt;NumDataColumns,"",MAX(INDIRECT(CONCATENATE("R",ROW(ResultColumnLabels[#Headers]),"C",COLUMN(),":R",ROW()-1,"C",COLUMN()),FALSE))+1)</f>
        <v/>
      </c>
      <c r="B452" s="219" t="str">
        <f ca="1">IF(ResultColumnLabels[[#This Row],[Data Value Number]]="","",INDEX(DataColumns[ColumnLabel],MATCH(ResultColumnLabels[[#This Row],[Data Value Number]],DataColumns[DVNum],0)))</f>
        <v/>
      </c>
    </row>
    <row r="453" spans="1:2" x14ac:dyDescent="0.25">
      <c r="A453" s="219" t="str">
        <f ca="1">IF(ROW()-1&gt;NumDataColumns,"",MAX(INDIRECT(CONCATENATE("R",ROW(ResultColumnLabels[#Headers]),"C",COLUMN(),":R",ROW()-1,"C",COLUMN()),FALSE))+1)</f>
        <v/>
      </c>
      <c r="B453" s="219" t="str">
        <f ca="1">IF(ResultColumnLabels[[#This Row],[Data Value Number]]="","",INDEX(DataColumns[ColumnLabel],MATCH(ResultColumnLabels[[#This Row],[Data Value Number]],DataColumns[DVNum],0)))</f>
        <v/>
      </c>
    </row>
    <row r="454" spans="1:2" x14ac:dyDescent="0.25">
      <c r="A454" s="219" t="str">
        <f ca="1">IF(ROW()-1&gt;NumDataColumns,"",MAX(INDIRECT(CONCATENATE("R",ROW(ResultColumnLabels[#Headers]),"C",COLUMN(),":R",ROW()-1,"C",COLUMN()),FALSE))+1)</f>
        <v/>
      </c>
      <c r="B454" s="219" t="str">
        <f ca="1">IF(ResultColumnLabels[[#This Row],[Data Value Number]]="","",INDEX(DataColumns[ColumnLabel],MATCH(ResultColumnLabels[[#This Row],[Data Value Number]],DataColumns[DVNum],0)))</f>
        <v/>
      </c>
    </row>
    <row r="455" spans="1:2" x14ac:dyDescent="0.25">
      <c r="A455" s="219" t="str">
        <f ca="1">IF(ROW()-1&gt;NumDataColumns,"",MAX(INDIRECT(CONCATENATE("R",ROW(ResultColumnLabels[#Headers]),"C",COLUMN(),":R",ROW()-1,"C",COLUMN()),FALSE))+1)</f>
        <v/>
      </c>
      <c r="B455" s="219" t="str">
        <f ca="1">IF(ResultColumnLabels[[#This Row],[Data Value Number]]="","",INDEX(DataColumns[ColumnLabel],MATCH(ResultColumnLabels[[#This Row],[Data Value Number]],DataColumns[DVNum],0)))</f>
        <v/>
      </c>
    </row>
    <row r="456" spans="1:2" x14ac:dyDescent="0.25">
      <c r="A456" s="219" t="str">
        <f ca="1">IF(ROW()-1&gt;NumDataColumns,"",MAX(INDIRECT(CONCATENATE("R",ROW(ResultColumnLabels[#Headers]),"C",COLUMN(),":R",ROW()-1,"C",COLUMN()),FALSE))+1)</f>
        <v/>
      </c>
      <c r="B456" s="219" t="str">
        <f ca="1">IF(ResultColumnLabels[[#This Row],[Data Value Number]]="","",INDEX(DataColumns[ColumnLabel],MATCH(ResultColumnLabels[[#This Row],[Data Value Number]],DataColumns[DVNum],0)))</f>
        <v/>
      </c>
    </row>
    <row r="457" spans="1:2" x14ac:dyDescent="0.25">
      <c r="A457" s="219" t="str">
        <f ca="1">IF(ROW()-1&gt;NumDataColumns,"",MAX(INDIRECT(CONCATENATE("R",ROW(ResultColumnLabels[#Headers]),"C",COLUMN(),":R",ROW()-1,"C",COLUMN()),FALSE))+1)</f>
        <v/>
      </c>
      <c r="B457" s="219" t="str">
        <f ca="1">IF(ResultColumnLabels[[#This Row],[Data Value Number]]="","",INDEX(DataColumns[ColumnLabel],MATCH(ResultColumnLabels[[#This Row],[Data Value Number]],DataColumns[DVNum],0)))</f>
        <v/>
      </c>
    </row>
    <row r="458" spans="1:2" x14ac:dyDescent="0.25">
      <c r="A458" s="219" t="str">
        <f ca="1">IF(ROW()-1&gt;NumDataColumns,"",MAX(INDIRECT(CONCATENATE("R",ROW(ResultColumnLabels[#Headers]),"C",COLUMN(),":R",ROW()-1,"C",COLUMN()),FALSE))+1)</f>
        <v/>
      </c>
      <c r="B458" s="219" t="str">
        <f ca="1">IF(ResultColumnLabels[[#This Row],[Data Value Number]]="","",INDEX(DataColumns[ColumnLabel],MATCH(ResultColumnLabels[[#This Row],[Data Value Number]],DataColumns[DVNum],0)))</f>
        <v/>
      </c>
    </row>
    <row r="459" spans="1:2" x14ac:dyDescent="0.25">
      <c r="A459" s="219" t="str">
        <f ca="1">IF(ROW()-1&gt;NumDataColumns,"",MAX(INDIRECT(CONCATENATE("R",ROW(ResultColumnLabels[#Headers]),"C",COLUMN(),":R",ROW()-1,"C",COLUMN()),FALSE))+1)</f>
        <v/>
      </c>
      <c r="B459" s="219" t="str">
        <f ca="1">IF(ResultColumnLabels[[#This Row],[Data Value Number]]="","",INDEX(DataColumns[ColumnLabel],MATCH(ResultColumnLabels[[#This Row],[Data Value Number]],DataColumns[DVNum],0)))</f>
        <v/>
      </c>
    </row>
    <row r="460" spans="1:2" x14ac:dyDescent="0.25">
      <c r="A460" s="219" t="str">
        <f ca="1">IF(ROW()-1&gt;NumDataColumns,"",MAX(INDIRECT(CONCATENATE("R",ROW(ResultColumnLabels[#Headers]),"C",COLUMN(),":R",ROW()-1,"C",COLUMN()),FALSE))+1)</f>
        <v/>
      </c>
      <c r="B460" s="219" t="str">
        <f ca="1">IF(ResultColumnLabels[[#This Row],[Data Value Number]]="","",INDEX(DataColumns[ColumnLabel],MATCH(ResultColumnLabels[[#This Row],[Data Value Number]],DataColumns[DVNum],0)))</f>
        <v/>
      </c>
    </row>
    <row r="461" spans="1:2" x14ac:dyDescent="0.25">
      <c r="A461" s="219" t="str">
        <f ca="1">IF(ROW()-1&gt;NumDataColumns,"",MAX(INDIRECT(CONCATENATE("R",ROW(ResultColumnLabels[#Headers]),"C",COLUMN(),":R",ROW()-1,"C",COLUMN()),FALSE))+1)</f>
        <v/>
      </c>
      <c r="B461" s="219" t="str">
        <f ca="1">IF(ResultColumnLabels[[#This Row],[Data Value Number]]="","",INDEX(DataColumns[ColumnLabel],MATCH(ResultColumnLabels[[#This Row],[Data Value Number]],DataColumns[DVNum],0)))</f>
        <v/>
      </c>
    </row>
    <row r="462" spans="1:2" x14ac:dyDescent="0.25">
      <c r="A462" s="219" t="str">
        <f ca="1">IF(ROW()-1&gt;NumDataColumns,"",MAX(INDIRECT(CONCATENATE("R",ROW(ResultColumnLabels[#Headers]),"C",COLUMN(),":R",ROW()-1,"C",COLUMN()),FALSE))+1)</f>
        <v/>
      </c>
      <c r="B462" s="219" t="str">
        <f ca="1">IF(ResultColumnLabels[[#This Row],[Data Value Number]]="","",INDEX(DataColumns[ColumnLabel],MATCH(ResultColumnLabels[[#This Row],[Data Value Number]],DataColumns[DVNum],0)))</f>
        <v/>
      </c>
    </row>
    <row r="463" spans="1:2" x14ac:dyDescent="0.25">
      <c r="A463" s="219" t="str">
        <f ca="1">IF(ROW()-1&gt;NumDataColumns,"",MAX(INDIRECT(CONCATENATE("R",ROW(ResultColumnLabels[#Headers]),"C",COLUMN(),":R",ROW()-1,"C",COLUMN()),FALSE))+1)</f>
        <v/>
      </c>
      <c r="B463" s="219" t="str">
        <f ca="1">IF(ResultColumnLabels[[#This Row],[Data Value Number]]="","",INDEX(DataColumns[ColumnLabel],MATCH(ResultColumnLabels[[#This Row],[Data Value Number]],DataColumns[DVNum],0)))</f>
        <v/>
      </c>
    </row>
    <row r="464" spans="1:2" x14ac:dyDescent="0.25">
      <c r="A464" s="219" t="str">
        <f ca="1">IF(ROW()-1&gt;NumDataColumns,"",MAX(INDIRECT(CONCATENATE("R",ROW(ResultColumnLabels[#Headers]),"C",COLUMN(),":R",ROW()-1,"C",COLUMN()),FALSE))+1)</f>
        <v/>
      </c>
      <c r="B464" s="219" t="str">
        <f ca="1">IF(ResultColumnLabels[[#This Row],[Data Value Number]]="","",INDEX(DataColumns[ColumnLabel],MATCH(ResultColumnLabels[[#This Row],[Data Value Number]],DataColumns[DVNum],0)))</f>
        <v/>
      </c>
    </row>
    <row r="465" spans="1:2" x14ac:dyDescent="0.25">
      <c r="A465" s="219" t="str">
        <f ca="1">IF(ROW()-1&gt;NumDataColumns,"",MAX(INDIRECT(CONCATENATE("R",ROW(ResultColumnLabels[#Headers]),"C",COLUMN(),":R",ROW()-1,"C",COLUMN()),FALSE))+1)</f>
        <v/>
      </c>
      <c r="B465" s="219" t="str">
        <f ca="1">IF(ResultColumnLabels[[#This Row],[Data Value Number]]="","",INDEX(DataColumns[ColumnLabel],MATCH(ResultColumnLabels[[#This Row],[Data Value Number]],DataColumns[DVNum],0)))</f>
        <v/>
      </c>
    </row>
    <row r="466" spans="1:2" x14ac:dyDescent="0.25">
      <c r="A466" s="219" t="str">
        <f ca="1">IF(ROW()-1&gt;NumDataColumns,"",MAX(INDIRECT(CONCATENATE("R",ROW(ResultColumnLabels[#Headers]),"C",COLUMN(),":R",ROW()-1,"C",COLUMN()),FALSE))+1)</f>
        <v/>
      </c>
      <c r="B466" s="219" t="str">
        <f ca="1">IF(ResultColumnLabels[[#This Row],[Data Value Number]]="","",INDEX(DataColumns[ColumnLabel],MATCH(ResultColumnLabels[[#This Row],[Data Value Number]],DataColumns[DVNum],0)))</f>
        <v/>
      </c>
    </row>
    <row r="467" spans="1:2" x14ac:dyDescent="0.25">
      <c r="A467" s="219" t="str">
        <f ca="1">IF(ROW()-1&gt;NumDataColumns,"",MAX(INDIRECT(CONCATENATE("R",ROW(ResultColumnLabels[#Headers]),"C",COLUMN(),":R",ROW()-1,"C",COLUMN()),FALSE))+1)</f>
        <v/>
      </c>
      <c r="B467" s="219" t="str">
        <f ca="1">IF(ResultColumnLabels[[#This Row],[Data Value Number]]="","",INDEX(DataColumns[ColumnLabel],MATCH(ResultColumnLabels[[#This Row],[Data Value Number]],DataColumns[DVNum],0)))</f>
        <v/>
      </c>
    </row>
    <row r="468" spans="1:2" x14ac:dyDescent="0.25">
      <c r="A468" s="219" t="str">
        <f ca="1">IF(ROW()-1&gt;NumDataColumns,"",MAX(INDIRECT(CONCATENATE("R",ROW(ResultColumnLabels[#Headers]),"C",COLUMN(),":R",ROW()-1,"C",COLUMN()),FALSE))+1)</f>
        <v/>
      </c>
      <c r="B468" s="219" t="str">
        <f ca="1">IF(ResultColumnLabels[[#This Row],[Data Value Number]]="","",INDEX(DataColumns[ColumnLabel],MATCH(ResultColumnLabels[[#This Row],[Data Value Number]],DataColumns[DVNum],0)))</f>
        <v/>
      </c>
    </row>
    <row r="469" spans="1:2" x14ac:dyDescent="0.25">
      <c r="A469" s="219" t="str">
        <f ca="1">IF(ROW()-1&gt;NumDataColumns,"",MAX(INDIRECT(CONCATENATE("R",ROW(ResultColumnLabels[#Headers]),"C",COLUMN(),":R",ROW()-1,"C",COLUMN()),FALSE))+1)</f>
        <v/>
      </c>
      <c r="B469" s="219" t="str">
        <f ca="1">IF(ResultColumnLabels[[#This Row],[Data Value Number]]="","",INDEX(DataColumns[ColumnLabel],MATCH(ResultColumnLabels[[#This Row],[Data Value Number]],DataColumns[DVNum],0)))</f>
        <v/>
      </c>
    </row>
    <row r="470" spans="1:2" x14ac:dyDescent="0.25">
      <c r="A470" s="219" t="str">
        <f ca="1">IF(ROW()-1&gt;NumDataColumns,"",MAX(INDIRECT(CONCATENATE("R",ROW(ResultColumnLabels[#Headers]),"C",COLUMN(),":R",ROW()-1,"C",COLUMN()),FALSE))+1)</f>
        <v/>
      </c>
      <c r="B470" s="219" t="str">
        <f ca="1">IF(ResultColumnLabels[[#This Row],[Data Value Number]]="","",INDEX(DataColumns[ColumnLabel],MATCH(ResultColumnLabels[[#This Row],[Data Value Number]],DataColumns[DVNum],0)))</f>
        <v/>
      </c>
    </row>
    <row r="471" spans="1:2" x14ac:dyDescent="0.25">
      <c r="A471" s="219" t="str">
        <f ca="1">IF(ROW()-1&gt;NumDataColumns,"",MAX(INDIRECT(CONCATENATE("R",ROW(ResultColumnLabels[#Headers]),"C",COLUMN(),":R",ROW()-1,"C",COLUMN()),FALSE))+1)</f>
        <v/>
      </c>
      <c r="B471" s="219" t="str">
        <f ca="1">IF(ResultColumnLabels[[#This Row],[Data Value Number]]="","",INDEX(DataColumns[ColumnLabel],MATCH(ResultColumnLabels[[#This Row],[Data Value Number]],DataColumns[DVNum],0)))</f>
        <v/>
      </c>
    </row>
    <row r="472" spans="1:2" x14ac:dyDescent="0.25">
      <c r="A472" s="219" t="str">
        <f ca="1">IF(ROW()-1&gt;NumDataColumns,"",MAX(INDIRECT(CONCATENATE("R",ROW(ResultColumnLabels[#Headers]),"C",COLUMN(),":R",ROW()-1,"C",COLUMN()),FALSE))+1)</f>
        <v/>
      </c>
      <c r="B472" s="219" t="str">
        <f ca="1">IF(ResultColumnLabels[[#This Row],[Data Value Number]]="","",INDEX(DataColumns[ColumnLabel],MATCH(ResultColumnLabels[[#This Row],[Data Value Number]],DataColumns[DVNum],0)))</f>
        <v/>
      </c>
    </row>
    <row r="473" spans="1:2" x14ac:dyDescent="0.25">
      <c r="A473" s="219" t="str">
        <f ca="1">IF(ROW()-1&gt;NumDataColumns,"",MAX(INDIRECT(CONCATENATE("R",ROW(ResultColumnLabels[#Headers]),"C",COLUMN(),":R",ROW()-1,"C",COLUMN()),FALSE))+1)</f>
        <v/>
      </c>
      <c r="B473" s="219" t="str">
        <f ca="1">IF(ResultColumnLabels[[#This Row],[Data Value Number]]="","",INDEX(DataColumns[ColumnLabel],MATCH(ResultColumnLabels[[#This Row],[Data Value Number]],DataColumns[DVNum],0)))</f>
        <v/>
      </c>
    </row>
    <row r="474" spans="1:2" x14ac:dyDescent="0.25">
      <c r="A474" s="219" t="str">
        <f ca="1">IF(ROW()-1&gt;NumDataColumns,"",MAX(INDIRECT(CONCATENATE("R",ROW(ResultColumnLabels[#Headers]),"C",COLUMN(),":R",ROW()-1,"C",COLUMN()),FALSE))+1)</f>
        <v/>
      </c>
      <c r="B474" s="219" t="str">
        <f ca="1">IF(ResultColumnLabels[[#This Row],[Data Value Number]]="","",INDEX(DataColumns[ColumnLabel],MATCH(ResultColumnLabels[[#This Row],[Data Value Number]],DataColumns[DVNum],0)))</f>
        <v/>
      </c>
    </row>
    <row r="475" spans="1:2" x14ac:dyDescent="0.25">
      <c r="A475" s="219" t="str">
        <f ca="1">IF(ROW()-1&gt;NumDataColumns,"",MAX(INDIRECT(CONCATENATE("R",ROW(ResultColumnLabels[#Headers]),"C",COLUMN(),":R",ROW()-1,"C",COLUMN()),FALSE))+1)</f>
        <v/>
      </c>
      <c r="B475" s="219" t="str">
        <f ca="1">IF(ResultColumnLabels[[#This Row],[Data Value Number]]="","",INDEX(DataColumns[ColumnLabel],MATCH(ResultColumnLabels[[#This Row],[Data Value Number]],DataColumns[DVNum],0)))</f>
        <v/>
      </c>
    </row>
    <row r="476" spans="1:2" x14ac:dyDescent="0.25">
      <c r="A476" s="219" t="str">
        <f ca="1">IF(ROW()-1&gt;NumDataColumns,"",MAX(INDIRECT(CONCATENATE("R",ROW(ResultColumnLabels[#Headers]),"C",COLUMN(),":R",ROW()-1,"C",COLUMN()),FALSE))+1)</f>
        <v/>
      </c>
      <c r="B476" s="219" t="str">
        <f ca="1">IF(ResultColumnLabels[[#This Row],[Data Value Number]]="","",INDEX(DataColumns[ColumnLabel],MATCH(ResultColumnLabels[[#This Row],[Data Value Number]],DataColumns[DVNum],0)))</f>
        <v/>
      </c>
    </row>
    <row r="477" spans="1:2" x14ac:dyDescent="0.25">
      <c r="A477" s="219" t="str">
        <f ca="1">IF(ROW()-1&gt;NumDataColumns,"",MAX(INDIRECT(CONCATENATE("R",ROW(ResultColumnLabels[#Headers]),"C",COLUMN(),":R",ROW()-1,"C",COLUMN()),FALSE))+1)</f>
        <v/>
      </c>
      <c r="B477" s="219" t="str">
        <f ca="1">IF(ResultColumnLabels[[#This Row],[Data Value Number]]="","",INDEX(DataColumns[ColumnLabel],MATCH(ResultColumnLabels[[#This Row],[Data Value Number]],DataColumns[DVNum],0)))</f>
        <v/>
      </c>
    </row>
    <row r="478" spans="1:2" x14ac:dyDescent="0.25">
      <c r="A478" s="219" t="str">
        <f ca="1">IF(ROW()-1&gt;NumDataColumns,"",MAX(INDIRECT(CONCATENATE("R",ROW(ResultColumnLabels[#Headers]),"C",COLUMN(),":R",ROW()-1,"C",COLUMN()),FALSE))+1)</f>
        <v/>
      </c>
      <c r="B478" s="219" t="str">
        <f ca="1">IF(ResultColumnLabels[[#This Row],[Data Value Number]]="","",INDEX(DataColumns[ColumnLabel],MATCH(ResultColumnLabels[[#This Row],[Data Value Number]],DataColumns[DVNum],0)))</f>
        <v/>
      </c>
    </row>
    <row r="479" spans="1:2" x14ac:dyDescent="0.25">
      <c r="A479" s="219" t="str">
        <f ca="1">IF(ROW()-1&gt;NumDataColumns,"",MAX(INDIRECT(CONCATENATE("R",ROW(ResultColumnLabels[#Headers]),"C",COLUMN(),":R",ROW()-1,"C",COLUMN()),FALSE))+1)</f>
        <v/>
      </c>
      <c r="B479" s="219" t="str">
        <f ca="1">IF(ResultColumnLabels[[#This Row],[Data Value Number]]="","",INDEX(DataColumns[ColumnLabel],MATCH(ResultColumnLabels[[#This Row],[Data Value Number]],DataColumns[DVNum],0)))</f>
        <v/>
      </c>
    </row>
    <row r="480" spans="1:2" x14ac:dyDescent="0.25">
      <c r="A480" s="219" t="str">
        <f ca="1">IF(ROW()-1&gt;NumDataColumns,"",MAX(INDIRECT(CONCATENATE("R",ROW(ResultColumnLabels[#Headers]),"C",COLUMN(),":R",ROW()-1,"C",COLUMN()),FALSE))+1)</f>
        <v/>
      </c>
      <c r="B480" s="219" t="str">
        <f ca="1">IF(ResultColumnLabels[[#This Row],[Data Value Number]]="","",INDEX(DataColumns[ColumnLabel],MATCH(ResultColumnLabels[[#This Row],[Data Value Number]],DataColumns[DVNum],0)))</f>
        <v/>
      </c>
    </row>
    <row r="481" spans="1:2" x14ac:dyDescent="0.25">
      <c r="A481" s="219" t="str">
        <f ca="1">IF(ROW()-1&gt;NumDataColumns,"",MAX(INDIRECT(CONCATENATE("R",ROW(ResultColumnLabels[#Headers]),"C",COLUMN(),":R",ROW()-1,"C",COLUMN()),FALSE))+1)</f>
        <v/>
      </c>
      <c r="B481" s="219" t="str">
        <f ca="1">IF(ResultColumnLabels[[#This Row],[Data Value Number]]="","",INDEX(DataColumns[ColumnLabel],MATCH(ResultColumnLabels[[#This Row],[Data Value Number]],DataColumns[DVNum],0)))</f>
        <v/>
      </c>
    </row>
    <row r="482" spans="1:2" x14ac:dyDescent="0.25">
      <c r="A482" s="219" t="str">
        <f ca="1">IF(ROW()-1&gt;NumDataColumns,"",MAX(INDIRECT(CONCATENATE("R",ROW(ResultColumnLabels[#Headers]),"C",COLUMN(),":R",ROW()-1,"C",COLUMN()),FALSE))+1)</f>
        <v/>
      </c>
      <c r="B482" s="219" t="str">
        <f ca="1">IF(ResultColumnLabels[[#This Row],[Data Value Number]]="","",INDEX(DataColumns[ColumnLabel],MATCH(ResultColumnLabels[[#This Row],[Data Value Number]],DataColumns[DVNum],0)))</f>
        <v/>
      </c>
    </row>
    <row r="483" spans="1:2" x14ac:dyDescent="0.25">
      <c r="A483" s="219" t="str">
        <f ca="1">IF(ROW()-1&gt;NumDataColumns,"",MAX(INDIRECT(CONCATENATE("R",ROW(ResultColumnLabels[#Headers]),"C",COLUMN(),":R",ROW()-1,"C",COLUMN()),FALSE))+1)</f>
        <v/>
      </c>
      <c r="B483" s="219" t="str">
        <f ca="1">IF(ResultColumnLabels[[#This Row],[Data Value Number]]="","",INDEX(DataColumns[ColumnLabel],MATCH(ResultColumnLabels[[#This Row],[Data Value Number]],DataColumns[DVNum],0)))</f>
        <v/>
      </c>
    </row>
    <row r="484" spans="1:2" x14ac:dyDescent="0.25">
      <c r="A484" s="219" t="str">
        <f ca="1">IF(ROW()-1&gt;NumDataColumns,"",MAX(INDIRECT(CONCATENATE("R",ROW(ResultColumnLabels[#Headers]),"C",COLUMN(),":R",ROW()-1,"C",COLUMN()),FALSE))+1)</f>
        <v/>
      </c>
      <c r="B484" s="219" t="str">
        <f ca="1">IF(ResultColumnLabels[[#This Row],[Data Value Number]]="","",INDEX(DataColumns[ColumnLabel],MATCH(ResultColumnLabels[[#This Row],[Data Value Number]],DataColumns[DVNum],0)))</f>
        <v/>
      </c>
    </row>
    <row r="485" spans="1:2" x14ac:dyDescent="0.25">
      <c r="A485" s="219" t="str">
        <f ca="1">IF(ROW()-1&gt;NumDataColumns,"",MAX(INDIRECT(CONCATENATE("R",ROW(ResultColumnLabels[#Headers]),"C",COLUMN(),":R",ROW()-1,"C",COLUMN()),FALSE))+1)</f>
        <v/>
      </c>
      <c r="B485" s="219" t="str">
        <f ca="1">IF(ResultColumnLabels[[#This Row],[Data Value Number]]="","",INDEX(DataColumns[ColumnLabel],MATCH(ResultColumnLabels[[#This Row],[Data Value Number]],DataColumns[DVNum],0)))</f>
        <v/>
      </c>
    </row>
    <row r="486" spans="1:2" x14ac:dyDescent="0.25">
      <c r="A486" s="219" t="str">
        <f ca="1">IF(ROW()-1&gt;NumDataColumns,"",MAX(INDIRECT(CONCATENATE("R",ROW(ResultColumnLabels[#Headers]),"C",COLUMN(),":R",ROW()-1,"C",COLUMN()),FALSE))+1)</f>
        <v/>
      </c>
      <c r="B486" s="219" t="str">
        <f ca="1">IF(ResultColumnLabels[[#This Row],[Data Value Number]]="","",INDEX(DataColumns[ColumnLabel],MATCH(ResultColumnLabels[[#This Row],[Data Value Number]],DataColumns[DVNum],0)))</f>
        <v/>
      </c>
    </row>
    <row r="487" spans="1:2" x14ac:dyDescent="0.25">
      <c r="A487" s="219" t="str">
        <f ca="1">IF(ROW()-1&gt;NumDataColumns,"",MAX(INDIRECT(CONCATENATE("R",ROW(ResultColumnLabels[#Headers]),"C",COLUMN(),":R",ROW()-1,"C",COLUMN()),FALSE))+1)</f>
        <v/>
      </c>
      <c r="B487" s="219" t="str">
        <f ca="1">IF(ResultColumnLabels[[#This Row],[Data Value Number]]="","",INDEX(DataColumns[ColumnLabel],MATCH(ResultColumnLabels[[#This Row],[Data Value Number]],DataColumns[DVNum],0)))</f>
        <v/>
      </c>
    </row>
    <row r="488" spans="1:2" x14ac:dyDescent="0.25">
      <c r="A488" s="219" t="str">
        <f ca="1">IF(ROW()-1&gt;NumDataColumns,"",MAX(INDIRECT(CONCATENATE("R",ROW(ResultColumnLabels[#Headers]),"C",COLUMN(),":R",ROW()-1,"C",COLUMN()),FALSE))+1)</f>
        <v/>
      </c>
      <c r="B488" s="219" t="str">
        <f ca="1">IF(ResultColumnLabels[[#This Row],[Data Value Number]]="","",INDEX(DataColumns[ColumnLabel],MATCH(ResultColumnLabels[[#This Row],[Data Value Number]],DataColumns[DVNum],0)))</f>
        <v/>
      </c>
    </row>
    <row r="489" spans="1:2" x14ac:dyDescent="0.25">
      <c r="A489" s="219" t="str">
        <f ca="1">IF(ROW()-1&gt;NumDataColumns,"",MAX(INDIRECT(CONCATENATE("R",ROW(ResultColumnLabels[#Headers]),"C",COLUMN(),":R",ROW()-1,"C",COLUMN()),FALSE))+1)</f>
        <v/>
      </c>
      <c r="B489" s="219" t="str">
        <f ca="1">IF(ResultColumnLabels[[#This Row],[Data Value Number]]="","",INDEX(DataColumns[ColumnLabel],MATCH(ResultColumnLabels[[#This Row],[Data Value Number]],DataColumns[DVNum],0)))</f>
        <v/>
      </c>
    </row>
    <row r="490" spans="1:2" x14ac:dyDescent="0.25">
      <c r="A490" s="219" t="str">
        <f ca="1">IF(ROW()-1&gt;NumDataColumns,"",MAX(INDIRECT(CONCATENATE("R",ROW(ResultColumnLabels[#Headers]),"C",COLUMN(),":R",ROW()-1,"C",COLUMN()),FALSE))+1)</f>
        <v/>
      </c>
      <c r="B490" s="219" t="str">
        <f ca="1">IF(ResultColumnLabels[[#This Row],[Data Value Number]]="","",INDEX(DataColumns[ColumnLabel],MATCH(ResultColumnLabels[[#This Row],[Data Value Number]],DataColumns[DVNum],0)))</f>
        <v/>
      </c>
    </row>
    <row r="491" spans="1:2" x14ac:dyDescent="0.25">
      <c r="A491" s="219" t="str">
        <f ca="1">IF(ROW()-1&gt;NumDataColumns,"",MAX(INDIRECT(CONCATENATE("R",ROW(ResultColumnLabels[#Headers]),"C",COLUMN(),":R",ROW()-1,"C",COLUMN()),FALSE))+1)</f>
        <v/>
      </c>
      <c r="B491" s="219" t="str">
        <f ca="1">IF(ResultColumnLabels[[#This Row],[Data Value Number]]="","",INDEX(DataColumns[ColumnLabel],MATCH(ResultColumnLabels[[#This Row],[Data Value Number]],DataColumns[DVNum],0)))</f>
        <v/>
      </c>
    </row>
    <row r="492" spans="1:2" x14ac:dyDescent="0.25">
      <c r="A492" s="219" t="str">
        <f ca="1">IF(ROW()-1&gt;NumDataColumns,"",MAX(INDIRECT(CONCATENATE("R",ROW(ResultColumnLabels[#Headers]),"C",COLUMN(),":R",ROW()-1,"C",COLUMN()),FALSE))+1)</f>
        <v/>
      </c>
      <c r="B492" s="219" t="str">
        <f ca="1">IF(ResultColumnLabels[[#This Row],[Data Value Number]]="","",INDEX(DataColumns[ColumnLabel],MATCH(ResultColumnLabels[[#This Row],[Data Value Number]],DataColumns[DVNum],0)))</f>
        <v/>
      </c>
    </row>
    <row r="493" spans="1:2" x14ac:dyDescent="0.25">
      <c r="A493" s="219" t="str">
        <f ca="1">IF(ROW()-1&gt;NumDataColumns,"",MAX(INDIRECT(CONCATENATE("R",ROW(ResultColumnLabels[#Headers]),"C",COLUMN(),":R",ROW()-1,"C",COLUMN()),FALSE))+1)</f>
        <v/>
      </c>
      <c r="B493" s="219" t="str">
        <f ca="1">IF(ResultColumnLabels[[#This Row],[Data Value Number]]="","",INDEX(DataColumns[ColumnLabel],MATCH(ResultColumnLabels[[#This Row],[Data Value Number]],DataColumns[DVNum],0)))</f>
        <v/>
      </c>
    </row>
    <row r="494" spans="1:2" x14ac:dyDescent="0.25">
      <c r="A494" s="219" t="str">
        <f ca="1">IF(ROW()-1&gt;NumDataColumns,"",MAX(INDIRECT(CONCATENATE("R",ROW(ResultColumnLabels[#Headers]),"C",COLUMN(),":R",ROW()-1,"C",COLUMN()),FALSE))+1)</f>
        <v/>
      </c>
      <c r="B494" s="219" t="str">
        <f ca="1">IF(ResultColumnLabels[[#This Row],[Data Value Number]]="","",INDEX(DataColumns[ColumnLabel],MATCH(ResultColumnLabels[[#This Row],[Data Value Number]],DataColumns[DVNum],0)))</f>
        <v/>
      </c>
    </row>
    <row r="495" spans="1:2" x14ac:dyDescent="0.25">
      <c r="A495" s="219" t="str">
        <f ca="1">IF(ROW()-1&gt;NumDataColumns,"",MAX(INDIRECT(CONCATENATE("R",ROW(ResultColumnLabels[#Headers]),"C",COLUMN(),":R",ROW()-1,"C",COLUMN()),FALSE))+1)</f>
        <v/>
      </c>
      <c r="B495" s="219" t="str">
        <f ca="1">IF(ResultColumnLabels[[#This Row],[Data Value Number]]="","",INDEX(DataColumns[ColumnLabel],MATCH(ResultColumnLabels[[#This Row],[Data Value Number]],DataColumns[DVNum],0)))</f>
        <v/>
      </c>
    </row>
    <row r="496" spans="1:2" x14ac:dyDescent="0.25">
      <c r="A496" s="219" t="str">
        <f ca="1">IF(ROW()-1&gt;NumDataColumns,"",MAX(INDIRECT(CONCATENATE("R",ROW(ResultColumnLabels[#Headers]),"C",COLUMN(),":R",ROW()-1,"C",COLUMN()),FALSE))+1)</f>
        <v/>
      </c>
      <c r="B496" s="219" t="str">
        <f ca="1">IF(ResultColumnLabels[[#This Row],[Data Value Number]]="","",INDEX(DataColumns[ColumnLabel],MATCH(ResultColumnLabels[[#This Row],[Data Value Number]],DataColumns[DVNum],0)))</f>
        <v/>
      </c>
    </row>
    <row r="497" spans="1:2" x14ac:dyDescent="0.25">
      <c r="A497" s="219" t="str">
        <f ca="1">IF(ROW()-1&gt;NumDataColumns,"",MAX(INDIRECT(CONCATENATE("R",ROW(ResultColumnLabels[#Headers]),"C",COLUMN(),":R",ROW()-1,"C",COLUMN()),FALSE))+1)</f>
        <v/>
      </c>
      <c r="B497" s="219" t="str">
        <f ca="1">IF(ResultColumnLabels[[#This Row],[Data Value Number]]="","",INDEX(DataColumns[ColumnLabel],MATCH(ResultColumnLabels[[#This Row],[Data Value Number]],DataColumns[DVNum],0)))</f>
        <v/>
      </c>
    </row>
    <row r="498" spans="1:2" x14ac:dyDescent="0.25">
      <c r="A498" s="219" t="str">
        <f ca="1">IF(ROW()-1&gt;NumDataColumns,"",MAX(INDIRECT(CONCATENATE("R",ROW(ResultColumnLabels[#Headers]),"C",COLUMN(),":R",ROW()-1,"C",COLUMN()),FALSE))+1)</f>
        <v/>
      </c>
      <c r="B498" s="219" t="str">
        <f ca="1">IF(ResultColumnLabels[[#This Row],[Data Value Number]]="","",INDEX(DataColumns[ColumnLabel],MATCH(ResultColumnLabels[[#This Row],[Data Value Number]],DataColumns[DVNum],0)))</f>
        <v/>
      </c>
    </row>
    <row r="499" spans="1:2" x14ac:dyDescent="0.25">
      <c r="A499" s="219" t="str">
        <f ca="1">IF(ROW()-1&gt;NumDataColumns,"",MAX(INDIRECT(CONCATENATE("R",ROW(ResultColumnLabels[#Headers]),"C",COLUMN(),":R",ROW()-1,"C",COLUMN()),FALSE))+1)</f>
        <v/>
      </c>
      <c r="B499" s="219" t="str">
        <f ca="1">IF(ResultColumnLabels[[#This Row],[Data Value Number]]="","",INDEX(DataColumns[ColumnLabel],MATCH(ResultColumnLabels[[#This Row],[Data Value Number]],DataColumns[DVNum],0)))</f>
        <v/>
      </c>
    </row>
    <row r="500" spans="1:2" x14ac:dyDescent="0.25">
      <c r="A500" s="219" t="str">
        <f ca="1">IF(ROW()-1&gt;NumDataColumns,"",MAX(INDIRECT(CONCATENATE("R",ROW(ResultColumnLabels[#Headers]),"C",COLUMN(),":R",ROW()-1,"C",COLUMN()),FALSE))+1)</f>
        <v/>
      </c>
      <c r="B500" s="219" t="str">
        <f ca="1">IF(ResultColumnLabels[[#This Row],[Data Value Number]]="","",INDEX(DataColumns[ColumnLabel],MATCH(ResultColumnLabels[[#This Row],[Data Value Number]],DataColumns[DVNum],0)))</f>
        <v/>
      </c>
    </row>
    <row r="501" spans="1:2" x14ac:dyDescent="0.25">
      <c r="A501" s="219" t="str">
        <f ca="1">IF(ROW()-1&gt;NumDataColumns,"",MAX(INDIRECT(CONCATENATE("R",ROW(ResultColumnLabels[#Headers]),"C",COLUMN(),":R",ROW()-1,"C",COLUMN()),FALSE))+1)</f>
        <v/>
      </c>
      <c r="B501" s="219" t="str">
        <f ca="1">IF(ResultColumnLabels[[#This Row],[Data Value Number]]="","",INDEX(DataColumns[ColumnLabel],MATCH(ResultColumnLabels[[#This Row],[Data Value Number]],DataColumns[DVNum],0)))</f>
        <v/>
      </c>
    </row>
    <row r="502" spans="1:2" x14ac:dyDescent="0.25">
      <c r="A502" s="219" t="str">
        <f ca="1">IF(ROW()-1&gt;NumDataColumns,"",MAX(INDIRECT(CONCATENATE("R",ROW(ResultColumnLabels[#Headers]),"C",COLUMN(),":R",ROW()-1,"C",COLUMN()),FALSE))+1)</f>
        <v/>
      </c>
      <c r="B502" s="219" t="str">
        <f ca="1">IF(ResultColumnLabels[[#This Row],[Data Value Number]]="","",INDEX(DataColumns[ColumnLabel],MATCH(ResultColumnLabels[[#This Row],[Data Value Number]],DataColumns[DVNum],0)))</f>
        <v/>
      </c>
    </row>
    <row r="503" spans="1:2" x14ac:dyDescent="0.25">
      <c r="A503" s="219" t="str">
        <f ca="1">IF(ROW()-1&gt;NumDataColumns,"",MAX(INDIRECT(CONCATENATE("R",ROW(ResultColumnLabels[#Headers]),"C",COLUMN(),":R",ROW()-1,"C",COLUMN()),FALSE))+1)</f>
        <v/>
      </c>
      <c r="B503" s="219" t="str">
        <f ca="1">IF(ResultColumnLabels[[#This Row],[Data Value Number]]="","",INDEX(DataColumns[ColumnLabel],MATCH(ResultColumnLabels[[#This Row],[Data Value Number]],DataColumns[DVNum],0)))</f>
        <v/>
      </c>
    </row>
    <row r="504" spans="1:2" x14ac:dyDescent="0.25">
      <c r="A504" s="219" t="str">
        <f ca="1">IF(ROW()-1&gt;NumDataColumns,"",MAX(INDIRECT(CONCATENATE("R",ROW(ResultColumnLabels[#Headers]),"C",COLUMN(),":R",ROW()-1,"C",COLUMN()),FALSE))+1)</f>
        <v/>
      </c>
      <c r="B504" s="219" t="str">
        <f ca="1">IF(ResultColumnLabels[[#This Row],[Data Value Number]]="","",INDEX(DataColumns[ColumnLabel],MATCH(ResultColumnLabels[[#This Row],[Data Value Number]],DataColumns[DVNum],0)))</f>
        <v/>
      </c>
    </row>
    <row r="505" spans="1:2" x14ac:dyDescent="0.25">
      <c r="A505" s="219" t="str">
        <f ca="1">IF(ROW()-1&gt;NumDataColumns,"",MAX(INDIRECT(CONCATENATE("R",ROW(ResultColumnLabels[#Headers]),"C",COLUMN(),":R",ROW()-1,"C",COLUMN()),FALSE))+1)</f>
        <v/>
      </c>
      <c r="B505" s="219" t="str">
        <f ca="1">IF(ResultColumnLabels[[#This Row],[Data Value Number]]="","",INDEX(DataColumns[ColumnLabel],MATCH(ResultColumnLabels[[#This Row],[Data Value Number]],DataColumns[DVNum],0)))</f>
        <v/>
      </c>
    </row>
    <row r="506" spans="1:2" x14ac:dyDescent="0.25">
      <c r="A506" s="219" t="str">
        <f ca="1">IF(ROW()-1&gt;NumDataColumns,"",MAX(INDIRECT(CONCATENATE("R",ROW(ResultColumnLabels[#Headers]),"C",COLUMN(),":R",ROW()-1,"C",COLUMN()),FALSE))+1)</f>
        <v/>
      </c>
      <c r="B506" s="219" t="str">
        <f ca="1">IF(ResultColumnLabels[[#This Row],[Data Value Number]]="","",INDEX(DataColumns[ColumnLabel],MATCH(ResultColumnLabels[[#This Row],[Data Value Number]],DataColumns[DVNum],0)))</f>
        <v/>
      </c>
    </row>
    <row r="507" spans="1:2" x14ac:dyDescent="0.25">
      <c r="A507" s="219" t="str">
        <f ca="1">IF(ROW()-1&gt;NumDataColumns,"",MAX(INDIRECT(CONCATENATE("R",ROW(ResultColumnLabels[#Headers]),"C",COLUMN(),":R",ROW()-1,"C",COLUMN()),FALSE))+1)</f>
        <v/>
      </c>
      <c r="B507" s="219" t="str">
        <f ca="1">IF(ResultColumnLabels[[#This Row],[Data Value Number]]="","",INDEX(DataColumns[ColumnLabel],MATCH(ResultColumnLabels[[#This Row],[Data Value Number]],DataColumns[DVNum],0)))</f>
        <v/>
      </c>
    </row>
    <row r="508" spans="1:2" x14ac:dyDescent="0.25">
      <c r="A508" s="219" t="str">
        <f ca="1">IF(ROW()-1&gt;NumDataColumns,"",MAX(INDIRECT(CONCATENATE("R",ROW(ResultColumnLabels[#Headers]),"C",COLUMN(),":R",ROW()-1,"C",COLUMN()),FALSE))+1)</f>
        <v/>
      </c>
      <c r="B508" s="219" t="str">
        <f ca="1">IF(ResultColumnLabels[[#This Row],[Data Value Number]]="","",INDEX(DataColumns[ColumnLabel],MATCH(ResultColumnLabels[[#This Row],[Data Value Number]],DataColumns[DVNum],0)))</f>
        <v/>
      </c>
    </row>
    <row r="509" spans="1:2" x14ac:dyDescent="0.25">
      <c r="A509" s="219" t="str">
        <f ca="1">IF(ROW()-1&gt;NumDataColumns,"",MAX(INDIRECT(CONCATENATE("R",ROW(ResultColumnLabels[#Headers]),"C",COLUMN(),":R",ROW()-1,"C",COLUMN()),FALSE))+1)</f>
        <v/>
      </c>
      <c r="B509" s="219" t="str">
        <f ca="1">IF(ResultColumnLabels[[#This Row],[Data Value Number]]="","",INDEX(DataColumns[ColumnLabel],MATCH(ResultColumnLabels[[#This Row],[Data Value Number]],DataColumns[DVNum],0)))</f>
        <v/>
      </c>
    </row>
    <row r="510" spans="1:2" x14ac:dyDescent="0.25">
      <c r="A510" s="219" t="str">
        <f ca="1">IF(ROW()-1&gt;NumDataColumns,"",MAX(INDIRECT(CONCATENATE("R",ROW(ResultColumnLabels[#Headers]),"C",COLUMN(),":R",ROW()-1,"C",COLUMN()),FALSE))+1)</f>
        <v/>
      </c>
      <c r="B510" s="219" t="str">
        <f ca="1">IF(ResultColumnLabels[[#This Row],[Data Value Number]]="","",INDEX(DataColumns[ColumnLabel],MATCH(ResultColumnLabels[[#This Row],[Data Value Number]],DataColumns[DVNum],0)))</f>
        <v/>
      </c>
    </row>
    <row r="511" spans="1:2" x14ac:dyDescent="0.25">
      <c r="A511" s="219" t="str">
        <f ca="1">IF(ROW()-1&gt;NumDataColumns,"",MAX(INDIRECT(CONCATENATE("R",ROW(ResultColumnLabels[#Headers]),"C",COLUMN(),":R",ROW()-1,"C",COLUMN()),FALSE))+1)</f>
        <v/>
      </c>
      <c r="B511" s="219" t="str">
        <f ca="1">IF(ResultColumnLabels[[#This Row],[Data Value Number]]="","",INDEX(DataColumns[ColumnLabel],MATCH(ResultColumnLabels[[#This Row],[Data Value Number]],DataColumns[DVNum],0)))</f>
        <v/>
      </c>
    </row>
    <row r="512" spans="1:2" x14ac:dyDescent="0.25">
      <c r="A512" s="219" t="str">
        <f ca="1">IF(ROW()-1&gt;NumDataColumns,"",MAX(INDIRECT(CONCATENATE("R",ROW(ResultColumnLabels[#Headers]),"C",COLUMN(),":R",ROW()-1,"C",COLUMN()),FALSE))+1)</f>
        <v/>
      </c>
      <c r="B512" s="219" t="str">
        <f ca="1">IF(ResultColumnLabels[[#This Row],[Data Value Number]]="","",INDEX(DataColumns[ColumnLabel],MATCH(ResultColumnLabels[[#This Row],[Data Value Number]],DataColumns[DVNum],0)))</f>
        <v/>
      </c>
    </row>
    <row r="513" spans="1:2" x14ac:dyDescent="0.25">
      <c r="A513" s="219" t="str">
        <f ca="1">IF(ROW()-1&gt;NumDataColumns,"",MAX(INDIRECT(CONCATENATE("R",ROW(ResultColumnLabels[#Headers]),"C",COLUMN(),":R",ROW()-1,"C",COLUMN()),FALSE))+1)</f>
        <v/>
      </c>
      <c r="B513" s="219" t="str">
        <f ca="1">IF(ResultColumnLabels[[#This Row],[Data Value Number]]="","",INDEX(DataColumns[ColumnLabel],MATCH(ResultColumnLabels[[#This Row],[Data Value Number]],DataColumns[DVNum],0)))</f>
        <v/>
      </c>
    </row>
    <row r="514" spans="1:2" x14ac:dyDescent="0.25">
      <c r="A514" s="219" t="str">
        <f ca="1">IF(ROW()-1&gt;NumDataColumns,"",MAX(INDIRECT(CONCATENATE("R",ROW(ResultColumnLabels[#Headers]),"C",COLUMN(),":R",ROW()-1,"C",COLUMN()),FALSE))+1)</f>
        <v/>
      </c>
      <c r="B514" s="219" t="str">
        <f ca="1">IF(ResultColumnLabels[[#This Row],[Data Value Number]]="","",INDEX(DataColumns[ColumnLabel],MATCH(ResultColumnLabels[[#This Row],[Data Value Number]],DataColumns[DVNum],0)))</f>
        <v/>
      </c>
    </row>
    <row r="515" spans="1:2" x14ac:dyDescent="0.25">
      <c r="A515" s="219" t="str">
        <f ca="1">IF(ROW()-1&gt;NumDataColumns,"",MAX(INDIRECT(CONCATENATE("R",ROW(ResultColumnLabels[#Headers]),"C",COLUMN(),":R",ROW()-1,"C",COLUMN()),FALSE))+1)</f>
        <v/>
      </c>
      <c r="B515" s="219" t="str">
        <f ca="1">IF(ResultColumnLabels[[#This Row],[Data Value Number]]="","",INDEX(DataColumns[ColumnLabel],MATCH(ResultColumnLabels[[#This Row],[Data Value Number]],DataColumns[DVNum],0)))</f>
        <v/>
      </c>
    </row>
    <row r="516" spans="1:2" x14ac:dyDescent="0.25">
      <c r="A516" s="219" t="str">
        <f ca="1">IF(ROW()-1&gt;NumDataColumns,"",MAX(INDIRECT(CONCATENATE("R",ROW(ResultColumnLabels[#Headers]),"C",COLUMN(),":R",ROW()-1,"C",COLUMN()),FALSE))+1)</f>
        <v/>
      </c>
      <c r="B516" s="219" t="str">
        <f ca="1">IF(ResultColumnLabels[[#This Row],[Data Value Number]]="","",INDEX(DataColumns[ColumnLabel],MATCH(ResultColumnLabels[[#This Row],[Data Value Number]],DataColumns[DVNum],0)))</f>
        <v/>
      </c>
    </row>
    <row r="517" spans="1:2" x14ac:dyDescent="0.25">
      <c r="A517" s="219" t="str">
        <f ca="1">IF(ROW()-1&gt;NumDataColumns,"",MAX(INDIRECT(CONCATENATE("R",ROW(ResultColumnLabels[#Headers]),"C",COLUMN(),":R",ROW()-1,"C",COLUMN()),FALSE))+1)</f>
        <v/>
      </c>
      <c r="B517" s="219" t="str">
        <f ca="1">IF(ResultColumnLabels[[#This Row],[Data Value Number]]="","",INDEX(DataColumns[ColumnLabel],MATCH(ResultColumnLabels[[#This Row],[Data Value Number]],DataColumns[DVNum],0)))</f>
        <v/>
      </c>
    </row>
    <row r="518" spans="1:2" x14ac:dyDescent="0.25">
      <c r="A518" s="219" t="str">
        <f ca="1">IF(ROW()-1&gt;NumDataColumns,"",MAX(INDIRECT(CONCATENATE("R",ROW(ResultColumnLabels[#Headers]),"C",COLUMN(),":R",ROW()-1,"C",COLUMN()),FALSE))+1)</f>
        <v/>
      </c>
      <c r="B518" s="219" t="str">
        <f ca="1">IF(ResultColumnLabels[[#This Row],[Data Value Number]]="","",INDEX(DataColumns[ColumnLabel],MATCH(ResultColumnLabels[[#This Row],[Data Value Number]],DataColumns[DVNum],0)))</f>
        <v/>
      </c>
    </row>
    <row r="519" spans="1:2" x14ac:dyDescent="0.25">
      <c r="A519" s="219" t="str">
        <f ca="1">IF(ROW()-1&gt;NumDataColumns,"",MAX(INDIRECT(CONCATENATE("R",ROW(ResultColumnLabels[#Headers]),"C",COLUMN(),":R",ROW()-1,"C",COLUMN()),FALSE))+1)</f>
        <v/>
      </c>
      <c r="B519" s="219" t="str">
        <f ca="1">IF(ResultColumnLabels[[#This Row],[Data Value Number]]="","",INDEX(DataColumns[ColumnLabel],MATCH(ResultColumnLabels[[#This Row],[Data Value Number]],DataColumns[DVNum],0)))</f>
        <v/>
      </c>
    </row>
    <row r="520" spans="1:2" x14ac:dyDescent="0.25">
      <c r="A520" s="219" t="str">
        <f ca="1">IF(ROW()-1&gt;NumDataColumns,"",MAX(INDIRECT(CONCATENATE("R",ROW(ResultColumnLabels[#Headers]),"C",COLUMN(),":R",ROW()-1,"C",COLUMN()),FALSE))+1)</f>
        <v/>
      </c>
      <c r="B520" s="219" t="str">
        <f ca="1">IF(ResultColumnLabels[[#This Row],[Data Value Number]]="","",INDEX(DataColumns[ColumnLabel],MATCH(ResultColumnLabels[[#This Row],[Data Value Number]],DataColumns[DVNum],0)))</f>
        <v/>
      </c>
    </row>
    <row r="521" spans="1:2" x14ac:dyDescent="0.25">
      <c r="A521" s="219" t="str">
        <f ca="1">IF(ROW()-1&gt;NumDataColumns,"",MAX(INDIRECT(CONCATENATE("R",ROW(ResultColumnLabels[#Headers]),"C",COLUMN(),":R",ROW()-1,"C",COLUMN()),FALSE))+1)</f>
        <v/>
      </c>
      <c r="B521" s="219" t="str">
        <f ca="1">IF(ResultColumnLabels[[#This Row],[Data Value Number]]="","",INDEX(DataColumns[ColumnLabel],MATCH(ResultColumnLabels[[#This Row],[Data Value Number]],DataColumns[DVNum],0)))</f>
        <v/>
      </c>
    </row>
    <row r="522" spans="1:2" x14ac:dyDescent="0.25">
      <c r="A522" s="219" t="str">
        <f ca="1">IF(ROW()-1&gt;NumDataColumns,"",MAX(INDIRECT(CONCATENATE("R",ROW(ResultColumnLabels[#Headers]),"C",COLUMN(),":R",ROW()-1,"C",COLUMN()),FALSE))+1)</f>
        <v/>
      </c>
      <c r="B522" s="219" t="str">
        <f ca="1">IF(ResultColumnLabels[[#This Row],[Data Value Number]]="","",INDEX(DataColumns[ColumnLabel],MATCH(ResultColumnLabels[[#This Row],[Data Value Number]],DataColumns[DVNum],0)))</f>
        <v/>
      </c>
    </row>
    <row r="523" spans="1:2" x14ac:dyDescent="0.25">
      <c r="A523" s="219" t="str">
        <f ca="1">IF(ROW()-1&gt;NumDataColumns,"",MAX(INDIRECT(CONCATENATE("R",ROW(ResultColumnLabels[#Headers]),"C",COLUMN(),":R",ROW()-1,"C",COLUMN()),FALSE))+1)</f>
        <v/>
      </c>
      <c r="B523" s="219" t="str">
        <f ca="1">IF(ResultColumnLabels[[#This Row],[Data Value Number]]="","",INDEX(DataColumns[ColumnLabel],MATCH(ResultColumnLabels[[#This Row],[Data Value Number]],DataColumns[DVNum],0)))</f>
        <v/>
      </c>
    </row>
    <row r="524" spans="1:2" x14ac:dyDescent="0.25">
      <c r="A524" s="219" t="str">
        <f ca="1">IF(ROW()-1&gt;NumDataColumns,"",MAX(INDIRECT(CONCATENATE("R",ROW(ResultColumnLabels[#Headers]),"C",COLUMN(),":R",ROW()-1,"C",COLUMN()),FALSE))+1)</f>
        <v/>
      </c>
      <c r="B524" s="219" t="str">
        <f ca="1">IF(ResultColumnLabels[[#This Row],[Data Value Number]]="","",INDEX(DataColumns[ColumnLabel],MATCH(ResultColumnLabels[[#This Row],[Data Value Number]],DataColumns[DVNum],0)))</f>
        <v/>
      </c>
    </row>
    <row r="525" spans="1:2" x14ac:dyDescent="0.25">
      <c r="A525" s="219" t="str">
        <f ca="1">IF(ROW()-1&gt;NumDataColumns,"",MAX(INDIRECT(CONCATENATE("R",ROW(ResultColumnLabels[#Headers]),"C",COLUMN(),":R",ROW()-1,"C",COLUMN()),FALSE))+1)</f>
        <v/>
      </c>
      <c r="B525" s="219" t="str">
        <f ca="1">IF(ResultColumnLabels[[#This Row],[Data Value Number]]="","",INDEX(DataColumns[ColumnLabel],MATCH(ResultColumnLabels[[#This Row],[Data Value Number]],DataColumns[DVNum],0)))</f>
        <v/>
      </c>
    </row>
    <row r="526" spans="1:2" x14ac:dyDescent="0.25">
      <c r="A526" s="219" t="str">
        <f ca="1">IF(ROW()-1&gt;NumDataColumns,"",MAX(INDIRECT(CONCATENATE("R",ROW(ResultColumnLabels[#Headers]),"C",COLUMN(),":R",ROW()-1,"C",COLUMN()),FALSE))+1)</f>
        <v/>
      </c>
      <c r="B526" s="219" t="str">
        <f ca="1">IF(ResultColumnLabels[[#This Row],[Data Value Number]]="","",INDEX(DataColumns[ColumnLabel],MATCH(ResultColumnLabels[[#This Row],[Data Value Number]],DataColumns[DVNum],0)))</f>
        <v/>
      </c>
    </row>
    <row r="527" spans="1:2" x14ac:dyDescent="0.25">
      <c r="A527" s="219" t="str">
        <f ca="1">IF(ROW()-1&gt;NumDataColumns,"",MAX(INDIRECT(CONCATENATE("R",ROW(ResultColumnLabels[#Headers]),"C",COLUMN(),":R",ROW()-1,"C",COLUMN()),FALSE))+1)</f>
        <v/>
      </c>
      <c r="B527" s="219" t="str">
        <f ca="1">IF(ResultColumnLabels[[#This Row],[Data Value Number]]="","",INDEX(DataColumns[ColumnLabel],MATCH(ResultColumnLabels[[#This Row],[Data Value Number]],DataColumns[DVNum],0)))</f>
        <v/>
      </c>
    </row>
    <row r="528" spans="1:2" x14ac:dyDescent="0.25">
      <c r="A528" s="219" t="str">
        <f ca="1">IF(ROW()-1&gt;NumDataColumns,"",MAX(INDIRECT(CONCATENATE("R",ROW(ResultColumnLabels[#Headers]),"C",COLUMN(),":R",ROW()-1,"C",COLUMN()),FALSE))+1)</f>
        <v/>
      </c>
      <c r="B528" s="219" t="str">
        <f ca="1">IF(ResultColumnLabels[[#This Row],[Data Value Number]]="","",INDEX(DataColumns[ColumnLabel],MATCH(ResultColumnLabels[[#This Row],[Data Value Number]],DataColumns[DVNum],0)))</f>
        <v/>
      </c>
    </row>
    <row r="529" spans="1:2" x14ac:dyDescent="0.25">
      <c r="A529" s="219" t="str">
        <f ca="1">IF(ROW()-1&gt;NumDataColumns,"",MAX(INDIRECT(CONCATENATE("R",ROW(ResultColumnLabels[#Headers]),"C",COLUMN(),":R",ROW()-1,"C",COLUMN()),FALSE))+1)</f>
        <v/>
      </c>
      <c r="B529" s="219" t="str">
        <f ca="1">IF(ResultColumnLabels[[#This Row],[Data Value Number]]="","",INDEX(DataColumns[ColumnLabel],MATCH(ResultColumnLabels[[#This Row],[Data Value Number]],DataColumns[DVNum],0)))</f>
        <v/>
      </c>
    </row>
    <row r="530" spans="1:2" x14ac:dyDescent="0.25">
      <c r="A530" s="219" t="str">
        <f ca="1">IF(ROW()-1&gt;NumDataColumns,"",MAX(INDIRECT(CONCATENATE("R",ROW(ResultColumnLabels[#Headers]),"C",COLUMN(),":R",ROW()-1,"C",COLUMN()),FALSE))+1)</f>
        <v/>
      </c>
      <c r="B530" s="219" t="str">
        <f ca="1">IF(ResultColumnLabels[[#This Row],[Data Value Number]]="","",INDEX(DataColumns[ColumnLabel],MATCH(ResultColumnLabels[[#This Row],[Data Value Number]],DataColumns[DVNum],0)))</f>
        <v/>
      </c>
    </row>
    <row r="531" spans="1:2" x14ac:dyDescent="0.25">
      <c r="A531" s="219" t="str">
        <f ca="1">IF(ROW()-1&gt;NumDataColumns,"",MAX(INDIRECT(CONCATENATE("R",ROW(ResultColumnLabels[#Headers]),"C",COLUMN(),":R",ROW()-1,"C",COLUMN()),FALSE))+1)</f>
        <v/>
      </c>
      <c r="B531" s="219" t="str">
        <f ca="1">IF(ResultColumnLabels[[#This Row],[Data Value Number]]="","",INDEX(DataColumns[ColumnLabel],MATCH(ResultColumnLabels[[#This Row],[Data Value Number]],DataColumns[DVNum],0)))</f>
        <v/>
      </c>
    </row>
    <row r="532" spans="1:2" x14ac:dyDescent="0.25">
      <c r="A532" s="219" t="str">
        <f ca="1">IF(ROW()-1&gt;NumDataColumns,"",MAX(INDIRECT(CONCATENATE("R",ROW(ResultColumnLabels[#Headers]),"C",COLUMN(),":R",ROW()-1,"C",COLUMN()),FALSE))+1)</f>
        <v/>
      </c>
      <c r="B532" s="219" t="str">
        <f ca="1">IF(ResultColumnLabels[[#This Row],[Data Value Number]]="","",INDEX(DataColumns[ColumnLabel],MATCH(ResultColumnLabels[[#This Row],[Data Value Number]],DataColumns[DVNum],0)))</f>
        <v/>
      </c>
    </row>
    <row r="533" spans="1:2" x14ac:dyDescent="0.25">
      <c r="A533" s="219" t="str">
        <f ca="1">IF(ROW()-1&gt;NumDataColumns,"",MAX(INDIRECT(CONCATENATE("R",ROW(ResultColumnLabels[#Headers]),"C",COLUMN(),":R",ROW()-1,"C",COLUMN()),FALSE))+1)</f>
        <v/>
      </c>
      <c r="B533" s="219" t="str">
        <f ca="1">IF(ResultColumnLabels[[#This Row],[Data Value Number]]="","",INDEX(DataColumns[ColumnLabel],MATCH(ResultColumnLabels[[#This Row],[Data Value Number]],DataColumns[DVNum],0)))</f>
        <v/>
      </c>
    </row>
    <row r="534" spans="1:2" x14ac:dyDescent="0.25">
      <c r="A534" s="219" t="str">
        <f ca="1">IF(ROW()-1&gt;NumDataColumns,"",MAX(INDIRECT(CONCATENATE("R",ROW(ResultColumnLabels[#Headers]),"C",COLUMN(),":R",ROW()-1,"C",COLUMN()),FALSE))+1)</f>
        <v/>
      </c>
      <c r="B534" s="219" t="str">
        <f ca="1">IF(ResultColumnLabels[[#This Row],[Data Value Number]]="","",INDEX(DataColumns[ColumnLabel],MATCH(ResultColumnLabels[[#This Row],[Data Value Number]],DataColumns[DVNum],0)))</f>
        <v/>
      </c>
    </row>
    <row r="535" spans="1:2" x14ac:dyDescent="0.25">
      <c r="A535" s="219" t="str">
        <f ca="1">IF(ROW()-1&gt;NumDataColumns,"",MAX(INDIRECT(CONCATENATE("R",ROW(ResultColumnLabels[#Headers]),"C",COLUMN(),":R",ROW()-1,"C",COLUMN()),FALSE))+1)</f>
        <v/>
      </c>
      <c r="B535" s="219" t="str">
        <f ca="1">IF(ResultColumnLabels[[#This Row],[Data Value Number]]="","",INDEX(DataColumns[ColumnLabel],MATCH(ResultColumnLabels[[#This Row],[Data Value Number]],DataColumns[DVNum],0)))</f>
        <v/>
      </c>
    </row>
    <row r="536" spans="1:2" x14ac:dyDescent="0.25">
      <c r="A536" s="219" t="str">
        <f ca="1">IF(ROW()-1&gt;NumDataColumns,"",MAX(INDIRECT(CONCATENATE("R",ROW(ResultColumnLabels[#Headers]),"C",COLUMN(),":R",ROW()-1,"C",COLUMN()),FALSE))+1)</f>
        <v/>
      </c>
      <c r="B536" s="219" t="str">
        <f ca="1">IF(ResultColumnLabels[[#This Row],[Data Value Number]]="","",INDEX(DataColumns[ColumnLabel],MATCH(ResultColumnLabels[[#This Row],[Data Value Number]],DataColumns[DVNum],0)))</f>
        <v/>
      </c>
    </row>
    <row r="537" spans="1:2" x14ac:dyDescent="0.25">
      <c r="A537" s="219" t="str">
        <f ca="1">IF(ROW()-1&gt;NumDataColumns,"",MAX(INDIRECT(CONCATENATE("R",ROW(ResultColumnLabels[#Headers]),"C",COLUMN(),":R",ROW()-1,"C",COLUMN()),FALSE))+1)</f>
        <v/>
      </c>
      <c r="B537" s="219" t="str">
        <f ca="1">IF(ResultColumnLabels[[#This Row],[Data Value Number]]="","",INDEX(DataColumns[ColumnLabel],MATCH(ResultColumnLabels[[#This Row],[Data Value Number]],DataColumns[DVNum],0)))</f>
        <v/>
      </c>
    </row>
    <row r="538" spans="1:2" x14ac:dyDescent="0.25">
      <c r="A538" s="219" t="str">
        <f ca="1">IF(ROW()-1&gt;NumDataColumns,"",MAX(INDIRECT(CONCATENATE("R",ROW(ResultColumnLabels[#Headers]),"C",COLUMN(),":R",ROW()-1,"C",COLUMN()),FALSE))+1)</f>
        <v/>
      </c>
      <c r="B538" s="219" t="str">
        <f ca="1">IF(ResultColumnLabels[[#This Row],[Data Value Number]]="","",INDEX(DataColumns[ColumnLabel],MATCH(ResultColumnLabels[[#This Row],[Data Value Number]],DataColumns[DVNum],0)))</f>
        <v/>
      </c>
    </row>
    <row r="539" spans="1:2" x14ac:dyDescent="0.25">
      <c r="A539" s="219" t="str">
        <f ca="1">IF(ROW()-1&gt;NumDataColumns,"",MAX(INDIRECT(CONCATENATE("R",ROW(ResultColumnLabels[#Headers]),"C",COLUMN(),":R",ROW()-1,"C",COLUMN()),FALSE))+1)</f>
        <v/>
      </c>
      <c r="B539" s="219" t="str">
        <f ca="1">IF(ResultColumnLabels[[#This Row],[Data Value Number]]="","",INDEX(DataColumns[ColumnLabel],MATCH(ResultColumnLabels[[#This Row],[Data Value Number]],DataColumns[DVNum],0)))</f>
        <v/>
      </c>
    </row>
    <row r="540" spans="1:2" x14ac:dyDescent="0.25">
      <c r="A540" s="219" t="str">
        <f ca="1">IF(ROW()-1&gt;NumDataColumns,"",MAX(INDIRECT(CONCATENATE("R",ROW(ResultColumnLabels[#Headers]),"C",COLUMN(),":R",ROW()-1,"C",COLUMN()),FALSE))+1)</f>
        <v/>
      </c>
      <c r="B540" s="219" t="str">
        <f ca="1">IF(ResultColumnLabels[[#This Row],[Data Value Number]]="","",INDEX(DataColumns[ColumnLabel],MATCH(ResultColumnLabels[[#This Row],[Data Value Number]],DataColumns[DVNum],0)))</f>
        <v/>
      </c>
    </row>
    <row r="541" spans="1:2" x14ac:dyDescent="0.25">
      <c r="A541" s="219" t="str">
        <f ca="1">IF(ROW()-1&gt;NumDataColumns,"",MAX(INDIRECT(CONCATENATE("R",ROW(ResultColumnLabels[#Headers]),"C",COLUMN(),":R",ROW()-1,"C",COLUMN()),FALSE))+1)</f>
        <v/>
      </c>
      <c r="B541" s="219" t="str">
        <f ca="1">IF(ResultColumnLabels[[#This Row],[Data Value Number]]="","",INDEX(DataColumns[ColumnLabel],MATCH(ResultColumnLabels[[#This Row],[Data Value Number]],DataColumns[DVNum],0)))</f>
        <v/>
      </c>
    </row>
    <row r="542" spans="1:2" x14ac:dyDescent="0.25">
      <c r="A542" s="219" t="str">
        <f ca="1">IF(ROW()-1&gt;NumDataColumns,"",MAX(INDIRECT(CONCATENATE("R",ROW(ResultColumnLabels[#Headers]),"C",COLUMN(),":R",ROW()-1,"C",COLUMN()),FALSE))+1)</f>
        <v/>
      </c>
      <c r="B542" s="219" t="str">
        <f ca="1">IF(ResultColumnLabels[[#This Row],[Data Value Number]]="","",INDEX(DataColumns[ColumnLabel],MATCH(ResultColumnLabels[[#This Row],[Data Value Number]],DataColumns[DVNum],0)))</f>
        <v/>
      </c>
    </row>
    <row r="543" spans="1:2" x14ac:dyDescent="0.25">
      <c r="A543" s="219" t="str">
        <f ca="1">IF(ROW()-1&gt;NumDataColumns,"",MAX(INDIRECT(CONCATENATE("R",ROW(ResultColumnLabels[#Headers]),"C",COLUMN(),":R",ROW()-1,"C",COLUMN()),FALSE))+1)</f>
        <v/>
      </c>
      <c r="B543" s="219" t="str">
        <f ca="1">IF(ResultColumnLabels[[#This Row],[Data Value Number]]="","",INDEX(DataColumns[ColumnLabel],MATCH(ResultColumnLabels[[#This Row],[Data Value Number]],DataColumns[DVNum],0)))</f>
        <v/>
      </c>
    </row>
    <row r="544" spans="1:2" x14ac:dyDescent="0.25">
      <c r="A544" s="219" t="str">
        <f ca="1">IF(ROW()-1&gt;NumDataColumns,"",MAX(INDIRECT(CONCATENATE("R",ROW(ResultColumnLabels[#Headers]),"C",COLUMN(),":R",ROW()-1,"C",COLUMN()),FALSE))+1)</f>
        <v/>
      </c>
      <c r="B544" s="219" t="str">
        <f ca="1">IF(ResultColumnLabels[[#This Row],[Data Value Number]]="","",INDEX(DataColumns[ColumnLabel],MATCH(ResultColumnLabels[[#This Row],[Data Value Number]],DataColumns[DVNum],0)))</f>
        <v/>
      </c>
    </row>
    <row r="545" spans="1:2" x14ac:dyDescent="0.25">
      <c r="A545" s="219" t="str">
        <f ca="1">IF(ROW()-1&gt;NumDataColumns,"",MAX(INDIRECT(CONCATENATE("R",ROW(ResultColumnLabels[#Headers]),"C",COLUMN(),":R",ROW()-1,"C",COLUMN()),FALSE))+1)</f>
        <v/>
      </c>
      <c r="B545" s="219" t="str">
        <f ca="1">IF(ResultColumnLabels[[#This Row],[Data Value Number]]="","",INDEX(DataColumns[ColumnLabel],MATCH(ResultColumnLabels[[#This Row],[Data Value Number]],DataColumns[DVNum],0)))</f>
        <v/>
      </c>
    </row>
    <row r="546" spans="1:2" x14ac:dyDescent="0.25">
      <c r="A546" s="219" t="str">
        <f ca="1">IF(ROW()-1&gt;NumDataColumns,"",MAX(INDIRECT(CONCATENATE("R",ROW(ResultColumnLabels[#Headers]),"C",COLUMN(),":R",ROW()-1,"C",COLUMN()),FALSE))+1)</f>
        <v/>
      </c>
      <c r="B546" s="219" t="str">
        <f ca="1">IF(ResultColumnLabels[[#This Row],[Data Value Number]]="","",INDEX(DataColumns[ColumnLabel],MATCH(ResultColumnLabels[[#This Row],[Data Value Number]],DataColumns[DVNum],0)))</f>
        <v/>
      </c>
    </row>
    <row r="547" spans="1:2" x14ac:dyDescent="0.25">
      <c r="A547" s="219" t="str">
        <f ca="1">IF(ROW()-1&gt;NumDataColumns,"",MAX(INDIRECT(CONCATENATE("R",ROW(ResultColumnLabels[#Headers]),"C",COLUMN(),":R",ROW()-1,"C",COLUMN()),FALSE))+1)</f>
        <v/>
      </c>
      <c r="B547" s="219" t="str">
        <f ca="1">IF(ResultColumnLabels[[#This Row],[Data Value Number]]="","",INDEX(DataColumns[ColumnLabel],MATCH(ResultColumnLabels[[#This Row],[Data Value Number]],DataColumns[DVNum],0)))</f>
        <v/>
      </c>
    </row>
    <row r="548" spans="1:2" x14ac:dyDescent="0.25">
      <c r="A548" s="219" t="str">
        <f ca="1">IF(ROW()-1&gt;NumDataColumns,"",MAX(INDIRECT(CONCATENATE("R",ROW(ResultColumnLabels[#Headers]),"C",COLUMN(),":R",ROW()-1,"C",COLUMN()),FALSE))+1)</f>
        <v/>
      </c>
      <c r="B548" s="219" t="str">
        <f ca="1">IF(ResultColumnLabels[[#This Row],[Data Value Number]]="","",INDEX(DataColumns[ColumnLabel],MATCH(ResultColumnLabels[[#This Row],[Data Value Number]],DataColumns[DVNum],0)))</f>
        <v/>
      </c>
    </row>
    <row r="549" spans="1:2" x14ac:dyDescent="0.25">
      <c r="A549" s="219" t="str">
        <f ca="1">IF(ROW()-1&gt;NumDataColumns,"",MAX(INDIRECT(CONCATENATE("R",ROW(ResultColumnLabels[#Headers]),"C",COLUMN(),":R",ROW()-1,"C",COLUMN()),FALSE))+1)</f>
        <v/>
      </c>
      <c r="B549" s="219" t="str">
        <f ca="1">IF(ResultColumnLabels[[#This Row],[Data Value Number]]="","",INDEX(DataColumns[ColumnLabel],MATCH(ResultColumnLabels[[#This Row],[Data Value Number]],DataColumns[DVNum],0)))</f>
        <v/>
      </c>
    </row>
    <row r="550" spans="1:2" x14ac:dyDescent="0.25">
      <c r="A550" s="219" t="str">
        <f ca="1">IF(ROW()-1&gt;NumDataColumns,"",MAX(INDIRECT(CONCATENATE("R",ROW(ResultColumnLabels[#Headers]),"C",COLUMN(),":R",ROW()-1,"C",COLUMN()),FALSE))+1)</f>
        <v/>
      </c>
      <c r="B550" s="219" t="str">
        <f ca="1">IF(ResultColumnLabels[[#This Row],[Data Value Number]]="","",INDEX(DataColumns[ColumnLabel],MATCH(ResultColumnLabels[[#This Row],[Data Value Number]],DataColumns[DVNum],0)))</f>
        <v/>
      </c>
    </row>
    <row r="551" spans="1:2" x14ac:dyDescent="0.25">
      <c r="A551" s="219" t="str">
        <f ca="1">IF(ROW()-1&gt;NumDataColumns,"",MAX(INDIRECT(CONCATENATE("R",ROW(ResultColumnLabels[#Headers]),"C",COLUMN(),":R",ROW()-1,"C",COLUMN()),FALSE))+1)</f>
        <v/>
      </c>
      <c r="B551" s="219" t="str">
        <f ca="1">IF(ResultColumnLabels[[#This Row],[Data Value Number]]="","",INDEX(DataColumns[ColumnLabel],MATCH(ResultColumnLabels[[#This Row],[Data Value Number]],DataColumns[DVNum],0)))</f>
        <v/>
      </c>
    </row>
    <row r="552" spans="1:2" x14ac:dyDescent="0.25">
      <c r="A552" s="219" t="str">
        <f ca="1">IF(ROW()-1&gt;NumDataColumns,"",MAX(INDIRECT(CONCATENATE("R",ROW(ResultColumnLabels[#Headers]),"C",COLUMN(),":R",ROW()-1,"C",COLUMN()),FALSE))+1)</f>
        <v/>
      </c>
      <c r="B552" s="219" t="str">
        <f ca="1">IF(ResultColumnLabels[[#This Row],[Data Value Number]]="","",INDEX(DataColumns[ColumnLabel],MATCH(ResultColumnLabels[[#This Row],[Data Value Number]],DataColumns[DVNum],0)))</f>
        <v/>
      </c>
    </row>
    <row r="553" spans="1:2" x14ac:dyDescent="0.25">
      <c r="A553" s="219" t="str">
        <f ca="1">IF(ROW()-1&gt;NumDataColumns,"",MAX(INDIRECT(CONCATENATE("R",ROW(ResultColumnLabels[#Headers]),"C",COLUMN(),":R",ROW()-1,"C",COLUMN()),FALSE))+1)</f>
        <v/>
      </c>
      <c r="B553" s="219" t="str">
        <f ca="1">IF(ResultColumnLabels[[#This Row],[Data Value Number]]="","",INDEX(DataColumns[ColumnLabel],MATCH(ResultColumnLabels[[#This Row],[Data Value Number]],DataColumns[DVNum],0)))</f>
        <v/>
      </c>
    </row>
    <row r="554" spans="1:2" x14ac:dyDescent="0.25">
      <c r="A554" s="219" t="str">
        <f ca="1">IF(ROW()-1&gt;NumDataColumns,"",MAX(INDIRECT(CONCATENATE("R",ROW(ResultColumnLabels[#Headers]),"C",COLUMN(),":R",ROW()-1,"C",COLUMN()),FALSE))+1)</f>
        <v/>
      </c>
      <c r="B554" s="219" t="str">
        <f ca="1">IF(ResultColumnLabels[[#This Row],[Data Value Number]]="","",INDEX(DataColumns[ColumnLabel],MATCH(ResultColumnLabels[[#This Row],[Data Value Number]],DataColumns[DVNum],0)))</f>
        <v/>
      </c>
    </row>
    <row r="555" spans="1:2" x14ac:dyDescent="0.25">
      <c r="A555" s="219" t="str">
        <f ca="1">IF(ROW()-1&gt;NumDataColumns,"",MAX(INDIRECT(CONCATENATE("R",ROW(ResultColumnLabels[#Headers]),"C",COLUMN(),":R",ROW()-1,"C",COLUMN()),FALSE))+1)</f>
        <v/>
      </c>
      <c r="B555" s="219" t="str">
        <f ca="1">IF(ResultColumnLabels[[#This Row],[Data Value Number]]="","",INDEX(DataColumns[ColumnLabel],MATCH(ResultColumnLabels[[#This Row],[Data Value Number]],DataColumns[DVNum],0)))</f>
        <v/>
      </c>
    </row>
    <row r="556" spans="1:2" x14ac:dyDescent="0.25">
      <c r="A556" s="219" t="str">
        <f ca="1">IF(ROW()-1&gt;NumDataColumns,"",MAX(INDIRECT(CONCATENATE("R",ROW(ResultColumnLabels[#Headers]),"C",COLUMN(),":R",ROW()-1,"C",COLUMN()),FALSE))+1)</f>
        <v/>
      </c>
      <c r="B556" s="219" t="str">
        <f ca="1">IF(ResultColumnLabels[[#This Row],[Data Value Number]]="","",INDEX(DataColumns[ColumnLabel],MATCH(ResultColumnLabels[[#This Row],[Data Value Number]],DataColumns[DVNum],0)))</f>
        <v/>
      </c>
    </row>
    <row r="557" spans="1:2" x14ac:dyDescent="0.25">
      <c r="A557" s="219" t="str">
        <f ca="1">IF(ROW()-1&gt;NumDataColumns,"",MAX(INDIRECT(CONCATENATE("R",ROW(ResultColumnLabels[#Headers]),"C",COLUMN(),":R",ROW()-1,"C",COLUMN()),FALSE))+1)</f>
        <v/>
      </c>
      <c r="B557" s="219" t="str">
        <f ca="1">IF(ResultColumnLabels[[#This Row],[Data Value Number]]="","",INDEX(DataColumns[ColumnLabel],MATCH(ResultColumnLabels[[#This Row],[Data Value Number]],DataColumns[DVNum],0)))</f>
        <v/>
      </c>
    </row>
    <row r="558" spans="1:2" x14ac:dyDescent="0.25">
      <c r="A558" s="219" t="str">
        <f ca="1">IF(ROW()-1&gt;NumDataColumns,"",MAX(INDIRECT(CONCATENATE("R",ROW(ResultColumnLabels[#Headers]),"C",COLUMN(),":R",ROW()-1,"C",COLUMN()),FALSE))+1)</f>
        <v/>
      </c>
      <c r="B558" s="219" t="str">
        <f ca="1">IF(ResultColumnLabels[[#This Row],[Data Value Number]]="","",INDEX(DataColumns[ColumnLabel],MATCH(ResultColumnLabels[[#This Row],[Data Value Number]],DataColumns[DVNum],0)))</f>
        <v/>
      </c>
    </row>
    <row r="559" spans="1:2" x14ac:dyDescent="0.25">
      <c r="A559" s="219" t="str">
        <f ca="1">IF(ROW()-1&gt;NumDataColumns,"",MAX(INDIRECT(CONCATENATE("R",ROW(ResultColumnLabels[#Headers]),"C",COLUMN(),":R",ROW()-1,"C",COLUMN()),FALSE))+1)</f>
        <v/>
      </c>
      <c r="B559" s="219" t="str">
        <f ca="1">IF(ResultColumnLabels[[#This Row],[Data Value Number]]="","",INDEX(DataColumns[ColumnLabel],MATCH(ResultColumnLabels[[#This Row],[Data Value Number]],DataColumns[DVNum],0)))</f>
        <v/>
      </c>
    </row>
    <row r="560" spans="1:2" x14ac:dyDescent="0.25">
      <c r="A560" s="219" t="str">
        <f ca="1">IF(ROW()-1&gt;NumDataColumns,"",MAX(INDIRECT(CONCATENATE("R",ROW(ResultColumnLabels[#Headers]),"C",COLUMN(),":R",ROW()-1,"C",COLUMN()),FALSE))+1)</f>
        <v/>
      </c>
      <c r="B560" s="219" t="str">
        <f ca="1">IF(ResultColumnLabels[[#This Row],[Data Value Number]]="","",INDEX(DataColumns[ColumnLabel],MATCH(ResultColumnLabels[[#This Row],[Data Value Number]],DataColumns[DVNum],0)))</f>
        <v/>
      </c>
    </row>
    <row r="561" spans="1:2" x14ac:dyDescent="0.25">
      <c r="A561" s="219" t="str">
        <f ca="1">IF(ROW()-1&gt;NumDataColumns,"",MAX(INDIRECT(CONCATENATE("R",ROW(ResultColumnLabels[#Headers]),"C",COLUMN(),":R",ROW()-1,"C",COLUMN()),FALSE))+1)</f>
        <v/>
      </c>
      <c r="B561" s="219" t="str">
        <f ca="1">IF(ResultColumnLabels[[#This Row],[Data Value Number]]="","",INDEX(DataColumns[ColumnLabel],MATCH(ResultColumnLabels[[#This Row],[Data Value Number]],DataColumns[DVNum],0)))</f>
        <v/>
      </c>
    </row>
    <row r="562" spans="1:2" x14ac:dyDescent="0.25">
      <c r="A562" s="219" t="str">
        <f ca="1">IF(ROW()-1&gt;NumDataColumns,"",MAX(INDIRECT(CONCATENATE("R",ROW(ResultColumnLabels[#Headers]),"C",COLUMN(),":R",ROW()-1,"C",COLUMN()),FALSE))+1)</f>
        <v/>
      </c>
      <c r="B562" s="219" t="str">
        <f ca="1">IF(ResultColumnLabels[[#This Row],[Data Value Number]]="","",INDEX(DataColumns[ColumnLabel],MATCH(ResultColumnLabels[[#This Row],[Data Value Number]],DataColumns[DVNum],0)))</f>
        <v/>
      </c>
    </row>
    <row r="563" spans="1:2" x14ac:dyDescent="0.25">
      <c r="A563" s="219" t="str">
        <f ca="1">IF(ROW()-1&gt;NumDataColumns,"",MAX(INDIRECT(CONCATENATE("R",ROW(ResultColumnLabels[#Headers]),"C",COLUMN(),":R",ROW()-1,"C",COLUMN()),FALSE))+1)</f>
        <v/>
      </c>
      <c r="B563" s="219" t="str">
        <f ca="1">IF(ResultColumnLabels[[#This Row],[Data Value Number]]="","",INDEX(DataColumns[ColumnLabel],MATCH(ResultColumnLabels[[#This Row],[Data Value Number]],DataColumns[DVNum],0)))</f>
        <v/>
      </c>
    </row>
    <row r="564" spans="1:2" x14ac:dyDescent="0.25">
      <c r="A564" s="219" t="str">
        <f ca="1">IF(ROW()-1&gt;NumDataColumns,"",MAX(INDIRECT(CONCATENATE("R",ROW(ResultColumnLabels[#Headers]),"C",COLUMN(),":R",ROW()-1,"C",COLUMN()),FALSE))+1)</f>
        <v/>
      </c>
      <c r="B564" s="219" t="str">
        <f ca="1">IF(ResultColumnLabels[[#This Row],[Data Value Number]]="","",INDEX(DataColumns[ColumnLabel],MATCH(ResultColumnLabels[[#This Row],[Data Value Number]],DataColumns[DVNum],0)))</f>
        <v/>
      </c>
    </row>
    <row r="565" spans="1:2" x14ac:dyDescent="0.25">
      <c r="A565" s="219" t="str">
        <f ca="1">IF(ROW()-1&gt;NumDataColumns,"",MAX(INDIRECT(CONCATENATE("R",ROW(ResultColumnLabels[#Headers]),"C",COLUMN(),":R",ROW()-1,"C",COLUMN()),FALSE))+1)</f>
        <v/>
      </c>
      <c r="B565" s="219" t="str">
        <f ca="1">IF(ResultColumnLabels[[#This Row],[Data Value Number]]="","",INDEX(DataColumns[ColumnLabel],MATCH(ResultColumnLabels[[#This Row],[Data Value Number]],DataColumns[DVNum],0)))</f>
        <v/>
      </c>
    </row>
    <row r="566" spans="1:2" x14ac:dyDescent="0.25">
      <c r="A566" s="219" t="str">
        <f ca="1">IF(ROW()-1&gt;NumDataColumns,"",MAX(INDIRECT(CONCATENATE("R",ROW(ResultColumnLabels[#Headers]),"C",COLUMN(),":R",ROW()-1,"C",COLUMN()),FALSE))+1)</f>
        <v/>
      </c>
      <c r="B566" s="219" t="str">
        <f ca="1">IF(ResultColumnLabels[[#This Row],[Data Value Number]]="","",INDEX(DataColumns[ColumnLabel],MATCH(ResultColumnLabels[[#This Row],[Data Value Number]],DataColumns[DVNum],0)))</f>
        <v/>
      </c>
    </row>
    <row r="567" spans="1:2" x14ac:dyDescent="0.25">
      <c r="A567" s="219" t="str">
        <f ca="1">IF(ROW()-1&gt;NumDataColumns,"",MAX(INDIRECT(CONCATENATE("R",ROW(ResultColumnLabels[#Headers]),"C",COLUMN(),":R",ROW()-1,"C",COLUMN()),FALSE))+1)</f>
        <v/>
      </c>
      <c r="B567" s="219" t="str">
        <f ca="1">IF(ResultColumnLabels[[#This Row],[Data Value Number]]="","",INDEX(DataColumns[ColumnLabel],MATCH(ResultColumnLabels[[#This Row],[Data Value Number]],DataColumns[DVNum],0)))</f>
        <v/>
      </c>
    </row>
    <row r="568" spans="1:2" x14ac:dyDescent="0.25">
      <c r="A568" s="219" t="str">
        <f ca="1">IF(ROW()-1&gt;NumDataColumns,"",MAX(INDIRECT(CONCATENATE("R",ROW(ResultColumnLabels[#Headers]),"C",COLUMN(),":R",ROW()-1,"C",COLUMN()),FALSE))+1)</f>
        <v/>
      </c>
      <c r="B568" s="219" t="str">
        <f ca="1">IF(ResultColumnLabels[[#This Row],[Data Value Number]]="","",INDEX(DataColumns[ColumnLabel],MATCH(ResultColumnLabels[[#This Row],[Data Value Number]],DataColumns[DVNum],0)))</f>
        <v/>
      </c>
    </row>
    <row r="569" spans="1:2" x14ac:dyDescent="0.25">
      <c r="A569" s="219" t="str">
        <f ca="1">IF(ROW()-1&gt;NumDataColumns,"",MAX(INDIRECT(CONCATENATE("R",ROW(ResultColumnLabels[#Headers]),"C",COLUMN(),":R",ROW()-1,"C",COLUMN()),FALSE))+1)</f>
        <v/>
      </c>
      <c r="B569" s="219" t="str">
        <f ca="1">IF(ResultColumnLabels[[#This Row],[Data Value Number]]="","",INDEX(DataColumns[ColumnLabel],MATCH(ResultColumnLabels[[#This Row],[Data Value Number]],DataColumns[DVNum],0)))</f>
        <v/>
      </c>
    </row>
    <row r="570" spans="1:2" x14ac:dyDescent="0.25">
      <c r="A570" s="219" t="str">
        <f ca="1">IF(ROW()-1&gt;NumDataColumns,"",MAX(INDIRECT(CONCATENATE("R",ROW(ResultColumnLabels[#Headers]),"C",COLUMN(),":R",ROW()-1,"C",COLUMN()),FALSE))+1)</f>
        <v/>
      </c>
      <c r="B570" s="219" t="str">
        <f ca="1">IF(ResultColumnLabels[[#This Row],[Data Value Number]]="","",INDEX(DataColumns[ColumnLabel],MATCH(ResultColumnLabels[[#This Row],[Data Value Number]],DataColumns[DVNum],0)))</f>
        <v/>
      </c>
    </row>
    <row r="571" spans="1:2" x14ac:dyDescent="0.25">
      <c r="A571" s="219" t="str">
        <f ca="1">IF(ROW()-1&gt;NumDataColumns,"",MAX(INDIRECT(CONCATENATE("R",ROW(ResultColumnLabels[#Headers]),"C",COLUMN(),":R",ROW()-1,"C",COLUMN()),FALSE))+1)</f>
        <v/>
      </c>
      <c r="B571" s="219" t="str">
        <f ca="1">IF(ResultColumnLabels[[#This Row],[Data Value Number]]="","",INDEX(DataColumns[ColumnLabel],MATCH(ResultColumnLabels[[#This Row],[Data Value Number]],DataColumns[DVNum],0)))</f>
        <v/>
      </c>
    </row>
    <row r="572" spans="1:2" x14ac:dyDescent="0.25">
      <c r="A572" s="219" t="str">
        <f ca="1">IF(ROW()-1&gt;NumDataColumns,"",MAX(INDIRECT(CONCATENATE("R",ROW(ResultColumnLabels[#Headers]),"C",COLUMN(),":R",ROW()-1,"C",COLUMN()),FALSE))+1)</f>
        <v/>
      </c>
      <c r="B572" s="219" t="str">
        <f ca="1">IF(ResultColumnLabels[[#This Row],[Data Value Number]]="","",INDEX(DataColumns[ColumnLabel],MATCH(ResultColumnLabels[[#This Row],[Data Value Number]],DataColumns[DVNum],0)))</f>
        <v/>
      </c>
    </row>
    <row r="573" spans="1:2" x14ac:dyDescent="0.25">
      <c r="A573" s="219" t="str">
        <f ca="1">IF(ROW()-1&gt;NumDataColumns,"",MAX(INDIRECT(CONCATENATE("R",ROW(ResultColumnLabels[#Headers]),"C",COLUMN(),":R",ROW()-1,"C",COLUMN()),FALSE))+1)</f>
        <v/>
      </c>
      <c r="B573" s="219" t="str">
        <f ca="1">IF(ResultColumnLabels[[#This Row],[Data Value Number]]="","",INDEX(DataColumns[ColumnLabel],MATCH(ResultColumnLabels[[#This Row],[Data Value Number]],DataColumns[DVNum],0)))</f>
        <v/>
      </c>
    </row>
    <row r="574" spans="1:2" x14ac:dyDescent="0.25">
      <c r="A574" s="219" t="str">
        <f ca="1">IF(ROW()-1&gt;NumDataColumns,"",MAX(INDIRECT(CONCATENATE("R",ROW(ResultColumnLabels[#Headers]),"C",COLUMN(),":R",ROW()-1,"C",COLUMN()),FALSE))+1)</f>
        <v/>
      </c>
      <c r="B574" s="219" t="str">
        <f ca="1">IF(ResultColumnLabels[[#This Row],[Data Value Number]]="","",INDEX(DataColumns[ColumnLabel],MATCH(ResultColumnLabels[[#This Row],[Data Value Number]],DataColumns[DVNum],0)))</f>
        <v/>
      </c>
    </row>
    <row r="575" spans="1:2" x14ac:dyDescent="0.25">
      <c r="A575" s="219" t="str">
        <f ca="1">IF(ROW()-1&gt;NumDataColumns,"",MAX(INDIRECT(CONCATENATE("R",ROW(ResultColumnLabels[#Headers]),"C",COLUMN(),":R",ROW()-1,"C",COLUMN()),FALSE))+1)</f>
        <v/>
      </c>
      <c r="B575" s="219" t="str">
        <f ca="1">IF(ResultColumnLabels[[#This Row],[Data Value Number]]="","",INDEX(DataColumns[ColumnLabel],MATCH(ResultColumnLabels[[#This Row],[Data Value Number]],DataColumns[DVNum],0)))</f>
        <v/>
      </c>
    </row>
    <row r="576" spans="1:2" x14ac:dyDescent="0.25">
      <c r="A576" s="219" t="str">
        <f ca="1">IF(ROW()-1&gt;NumDataColumns,"",MAX(INDIRECT(CONCATENATE("R",ROW(ResultColumnLabels[#Headers]),"C",COLUMN(),":R",ROW()-1,"C",COLUMN()),FALSE))+1)</f>
        <v/>
      </c>
      <c r="B576" s="219" t="str">
        <f ca="1">IF(ResultColumnLabels[[#This Row],[Data Value Number]]="","",INDEX(DataColumns[ColumnLabel],MATCH(ResultColumnLabels[[#This Row],[Data Value Number]],DataColumns[DVNum],0)))</f>
        <v/>
      </c>
    </row>
    <row r="577" spans="1:2" x14ac:dyDescent="0.25">
      <c r="A577" s="219" t="str">
        <f ca="1">IF(ROW()-1&gt;NumDataColumns,"",MAX(INDIRECT(CONCATENATE("R",ROW(ResultColumnLabels[#Headers]),"C",COLUMN(),":R",ROW()-1,"C",COLUMN()),FALSE))+1)</f>
        <v/>
      </c>
      <c r="B577" s="219" t="str">
        <f ca="1">IF(ResultColumnLabels[[#This Row],[Data Value Number]]="","",INDEX(DataColumns[ColumnLabel],MATCH(ResultColumnLabels[[#This Row],[Data Value Number]],DataColumns[DVNum],0)))</f>
        <v/>
      </c>
    </row>
    <row r="578" spans="1:2" x14ac:dyDescent="0.25">
      <c r="A578" s="219" t="str">
        <f ca="1">IF(ROW()-1&gt;NumDataColumns,"",MAX(INDIRECT(CONCATENATE("R",ROW(ResultColumnLabels[#Headers]),"C",COLUMN(),":R",ROW()-1,"C",COLUMN()),FALSE))+1)</f>
        <v/>
      </c>
      <c r="B578" s="219" t="str">
        <f ca="1">IF(ResultColumnLabels[[#This Row],[Data Value Number]]="","",INDEX(DataColumns[ColumnLabel],MATCH(ResultColumnLabels[[#This Row],[Data Value Number]],DataColumns[DVNum],0)))</f>
        <v/>
      </c>
    </row>
    <row r="579" spans="1:2" x14ac:dyDescent="0.25">
      <c r="A579" s="219" t="str">
        <f ca="1">IF(ROW()-1&gt;NumDataColumns,"",MAX(INDIRECT(CONCATENATE("R",ROW(ResultColumnLabels[#Headers]),"C",COLUMN(),":R",ROW()-1,"C",COLUMN()),FALSE))+1)</f>
        <v/>
      </c>
      <c r="B579" s="219" t="str">
        <f ca="1">IF(ResultColumnLabels[[#This Row],[Data Value Number]]="","",INDEX(DataColumns[ColumnLabel],MATCH(ResultColumnLabels[[#This Row],[Data Value Number]],DataColumns[DVNum],0)))</f>
        <v/>
      </c>
    </row>
    <row r="580" spans="1:2" x14ac:dyDescent="0.25">
      <c r="A580" s="219" t="str">
        <f ca="1">IF(ROW()-1&gt;NumDataColumns,"",MAX(INDIRECT(CONCATENATE("R",ROW(ResultColumnLabels[#Headers]),"C",COLUMN(),":R",ROW()-1,"C",COLUMN()),FALSE))+1)</f>
        <v/>
      </c>
      <c r="B580" s="219" t="str">
        <f ca="1">IF(ResultColumnLabels[[#This Row],[Data Value Number]]="","",INDEX(DataColumns[ColumnLabel],MATCH(ResultColumnLabels[[#This Row],[Data Value Number]],DataColumns[DVNum],0)))</f>
        <v/>
      </c>
    </row>
    <row r="581" spans="1:2" x14ac:dyDescent="0.25">
      <c r="A581" s="219" t="str">
        <f ca="1">IF(ROW()-1&gt;NumDataColumns,"",MAX(INDIRECT(CONCATENATE("R",ROW(ResultColumnLabels[#Headers]),"C",COLUMN(),":R",ROW()-1,"C",COLUMN()),FALSE))+1)</f>
        <v/>
      </c>
      <c r="B581" s="219" t="str">
        <f ca="1">IF(ResultColumnLabels[[#This Row],[Data Value Number]]="","",INDEX(DataColumns[ColumnLabel],MATCH(ResultColumnLabels[[#This Row],[Data Value Number]],DataColumns[DVNum],0)))</f>
        <v/>
      </c>
    </row>
    <row r="582" spans="1:2" x14ac:dyDescent="0.25">
      <c r="A582" s="219" t="str">
        <f ca="1">IF(ROW()-1&gt;NumDataColumns,"",MAX(INDIRECT(CONCATENATE("R",ROW(ResultColumnLabels[#Headers]),"C",COLUMN(),":R",ROW()-1,"C",COLUMN()),FALSE))+1)</f>
        <v/>
      </c>
      <c r="B582" s="219" t="str">
        <f ca="1">IF(ResultColumnLabels[[#This Row],[Data Value Number]]="","",INDEX(DataColumns[ColumnLabel],MATCH(ResultColumnLabels[[#This Row],[Data Value Number]],DataColumns[DVNum],0)))</f>
        <v/>
      </c>
    </row>
    <row r="583" spans="1:2" x14ac:dyDescent="0.25">
      <c r="A583" s="219" t="str">
        <f ca="1">IF(ROW()-1&gt;NumDataColumns,"",MAX(INDIRECT(CONCATENATE("R",ROW(ResultColumnLabels[#Headers]),"C",COLUMN(),":R",ROW()-1,"C",COLUMN()),FALSE))+1)</f>
        <v/>
      </c>
      <c r="B583" s="219" t="str">
        <f ca="1">IF(ResultColumnLabels[[#This Row],[Data Value Number]]="","",INDEX(DataColumns[ColumnLabel],MATCH(ResultColumnLabels[[#This Row],[Data Value Number]],DataColumns[DVNum],0)))</f>
        <v/>
      </c>
    </row>
    <row r="584" spans="1:2" x14ac:dyDescent="0.25">
      <c r="A584" s="219" t="str">
        <f ca="1">IF(ROW()-1&gt;NumDataColumns,"",MAX(INDIRECT(CONCATENATE("R",ROW(ResultColumnLabels[#Headers]),"C",COLUMN(),":R",ROW()-1,"C",COLUMN()),FALSE))+1)</f>
        <v/>
      </c>
      <c r="B584" s="219" t="str">
        <f ca="1">IF(ResultColumnLabels[[#This Row],[Data Value Number]]="","",INDEX(DataColumns[ColumnLabel],MATCH(ResultColumnLabels[[#This Row],[Data Value Number]],DataColumns[DVNum],0)))</f>
        <v/>
      </c>
    </row>
    <row r="585" spans="1:2" x14ac:dyDescent="0.25">
      <c r="A585" s="219" t="str">
        <f ca="1">IF(ROW()-1&gt;NumDataColumns,"",MAX(INDIRECT(CONCATENATE("R",ROW(ResultColumnLabels[#Headers]),"C",COLUMN(),":R",ROW()-1,"C",COLUMN()),FALSE))+1)</f>
        <v/>
      </c>
      <c r="B585" s="219" t="str">
        <f ca="1">IF(ResultColumnLabels[[#This Row],[Data Value Number]]="","",INDEX(DataColumns[ColumnLabel],MATCH(ResultColumnLabels[[#This Row],[Data Value Number]],DataColumns[DVNum],0)))</f>
        <v/>
      </c>
    </row>
    <row r="586" spans="1:2" x14ac:dyDescent="0.25">
      <c r="A586" s="219" t="str">
        <f ca="1">IF(ROW()-1&gt;NumDataColumns,"",MAX(INDIRECT(CONCATENATE("R",ROW(ResultColumnLabels[#Headers]),"C",COLUMN(),":R",ROW()-1,"C",COLUMN()),FALSE))+1)</f>
        <v/>
      </c>
      <c r="B586" s="219" t="str">
        <f ca="1">IF(ResultColumnLabels[[#This Row],[Data Value Number]]="","",INDEX(DataColumns[ColumnLabel],MATCH(ResultColumnLabels[[#This Row],[Data Value Number]],DataColumns[DVNum],0)))</f>
        <v/>
      </c>
    </row>
    <row r="587" spans="1:2" x14ac:dyDescent="0.25">
      <c r="A587" s="219" t="str">
        <f ca="1">IF(ROW()-1&gt;NumDataColumns,"",MAX(INDIRECT(CONCATENATE("R",ROW(ResultColumnLabels[#Headers]),"C",COLUMN(),":R",ROW()-1,"C",COLUMN()),FALSE))+1)</f>
        <v/>
      </c>
      <c r="B587" s="219" t="str">
        <f ca="1">IF(ResultColumnLabels[[#This Row],[Data Value Number]]="","",INDEX(DataColumns[ColumnLabel],MATCH(ResultColumnLabels[[#This Row],[Data Value Number]],DataColumns[DVNum],0)))</f>
        <v/>
      </c>
    </row>
    <row r="588" spans="1:2" x14ac:dyDescent="0.25">
      <c r="A588" s="219" t="str">
        <f ca="1">IF(ROW()-1&gt;NumDataColumns,"",MAX(INDIRECT(CONCATENATE("R",ROW(ResultColumnLabels[#Headers]),"C",COLUMN(),":R",ROW()-1,"C",COLUMN()),FALSE))+1)</f>
        <v/>
      </c>
      <c r="B588" s="219" t="str">
        <f ca="1">IF(ResultColumnLabels[[#This Row],[Data Value Number]]="","",INDEX(DataColumns[ColumnLabel],MATCH(ResultColumnLabels[[#This Row],[Data Value Number]],DataColumns[DVNum],0)))</f>
        <v/>
      </c>
    </row>
    <row r="589" spans="1:2" x14ac:dyDescent="0.25">
      <c r="A589" s="219" t="str">
        <f ca="1">IF(ROW()-1&gt;NumDataColumns,"",MAX(INDIRECT(CONCATENATE("R",ROW(ResultColumnLabels[#Headers]),"C",COLUMN(),":R",ROW()-1,"C",COLUMN()),FALSE))+1)</f>
        <v/>
      </c>
      <c r="B589" s="219" t="str">
        <f ca="1">IF(ResultColumnLabels[[#This Row],[Data Value Number]]="","",INDEX(DataColumns[ColumnLabel],MATCH(ResultColumnLabels[[#This Row],[Data Value Number]],DataColumns[DVNum],0)))</f>
        <v/>
      </c>
    </row>
    <row r="590" spans="1:2" x14ac:dyDescent="0.25">
      <c r="A590" s="219" t="str">
        <f ca="1">IF(ROW()-1&gt;NumDataColumns,"",MAX(INDIRECT(CONCATENATE("R",ROW(ResultColumnLabels[#Headers]),"C",COLUMN(),":R",ROW()-1,"C",COLUMN()),FALSE))+1)</f>
        <v/>
      </c>
      <c r="B590" s="219" t="str">
        <f ca="1">IF(ResultColumnLabels[[#This Row],[Data Value Number]]="","",INDEX(DataColumns[ColumnLabel],MATCH(ResultColumnLabels[[#This Row],[Data Value Number]],DataColumns[DVNum],0)))</f>
        <v/>
      </c>
    </row>
    <row r="591" spans="1:2" x14ac:dyDescent="0.25">
      <c r="A591" s="219" t="str">
        <f ca="1">IF(ROW()-1&gt;NumDataColumns,"",MAX(INDIRECT(CONCATENATE("R",ROW(ResultColumnLabels[#Headers]),"C",COLUMN(),":R",ROW()-1,"C",COLUMN()),FALSE))+1)</f>
        <v/>
      </c>
      <c r="B591" s="219" t="str">
        <f ca="1">IF(ResultColumnLabels[[#This Row],[Data Value Number]]="","",INDEX(DataColumns[ColumnLabel],MATCH(ResultColumnLabels[[#This Row],[Data Value Number]],DataColumns[DVNum],0)))</f>
        <v/>
      </c>
    </row>
    <row r="592" spans="1:2" x14ac:dyDescent="0.25">
      <c r="A592" s="219" t="str">
        <f ca="1">IF(ROW()-1&gt;NumDataColumns,"",MAX(INDIRECT(CONCATENATE("R",ROW(ResultColumnLabels[#Headers]),"C",COLUMN(),":R",ROW()-1,"C",COLUMN()),FALSE))+1)</f>
        <v/>
      </c>
      <c r="B592" s="219" t="str">
        <f ca="1">IF(ResultColumnLabels[[#This Row],[Data Value Number]]="","",INDEX(DataColumns[ColumnLabel],MATCH(ResultColumnLabels[[#This Row],[Data Value Number]],DataColumns[DVNum],0)))</f>
        <v/>
      </c>
    </row>
    <row r="593" spans="1:2" x14ac:dyDescent="0.25">
      <c r="A593" s="219" t="str">
        <f ca="1">IF(ROW()-1&gt;NumDataColumns,"",MAX(INDIRECT(CONCATENATE("R",ROW(ResultColumnLabels[#Headers]),"C",COLUMN(),":R",ROW()-1,"C",COLUMN()),FALSE))+1)</f>
        <v/>
      </c>
      <c r="B593" s="219" t="str">
        <f ca="1">IF(ResultColumnLabels[[#This Row],[Data Value Number]]="","",INDEX(DataColumns[ColumnLabel],MATCH(ResultColumnLabels[[#This Row],[Data Value Number]],DataColumns[DVNum],0)))</f>
        <v/>
      </c>
    </row>
    <row r="594" spans="1:2" x14ac:dyDescent="0.25">
      <c r="A594" s="219" t="str">
        <f ca="1">IF(ROW()-1&gt;NumDataColumns,"",MAX(INDIRECT(CONCATENATE("R",ROW(ResultColumnLabels[#Headers]),"C",COLUMN(),":R",ROW()-1,"C",COLUMN()),FALSE))+1)</f>
        <v/>
      </c>
      <c r="B594" s="219" t="str">
        <f ca="1">IF(ResultColumnLabels[[#This Row],[Data Value Number]]="","",INDEX(DataColumns[ColumnLabel],MATCH(ResultColumnLabels[[#This Row],[Data Value Number]],DataColumns[DVNum],0)))</f>
        <v/>
      </c>
    </row>
    <row r="595" spans="1:2" x14ac:dyDescent="0.25">
      <c r="A595" s="219" t="str">
        <f ca="1">IF(ROW()-1&gt;NumDataColumns,"",MAX(INDIRECT(CONCATENATE("R",ROW(ResultColumnLabels[#Headers]),"C",COLUMN(),":R",ROW()-1,"C",COLUMN()),FALSE))+1)</f>
        <v/>
      </c>
      <c r="B595" s="219" t="str">
        <f ca="1">IF(ResultColumnLabels[[#This Row],[Data Value Number]]="","",INDEX(DataColumns[ColumnLabel],MATCH(ResultColumnLabels[[#This Row],[Data Value Number]],DataColumns[DVNum],0)))</f>
        <v/>
      </c>
    </row>
    <row r="596" spans="1:2" x14ac:dyDescent="0.25">
      <c r="A596" s="219" t="str">
        <f ca="1">IF(ROW()-1&gt;NumDataColumns,"",MAX(INDIRECT(CONCATENATE("R",ROW(ResultColumnLabels[#Headers]),"C",COLUMN(),":R",ROW()-1,"C",COLUMN()),FALSE))+1)</f>
        <v/>
      </c>
      <c r="B596" s="219" t="str">
        <f ca="1">IF(ResultColumnLabels[[#This Row],[Data Value Number]]="","",INDEX(DataColumns[ColumnLabel],MATCH(ResultColumnLabels[[#This Row],[Data Value Number]],DataColumns[DVNum],0)))</f>
        <v/>
      </c>
    </row>
    <row r="597" spans="1:2" x14ac:dyDescent="0.25">
      <c r="A597" s="219" t="str">
        <f ca="1">IF(ROW()-1&gt;NumDataColumns,"",MAX(INDIRECT(CONCATENATE("R",ROW(ResultColumnLabels[#Headers]),"C",COLUMN(),":R",ROW()-1,"C",COLUMN()),FALSE))+1)</f>
        <v/>
      </c>
      <c r="B597" s="219" t="str">
        <f ca="1">IF(ResultColumnLabels[[#This Row],[Data Value Number]]="","",INDEX(DataColumns[ColumnLabel],MATCH(ResultColumnLabels[[#This Row],[Data Value Number]],DataColumns[DVNum],0)))</f>
        <v/>
      </c>
    </row>
    <row r="598" spans="1:2" x14ac:dyDescent="0.25">
      <c r="A598" s="219" t="str">
        <f ca="1">IF(ROW()-1&gt;NumDataColumns,"",MAX(INDIRECT(CONCATENATE("R",ROW(ResultColumnLabels[#Headers]),"C",COLUMN(),":R",ROW()-1,"C",COLUMN()),FALSE))+1)</f>
        <v/>
      </c>
      <c r="B598" s="219" t="str">
        <f ca="1">IF(ResultColumnLabels[[#This Row],[Data Value Number]]="","",INDEX(DataColumns[ColumnLabel],MATCH(ResultColumnLabels[[#This Row],[Data Value Number]],DataColumns[DVNum],0)))</f>
        <v/>
      </c>
    </row>
    <row r="599" spans="1:2" x14ac:dyDescent="0.25">
      <c r="A599" s="219" t="str">
        <f ca="1">IF(ROW()-1&gt;NumDataColumns,"",MAX(INDIRECT(CONCATENATE("R",ROW(ResultColumnLabels[#Headers]),"C",COLUMN(),":R",ROW()-1,"C",COLUMN()),FALSE))+1)</f>
        <v/>
      </c>
      <c r="B599" s="219" t="str">
        <f ca="1">IF(ResultColumnLabels[[#This Row],[Data Value Number]]="","",INDEX(DataColumns[ColumnLabel],MATCH(ResultColumnLabels[[#This Row],[Data Value Number]],DataColumns[DVNum],0)))</f>
        <v/>
      </c>
    </row>
    <row r="600" spans="1:2" x14ac:dyDescent="0.25">
      <c r="A600" s="219" t="str">
        <f ca="1">IF(ROW()-1&gt;NumDataColumns,"",MAX(INDIRECT(CONCATENATE("R",ROW(ResultColumnLabels[#Headers]),"C",COLUMN(),":R",ROW()-1,"C",COLUMN()),FALSE))+1)</f>
        <v/>
      </c>
      <c r="B600" s="219" t="str">
        <f ca="1">IF(ResultColumnLabels[[#This Row],[Data Value Number]]="","",INDEX(DataColumns[ColumnLabel],MATCH(ResultColumnLabels[[#This Row],[Data Value Number]],DataColumns[DVNum],0)))</f>
        <v/>
      </c>
    </row>
    <row r="601" spans="1:2" x14ac:dyDescent="0.25">
      <c r="A601" s="219" t="str">
        <f ca="1">IF(ROW()-1&gt;NumDataColumns,"",MAX(INDIRECT(CONCATENATE("R",ROW(ResultColumnLabels[#Headers]),"C",COLUMN(),":R",ROW()-1,"C",COLUMN()),FALSE))+1)</f>
        <v/>
      </c>
      <c r="B601" s="219" t="str">
        <f ca="1">IF(ResultColumnLabels[[#This Row],[Data Value Number]]="","",INDEX(DataColumns[ColumnLabel],MATCH(ResultColumnLabels[[#This Row],[Data Value Number]],DataColumns[DVNum],0)))</f>
        <v/>
      </c>
    </row>
    <row r="602" spans="1:2" x14ac:dyDescent="0.25">
      <c r="A602" s="219" t="str">
        <f ca="1">IF(ROW()-1&gt;NumDataColumns,"",MAX(INDIRECT(CONCATENATE("R",ROW(ResultColumnLabels[#Headers]),"C",COLUMN(),":R",ROW()-1,"C",COLUMN()),FALSE))+1)</f>
        <v/>
      </c>
      <c r="B602" s="219" t="str">
        <f ca="1">IF(ResultColumnLabels[[#This Row],[Data Value Number]]="","",INDEX(DataColumns[ColumnLabel],MATCH(ResultColumnLabels[[#This Row],[Data Value Number]],DataColumns[DVNum],0)))</f>
        <v/>
      </c>
    </row>
    <row r="603" spans="1:2" x14ac:dyDescent="0.25">
      <c r="A603" s="219" t="str">
        <f ca="1">IF(ROW()-1&gt;NumDataColumns,"",MAX(INDIRECT(CONCATENATE("R",ROW(ResultColumnLabels[#Headers]),"C",COLUMN(),":R",ROW()-1,"C",COLUMN()),FALSE))+1)</f>
        <v/>
      </c>
      <c r="B603" s="219" t="str">
        <f ca="1">IF(ResultColumnLabels[[#This Row],[Data Value Number]]="","",INDEX(DataColumns[ColumnLabel],MATCH(ResultColumnLabels[[#This Row],[Data Value Number]],DataColumns[DVNum],0)))</f>
        <v/>
      </c>
    </row>
    <row r="604" spans="1:2" x14ac:dyDescent="0.25">
      <c r="A604" s="219" t="str">
        <f ca="1">IF(ROW()-1&gt;NumDataColumns,"",MAX(INDIRECT(CONCATENATE("R",ROW(ResultColumnLabels[#Headers]),"C",COLUMN(),":R",ROW()-1,"C",COLUMN()),FALSE))+1)</f>
        <v/>
      </c>
      <c r="B604" s="219" t="str">
        <f ca="1">IF(ResultColumnLabels[[#This Row],[Data Value Number]]="","",INDEX(DataColumns[ColumnLabel],MATCH(ResultColumnLabels[[#This Row],[Data Value Number]],DataColumns[DVNum],0)))</f>
        <v/>
      </c>
    </row>
    <row r="605" spans="1:2" x14ac:dyDescent="0.25">
      <c r="A605" s="219" t="str">
        <f ca="1">IF(ROW()-1&gt;NumDataColumns,"",MAX(INDIRECT(CONCATENATE("R",ROW(ResultColumnLabels[#Headers]),"C",COLUMN(),":R",ROW()-1,"C",COLUMN()),FALSE))+1)</f>
        <v/>
      </c>
      <c r="B605" s="219" t="str">
        <f ca="1">IF(ResultColumnLabels[[#This Row],[Data Value Number]]="","",INDEX(DataColumns[ColumnLabel],MATCH(ResultColumnLabels[[#This Row],[Data Value Number]],DataColumns[DVNum],0)))</f>
        <v/>
      </c>
    </row>
    <row r="606" spans="1:2" x14ac:dyDescent="0.25">
      <c r="A606" s="219" t="str">
        <f ca="1">IF(ROW()-1&gt;NumDataColumns,"",MAX(INDIRECT(CONCATENATE("R",ROW(ResultColumnLabels[#Headers]),"C",COLUMN(),":R",ROW()-1,"C",COLUMN()),FALSE))+1)</f>
        <v/>
      </c>
      <c r="B606" s="219" t="str">
        <f ca="1">IF(ResultColumnLabels[[#This Row],[Data Value Number]]="","",INDEX(DataColumns[ColumnLabel],MATCH(ResultColumnLabels[[#This Row],[Data Value Number]],DataColumns[DVNum],0)))</f>
        <v/>
      </c>
    </row>
    <row r="607" spans="1:2" x14ac:dyDescent="0.25">
      <c r="A607" s="219" t="str">
        <f ca="1">IF(ROW()-1&gt;NumDataColumns,"",MAX(INDIRECT(CONCATENATE("R",ROW(ResultColumnLabels[#Headers]),"C",COLUMN(),":R",ROW()-1,"C",COLUMN()),FALSE))+1)</f>
        <v/>
      </c>
      <c r="B607" s="219" t="str">
        <f ca="1">IF(ResultColumnLabels[[#This Row],[Data Value Number]]="","",INDEX(DataColumns[ColumnLabel],MATCH(ResultColumnLabels[[#This Row],[Data Value Number]],DataColumns[DVNum],0)))</f>
        <v/>
      </c>
    </row>
    <row r="608" spans="1:2" x14ac:dyDescent="0.25">
      <c r="A608" s="219" t="str">
        <f ca="1">IF(ROW()-1&gt;NumDataColumns,"",MAX(INDIRECT(CONCATENATE("R",ROW(ResultColumnLabels[#Headers]),"C",COLUMN(),":R",ROW()-1,"C",COLUMN()),FALSE))+1)</f>
        <v/>
      </c>
      <c r="B608" s="219" t="str">
        <f ca="1">IF(ResultColumnLabels[[#This Row],[Data Value Number]]="","",INDEX(DataColumns[ColumnLabel],MATCH(ResultColumnLabels[[#This Row],[Data Value Number]],DataColumns[DVNum],0)))</f>
        <v/>
      </c>
    </row>
    <row r="609" spans="1:2" x14ac:dyDescent="0.25">
      <c r="A609" s="219" t="str">
        <f ca="1">IF(ROW()-1&gt;NumDataColumns,"",MAX(INDIRECT(CONCATENATE("R",ROW(ResultColumnLabels[#Headers]),"C",COLUMN(),":R",ROW()-1,"C",COLUMN()),FALSE))+1)</f>
        <v/>
      </c>
      <c r="B609" s="219" t="str">
        <f ca="1">IF(ResultColumnLabels[[#This Row],[Data Value Number]]="","",INDEX(DataColumns[ColumnLabel],MATCH(ResultColumnLabels[[#This Row],[Data Value Number]],DataColumns[DVNum],0)))</f>
        <v/>
      </c>
    </row>
    <row r="610" spans="1:2" x14ac:dyDescent="0.25">
      <c r="A610" s="219" t="str">
        <f ca="1">IF(ROW()-1&gt;NumDataColumns,"",MAX(INDIRECT(CONCATENATE("R",ROW(ResultColumnLabels[#Headers]),"C",COLUMN(),":R",ROW()-1,"C",COLUMN()),FALSE))+1)</f>
        <v/>
      </c>
      <c r="B610" s="219" t="str">
        <f ca="1">IF(ResultColumnLabels[[#This Row],[Data Value Number]]="","",INDEX(DataColumns[ColumnLabel],MATCH(ResultColumnLabels[[#This Row],[Data Value Number]],DataColumns[DVNum],0)))</f>
        <v/>
      </c>
    </row>
    <row r="611" spans="1:2" x14ac:dyDescent="0.25">
      <c r="A611" s="219" t="str">
        <f ca="1">IF(ROW()-1&gt;NumDataColumns,"",MAX(INDIRECT(CONCATENATE("R",ROW(ResultColumnLabels[#Headers]),"C",COLUMN(),":R",ROW()-1,"C",COLUMN()),FALSE))+1)</f>
        <v/>
      </c>
      <c r="B611" s="219" t="str">
        <f ca="1">IF(ResultColumnLabels[[#This Row],[Data Value Number]]="","",INDEX(DataColumns[ColumnLabel],MATCH(ResultColumnLabels[[#This Row],[Data Value Number]],DataColumns[DVNum],0)))</f>
        <v/>
      </c>
    </row>
    <row r="612" spans="1:2" x14ac:dyDescent="0.25">
      <c r="A612" s="219" t="str">
        <f ca="1">IF(ROW()-1&gt;NumDataColumns,"",MAX(INDIRECT(CONCATENATE("R",ROW(ResultColumnLabels[#Headers]),"C",COLUMN(),":R",ROW()-1,"C",COLUMN()),FALSE))+1)</f>
        <v/>
      </c>
      <c r="B612" s="219" t="str">
        <f ca="1">IF(ResultColumnLabels[[#This Row],[Data Value Number]]="","",INDEX(DataColumns[ColumnLabel],MATCH(ResultColumnLabels[[#This Row],[Data Value Number]],DataColumns[DVNum],0)))</f>
        <v/>
      </c>
    </row>
    <row r="613" spans="1:2" x14ac:dyDescent="0.25">
      <c r="A613" s="219" t="str">
        <f ca="1">IF(ROW()-1&gt;NumDataColumns,"",MAX(INDIRECT(CONCATENATE("R",ROW(ResultColumnLabels[#Headers]),"C",COLUMN(),":R",ROW()-1,"C",COLUMN()),FALSE))+1)</f>
        <v/>
      </c>
      <c r="B613" s="219" t="str">
        <f ca="1">IF(ResultColumnLabels[[#This Row],[Data Value Number]]="","",INDEX(DataColumns[ColumnLabel],MATCH(ResultColumnLabels[[#This Row],[Data Value Number]],DataColumns[DVNum],0)))</f>
        <v/>
      </c>
    </row>
    <row r="614" spans="1:2" x14ac:dyDescent="0.25">
      <c r="A614" s="219" t="str">
        <f ca="1">IF(ROW()-1&gt;NumDataColumns,"",MAX(INDIRECT(CONCATENATE("R",ROW(ResultColumnLabels[#Headers]),"C",COLUMN(),":R",ROW()-1,"C",COLUMN()),FALSE))+1)</f>
        <v/>
      </c>
      <c r="B614" s="219" t="str">
        <f ca="1">IF(ResultColumnLabels[[#This Row],[Data Value Number]]="","",INDEX(DataColumns[ColumnLabel],MATCH(ResultColumnLabels[[#This Row],[Data Value Number]],DataColumns[DVNum],0)))</f>
        <v/>
      </c>
    </row>
    <row r="615" spans="1:2" x14ac:dyDescent="0.25">
      <c r="A615" s="219" t="str">
        <f ca="1">IF(ROW()-1&gt;NumDataColumns,"",MAX(INDIRECT(CONCATENATE("R",ROW(ResultColumnLabels[#Headers]),"C",COLUMN(),":R",ROW()-1,"C",COLUMN()),FALSE))+1)</f>
        <v/>
      </c>
      <c r="B615" s="219" t="str">
        <f ca="1">IF(ResultColumnLabels[[#This Row],[Data Value Number]]="","",INDEX(DataColumns[ColumnLabel],MATCH(ResultColumnLabels[[#This Row],[Data Value Number]],DataColumns[DVNum],0)))</f>
        <v/>
      </c>
    </row>
    <row r="616" spans="1:2" x14ac:dyDescent="0.25">
      <c r="A616" s="219" t="str">
        <f ca="1">IF(ROW()-1&gt;NumDataColumns,"",MAX(INDIRECT(CONCATENATE("R",ROW(ResultColumnLabels[#Headers]),"C",COLUMN(),":R",ROW()-1,"C",COLUMN()),FALSE))+1)</f>
        <v/>
      </c>
      <c r="B616" s="219" t="str">
        <f ca="1">IF(ResultColumnLabels[[#This Row],[Data Value Number]]="","",INDEX(DataColumns[ColumnLabel],MATCH(ResultColumnLabels[[#This Row],[Data Value Number]],DataColumns[DVNum],0)))</f>
        <v/>
      </c>
    </row>
    <row r="617" spans="1:2" x14ac:dyDescent="0.25">
      <c r="A617" s="219" t="str">
        <f ca="1">IF(ROW()-1&gt;NumDataColumns,"",MAX(INDIRECT(CONCATENATE("R",ROW(ResultColumnLabels[#Headers]),"C",COLUMN(),":R",ROW()-1,"C",COLUMN()),FALSE))+1)</f>
        <v/>
      </c>
      <c r="B617" s="219" t="str">
        <f ca="1">IF(ResultColumnLabels[[#This Row],[Data Value Number]]="","",INDEX(DataColumns[ColumnLabel],MATCH(ResultColumnLabels[[#This Row],[Data Value Number]],DataColumns[DVNum],0)))</f>
        <v/>
      </c>
    </row>
    <row r="618" spans="1:2" x14ac:dyDescent="0.25">
      <c r="A618" s="219" t="str">
        <f ca="1">IF(ROW()-1&gt;NumDataColumns,"",MAX(INDIRECT(CONCATENATE("R",ROW(ResultColumnLabels[#Headers]),"C",COLUMN(),":R",ROW()-1,"C",COLUMN()),FALSE))+1)</f>
        <v/>
      </c>
      <c r="B618" s="219" t="str">
        <f ca="1">IF(ResultColumnLabels[[#This Row],[Data Value Number]]="","",INDEX(DataColumns[ColumnLabel],MATCH(ResultColumnLabels[[#This Row],[Data Value Number]],DataColumns[DVNum],0)))</f>
        <v/>
      </c>
    </row>
    <row r="619" spans="1:2" x14ac:dyDescent="0.25">
      <c r="A619" s="219" t="str">
        <f ca="1">IF(ROW()-1&gt;NumDataColumns,"",MAX(INDIRECT(CONCATENATE("R",ROW(ResultColumnLabels[#Headers]),"C",COLUMN(),":R",ROW()-1,"C",COLUMN()),FALSE))+1)</f>
        <v/>
      </c>
      <c r="B619" s="219" t="str">
        <f ca="1">IF(ResultColumnLabels[[#This Row],[Data Value Number]]="","",INDEX(DataColumns[ColumnLabel],MATCH(ResultColumnLabels[[#This Row],[Data Value Number]],DataColumns[DVNum],0)))</f>
        <v/>
      </c>
    </row>
    <row r="620" spans="1:2" x14ac:dyDescent="0.25">
      <c r="A620" s="219" t="str">
        <f ca="1">IF(ROW()-1&gt;NumDataColumns,"",MAX(INDIRECT(CONCATENATE("R",ROW(ResultColumnLabels[#Headers]),"C",COLUMN(),":R",ROW()-1,"C",COLUMN()),FALSE))+1)</f>
        <v/>
      </c>
      <c r="B620" s="219" t="str">
        <f ca="1">IF(ResultColumnLabels[[#This Row],[Data Value Number]]="","",INDEX(DataColumns[ColumnLabel],MATCH(ResultColumnLabels[[#This Row],[Data Value Number]],DataColumns[DVNum],0)))</f>
        <v/>
      </c>
    </row>
    <row r="621" spans="1:2" x14ac:dyDescent="0.25">
      <c r="A621" s="219" t="str">
        <f ca="1">IF(ROW()-1&gt;NumDataColumns,"",MAX(INDIRECT(CONCATENATE("R",ROW(ResultColumnLabels[#Headers]),"C",COLUMN(),":R",ROW()-1,"C",COLUMN()),FALSE))+1)</f>
        <v/>
      </c>
      <c r="B621" s="219" t="str">
        <f ca="1">IF(ResultColumnLabels[[#This Row],[Data Value Number]]="","",INDEX(DataColumns[ColumnLabel],MATCH(ResultColumnLabels[[#This Row],[Data Value Number]],DataColumns[DVNum],0)))</f>
        <v/>
      </c>
    </row>
    <row r="622" spans="1:2" x14ac:dyDescent="0.25">
      <c r="A622" s="219" t="str">
        <f ca="1">IF(ROW()-1&gt;NumDataColumns,"",MAX(INDIRECT(CONCATENATE("R",ROW(ResultColumnLabels[#Headers]),"C",COLUMN(),":R",ROW()-1,"C",COLUMN()),FALSE))+1)</f>
        <v/>
      </c>
      <c r="B622" s="219" t="str">
        <f ca="1">IF(ResultColumnLabels[[#This Row],[Data Value Number]]="","",INDEX(DataColumns[ColumnLabel],MATCH(ResultColumnLabels[[#This Row],[Data Value Number]],DataColumns[DVNum],0)))</f>
        <v/>
      </c>
    </row>
    <row r="623" spans="1:2" x14ac:dyDescent="0.25">
      <c r="A623" s="219" t="str">
        <f ca="1">IF(ROW()-1&gt;NumDataColumns,"",MAX(INDIRECT(CONCATENATE("R",ROW(ResultColumnLabels[#Headers]),"C",COLUMN(),":R",ROW()-1,"C",COLUMN()),FALSE))+1)</f>
        <v/>
      </c>
      <c r="B623" s="219" t="str">
        <f ca="1">IF(ResultColumnLabels[[#This Row],[Data Value Number]]="","",INDEX(DataColumns[ColumnLabel],MATCH(ResultColumnLabels[[#This Row],[Data Value Number]],DataColumns[DVNum],0)))</f>
        <v/>
      </c>
    </row>
    <row r="624" spans="1:2" x14ac:dyDescent="0.25">
      <c r="A624" s="219" t="str">
        <f ca="1">IF(ROW()-1&gt;NumDataColumns,"",MAX(INDIRECT(CONCATENATE("R",ROW(ResultColumnLabels[#Headers]),"C",COLUMN(),":R",ROW()-1,"C",COLUMN()),FALSE))+1)</f>
        <v/>
      </c>
      <c r="B624" s="219" t="str">
        <f ca="1">IF(ResultColumnLabels[[#This Row],[Data Value Number]]="","",INDEX(DataColumns[ColumnLabel],MATCH(ResultColumnLabels[[#This Row],[Data Value Number]],DataColumns[DVNum],0)))</f>
        <v/>
      </c>
    </row>
    <row r="625" spans="1:2" x14ac:dyDescent="0.25">
      <c r="A625" s="219" t="str">
        <f ca="1">IF(ROW()-1&gt;NumDataColumns,"",MAX(INDIRECT(CONCATENATE("R",ROW(ResultColumnLabels[#Headers]),"C",COLUMN(),":R",ROW()-1,"C",COLUMN()),FALSE))+1)</f>
        <v/>
      </c>
      <c r="B625" s="219" t="str">
        <f ca="1">IF(ResultColumnLabels[[#This Row],[Data Value Number]]="","",INDEX(DataColumns[ColumnLabel],MATCH(ResultColumnLabels[[#This Row],[Data Value Number]],DataColumns[DVNum],0)))</f>
        <v/>
      </c>
    </row>
    <row r="626" spans="1:2" x14ac:dyDescent="0.25">
      <c r="A626" s="219" t="str">
        <f ca="1">IF(ROW()-1&gt;NumDataColumns,"",MAX(INDIRECT(CONCATENATE("R",ROW(ResultColumnLabels[#Headers]),"C",COLUMN(),":R",ROW()-1,"C",COLUMN()),FALSE))+1)</f>
        <v/>
      </c>
      <c r="B626" s="219" t="str">
        <f ca="1">IF(ResultColumnLabels[[#This Row],[Data Value Number]]="","",INDEX(DataColumns[ColumnLabel],MATCH(ResultColumnLabels[[#This Row],[Data Value Number]],DataColumns[DVNum],0)))</f>
        <v/>
      </c>
    </row>
    <row r="627" spans="1:2" x14ac:dyDescent="0.25">
      <c r="A627" s="219" t="str">
        <f ca="1">IF(ROW()-1&gt;NumDataColumns,"",MAX(INDIRECT(CONCATENATE("R",ROW(ResultColumnLabels[#Headers]),"C",COLUMN(),":R",ROW()-1,"C",COLUMN()),FALSE))+1)</f>
        <v/>
      </c>
      <c r="B627" s="219" t="str">
        <f ca="1">IF(ResultColumnLabels[[#This Row],[Data Value Number]]="","",INDEX(DataColumns[ColumnLabel],MATCH(ResultColumnLabels[[#This Row],[Data Value Number]],DataColumns[DVNum],0)))</f>
        <v/>
      </c>
    </row>
    <row r="628" spans="1:2" x14ac:dyDescent="0.25">
      <c r="A628" s="219" t="str">
        <f ca="1">IF(ROW()-1&gt;NumDataColumns,"",MAX(INDIRECT(CONCATENATE("R",ROW(ResultColumnLabels[#Headers]),"C",COLUMN(),":R",ROW()-1,"C",COLUMN()),FALSE))+1)</f>
        <v/>
      </c>
      <c r="B628" s="219" t="str">
        <f ca="1">IF(ResultColumnLabels[[#This Row],[Data Value Number]]="","",INDEX(DataColumns[ColumnLabel],MATCH(ResultColumnLabels[[#This Row],[Data Value Number]],DataColumns[DVNum],0)))</f>
        <v/>
      </c>
    </row>
    <row r="629" spans="1:2" x14ac:dyDescent="0.25">
      <c r="A629" s="219" t="str">
        <f ca="1">IF(ROW()-1&gt;NumDataColumns,"",MAX(INDIRECT(CONCATENATE("R",ROW(ResultColumnLabels[#Headers]),"C",COLUMN(),":R",ROW()-1,"C",COLUMN()),FALSE))+1)</f>
        <v/>
      </c>
      <c r="B629" s="219" t="str">
        <f ca="1">IF(ResultColumnLabels[[#This Row],[Data Value Number]]="","",INDEX(DataColumns[ColumnLabel],MATCH(ResultColumnLabels[[#This Row],[Data Value Number]],DataColumns[DVNum],0)))</f>
        <v/>
      </c>
    </row>
    <row r="630" spans="1:2" x14ac:dyDescent="0.25">
      <c r="A630" s="219" t="str">
        <f ca="1">IF(ROW()-1&gt;NumDataColumns,"",MAX(INDIRECT(CONCATENATE("R",ROW(ResultColumnLabels[#Headers]),"C",COLUMN(),":R",ROW()-1,"C",COLUMN()),FALSE))+1)</f>
        <v/>
      </c>
      <c r="B630" s="219" t="str">
        <f ca="1">IF(ResultColumnLabels[[#This Row],[Data Value Number]]="","",INDEX(DataColumns[ColumnLabel],MATCH(ResultColumnLabels[[#This Row],[Data Value Number]],DataColumns[DVNum],0)))</f>
        <v/>
      </c>
    </row>
    <row r="631" spans="1:2" x14ac:dyDescent="0.25">
      <c r="A631" s="219" t="str">
        <f ca="1">IF(ROW()-1&gt;NumDataColumns,"",MAX(INDIRECT(CONCATENATE("R",ROW(ResultColumnLabels[#Headers]),"C",COLUMN(),":R",ROW()-1,"C",COLUMN()),FALSE))+1)</f>
        <v/>
      </c>
      <c r="B631" s="219" t="str">
        <f ca="1">IF(ResultColumnLabels[[#This Row],[Data Value Number]]="","",INDEX(DataColumns[ColumnLabel],MATCH(ResultColumnLabels[[#This Row],[Data Value Number]],DataColumns[DVNum],0)))</f>
        <v/>
      </c>
    </row>
    <row r="632" spans="1:2" x14ac:dyDescent="0.25">
      <c r="A632" s="219" t="str">
        <f ca="1">IF(ROW()-1&gt;NumDataColumns,"",MAX(INDIRECT(CONCATENATE("R",ROW(ResultColumnLabels[#Headers]),"C",COLUMN(),":R",ROW()-1,"C",COLUMN()),FALSE))+1)</f>
        <v/>
      </c>
      <c r="B632" s="219" t="str">
        <f ca="1">IF(ResultColumnLabels[[#This Row],[Data Value Number]]="","",INDEX(DataColumns[ColumnLabel],MATCH(ResultColumnLabels[[#This Row],[Data Value Number]],DataColumns[DVNum],0)))</f>
        <v/>
      </c>
    </row>
    <row r="633" spans="1:2" x14ac:dyDescent="0.25">
      <c r="A633" s="219" t="str">
        <f ca="1">IF(ROW()-1&gt;NumDataColumns,"",MAX(INDIRECT(CONCATENATE("R",ROW(ResultColumnLabels[#Headers]),"C",COLUMN(),":R",ROW()-1,"C",COLUMN()),FALSE))+1)</f>
        <v/>
      </c>
      <c r="B633" s="219" t="str">
        <f ca="1">IF(ResultColumnLabels[[#This Row],[Data Value Number]]="","",INDEX(DataColumns[ColumnLabel],MATCH(ResultColumnLabels[[#This Row],[Data Value Number]],DataColumns[DVNum],0)))</f>
        <v/>
      </c>
    </row>
    <row r="634" spans="1:2" x14ac:dyDescent="0.25">
      <c r="A634" s="219" t="str">
        <f ca="1">IF(ROW()-1&gt;NumDataColumns,"",MAX(INDIRECT(CONCATENATE("R",ROW(ResultColumnLabels[#Headers]),"C",COLUMN(),":R",ROW()-1,"C",COLUMN()),FALSE))+1)</f>
        <v/>
      </c>
      <c r="B634" s="219" t="str">
        <f ca="1">IF(ResultColumnLabels[[#This Row],[Data Value Number]]="","",INDEX(DataColumns[ColumnLabel],MATCH(ResultColumnLabels[[#This Row],[Data Value Number]],DataColumns[DVNum],0)))</f>
        <v/>
      </c>
    </row>
    <row r="635" spans="1:2" x14ac:dyDescent="0.25">
      <c r="A635" s="219" t="str">
        <f ca="1">IF(ROW()-1&gt;NumDataColumns,"",MAX(INDIRECT(CONCATENATE("R",ROW(ResultColumnLabels[#Headers]),"C",COLUMN(),":R",ROW()-1,"C",COLUMN()),FALSE))+1)</f>
        <v/>
      </c>
      <c r="B635" s="219" t="str">
        <f ca="1">IF(ResultColumnLabels[[#This Row],[Data Value Number]]="","",INDEX(DataColumns[ColumnLabel],MATCH(ResultColumnLabels[[#This Row],[Data Value Number]],DataColumns[DVNum],0)))</f>
        <v/>
      </c>
    </row>
    <row r="636" spans="1:2" x14ac:dyDescent="0.25">
      <c r="A636" s="219" t="str">
        <f ca="1">IF(ROW()-1&gt;NumDataColumns,"",MAX(INDIRECT(CONCATENATE("R",ROW(ResultColumnLabels[#Headers]),"C",COLUMN(),":R",ROW()-1,"C",COLUMN()),FALSE))+1)</f>
        <v/>
      </c>
      <c r="B636" s="219" t="str">
        <f ca="1">IF(ResultColumnLabels[[#This Row],[Data Value Number]]="","",INDEX(DataColumns[ColumnLabel],MATCH(ResultColumnLabels[[#This Row],[Data Value Number]],DataColumns[DVNum],0)))</f>
        <v/>
      </c>
    </row>
    <row r="637" spans="1:2" x14ac:dyDescent="0.25">
      <c r="A637" s="219" t="str">
        <f ca="1">IF(ROW()-1&gt;NumDataColumns,"",MAX(INDIRECT(CONCATENATE("R",ROW(ResultColumnLabels[#Headers]),"C",COLUMN(),":R",ROW()-1,"C",COLUMN()),FALSE))+1)</f>
        <v/>
      </c>
      <c r="B637" s="219" t="str">
        <f ca="1">IF(ResultColumnLabels[[#This Row],[Data Value Number]]="","",INDEX(DataColumns[ColumnLabel],MATCH(ResultColumnLabels[[#This Row],[Data Value Number]],DataColumns[DVNum],0)))</f>
        <v/>
      </c>
    </row>
    <row r="638" spans="1:2" x14ac:dyDescent="0.25">
      <c r="A638" s="219" t="str">
        <f ca="1">IF(ROW()-1&gt;NumDataColumns,"",MAX(INDIRECT(CONCATENATE("R",ROW(ResultColumnLabels[#Headers]),"C",COLUMN(),":R",ROW()-1,"C",COLUMN()),FALSE))+1)</f>
        <v/>
      </c>
      <c r="B638" s="219" t="str">
        <f ca="1">IF(ResultColumnLabels[[#This Row],[Data Value Number]]="","",INDEX(DataColumns[ColumnLabel],MATCH(ResultColumnLabels[[#This Row],[Data Value Number]],DataColumns[DVNum],0)))</f>
        <v/>
      </c>
    </row>
    <row r="639" spans="1:2" x14ac:dyDescent="0.25">
      <c r="A639" s="219" t="str">
        <f ca="1">IF(ROW()-1&gt;NumDataColumns,"",MAX(INDIRECT(CONCATENATE("R",ROW(ResultColumnLabels[#Headers]),"C",COLUMN(),":R",ROW()-1,"C",COLUMN()),FALSE))+1)</f>
        <v/>
      </c>
      <c r="B639" s="219" t="str">
        <f ca="1">IF(ResultColumnLabels[[#This Row],[Data Value Number]]="","",INDEX(DataColumns[ColumnLabel],MATCH(ResultColumnLabels[[#This Row],[Data Value Number]],DataColumns[DVNum],0)))</f>
        <v/>
      </c>
    </row>
    <row r="640" spans="1:2" x14ac:dyDescent="0.25">
      <c r="A640" s="219" t="str">
        <f ca="1">IF(ROW()-1&gt;NumDataColumns,"",MAX(INDIRECT(CONCATENATE("R",ROW(ResultColumnLabels[#Headers]),"C",COLUMN(),":R",ROW()-1,"C",COLUMN()),FALSE))+1)</f>
        <v/>
      </c>
      <c r="B640" s="219" t="str">
        <f ca="1">IF(ResultColumnLabels[[#This Row],[Data Value Number]]="","",INDEX(DataColumns[ColumnLabel],MATCH(ResultColumnLabels[[#This Row],[Data Value Number]],DataColumns[DVNum],0)))</f>
        <v/>
      </c>
    </row>
    <row r="641" spans="1:2" x14ac:dyDescent="0.25">
      <c r="A641" s="219" t="str">
        <f ca="1">IF(ROW()-1&gt;NumDataColumns,"",MAX(INDIRECT(CONCATENATE("R",ROW(ResultColumnLabels[#Headers]),"C",COLUMN(),":R",ROW()-1,"C",COLUMN()),FALSE))+1)</f>
        <v/>
      </c>
      <c r="B641" s="219" t="str">
        <f ca="1">IF(ResultColumnLabels[[#This Row],[Data Value Number]]="","",INDEX(DataColumns[ColumnLabel],MATCH(ResultColumnLabels[[#This Row],[Data Value Number]],DataColumns[DVNum],0)))</f>
        <v/>
      </c>
    </row>
    <row r="642" spans="1:2" x14ac:dyDescent="0.25">
      <c r="A642" s="219" t="str">
        <f ca="1">IF(ROW()-1&gt;NumDataColumns,"",MAX(INDIRECT(CONCATENATE("R",ROW(ResultColumnLabels[#Headers]),"C",COLUMN(),":R",ROW()-1,"C",COLUMN()),FALSE))+1)</f>
        <v/>
      </c>
      <c r="B642" s="219" t="str">
        <f ca="1">IF(ResultColumnLabels[[#This Row],[Data Value Number]]="","",INDEX(DataColumns[ColumnLabel],MATCH(ResultColumnLabels[[#This Row],[Data Value Number]],DataColumns[DVNum],0)))</f>
        <v/>
      </c>
    </row>
    <row r="643" spans="1:2" x14ac:dyDescent="0.25">
      <c r="A643" s="219" t="str">
        <f ca="1">IF(ROW()-1&gt;NumDataColumns,"",MAX(INDIRECT(CONCATENATE("R",ROW(ResultColumnLabels[#Headers]),"C",COLUMN(),":R",ROW()-1,"C",COLUMN()),FALSE))+1)</f>
        <v/>
      </c>
      <c r="B643" s="219" t="str">
        <f ca="1">IF(ResultColumnLabels[[#This Row],[Data Value Number]]="","",INDEX(DataColumns[ColumnLabel],MATCH(ResultColumnLabels[[#This Row],[Data Value Number]],DataColumns[DVNum],0)))</f>
        <v/>
      </c>
    </row>
    <row r="644" spans="1:2" x14ac:dyDescent="0.25">
      <c r="A644" s="219" t="str">
        <f ca="1">IF(ROW()-1&gt;NumDataColumns,"",MAX(INDIRECT(CONCATENATE("R",ROW(ResultColumnLabels[#Headers]),"C",COLUMN(),":R",ROW()-1,"C",COLUMN()),FALSE))+1)</f>
        <v/>
      </c>
      <c r="B644" s="219" t="str">
        <f ca="1">IF(ResultColumnLabels[[#This Row],[Data Value Number]]="","",INDEX(DataColumns[ColumnLabel],MATCH(ResultColumnLabels[[#This Row],[Data Value Number]],DataColumns[DVNum],0)))</f>
        <v/>
      </c>
    </row>
    <row r="645" spans="1:2" x14ac:dyDescent="0.25">
      <c r="A645" s="219" t="str">
        <f ca="1">IF(ROW()-1&gt;NumDataColumns,"",MAX(INDIRECT(CONCATENATE("R",ROW(ResultColumnLabels[#Headers]),"C",COLUMN(),":R",ROW()-1,"C",COLUMN()),FALSE))+1)</f>
        <v/>
      </c>
      <c r="B645" s="219" t="str">
        <f ca="1">IF(ResultColumnLabels[[#This Row],[Data Value Number]]="","",INDEX(DataColumns[ColumnLabel],MATCH(ResultColumnLabels[[#This Row],[Data Value Number]],DataColumns[DVNum],0)))</f>
        <v/>
      </c>
    </row>
    <row r="646" spans="1:2" x14ac:dyDescent="0.25">
      <c r="A646" s="219" t="str">
        <f ca="1">IF(ROW()-1&gt;NumDataColumns,"",MAX(INDIRECT(CONCATENATE("R",ROW(ResultColumnLabels[#Headers]),"C",COLUMN(),":R",ROW()-1,"C",COLUMN()),FALSE))+1)</f>
        <v/>
      </c>
      <c r="B646" s="219" t="str">
        <f ca="1">IF(ResultColumnLabels[[#This Row],[Data Value Number]]="","",INDEX(DataColumns[ColumnLabel],MATCH(ResultColumnLabels[[#This Row],[Data Value Number]],DataColumns[DVNum],0)))</f>
        <v/>
      </c>
    </row>
    <row r="647" spans="1:2" x14ac:dyDescent="0.25">
      <c r="A647" s="219" t="str">
        <f ca="1">IF(ROW()-1&gt;NumDataColumns,"",MAX(INDIRECT(CONCATENATE("R",ROW(ResultColumnLabels[#Headers]),"C",COLUMN(),":R",ROW()-1,"C",COLUMN()),FALSE))+1)</f>
        <v/>
      </c>
      <c r="B647" s="219" t="str">
        <f ca="1">IF(ResultColumnLabels[[#This Row],[Data Value Number]]="","",INDEX(DataColumns[ColumnLabel],MATCH(ResultColumnLabels[[#This Row],[Data Value Number]],DataColumns[DVNum],0)))</f>
        <v/>
      </c>
    </row>
    <row r="648" spans="1:2" x14ac:dyDescent="0.25">
      <c r="A648" s="219" t="str">
        <f ca="1">IF(ROW()-1&gt;NumDataColumns,"",MAX(INDIRECT(CONCATENATE("R",ROW(ResultColumnLabels[#Headers]),"C",COLUMN(),":R",ROW()-1,"C",COLUMN()),FALSE))+1)</f>
        <v/>
      </c>
      <c r="B648" s="219" t="str">
        <f ca="1">IF(ResultColumnLabels[[#This Row],[Data Value Number]]="","",INDEX(DataColumns[ColumnLabel],MATCH(ResultColumnLabels[[#This Row],[Data Value Number]],DataColumns[DVNum],0)))</f>
        <v/>
      </c>
    </row>
    <row r="649" spans="1:2" x14ac:dyDescent="0.25">
      <c r="A649" s="219" t="str">
        <f ca="1">IF(ROW()-1&gt;NumDataColumns,"",MAX(INDIRECT(CONCATENATE("R",ROW(ResultColumnLabels[#Headers]),"C",COLUMN(),":R",ROW()-1,"C",COLUMN()),FALSE))+1)</f>
        <v/>
      </c>
      <c r="B649" s="219" t="str">
        <f ca="1">IF(ResultColumnLabels[[#This Row],[Data Value Number]]="","",INDEX(DataColumns[ColumnLabel],MATCH(ResultColumnLabels[[#This Row],[Data Value Number]],DataColumns[DVNum],0)))</f>
        <v/>
      </c>
    </row>
    <row r="650" spans="1:2" x14ac:dyDescent="0.25">
      <c r="A650" s="219" t="str">
        <f ca="1">IF(ROW()-1&gt;NumDataColumns,"",MAX(INDIRECT(CONCATENATE("R",ROW(ResultColumnLabels[#Headers]),"C",COLUMN(),":R",ROW()-1,"C",COLUMN()),FALSE))+1)</f>
        <v/>
      </c>
      <c r="B650" s="219" t="str">
        <f ca="1">IF(ResultColumnLabels[[#This Row],[Data Value Number]]="","",INDEX(DataColumns[ColumnLabel],MATCH(ResultColumnLabels[[#This Row],[Data Value Number]],DataColumns[DVNum],0)))</f>
        <v/>
      </c>
    </row>
    <row r="651" spans="1:2" x14ac:dyDescent="0.25">
      <c r="A651" s="219" t="str">
        <f ca="1">IF(ROW()-1&gt;NumDataColumns,"",MAX(INDIRECT(CONCATENATE("R",ROW(ResultColumnLabels[#Headers]),"C",COLUMN(),":R",ROW()-1,"C",COLUMN()),FALSE))+1)</f>
        <v/>
      </c>
      <c r="B651" s="219" t="str">
        <f ca="1">IF(ResultColumnLabels[[#This Row],[Data Value Number]]="","",INDEX(DataColumns[ColumnLabel],MATCH(ResultColumnLabels[[#This Row],[Data Value Number]],DataColumns[DVNum],0)))</f>
        <v/>
      </c>
    </row>
    <row r="652" spans="1:2" x14ac:dyDescent="0.25">
      <c r="A652" s="219" t="str">
        <f ca="1">IF(ROW()-1&gt;NumDataColumns,"",MAX(INDIRECT(CONCATENATE("R",ROW(ResultColumnLabels[#Headers]),"C",COLUMN(),":R",ROW()-1,"C",COLUMN()),FALSE))+1)</f>
        <v/>
      </c>
      <c r="B652" s="219" t="str">
        <f ca="1">IF(ResultColumnLabels[[#This Row],[Data Value Number]]="","",INDEX(DataColumns[ColumnLabel],MATCH(ResultColumnLabels[[#This Row],[Data Value Number]],DataColumns[DVNum],0)))</f>
        <v/>
      </c>
    </row>
    <row r="653" spans="1:2" x14ac:dyDescent="0.25">
      <c r="A653" s="219" t="str">
        <f ca="1">IF(ROW()-1&gt;NumDataColumns,"",MAX(INDIRECT(CONCATENATE("R",ROW(ResultColumnLabels[#Headers]),"C",COLUMN(),":R",ROW()-1,"C",COLUMN()),FALSE))+1)</f>
        <v/>
      </c>
      <c r="B653" s="219" t="str">
        <f ca="1">IF(ResultColumnLabels[[#This Row],[Data Value Number]]="","",INDEX(DataColumns[ColumnLabel],MATCH(ResultColumnLabels[[#This Row],[Data Value Number]],DataColumns[DVNum],0)))</f>
        <v/>
      </c>
    </row>
    <row r="654" spans="1:2" x14ac:dyDescent="0.25">
      <c r="A654" s="219" t="str">
        <f ca="1">IF(ROW()-1&gt;NumDataColumns,"",MAX(INDIRECT(CONCATENATE("R",ROW(ResultColumnLabels[#Headers]),"C",COLUMN(),":R",ROW()-1,"C",COLUMN()),FALSE))+1)</f>
        <v/>
      </c>
      <c r="B654" s="219" t="str">
        <f ca="1">IF(ResultColumnLabels[[#This Row],[Data Value Number]]="","",INDEX(DataColumns[ColumnLabel],MATCH(ResultColumnLabels[[#This Row],[Data Value Number]],DataColumns[DVNum],0)))</f>
        <v/>
      </c>
    </row>
    <row r="655" spans="1:2" x14ac:dyDescent="0.25">
      <c r="A655" s="219" t="str">
        <f ca="1">IF(ROW()-1&gt;NumDataColumns,"",MAX(INDIRECT(CONCATENATE("R",ROW(ResultColumnLabels[#Headers]),"C",COLUMN(),":R",ROW()-1,"C",COLUMN()),FALSE))+1)</f>
        <v/>
      </c>
      <c r="B655" s="219" t="str">
        <f ca="1">IF(ResultColumnLabels[[#This Row],[Data Value Number]]="","",INDEX(DataColumns[ColumnLabel],MATCH(ResultColumnLabels[[#This Row],[Data Value Number]],DataColumns[DVNum],0)))</f>
        <v/>
      </c>
    </row>
    <row r="656" spans="1:2" x14ac:dyDescent="0.25">
      <c r="A656" s="219" t="str">
        <f ca="1">IF(ROW()-1&gt;NumDataColumns,"",MAX(INDIRECT(CONCATENATE("R",ROW(ResultColumnLabels[#Headers]),"C",COLUMN(),":R",ROW()-1,"C",COLUMN()),FALSE))+1)</f>
        <v/>
      </c>
      <c r="B656" s="219" t="str">
        <f ca="1">IF(ResultColumnLabels[[#This Row],[Data Value Number]]="","",INDEX(DataColumns[ColumnLabel],MATCH(ResultColumnLabels[[#This Row],[Data Value Number]],DataColumns[DVNum],0)))</f>
        <v/>
      </c>
    </row>
    <row r="657" spans="1:2" x14ac:dyDescent="0.25">
      <c r="A657" s="219" t="str">
        <f ca="1">IF(ROW()-1&gt;NumDataColumns,"",MAX(INDIRECT(CONCATENATE("R",ROW(ResultColumnLabels[#Headers]),"C",COLUMN(),":R",ROW()-1,"C",COLUMN()),FALSE))+1)</f>
        <v/>
      </c>
      <c r="B657" s="219" t="str">
        <f ca="1">IF(ResultColumnLabels[[#This Row],[Data Value Number]]="","",INDEX(DataColumns[ColumnLabel],MATCH(ResultColumnLabels[[#This Row],[Data Value Number]],DataColumns[DVNum],0)))</f>
        <v/>
      </c>
    </row>
    <row r="658" spans="1:2" x14ac:dyDescent="0.25">
      <c r="A658" s="219" t="str">
        <f ca="1">IF(ROW()-1&gt;NumDataColumns,"",MAX(INDIRECT(CONCATENATE("R",ROW(ResultColumnLabels[#Headers]),"C",COLUMN(),":R",ROW()-1,"C",COLUMN()),FALSE))+1)</f>
        <v/>
      </c>
      <c r="B658" s="219" t="str">
        <f ca="1">IF(ResultColumnLabels[[#This Row],[Data Value Number]]="","",INDEX(DataColumns[ColumnLabel],MATCH(ResultColumnLabels[[#This Row],[Data Value Number]],DataColumns[DVNum],0)))</f>
        <v/>
      </c>
    </row>
    <row r="659" spans="1:2" x14ac:dyDescent="0.25">
      <c r="A659" s="219" t="str">
        <f ca="1">IF(ROW()-1&gt;NumDataColumns,"",MAX(INDIRECT(CONCATENATE("R",ROW(ResultColumnLabels[#Headers]),"C",COLUMN(),":R",ROW()-1,"C",COLUMN()),FALSE))+1)</f>
        <v/>
      </c>
      <c r="B659" s="219" t="str">
        <f ca="1">IF(ResultColumnLabels[[#This Row],[Data Value Number]]="","",INDEX(DataColumns[ColumnLabel],MATCH(ResultColumnLabels[[#This Row],[Data Value Number]],DataColumns[DVNum],0)))</f>
        <v/>
      </c>
    </row>
    <row r="660" spans="1:2" x14ac:dyDescent="0.25">
      <c r="A660" s="219" t="str">
        <f ca="1">IF(ROW()-1&gt;NumDataColumns,"",MAX(INDIRECT(CONCATENATE("R",ROW(ResultColumnLabels[#Headers]),"C",COLUMN(),":R",ROW()-1,"C",COLUMN()),FALSE))+1)</f>
        <v/>
      </c>
      <c r="B660" s="219" t="str">
        <f ca="1">IF(ResultColumnLabels[[#This Row],[Data Value Number]]="","",INDEX(DataColumns[ColumnLabel],MATCH(ResultColumnLabels[[#This Row],[Data Value Number]],DataColumns[DVNum],0)))</f>
        <v/>
      </c>
    </row>
    <row r="661" spans="1:2" x14ac:dyDescent="0.25">
      <c r="A661" s="219" t="str">
        <f ca="1">IF(ROW()-1&gt;NumDataColumns,"",MAX(INDIRECT(CONCATENATE("R",ROW(ResultColumnLabels[#Headers]),"C",COLUMN(),":R",ROW()-1,"C",COLUMN()),FALSE))+1)</f>
        <v/>
      </c>
      <c r="B661" s="219" t="str">
        <f ca="1">IF(ResultColumnLabels[[#This Row],[Data Value Number]]="","",INDEX(DataColumns[ColumnLabel],MATCH(ResultColumnLabels[[#This Row],[Data Value Number]],DataColumns[DVNum],0)))</f>
        <v/>
      </c>
    </row>
    <row r="662" spans="1:2" x14ac:dyDescent="0.25">
      <c r="A662" s="219" t="str">
        <f ca="1">IF(ROW()-1&gt;NumDataColumns,"",MAX(INDIRECT(CONCATENATE("R",ROW(ResultColumnLabels[#Headers]),"C",COLUMN(),":R",ROW()-1,"C",COLUMN()),FALSE))+1)</f>
        <v/>
      </c>
      <c r="B662" s="219" t="str">
        <f ca="1">IF(ResultColumnLabels[[#This Row],[Data Value Number]]="","",INDEX(DataColumns[ColumnLabel],MATCH(ResultColumnLabels[[#This Row],[Data Value Number]],DataColumns[DVNum],0)))</f>
        <v/>
      </c>
    </row>
    <row r="663" spans="1:2" x14ac:dyDescent="0.25">
      <c r="A663" s="219" t="str">
        <f ca="1">IF(ROW()-1&gt;NumDataColumns,"",MAX(INDIRECT(CONCATENATE("R",ROW(ResultColumnLabels[#Headers]),"C",COLUMN(),":R",ROW()-1,"C",COLUMN()),FALSE))+1)</f>
        <v/>
      </c>
      <c r="B663" s="219" t="str">
        <f ca="1">IF(ResultColumnLabels[[#This Row],[Data Value Number]]="","",INDEX(DataColumns[ColumnLabel],MATCH(ResultColumnLabels[[#This Row],[Data Value Number]],DataColumns[DVNum],0)))</f>
        <v/>
      </c>
    </row>
    <row r="664" spans="1:2" x14ac:dyDescent="0.25">
      <c r="A664" s="219" t="str">
        <f ca="1">IF(ROW()-1&gt;NumDataColumns,"",MAX(INDIRECT(CONCATENATE("R",ROW(ResultColumnLabels[#Headers]),"C",COLUMN(),":R",ROW()-1,"C",COLUMN()),FALSE))+1)</f>
        <v/>
      </c>
      <c r="B664" s="219" t="str">
        <f ca="1">IF(ResultColumnLabels[[#This Row],[Data Value Number]]="","",INDEX(DataColumns[ColumnLabel],MATCH(ResultColumnLabels[[#This Row],[Data Value Number]],DataColumns[DVNum],0)))</f>
        <v/>
      </c>
    </row>
    <row r="665" spans="1:2" x14ac:dyDescent="0.25">
      <c r="A665" s="219" t="str">
        <f ca="1">IF(ROW()-1&gt;NumDataColumns,"",MAX(INDIRECT(CONCATENATE("R",ROW(ResultColumnLabels[#Headers]),"C",COLUMN(),":R",ROW()-1,"C",COLUMN()),FALSE))+1)</f>
        <v/>
      </c>
      <c r="B665" s="219" t="str">
        <f ca="1">IF(ResultColumnLabels[[#This Row],[Data Value Number]]="","",INDEX(DataColumns[ColumnLabel],MATCH(ResultColumnLabels[[#This Row],[Data Value Number]],DataColumns[DVNum],0)))</f>
        <v/>
      </c>
    </row>
    <row r="666" spans="1:2" x14ac:dyDescent="0.25">
      <c r="A666" s="219" t="str">
        <f ca="1">IF(ROW()-1&gt;NumDataColumns,"",MAX(INDIRECT(CONCATENATE("R",ROW(ResultColumnLabels[#Headers]),"C",COLUMN(),":R",ROW()-1,"C",COLUMN()),FALSE))+1)</f>
        <v/>
      </c>
      <c r="B666" s="219" t="str">
        <f ca="1">IF(ResultColumnLabels[[#This Row],[Data Value Number]]="","",INDEX(DataColumns[ColumnLabel],MATCH(ResultColumnLabels[[#This Row],[Data Value Number]],DataColumns[DVNum],0)))</f>
        <v/>
      </c>
    </row>
    <row r="667" spans="1:2" x14ac:dyDescent="0.25">
      <c r="A667" s="219" t="str">
        <f ca="1">IF(ROW()-1&gt;NumDataColumns,"",MAX(INDIRECT(CONCATENATE("R",ROW(ResultColumnLabels[#Headers]),"C",COLUMN(),":R",ROW()-1,"C",COLUMN()),FALSE))+1)</f>
        <v/>
      </c>
      <c r="B667" s="219" t="str">
        <f ca="1">IF(ResultColumnLabels[[#This Row],[Data Value Number]]="","",INDEX(DataColumns[ColumnLabel],MATCH(ResultColumnLabels[[#This Row],[Data Value Number]],DataColumns[DVNum],0)))</f>
        <v/>
      </c>
    </row>
    <row r="668" spans="1:2" x14ac:dyDescent="0.25">
      <c r="A668" s="219" t="str">
        <f ca="1">IF(ROW()-1&gt;NumDataColumns,"",MAX(INDIRECT(CONCATENATE("R",ROW(ResultColumnLabels[#Headers]),"C",COLUMN(),":R",ROW()-1,"C",COLUMN()),FALSE))+1)</f>
        <v/>
      </c>
      <c r="B668" s="219" t="str">
        <f ca="1">IF(ResultColumnLabels[[#This Row],[Data Value Number]]="","",INDEX(DataColumns[ColumnLabel],MATCH(ResultColumnLabels[[#This Row],[Data Value Number]],DataColumns[DVNum],0)))</f>
        <v/>
      </c>
    </row>
    <row r="669" spans="1:2" x14ac:dyDescent="0.25">
      <c r="A669" s="219" t="str">
        <f ca="1">IF(ROW()-1&gt;NumDataColumns,"",MAX(INDIRECT(CONCATENATE("R",ROW(ResultColumnLabels[#Headers]),"C",COLUMN(),":R",ROW()-1,"C",COLUMN()),FALSE))+1)</f>
        <v/>
      </c>
      <c r="B669" s="219" t="str">
        <f ca="1">IF(ResultColumnLabels[[#This Row],[Data Value Number]]="","",INDEX(DataColumns[ColumnLabel],MATCH(ResultColumnLabels[[#This Row],[Data Value Number]],DataColumns[DVNum],0)))</f>
        <v/>
      </c>
    </row>
    <row r="670" spans="1:2" x14ac:dyDescent="0.25">
      <c r="A670" s="219" t="str">
        <f ca="1">IF(ROW()-1&gt;NumDataColumns,"",MAX(INDIRECT(CONCATENATE("R",ROW(ResultColumnLabels[#Headers]),"C",COLUMN(),":R",ROW()-1,"C",COLUMN()),FALSE))+1)</f>
        <v/>
      </c>
      <c r="B670" s="219" t="str">
        <f ca="1">IF(ResultColumnLabels[[#This Row],[Data Value Number]]="","",INDEX(DataColumns[ColumnLabel],MATCH(ResultColumnLabels[[#This Row],[Data Value Number]],DataColumns[DVNum],0)))</f>
        <v/>
      </c>
    </row>
    <row r="671" spans="1:2" x14ac:dyDescent="0.25">
      <c r="A671" s="219" t="str">
        <f ca="1">IF(ROW()-1&gt;NumDataColumns,"",MAX(INDIRECT(CONCATENATE("R",ROW(ResultColumnLabels[#Headers]),"C",COLUMN(),":R",ROW()-1,"C",COLUMN()),FALSE))+1)</f>
        <v/>
      </c>
      <c r="B671" s="219" t="str">
        <f ca="1">IF(ResultColumnLabels[[#This Row],[Data Value Number]]="","",INDEX(DataColumns[ColumnLabel],MATCH(ResultColumnLabels[[#This Row],[Data Value Number]],DataColumns[DVNum],0)))</f>
        <v/>
      </c>
    </row>
    <row r="672" spans="1:2" x14ac:dyDescent="0.25">
      <c r="A672" s="219" t="str">
        <f ca="1">IF(ROW()-1&gt;NumDataColumns,"",MAX(INDIRECT(CONCATENATE("R",ROW(ResultColumnLabels[#Headers]),"C",COLUMN(),":R",ROW()-1,"C",COLUMN()),FALSE))+1)</f>
        <v/>
      </c>
      <c r="B672" s="219" t="str">
        <f ca="1">IF(ResultColumnLabels[[#This Row],[Data Value Number]]="","",INDEX(DataColumns[ColumnLabel],MATCH(ResultColumnLabels[[#This Row],[Data Value Number]],DataColumns[DVNum],0)))</f>
        <v/>
      </c>
    </row>
    <row r="673" spans="1:2" x14ac:dyDescent="0.25">
      <c r="A673" s="219" t="str">
        <f ca="1">IF(ROW()-1&gt;NumDataColumns,"",MAX(INDIRECT(CONCATENATE("R",ROW(ResultColumnLabels[#Headers]),"C",COLUMN(),":R",ROW()-1,"C",COLUMN()),FALSE))+1)</f>
        <v/>
      </c>
      <c r="B673" s="219" t="str">
        <f ca="1">IF(ResultColumnLabels[[#This Row],[Data Value Number]]="","",INDEX(DataColumns[ColumnLabel],MATCH(ResultColumnLabels[[#This Row],[Data Value Number]],DataColumns[DVNum],0)))</f>
        <v/>
      </c>
    </row>
    <row r="674" spans="1:2" x14ac:dyDescent="0.25">
      <c r="A674" s="219" t="str">
        <f ca="1">IF(ROW()-1&gt;NumDataColumns,"",MAX(INDIRECT(CONCATENATE("R",ROW(ResultColumnLabels[#Headers]),"C",COLUMN(),":R",ROW()-1,"C",COLUMN()),FALSE))+1)</f>
        <v/>
      </c>
      <c r="B674" s="219" t="str">
        <f ca="1">IF(ResultColumnLabels[[#This Row],[Data Value Number]]="","",INDEX(DataColumns[ColumnLabel],MATCH(ResultColumnLabels[[#This Row],[Data Value Number]],DataColumns[DVNum],0)))</f>
        <v/>
      </c>
    </row>
    <row r="675" spans="1:2" x14ac:dyDescent="0.25">
      <c r="A675" s="219" t="str">
        <f ca="1">IF(ROW()-1&gt;NumDataColumns,"",MAX(INDIRECT(CONCATENATE("R",ROW(ResultColumnLabels[#Headers]),"C",COLUMN(),":R",ROW()-1,"C",COLUMN()),FALSE))+1)</f>
        <v/>
      </c>
      <c r="B675" s="219" t="str">
        <f ca="1">IF(ResultColumnLabels[[#This Row],[Data Value Number]]="","",INDEX(DataColumns[ColumnLabel],MATCH(ResultColumnLabels[[#This Row],[Data Value Number]],DataColumns[DVNum],0)))</f>
        <v/>
      </c>
    </row>
    <row r="676" spans="1:2" x14ac:dyDescent="0.25">
      <c r="A676" s="219" t="str">
        <f ca="1">IF(ROW()-1&gt;NumDataColumns,"",MAX(INDIRECT(CONCATENATE("R",ROW(ResultColumnLabels[#Headers]),"C",COLUMN(),":R",ROW()-1,"C",COLUMN()),FALSE))+1)</f>
        <v/>
      </c>
      <c r="B676" s="219" t="str">
        <f ca="1">IF(ResultColumnLabels[[#This Row],[Data Value Number]]="","",INDEX(DataColumns[ColumnLabel],MATCH(ResultColumnLabels[[#This Row],[Data Value Number]],DataColumns[DVNum],0)))</f>
        <v/>
      </c>
    </row>
    <row r="677" spans="1:2" x14ac:dyDescent="0.25">
      <c r="A677" s="219" t="str">
        <f ca="1">IF(ROW()-1&gt;NumDataColumns,"",MAX(INDIRECT(CONCATENATE("R",ROW(ResultColumnLabels[#Headers]),"C",COLUMN(),":R",ROW()-1,"C",COLUMN()),FALSE))+1)</f>
        <v/>
      </c>
      <c r="B677" s="219" t="str">
        <f ca="1">IF(ResultColumnLabels[[#This Row],[Data Value Number]]="","",INDEX(DataColumns[ColumnLabel],MATCH(ResultColumnLabels[[#This Row],[Data Value Number]],DataColumns[DVNum],0)))</f>
        <v/>
      </c>
    </row>
    <row r="678" spans="1:2" x14ac:dyDescent="0.25">
      <c r="A678" s="219" t="str">
        <f ca="1">IF(ROW()-1&gt;NumDataColumns,"",MAX(INDIRECT(CONCATENATE("R",ROW(ResultColumnLabels[#Headers]),"C",COLUMN(),":R",ROW()-1,"C",COLUMN()),FALSE))+1)</f>
        <v/>
      </c>
      <c r="B678" s="219" t="str">
        <f ca="1">IF(ResultColumnLabels[[#This Row],[Data Value Number]]="","",INDEX(DataColumns[ColumnLabel],MATCH(ResultColumnLabels[[#This Row],[Data Value Number]],DataColumns[DVNum],0)))</f>
        <v/>
      </c>
    </row>
    <row r="679" spans="1:2" x14ac:dyDescent="0.25">
      <c r="A679" s="219" t="str">
        <f ca="1">IF(ROW()-1&gt;NumDataColumns,"",MAX(INDIRECT(CONCATENATE("R",ROW(ResultColumnLabels[#Headers]),"C",COLUMN(),":R",ROW()-1,"C",COLUMN()),FALSE))+1)</f>
        <v/>
      </c>
      <c r="B679" s="219" t="str">
        <f ca="1">IF(ResultColumnLabels[[#This Row],[Data Value Number]]="","",INDEX(DataColumns[ColumnLabel],MATCH(ResultColumnLabels[[#This Row],[Data Value Number]],DataColumns[DVNum],0)))</f>
        <v/>
      </c>
    </row>
    <row r="680" spans="1:2" x14ac:dyDescent="0.25">
      <c r="A680" s="219" t="str">
        <f ca="1">IF(ROW()-1&gt;NumDataColumns,"",MAX(INDIRECT(CONCATENATE("R",ROW(ResultColumnLabels[#Headers]),"C",COLUMN(),":R",ROW()-1,"C",COLUMN()),FALSE))+1)</f>
        <v/>
      </c>
      <c r="B680" s="219" t="str">
        <f ca="1">IF(ResultColumnLabels[[#This Row],[Data Value Number]]="","",INDEX(DataColumns[ColumnLabel],MATCH(ResultColumnLabels[[#This Row],[Data Value Number]],DataColumns[DVNum],0)))</f>
        <v/>
      </c>
    </row>
    <row r="681" spans="1:2" x14ac:dyDescent="0.25">
      <c r="A681" s="219" t="str">
        <f ca="1">IF(ROW()-1&gt;NumDataColumns,"",MAX(INDIRECT(CONCATENATE("R",ROW(ResultColumnLabels[#Headers]),"C",COLUMN(),":R",ROW()-1,"C",COLUMN()),FALSE))+1)</f>
        <v/>
      </c>
      <c r="B681" s="219" t="str">
        <f ca="1">IF(ResultColumnLabels[[#This Row],[Data Value Number]]="","",INDEX(DataColumns[ColumnLabel],MATCH(ResultColumnLabels[[#This Row],[Data Value Number]],DataColumns[DVNum],0)))</f>
        <v/>
      </c>
    </row>
    <row r="682" spans="1:2" x14ac:dyDescent="0.25">
      <c r="A682" s="219" t="str">
        <f ca="1">IF(ROW()-1&gt;NumDataColumns,"",MAX(INDIRECT(CONCATENATE("R",ROW(ResultColumnLabels[#Headers]),"C",COLUMN(),":R",ROW()-1,"C",COLUMN()),FALSE))+1)</f>
        <v/>
      </c>
      <c r="B682" s="219" t="str">
        <f ca="1">IF(ResultColumnLabels[[#This Row],[Data Value Number]]="","",INDEX(DataColumns[ColumnLabel],MATCH(ResultColumnLabels[[#This Row],[Data Value Number]],DataColumns[DVNum],0)))</f>
        <v/>
      </c>
    </row>
    <row r="683" spans="1:2" x14ac:dyDescent="0.25">
      <c r="A683" s="219" t="str">
        <f ca="1">IF(ROW()-1&gt;NumDataColumns,"",MAX(INDIRECT(CONCATENATE("R",ROW(ResultColumnLabels[#Headers]),"C",COLUMN(),":R",ROW()-1,"C",COLUMN()),FALSE))+1)</f>
        <v/>
      </c>
      <c r="B683" s="219" t="str">
        <f ca="1">IF(ResultColumnLabels[[#This Row],[Data Value Number]]="","",INDEX(DataColumns[ColumnLabel],MATCH(ResultColumnLabels[[#This Row],[Data Value Number]],DataColumns[DVNum],0)))</f>
        <v/>
      </c>
    </row>
    <row r="684" spans="1:2" x14ac:dyDescent="0.25">
      <c r="A684" s="219" t="str">
        <f ca="1">IF(ROW()-1&gt;NumDataColumns,"",MAX(INDIRECT(CONCATENATE("R",ROW(ResultColumnLabels[#Headers]),"C",COLUMN(),":R",ROW()-1,"C",COLUMN()),FALSE))+1)</f>
        <v/>
      </c>
      <c r="B684" s="219" t="str">
        <f ca="1">IF(ResultColumnLabels[[#This Row],[Data Value Number]]="","",INDEX(DataColumns[ColumnLabel],MATCH(ResultColumnLabels[[#This Row],[Data Value Number]],DataColumns[DVNum],0)))</f>
        <v/>
      </c>
    </row>
    <row r="685" spans="1:2" x14ac:dyDescent="0.25">
      <c r="A685" s="219" t="str">
        <f ca="1">IF(ROW()-1&gt;NumDataColumns,"",MAX(INDIRECT(CONCATENATE("R",ROW(ResultColumnLabels[#Headers]),"C",COLUMN(),":R",ROW()-1,"C",COLUMN()),FALSE))+1)</f>
        <v/>
      </c>
      <c r="B685" s="219" t="str">
        <f ca="1">IF(ResultColumnLabels[[#This Row],[Data Value Number]]="","",INDEX(DataColumns[ColumnLabel],MATCH(ResultColumnLabels[[#This Row],[Data Value Number]],DataColumns[DVNum],0)))</f>
        <v/>
      </c>
    </row>
    <row r="686" spans="1:2" x14ac:dyDescent="0.25">
      <c r="A686" s="219" t="str">
        <f ca="1">IF(ROW()-1&gt;NumDataColumns,"",MAX(INDIRECT(CONCATENATE("R",ROW(ResultColumnLabels[#Headers]),"C",COLUMN(),":R",ROW()-1,"C",COLUMN()),FALSE))+1)</f>
        <v/>
      </c>
      <c r="B686" s="219" t="str">
        <f ca="1">IF(ResultColumnLabels[[#This Row],[Data Value Number]]="","",INDEX(DataColumns[ColumnLabel],MATCH(ResultColumnLabels[[#This Row],[Data Value Number]],DataColumns[DVNum],0)))</f>
        <v/>
      </c>
    </row>
    <row r="687" spans="1:2" x14ac:dyDescent="0.25">
      <c r="A687" s="219" t="str">
        <f ca="1">IF(ROW()-1&gt;NumDataColumns,"",MAX(INDIRECT(CONCATENATE("R",ROW(ResultColumnLabels[#Headers]),"C",COLUMN(),":R",ROW()-1,"C",COLUMN()),FALSE))+1)</f>
        <v/>
      </c>
      <c r="B687" s="219" t="str">
        <f ca="1">IF(ResultColumnLabels[[#This Row],[Data Value Number]]="","",INDEX(DataColumns[ColumnLabel],MATCH(ResultColumnLabels[[#This Row],[Data Value Number]],DataColumns[DVNum],0)))</f>
        <v/>
      </c>
    </row>
    <row r="688" spans="1:2" x14ac:dyDescent="0.25">
      <c r="A688" s="219" t="str">
        <f ca="1">IF(ROW()-1&gt;NumDataColumns,"",MAX(INDIRECT(CONCATENATE("R",ROW(ResultColumnLabels[#Headers]),"C",COLUMN(),":R",ROW()-1,"C",COLUMN()),FALSE))+1)</f>
        <v/>
      </c>
      <c r="B688" s="219" t="str">
        <f ca="1">IF(ResultColumnLabels[[#This Row],[Data Value Number]]="","",INDEX(DataColumns[ColumnLabel],MATCH(ResultColumnLabels[[#This Row],[Data Value Number]],DataColumns[DVNum],0)))</f>
        <v/>
      </c>
    </row>
    <row r="689" spans="1:2" x14ac:dyDescent="0.25">
      <c r="A689" s="219" t="str">
        <f ca="1">IF(ROW()-1&gt;NumDataColumns,"",MAX(INDIRECT(CONCATENATE("R",ROW(ResultColumnLabels[#Headers]),"C",COLUMN(),":R",ROW()-1,"C",COLUMN()),FALSE))+1)</f>
        <v/>
      </c>
      <c r="B689" s="219" t="str">
        <f ca="1">IF(ResultColumnLabels[[#This Row],[Data Value Number]]="","",INDEX(DataColumns[ColumnLabel],MATCH(ResultColumnLabels[[#This Row],[Data Value Number]],DataColumns[DVNum],0)))</f>
        <v/>
      </c>
    </row>
    <row r="690" spans="1:2" x14ac:dyDescent="0.25">
      <c r="A690" s="219" t="str">
        <f ca="1">IF(ROW()-1&gt;NumDataColumns,"",MAX(INDIRECT(CONCATENATE("R",ROW(ResultColumnLabels[#Headers]),"C",COLUMN(),":R",ROW()-1,"C",COLUMN()),FALSE))+1)</f>
        <v/>
      </c>
      <c r="B690" s="219" t="str">
        <f ca="1">IF(ResultColumnLabels[[#This Row],[Data Value Number]]="","",INDEX(DataColumns[ColumnLabel],MATCH(ResultColumnLabels[[#This Row],[Data Value Number]],DataColumns[DVNum],0)))</f>
        <v/>
      </c>
    </row>
    <row r="691" spans="1:2" x14ac:dyDescent="0.25">
      <c r="A691" s="219" t="str">
        <f ca="1">IF(ROW()-1&gt;NumDataColumns,"",MAX(INDIRECT(CONCATENATE("R",ROW(ResultColumnLabels[#Headers]),"C",COLUMN(),":R",ROW()-1,"C",COLUMN()),FALSE))+1)</f>
        <v/>
      </c>
      <c r="B691" s="219" t="str">
        <f ca="1">IF(ResultColumnLabels[[#This Row],[Data Value Number]]="","",INDEX(DataColumns[ColumnLabel],MATCH(ResultColumnLabels[[#This Row],[Data Value Number]],DataColumns[DVNum],0)))</f>
        <v/>
      </c>
    </row>
    <row r="692" spans="1:2" x14ac:dyDescent="0.25">
      <c r="A692" s="219" t="str">
        <f ca="1">IF(ROW()-1&gt;NumDataColumns,"",MAX(INDIRECT(CONCATENATE("R",ROW(ResultColumnLabels[#Headers]),"C",COLUMN(),":R",ROW()-1,"C",COLUMN()),FALSE))+1)</f>
        <v/>
      </c>
      <c r="B692" s="219" t="str">
        <f ca="1">IF(ResultColumnLabels[[#This Row],[Data Value Number]]="","",INDEX(DataColumns[ColumnLabel],MATCH(ResultColumnLabels[[#This Row],[Data Value Number]],DataColumns[DVNum],0)))</f>
        <v/>
      </c>
    </row>
    <row r="693" spans="1:2" x14ac:dyDescent="0.25">
      <c r="A693" s="219" t="str">
        <f ca="1">IF(ROW()-1&gt;NumDataColumns,"",MAX(INDIRECT(CONCATENATE("R",ROW(ResultColumnLabels[#Headers]),"C",COLUMN(),":R",ROW()-1,"C",COLUMN()),FALSE))+1)</f>
        <v/>
      </c>
      <c r="B693" s="219" t="str">
        <f ca="1">IF(ResultColumnLabels[[#This Row],[Data Value Number]]="","",INDEX(DataColumns[ColumnLabel],MATCH(ResultColumnLabels[[#This Row],[Data Value Number]],DataColumns[DVNum],0)))</f>
        <v/>
      </c>
    </row>
    <row r="694" spans="1:2" x14ac:dyDescent="0.25">
      <c r="A694" s="219" t="str">
        <f ca="1">IF(ROW()-1&gt;NumDataColumns,"",MAX(INDIRECT(CONCATENATE("R",ROW(ResultColumnLabels[#Headers]),"C",COLUMN(),":R",ROW()-1,"C",COLUMN()),FALSE))+1)</f>
        <v/>
      </c>
      <c r="B694" s="219" t="str">
        <f ca="1">IF(ResultColumnLabels[[#This Row],[Data Value Number]]="","",INDEX(DataColumns[ColumnLabel],MATCH(ResultColumnLabels[[#This Row],[Data Value Number]],DataColumns[DVNum],0)))</f>
        <v/>
      </c>
    </row>
    <row r="695" spans="1:2" x14ac:dyDescent="0.25">
      <c r="A695" s="219" t="str">
        <f ca="1">IF(ROW()-1&gt;NumDataColumns,"",MAX(INDIRECT(CONCATENATE("R",ROW(ResultColumnLabels[#Headers]),"C",COLUMN(),":R",ROW()-1,"C",COLUMN()),FALSE))+1)</f>
        <v/>
      </c>
      <c r="B695" s="219" t="str">
        <f ca="1">IF(ResultColumnLabels[[#This Row],[Data Value Number]]="","",INDEX(DataColumns[ColumnLabel],MATCH(ResultColumnLabels[[#This Row],[Data Value Number]],DataColumns[DVNum],0)))</f>
        <v/>
      </c>
    </row>
    <row r="696" spans="1:2" x14ac:dyDescent="0.25">
      <c r="A696" s="219" t="str">
        <f ca="1">IF(ROW()-1&gt;NumDataColumns,"",MAX(INDIRECT(CONCATENATE("R",ROW(ResultColumnLabels[#Headers]),"C",COLUMN(),":R",ROW()-1,"C",COLUMN()),FALSE))+1)</f>
        <v/>
      </c>
      <c r="B696" s="219" t="str">
        <f ca="1">IF(ResultColumnLabels[[#This Row],[Data Value Number]]="","",INDEX(DataColumns[ColumnLabel],MATCH(ResultColumnLabels[[#This Row],[Data Value Number]],DataColumns[DVNum],0)))</f>
        <v/>
      </c>
    </row>
    <row r="697" spans="1:2" x14ac:dyDescent="0.25">
      <c r="A697" s="219" t="str">
        <f ca="1">IF(ROW()-1&gt;NumDataColumns,"",MAX(INDIRECT(CONCATENATE("R",ROW(ResultColumnLabels[#Headers]),"C",COLUMN(),":R",ROW()-1,"C",COLUMN()),FALSE))+1)</f>
        <v/>
      </c>
      <c r="B697" s="219" t="str">
        <f ca="1">IF(ResultColumnLabels[[#This Row],[Data Value Number]]="","",INDEX(DataColumns[ColumnLabel],MATCH(ResultColumnLabels[[#This Row],[Data Value Number]],DataColumns[DVNum],0)))</f>
        <v/>
      </c>
    </row>
    <row r="698" spans="1:2" x14ac:dyDescent="0.25">
      <c r="A698" s="219" t="str">
        <f ca="1">IF(ROW()-1&gt;NumDataColumns,"",MAX(INDIRECT(CONCATENATE("R",ROW(ResultColumnLabels[#Headers]),"C",COLUMN(),":R",ROW()-1,"C",COLUMN()),FALSE))+1)</f>
        <v/>
      </c>
      <c r="B698" s="219" t="str">
        <f ca="1">IF(ResultColumnLabels[[#This Row],[Data Value Number]]="","",INDEX(DataColumns[ColumnLabel],MATCH(ResultColumnLabels[[#This Row],[Data Value Number]],DataColumns[DVNum],0)))</f>
        <v/>
      </c>
    </row>
    <row r="699" spans="1:2" x14ac:dyDescent="0.25">
      <c r="A699" s="219" t="str">
        <f ca="1">IF(ROW()-1&gt;NumDataColumns,"",MAX(INDIRECT(CONCATENATE("R",ROW(ResultColumnLabels[#Headers]),"C",COLUMN(),":R",ROW()-1,"C",COLUMN()),FALSE))+1)</f>
        <v/>
      </c>
      <c r="B699" s="219" t="str">
        <f ca="1">IF(ResultColumnLabels[[#This Row],[Data Value Number]]="","",INDEX(DataColumns[ColumnLabel],MATCH(ResultColumnLabels[[#This Row],[Data Value Number]],DataColumns[DVNum],0)))</f>
        <v/>
      </c>
    </row>
    <row r="700" spans="1:2" x14ac:dyDescent="0.25">
      <c r="A700" s="219" t="str">
        <f ca="1">IF(ROW()-1&gt;NumDataColumns,"",MAX(INDIRECT(CONCATENATE("R",ROW(ResultColumnLabels[#Headers]),"C",COLUMN(),":R",ROW()-1,"C",COLUMN()),FALSE))+1)</f>
        <v/>
      </c>
      <c r="B700" s="219" t="str">
        <f ca="1">IF(ResultColumnLabels[[#This Row],[Data Value Number]]="","",INDEX(DataColumns[ColumnLabel],MATCH(ResultColumnLabels[[#This Row],[Data Value Number]],DataColumns[DVNum],0)))</f>
        <v/>
      </c>
    </row>
    <row r="701" spans="1:2" x14ac:dyDescent="0.25">
      <c r="A701" s="219" t="str">
        <f ca="1">IF(ROW()-1&gt;NumDataColumns,"",MAX(INDIRECT(CONCATENATE("R",ROW(ResultColumnLabels[#Headers]),"C",COLUMN(),":R",ROW()-1,"C",COLUMN()),FALSE))+1)</f>
        <v/>
      </c>
      <c r="B701" s="219" t="str">
        <f ca="1">IF(ResultColumnLabels[[#This Row],[Data Value Number]]="","",INDEX(DataColumns[ColumnLabel],MATCH(ResultColumnLabels[[#This Row],[Data Value Number]],DataColumns[DVNum],0)))</f>
        <v/>
      </c>
    </row>
    <row r="702" spans="1:2" x14ac:dyDescent="0.25">
      <c r="A702" s="219" t="str">
        <f ca="1">IF(ROW()-1&gt;NumDataColumns,"",MAX(INDIRECT(CONCATENATE("R",ROW(ResultColumnLabels[#Headers]),"C",COLUMN(),":R",ROW()-1,"C",COLUMN()),FALSE))+1)</f>
        <v/>
      </c>
      <c r="B702" s="219" t="str">
        <f ca="1">IF(ResultColumnLabels[[#This Row],[Data Value Number]]="","",INDEX(DataColumns[ColumnLabel],MATCH(ResultColumnLabels[[#This Row],[Data Value Number]],DataColumns[DVNum],0)))</f>
        <v/>
      </c>
    </row>
    <row r="703" spans="1:2" x14ac:dyDescent="0.25">
      <c r="A703" s="219" t="str">
        <f ca="1">IF(ROW()-1&gt;NumDataColumns,"",MAX(INDIRECT(CONCATENATE("R",ROW(ResultColumnLabels[#Headers]),"C",COLUMN(),":R",ROW()-1,"C",COLUMN()),FALSE))+1)</f>
        <v/>
      </c>
      <c r="B703" s="219" t="str">
        <f ca="1">IF(ResultColumnLabels[[#This Row],[Data Value Number]]="","",INDEX(DataColumns[ColumnLabel],MATCH(ResultColumnLabels[[#This Row],[Data Value Number]],DataColumns[DVNum],0)))</f>
        <v/>
      </c>
    </row>
    <row r="704" spans="1:2" x14ac:dyDescent="0.25">
      <c r="A704" s="219" t="str">
        <f ca="1">IF(ROW()-1&gt;NumDataColumns,"",MAX(INDIRECT(CONCATENATE("R",ROW(ResultColumnLabels[#Headers]),"C",COLUMN(),":R",ROW()-1,"C",COLUMN()),FALSE))+1)</f>
        <v/>
      </c>
      <c r="B704" s="219" t="str">
        <f ca="1">IF(ResultColumnLabels[[#This Row],[Data Value Number]]="","",INDEX(DataColumns[ColumnLabel],MATCH(ResultColumnLabels[[#This Row],[Data Value Number]],DataColumns[DVNum],0)))</f>
        <v/>
      </c>
    </row>
    <row r="705" spans="1:2" x14ac:dyDescent="0.25">
      <c r="A705" s="219" t="str">
        <f ca="1">IF(ROW()-1&gt;NumDataColumns,"",MAX(INDIRECT(CONCATENATE("R",ROW(ResultColumnLabels[#Headers]),"C",COLUMN(),":R",ROW()-1,"C",COLUMN()),FALSE))+1)</f>
        <v/>
      </c>
      <c r="B705" s="219" t="str">
        <f ca="1">IF(ResultColumnLabels[[#This Row],[Data Value Number]]="","",INDEX(DataColumns[ColumnLabel],MATCH(ResultColumnLabels[[#This Row],[Data Value Number]],DataColumns[DVNum],0)))</f>
        <v/>
      </c>
    </row>
    <row r="706" spans="1:2" x14ac:dyDescent="0.25">
      <c r="A706" s="219" t="str">
        <f ca="1">IF(ROW()-1&gt;NumDataColumns,"",MAX(INDIRECT(CONCATENATE("R",ROW(ResultColumnLabels[#Headers]),"C",COLUMN(),":R",ROW()-1,"C",COLUMN()),FALSE))+1)</f>
        <v/>
      </c>
      <c r="B706" s="219" t="str">
        <f ca="1">IF(ResultColumnLabels[[#This Row],[Data Value Number]]="","",INDEX(DataColumns[ColumnLabel],MATCH(ResultColumnLabels[[#This Row],[Data Value Number]],DataColumns[DVNum],0)))</f>
        <v/>
      </c>
    </row>
    <row r="707" spans="1:2" x14ac:dyDescent="0.25">
      <c r="A707" s="219" t="str">
        <f ca="1">IF(ROW()-1&gt;NumDataColumns,"",MAX(INDIRECT(CONCATENATE("R",ROW(ResultColumnLabels[#Headers]),"C",COLUMN(),":R",ROW()-1,"C",COLUMN()),FALSE))+1)</f>
        <v/>
      </c>
      <c r="B707" s="219" t="str">
        <f ca="1">IF(ResultColumnLabels[[#This Row],[Data Value Number]]="","",INDEX(DataColumns[ColumnLabel],MATCH(ResultColumnLabels[[#This Row],[Data Value Number]],DataColumns[DVNum],0)))</f>
        <v/>
      </c>
    </row>
    <row r="708" spans="1:2" x14ac:dyDescent="0.25">
      <c r="A708" s="219" t="str">
        <f ca="1">IF(ROW()-1&gt;NumDataColumns,"",MAX(INDIRECT(CONCATENATE("R",ROW(ResultColumnLabels[#Headers]),"C",COLUMN(),":R",ROW()-1,"C",COLUMN()),FALSE))+1)</f>
        <v/>
      </c>
      <c r="B708" s="219" t="str">
        <f ca="1">IF(ResultColumnLabels[[#This Row],[Data Value Number]]="","",INDEX(DataColumns[ColumnLabel],MATCH(ResultColumnLabels[[#This Row],[Data Value Number]],DataColumns[DVNum],0)))</f>
        <v/>
      </c>
    </row>
    <row r="709" spans="1:2" x14ac:dyDescent="0.25">
      <c r="A709" s="219" t="str">
        <f ca="1">IF(ROW()-1&gt;NumDataColumns,"",MAX(INDIRECT(CONCATENATE("R",ROW(ResultColumnLabels[#Headers]),"C",COLUMN(),":R",ROW()-1,"C",COLUMN()),FALSE))+1)</f>
        <v/>
      </c>
      <c r="B709" s="219" t="str">
        <f ca="1">IF(ResultColumnLabels[[#This Row],[Data Value Number]]="","",INDEX(DataColumns[ColumnLabel],MATCH(ResultColumnLabels[[#This Row],[Data Value Number]],DataColumns[DVNum],0)))</f>
        <v/>
      </c>
    </row>
    <row r="710" spans="1:2" x14ac:dyDescent="0.25">
      <c r="A710" s="219" t="str">
        <f ca="1">IF(ROW()-1&gt;NumDataColumns,"",MAX(INDIRECT(CONCATENATE("R",ROW(ResultColumnLabels[#Headers]),"C",COLUMN(),":R",ROW()-1,"C",COLUMN()),FALSE))+1)</f>
        <v/>
      </c>
      <c r="B710" s="219" t="str">
        <f ca="1">IF(ResultColumnLabels[[#This Row],[Data Value Number]]="","",INDEX(DataColumns[ColumnLabel],MATCH(ResultColumnLabels[[#This Row],[Data Value Number]],DataColumns[DVNum],0)))</f>
        <v/>
      </c>
    </row>
    <row r="711" spans="1:2" x14ac:dyDescent="0.25">
      <c r="A711" s="219" t="str">
        <f ca="1">IF(ROW()-1&gt;NumDataColumns,"",MAX(INDIRECT(CONCATENATE("R",ROW(ResultColumnLabels[#Headers]),"C",COLUMN(),":R",ROW()-1,"C",COLUMN()),FALSE))+1)</f>
        <v/>
      </c>
      <c r="B711" s="219" t="str">
        <f ca="1">IF(ResultColumnLabels[[#This Row],[Data Value Number]]="","",INDEX(DataColumns[ColumnLabel],MATCH(ResultColumnLabels[[#This Row],[Data Value Number]],DataColumns[DVNum],0)))</f>
        <v/>
      </c>
    </row>
    <row r="712" spans="1:2" x14ac:dyDescent="0.25">
      <c r="A712" s="219" t="str">
        <f ca="1">IF(ROW()-1&gt;NumDataColumns,"",MAX(INDIRECT(CONCATENATE("R",ROW(ResultColumnLabels[#Headers]),"C",COLUMN(),":R",ROW()-1,"C",COLUMN()),FALSE))+1)</f>
        <v/>
      </c>
      <c r="B712" s="219" t="str">
        <f ca="1">IF(ResultColumnLabels[[#This Row],[Data Value Number]]="","",INDEX(DataColumns[ColumnLabel],MATCH(ResultColumnLabels[[#This Row],[Data Value Number]],DataColumns[DVNum],0)))</f>
        <v/>
      </c>
    </row>
    <row r="713" spans="1:2" x14ac:dyDescent="0.25">
      <c r="A713" s="219" t="str">
        <f ca="1">IF(ROW()-1&gt;NumDataColumns,"",MAX(INDIRECT(CONCATENATE("R",ROW(ResultColumnLabels[#Headers]),"C",COLUMN(),":R",ROW()-1,"C",COLUMN()),FALSE))+1)</f>
        <v/>
      </c>
      <c r="B713" s="219" t="str">
        <f ca="1">IF(ResultColumnLabels[[#This Row],[Data Value Number]]="","",INDEX(DataColumns[ColumnLabel],MATCH(ResultColumnLabels[[#This Row],[Data Value Number]],DataColumns[DVNum],0)))</f>
        <v/>
      </c>
    </row>
    <row r="714" spans="1:2" x14ac:dyDescent="0.25">
      <c r="A714" s="219" t="str">
        <f ca="1">IF(ROW()-1&gt;NumDataColumns,"",MAX(INDIRECT(CONCATENATE("R",ROW(ResultColumnLabels[#Headers]),"C",COLUMN(),":R",ROW()-1,"C",COLUMN()),FALSE))+1)</f>
        <v/>
      </c>
      <c r="B714" s="219" t="str">
        <f ca="1">IF(ResultColumnLabels[[#This Row],[Data Value Number]]="","",INDEX(DataColumns[ColumnLabel],MATCH(ResultColumnLabels[[#This Row],[Data Value Number]],DataColumns[DVNum],0)))</f>
        <v/>
      </c>
    </row>
    <row r="715" spans="1:2" x14ac:dyDescent="0.25">
      <c r="A715" s="219" t="str">
        <f ca="1">IF(ROW()-1&gt;NumDataColumns,"",MAX(INDIRECT(CONCATENATE("R",ROW(ResultColumnLabels[#Headers]),"C",COLUMN(),":R",ROW()-1,"C",COLUMN()),FALSE))+1)</f>
        <v/>
      </c>
      <c r="B715" s="219" t="str">
        <f ca="1">IF(ResultColumnLabels[[#This Row],[Data Value Number]]="","",INDEX(DataColumns[ColumnLabel],MATCH(ResultColumnLabels[[#This Row],[Data Value Number]],DataColumns[DVNum],0)))</f>
        <v/>
      </c>
    </row>
    <row r="716" spans="1:2" x14ac:dyDescent="0.25">
      <c r="A716" s="219" t="str">
        <f ca="1">IF(ROW()-1&gt;NumDataColumns,"",MAX(INDIRECT(CONCATENATE("R",ROW(ResultColumnLabels[#Headers]),"C",COLUMN(),":R",ROW()-1,"C",COLUMN()),FALSE))+1)</f>
        <v/>
      </c>
      <c r="B716" s="219" t="str">
        <f ca="1">IF(ResultColumnLabels[[#This Row],[Data Value Number]]="","",INDEX(DataColumns[ColumnLabel],MATCH(ResultColumnLabels[[#This Row],[Data Value Number]],DataColumns[DVNum],0)))</f>
        <v/>
      </c>
    </row>
    <row r="717" spans="1:2" x14ac:dyDescent="0.25">
      <c r="A717" s="219" t="str">
        <f ca="1">IF(ROW()-1&gt;NumDataColumns,"",MAX(INDIRECT(CONCATENATE("R",ROW(ResultColumnLabels[#Headers]),"C",COLUMN(),":R",ROW()-1,"C",COLUMN()),FALSE))+1)</f>
        <v/>
      </c>
      <c r="B717" s="219" t="str">
        <f ca="1">IF(ResultColumnLabels[[#This Row],[Data Value Number]]="","",INDEX(DataColumns[ColumnLabel],MATCH(ResultColumnLabels[[#This Row],[Data Value Number]],DataColumns[DVNum],0)))</f>
        <v/>
      </c>
    </row>
    <row r="718" spans="1:2" x14ac:dyDescent="0.25">
      <c r="A718" s="219" t="str">
        <f ca="1">IF(ROW()-1&gt;NumDataColumns,"",MAX(INDIRECT(CONCATENATE("R",ROW(ResultColumnLabels[#Headers]),"C",COLUMN(),":R",ROW()-1,"C",COLUMN()),FALSE))+1)</f>
        <v/>
      </c>
      <c r="B718" s="219" t="str">
        <f ca="1">IF(ResultColumnLabels[[#This Row],[Data Value Number]]="","",INDEX(DataColumns[ColumnLabel],MATCH(ResultColumnLabels[[#This Row],[Data Value Number]],DataColumns[DVNum],0)))</f>
        <v/>
      </c>
    </row>
    <row r="719" spans="1:2" x14ac:dyDescent="0.25">
      <c r="A719" s="219" t="str">
        <f ca="1">IF(ROW()-1&gt;NumDataColumns,"",MAX(INDIRECT(CONCATENATE("R",ROW(ResultColumnLabels[#Headers]),"C",COLUMN(),":R",ROW()-1,"C",COLUMN()),FALSE))+1)</f>
        <v/>
      </c>
      <c r="B719" s="219" t="str">
        <f ca="1">IF(ResultColumnLabels[[#This Row],[Data Value Number]]="","",INDEX(DataColumns[ColumnLabel],MATCH(ResultColumnLabels[[#This Row],[Data Value Number]],DataColumns[DVNum],0)))</f>
        <v/>
      </c>
    </row>
    <row r="720" spans="1:2" x14ac:dyDescent="0.25">
      <c r="A720" s="219" t="str">
        <f ca="1">IF(ROW()-1&gt;NumDataColumns,"",MAX(INDIRECT(CONCATENATE("R",ROW(ResultColumnLabels[#Headers]),"C",COLUMN(),":R",ROW()-1,"C",COLUMN()),FALSE))+1)</f>
        <v/>
      </c>
      <c r="B720" s="219" t="str">
        <f ca="1">IF(ResultColumnLabels[[#This Row],[Data Value Number]]="","",INDEX(DataColumns[ColumnLabel],MATCH(ResultColumnLabels[[#This Row],[Data Value Number]],DataColumns[DVNum],0)))</f>
        <v/>
      </c>
    </row>
    <row r="721" spans="1:2" x14ac:dyDescent="0.25">
      <c r="A721" s="219" t="str">
        <f ca="1">IF(ROW()-1&gt;NumDataColumns,"",MAX(INDIRECT(CONCATENATE("R",ROW(ResultColumnLabels[#Headers]),"C",COLUMN(),":R",ROW()-1,"C",COLUMN()),FALSE))+1)</f>
        <v/>
      </c>
      <c r="B721" s="219" t="str">
        <f ca="1">IF(ResultColumnLabels[[#This Row],[Data Value Number]]="","",INDEX(DataColumns[ColumnLabel],MATCH(ResultColumnLabels[[#This Row],[Data Value Number]],DataColumns[DVNum],0)))</f>
        <v/>
      </c>
    </row>
    <row r="722" spans="1:2" x14ac:dyDescent="0.25">
      <c r="A722" s="219" t="str">
        <f ca="1">IF(ROW()-1&gt;NumDataColumns,"",MAX(INDIRECT(CONCATENATE("R",ROW(ResultColumnLabels[#Headers]),"C",COLUMN(),":R",ROW()-1,"C",COLUMN()),FALSE))+1)</f>
        <v/>
      </c>
      <c r="B722" s="219" t="str">
        <f ca="1">IF(ResultColumnLabels[[#This Row],[Data Value Number]]="","",INDEX(DataColumns[ColumnLabel],MATCH(ResultColumnLabels[[#This Row],[Data Value Number]],DataColumns[DVNum],0)))</f>
        <v/>
      </c>
    </row>
    <row r="723" spans="1:2" x14ac:dyDescent="0.25">
      <c r="A723" s="219" t="str">
        <f ca="1">IF(ROW()-1&gt;NumDataColumns,"",MAX(INDIRECT(CONCATENATE("R",ROW(ResultColumnLabels[#Headers]),"C",COLUMN(),":R",ROW()-1,"C",COLUMN()),FALSE))+1)</f>
        <v/>
      </c>
      <c r="B723" s="219" t="str">
        <f ca="1">IF(ResultColumnLabels[[#This Row],[Data Value Number]]="","",INDEX(DataColumns[ColumnLabel],MATCH(ResultColumnLabels[[#This Row],[Data Value Number]],DataColumns[DVNum],0)))</f>
        <v/>
      </c>
    </row>
    <row r="724" spans="1:2" x14ac:dyDescent="0.25">
      <c r="A724" s="219" t="str">
        <f ca="1">IF(ROW()-1&gt;NumDataColumns,"",MAX(INDIRECT(CONCATENATE("R",ROW(ResultColumnLabels[#Headers]),"C",COLUMN(),":R",ROW()-1,"C",COLUMN()),FALSE))+1)</f>
        <v/>
      </c>
      <c r="B724" s="219" t="str">
        <f ca="1">IF(ResultColumnLabels[[#This Row],[Data Value Number]]="","",INDEX(DataColumns[ColumnLabel],MATCH(ResultColumnLabels[[#This Row],[Data Value Number]],DataColumns[DVNum],0)))</f>
        <v/>
      </c>
    </row>
    <row r="725" spans="1:2" x14ac:dyDescent="0.25">
      <c r="A725" s="219" t="str">
        <f ca="1">IF(ROW()-1&gt;NumDataColumns,"",MAX(INDIRECT(CONCATENATE("R",ROW(ResultColumnLabels[#Headers]),"C",COLUMN(),":R",ROW()-1,"C",COLUMN()),FALSE))+1)</f>
        <v/>
      </c>
      <c r="B725" s="219" t="str">
        <f ca="1">IF(ResultColumnLabels[[#This Row],[Data Value Number]]="","",INDEX(DataColumns[ColumnLabel],MATCH(ResultColumnLabels[[#This Row],[Data Value Number]],DataColumns[DVNum],0)))</f>
        <v/>
      </c>
    </row>
    <row r="726" spans="1:2" x14ac:dyDescent="0.25">
      <c r="A726" s="219" t="str">
        <f ca="1">IF(ROW()-1&gt;NumDataColumns,"",MAX(INDIRECT(CONCATENATE("R",ROW(ResultColumnLabels[#Headers]),"C",COLUMN(),":R",ROW()-1,"C",COLUMN()),FALSE))+1)</f>
        <v/>
      </c>
      <c r="B726" s="219" t="str">
        <f ca="1">IF(ResultColumnLabels[[#This Row],[Data Value Number]]="","",INDEX(DataColumns[ColumnLabel],MATCH(ResultColumnLabels[[#This Row],[Data Value Number]],DataColumns[DVNum],0)))</f>
        <v/>
      </c>
    </row>
    <row r="727" spans="1:2" x14ac:dyDescent="0.25">
      <c r="A727" s="219" t="str">
        <f ca="1">IF(ROW()-1&gt;NumDataColumns,"",MAX(INDIRECT(CONCATENATE("R",ROW(ResultColumnLabels[#Headers]),"C",COLUMN(),":R",ROW()-1,"C",COLUMN()),FALSE))+1)</f>
        <v/>
      </c>
      <c r="B727" s="219" t="str">
        <f ca="1">IF(ResultColumnLabels[[#This Row],[Data Value Number]]="","",INDEX(DataColumns[ColumnLabel],MATCH(ResultColumnLabels[[#This Row],[Data Value Number]],DataColumns[DVNum],0)))</f>
        <v/>
      </c>
    </row>
    <row r="728" spans="1:2" x14ac:dyDescent="0.25">
      <c r="A728" s="219" t="str">
        <f ca="1">IF(ROW()-1&gt;NumDataColumns,"",MAX(INDIRECT(CONCATENATE("R",ROW(ResultColumnLabels[#Headers]),"C",COLUMN(),":R",ROW()-1,"C",COLUMN()),FALSE))+1)</f>
        <v/>
      </c>
      <c r="B728" s="219" t="str">
        <f ca="1">IF(ResultColumnLabels[[#This Row],[Data Value Number]]="","",INDEX(DataColumns[ColumnLabel],MATCH(ResultColumnLabels[[#This Row],[Data Value Number]],DataColumns[DVNum],0)))</f>
        <v/>
      </c>
    </row>
    <row r="729" spans="1:2" x14ac:dyDescent="0.25">
      <c r="A729" s="219" t="str">
        <f ca="1">IF(ROW()-1&gt;NumDataColumns,"",MAX(INDIRECT(CONCATENATE("R",ROW(ResultColumnLabels[#Headers]),"C",COLUMN(),":R",ROW()-1,"C",COLUMN()),FALSE))+1)</f>
        <v/>
      </c>
      <c r="B729" s="219" t="str">
        <f ca="1">IF(ResultColumnLabels[[#This Row],[Data Value Number]]="","",INDEX(DataColumns[ColumnLabel],MATCH(ResultColumnLabels[[#This Row],[Data Value Number]],DataColumns[DVNum],0)))</f>
        <v/>
      </c>
    </row>
    <row r="730" spans="1:2" x14ac:dyDescent="0.25">
      <c r="A730" s="219" t="str">
        <f ca="1">IF(ROW()-1&gt;NumDataColumns,"",MAX(INDIRECT(CONCATENATE("R",ROW(ResultColumnLabels[#Headers]),"C",COLUMN(),":R",ROW()-1,"C",COLUMN()),FALSE))+1)</f>
        <v/>
      </c>
      <c r="B730" s="219" t="str">
        <f ca="1">IF(ResultColumnLabels[[#This Row],[Data Value Number]]="","",INDEX(DataColumns[ColumnLabel],MATCH(ResultColumnLabels[[#This Row],[Data Value Number]],DataColumns[DVNum],0)))</f>
        <v/>
      </c>
    </row>
    <row r="731" spans="1:2" x14ac:dyDescent="0.25">
      <c r="A731" s="219" t="str">
        <f ca="1">IF(ROW()-1&gt;NumDataColumns,"",MAX(INDIRECT(CONCATENATE("R",ROW(ResultColumnLabels[#Headers]),"C",COLUMN(),":R",ROW()-1,"C",COLUMN()),FALSE))+1)</f>
        <v/>
      </c>
      <c r="B731" s="219" t="str">
        <f ca="1">IF(ResultColumnLabels[[#This Row],[Data Value Number]]="","",INDEX(DataColumns[ColumnLabel],MATCH(ResultColumnLabels[[#This Row],[Data Value Number]],DataColumns[DVNum],0)))</f>
        <v/>
      </c>
    </row>
    <row r="732" spans="1:2" x14ac:dyDescent="0.25">
      <c r="A732" s="219" t="str">
        <f ca="1">IF(ROW()-1&gt;NumDataColumns,"",MAX(INDIRECT(CONCATENATE("R",ROW(ResultColumnLabels[#Headers]),"C",COLUMN(),":R",ROW()-1,"C",COLUMN()),FALSE))+1)</f>
        <v/>
      </c>
      <c r="B732" s="219" t="str">
        <f ca="1">IF(ResultColumnLabels[[#This Row],[Data Value Number]]="","",INDEX(DataColumns[ColumnLabel],MATCH(ResultColumnLabels[[#This Row],[Data Value Number]],DataColumns[DVNum],0)))</f>
        <v/>
      </c>
    </row>
    <row r="733" spans="1:2" x14ac:dyDescent="0.25">
      <c r="A733" s="219" t="str">
        <f ca="1">IF(ROW()-1&gt;NumDataColumns,"",MAX(INDIRECT(CONCATENATE("R",ROW(ResultColumnLabels[#Headers]),"C",COLUMN(),":R",ROW()-1,"C",COLUMN()),FALSE))+1)</f>
        <v/>
      </c>
      <c r="B733" s="219" t="str">
        <f ca="1">IF(ResultColumnLabels[[#This Row],[Data Value Number]]="","",INDEX(DataColumns[ColumnLabel],MATCH(ResultColumnLabels[[#This Row],[Data Value Number]],DataColumns[DVNum],0)))</f>
        <v/>
      </c>
    </row>
    <row r="734" spans="1:2" x14ac:dyDescent="0.25">
      <c r="A734" s="219" t="str">
        <f ca="1">IF(ROW()-1&gt;NumDataColumns,"",MAX(INDIRECT(CONCATENATE("R",ROW(ResultColumnLabels[#Headers]),"C",COLUMN(),":R",ROW()-1,"C",COLUMN()),FALSE))+1)</f>
        <v/>
      </c>
      <c r="B734" s="219" t="str">
        <f ca="1">IF(ResultColumnLabels[[#This Row],[Data Value Number]]="","",INDEX(DataColumns[ColumnLabel],MATCH(ResultColumnLabels[[#This Row],[Data Value Number]],DataColumns[DVNum],0)))</f>
        <v/>
      </c>
    </row>
    <row r="735" spans="1:2" x14ac:dyDescent="0.25">
      <c r="A735" s="219" t="str">
        <f ca="1">IF(ROW()-1&gt;NumDataColumns,"",MAX(INDIRECT(CONCATENATE("R",ROW(ResultColumnLabels[#Headers]),"C",COLUMN(),":R",ROW()-1,"C",COLUMN()),FALSE))+1)</f>
        <v/>
      </c>
      <c r="B735" s="219" t="str">
        <f ca="1">IF(ResultColumnLabels[[#This Row],[Data Value Number]]="","",INDEX(DataColumns[ColumnLabel],MATCH(ResultColumnLabels[[#This Row],[Data Value Number]],DataColumns[DVNum],0)))</f>
        <v/>
      </c>
    </row>
    <row r="736" spans="1:2" x14ac:dyDescent="0.25">
      <c r="A736" s="219" t="str">
        <f ca="1">IF(ROW()-1&gt;NumDataColumns,"",MAX(INDIRECT(CONCATENATE("R",ROW(ResultColumnLabels[#Headers]),"C",COLUMN(),":R",ROW()-1,"C",COLUMN()),FALSE))+1)</f>
        <v/>
      </c>
      <c r="B736" s="219" t="str">
        <f ca="1">IF(ResultColumnLabels[[#This Row],[Data Value Number]]="","",INDEX(DataColumns[ColumnLabel],MATCH(ResultColumnLabels[[#This Row],[Data Value Number]],DataColumns[DVNum],0)))</f>
        <v/>
      </c>
    </row>
    <row r="737" spans="1:2" x14ac:dyDescent="0.25">
      <c r="A737" s="219" t="str">
        <f ca="1">IF(ROW()-1&gt;NumDataColumns,"",MAX(INDIRECT(CONCATENATE("R",ROW(ResultColumnLabels[#Headers]),"C",COLUMN(),":R",ROW()-1,"C",COLUMN()),FALSE))+1)</f>
        <v/>
      </c>
      <c r="B737" s="219" t="str">
        <f ca="1">IF(ResultColumnLabels[[#This Row],[Data Value Number]]="","",INDEX(DataColumns[ColumnLabel],MATCH(ResultColumnLabels[[#This Row],[Data Value Number]],DataColumns[DVNum],0)))</f>
        <v/>
      </c>
    </row>
    <row r="738" spans="1:2" x14ac:dyDescent="0.25">
      <c r="A738" s="219" t="str">
        <f ca="1">IF(ROW()-1&gt;NumDataColumns,"",MAX(INDIRECT(CONCATENATE("R",ROW(ResultColumnLabels[#Headers]),"C",COLUMN(),":R",ROW()-1,"C",COLUMN()),FALSE))+1)</f>
        <v/>
      </c>
      <c r="B738" s="219" t="str">
        <f ca="1">IF(ResultColumnLabels[[#This Row],[Data Value Number]]="","",INDEX(DataColumns[ColumnLabel],MATCH(ResultColumnLabels[[#This Row],[Data Value Number]],DataColumns[DVNum],0)))</f>
        <v/>
      </c>
    </row>
    <row r="739" spans="1:2" x14ac:dyDescent="0.25">
      <c r="A739" s="219" t="str">
        <f ca="1">IF(ROW()-1&gt;NumDataColumns,"",MAX(INDIRECT(CONCATENATE("R",ROW(ResultColumnLabels[#Headers]),"C",COLUMN(),":R",ROW()-1,"C",COLUMN()),FALSE))+1)</f>
        <v/>
      </c>
      <c r="B739" s="219" t="str">
        <f ca="1">IF(ResultColumnLabels[[#This Row],[Data Value Number]]="","",INDEX(DataColumns[ColumnLabel],MATCH(ResultColumnLabels[[#This Row],[Data Value Number]],DataColumns[DVNum],0)))</f>
        <v/>
      </c>
    </row>
    <row r="740" spans="1:2" x14ac:dyDescent="0.25">
      <c r="A740" s="219" t="str">
        <f ca="1">IF(ROW()-1&gt;NumDataColumns,"",MAX(INDIRECT(CONCATENATE("R",ROW(ResultColumnLabels[#Headers]),"C",COLUMN(),":R",ROW()-1,"C",COLUMN()),FALSE))+1)</f>
        <v/>
      </c>
      <c r="B740" s="219" t="str">
        <f ca="1">IF(ResultColumnLabels[[#This Row],[Data Value Number]]="","",INDEX(DataColumns[ColumnLabel],MATCH(ResultColumnLabels[[#This Row],[Data Value Number]],DataColumns[DVNum],0)))</f>
        <v/>
      </c>
    </row>
    <row r="741" spans="1:2" x14ac:dyDescent="0.25">
      <c r="A741" s="219" t="str">
        <f ca="1">IF(ROW()-1&gt;NumDataColumns,"",MAX(INDIRECT(CONCATENATE("R",ROW(ResultColumnLabels[#Headers]),"C",COLUMN(),":R",ROW()-1,"C",COLUMN()),FALSE))+1)</f>
        <v/>
      </c>
      <c r="B741" s="219" t="str">
        <f ca="1">IF(ResultColumnLabels[[#This Row],[Data Value Number]]="","",INDEX(DataColumns[ColumnLabel],MATCH(ResultColumnLabels[[#This Row],[Data Value Number]],DataColumns[DVNum],0)))</f>
        <v/>
      </c>
    </row>
    <row r="742" spans="1:2" x14ac:dyDescent="0.25">
      <c r="A742" s="219" t="str">
        <f ca="1">IF(ROW()-1&gt;NumDataColumns,"",MAX(INDIRECT(CONCATENATE("R",ROW(ResultColumnLabels[#Headers]),"C",COLUMN(),":R",ROW()-1,"C",COLUMN()),FALSE))+1)</f>
        <v/>
      </c>
      <c r="B742" s="219" t="str">
        <f ca="1">IF(ResultColumnLabels[[#This Row],[Data Value Number]]="","",INDEX(DataColumns[ColumnLabel],MATCH(ResultColumnLabels[[#This Row],[Data Value Number]],DataColumns[DVNum],0)))</f>
        <v/>
      </c>
    </row>
    <row r="743" spans="1:2" x14ac:dyDescent="0.25">
      <c r="A743" s="219" t="str">
        <f ca="1">IF(ROW()-1&gt;NumDataColumns,"",MAX(INDIRECT(CONCATENATE("R",ROW(ResultColumnLabels[#Headers]),"C",COLUMN(),":R",ROW()-1,"C",COLUMN()),FALSE))+1)</f>
        <v/>
      </c>
      <c r="B743" s="219" t="str">
        <f ca="1">IF(ResultColumnLabels[[#This Row],[Data Value Number]]="","",INDEX(DataColumns[ColumnLabel],MATCH(ResultColumnLabels[[#This Row],[Data Value Number]],DataColumns[DVNum],0)))</f>
        <v/>
      </c>
    </row>
    <row r="744" spans="1:2" x14ac:dyDescent="0.25">
      <c r="A744" s="219" t="str">
        <f ca="1">IF(ROW()-1&gt;NumDataColumns,"",MAX(INDIRECT(CONCATENATE("R",ROW(ResultColumnLabels[#Headers]),"C",COLUMN(),":R",ROW()-1,"C",COLUMN()),FALSE))+1)</f>
        <v/>
      </c>
      <c r="B744" s="219" t="str">
        <f ca="1">IF(ResultColumnLabels[[#This Row],[Data Value Number]]="","",INDEX(DataColumns[ColumnLabel],MATCH(ResultColumnLabels[[#This Row],[Data Value Number]],DataColumns[DVNum],0)))</f>
        <v/>
      </c>
    </row>
    <row r="745" spans="1:2" x14ac:dyDescent="0.25">
      <c r="A745" s="219" t="str">
        <f ca="1">IF(ROW()-1&gt;NumDataColumns,"",MAX(INDIRECT(CONCATENATE("R",ROW(ResultColumnLabels[#Headers]),"C",COLUMN(),":R",ROW()-1,"C",COLUMN()),FALSE))+1)</f>
        <v/>
      </c>
      <c r="B745" s="219" t="str">
        <f ca="1">IF(ResultColumnLabels[[#This Row],[Data Value Number]]="","",INDEX(DataColumns[ColumnLabel],MATCH(ResultColumnLabels[[#This Row],[Data Value Number]],DataColumns[DVNum],0)))</f>
        <v/>
      </c>
    </row>
    <row r="746" spans="1:2" x14ac:dyDescent="0.25">
      <c r="A746" s="219" t="str">
        <f ca="1">IF(ROW()-1&gt;NumDataColumns,"",MAX(INDIRECT(CONCATENATE("R",ROW(ResultColumnLabels[#Headers]),"C",COLUMN(),":R",ROW()-1,"C",COLUMN()),FALSE))+1)</f>
        <v/>
      </c>
      <c r="B746" s="219" t="str">
        <f ca="1">IF(ResultColumnLabels[[#This Row],[Data Value Number]]="","",INDEX(DataColumns[ColumnLabel],MATCH(ResultColumnLabels[[#This Row],[Data Value Number]],DataColumns[DVNum],0)))</f>
        <v/>
      </c>
    </row>
    <row r="747" spans="1:2" x14ac:dyDescent="0.25">
      <c r="A747" s="219" t="str">
        <f ca="1">IF(ROW()-1&gt;NumDataColumns,"",MAX(INDIRECT(CONCATENATE("R",ROW(ResultColumnLabels[#Headers]),"C",COLUMN(),":R",ROW()-1,"C",COLUMN()),FALSE))+1)</f>
        <v/>
      </c>
      <c r="B747" s="219" t="str">
        <f ca="1">IF(ResultColumnLabels[[#This Row],[Data Value Number]]="","",INDEX(DataColumns[ColumnLabel],MATCH(ResultColumnLabels[[#This Row],[Data Value Number]],DataColumns[DVNum],0)))</f>
        <v/>
      </c>
    </row>
    <row r="748" spans="1:2" x14ac:dyDescent="0.25">
      <c r="A748" s="219" t="str">
        <f ca="1">IF(ROW()-1&gt;NumDataColumns,"",MAX(INDIRECT(CONCATENATE("R",ROW(ResultColumnLabels[#Headers]),"C",COLUMN(),":R",ROW()-1,"C",COLUMN()),FALSE))+1)</f>
        <v/>
      </c>
      <c r="B748" s="219" t="str">
        <f ca="1">IF(ResultColumnLabels[[#This Row],[Data Value Number]]="","",INDEX(DataColumns[ColumnLabel],MATCH(ResultColumnLabels[[#This Row],[Data Value Number]],DataColumns[DVNum],0)))</f>
        <v/>
      </c>
    </row>
    <row r="749" spans="1:2" x14ac:dyDescent="0.25">
      <c r="A749" s="219" t="str">
        <f ca="1">IF(ROW()-1&gt;NumDataColumns,"",MAX(INDIRECT(CONCATENATE("R",ROW(ResultColumnLabels[#Headers]),"C",COLUMN(),":R",ROW()-1,"C",COLUMN()),FALSE))+1)</f>
        <v/>
      </c>
      <c r="B749" s="219" t="str">
        <f ca="1">IF(ResultColumnLabels[[#This Row],[Data Value Number]]="","",INDEX(DataColumns[ColumnLabel],MATCH(ResultColumnLabels[[#This Row],[Data Value Number]],DataColumns[DVNum],0)))</f>
        <v/>
      </c>
    </row>
    <row r="750" spans="1:2" x14ac:dyDescent="0.25">
      <c r="A750" s="219" t="str">
        <f ca="1">IF(ROW()-1&gt;NumDataColumns,"",MAX(INDIRECT(CONCATENATE("R",ROW(ResultColumnLabels[#Headers]),"C",COLUMN(),":R",ROW()-1,"C",COLUMN()),FALSE))+1)</f>
        <v/>
      </c>
      <c r="B750" s="219" t="str">
        <f ca="1">IF(ResultColumnLabels[[#This Row],[Data Value Number]]="","",INDEX(DataColumns[ColumnLabel],MATCH(ResultColumnLabels[[#This Row],[Data Value Number]],DataColumns[DVNum],0)))</f>
        <v/>
      </c>
    </row>
    <row r="751" spans="1:2" x14ac:dyDescent="0.25">
      <c r="A751" s="219" t="str">
        <f ca="1">IF(ROW()-1&gt;NumDataColumns,"",MAX(INDIRECT(CONCATENATE("R",ROW(ResultColumnLabels[#Headers]),"C",COLUMN(),":R",ROW()-1,"C",COLUMN()),FALSE))+1)</f>
        <v/>
      </c>
      <c r="B751" s="219" t="str">
        <f ca="1">IF(ResultColumnLabels[[#This Row],[Data Value Number]]="","",INDEX(DataColumns[ColumnLabel],MATCH(ResultColumnLabels[[#This Row],[Data Value Number]],DataColumns[DVNum],0)))</f>
        <v/>
      </c>
    </row>
    <row r="752" spans="1:2" x14ac:dyDescent="0.25">
      <c r="A752" s="219" t="str">
        <f ca="1">IF(ROW()-1&gt;NumDataColumns,"",MAX(INDIRECT(CONCATENATE("R",ROW(ResultColumnLabels[#Headers]),"C",COLUMN(),":R",ROW()-1,"C",COLUMN()),FALSE))+1)</f>
        <v/>
      </c>
      <c r="B752" s="219" t="str">
        <f ca="1">IF(ResultColumnLabels[[#This Row],[Data Value Number]]="","",INDEX(DataColumns[ColumnLabel],MATCH(ResultColumnLabels[[#This Row],[Data Value Number]],DataColumns[DVNum],0)))</f>
        <v/>
      </c>
    </row>
    <row r="753" spans="1:2" x14ac:dyDescent="0.25">
      <c r="A753" s="219" t="str">
        <f ca="1">IF(ROW()-1&gt;NumDataColumns,"",MAX(INDIRECT(CONCATENATE("R",ROW(ResultColumnLabels[#Headers]),"C",COLUMN(),":R",ROW()-1,"C",COLUMN()),FALSE))+1)</f>
        <v/>
      </c>
      <c r="B753" s="219" t="str">
        <f ca="1">IF(ResultColumnLabels[[#This Row],[Data Value Number]]="","",INDEX(DataColumns[ColumnLabel],MATCH(ResultColumnLabels[[#This Row],[Data Value Number]],DataColumns[DVNum],0)))</f>
        <v/>
      </c>
    </row>
    <row r="754" spans="1:2" x14ac:dyDescent="0.25">
      <c r="A754" s="219" t="str">
        <f ca="1">IF(ROW()-1&gt;NumDataColumns,"",MAX(INDIRECT(CONCATENATE("R",ROW(ResultColumnLabels[#Headers]),"C",COLUMN(),":R",ROW()-1,"C",COLUMN()),FALSE))+1)</f>
        <v/>
      </c>
      <c r="B754" s="219" t="str">
        <f ca="1">IF(ResultColumnLabels[[#This Row],[Data Value Number]]="","",INDEX(DataColumns[ColumnLabel],MATCH(ResultColumnLabels[[#This Row],[Data Value Number]],DataColumns[DVNum],0)))</f>
        <v/>
      </c>
    </row>
    <row r="755" spans="1:2" x14ac:dyDescent="0.25">
      <c r="A755" s="219" t="str">
        <f ca="1">IF(ROW()-1&gt;NumDataColumns,"",MAX(INDIRECT(CONCATENATE("R",ROW(ResultColumnLabels[#Headers]),"C",COLUMN(),":R",ROW()-1,"C",COLUMN()),FALSE))+1)</f>
        <v/>
      </c>
      <c r="B755" s="219" t="str">
        <f ca="1">IF(ResultColumnLabels[[#This Row],[Data Value Number]]="","",INDEX(DataColumns[ColumnLabel],MATCH(ResultColumnLabels[[#This Row],[Data Value Number]],DataColumns[DVNum],0)))</f>
        <v/>
      </c>
    </row>
    <row r="756" spans="1:2" x14ac:dyDescent="0.25">
      <c r="A756" s="219" t="str">
        <f ca="1">IF(ROW()-1&gt;NumDataColumns,"",MAX(INDIRECT(CONCATENATE("R",ROW(ResultColumnLabels[#Headers]),"C",COLUMN(),":R",ROW()-1,"C",COLUMN()),FALSE))+1)</f>
        <v/>
      </c>
      <c r="B756" s="219" t="str">
        <f ca="1">IF(ResultColumnLabels[[#This Row],[Data Value Number]]="","",INDEX(DataColumns[ColumnLabel],MATCH(ResultColumnLabels[[#This Row],[Data Value Number]],DataColumns[DVNum],0)))</f>
        <v/>
      </c>
    </row>
    <row r="757" spans="1:2" x14ac:dyDescent="0.25">
      <c r="A757" s="219" t="str">
        <f ca="1">IF(ROW()-1&gt;NumDataColumns,"",MAX(INDIRECT(CONCATENATE("R",ROW(ResultColumnLabels[#Headers]),"C",COLUMN(),":R",ROW()-1,"C",COLUMN()),FALSE))+1)</f>
        <v/>
      </c>
      <c r="B757" s="219" t="str">
        <f ca="1">IF(ResultColumnLabels[[#This Row],[Data Value Number]]="","",INDEX(DataColumns[ColumnLabel],MATCH(ResultColumnLabels[[#This Row],[Data Value Number]],DataColumns[DVNum],0)))</f>
        <v/>
      </c>
    </row>
    <row r="758" spans="1:2" x14ac:dyDescent="0.25">
      <c r="A758" s="219" t="str">
        <f ca="1">IF(ROW()-1&gt;NumDataColumns,"",MAX(INDIRECT(CONCATENATE("R",ROW(ResultColumnLabels[#Headers]),"C",COLUMN(),":R",ROW()-1,"C",COLUMN()),FALSE))+1)</f>
        <v/>
      </c>
      <c r="B758" s="219" t="str">
        <f ca="1">IF(ResultColumnLabels[[#This Row],[Data Value Number]]="","",INDEX(DataColumns[ColumnLabel],MATCH(ResultColumnLabels[[#This Row],[Data Value Number]],DataColumns[DVNum],0)))</f>
        <v/>
      </c>
    </row>
    <row r="759" spans="1:2" x14ac:dyDescent="0.25">
      <c r="A759" s="219" t="str">
        <f ca="1">IF(ROW()-1&gt;NumDataColumns,"",MAX(INDIRECT(CONCATENATE("R",ROW(ResultColumnLabels[#Headers]),"C",COLUMN(),":R",ROW()-1,"C",COLUMN()),FALSE))+1)</f>
        <v/>
      </c>
      <c r="B759" s="219" t="str">
        <f ca="1">IF(ResultColumnLabels[[#This Row],[Data Value Number]]="","",INDEX(DataColumns[ColumnLabel],MATCH(ResultColumnLabels[[#This Row],[Data Value Number]],DataColumns[DVNum],0)))</f>
        <v/>
      </c>
    </row>
    <row r="760" spans="1:2" x14ac:dyDescent="0.25">
      <c r="A760" s="219" t="str">
        <f ca="1">IF(ROW()-1&gt;NumDataColumns,"",MAX(INDIRECT(CONCATENATE("R",ROW(ResultColumnLabels[#Headers]),"C",COLUMN(),":R",ROW()-1,"C",COLUMN()),FALSE))+1)</f>
        <v/>
      </c>
      <c r="B760" s="219" t="str">
        <f ca="1">IF(ResultColumnLabels[[#This Row],[Data Value Number]]="","",INDEX(DataColumns[ColumnLabel],MATCH(ResultColumnLabels[[#This Row],[Data Value Number]],DataColumns[DVNum],0)))</f>
        <v/>
      </c>
    </row>
    <row r="761" spans="1:2" x14ac:dyDescent="0.25">
      <c r="A761" s="219" t="str">
        <f ca="1">IF(ROW()-1&gt;NumDataColumns,"",MAX(INDIRECT(CONCATENATE("R",ROW(ResultColumnLabels[#Headers]),"C",COLUMN(),":R",ROW()-1,"C",COLUMN()),FALSE))+1)</f>
        <v/>
      </c>
      <c r="B761" s="219" t="str">
        <f ca="1">IF(ResultColumnLabels[[#This Row],[Data Value Number]]="","",INDEX(DataColumns[ColumnLabel],MATCH(ResultColumnLabels[[#This Row],[Data Value Number]],DataColumns[DVNum],0)))</f>
        <v/>
      </c>
    </row>
    <row r="762" spans="1:2" x14ac:dyDescent="0.25">
      <c r="A762" s="219" t="str">
        <f ca="1">IF(ROW()-1&gt;NumDataColumns,"",MAX(INDIRECT(CONCATENATE("R",ROW(ResultColumnLabels[#Headers]),"C",COLUMN(),":R",ROW()-1,"C",COLUMN()),FALSE))+1)</f>
        <v/>
      </c>
      <c r="B762" s="219" t="str">
        <f ca="1">IF(ResultColumnLabels[[#This Row],[Data Value Number]]="","",INDEX(DataColumns[ColumnLabel],MATCH(ResultColumnLabels[[#This Row],[Data Value Number]],DataColumns[DVNum],0)))</f>
        <v/>
      </c>
    </row>
    <row r="763" spans="1:2" x14ac:dyDescent="0.25">
      <c r="A763" s="219" t="str">
        <f ca="1">IF(ROW()-1&gt;NumDataColumns,"",MAX(INDIRECT(CONCATENATE("R",ROW(ResultColumnLabels[#Headers]),"C",COLUMN(),":R",ROW()-1,"C",COLUMN()),FALSE))+1)</f>
        <v/>
      </c>
      <c r="B763" s="219" t="str">
        <f ca="1">IF(ResultColumnLabels[[#This Row],[Data Value Number]]="","",INDEX(DataColumns[ColumnLabel],MATCH(ResultColumnLabels[[#This Row],[Data Value Number]],DataColumns[DVNum],0)))</f>
        <v/>
      </c>
    </row>
    <row r="764" spans="1:2" x14ac:dyDescent="0.25">
      <c r="A764" s="219" t="str">
        <f ca="1">IF(ROW()-1&gt;NumDataColumns,"",MAX(INDIRECT(CONCATENATE("R",ROW(ResultColumnLabels[#Headers]),"C",COLUMN(),":R",ROW()-1,"C",COLUMN()),FALSE))+1)</f>
        <v/>
      </c>
      <c r="B764" s="219" t="str">
        <f ca="1">IF(ResultColumnLabels[[#This Row],[Data Value Number]]="","",INDEX(DataColumns[ColumnLabel],MATCH(ResultColumnLabels[[#This Row],[Data Value Number]],DataColumns[DVNum],0)))</f>
        <v/>
      </c>
    </row>
    <row r="765" spans="1:2" x14ac:dyDescent="0.25">
      <c r="A765" s="219" t="str">
        <f ca="1">IF(ROW()-1&gt;NumDataColumns,"",MAX(INDIRECT(CONCATENATE("R",ROW(ResultColumnLabels[#Headers]),"C",COLUMN(),":R",ROW()-1,"C",COLUMN()),FALSE))+1)</f>
        <v/>
      </c>
      <c r="B765" s="219" t="str">
        <f ca="1">IF(ResultColumnLabels[[#This Row],[Data Value Number]]="","",INDEX(DataColumns[ColumnLabel],MATCH(ResultColumnLabels[[#This Row],[Data Value Number]],DataColumns[DVNum],0)))</f>
        <v/>
      </c>
    </row>
    <row r="766" spans="1:2" x14ac:dyDescent="0.25">
      <c r="A766" s="219" t="str">
        <f ca="1">IF(ROW()-1&gt;NumDataColumns,"",MAX(INDIRECT(CONCATENATE("R",ROW(ResultColumnLabels[#Headers]),"C",COLUMN(),":R",ROW()-1,"C",COLUMN()),FALSE))+1)</f>
        <v/>
      </c>
      <c r="B766" s="219" t="str">
        <f ca="1">IF(ResultColumnLabels[[#This Row],[Data Value Number]]="","",INDEX(DataColumns[ColumnLabel],MATCH(ResultColumnLabels[[#This Row],[Data Value Number]],DataColumns[DVNum],0)))</f>
        <v/>
      </c>
    </row>
    <row r="767" spans="1:2" x14ac:dyDescent="0.25">
      <c r="A767" s="219" t="str">
        <f ca="1">IF(ROW()-1&gt;NumDataColumns,"",MAX(INDIRECT(CONCATENATE("R",ROW(ResultColumnLabels[#Headers]),"C",COLUMN(),":R",ROW()-1,"C",COLUMN()),FALSE))+1)</f>
        <v/>
      </c>
      <c r="B767" s="219" t="str">
        <f ca="1">IF(ResultColumnLabels[[#This Row],[Data Value Number]]="","",INDEX(DataColumns[ColumnLabel],MATCH(ResultColumnLabels[[#This Row],[Data Value Number]],DataColumns[DVNum],0)))</f>
        <v/>
      </c>
    </row>
    <row r="768" spans="1:2" x14ac:dyDescent="0.25">
      <c r="A768" s="219" t="str">
        <f ca="1">IF(ROW()-1&gt;NumDataColumns,"",MAX(INDIRECT(CONCATENATE("R",ROW(ResultColumnLabels[#Headers]),"C",COLUMN(),":R",ROW()-1,"C",COLUMN()),FALSE))+1)</f>
        <v/>
      </c>
      <c r="B768" s="219" t="str">
        <f ca="1">IF(ResultColumnLabels[[#This Row],[Data Value Number]]="","",INDEX(DataColumns[ColumnLabel],MATCH(ResultColumnLabels[[#This Row],[Data Value Number]],DataColumns[DVNum],0)))</f>
        <v/>
      </c>
    </row>
    <row r="769" spans="1:2" x14ac:dyDescent="0.25">
      <c r="A769" s="219" t="str">
        <f ca="1">IF(ROW()-1&gt;NumDataColumns,"",MAX(INDIRECT(CONCATENATE("R",ROW(ResultColumnLabels[#Headers]),"C",COLUMN(),":R",ROW()-1,"C",COLUMN()),FALSE))+1)</f>
        <v/>
      </c>
      <c r="B769" s="219" t="str">
        <f ca="1">IF(ResultColumnLabels[[#This Row],[Data Value Number]]="","",INDEX(DataColumns[ColumnLabel],MATCH(ResultColumnLabels[[#This Row],[Data Value Number]],DataColumns[DVNum],0)))</f>
        <v/>
      </c>
    </row>
    <row r="770" spans="1:2" x14ac:dyDescent="0.25">
      <c r="A770" s="219" t="str">
        <f ca="1">IF(ROW()-1&gt;NumDataColumns,"",MAX(INDIRECT(CONCATENATE("R",ROW(ResultColumnLabels[#Headers]),"C",COLUMN(),":R",ROW()-1,"C",COLUMN()),FALSE))+1)</f>
        <v/>
      </c>
      <c r="B770" s="219" t="str">
        <f ca="1">IF(ResultColumnLabels[[#This Row],[Data Value Number]]="","",INDEX(DataColumns[ColumnLabel],MATCH(ResultColumnLabels[[#This Row],[Data Value Number]],DataColumns[DVNum],0)))</f>
        <v/>
      </c>
    </row>
    <row r="771" spans="1:2" x14ac:dyDescent="0.25">
      <c r="A771" s="219" t="str">
        <f ca="1">IF(ROW()-1&gt;NumDataColumns,"",MAX(INDIRECT(CONCATENATE("R",ROW(ResultColumnLabels[#Headers]),"C",COLUMN(),":R",ROW()-1,"C",COLUMN()),FALSE))+1)</f>
        <v/>
      </c>
      <c r="B771" s="219" t="str">
        <f ca="1">IF(ResultColumnLabels[[#This Row],[Data Value Number]]="","",INDEX(DataColumns[ColumnLabel],MATCH(ResultColumnLabels[[#This Row],[Data Value Number]],DataColumns[DVNum],0)))</f>
        <v/>
      </c>
    </row>
    <row r="772" spans="1:2" x14ac:dyDescent="0.25">
      <c r="A772" s="219" t="str">
        <f ca="1">IF(ROW()-1&gt;NumDataColumns,"",MAX(INDIRECT(CONCATENATE("R",ROW(ResultColumnLabels[#Headers]),"C",COLUMN(),":R",ROW()-1,"C",COLUMN()),FALSE))+1)</f>
        <v/>
      </c>
      <c r="B772" s="219" t="str">
        <f ca="1">IF(ResultColumnLabels[[#This Row],[Data Value Number]]="","",INDEX(DataColumns[ColumnLabel],MATCH(ResultColumnLabels[[#This Row],[Data Value Number]],DataColumns[DVNum],0)))</f>
        <v/>
      </c>
    </row>
    <row r="773" spans="1:2" x14ac:dyDescent="0.25">
      <c r="A773" s="219" t="str">
        <f ca="1">IF(ROW()-1&gt;NumDataColumns,"",MAX(INDIRECT(CONCATENATE("R",ROW(ResultColumnLabels[#Headers]),"C",COLUMN(),":R",ROW()-1,"C",COLUMN()),FALSE))+1)</f>
        <v/>
      </c>
      <c r="B773" s="219" t="str">
        <f ca="1">IF(ResultColumnLabels[[#This Row],[Data Value Number]]="","",INDEX(DataColumns[ColumnLabel],MATCH(ResultColumnLabels[[#This Row],[Data Value Number]],DataColumns[DVNum],0)))</f>
        <v/>
      </c>
    </row>
    <row r="774" spans="1:2" x14ac:dyDescent="0.25">
      <c r="A774" s="219" t="str">
        <f ca="1">IF(ROW()-1&gt;NumDataColumns,"",MAX(INDIRECT(CONCATENATE("R",ROW(ResultColumnLabels[#Headers]),"C",COLUMN(),":R",ROW()-1,"C",COLUMN()),FALSE))+1)</f>
        <v/>
      </c>
      <c r="B774" s="219" t="str">
        <f ca="1">IF(ResultColumnLabels[[#This Row],[Data Value Number]]="","",INDEX(DataColumns[ColumnLabel],MATCH(ResultColumnLabels[[#This Row],[Data Value Number]],DataColumns[DVNum],0)))</f>
        <v/>
      </c>
    </row>
    <row r="775" spans="1:2" x14ac:dyDescent="0.25">
      <c r="A775" s="219" t="str">
        <f ca="1">IF(ROW()-1&gt;NumDataColumns,"",MAX(INDIRECT(CONCATENATE("R",ROW(ResultColumnLabels[#Headers]),"C",COLUMN(),":R",ROW()-1,"C",COLUMN()),FALSE))+1)</f>
        <v/>
      </c>
      <c r="B775" s="219" t="str">
        <f ca="1">IF(ResultColumnLabels[[#This Row],[Data Value Number]]="","",INDEX(DataColumns[ColumnLabel],MATCH(ResultColumnLabels[[#This Row],[Data Value Number]],DataColumns[DVNum],0)))</f>
        <v/>
      </c>
    </row>
    <row r="776" spans="1:2" x14ac:dyDescent="0.25">
      <c r="A776" s="219" t="str">
        <f ca="1">IF(ROW()-1&gt;NumDataColumns,"",MAX(INDIRECT(CONCATENATE("R",ROW(ResultColumnLabels[#Headers]),"C",COLUMN(),":R",ROW()-1,"C",COLUMN()),FALSE))+1)</f>
        <v/>
      </c>
      <c r="B776" s="219" t="str">
        <f ca="1">IF(ResultColumnLabels[[#This Row],[Data Value Number]]="","",INDEX(DataColumns[ColumnLabel],MATCH(ResultColumnLabels[[#This Row],[Data Value Number]],DataColumns[DVNum],0)))</f>
        <v/>
      </c>
    </row>
    <row r="777" spans="1:2" x14ac:dyDescent="0.25">
      <c r="A777" s="219" t="str">
        <f ca="1">IF(ROW()-1&gt;NumDataColumns,"",MAX(INDIRECT(CONCATENATE("R",ROW(ResultColumnLabels[#Headers]),"C",COLUMN(),":R",ROW()-1,"C",COLUMN()),FALSE))+1)</f>
        <v/>
      </c>
      <c r="B777" s="219" t="str">
        <f ca="1">IF(ResultColumnLabels[[#This Row],[Data Value Number]]="","",INDEX(DataColumns[ColumnLabel],MATCH(ResultColumnLabels[[#This Row],[Data Value Number]],DataColumns[DVNum],0)))</f>
        <v/>
      </c>
    </row>
    <row r="778" spans="1:2" x14ac:dyDescent="0.25">
      <c r="A778" s="219" t="str">
        <f ca="1">IF(ROW()-1&gt;NumDataColumns,"",MAX(INDIRECT(CONCATENATE("R",ROW(ResultColumnLabels[#Headers]),"C",COLUMN(),":R",ROW()-1,"C",COLUMN()),FALSE))+1)</f>
        <v/>
      </c>
      <c r="B778" s="219" t="str">
        <f ca="1">IF(ResultColumnLabels[[#This Row],[Data Value Number]]="","",INDEX(DataColumns[ColumnLabel],MATCH(ResultColumnLabels[[#This Row],[Data Value Number]],DataColumns[DVNum],0)))</f>
        <v/>
      </c>
    </row>
    <row r="779" spans="1:2" x14ac:dyDescent="0.25">
      <c r="A779" s="219" t="str">
        <f ca="1">IF(ROW()-1&gt;NumDataColumns,"",MAX(INDIRECT(CONCATENATE("R",ROW(ResultColumnLabels[#Headers]),"C",COLUMN(),":R",ROW()-1,"C",COLUMN()),FALSE))+1)</f>
        <v/>
      </c>
      <c r="B779" s="219" t="str">
        <f ca="1">IF(ResultColumnLabels[[#This Row],[Data Value Number]]="","",INDEX(DataColumns[ColumnLabel],MATCH(ResultColumnLabels[[#This Row],[Data Value Number]],DataColumns[DVNum],0)))</f>
        <v/>
      </c>
    </row>
    <row r="780" spans="1:2" x14ac:dyDescent="0.25">
      <c r="A780" s="219" t="str">
        <f ca="1">IF(ROW()-1&gt;NumDataColumns,"",MAX(INDIRECT(CONCATENATE("R",ROW(ResultColumnLabels[#Headers]),"C",COLUMN(),":R",ROW()-1,"C",COLUMN()),FALSE))+1)</f>
        <v/>
      </c>
      <c r="B780" s="219" t="str">
        <f ca="1">IF(ResultColumnLabels[[#This Row],[Data Value Number]]="","",INDEX(DataColumns[ColumnLabel],MATCH(ResultColumnLabels[[#This Row],[Data Value Number]],DataColumns[DVNum],0)))</f>
        <v/>
      </c>
    </row>
    <row r="781" spans="1:2" x14ac:dyDescent="0.25">
      <c r="A781" s="219" t="str">
        <f ca="1">IF(ROW()-1&gt;NumDataColumns,"",MAX(INDIRECT(CONCATENATE("R",ROW(ResultColumnLabels[#Headers]),"C",COLUMN(),":R",ROW()-1,"C",COLUMN()),FALSE))+1)</f>
        <v/>
      </c>
      <c r="B781" s="219" t="str">
        <f ca="1">IF(ResultColumnLabels[[#This Row],[Data Value Number]]="","",INDEX(DataColumns[ColumnLabel],MATCH(ResultColumnLabels[[#This Row],[Data Value Number]],DataColumns[DVNum],0)))</f>
        <v/>
      </c>
    </row>
    <row r="782" spans="1:2" x14ac:dyDescent="0.25">
      <c r="A782" s="219" t="str">
        <f ca="1">IF(ROW()-1&gt;NumDataColumns,"",MAX(INDIRECT(CONCATENATE("R",ROW(ResultColumnLabels[#Headers]),"C",COLUMN(),":R",ROW()-1,"C",COLUMN()),FALSE))+1)</f>
        <v/>
      </c>
      <c r="B782" s="219" t="str">
        <f ca="1">IF(ResultColumnLabels[[#This Row],[Data Value Number]]="","",INDEX(DataColumns[ColumnLabel],MATCH(ResultColumnLabels[[#This Row],[Data Value Number]],DataColumns[DVNum],0)))</f>
        <v/>
      </c>
    </row>
    <row r="783" spans="1:2" x14ac:dyDescent="0.25">
      <c r="A783" s="219" t="str">
        <f ca="1">IF(ROW()-1&gt;NumDataColumns,"",MAX(INDIRECT(CONCATENATE("R",ROW(ResultColumnLabels[#Headers]),"C",COLUMN(),":R",ROW()-1,"C",COLUMN()),FALSE))+1)</f>
        <v/>
      </c>
      <c r="B783" s="219" t="str">
        <f ca="1">IF(ResultColumnLabels[[#This Row],[Data Value Number]]="","",INDEX(DataColumns[ColumnLabel],MATCH(ResultColumnLabels[[#This Row],[Data Value Number]],DataColumns[DVNum],0)))</f>
        <v/>
      </c>
    </row>
    <row r="784" spans="1:2" x14ac:dyDescent="0.25">
      <c r="A784" s="219" t="str">
        <f ca="1">IF(ROW()-1&gt;NumDataColumns,"",MAX(INDIRECT(CONCATENATE("R",ROW(ResultColumnLabels[#Headers]),"C",COLUMN(),":R",ROW()-1,"C",COLUMN()),FALSE))+1)</f>
        <v/>
      </c>
      <c r="B784" s="219" t="str">
        <f ca="1">IF(ResultColumnLabels[[#This Row],[Data Value Number]]="","",INDEX(DataColumns[ColumnLabel],MATCH(ResultColumnLabels[[#This Row],[Data Value Number]],DataColumns[DVNum],0)))</f>
        <v/>
      </c>
    </row>
    <row r="785" spans="1:2" x14ac:dyDescent="0.25">
      <c r="A785" s="219" t="str">
        <f ca="1">IF(ROW()-1&gt;NumDataColumns,"",MAX(INDIRECT(CONCATENATE("R",ROW(ResultColumnLabels[#Headers]),"C",COLUMN(),":R",ROW()-1,"C",COLUMN()),FALSE))+1)</f>
        <v/>
      </c>
      <c r="B785" s="219" t="str">
        <f ca="1">IF(ResultColumnLabels[[#This Row],[Data Value Number]]="","",INDEX(DataColumns[ColumnLabel],MATCH(ResultColumnLabels[[#This Row],[Data Value Number]],DataColumns[DVNum],0)))</f>
        <v/>
      </c>
    </row>
    <row r="786" spans="1:2" x14ac:dyDescent="0.25">
      <c r="A786" s="219" t="str">
        <f ca="1">IF(ROW()-1&gt;NumDataColumns,"",MAX(INDIRECT(CONCATENATE("R",ROW(ResultColumnLabels[#Headers]),"C",COLUMN(),":R",ROW()-1,"C",COLUMN()),FALSE))+1)</f>
        <v/>
      </c>
      <c r="B786" s="219" t="str">
        <f ca="1">IF(ResultColumnLabels[[#This Row],[Data Value Number]]="","",INDEX(DataColumns[ColumnLabel],MATCH(ResultColumnLabels[[#This Row],[Data Value Number]],DataColumns[DVNum],0)))</f>
        <v/>
      </c>
    </row>
    <row r="787" spans="1:2" x14ac:dyDescent="0.25">
      <c r="A787" s="219" t="str">
        <f ca="1">IF(ROW()-1&gt;NumDataColumns,"",MAX(INDIRECT(CONCATENATE("R",ROW(ResultColumnLabels[#Headers]),"C",COLUMN(),":R",ROW()-1,"C",COLUMN()),FALSE))+1)</f>
        <v/>
      </c>
      <c r="B787" s="219" t="str">
        <f ca="1">IF(ResultColumnLabels[[#This Row],[Data Value Number]]="","",INDEX(DataColumns[ColumnLabel],MATCH(ResultColumnLabels[[#This Row],[Data Value Number]],DataColumns[DVNum],0)))</f>
        <v/>
      </c>
    </row>
    <row r="788" spans="1:2" x14ac:dyDescent="0.25">
      <c r="A788" s="219" t="str">
        <f ca="1">IF(ROW()-1&gt;NumDataColumns,"",MAX(INDIRECT(CONCATENATE("R",ROW(ResultColumnLabels[#Headers]),"C",COLUMN(),":R",ROW()-1,"C",COLUMN()),FALSE))+1)</f>
        <v/>
      </c>
      <c r="B788" s="219" t="str">
        <f ca="1">IF(ResultColumnLabels[[#This Row],[Data Value Number]]="","",INDEX(DataColumns[ColumnLabel],MATCH(ResultColumnLabels[[#This Row],[Data Value Number]],DataColumns[DVNum],0)))</f>
        <v/>
      </c>
    </row>
    <row r="789" spans="1:2" x14ac:dyDescent="0.25">
      <c r="A789" s="219" t="str">
        <f ca="1">IF(ROW()-1&gt;NumDataColumns,"",MAX(INDIRECT(CONCATENATE("R",ROW(ResultColumnLabels[#Headers]),"C",COLUMN(),":R",ROW()-1,"C",COLUMN()),FALSE))+1)</f>
        <v/>
      </c>
      <c r="B789" s="219" t="str">
        <f ca="1">IF(ResultColumnLabels[[#This Row],[Data Value Number]]="","",INDEX(DataColumns[ColumnLabel],MATCH(ResultColumnLabels[[#This Row],[Data Value Number]],DataColumns[DVNum],0)))</f>
        <v/>
      </c>
    </row>
    <row r="790" spans="1:2" x14ac:dyDescent="0.25">
      <c r="A790" s="219" t="str">
        <f ca="1">IF(ROW()-1&gt;NumDataColumns,"",MAX(INDIRECT(CONCATENATE("R",ROW(ResultColumnLabels[#Headers]),"C",COLUMN(),":R",ROW()-1,"C",COLUMN()),FALSE))+1)</f>
        <v/>
      </c>
      <c r="B790" s="219" t="str">
        <f ca="1">IF(ResultColumnLabels[[#This Row],[Data Value Number]]="","",INDEX(DataColumns[ColumnLabel],MATCH(ResultColumnLabels[[#This Row],[Data Value Number]],DataColumns[DVNum],0)))</f>
        <v/>
      </c>
    </row>
    <row r="791" spans="1:2" x14ac:dyDescent="0.25">
      <c r="A791" s="219" t="str">
        <f ca="1">IF(ROW()-1&gt;NumDataColumns,"",MAX(INDIRECT(CONCATENATE("R",ROW(ResultColumnLabels[#Headers]),"C",COLUMN(),":R",ROW()-1,"C",COLUMN()),FALSE))+1)</f>
        <v/>
      </c>
      <c r="B791" s="219" t="str">
        <f ca="1">IF(ResultColumnLabels[[#This Row],[Data Value Number]]="","",INDEX(DataColumns[ColumnLabel],MATCH(ResultColumnLabels[[#This Row],[Data Value Number]],DataColumns[DVNum],0)))</f>
        <v/>
      </c>
    </row>
    <row r="792" spans="1:2" x14ac:dyDescent="0.25">
      <c r="A792" s="219" t="str">
        <f ca="1">IF(ROW()-1&gt;NumDataColumns,"",MAX(INDIRECT(CONCATENATE("R",ROW(ResultColumnLabels[#Headers]),"C",COLUMN(),":R",ROW()-1,"C",COLUMN()),FALSE))+1)</f>
        <v/>
      </c>
      <c r="B792" s="219" t="str">
        <f ca="1">IF(ResultColumnLabels[[#This Row],[Data Value Number]]="","",INDEX(DataColumns[ColumnLabel],MATCH(ResultColumnLabels[[#This Row],[Data Value Number]],DataColumns[DVNum],0)))</f>
        <v/>
      </c>
    </row>
    <row r="793" spans="1:2" x14ac:dyDescent="0.25">
      <c r="A793" s="219" t="str">
        <f ca="1">IF(ROW()-1&gt;NumDataColumns,"",MAX(INDIRECT(CONCATENATE("R",ROW(ResultColumnLabels[#Headers]),"C",COLUMN(),":R",ROW()-1,"C",COLUMN()),FALSE))+1)</f>
        <v/>
      </c>
      <c r="B793" s="219" t="str">
        <f ca="1">IF(ResultColumnLabels[[#This Row],[Data Value Number]]="","",INDEX(DataColumns[ColumnLabel],MATCH(ResultColumnLabels[[#This Row],[Data Value Number]],DataColumns[DVNum],0)))</f>
        <v/>
      </c>
    </row>
    <row r="794" spans="1:2" x14ac:dyDescent="0.25">
      <c r="A794" s="219" t="str">
        <f ca="1">IF(ROW()-1&gt;NumDataColumns,"",MAX(INDIRECT(CONCATENATE("R",ROW(ResultColumnLabels[#Headers]),"C",COLUMN(),":R",ROW()-1,"C",COLUMN()),FALSE))+1)</f>
        <v/>
      </c>
      <c r="B794" s="219" t="str">
        <f ca="1">IF(ResultColumnLabels[[#This Row],[Data Value Number]]="","",INDEX(DataColumns[ColumnLabel],MATCH(ResultColumnLabels[[#This Row],[Data Value Number]],DataColumns[DVNum],0)))</f>
        <v/>
      </c>
    </row>
    <row r="795" spans="1:2" x14ac:dyDescent="0.25">
      <c r="A795" s="219" t="str">
        <f ca="1">IF(ROW()-1&gt;NumDataColumns,"",MAX(INDIRECT(CONCATENATE("R",ROW(ResultColumnLabels[#Headers]),"C",COLUMN(),":R",ROW()-1,"C",COLUMN()),FALSE))+1)</f>
        <v/>
      </c>
      <c r="B795" s="219" t="str">
        <f ca="1">IF(ResultColumnLabels[[#This Row],[Data Value Number]]="","",INDEX(DataColumns[ColumnLabel],MATCH(ResultColumnLabels[[#This Row],[Data Value Number]],DataColumns[DVNum],0)))</f>
        <v/>
      </c>
    </row>
    <row r="796" spans="1:2" x14ac:dyDescent="0.25">
      <c r="A796" s="219" t="str">
        <f ca="1">IF(ROW()-1&gt;NumDataColumns,"",MAX(INDIRECT(CONCATENATE("R",ROW(ResultColumnLabels[#Headers]),"C",COLUMN(),":R",ROW()-1,"C",COLUMN()),FALSE))+1)</f>
        <v/>
      </c>
      <c r="B796" s="219" t="str">
        <f ca="1">IF(ResultColumnLabels[[#This Row],[Data Value Number]]="","",INDEX(DataColumns[ColumnLabel],MATCH(ResultColumnLabels[[#This Row],[Data Value Number]],DataColumns[DVNum],0)))</f>
        <v/>
      </c>
    </row>
    <row r="797" spans="1:2" x14ac:dyDescent="0.25">
      <c r="A797" s="219" t="str">
        <f ca="1">IF(ROW()-1&gt;NumDataColumns,"",MAX(INDIRECT(CONCATENATE("R",ROW(ResultColumnLabels[#Headers]),"C",COLUMN(),":R",ROW()-1,"C",COLUMN()),FALSE))+1)</f>
        <v/>
      </c>
      <c r="B797" s="219" t="str">
        <f ca="1">IF(ResultColumnLabels[[#This Row],[Data Value Number]]="","",INDEX(DataColumns[ColumnLabel],MATCH(ResultColumnLabels[[#This Row],[Data Value Number]],DataColumns[DVNum],0)))</f>
        <v/>
      </c>
    </row>
    <row r="798" spans="1:2" x14ac:dyDescent="0.25">
      <c r="A798" s="219" t="str">
        <f ca="1">IF(ROW()-1&gt;NumDataColumns,"",MAX(INDIRECT(CONCATENATE("R",ROW(ResultColumnLabels[#Headers]),"C",COLUMN(),":R",ROW()-1,"C",COLUMN()),FALSE))+1)</f>
        <v/>
      </c>
      <c r="B798" s="219" t="str">
        <f ca="1">IF(ResultColumnLabels[[#This Row],[Data Value Number]]="","",INDEX(DataColumns[ColumnLabel],MATCH(ResultColumnLabels[[#This Row],[Data Value Number]],DataColumns[DVNum],0)))</f>
        <v/>
      </c>
    </row>
    <row r="799" spans="1:2" x14ac:dyDescent="0.25">
      <c r="A799" s="219" t="str">
        <f ca="1">IF(ROW()-1&gt;NumDataColumns,"",MAX(INDIRECT(CONCATENATE("R",ROW(ResultColumnLabels[#Headers]),"C",COLUMN(),":R",ROW()-1,"C",COLUMN()),FALSE))+1)</f>
        <v/>
      </c>
      <c r="B799" s="219" t="str">
        <f ca="1">IF(ResultColumnLabels[[#This Row],[Data Value Number]]="","",INDEX(DataColumns[ColumnLabel],MATCH(ResultColumnLabels[[#This Row],[Data Value Number]],DataColumns[DVNum],0)))</f>
        <v/>
      </c>
    </row>
    <row r="800" spans="1:2" x14ac:dyDescent="0.25">
      <c r="A800" s="219" t="str">
        <f ca="1">IF(ROW()-1&gt;NumDataColumns,"",MAX(INDIRECT(CONCATENATE("R",ROW(ResultColumnLabels[#Headers]),"C",COLUMN(),":R",ROW()-1,"C",COLUMN()),FALSE))+1)</f>
        <v/>
      </c>
      <c r="B800" s="219" t="str">
        <f ca="1">IF(ResultColumnLabels[[#This Row],[Data Value Number]]="","",INDEX(DataColumns[ColumnLabel],MATCH(ResultColumnLabels[[#This Row],[Data Value Number]],DataColumns[DVNum],0)))</f>
        <v/>
      </c>
    </row>
    <row r="801" spans="1:2" x14ac:dyDescent="0.25">
      <c r="A801" s="219" t="str">
        <f ca="1">IF(ROW()-1&gt;NumDataColumns,"",MAX(INDIRECT(CONCATENATE("R",ROW(ResultColumnLabels[#Headers]),"C",COLUMN(),":R",ROW()-1,"C",COLUMN()),FALSE))+1)</f>
        <v/>
      </c>
      <c r="B801" s="219" t="str">
        <f ca="1">IF(ResultColumnLabels[[#This Row],[Data Value Number]]="","",INDEX(DataColumns[ColumnLabel],MATCH(ResultColumnLabels[[#This Row],[Data Value Number]],DataColumns[DVNum],0)))</f>
        <v/>
      </c>
    </row>
    <row r="802" spans="1:2" x14ac:dyDescent="0.25">
      <c r="A802" s="219" t="str">
        <f ca="1">IF(ROW()-1&gt;NumDataColumns,"",MAX(INDIRECT(CONCATENATE("R",ROW(ResultColumnLabels[#Headers]),"C",COLUMN(),":R",ROW()-1,"C",COLUMN()),FALSE))+1)</f>
        <v/>
      </c>
      <c r="B802" s="219" t="str">
        <f ca="1">IF(ResultColumnLabels[[#This Row],[Data Value Number]]="","",INDEX(DataColumns[ColumnLabel],MATCH(ResultColumnLabels[[#This Row],[Data Value Number]],DataColumns[DVNum],0)))</f>
        <v/>
      </c>
    </row>
    <row r="803" spans="1:2" x14ac:dyDescent="0.25">
      <c r="A803" s="219" t="str">
        <f ca="1">IF(ROW()-1&gt;NumDataColumns,"",MAX(INDIRECT(CONCATENATE("R",ROW(ResultColumnLabels[#Headers]),"C",COLUMN(),":R",ROW()-1,"C",COLUMN()),FALSE))+1)</f>
        <v/>
      </c>
      <c r="B803" s="219" t="str">
        <f ca="1">IF(ResultColumnLabels[[#This Row],[Data Value Number]]="","",INDEX(DataColumns[ColumnLabel],MATCH(ResultColumnLabels[[#This Row],[Data Value Number]],DataColumns[DVNum],0)))</f>
        <v/>
      </c>
    </row>
    <row r="804" spans="1:2" x14ac:dyDescent="0.25">
      <c r="A804" s="219" t="str">
        <f ca="1">IF(ROW()-1&gt;NumDataColumns,"",MAX(INDIRECT(CONCATENATE("R",ROW(ResultColumnLabels[#Headers]),"C",COLUMN(),":R",ROW()-1,"C",COLUMN()),FALSE))+1)</f>
        <v/>
      </c>
      <c r="B804" s="219" t="str">
        <f ca="1">IF(ResultColumnLabels[[#This Row],[Data Value Number]]="","",INDEX(DataColumns[ColumnLabel],MATCH(ResultColumnLabels[[#This Row],[Data Value Number]],DataColumns[DVNum],0)))</f>
        <v/>
      </c>
    </row>
    <row r="805" spans="1:2" x14ac:dyDescent="0.25">
      <c r="A805" s="219" t="str">
        <f ca="1">IF(ROW()-1&gt;NumDataColumns,"",MAX(INDIRECT(CONCATENATE("R",ROW(ResultColumnLabels[#Headers]),"C",COLUMN(),":R",ROW()-1,"C",COLUMN()),FALSE))+1)</f>
        <v/>
      </c>
      <c r="B805" s="219" t="str">
        <f ca="1">IF(ResultColumnLabels[[#This Row],[Data Value Number]]="","",INDEX(DataColumns[ColumnLabel],MATCH(ResultColumnLabels[[#This Row],[Data Value Number]],DataColumns[DVNum],0)))</f>
        <v/>
      </c>
    </row>
    <row r="806" spans="1:2" x14ac:dyDescent="0.25">
      <c r="A806" s="219" t="str">
        <f ca="1">IF(ROW()-1&gt;NumDataColumns,"",MAX(INDIRECT(CONCATENATE("R",ROW(ResultColumnLabels[#Headers]),"C",COLUMN(),":R",ROW()-1,"C",COLUMN()),FALSE))+1)</f>
        <v/>
      </c>
      <c r="B806" s="219" t="str">
        <f ca="1">IF(ResultColumnLabels[[#This Row],[Data Value Number]]="","",INDEX(DataColumns[ColumnLabel],MATCH(ResultColumnLabels[[#This Row],[Data Value Number]],DataColumns[DVNum],0)))</f>
        <v/>
      </c>
    </row>
    <row r="807" spans="1:2" x14ac:dyDescent="0.25">
      <c r="A807" s="219" t="str">
        <f ca="1">IF(ROW()-1&gt;NumDataColumns,"",MAX(INDIRECT(CONCATENATE("R",ROW(ResultColumnLabels[#Headers]),"C",COLUMN(),":R",ROW()-1,"C",COLUMN()),FALSE))+1)</f>
        <v/>
      </c>
      <c r="B807" s="219" t="str">
        <f ca="1">IF(ResultColumnLabels[[#This Row],[Data Value Number]]="","",INDEX(DataColumns[ColumnLabel],MATCH(ResultColumnLabels[[#This Row],[Data Value Number]],DataColumns[DVNum],0)))</f>
        <v/>
      </c>
    </row>
    <row r="808" spans="1:2" x14ac:dyDescent="0.25">
      <c r="A808" s="219" t="str">
        <f ca="1">IF(ROW()-1&gt;NumDataColumns,"",MAX(INDIRECT(CONCATENATE("R",ROW(ResultColumnLabels[#Headers]),"C",COLUMN(),":R",ROW()-1,"C",COLUMN()),FALSE))+1)</f>
        <v/>
      </c>
      <c r="B808" s="219" t="str">
        <f ca="1">IF(ResultColumnLabels[[#This Row],[Data Value Number]]="","",INDEX(DataColumns[ColumnLabel],MATCH(ResultColumnLabels[[#This Row],[Data Value Number]],DataColumns[DVNum],0)))</f>
        <v/>
      </c>
    </row>
    <row r="809" spans="1:2" x14ac:dyDescent="0.25">
      <c r="A809" s="219" t="str">
        <f ca="1">IF(ROW()-1&gt;NumDataColumns,"",MAX(INDIRECT(CONCATENATE("R",ROW(ResultColumnLabels[#Headers]),"C",COLUMN(),":R",ROW()-1,"C",COLUMN()),FALSE))+1)</f>
        <v/>
      </c>
      <c r="B809" s="219" t="str">
        <f ca="1">IF(ResultColumnLabels[[#This Row],[Data Value Number]]="","",INDEX(DataColumns[ColumnLabel],MATCH(ResultColumnLabels[[#This Row],[Data Value Number]],DataColumns[DVNum],0)))</f>
        <v/>
      </c>
    </row>
    <row r="810" spans="1:2" x14ac:dyDescent="0.25">
      <c r="A810" s="219" t="str">
        <f ca="1">IF(ROW()-1&gt;NumDataColumns,"",MAX(INDIRECT(CONCATENATE("R",ROW(ResultColumnLabels[#Headers]),"C",COLUMN(),":R",ROW()-1,"C",COLUMN()),FALSE))+1)</f>
        <v/>
      </c>
      <c r="B810" s="219" t="str">
        <f ca="1">IF(ResultColumnLabels[[#This Row],[Data Value Number]]="","",INDEX(DataColumns[ColumnLabel],MATCH(ResultColumnLabels[[#This Row],[Data Value Number]],DataColumns[DVNum],0)))</f>
        <v/>
      </c>
    </row>
    <row r="811" spans="1:2" x14ac:dyDescent="0.25">
      <c r="A811" s="219" t="str">
        <f ca="1">IF(ROW()-1&gt;NumDataColumns,"",MAX(INDIRECT(CONCATENATE("R",ROW(ResultColumnLabels[#Headers]),"C",COLUMN(),":R",ROW()-1,"C",COLUMN()),FALSE))+1)</f>
        <v/>
      </c>
      <c r="B811" s="219" t="str">
        <f ca="1">IF(ResultColumnLabels[[#This Row],[Data Value Number]]="","",INDEX(DataColumns[ColumnLabel],MATCH(ResultColumnLabels[[#This Row],[Data Value Number]],DataColumns[DVNum],0)))</f>
        <v/>
      </c>
    </row>
    <row r="812" spans="1:2" x14ac:dyDescent="0.25">
      <c r="A812" s="219" t="str">
        <f ca="1">IF(ROW()-1&gt;NumDataColumns,"",MAX(INDIRECT(CONCATENATE("R",ROW(ResultColumnLabels[#Headers]),"C",COLUMN(),":R",ROW()-1,"C",COLUMN()),FALSE))+1)</f>
        <v/>
      </c>
      <c r="B812" s="219" t="str">
        <f ca="1">IF(ResultColumnLabels[[#This Row],[Data Value Number]]="","",INDEX(DataColumns[ColumnLabel],MATCH(ResultColumnLabels[[#This Row],[Data Value Number]],DataColumns[DVNum],0)))</f>
        <v/>
      </c>
    </row>
    <row r="813" spans="1:2" x14ac:dyDescent="0.25">
      <c r="A813" s="219" t="str">
        <f ca="1">IF(ROW()-1&gt;NumDataColumns,"",MAX(INDIRECT(CONCATENATE("R",ROW(ResultColumnLabels[#Headers]),"C",COLUMN(),":R",ROW()-1,"C",COLUMN()),FALSE))+1)</f>
        <v/>
      </c>
      <c r="B813" s="219" t="str">
        <f ca="1">IF(ResultColumnLabels[[#This Row],[Data Value Number]]="","",INDEX(DataColumns[ColumnLabel],MATCH(ResultColumnLabels[[#This Row],[Data Value Number]],DataColumns[DVNum],0)))</f>
        <v/>
      </c>
    </row>
    <row r="814" spans="1:2" x14ac:dyDescent="0.25">
      <c r="A814" s="219" t="str">
        <f ca="1">IF(ROW()-1&gt;NumDataColumns,"",MAX(INDIRECT(CONCATENATE("R",ROW(ResultColumnLabels[#Headers]),"C",COLUMN(),":R",ROW()-1,"C",COLUMN()),FALSE))+1)</f>
        <v/>
      </c>
      <c r="B814" s="219" t="str">
        <f ca="1">IF(ResultColumnLabels[[#This Row],[Data Value Number]]="","",INDEX(DataColumns[ColumnLabel],MATCH(ResultColumnLabels[[#This Row],[Data Value Number]],DataColumns[DVNum],0)))</f>
        <v/>
      </c>
    </row>
    <row r="815" spans="1:2" x14ac:dyDescent="0.25">
      <c r="A815" s="219" t="str">
        <f ca="1">IF(ROW()-1&gt;NumDataColumns,"",MAX(INDIRECT(CONCATENATE("R",ROW(ResultColumnLabels[#Headers]),"C",COLUMN(),":R",ROW()-1,"C",COLUMN()),FALSE))+1)</f>
        <v/>
      </c>
      <c r="B815" s="219" t="str">
        <f ca="1">IF(ResultColumnLabels[[#This Row],[Data Value Number]]="","",INDEX(DataColumns[ColumnLabel],MATCH(ResultColumnLabels[[#This Row],[Data Value Number]],DataColumns[DVNum],0)))</f>
        <v/>
      </c>
    </row>
    <row r="816" spans="1:2" x14ac:dyDescent="0.25">
      <c r="A816" s="219" t="str">
        <f ca="1">IF(ROW()-1&gt;NumDataColumns,"",MAX(INDIRECT(CONCATENATE("R",ROW(ResultColumnLabels[#Headers]),"C",COLUMN(),":R",ROW()-1,"C",COLUMN()),FALSE))+1)</f>
        <v/>
      </c>
      <c r="B816" s="219" t="str">
        <f ca="1">IF(ResultColumnLabels[[#This Row],[Data Value Number]]="","",INDEX(DataColumns[ColumnLabel],MATCH(ResultColumnLabels[[#This Row],[Data Value Number]],DataColumns[DVNum],0)))</f>
        <v/>
      </c>
    </row>
    <row r="817" spans="1:2" x14ac:dyDescent="0.25">
      <c r="A817" s="219" t="str">
        <f ca="1">IF(ROW()-1&gt;NumDataColumns,"",MAX(INDIRECT(CONCATENATE("R",ROW(ResultColumnLabels[#Headers]),"C",COLUMN(),":R",ROW()-1,"C",COLUMN()),FALSE))+1)</f>
        <v/>
      </c>
      <c r="B817" s="219" t="str">
        <f ca="1">IF(ResultColumnLabels[[#This Row],[Data Value Number]]="","",INDEX(DataColumns[ColumnLabel],MATCH(ResultColumnLabels[[#This Row],[Data Value Number]],DataColumns[DVNum],0)))</f>
        <v/>
      </c>
    </row>
    <row r="818" spans="1:2" x14ac:dyDescent="0.25">
      <c r="A818" s="219" t="str">
        <f ca="1">IF(ROW()-1&gt;NumDataColumns,"",MAX(INDIRECT(CONCATENATE("R",ROW(ResultColumnLabels[#Headers]),"C",COLUMN(),":R",ROW()-1,"C",COLUMN()),FALSE))+1)</f>
        <v/>
      </c>
      <c r="B818" s="219" t="str">
        <f ca="1">IF(ResultColumnLabels[[#This Row],[Data Value Number]]="","",INDEX(DataColumns[ColumnLabel],MATCH(ResultColumnLabels[[#This Row],[Data Value Number]],DataColumns[DVNum],0)))</f>
        <v/>
      </c>
    </row>
    <row r="819" spans="1:2" x14ac:dyDescent="0.25">
      <c r="A819" s="219" t="str">
        <f ca="1">IF(ROW()-1&gt;NumDataColumns,"",MAX(INDIRECT(CONCATENATE("R",ROW(ResultColumnLabels[#Headers]),"C",COLUMN(),":R",ROW()-1,"C",COLUMN()),FALSE))+1)</f>
        <v/>
      </c>
      <c r="B819" s="219" t="str">
        <f ca="1">IF(ResultColumnLabels[[#This Row],[Data Value Number]]="","",INDEX(DataColumns[ColumnLabel],MATCH(ResultColumnLabels[[#This Row],[Data Value Number]],DataColumns[DVNum],0)))</f>
        <v/>
      </c>
    </row>
    <row r="820" spans="1:2" x14ac:dyDescent="0.25">
      <c r="A820" s="219" t="str">
        <f ca="1">IF(ROW()-1&gt;NumDataColumns,"",MAX(INDIRECT(CONCATENATE("R",ROW(ResultColumnLabels[#Headers]),"C",COLUMN(),":R",ROW()-1,"C",COLUMN()),FALSE))+1)</f>
        <v/>
      </c>
      <c r="B820" s="219" t="str">
        <f ca="1">IF(ResultColumnLabels[[#This Row],[Data Value Number]]="","",INDEX(DataColumns[ColumnLabel],MATCH(ResultColumnLabels[[#This Row],[Data Value Number]],DataColumns[DVNum],0)))</f>
        <v/>
      </c>
    </row>
    <row r="821" spans="1:2" x14ac:dyDescent="0.25">
      <c r="A821" s="219" t="str">
        <f ca="1">IF(ROW()-1&gt;NumDataColumns,"",MAX(INDIRECT(CONCATENATE("R",ROW(ResultColumnLabels[#Headers]),"C",COLUMN(),":R",ROW()-1,"C",COLUMN()),FALSE))+1)</f>
        <v/>
      </c>
      <c r="B821" s="219" t="str">
        <f ca="1">IF(ResultColumnLabels[[#This Row],[Data Value Number]]="","",INDEX(DataColumns[ColumnLabel],MATCH(ResultColumnLabels[[#This Row],[Data Value Number]],DataColumns[DVNum],0)))</f>
        <v/>
      </c>
    </row>
    <row r="822" spans="1:2" x14ac:dyDescent="0.25">
      <c r="A822" s="219" t="str">
        <f ca="1">IF(ROW()-1&gt;NumDataColumns,"",MAX(INDIRECT(CONCATENATE("R",ROW(ResultColumnLabels[#Headers]),"C",COLUMN(),":R",ROW()-1,"C",COLUMN()),FALSE))+1)</f>
        <v/>
      </c>
      <c r="B822" s="219" t="str">
        <f ca="1">IF(ResultColumnLabels[[#This Row],[Data Value Number]]="","",INDEX(DataColumns[ColumnLabel],MATCH(ResultColumnLabels[[#This Row],[Data Value Number]],DataColumns[DVNum],0)))</f>
        <v/>
      </c>
    </row>
    <row r="823" spans="1:2" x14ac:dyDescent="0.25">
      <c r="A823" s="219" t="str">
        <f ca="1">IF(ROW()-1&gt;NumDataColumns,"",MAX(INDIRECT(CONCATENATE("R",ROW(ResultColumnLabels[#Headers]),"C",COLUMN(),":R",ROW()-1,"C",COLUMN()),FALSE))+1)</f>
        <v/>
      </c>
      <c r="B823" s="219" t="str">
        <f ca="1">IF(ResultColumnLabels[[#This Row],[Data Value Number]]="","",INDEX(DataColumns[ColumnLabel],MATCH(ResultColumnLabels[[#This Row],[Data Value Number]],DataColumns[DVNum],0)))</f>
        <v/>
      </c>
    </row>
    <row r="824" spans="1:2" x14ac:dyDescent="0.25">
      <c r="A824" s="219" t="str">
        <f ca="1">IF(ROW()-1&gt;NumDataColumns,"",MAX(INDIRECT(CONCATENATE("R",ROW(ResultColumnLabels[#Headers]),"C",COLUMN(),":R",ROW()-1,"C",COLUMN()),FALSE))+1)</f>
        <v/>
      </c>
      <c r="B824" s="219" t="str">
        <f ca="1">IF(ResultColumnLabels[[#This Row],[Data Value Number]]="","",INDEX(DataColumns[ColumnLabel],MATCH(ResultColumnLabels[[#This Row],[Data Value Number]],DataColumns[DVNum],0)))</f>
        <v/>
      </c>
    </row>
    <row r="825" spans="1:2" x14ac:dyDescent="0.25">
      <c r="A825" s="219" t="str">
        <f ca="1">IF(ROW()-1&gt;NumDataColumns,"",MAX(INDIRECT(CONCATENATE("R",ROW(ResultColumnLabels[#Headers]),"C",COLUMN(),":R",ROW()-1,"C",COLUMN()),FALSE))+1)</f>
        <v/>
      </c>
      <c r="B825" s="219" t="str">
        <f ca="1">IF(ResultColumnLabels[[#This Row],[Data Value Number]]="","",INDEX(DataColumns[ColumnLabel],MATCH(ResultColumnLabels[[#This Row],[Data Value Number]],DataColumns[DVNum],0)))</f>
        <v/>
      </c>
    </row>
    <row r="826" spans="1:2" x14ac:dyDescent="0.25">
      <c r="A826" s="219" t="str">
        <f ca="1">IF(ROW()-1&gt;NumDataColumns,"",MAX(INDIRECT(CONCATENATE("R",ROW(ResultColumnLabels[#Headers]),"C",COLUMN(),":R",ROW()-1,"C",COLUMN()),FALSE))+1)</f>
        <v/>
      </c>
      <c r="B826" s="219" t="str">
        <f ca="1">IF(ResultColumnLabels[[#This Row],[Data Value Number]]="","",INDEX(DataColumns[ColumnLabel],MATCH(ResultColumnLabels[[#This Row],[Data Value Number]],DataColumns[DVNum],0)))</f>
        <v/>
      </c>
    </row>
    <row r="827" spans="1:2" x14ac:dyDescent="0.25">
      <c r="A827" s="219" t="str">
        <f ca="1">IF(ROW()-1&gt;NumDataColumns,"",MAX(INDIRECT(CONCATENATE("R",ROW(ResultColumnLabels[#Headers]),"C",COLUMN(),":R",ROW()-1,"C",COLUMN()),FALSE))+1)</f>
        <v/>
      </c>
      <c r="B827" s="219" t="str">
        <f ca="1">IF(ResultColumnLabels[[#This Row],[Data Value Number]]="","",INDEX(DataColumns[ColumnLabel],MATCH(ResultColumnLabels[[#This Row],[Data Value Number]],DataColumns[DVNum],0)))</f>
        <v/>
      </c>
    </row>
    <row r="828" spans="1:2" x14ac:dyDescent="0.25">
      <c r="A828" s="219" t="str">
        <f ca="1">IF(ROW()-1&gt;NumDataColumns,"",MAX(INDIRECT(CONCATENATE("R",ROW(ResultColumnLabels[#Headers]),"C",COLUMN(),":R",ROW()-1,"C",COLUMN()),FALSE))+1)</f>
        <v/>
      </c>
      <c r="B828" s="219" t="str">
        <f ca="1">IF(ResultColumnLabels[[#This Row],[Data Value Number]]="","",INDEX(DataColumns[ColumnLabel],MATCH(ResultColumnLabels[[#This Row],[Data Value Number]],DataColumns[DVNum],0)))</f>
        <v/>
      </c>
    </row>
    <row r="829" spans="1:2" x14ac:dyDescent="0.25">
      <c r="A829" s="219" t="str">
        <f ca="1">IF(ROW()-1&gt;NumDataColumns,"",MAX(INDIRECT(CONCATENATE("R",ROW(ResultColumnLabels[#Headers]),"C",COLUMN(),":R",ROW()-1,"C",COLUMN()),FALSE))+1)</f>
        <v/>
      </c>
      <c r="B829" s="219" t="str">
        <f ca="1">IF(ResultColumnLabels[[#This Row],[Data Value Number]]="","",INDEX(DataColumns[ColumnLabel],MATCH(ResultColumnLabels[[#This Row],[Data Value Number]],DataColumns[DVNum],0)))</f>
        <v/>
      </c>
    </row>
    <row r="830" spans="1:2" x14ac:dyDescent="0.25">
      <c r="A830" s="219" t="str">
        <f ca="1">IF(ROW()-1&gt;NumDataColumns,"",MAX(INDIRECT(CONCATENATE("R",ROW(ResultColumnLabels[#Headers]),"C",COLUMN(),":R",ROW()-1,"C",COLUMN()),FALSE))+1)</f>
        <v/>
      </c>
      <c r="B830" s="219" t="str">
        <f ca="1">IF(ResultColumnLabels[[#This Row],[Data Value Number]]="","",INDEX(DataColumns[ColumnLabel],MATCH(ResultColumnLabels[[#This Row],[Data Value Number]],DataColumns[DVNum],0)))</f>
        <v/>
      </c>
    </row>
    <row r="831" spans="1:2" x14ac:dyDescent="0.25">
      <c r="A831" s="219" t="str">
        <f ca="1">IF(ROW()-1&gt;NumDataColumns,"",MAX(INDIRECT(CONCATENATE("R",ROW(ResultColumnLabels[#Headers]),"C",COLUMN(),":R",ROW()-1,"C",COLUMN()),FALSE))+1)</f>
        <v/>
      </c>
      <c r="B831" s="219" t="str">
        <f ca="1">IF(ResultColumnLabels[[#This Row],[Data Value Number]]="","",INDEX(DataColumns[ColumnLabel],MATCH(ResultColumnLabels[[#This Row],[Data Value Number]],DataColumns[DVNum],0)))</f>
        <v/>
      </c>
    </row>
    <row r="832" spans="1:2" x14ac:dyDescent="0.25">
      <c r="A832" s="219" t="str">
        <f ca="1">IF(ROW()-1&gt;NumDataColumns,"",MAX(INDIRECT(CONCATENATE("R",ROW(ResultColumnLabels[#Headers]),"C",COLUMN(),":R",ROW()-1,"C",COLUMN()),FALSE))+1)</f>
        <v/>
      </c>
      <c r="B832" s="219" t="str">
        <f ca="1">IF(ResultColumnLabels[[#This Row],[Data Value Number]]="","",INDEX(DataColumns[ColumnLabel],MATCH(ResultColumnLabels[[#This Row],[Data Value Number]],DataColumns[DVNum],0)))</f>
        <v/>
      </c>
    </row>
    <row r="833" spans="1:2" x14ac:dyDescent="0.25">
      <c r="A833" s="219" t="str">
        <f ca="1">IF(ROW()-1&gt;NumDataColumns,"",MAX(INDIRECT(CONCATENATE("R",ROW(ResultColumnLabels[#Headers]),"C",COLUMN(),":R",ROW()-1,"C",COLUMN()),FALSE))+1)</f>
        <v/>
      </c>
      <c r="B833" s="219" t="str">
        <f ca="1">IF(ResultColumnLabels[[#This Row],[Data Value Number]]="","",INDEX(DataColumns[ColumnLabel],MATCH(ResultColumnLabels[[#This Row],[Data Value Number]],DataColumns[DVNum],0)))</f>
        <v/>
      </c>
    </row>
    <row r="834" spans="1:2" x14ac:dyDescent="0.25">
      <c r="A834" s="219" t="str">
        <f ca="1">IF(ROW()-1&gt;NumDataColumns,"",MAX(INDIRECT(CONCATENATE("R",ROW(ResultColumnLabels[#Headers]),"C",COLUMN(),":R",ROW()-1,"C",COLUMN()),FALSE))+1)</f>
        <v/>
      </c>
      <c r="B834" s="219" t="str">
        <f ca="1">IF(ResultColumnLabels[[#This Row],[Data Value Number]]="","",INDEX(DataColumns[ColumnLabel],MATCH(ResultColumnLabels[[#This Row],[Data Value Number]],DataColumns[DVNum],0)))</f>
        <v/>
      </c>
    </row>
    <row r="835" spans="1:2" x14ac:dyDescent="0.25">
      <c r="A835" s="219" t="str">
        <f ca="1">IF(ROW()-1&gt;NumDataColumns,"",MAX(INDIRECT(CONCATENATE("R",ROW(ResultColumnLabels[#Headers]),"C",COLUMN(),":R",ROW()-1,"C",COLUMN()),FALSE))+1)</f>
        <v/>
      </c>
      <c r="B835" s="219" t="str">
        <f ca="1">IF(ResultColumnLabels[[#This Row],[Data Value Number]]="","",INDEX(DataColumns[ColumnLabel],MATCH(ResultColumnLabels[[#This Row],[Data Value Number]],DataColumns[DVNum],0)))</f>
        <v/>
      </c>
    </row>
    <row r="836" spans="1:2" x14ac:dyDescent="0.25">
      <c r="A836" s="219" t="str">
        <f ca="1">IF(ROW()-1&gt;NumDataColumns,"",MAX(INDIRECT(CONCATENATE("R",ROW(ResultColumnLabels[#Headers]),"C",COLUMN(),":R",ROW()-1,"C",COLUMN()),FALSE))+1)</f>
        <v/>
      </c>
      <c r="B836" s="219" t="str">
        <f ca="1">IF(ResultColumnLabels[[#This Row],[Data Value Number]]="","",INDEX(DataColumns[ColumnLabel],MATCH(ResultColumnLabels[[#This Row],[Data Value Number]],DataColumns[DVNum],0)))</f>
        <v/>
      </c>
    </row>
    <row r="837" spans="1:2" x14ac:dyDescent="0.25">
      <c r="A837" s="219" t="str">
        <f ca="1">IF(ROW()-1&gt;NumDataColumns,"",MAX(INDIRECT(CONCATENATE("R",ROW(ResultColumnLabels[#Headers]),"C",COLUMN(),":R",ROW()-1,"C",COLUMN()),FALSE))+1)</f>
        <v/>
      </c>
      <c r="B837" s="219" t="str">
        <f ca="1">IF(ResultColumnLabels[[#This Row],[Data Value Number]]="","",INDEX(DataColumns[ColumnLabel],MATCH(ResultColumnLabels[[#This Row],[Data Value Number]],DataColumns[DVNum],0)))</f>
        <v/>
      </c>
    </row>
    <row r="838" spans="1:2" x14ac:dyDescent="0.25">
      <c r="A838" s="219" t="str">
        <f ca="1">IF(ROW()-1&gt;NumDataColumns,"",MAX(INDIRECT(CONCATENATE("R",ROW(ResultColumnLabels[#Headers]),"C",COLUMN(),":R",ROW()-1,"C",COLUMN()),FALSE))+1)</f>
        <v/>
      </c>
      <c r="B838" s="219" t="str">
        <f ca="1">IF(ResultColumnLabels[[#This Row],[Data Value Number]]="","",INDEX(DataColumns[ColumnLabel],MATCH(ResultColumnLabels[[#This Row],[Data Value Number]],DataColumns[DVNum],0)))</f>
        <v/>
      </c>
    </row>
    <row r="839" spans="1:2" x14ac:dyDescent="0.25">
      <c r="A839" s="219" t="str">
        <f ca="1">IF(ROW()-1&gt;NumDataColumns,"",MAX(INDIRECT(CONCATENATE("R",ROW(ResultColumnLabels[#Headers]),"C",COLUMN(),":R",ROW()-1,"C",COLUMN()),FALSE))+1)</f>
        <v/>
      </c>
      <c r="B839" s="219" t="str">
        <f ca="1">IF(ResultColumnLabels[[#This Row],[Data Value Number]]="","",INDEX(DataColumns[ColumnLabel],MATCH(ResultColumnLabels[[#This Row],[Data Value Number]],DataColumns[DVNum],0)))</f>
        <v/>
      </c>
    </row>
    <row r="840" spans="1:2" x14ac:dyDescent="0.25">
      <c r="A840" s="219" t="str">
        <f ca="1">IF(ROW()-1&gt;NumDataColumns,"",MAX(INDIRECT(CONCATENATE("R",ROW(ResultColumnLabels[#Headers]),"C",COLUMN(),":R",ROW()-1,"C",COLUMN()),FALSE))+1)</f>
        <v/>
      </c>
      <c r="B840" s="219" t="str">
        <f ca="1">IF(ResultColumnLabels[[#This Row],[Data Value Number]]="","",INDEX(DataColumns[ColumnLabel],MATCH(ResultColumnLabels[[#This Row],[Data Value Number]],DataColumns[DVNum],0)))</f>
        <v/>
      </c>
    </row>
    <row r="841" spans="1:2" x14ac:dyDescent="0.25">
      <c r="A841" s="219" t="str">
        <f ca="1">IF(ROW()-1&gt;NumDataColumns,"",MAX(INDIRECT(CONCATENATE("R",ROW(ResultColumnLabels[#Headers]),"C",COLUMN(),":R",ROW()-1,"C",COLUMN()),FALSE))+1)</f>
        <v/>
      </c>
      <c r="B841" s="219" t="str">
        <f ca="1">IF(ResultColumnLabels[[#This Row],[Data Value Number]]="","",INDEX(DataColumns[ColumnLabel],MATCH(ResultColumnLabels[[#This Row],[Data Value Number]],DataColumns[DVNum],0)))</f>
        <v/>
      </c>
    </row>
    <row r="842" spans="1:2" x14ac:dyDescent="0.25">
      <c r="A842" s="219" t="str">
        <f ca="1">IF(ROW()-1&gt;NumDataColumns,"",MAX(INDIRECT(CONCATENATE("R",ROW(ResultColumnLabels[#Headers]),"C",COLUMN(),":R",ROW()-1,"C",COLUMN()),FALSE))+1)</f>
        <v/>
      </c>
      <c r="B842" s="219" t="str">
        <f ca="1">IF(ResultColumnLabels[[#This Row],[Data Value Number]]="","",INDEX(DataColumns[ColumnLabel],MATCH(ResultColumnLabels[[#This Row],[Data Value Number]],DataColumns[DVNum],0)))</f>
        <v/>
      </c>
    </row>
    <row r="843" spans="1:2" x14ac:dyDescent="0.25">
      <c r="A843" s="219" t="str">
        <f ca="1">IF(ROW()-1&gt;NumDataColumns,"",MAX(INDIRECT(CONCATENATE("R",ROW(ResultColumnLabels[#Headers]),"C",COLUMN(),":R",ROW()-1,"C",COLUMN()),FALSE))+1)</f>
        <v/>
      </c>
      <c r="B843" s="219" t="str">
        <f ca="1">IF(ResultColumnLabels[[#This Row],[Data Value Number]]="","",INDEX(DataColumns[ColumnLabel],MATCH(ResultColumnLabels[[#This Row],[Data Value Number]],DataColumns[DVNum],0)))</f>
        <v/>
      </c>
    </row>
    <row r="844" spans="1:2" x14ac:dyDescent="0.25">
      <c r="A844" s="219" t="str">
        <f ca="1">IF(ROW()-1&gt;NumDataColumns,"",MAX(INDIRECT(CONCATENATE("R",ROW(ResultColumnLabels[#Headers]),"C",COLUMN(),":R",ROW()-1,"C",COLUMN()),FALSE))+1)</f>
        <v/>
      </c>
      <c r="B844" s="219" t="str">
        <f ca="1">IF(ResultColumnLabels[[#This Row],[Data Value Number]]="","",INDEX(DataColumns[ColumnLabel],MATCH(ResultColumnLabels[[#This Row],[Data Value Number]],DataColumns[DVNum],0)))</f>
        <v/>
      </c>
    </row>
    <row r="845" spans="1:2" x14ac:dyDescent="0.25">
      <c r="A845" s="219" t="str">
        <f ca="1">IF(ROW()-1&gt;NumDataColumns,"",MAX(INDIRECT(CONCATENATE("R",ROW(ResultColumnLabels[#Headers]),"C",COLUMN(),":R",ROW()-1,"C",COLUMN()),FALSE))+1)</f>
        <v/>
      </c>
      <c r="B845" s="219" t="str">
        <f ca="1">IF(ResultColumnLabels[[#This Row],[Data Value Number]]="","",INDEX(DataColumns[ColumnLabel],MATCH(ResultColumnLabels[[#This Row],[Data Value Number]],DataColumns[DVNum],0)))</f>
        <v/>
      </c>
    </row>
    <row r="846" spans="1:2" x14ac:dyDescent="0.25">
      <c r="A846" s="219" t="str">
        <f ca="1">IF(ROW()-1&gt;NumDataColumns,"",MAX(INDIRECT(CONCATENATE("R",ROW(ResultColumnLabels[#Headers]),"C",COLUMN(),":R",ROW()-1,"C",COLUMN()),FALSE))+1)</f>
        <v/>
      </c>
      <c r="B846" s="219" t="str">
        <f ca="1">IF(ResultColumnLabels[[#This Row],[Data Value Number]]="","",INDEX(DataColumns[ColumnLabel],MATCH(ResultColumnLabels[[#This Row],[Data Value Number]],DataColumns[DVNum],0)))</f>
        <v/>
      </c>
    </row>
    <row r="847" spans="1:2" x14ac:dyDescent="0.25">
      <c r="A847" s="219" t="str">
        <f ca="1">IF(ROW()-1&gt;NumDataColumns,"",MAX(INDIRECT(CONCATENATE("R",ROW(ResultColumnLabels[#Headers]),"C",COLUMN(),":R",ROW()-1,"C",COLUMN()),FALSE))+1)</f>
        <v/>
      </c>
      <c r="B847" s="219" t="str">
        <f ca="1">IF(ResultColumnLabels[[#This Row],[Data Value Number]]="","",INDEX(DataColumns[ColumnLabel],MATCH(ResultColumnLabels[[#This Row],[Data Value Number]],DataColumns[DVNum],0)))</f>
        <v/>
      </c>
    </row>
    <row r="848" spans="1:2" x14ac:dyDescent="0.25">
      <c r="A848" s="219" t="str">
        <f ca="1">IF(ROW()-1&gt;NumDataColumns,"",MAX(INDIRECT(CONCATENATE("R",ROW(ResultColumnLabels[#Headers]),"C",COLUMN(),":R",ROW()-1,"C",COLUMN()),FALSE))+1)</f>
        <v/>
      </c>
      <c r="B848" s="219" t="str">
        <f ca="1">IF(ResultColumnLabels[[#This Row],[Data Value Number]]="","",INDEX(DataColumns[ColumnLabel],MATCH(ResultColumnLabels[[#This Row],[Data Value Number]],DataColumns[DVNum],0)))</f>
        <v/>
      </c>
    </row>
    <row r="849" spans="1:2" x14ac:dyDescent="0.25">
      <c r="A849" s="219" t="str">
        <f ca="1">IF(ROW()-1&gt;NumDataColumns,"",MAX(INDIRECT(CONCATENATE("R",ROW(ResultColumnLabels[#Headers]),"C",COLUMN(),":R",ROW()-1,"C",COLUMN()),FALSE))+1)</f>
        <v/>
      </c>
      <c r="B849" s="219" t="str">
        <f ca="1">IF(ResultColumnLabels[[#This Row],[Data Value Number]]="","",INDEX(DataColumns[ColumnLabel],MATCH(ResultColumnLabels[[#This Row],[Data Value Number]],DataColumns[DVNum],0)))</f>
        <v/>
      </c>
    </row>
    <row r="850" spans="1:2" x14ac:dyDescent="0.25">
      <c r="A850" s="219" t="str">
        <f ca="1">IF(ROW()-1&gt;NumDataColumns,"",MAX(INDIRECT(CONCATENATE("R",ROW(ResultColumnLabels[#Headers]),"C",COLUMN(),":R",ROW()-1,"C",COLUMN()),FALSE))+1)</f>
        <v/>
      </c>
      <c r="B850" s="219" t="str">
        <f ca="1">IF(ResultColumnLabels[[#This Row],[Data Value Number]]="","",INDEX(DataColumns[ColumnLabel],MATCH(ResultColumnLabels[[#This Row],[Data Value Number]],DataColumns[DVNum],0)))</f>
        <v/>
      </c>
    </row>
    <row r="851" spans="1:2" x14ac:dyDescent="0.25">
      <c r="A851" s="219" t="str">
        <f ca="1">IF(ROW()-1&gt;NumDataColumns,"",MAX(INDIRECT(CONCATENATE("R",ROW(ResultColumnLabels[#Headers]),"C",COLUMN(),":R",ROW()-1,"C",COLUMN()),FALSE))+1)</f>
        <v/>
      </c>
      <c r="B851" s="219" t="str">
        <f ca="1">IF(ResultColumnLabels[[#This Row],[Data Value Number]]="","",INDEX(DataColumns[ColumnLabel],MATCH(ResultColumnLabels[[#This Row],[Data Value Number]],DataColumns[DVNum],0)))</f>
        <v/>
      </c>
    </row>
    <row r="852" spans="1:2" x14ac:dyDescent="0.25">
      <c r="A852" s="219" t="str">
        <f ca="1">IF(ROW()-1&gt;NumDataColumns,"",MAX(INDIRECT(CONCATENATE("R",ROW(ResultColumnLabels[#Headers]),"C",COLUMN(),":R",ROW()-1,"C",COLUMN()),FALSE))+1)</f>
        <v/>
      </c>
      <c r="B852" s="219" t="str">
        <f ca="1">IF(ResultColumnLabels[[#This Row],[Data Value Number]]="","",INDEX(DataColumns[ColumnLabel],MATCH(ResultColumnLabels[[#This Row],[Data Value Number]],DataColumns[DVNum],0)))</f>
        <v/>
      </c>
    </row>
    <row r="853" spans="1:2" x14ac:dyDescent="0.25">
      <c r="A853" s="219" t="str">
        <f ca="1">IF(ROW()-1&gt;NumDataColumns,"",MAX(INDIRECT(CONCATENATE("R",ROW(ResultColumnLabels[#Headers]),"C",COLUMN(),":R",ROW()-1,"C",COLUMN()),FALSE))+1)</f>
        <v/>
      </c>
      <c r="B853" s="219" t="str">
        <f ca="1">IF(ResultColumnLabels[[#This Row],[Data Value Number]]="","",INDEX(DataColumns[ColumnLabel],MATCH(ResultColumnLabels[[#This Row],[Data Value Number]],DataColumns[DVNum],0)))</f>
        <v/>
      </c>
    </row>
    <row r="854" spans="1:2" x14ac:dyDescent="0.25">
      <c r="A854" s="219" t="str">
        <f ca="1">IF(ROW()-1&gt;NumDataColumns,"",MAX(INDIRECT(CONCATENATE("R",ROW(ResultColumnLabels[#Headers]),"C",COLUMN(),":R",ROW()-1,"C",COLUMN()),FALSE))+1)</f>
        <v/>
      </c>
      <c r="B854" s="219" t="str">
        <f ca="1">IF(ResultColumnLabels[[#This Row],[Data Value Number]]="","",INDEX(DataColumns[ColumnLabel],MATCH(ResultColumnLabels[[#This Row],[Data Value Number]],DataColumns[DVNum],0)))</f>
        <v/>
      </c>
    </row>
    <row r="855" spans="1:2" x14ac:dyDescent="0.25">
      <c r="A855" s="219" t="str">
        <f ca="1">IF(ROW()-1&gt;NumDataColumns,"",MAX(INDIRECT(CONCATENATE("R",ROW(ResultColumnLabels[#Headers]),"C",COLUMN(),":R",ROW()-1,"C",COLUMN()),FALSE))+1)</f>
        <v/>
      </c>
      <c r="B855" s="219" t="str">
        <f ca="1">IF(ResultColumnLabels[[#This Row],[Data Value Number]]="","",INDEX(DataColumns[ColumnLabel],MATCH(ResultColumnLabels[[#This Row],[Data Value Number]],DataColumns[DVNum],0)))</f>
        <v/>
      </c>
    </row>
    <row r="856" spans="1:2" x14ac:dyDescent="0.25">
      <c r="A856" s="219" t="str">
        <f ca="1">IF(ROW()-1&gt;NumDataColumns,"",MAX(INDIRECT(CONCATENATE("R",ROW(ResultColumnLabels[#Headers]),"C",COLUMN(),":R",ROW()-1,"C",COLUMN()),FALSE))+1)</f>
        <v/>
      </c>
      <c r="B856" s="219" t="str">
        <f ca="1">IF(ResultColumnLabels[[#This Row],[Data Value Number]]="","",INDEX(DataColumns[ColumnLabel],MATCH(ResultColumnLabels[[#This Row],[Data Value Number]],DataColumns[DVNum],0)))</f>
        <v/>
      </c>
    </row>
    <row r="857" spans="1:2" x14ac:dyDescent="0.25">
      <c r="A857" s="219" t="str">
        <f ca="1">IF(ROW()-1&gt;NumDataColumns,"",MAX(INDIRECT(CONCATENATE("R",ROW(ResultColumnLabels[#Headers]),"C",COLUMN(),":R",ROW()-1,"C",COLUMN()),FALSE))+1)</f>
        <v/>
      </c>
      <c r="B857" s="219" t="str">
        <f ca="1">IF(ResultColumnLabels[[#This Row],[Data Value Number]]="","",INDEX(DataColumns[ColumnLabel],MATCH(ResultColumnLabels[[#This Row],[Data Value Number]],DataColumns[DVNum],0)))</f>
        <v/>
      </c>
    </row>
    <row r="858" spans="1:2" x14ac:dyDescent="0.25">
      <c r="A858" s="219" t="str">
        <f ca="1">IF(ROW()-1&gt;NumDataColumns,"",MAX(INDIRECT(CONCATENATE("R",ROW(ResultColumnLabels[#Headers]),"C",COLUMN(),":R",ROW()-1,"C",COLUMN()),FALSE))+1)</f>
        <v/>
      </c>
      <c r="B858" s="219" t="str">
        <f ca="1">IF(ResultColumnLabels[[#This Row],[Data Value Number]]="","",INDEX(DataColumns[ColumnLabel],MATCH(ResultColumnLabels[[#This Row],[Data Value Number]],DataColumns[DVNum],0)))</f>
        <v/>
      </c>
    </row>
    <row r="859" spans="1:2" x14ac:dyDescent="0.25">
      <c r="A859" s="219" t="str">
        <f ca="1">IF(ROW()-1&gt;NumDataColumns,"",MAX(INDIRECT(CONCATENATE("R",ROW(ResultColumnLabels[#Headers]),"C",COLUMN(),":R",ROW()-1,"C",COLUMN()),FALSE))+1)</f>
        <v/>
      </c>
      <c r="B859" s="219" t="str">
        <f ca="1">IF(ResultColumnLabels[[#This Row],[Data Value Number]]="","",INDEX(DataColumns[ColumnLabel],MATCH(ResultColumnLabels[[#This Row],[Data Value Number]],DataColumns[DVNum],0)))</f>
        <v/>
      </c>
    </row>
    <row r="860" spans="1:2" x14ac:dyDescent="0.25">
      <c r="A860" s="219" t="str">
        <f ca="1">IF(ROW()-1&gt;NumDataColumns,"",MAX(INDIRECT(CONCATENATE("R",ROW(ResultColumnLabels[#Headers]),"C",COLUMN(),":R",ROW()-1,"C",COLUMN()),FALSE))+1)</f>
        <v/>
      </c>
      <c r="B860" s="219" t="str">
        <f ca="1">IF(ResultColumnLabels[[#This Row],[Data Value Number]]="","",INDEX(DataColumns[ColumnLabel],MATCH(ResultColumnLabels[[#This Row],[Data Value Number]],DataColumns[DVNum],0)))</f>
        <v/>
      </c>
    </row>
    <row r="861" spans="1:2" x14ac:dyDescent="0.25">
      <c r="A861" s="219" t="str">
        <f ca="1">IF(ROW()-1&gt;NumDataColumns,"",MAX(INDIRECT(CONCATENATE("R",ROW(ResultColumnLabels[#Headers]),"C",COLUMN(),":R",ROW()-1,"C",COLUMN()),FALSE))+1)</f>
        <v/>
      </c>
      <c r="B861" s="219" t="str">
        <f ca="1">IF(ResultColumnLabels[[#This Row],[Data Value Number]]="","",INDEX(DataColumns[ColumnLabel],MATCH(ResultColumnLabels[[#This Row],[Data Value Number]],DataColumns[DVNum],0)))</f>
        <v/>
      </c>
    </row>
    <row r="862" spans="1:2" x14ac:dyDescent="0.25">
      <c r="A862" s="219" t="str">
        <f ca="1">IF(ROW()-1&gt;NumDataColumns,"",MAX(INDIRECT(CONCATENATE("R",ROW(ResultColumnLabels[#Headers]),"C",COLUMN(),":R",ROW()-1,"C",COLUMN()),FALSE))+1)</f>
        <v/>
      </c>
      <c r="B862" s="219" t="str">
        <f ca="1">IF(ResultColumnLabels[[#This Row],[Data Value Number]]="","",INDEX(DataColumns[ColumnLabel],MATCH(ResultColumnLabels[[#This Row],[Data Value Number]],DataColumns[DVNum],0)))</f>
        <v/>
      </c>
    </row>
    <row r="863" spans="1:2" x14ac:dyDescent="0.25">
      <c r="A863" s="219" t="str">
        <f ca="1">IF(ROW()-1&gt;NumDataColumns,"",MAX(INDIRECT(CONCATENATE("R",ROW(ResultColumnLabels[#Headers]),"C",COLUMN(),":R",ROW()-1,"C",COLUMN()),FALSE))+1)</f>
        <v/>
      </c>
      <c r="B863" s="219" t="str">
        <f ca="1">IF(ResultColumnLabels[[#This Row],[Data Value Number]]="","",INDEX(DataColumns[ColumnLabel],MATCH(ResultColumnLabels[[#This Row],[Data Value Number]],DataColumns[DVNum],0)))</f>
        <v/>
      </c>
    </row>
    <row r="864" spans="1:2" x14ac:dyDescent="0.25">
      <c r="A864" s="219" t="str">
        <f ca="1">IF(ROW()-1&gt;NumDataColumns,"",MAX(INDIRECT(CONCATENATE("R",ROW(ResultColumnLabels[#Headers]),"C",COLUMN(),":R",ROW()-1,"C",COLUMN()),FALSE))+1)</f>
        <v/>
      </c>
      <c r="B864" s="219" t="str">
        <f ca="1">IF(ResultColumnLabels[[#This Row],[Data Value Number]]="","",INDEX(DataColumns[ColumnLabel],MATCH(ResultColumnLabels[[#This Row],[Data Value Number]],DataColumns[DVNum],0)))</f>
        <v/>
      </c>
    </row>
    <row r="865" spans="1:2" x14ac:dyDescent="0.25">
      <c r="A865" s="219" t="str">
        <f ca="1">IF(ROW()-1&gt;NumDataColumns,"",MAX(INDIRECT(CONCATENATE("R",ROW(ResultColumnLabels[#Headers]),"C",COLUMN(),":R",ROW()-1,"C",COLUMN()),FALSE))+1)</f>
        <v/>
      </c>
      <c r="B865" s="219" t="str">
        <f ca="1">IF(ResultColumnLabels[[#This Row],[Data Value Number]]="","",INDEX(DataColumns[ColumnLabel],MATCH(ResultColumnLabels[[#This Row],[Data Value Number]],DataColumns[DVNum],0)))</f>
        <v/>
      </c>
    </row>
    <row r="866" spans="1:2" x14ac:dyDescent="0.25">
      <c r="A866" s="219" t="str">
        <f ca="1">IF(ROW()-1&gt;NumDataColumns,"",MAX(INDIRECT(CONCATENATE("R",ROW(ResultColumnLabels[#Headers]),"C",COLUMN(),":R",ROW()-1,"C",COLUMN()),FALSE))+1)</f>
        <v/>
      </c>
      <c r="B866" s="219" t="str">
        <f ca="1">IF(ResultColumnLabels[[#This Row],[Data Value Number]]="","",INDEX(DataColumns[ColumnLabel],MATCH(ResultColumnLabels[[#This Row],[Data Value Number]],DataColumns[DVNum],0)))</f>
        <v/>
      </c>
    </row>
    <row r="867" spans="1:2" x14ac:dyDescent="0.25">
      <c r="A867" s="219" t="str">
        <f ca="1">IF(ROW()-1&gt;NumDataColumns,"",MAX(INDIRECT(CONCATENATE("R",ROW(ResultColumnLabels[#Headers]),"C",COLUMN(),":R",ROW()-1,"C",COLUMN()),FALSE))+1)</f>
        <v/>
      </c>
      <c r="B867" s="219" t="str">
        <f ca="1">IF(ResultColumnLabels[[#This Row],[Data Value Number]]="","",INDEX(DataColumns[ColumnLabel],MATCH(ResultColumnLabels[[#This Row],[Data Value Number]],DataColumns[DVNum],0)))</f>
        <v/>
      </c>
    </row>
    <row r="868" spans="1:2" x14ac:dyDescent="0.25">
      <c r="A868" s="219" t="str">
        <f ca="1">IF(ROW()-1&gt;NumDataColumns,"",MAX(INDIRECT(CONCATENATE("R",ROW(ResultColumnLabels[#Headers]),"C",COLUMN(),":R",ROW()-1,"C",COLUMN()),FALSE))+1)</f>
        <v/>
      </c>
      <c r="B868" s="219" t="str">
        <f ca="1">IF(ResultColumnLabels[[#This Row],[Data Value Number]]="","",INDEX(DataColumns[ColumnLabel],MATCH(ResultColumnLabels[[#This Row],[Data Value Number]],DataColumns[DVNum],0)))</f>
        <v/>
      </c>
    </row>
    <row r="869" spans="1:2" x14ac:dyDescent="0.25">
      <c r="A869" s="219" t="str">
        <f ca="1">IF(ROW()-1&gt;NumDataColumns,"",MAX(INDIRECT(CONCATENATE("R",ROW(ResultColumnLabels[#Headers]),"C",COLUMN(),":R",ROW()-1,"C",COLUMN()),FALSE))+1)</f>
        <v/>
      </c>
      <c r="B869" s="219" t="str">
        <f ca="1">IF(ResultColumnLabels[[#This Row],[Data Value Number]]="","",INDEX(DataColumns[ColumnLabel],MATCH(ResultColumnLabels[[#This Row],[Data Value Number]],DataColumns[DVNum],0)))</f>
        <v/>
      </c>
    </row>
    <row r="870" spans="1:2" x14ac:dyDescent="0.25">
      <c r="A870" s="219" t="str">
        <f ca="1">IF(ROW()-1&gt;NumDataColumns,"",MAX(INDIRECT(CONCATENATE("R",ROW(ResultColumnLabels[#Headers]),"C",COLUMN(),":R",ROW()-1,"C",COLUMN()),FALSE))+1)</f>
        <v/>
      </c>
      <c r="B870" s="219" t="str">
        <f ca="1">IF(ResultColumnLabels[[#This Row],[Data Value Number]]="","",INDEX(DataColumns[ColumnLabel],MATCH(ResultColumnLabels[[#This Row],[Data Value Number]],DataColumns[DVNum],0)))</f>
        <v/>
      </c>
    </row>
    <row r="871" spans="1:2" x14ac:dyDescent="0.25">
      <c r="A871" s="219" t="str">
        <f ca="1">IF(ROW()-1&gt;NumDataColumns,"",MAX(INDIRECT(CONCATENATE("R",ROW(ResultColumnLabels[#Headers]),"C",COLUMN(),":R",ROW()-1,"C",COLUMN()),FALSE))+1)</f>
        <v/>
      </c>
      <c r="B871" s="219" t="str">
        <f ca="1">IF(ResultColumnLabels[[#This Row],[Data Value Number]]="","",INDEX(DataColumns[ColumnLabel],MATCH(ResultColumnLabels[[#This Row],[Data Value Number]],DataColumns[DVNum],0)))</f>
        <v/>
      </c>
    </row>
    <row r="872" spans="1:2" x14ac:dyDescent="0.25">
      <c r="A872" s="219" t="str">
        <f ca="1">IF(ROW()-1&gt;NumDataColumns,"",MAX(INDIRECT(CONCATENATE("R",ROW(ResultColumnLabels[#Headers]),"C",COLUMN(),":R",ROW()-1,"C",COLUMN()),FALSE))+1)</f>
        <v/>
      </c>
      <c r="B872" s="219" t="str">
        <f ca="1">IF(ResultColumnLabels[[#This Row],[Data Value Number]]="","",INDEX(DataColumns[ColumnLabel],MATCH(ResultColumnLabels[[#This Row],[Data Value Number]],DataColumns[DVNum],0)))</f>
        <v/>
      </c>
    </row>
    <row r="873" spans="1:2" x14ac:dyDescent="0.25">
      <c r="A873" s="219" t="str">
        <f ca="1">IF(ROW()-1&gt;NumDataColumns,"",MAX(INDIRECT(CONCATENATE("R",ROW(ResultColumnLabels[#Headers]),"C",COLUMN(),":R",ROW()-1,"C",COLUMN()),FALSE))+1)</f>
        <v/>
      </c>
      <c r="B873" s="219" t="str">
        <f ca="1">IF(ResultColumnLabels[[#This Row],[Data Value Number]]="","",INDEX(DataColumns[ColumnLabel],MATCH(ResultColumnLabels[[#This Row],[Data Value Number]],DataColumns[DVNum],0)))</f>
        <v/>
      </c>
    </row>
    <row r="874" spans="1:2" x14ac:dyDescent="0.25">
      <c r="A874" s="219" t="str">
        <f ca="1">IF(ROW()-1&gt;NumDataColumns,"",MAX(INDIRECT(CONCATENATE("R",ROW(ResultColumnLabels[#Headers]),"C",COLUMN(),":R",ROW()-1,"C",COLUMN()),FALSE))+1)</f>
        <v/>
      </c>
      <c r="B874" s="219" t="str">
        <f ca="1">IF(ResultColumnLabels[[#This Row],[Data Value Number]]="","",INDEX(DataColumns[ColumnLabel],MATCH(ResultColumnLabels[[#This Row],[Data Value Number]],DataColumns[DVNum],0)))</f>
        <v/>
      </c>
    </row>
    <row r="875" spans="1:2" x14ac:dyDescent="0.25">
      <c r="A875" s="219" t="str">
        <f ca="1">IF(ROW()-1&gt;NumDataColumns,"",MAX(INDIRECT(CONCATENATE("R",ROW(ResultColumnLabels[#Headers]),"C",COLUMN(),":R",ROW()-1,"C",COLUMN()),FALSE))+1)</f>
        <v/>
      </c>
      <c r="B875" s="219" t="str">
        <f ca="1">IF(ResultColumnLabels[[#This Row],[Data Value Number]]="","",INDEX(DataColumns[ColumnLabel],MATCH(ResultColumnLabels[[#This Row],[Data Value Number]],DataColumns[DVNum],0)))</f>
        <v/>
      </c>
    </row>
    <row r="876" spans="1:2" x14ac:dyDescent="0.25">
      <c r="A876" s="219" t="str">
        <f ca="1">IF(ROW()-1&gt;NumDataColumns,"",MAX(INDIRECT(CONCATENATE("R",ROW(ResultColumnLabels[#Headers]),"C",COLUMN(),":R",ROW()-1,"C",COLUMN()),FALSE))+1)</f>
        <v/>
      </c>
      <c r="B876" s="219" t="str">
        <f ca="1">IF(ResultColumnLabels[[#This Row],[Data Value Number]]="","",INDEX(DataColumns[ColumnLabel],MATCH(ResultColumnLabels[[#This Row],[Data Value Number]],DataColumns[DVNum],0)))</f>
        <v/>
      </c>
    </row>
    <row r="877" spans="1:2" x14ac:dyDescent="0.25">
      <c r="A877" s="219" t="str">
        <f ca="1">IF(ROW()-1&gt;NumDataColumns,"",MAX(INDIRECT(CONCATENATE("R",ROW(ResultColumnLabels[#Headers]),"C",COLUMN(),":R",ROW()-1,"C",COLUMN()),FALSE))+1)</f>
        <v/>
      </c>
      <c r="B877" s="219" t="str">
        <f ca="1">IF(ResultColumnLabels[[#This Row],[Data Value Number]]="","",INDEX(DataColumns[ColumnLabel],MATCH(ResultColumnLabels[[#This Row],[Data Value Number]],DataColumns[DVNum],0)))</f>
        <v/>
      </c>
    </row>
    <row r="878" spans="1:2" x14ac:dyDescent="0.25">
      <c r="A878" s="219" t="str">
        <f ca="1">IF(ROW()-1&gt;NumDataColumns,"",MAX(INDIRECT(CONCATENATE("R",ROW(ResultColumnLabels[#Headers]),"C",COLUMN(),":R",ROW()-1,"C",COLUMN()),FALSE))+1)</f>
        <v/>
      </c>
      <c r="B878" s="219" t="str">
        <f ca="1">IF(ResultColumnLabels[[#This Row],[Data Value Number]]="","",INDEX(DataColumns[ColumnLabel],MATCH(ResultColumnLabels[[#This Row],[Data Value Number]],DataColumns[DVNum],0)))</f>
        <v/>
      </c>
    </row>
    <row r="879" spans="1:2" x14ac:dyDescent="0.25">
      <c r="A879" s="219" t="str">
        <f ca="1">IF(ROW()-1&gt;NumDataColumns,"",MAX(INDIRECT(CONCATENATE("R",ROW(ResultColumnLabels[#Headers]),"C",COLUMN(),":R",ROW()-1,"C",COLUMN()),FALSE))+1)</f>
        <v/>
      </c>
      <c r="B879" s="219" t="str">
        <f ca="1">IF(ResultColumnLabels[[#This Row],[Data Value Number]]="","",INDEX(DataColumns[ColumnLabel],MATCH(ResultColumnLabels[[#This Row],[Data Value Number]],DataColumns[DVNum],0)))</f>
        <v/>
      </c>
    </row>
    <row r="880" spans="1:2" x14ac:dyDescent="0.25">
      <c r="A880" s="219" t="str">
        <f ca="1">IF(ROW()-1&gt;NumDataColumns,"",MAX(INDIRECT(CONCATENATE("R",ROW(ResultColumnLabels[#Headers]),"C",COLUMN(),":R",ROW()-1,"C",COLUMN()),FALSE))+1)</f>
        <v/>
      </c>
      <c r="B880" s="219" t="str">
        <f ca="1">IF(ResultColumnLabels[[#This Row],[Data Value Number]]="","",INDEX(DataColumns[ColumnLabel],MATCH(ResultColumnLabels[[#This Row],[Data Value Number]],DataColumns[DVNum],0)))</f>
        <v/>
      </c>
    </row>
    <row r="881" spans="1:2" x14ac:dyDescent="0.25">
      <c r="A881" s="219" t="str">
        <f ca="1">IF(ROW()-1&gt;NumDataColumns,"",MAX(INDIRECT(CONCATENATE("R",ROW(ResultColumnLabels[#Headers]),"C",COLUMN(),":R",ROW()-1,"C",COLUMN()),FALSE))+1)</f>
        <v/>
      </c>
      <c r="B881" s="219" t="str">
        <f ca="1">IF(ResultColumnLabels[[#This Row],[Data Value Number]]="","",INDEX(DataColumns[ColumnLabel],MATCH(ResultColumnLabels[[#This Row],[Data Value Number]],DataColumns[DVNum],0)))</f>
        <v/>
      </c>
    </row>
    <row r="882" spans="1:2" x14ac:dyDescent="0.25">
      <c r="A882" s="219" t="str">
        <f ca="1">IF(ROW()-1&gt;NumDataColumns,"",MAX(INDIRECT(CONCATENATE("R",ROW(ResultColumnLabels[#Headers]),"C",COLUMN(),":R",ROW()-1,"C",COLUMN()),FALSE))+1)</f>
        <v/>
      </c>
      <c r="B882" s="219" t="str">
        <f ca="1">IF(ResultColumnLabels[[#This Row],[Data Value Number]]="","",INDEX(DataColumns[ColumnLabel],MATCH(ResultColumnLabels[[#This Row],[Data Value Number]],DataColumns[DVNum],0)))</f>
        <v/>
      </c>
    </row>
    <row r="883" spans="1:2" x14ac:dyDescent="0.25">
      <c r="A883" s="219" t="str">
        <f ca="1">IF(ROW()-1&gt;NumDataColumns,"",MAX(INDIRECT(CONCATENATE("R",ROW(ResultColumnLabels[#Headers]),"C",COLUMN(),":R",ROW()-1,"C",COLUMN()),FALSE))+1)</f>
        <v/>
      </c>
      <c r="B883" s="219" t="str">
        <f ca="1">IF(ResultColumnLabels[[#This Row],[Data Value Number]]="","",INDEX(DataColumns[ColumnLabel],MATCH(ResultColumnLabels[[#This Row],[Data Value Number]],DataColumns[DVNum],0)))</f>
        <v/>
      </c>
    </row>
    <row r="884" spans="1:2" x14ac:dyDescent="0.25">
      <c r="A884" s="219" t="str">
        <f ca="1">IF(ROW()-1&gt;NumDataColumns,"",MAX(INDIRECT(CONCATENATE("R",ROW(ResultColumnLabels[#Headers]),"C",COLUMN(),":R",ROW()-1,"C",COLUMN()),FALSE))+1)</f>
        <v/>
      </c>
      <c r="B884" s="219" t="str">
        <f ca="1">IF(ResultColumnLabels[[#This Row],[Data Value Number]]="","",INDEX(DataColumns[ColumnLabel],MATCH(ResultColumnLabels[[#This Row],[Data Value Number]],DataColumns[DVNum],0)))</f>
        <v/>
      </c>
    </row>
    <row r="885" spans="1:2" x14ac:dyDescent="0.25">
      <c r="A885" s="219" t="str">
        <f ca="1">IF(ROW()-1&gt;NumDataColumns,"",MAX(INDIRECT(CONCATENATE("R",ROW(ResultColumnLabels[#Headers]),"C",COLUMN(),":R",ROW()-1,"C",COLUMN()),FALSE))+1)</f>
        <v/>
      </c>
      <c r="B885" s="219" t="str">
        <f ca="1">IF(ResultColumnLabels[[#This Row],[Data Value Number]]="","",INDEX(DataColumns[ColumnLabel],MATCH(ResultColumnLabels[[#This Row],[Data Value Number]],DataColumns[DVNum],0)))</f>
        <v/>
      </c>
    </row>
    <row r="886" spans="1:2" x14ac:dyDescent="0.25">
      <c r="A886" s="219" t="str">
        <f ca="1">IF(ROW()-1&gt;NumDataColumns,"",MAX(INDIRECT(CONCATENATE("R",ROW(ResultColumnLabels[#Headers]),"C",COLUMN(),":R",ROW()-1,"C",COLUMN()),FALSE))+1)</f>
        <v/>
      </c>
      <c r="B886" s="219" t="str">
        <f ca="1">IF(ResultColumnLabels[[#This Row],[Data Value Number]]="","",INDEX(DataColumns[ColumnLabel],MATCH(ResultColumnLabels[[#This Row],[Data Value Number]],DataColumns[DVNum],0)))</f>
        <v/>
      </c>
    </row>
    <row r="887" spans="1:2" x14ac:dyDescent="0.25">
      <c r="A887" s="219" t="str">
        <f ca="1">IF(ROW()-1&gt;NumDataColumns,"",MAX(INDIRECT(CONCATENATE("R",ROW(ResultColumnLabels[#Headers]),"C",COLUMN(),":R",ROW()-1,"C",COLUMN()),FALSE))+1)</f>
        <v/>
      </c>
      <c r="B887" s="219" t="str">
        <f ca="1">IF(ResultColumnLabels[[#This Row],[Data Value Number]]="","",INDEX(DataColumns[ColumnLabel],MATCH(ResultColumnLabels[[#This Row],[Data Value Number]],DataColumns[DVNum],0)))</f>
        <v/>
      </c>
    </row>
    <row r="888" spans="1:2" x14ac:dyDescent="0.25">
      <c r="A888" s="219" t="str">
        <f ca="1">IF(ROW()-1&gt;NumDataColumns,"",MAX(INDIRECT(CONCATENATE("R",ROW(ResultColumnLabels[#Headers]),"C",COLUMN(),":R",ROW()-1,"C",COLUMN()),FALSE))+1)</f>
        <v/>
      </c>
      <c r="B888" s="219" t="str">
        <f ca="1">IF(ResultColumnLabels[[#This Row],[Data Value Number]]="","",INDEX(DataColumns[ColumnLabel],MATCH(ResultColumnLabels[[#This Row],[Data Value Number]],DataColumns[DVNum],0)))</f>
        <v/>
      </c>
    </row>
    <row r="889" spans="1:2" x14ac:dyDescent="0.25">
      <c r="A889" s="219" t="str">
        <f ca="1">IF(ROW()-1&gt;NumDataColumns,"",MAX(INDIRECT(CONCATENATE("R",ROW(ResultColumnLabels[#Headers]),"C",COLUMN(),":R",ROW()-1,"C",COLUMN()),FALSE))+1)</f>
        <v/>
      </c>
      <c r="B889" s="219" t="str">
        <f ca="1">IF(ResultColumnLabels[[#This Row],[Data Value Number]]="","",INDEX(DataColumns[ColumnLabel],MATCH(ResultColumnLabels[[#This Row],[Data Value Number]],DataColumns[DVNum],0)))</f>
        <v/>
      </c>
    </row>
    <row r="890" spans="1:2" x14ac:dyDescent="0.25">
      <c r="A890" s="219" t="str">
        <f ca="1">IF(ROW()-1&gt;NumDataColumns,"",MAX(INDIRECT(CONCATENATE("R",ROW(ResultColumnLabels[#Headers]),"C",COLUMN(),":R",ROW()-1,"C",COLUMN()),FALSE))+1)</f>
        <v/>
      </c>
      <c r="B890" s="219" t="str">
        <f ca="1">IF(ResultColumnLabels[[#This Row],[Data Value Number]]="","",INDEX(DataColumns[ColumnLabel],MATCH(ResultColumnLabels[[#This Row],[Data Value Number]],DataColumns[DVNum],0)))</f>
        <v/>
      </c>
    </row>
    <row r="891" spans="1:2" x14ac:dyDescent="0.25">
      <c r="A891" s="219" t="str">
        <f ca="1">IF(ROW()-1&gt;NumDataColumns,"",MAX(INDIRECT(CONCATENATE("R",ROW(ResultColumnLabels[#Headers]),"C",COLUMN(),":R",ROW()-1,"C",COLUMN()),FALSE))+1)</f>
        <v/>
      </c>
      <c r="B891" s="219" t="str">
        <f ca="1">IF(ResultColumnLabels[[#This Row],[Data Value Number]]="","",INDEX(DataColumns[ColumnLabel],MATCH(ResultColumnLabels[[#This Row],[Data Value Number]],DataColumns[DVNum],0)))</f>
        <v/>
      </c>
    </row>
    <row r="892" spans="1:2" x14ac:dyDescent="0.25">
      <c r="A892" s="219" t="str">
        <f ca="1">IF(ROW()-1&gt;NumDataColumns,"",MAX(INDIRECT(CONCATENATE("R",ROW(ResultColumnLabels[#Headers]),"C",COLUMN(),":R",ROW()-1,"C",COLUMN()),FALSE))+1)</f>
        <v/>
      </c>
      <c r="B892" s="219" t="str">
        <f ca="1">IF(ResultColumnLabels[[#This Row],[Data Value Number]]="","",INDEX(DataColumns[ColumnLabel],MATCH(ResultColumnLabels[[#This Row],[Data Value Number]],DataColumns[DVNum],0)))</f>
        <v/>
      </c>
    </row>
    <row r="893" spans="1:2" x14ac:dyDescent="0.25">
      <c r="A893" s="219" t="str">
        <f ca="1">IF(ROW()-1&gt;NumDataColumns,"",MAX(INDIRECT(CONCATENATE("R",ROW(ResultColumnLabels[#Headers]),"C",COLUMN(),":R",ROW()-1,"C",COLUMN()),FALSE))+1)</f>
        <v/>
      </c>
      <c r="B893" s="219" t="str">
        <f ca="1">IF(ResultColumnLabels[[#This Row],[Data Value Number]]="","",INDEX(DataColumns[ColumnLabel],MATCH(ResultColumnLabels[[#This Row],[Data Value Number]],DataColumns[DVNum],0)))</f>
        <v/>
      </c>
    </row>
    <row r="894" spans="1:2" x14ac:dyDescent="0.25">
      <c r="A894" s="219" t="str">
        <f ca="1">IF(ROW()-1&gt;NumDataColumns,"",MAX(INDIRECT(CONCATENATE("R",ROW(ResultColumnLabels[#Headers]),"C",COLUMN(),":R",ROW()-1,"C",COLUMN()),FALSE))+1)</f>
        <v/>
      </c>
      <c r="B894" s="219" t="str">
        <f ca="1">IF(ResultColumnLabels[[#This Row],[Data Value Number]]="","",INDEX(DataColumns[ColumnLabel],MATCH(ResultColumnLabels[[#This Row],[Data Value Number]],DataColumns[DVNum],0)))</f>
        <v/>
      </c>
    </row>
    <row r="895" spans="1:2" x14ac:dyDescent="0.25">
      <c r="A895" s="219" t="str">
        <f ca="1">IF(ROW()-1&gt;NumDataColumns,"",MAX(INDIRECT(CONCATENATE("R",ROW(ResultColumnLabels[#Headers]),"C",COLUMN(),":R",ROW()-1,"C",COLUMN()),FALSE))+1)</f>
        <v/>
      </c>
      <c r="B895" s="219" t="str">
        <f ca="1">IF(ResultColumnLabels[[#This Row],[Data Value Number]]="","",INDEX(DataColumns[ColumnLabel],MATCH(ResultColumnLabels[[#This Row],[Data Value Number]],DataColumns[DVNum],0)))</f>
        <v/>
      </c>
    </row>
    <row r="896" spans="1:2" x14ac:dyDescent="0.25">
      <c r="A896" s="219" t="str">
        <f ca="1">IF(ROW()-1&gt;NumDataColumns,"",MAX(INDIRECT(CONCATENATE("R",ROW(ResultColumnLabels[#Headers]),"C",COLUMN(),":R",ROW()-1,"C",COLUMN()),FALSE))+1)</f>
        <v/>
      </c>
      <c r="B896" s="219" t="str">
        <f ca="1">IF(ResultColumnLabels[[#This Row],[Data Value Number]]="","",INDEX(DataColumns[ColumnLabel],MATCH(ResultColumnLabels[[#This Row],[Data Value Number]],DataColumns[DVNum],0)))</f>
        <v/>
      </c>
    </row>
    <row r="897" spans="1:2" x14ac:dyDescent="0.25">
      <c r="A897" s="219" t="str">
        <f ca="1">IF(ROW()-1&gt;NumDataColumns,"",MAX(INDIRECT(CONCATENATE("R",ROW(ResultColumnLabels[#Headers]),"C",COLUMN(),":R",ROW()-1,"C",COLUMN()),FALSE))+1)</f>
        <v/>
      </c>
      <c r="B897" s="219" t="str">
        <f ca="1">IF(ResultColumnLabels[[#This Row],[Data Value Number]]="","",INDEX(DataColumns[ColumnLabel],MATCH(ResultColumnLabels[[#This Row],[Data Value Number]],DataColumns[DVNum],0)))</f>
        <v/>
      </c>
    </row>
    <row r="898" spans="1:2" x14ac:dyDescent="0.25">
      <c r="A898" s="219" t="str">
        <f ca="1">IF(ROW()-1&gt;NumDataColumns,"",MAX(INDIRECT(CONCATENATE("R",ROW(ResultColumnLabels[#Headers]),"C",COLUMN(),":R",ROW()-1,"C",COLUMN()),FALSE))+1)</f>
        <v/>
      </c>
      <c r="B898" s="219" t="str">
        <f ca="1">IF(ResultColumnLabels[[#This Row],[Data Value Number]]="","",INDEX(DataColumns[ColumnLabel],MATCH(ResultColumnLabels[[#This Row],[Data Value Number]],DataColumns[DVNum],0)))</f>
        <v/>
      </c>
    </row>
    <row r="899" spans="1:2" x14ac:dyDescent="0.25">
      <c r="A899" s="219" t="str">
        <f ca="1">IF(ROW()-1&gt;NumDataColumns,"",MAX(INDIRECT(CONCATENATE("R",ROW(ResultColumnLabels[#Headers]),"C",COLUMN(),":R",ROW()-1,"C",COLUMN()),FALSE))+1)</f>
        <v/>
      </c>
      <c r="B899" s="219" t="str">
        <f ca="1">IF(ResultColumnLabels[[#This Row],[Data Value Number]]="","",INDEX(DataColumns[ColumnLabel],MATCH(ResultColumnLabels[[#This Row],[Data Value Number]],DataColumns[DVNum],0)))</f>
        <v/>
      </c>
    </row>
    <row r="900" spans="1:2" x14ac:dyDescent="0.25">
      <c r="A900" s="219" t="str">
        <f ca="1">IF(ROW()-1&gt;NumDataColumns,"",MAX(INDIRECT(CONCATENATE("R",ROW(ResultColumnLabels[#Headers]),"C",COLUMN(),":R",ROW()-1,"C",COLUMN()),FALSE))+1)</f>
        <v/>
      </c>
      <c r="B900" s="219" t="str">
        <f ca="1">IF(ResultColumnLabels[[#This Row],[Data Value Number]]="","",INDEX(DataColumns[ColumnLabel],MATCH(ResultColumnLabels[[#This Row],[Data Value Number]],DataColumns[DVNum],0)))</f>
        <v/>
      </c>
    </row>
    <row r="901" spans="1:2" x14ac:dyDescent="0.25">
      <c r="A901" s="219" t="str">
        <f ca="1">IF(ROW()-1&gt;NumDataColumns,"",MAX(INDIRECT(CONCATENATE("R",ROW(ResultColumnLabels[#Headers]),"C",COLUMN(),":R",ROW()-1,"C",COLUMN()),FALSE))+1)</f>
        <v/>
      </c>
      <c r="B901" s="219" t="str">
        <f ca="1">IF(ResultColumnLabels[[#This Row],[Data Value Number]]="","",INDEX(DataColumns[ColumnLabel],MATCH(ResultColumnLabels[[#This Row],[Data Value Number]],DataColumns[DVNum],0)))</f>
        <v/>
      </c>
    </row>
    <row r="902" spans="1:2" x14ac:dyDescent="0.25">
      <c r="A902" s="219" t="str">
        <f ca="1">IF(ROW()-1&gt;NumDataColumns,"",MAX(INDIRECT(CONCATENATE("R",ROW(ResultColumnLabels[#Headers]),"C",COLUMN(),":R",ROW()-1,"C",COLUMN()),FALSE))+1)</f>
        <v/>
      </c>
      <c r="B902" s="219" t="str">
        <f ca="1">IF(ResultColumnLabels[[#This Row],[Data Value Number]]="","",INDEX(DataColumns[ColumnLabel],MATCH(ResultColumnLabels[[#This Row],[Data Value Number]],DataColumns[DVNum],0)))</f>
        <v/>
      </c>
    </row>
    <row r="903" spans="1:2" x14ac:dyDescent="0.25">
      <c r="A903" s="219" t="str">
        <f ca="1">IF(ROW()-1&gt;NumDataColumns,"",MAX(INDIRECT(CONCATENATE("R",ROW(ResultColumnLabels[#Headers]),"C",COLUMN(),":R",ROW()-1,"C",COLUMN()),FALSE))+1)</f>
        <v/>
      </c>
      <c r="B903" s="219" t="str">
        <f ca="1">IF(ResultColumnLabels[[#This Row],[Data Value Number]]="","",INDEX(DataColumns[ColumnLabel],MATCH(ResultColumnLabels[[#This Row],[Data Value Number]],DataColumns[DVNum],0)))</f>
        <v/>
      </c>
    </row>
    <row r="904" spans="1:2" x14ac:dyDescent="0.25">
      <c r="A904" s="219" t="str">
        <f ca="1">IF(ROW()-1&gt;NumDataColumns,"",MAX(INDIRECT(CONCATENATE("R",ROW(ResultColumnLabels[#Headers]),"C",COLUMN(),":R",ROW()-1,"C",COLUMN()),FALSE))+1)</f>
        <v/>
      </c>
      <c r="B904" s="219" t="str">
        <f ca="1">IF(ResultColumnLabels[[#This Row],[Data Value Number]]="","",INDEX(DataColumns[ColumnLabel],MATCH(ResultColumnLabels[[#This Row],[Data Value Number]],DataColumns[DVNum],0)))</f>
        <v/>
      </c>
    </row>
    <row r="905" spans="1:2" x14ac:dyDescent="0.25">
      <c r="A905" s="219" t="str">
        <f ca="1">IF(ROW()-1&gt;NumDataColumns,"",MAX(INDIRECT(CONCATENATE("R",ROW(ResultColumnLabels[#Headers]),"C",COLUMN(),":R",ROW()-1,"C",COLUMN()),FALSE))+1)</f>
        <v/>
      </c>
      <c r="B905" s="219" t="str">
        <f ca="1">IF(ResultColumnLabels[[#This Row],[Data Value Number]]="","",INDEX(DataColumns[ColumnLabel],MATCH(ResultColumnLabels[[#This Row],[Data Value Number]],DataColumns[DVNum],0)))</f>
        <v/>
      </c>
    </row>
    <row r="906" spans="1:2" x14ac:dyDescent="0.25">
      <c r="A906" s="219" t="str">
        <f ca="1">IF(ROW()-1&gt;NumDataColumns,"",MAX(INDIRECT(CONCATENATE("R",ROW(ResultColumnLabels[#Headers]),"C",COLUMN(),":R",ROW()-1,"C",COLUMN()),FALSE))+1)</f>
        <v/>
      </c>
      <c r="B906" s="219" t="str">
        <f ca="1">IF(ResultColumnLabels[[#This Row],[Data Value Number]]="","",INDEX(DataColumns[ColumnLabel],MATCH(ResultColumnLabels[[#This Row],[Data Value Number]],DataColumns[DVNum],0)))</f>
        <v/>
      </c>
    </row>
    <row r="907" spans="1:2" x14ac:dyDescent="0.25">
      <c r="A907" s="219" t="str">
        <f ca="1">IF(ROW()-1&gt;NumDataColumns,"",MAX(INDIRECT(CONCATENATE("R",ROW(ResultColumnLabels[#Headers]),"C",COLUMN(),":R",ROW()-1,"C",COLUMN()),FALSE))+1)</f>
        <v/>
      </c>
      <c r="B907" s="219" t="str">
        <f ca="1">IF(ResultColumnLabels[[#This Row],[Data Value Number]]="","",INDEX(DataColumns[ColumnLabel],MATCH(ResultColumnLabels[[#This Row],[Data Value Number]],DataColumns[DVNum],0)))</f>
        <v/>
      </c>
    </row>
    <row r="908" spans="1:2" x14ac:dyDescent="0.25">
      <c r="A908" s="219" t="str">
        <f ca="1">IF(ROW()-1&gt;NumDataColumns,"",MAX(INDIRECT(CONCATENATE("R",ROW(ResultColumnLabels[#Headers]),"C",COLUMN(),":R",ROW()-1,"C",COLUMN()),FALSE))+1)</f>
        <v/>
      </c>
      <c r="B908" s="219" t="str">
        <f ca="1">IF(ResultColumnLabels[[#This Row],[Data Value Number]]="","",INDEX(DataColumns[ColumnLabel],MATCH(ResultColumnLabels[[#This Row],[Data Value Number]],DataColumns[DVNum],0)))</f>
        <v/>
      </c>
    </row>
    <row r="909" spans="1:2" x14ac:dyDescent="0.25">
      <c r="A909" s="219" t="str">
        <f ca="1">IF(ROW()-1&gt;NumDataColumns,"",MAX(INDIRECT(CONCATENATE("R",ROW(ResultColumnLabels[#Headers]),"C",COLUMN(),":R",ROW()-1,"C",COLUMN()),FALSE))+1)</f>
        <v/>
      </c>
      <c r="B909" s="219" t="str">
        <f ca="1">IF(ResultColumnLabels[[#This Row],[Data Value Number]]="","",INDEX(DataColumns[ColumnLabel],MATCH(ResultColumnLabels[[#This Row],[Data Value Number]],DataColumns[DVNum],0)))</f>
        <v/>
      </c>
    </row>
    <row r="910" spans="1:2" x14ac:dyDescent="0.25">
      <c r="A910" s="219" t="str">
        <f ca="1">IF(ROW()-1&gt;NumDataColumns,"",MAX(INDIRECT(CONCATENATE("R",ROW(ResultColumnLabels[#Headers]),"C",COLUMN(),":R",ROW()-1,"C",COLUMN()),FALSE))+1)</f>
        <v/>
      </c>
      <c r="B910" s="219" t="str">
        <f ca="1">IF(ResultColumnLabels[[#This Row],[Data Value Number]]="","",INDEX(DataColumns[ColumnLabel],MATCH(ResultColumnLabels[[#This Row],[Data Value Number]],DataColumns[DVNum],0)))</f>
        <v/>
      </c>
    </row>
    <row r="911" spans="1:2" x14ac:dyDescent="0.25">
      <c r="A911" s="219" t="str">
        <f ca="1">IF(ROW()-1&gt;NumDataColumns,"",MAX(INDIRECT(CONCATENATE("R",ROW(ResultColumnLabels[#Headers]),"C",COLUMN(),":R",ROW()-1,"C",COLUMN()),FALSE))+1)</f>
        <v/>
      </c>
      <c r="B911" s="219" t="str">
        <f ca="1">IF(ResultColumnLabels[[#This Row],[Data Value Number]]="","",INDEX(DataColumns[ColumnLabel],MATCH(ResultColumnLabels[[#This Row],[Data Value Number]],DataColumns[DVNum],0)))</f>
        <v/>
      </c>
    </row>
    <row r="912" spans="1:2" x14ac:dyDescent="0.25">
      <c r="A912" s="219" t="str">
        <f ca="1">IF(ROW()-1&gt;NumDataColumns,"",MAX(INDIRECT(CONCATENATE("R",ROW(ResultColumnLabels[#Headers]),"C",COLUMN(),":R",ROW()-1,"C",COLUMN()),FALSE))+1)</f>
        <v/>
      </c>
      <c r="B912" s="219" t="str">
        <f ca="1">IF(ResultColumnLabels[[#This Row],[Data Value Number]]="","",INDEX(DataColumns[ColumnLabel],MATCH(ResultColumnLabels[[#This Row],[Data Value Number]],DataColumns[DVNum],0)))</f>
        <v/>
      </c>
    </row>
    <row r="913" spans="1:2" x14ac:dyDescent="0.25">
      <c r="A913" s="219" t="str">
        <f ca="1">IF(ROW()-1&gt;NumDataColumns,"",MAX(INDIRECT(CONCATENATE("R",ROW(ResultColumnLabels[#Headers]),"C",COLUMN(),":R",ROW()-1,"C",COLUMN()),FALSE))+1)</f>
        <v/>
      </c>
      <c r="B913" s="219" t="str">
        <f ca="1">IF(ResultColumnLabels[[#This Row],[Data Value Number]]="","",INDEX(DataColumns[ColumnLabel],MATCH(ResultColumnLabels[[#This Row],[Data Value Number]],DataColumns[DVNum],0)))</f>
        <v/>
      </c>
    </row>
    <row r="914" spans="1:2" x14ac:dyDescent="0.25">
      <c r="A914" s="219" t="str">
        <f ca="1">IF(ROW()-1&gt;NumDataColumns,"",MAX(INDIRECT(CONCATENATE("R",ROW(ResultColumnLabels[#Headers]),"C",COLUMN(),":R",ROW()-1,"C",COLUMN()),FALSE))+1)</f>
        <v/>
      </c>
      <c r="B914" s="219" t="str">
        <f ca="1">IF(ResultColumnLabels[[#This Row],[Data Value Number]]="","",INDEX(DataColumns[ColumnLabel],MATCH(ResultColumnLabels[[#This Row],[Data Value Number]],DataColumns[DVNum],0)))</f>
        <v/>
      </c>
    </row>
    <row r="915" spans="1:2" x14ac:dyDescent="0.25">
      <c r="A915" s="219" t="str">
        <f ca="1">IF(ROW()-1&gt;NumDataColumns,"",MAX(INDIRECT(CONCATENATE("R",ROW(ResultColumnLabels[#Headers]),"C",COLUMN(),":R",ROW()-1,"C",COLUMN()),FALSE))+1)</f>
        <v/>
      </c>
      <c r="B915" s="219" t="str">
        <f ca="1">IF(ResultColumnLabels[[#This Row],[Data Value Number]]="","",INDEX(DataColumns[ColumnLabel],MATCH(ResultColumnLabels[[#This Row],[Data Value Number]],DataColumns[DVNum],0)))</f>
        <v/>
      </c>
    </row>
    <row r="916" spans="1:2" x14ac:dyDescent="0.25">
      <c r="A916" s="219" t="str">
        <f ca="1">IF(ROW()-1&gt;NumDataColumns,"",MAX(INDIRECT(CONCATENATE("R",ROW(ResultColumnLabels[#Headers]),"C",COLUMN(),":R",ROW()-1,"C",COLUMN()),FALSE))+1)</f>
        <v/>
      </c>
      <c r="B916" s="219" t="str">
        <f ca="1">IF(ResultColumnLabels[[#This Row],[Data Value Number]]="","",INDEX(DataColumns[ColumnLabel],MATCH(ResultColumnLabels[[#This Row],[Data Value Number]],DataColumns[DVNum],0)))</f>
        <v/>
      </c>
    </row>
    <row r="917" spans="1:2" x14ac:dyDescent="0.25">
      <c r="A917" s="219" t="str">
        <f ca="1">IF(ROW()-1&gt;NumDataColumns,"",MAX(INDIRECT(CONCATENATE("R",ROW(ResultColumnLabels[#Headers]),"C",COLUMN(),":R",ROW()-1,"C",COLUMN()),FALSE))+1)</f>
        <v/>
      </c>
      <c r="B917" s="219" t="str">
        <f ca="1">IF(ResultColumnLabels[[#This Row],[Data Value Number]]="","",INDEX(DataColumns[ColumnLabel],MATCH(ResultColumnLabels[[#This Row],[Data Value Number]],DataColumns[DVNum],0)))</f>
        <v/>
      </c>
    </row>
    <row r="918" spans="1:2" x14ac:dyDescent="0.25">
      <c r="A918" s="219" t="str">
        <f ca="1">IF(ROW()-1&gt;NumDataColumns,"",MAX(INDIRECT(CONCATENATE("R",ROW(ResultColumnLabels[#Headers]),"C",COLUMN(),":R",ROW()-1,"C",COLUMN()),FALSE))+1)</f>
        <v/>
      </c>
      <c r="B918" s="219" t="str">
        <f ca="1">IF(ResultColumnLabels[[#This Row],[Data Value Number]]="","",INDEX(DataColumns[ColumnLabel],MATCH(ResultColumnLabels[[#This Row],[Data Value Number]],DataColumns[DVNum],0)))</f>
        <v/>
      </c>
    </row>
    <row r="919" spans="1:2" x14ac:dyDescent="0.25">
      <c r="A919" s="219" t="str">
        <f ca="1">IF(ROW()-1&gt;NumDataColumns,"",MAX(INDIRECT(CONCATENATE("R",ROW(ResultColumnLabels[#Headers]),"C",COLUMN(),":R",ROW()-1,"C",COLUMN()),FALSE))+1)</f>
        <v/>
      </c>
      <c r="B919" s="219" t="str">
        <f ca="1">IF(ResultColumnLabels[[#This Row],[Data Value Number]]="","",INDEX(DataColumns[ColumnLabel],MATCH(ResultColumnLabels[[#This Row],[Data Value Number]],DataColumns[DVNum],0)))</f>
        <v/>
      </c>
    </row>
    <row r="920" spans="1:2" x14ac:dyDescent="0.25">
      <c r="A920" s="219" t="str">
        <f ca="1">IF(ROW()-1&gt;NumDataColumns,"",MAX(INDIRECT(CONCATENATE("R",ROW(ResultColumnLabels[#Headers]),"C",COLUMN(),":R",ROW()-1,"C",COLUMN()),FALSE))+1)</f>
        <v/>
      </c>
      <c r="B920" s="219" t="str">
        <f ca="1">IF(ResultColumnLabels[[#This Row],[Data Value Number]]="","",INDEX(DataColumns[ColumnLabel],MATCH(ResultColumnLabels[[#This Row],[Data Value Number]],DataColumns[DVNum],0)))</f>
        <v/>
      </c>
    </row>
    <row r="921" spans="1:2" x14ac:dyDescent="0.25">
      <c r="A921" s="219" t="str">
        <f ca="1">IF(ROW()-1&gt;NumDataColumns,"",MAX(INDIRECT(CONCATENATE("R",ROW(ResultColumnLabels[#Headers]),"C",COLUMN(),":R",ROW()-1,"C",COLUMN()),FALSE))+1)</f>
        <v/>
      </c>
      <c r="B921" s="219" t="str">
        <f ca="1">IF(ResultColumnLabels[[#This Row],[Data Value Number]]="","",INDEX(DataColumns[ColumnLabel],MATCH(ResultColumnLabels[[#This Row],[Data Value Number]],DataColumns[DVNum],0)))</f>
        <v/>
      </c>
    </row>
    <row r="922" spans="1:2" x14ac:dyDescent="0.25">
      <c r="A922" s="219" t="str">
        <f ca="1">IF(ROW()-1&gt;NumDataColumns,"",MAX(INDIRECT(CONCATENATE("R",ROW(ResultColumnLabels[#Headers]),"C",COLUMN(),":R",ROW()-1,"C",COLUMN()),FALSE))+1)</f>
        <v/>
      </c>
      <c r="B922" s="219" t="str">
        <f ca="1">IF(ResultColumnLabels[[#This Row],[Data Value Number]]="","",INDEX(DataColumns[ColumnLabel],MATCH(ResultColumnLabels[[#This Row],[Data Value Number]],DataColumns[DVNum],0)))</f>
        <v/>
      </c>
    </row>
    <row r="923" spans="1:2" x14ac:dyDescent="0.25">
      <c r="A923" s="219" t="str">
        <f ca="1">IF(ROW()-1&gt;NumDataColumns,"",MAX(INDIRECT(CONCATENATE("R",ROW(ResultColumnLabels[#Headers]),"C",COLUMN(),":R",ROW()-1,"C",COLUMN()),FALSE))+1)</f>
        <v/>
      </c>
      <c r="B923" s="219" t="str">
        <f ca="1">IF(ResultColumnLabels[[#This Row],[Data Value Number]]="","",INDEX(DataColumns[ColumnLabel],MATCH(ResultColumnLabels[[#This Row],[Data Value Number]],DataColumns[DVNum],0)))</f>
        <v/>
      </c>
    </row>
    <row r="924" spans="1:2" x14ac:dyDescent="0.25">
      <c r="A924" s="219" t="str">
        <f ca="1">IF(ROW()-1&gt;NumDataColumns,"",MAX(INDIRECT(CONCATENATE("R",ROW(ResultColumnLabels[#Headers]),"C",COLUMN(),":R",ROW()-1,"C",COLUMN()),FALSE))+1)</f>
        <v/>
      </c>
      <c r="B924" s="219" t="str">
        <f ca="1">IF(ResultColumnLabels[[#This Row],[Data Value Number]]="","",INDEX(DataColumns[ColumnLabel],MATCH(ResultColumnLabels[[#This Row],[Data Value Number]],DataColumns[DVNum],0)))</f>
        <v/>
      </c>
    </row>
    <row r="925" spans="1:2" x14ac:dyDescent="0.25">
      <c r="A925" s="219" t="str">
        <f ca="1">IF(ROW()-1&gt;NumDataColumns,"",MAX(INDIRECT(CONCATENATE("R",ROW(ResultColumnLabels[#Headers]),"C",COLUMN(),":R",ROW()-1,"C",COLUMN()),FALSE))+1)</f>
        <v/>
      </c>
      <c r="B925" s="219" t="str">
        <f ca="1">IF(ResultColumnLabels[[#This Row],[Data Value Number]]="","",INDEX(DataColumns[ColumnLabel],MATCH(ResultColumnLabels[[#This Row],[Data Value Number]],DataColumns[DVNum],0)))</f>
        <v/>
      </c>
    </row>
    <row r="926" spans="1:2" x14ac:dyDescent="0.25">
      <c r="A926" s="219" t="str">
        <f ca="1">IF(ROW()-1&gt;NumDataColumns,"",MAX(INDIRECT(CONCATENATE("R",ROW(ResultColumnLabels[#Headers]),"C",COLUMN(),":R",ROW()-1,"C",COLUMN()),FALSE))+1)</f>
        <v/>
      </c>
      <c r="B926" s="219" t="str">
        <f ca="1">IF(ResultColumnLabels[[#This Row],[Data Value Number]]="","",INDEX(DataColumns[ColumnLabel],MATCH(ResultColumnLabels[[#This Row],[Data Value Number]],DataColumns[DVNum],0)))</f>
        <v/>
      </c>
    </row>
    <row r="927" spans="1:2" x14ac:dyDescent="0.25">
      <c r="A927" s="219" t="str">
        <f ca="1">IF(ROW()-1&gt;NumDataColumns,"",MAX(INDIRECT(CONCATENATE("R",ROW(ResultColumnLabels[#Headers]),"C",COLUMN(),":R",ROW()-1,"C",COLUMN()),FALSE))+1)</f>
        <v/>
      </c>
      <c r="B927" s="219" t="str">
        <f ca="1">IF(ResultColumnLabels[[#This Row],[Data Value Number]]="","",INDEX(DataColumns[ColumnLabel],MATCH(ResultColumnLabels[[#This Row],[Data Value Number]],DataColumns[DVNum],0)))</f>
        <v/>
      </c>
    </row>
    <row r="928" spans="1:2" x14ac:dyDescent="0.25">
      <c r="A928" s="219" t="str">
        <f ca="1">IF(ROW()-1&gt;NumDataColumns,"",MAX(INDIRECT(CONCATENATE("R",ROW(ResultColumnLabels[#Headers]),"C",COLUMN(),":R",ROW()-1,"C",COLUMN()),FALSE))+1)</f>
        <v/>
      </c>
      <c r="B928" s="219" t="str">
        <f ca="1">IF(ResultColumnLabels[[#This Row],[Data Value Number]]="","",INDEX(DataColumns[ColumnLabel],MATCH(ResultColumnLabels[[#This Row],[Data Value Number]],DataColumns[DVNum],0)))</f>
        <v/>
      </c>
    </row>
    <row r="929" spans="1:2" x14ac:dyDescent="0.25">
      <c r="A929" s="219" t="str">
        <f ca="1">IF(ROW()-1&gt;NumDataColumns,"",MAX(INDIRECT(CONCATENATE("R",ROW(ResultColumnLabels[#Headers]),"C",COLUMN(),":R",ROW()-1,"C",COLUMN()),FALSE))+1)</f>
        <v/>
      </c>
      <c r="B929" s="219" t="str">
        <f ca="1">IF(ResultColumnLabels[[#This Row],[Data Value Number]]="","",INDEX(DataColumns[ColumnLabel],MATCH(ResultColumnLabels[[#This Row],[Data Value Number]],DataColumns[DVNum],0)))</f>
        <v/>
      </c>
    </row>
    <row r="930" spans="1:2" x14ac:dyDescent="0.25">
      <c r="A930" s="219" t="str">
        <f ca="1">IF(ROW()-1&gt;NumDataColumns,"",MAX(INDIRECT(CONCATENATE("R",ROW(ResultColumnLabels[#Headers]),"C",COLUMN(),":R",ROW()-1,"C",COLUMN()),FALSE))+1)</f>
        <v/>
      </c>
      <c r="B930" s="219" t="str">
        <f ca="1">IF(ResultColumnLabels[[#This Row],[Data Value Number]]="","",INDEX(DataColumns[ColumnLabel],MATCH(ResultColumnLabels[[#This Row],[Data Value Number]],DataColumns[DVNum],0)))</f>
        <v/>
      </c>
    </row>
    <row r="931" spans="1:2" x14ac:dyDescent="0.25">
      <c r="A931" s="219" t="str">
        <f ca="1">IF(ROW()-1&gt;NumDataColumns,"",MAX(INDIRECT(CONCATENATE("R",ROW(ResultColumnLabels[#Headers]),"C",COLUMN(),":R",ROW()-1,"C",COLUMN()),FALSE))+1)</f>
        <v/>
      </c>
      <c r="B931" s="219" t="str">
        <f ca="1">IF(ResultColumnLabels[[#This Row],[Data Value Number]]="","",INDEX(DataColumns[ColumnLabel],MATCH(ResultColumnLabels[[#This Row],[Data Value Number]],DataColumns[DVNum],0)))</f>
        <v/>
      </c>
    </row>
    <row r="932" spans="1:2" x14ac:dyDescent="0.25">
      <c r="A932" s="219" t="str">
        <f ca="1">IF(ROW()-1&gt;NumDataColumns,"",MAX(INDIRECT(CONCATENATE("R",ROW(ResultColumnLabels[#Headers]),"C",COLUMN(),":R",ROW()-1,"C",COLUMN()),FALSE))+1)</f>
        <v/>
      </c>
      <c r="B932" s="219" t="str">
        <f ca="1">IF(ResultColumnLabels[[#This Row],[Data Value Number]]="","",INDEX(DataColumns[ColumnLabel],MATCH(ResultColumnLabels[[#This Row],[Data Value Number]],DataColumns[DVNum],0)))</f>
        <v/>
      </c>
    </row>
    <row r="933" spans="1:2" x14ac:dyDescent="0.25">
      <c r="A933" s="219" t="str">
        <f ca="1">IF(ROW()-1&gt;NumDataColumns,"",MAX(INDIRECT(CONCATENATE("R",ROW(ResultColumnLabels[#Headers]),"C",COLUMN(),":R",ROW()-1,"C",COLUMN()),FALSE))+1)</f>
        <v/>
      </c>
      <c r="B933" s="219" t="str">
        <f ca="1">IF(ResultColumnLabels[[#This Row],[Data Value Number]]="","",INDEX(DataColumns[ColumnLabel],MATCH(ResultColumnLabels[[#This Row],[Data Value Number]],DataColumns[DVNum],0)))</f>
        <v/>
      </c>
    </row>
    <row r="934" spans="1:2" x14ac:dyDescent="0.25">
      <c r="A934" s="219" t="str">
        <f ca="1">IF(ROW()-1&gt;NumDataColumns,"",MAX(INDIRECT(CONCATENATE("R",ROW(ResultColumnLabels[#Headers]),"C",COLUMN(),":R",ROW()-1,"C",COLUMN()),FALSE))+1)</f>
        <v/>
      </c>
      <c r="B934" s="219" t="str">
        <f ca="1">IF(ResultColumnLabels[[#This Row],[Data Value Number]]="","",INDEX(DataColumns[ColumnLabel],MATCH(ResultColumnLabels[[#This Row],[Data Value Number]],DataColumns[DVNum],0)))</f>
        <v/>
      </c>
    </row>
    <row r="935" spans="1:2" x14ac:dyDescent="0.25">
      <c r="A935" s="219" t="str">
        <f ca="1">IF(ROW()-1&gt;NumDataColumns,"",MAX(INDIRECT(CONCATENATE("R",ROW(ResultColumnLabels[#Headers]),"C",COLUMN(),":R",ROW()-1,"C",COLUMN()),FALSE))+1)</f>
        <v/>
      </c>
      <c r="B935" s="219" t="str">
        <f ca="1">IF(ResultColumnLabels[[#This Row],[Data Value Number]]="","",INDEX(DataColumns[ColumnLabel],MATCH(ResultColumnLabels[[#This Row],[Data Value Number]],DataColumns[DVNum],0)))</f>
        <v/>
      </c>
    </row>
    <row r="936" spans="1:2" x14ac:dyDescent="0.25">
      <c r="A936" s="219" t="str">
        <f ca="1">IF(ROW()-1&gt;NumDataColumns,"",MAX(INDIRECT(CONCATENATE("R",ROW(ResultColumnLabels[#Headers]),"C",COLUMN(),":R",ROW()-1,"C",COLUMN()),FALSE))+1)</f>
        <v/>
      </c>
      <c r="B936" s="219" t="str">
        <f ca="1">IF(ResultColumnLabels[[#This Row],[Data Value Number]]="","",INDEX(DataColumns[ColumnLabel],MATCH(ResultColumnLabels[[#This Row],[Data Value Number]],DataColumns[DVNum],0)))</f>
        <v/>
      </c>
    </row>
    <row r="937" spans="1:2" x14ac:dyDescent="0.25">
      <c r="A937" s="219" t="str">
        <f ca="1">IF(ROW()-1&gt;NumDataColumns,"",MAX(INDIRECT(CONCATENATE("R",ROW(ResultColumnLabels[#Headers]),"C",COLUMN(),":R",ROW()-1,"C",COLUMN()),FALSE))+1)</f>
        <v/>
      </c>
      <c r="B937" s="219" t="str">
        <f ca="1">IF(ResultColumnLabels[[#This Row],[Data Value Number]]="","",INDEX(DataColumns[ColumnLabel],MATCH(ResultColumnLabels[[#This Row],[Data Value Number]],DataColumns[DVNum],0)))</f>
        <v/>
      </c>
    </row>
    <row r="938" spans="1:2" x14ac:dyDescent="0.25">
      <c r="A938" s="219" t="str">
        <f ca="1">IF(ROW()-1&gt;NumDataColumns,"",MAX(INDIRECT(CONCATENATE("R",ROW(ResultColumnLabels[#Headers]),"C",COLUMN(),":R",ROW()-1,"C",COLUMN()),FALSE))+1)</f>
        <v/>
      </c>
      <c r="B938" s="219" t="str">
        <f ca="1">IF(ResultColumnLabels[[#This Row],[Data Value Number]]="","",INDEX(DataColumns[ColumnLabel],MATCH(ResultColumnLabels[[#This Row],[Data Value Number]],DataColumns[DVNum],0)))</f>
        <v/>
      </c>
    </row>
    <row r="939" spans="1:2" x14ac:dyDescent="0.25">
      <c r="A939" s="219" t="str">
        <f ca="1">IF(ROW()-1&gt;NumDataColumns,"",MAX(INDIRECT(CONCATENATE("R",ROW(ResultColumnLabels[#Headers]),"C",COLUMN(),":R",ROW()-1,"C",COLUMN()),FALSE))+1)</f>
        <v/>
      </c>
      <c r="B939" s="219" t="str">
        <f ca="1">IF(ResultColumnLabels[[#This Row],[Data Value Number]]="","",INDEX(DataColumns[ColumnLabel],MATCH(ResultColumnLabels[[#This Row],[Data Value Number]],DataColumns[DVNum],0)))</f>
        <v/>
      </c>
    </row>
    <row r="940" spans="1:2" x14ac:dyDescent="0.25">
      <c r="A940" s="219" t="str">
        <f ca="1">IF(ROW()-1&gt;NumDataColumns,"",MAX(INDIRECT(CONCATENATE("R",ROW(ResultColumnLabels[#Headers]),"C",COLUMN(),":R",ROW()-1,"C",COLUMN()),FALSE))+1)</f>
        <v/>
      </c>
      <c r="B940" s="219" t="str">
        <f ca="1">IF(ResultColumnLabels[[#This Row],[Data Value Number]]="","",INDEX(DataColumns[ColumnLabel],MATCH(ResultColumnLabels[[#This Row],[Data Value Number]],DataColumns[DVNum],0)))</f>
        <v/>
      </c>
    </row>
    <row r="941" spans="1:2" x14ac:dyDescent="0.25">
      <c r="A941" s="219" t="str">
        <f ca="1">IF(ROW()-1&gt;NumDataColumns,"",MAX(INDIRECT(CONCATENATE("R",ROW(ResultColumnLabels[#Headers]),"C",COLUMN(),":R",ROW()-1,"C",COLUMN()),FALSE))+1)</f>
        <v/>
      </c>
      <c r="B941" s="219" t="str">
        <f ca="1">IF(ResultColumnLabels[[#This Row],[Data Value Number]]="","",INDEX(DataColumns[ColumnLabel],MATCH(ResultColumnLabels[[#This Row],[Data Value Number]],DataColumns[DVNum],0)))</f>
        <v/>
      </c>
    </row>
    <row r="942" spans="1:2" x14ac:dyDescent="0.25">
      <c r="A942" s="219" t="str">
        <f ca="1">IF(ROW()-1&gt;NumDataColumns,"",MAX(INDIRECT(CONCATENATE("R",ROW(ResultColumnLabels[#Headers]),"C",COLUMN(),":R",ROW()-1,"C",COLUMN()),FALSE))+1)</f>
        <v/>
      </c>
      <c r="B942" s="219" t="str">
        <f ca="1">IF(ResultColumnLabels[[#This Row],[Data Value Number]]="","",INDEX(DataColumns[ColumnLabel],MATCH(ResultColumnLabels[[#This Row],[Data Value Number]],DataColumns[DVNum],0)))</f>
        <v/>
      </c>
    </row>
    <row r="943" spans="1:2" x14ac:dyDescent="0.25">
      <c r="A943" s="219" t="str">
        <f ca="1">IF(ROW()-1&gt;NumDataColumns,"",MAX(INDIRECT(CONCATENATE("R",ROW(ResultColumnLabels[#Headers]),"C",COLUMN(),":R",ROW()-1,"C",COLUMN()),FALSE))+1)</f>
        <v/>
      </c>
      <c r="B943" s="219" t="str">
        <f ca="1">IF(ResultColumnLabels[[#This Row],[Data Value Number]]="","",INDEX(DataColumns[ColumnLabel],MATCH(ResultColumnLabels[[#This Row],[Data Value Number]],DataColumns[DVNum],0)))</f>
        <v/>
      </c>
    </row>
    <row r="944" spans="1:2" x14ac:dyDescent="0.25">
      <c r="A944" s="219" t="str">
        <f ca="1">IF(ROW()-1&gt;NumDataColumns,"",MAX(INDIRECT(CONCATENATE("R",ROW(ResultColumnLabels[#Headers]),"C",COLUMN(),":R",ROW()-1,"C",COLUMN()),FALSE))+1)</f>
        <v/>
      </c>
      <c r="B944" s="219" t="str">
        <f ca="1">IF(ResultColumnLabels[[#This Row],[Data Value Number]]="","",INDEX(DataColumns[ColumnLabel],MATCH(ResultColumnLabels[[#This Row],[Data Value Number]],DataColumns[DVNum],0)))</f>
        <v/>
      </c>
    </row>
    <row r="945" spans="1:2" x14ac:dyDescent="0.25">
      <c r="A945" s="219" t="str">
        <f ca="1">IF(ROW()-1&gt;NumDataColumns,"",MAX(INDIRECT(CONCATENATE("R",ROW(ResultColumnLabels[#Headers]),"C",COLUMN(),":R",ROW()-1,"C",COLUMN()),FALSE))+1)</f>
        <v/>
      </c>
      <c r="B945" s="219" t="str">
        <f ca="1">IF(ResultColumnLabels[[#This Row],[Data Value Number]]="","",INDEX(DataColumns[ColumnLabel],MATCH(ResultColumnLabels[[#This Row],[Data Value Number]],DataColumns[DVNum],0)))</f>
        <v/>
      </c>
    </row>
    <row r="946" spans="1:2" x14ac:dyDescent="0.25">
      <c r="A946" s="219" t="str">
        <f ca="1">IF(ROW()-1&gt;NumDataColumns,"",MAX(INDIRECT(CONCATENATE("R",ROW(ResultColumnLabels[#Headers]),"C",COLUMN(),":R",ROW()-1,"C",COLUMN()),FALSE))+1)</f>
        <v/>
      </c>
      <c r="B946" s="219" t="str">
        <f ca="1">IF(ResultColumnLabels[[#This Row],[Data Value Number]]="","",INDEX(DataColumns[ColumnLabel],MATCH(ResultColumnLabels[[#This Row],[Data Value Number]],DataColumns[DVNum],0)))</f>
        <v/>
      </c>
    </row>
    <row r="947" spans="1:2" x14ac:dyDescent="0.25">
      <c r="A947" s="219" t="str">
        <f ca="1">IF(ROW()-1&gt;NumDataColumns,"",MAX(INDIRECT(CONCATENATE("R",ROW(ResultColumnLabels[#Headers]),"C",COLUMN(),":R",ROW()-1,"C",COLUMN()),FALSE))+1)</f>
        <v/>
      </c>
      <c r="B947" s="219" t="str">
        <f ca="1">IF(ResultColumnLabels[[#This Row],[Data Value Number]]="","",INDEX(DataColumns[ColumnLabel],MATCH(ResultColumnLabels[[#This Row],[Data Value Number]],DataColumns[DVNum],0)))</f>
        <v/>
      </c>
    </row>
    <row r="948" spans="1:2" x14ac:dyDescent="0.25">
      <c r="A948" s="219" t="str">
        <f ca="1">IF(ROW()-1&gt;NumDataColumns,"",MAX(INDIRECT(CONCATENATE("R",ROW(ResultColumnLabels[#Headers]),"C",COLUMN(),":R",ROW()-1,"C",COLUMN()),FALSE))+1)</f>
        <v/>
      </c>
      <c r="B948" s="219" t="str">
        <f ca="1">IF(ResultColumnLabels[[#This Row],[Data Value Number]]="","",INDEX(DataColumns[ColumnLabel],MATCH(ResultColumnLabels[[#This Row],[Data Value Number]],DataColumns[DVNum],0)))</f>
        <v/>
      </c>
    </row>
    <row r="949" spans="1:2" x14ac:dyDescent="0.25">
      <c r="A949" s="219" t="str">
        <f ca="1">IF(ROW()-1&gt;NumDataColumns,"",MAX(INDIRECT(CONCATENATE("R",ROW(ResultColumnLabels[#Headers]),"C",COLUMN(),":R",ROW()-1,"C",COLUMN()),FALSE))+1)</f>
        <v/>
      </c>
      <c r="B949" s="219" t="str">
        <f ca="1">IF(ResultColumnLabels[[#This Row],[Data Value Number]]="","",INDEX(DataColumns[ColumnLabel],MATCH(ResultColumnLabels[[#This Row],[Data Value Number]],DataColumns[DVNum],0)))</f>
        <v/>
      </c>
    </row>
    <row r="950" spans="1:2" x14ac:dyDescent="0.25">
      <c r="A950" s="219" t="str">
        <f ca="1">IF(ROW()-1&gt;NumDataColumns,"",MAX(INDIRECT(CONCATENATE("R",ROW(ResultColumnLabels[#Headers]),"C",COLUMN(),":R",ROW()-1,"C",COLUMN()),FALSE))+1)</f>
        <v/>
      </c>
      <c r="B950" s="219" t="str">
        <f ca="1">IF(ResultColumnLabels[[#This Row],[Data Value Number]]="","",INDEX(DataColumns[ColumnLabel],MATCH(ResultColumnLabels[[#This Row],[Data Value Number]],DataColumns[DVNum],0)))</f>
        <v/>
      </c>
    </row>
    <row r="951" spans="1:2" x14ac:dyDescent="0.25">
      <c r="A951" s="219" t="str">
        <f ca="1">IF(ROW()-1&gt;NumDataColumns,"",MAX(INDIRECT(CONCATENATE("R",ROW(ResultColumnLabels[#Headers]),"C",COLUMN(),":R",ROW()-1,"C",COLUMN()),FALSE))+1)</f>
        <v/>
      </c>
      <c r="B951" s="219" t="str">
        <f ca="1">IF(ResultColumnLabels[[#This Row],[Data Value Number]]="","",INDEX(DataColumns[ColumnLabel],MATCH(ResultColumnLabels[[#This Row],[Data Value Number]],DataColumns[DVNum],0)))</f>
        <v/>
      </c>
    </row>
    <row r="952" spans="1:2" x14ac:dyDescent="0.25">
      <c r="A952" s="219" t="str">
        <f ca="1">IF(ROW()-1&gt;NumDataColumns,"",MAX(INDIRECT(CONCATENATE("R",ROW(ResultColumnLabels[#Headers]),"C",COLUMN(),":R",ROW()-1,"C",COLUMN()),FALSE))+1)</f>
        <v/>
      </c>
      <c r="B952" s="219" t="str">
        <f ca="1">IF(ResultColumnLabels[[#This Row],[Data Value Number]]="","",INDEX(DataColumns[ColumnLabel],MATCH(ResultColumnLabels[[#This Row],[Data Value Number]],DataColumns[DVNum],0)))</f>
        <v/>
      </c>
    </row>
    <row r="953" spans="1:2" x14ac:dyDescent="0.25">
      <c r="A953" s="219" t="str">
        <f ca="1">IF(ROW()-1&gt;NumDataColumns,"",MAX(INDIRECT(CONCATENATE("R",ROW(ResultColumnLabels[#Headers]),"C",COLUMN(),":R",ROW()-1,"C",COLUMN()),FALSE))+1)</f>
        <v/>
      </c>
      <c r="B953" s="219" t="str">
        <f ca="1">IF(ResultColumnLabels[[#This Row],[Data Value Number]]="","",INDEX(DataColumns[ColumnLabel],MATCH(ResultColumnLabels[[#This Row],[Data Value Number]],DataColumns[DVNum],0)))</f>
        <v/>
      </c>
    </row>
    <row r="954" spans="1:2" x14ac:dyDescent="0.25">
      <c r="A954" s="219" t="str">
        <f ca="1">IF(ROW()-1&gt;NumDataColumns,"",MAX(INDIRECT(CONCATENATE("R",ROW(ResultColumnLabels[#Headers]),"C",COLUMN(),":R",ROW()-1,"C",COLUMN()),FALSE))+1)</f>
        <v/>
      </c>
      <c r="B954" s="219" t="str">
        <f ca="1">IF(ResultColumnLabels[[#This Row],[Data Value Number]]="","",INDEX(DataColumns[ColumnLabel],MATCH(ResultColumnLabels[[#This Row],[Data Value Number]],DataColumns[DVNum],0)))</f>
        <v/>
      </c>
    </row>
    <row r="955" spans="1:2" x14ac:dyDescent="0.25">
      <c r="A955" s="219" t="str">
        <f ca="1">IF(ROW()-1&gt;NumDataColumns,"",MAX(INDIRECT(CONCATENATE("R",ROW(ResultColumnLabels[#Headers]),"C",COLUMN(),":R",ROW()-1,"C",COLUMN()),FALSE))+1)</f>
        <v/>
      </c>
      <c r="B955" s="219" t="str">
        <f ca="1">IF(ResultColumnLabels[[#This Row],[Data Value Number]]="","",INDEX(DataColumns[ColumnLabel],MATCH(ResultColumnLabels[[#This Row],[Data Value Number]],DataColumns[DVNum],0)))</f>
        <v/>
      </c>
    </row>
    <row r="956" spans="1:2" x14ac:dyDescent="0.25">
      <c r="A956" s="219" t="str">
        <f ca="1">IF(ROW()-1&gt;NumDataColumns,"",MAX(INDIRECT(CONCATENATE("R",ROW(ResultColumnLabels[#Headers]),"C",COLUMN(),":R",ROW()-1,"C",COLUMN()),FALSE))+1)</f>
        <v/>
      </c>
      <c r="B956" s="219" t="str">
        <f ca="1">IF(ResultColumnLabels[[#This Row],[Data Value Number]]="","",INDEX(DataColumns[ColumnLabel],MATCH(ResultColumnLabels[[#This Row],[Data Value Number]],DataColumns[DVNum],0)))</f>
        <v/>
      </c>
    </row>
    <row r="957" spans="1:2" x14ac:dyDescent="0.25">
      <c r="A957" s="219" t="str">
        <f ca="1">IF(ROW()-1&gt;NumDataColumns,"",MAX(INDIRECT(CONCATENATE("R",ROW(ResultColumnLabels[#Headers]),"C",COLUMN(),":R",ROW()-1,"C",COLUMN()),FALSE))+1)</f>
        <v/>
      </c>
      <c r="B957" s="219" t="str">
        <f ca="1">IF(ResultColumnLabels[[#This Row],[Data Value Number]]="","",INDEX(DataColumns[ColumnLabel],MATCH(ResultColumnLabels[[#This Row],[Data Value Number]],DataColumns[DVNum],0)))</f>
        <v/>
      </c>
    </row>
    <row r="958" spans="1:2" x14ac:dyDescent="0.25">
      <c r="A958" s="219" t="str">
        <f ca="1">IF(ROW()-1&gt;NumDataColumns,"",MAX(INDIRECT(CONCATENATE("R",ROW(ResultColumnLabels[#Headers]),"C",COLUMN(),":R",ROW()-1,"C",COLUMN()),FALSE))+1)</f>
        <v/>
      </c>
      <c r="B958" s="219" t="str">
        <f ca="1">IF(ResultColumnLabels[[#This Row],[Data Value Number]]="","",INDEX(DataColumns[ColumnLabel],MATCH(ResultColumnLabels[[#This Row],[Data Value Number]],DataColumns[DVNum],0)))</f>
        <v/>
      </c>
    </row>
    <row r="959" spans="1:2" x14ac:dyDescent="0.25">
      <c r="A959" s="219" t="str">
        <f ca="1">IF(ROW()-1&gt;NumDataColumns,"",MAX(INDIRECT(CONCATENATE("R",ROW(ResultColumnLabels[#Headers]),"C",COLUMN(),":R",ROW()-1,"C",COLUMN()),FALSE))+1)</f>
        <v/>
      </c>
      <c r="B959" s="219" t="str">
        <f ca="1">IF(ResultColumnLabels[[#This Row],[Data Value Number]]="","",INDEX(DataColumns[ColumnLabel],MATCH(ResultColumnLabels[[#This Row],[Data Value Number]],DataColumns[DVNum],0)))</f>
        <v/>
      </c>
    </row>
    <row r="960" spans="1:2" x14ac:dyDescent="0.25">
      <c r="A960" s="219" t="str">
        <f ca="1">IF(ROW()-1&gt;NumDataColumns,"",MAX(INDIRECT(CONCATENATE("R",ROW(ResultColumnLabels[#Headers]),"C",COLUMN(),":R",ROW()-1,"C",COLUMN()),FALSE))+1)</f>
        <v/>
      </c>
      <c r="B960" s="219" t="str">
        <f ca="1">IF(ResultColumnLabels[[#This Row],[Data Value Number]]="","",INDEX(DataColumns[ColumnLabel],MATCH(ResultColumnLabels[[#This Row],[Data Value Number]],DataColumns[DVNum],0)))</f>
        <v/>
      </c>
    </row>
    <row r="961" spans="1:2" x14ac:dyDescent="0.25">
      <c r="A961" s="219" t="str">
        <f ca="1">IF(ROW()-1&gt;NumDataColumns,"",MAX(INDIRECT(CONCATENATE("R",ROW(ResultColumnLabels[#Headers]),"C",COLUMN(),":R",ROW()-1,"C",COLUMN()),FALSE))+1)</f>
        <v/>
      </c>
      <c r="B961" s="219" t="str">
        <f ca="1">IF(ResultColumnLabels[[#This Row],[Data Value Number]]="","",INDEX(DataColumns[ColumnLabel],MATCH(ResultColumnLabels[[#This Row],[Data Value Number]],DataColumns[DVNum],0)))</f>
        <v/>
      </c>
    </row>
    <row r="962" spans="1:2" x14ac:dyDescent="0.25">
      <c r="A962" s="219" t="str">
        <f ca="1">IF(ROW()-1&gt;NumDataColumns,"",MAX(INDIRECT(CONCATENATE("R",ROW(ResultColumnLabels[#Headers]),"C",COLUMN(),":R",ROW()-1,"C",COLUMN()),FALSE))+1)</f>
        <v/>
      </c>
      <c r="B962" s="219" t="str">
        <f ca="1">IF(ResultColumnLabels[[#This Row],[Data Value Number]]="","",INDEX(DataColumns[ColumnLabel],MATCH(ResultColumnLabels[[#This Row],[Data Value Number]],DataColumns[DVNum],0)))</f>
        <v/>
      </c>
    </row>
    <row r="963" spans="1:2" x14ac:dyDescent="0.25">
      <c r="A963" s="219" t="str">
        <f ca="1">IF(ROW()-1&gt;NumDataColumns,"",MAX(INDIRECT(CONCATENATE("R",ROW(ResultColumnLabels[#Headers]),"C",COLUMN(),":R",ROW()-1,"C",COLUMN()),FALSE))+1)</f>
        <v/>
      </c>
      <c r="B963" s="219" t="str">
        <f ca="1">IF(ResultColumnLabels[[#This Row],[Data Value Number]]="","",INDEX(DataColumns[ColumnLabel],MATCH(ResultColumnLabels[[#This Row],[Data Value Number]],DataColumns[DVNum],0)))</f>
        <v/>
      </c>
    </row>
    <row r="964" spans="1:2" x14ac:dyDescent="0.25">
      <c r="A964" s="219" t="str">
        <f ca="1">IF(ROW()-1&gt;NumDataColumns,"",MAX(INDIRECT(CONCATENATE("R",ROW(ResultColumnLabels[#Headers]),"C",COLUMN(),":R",ROW()-1,"C",COLUMN()),FALSE))+1)</f>
        <v/>
      </c>
      <c r="B964" s="219" t="str">
        <f ca="1">IF(ResultColumnLabels[[#This Row],[Data Value Number]]="","",INDEX(DataColumns[ColumnLabel],MATCH(ResultColumnLabels[[#This Row],[Data Value Number]],DataColumns[DVNum],0)))</f>
        <v/>
      </c>
    </row>
    <row r="965" spans="1:2" x14ac:dyDescent="0.25">
      <c r="A965" s="219" t="str">
        <f ca="1">IF(ROW()-1&gt;NumDataColumns,"",MAX(INDIRECT(CONCATENATE("R",ROW(ResultColumnLabels[#Headers]),"C",COLUMN(),":R",ROW()-1,"C",COLUMN()),FALSE))+1)</f>
        <v/>
      </c>
      <c r="B965" s="219" t="str">
        <f ca="1">IF(ResultColumnLabels[[#This Row],[Data Value Number]]="","",INDEX(DataColumns[ColumnLabel],MATCH(ResultColumnLabels[[#This Row],[Data Value Number]],DataColumns[DVNum],0)))</f>
        <v/>
      </c>
    </row>
    <row r="966" spans="1:2" x14ac:dyDescent="0.25">
      <c r="A966" s="219" t="str">
        <f ca="1">IF(ROW()-1&gt;NumDataColumns,"",MAX(INDIRECT(CONCATENATE("R",ROW(ResultColumnLabels[#Headers]),"C",COLUMN(),":R",ROW()-1,"C",COLUMN()),FALSE))+1)</f>
        <v/>
      </c>
      <c r="B966" s="219" t="str">
        <f ca="1">IF(ResultColumnLabels[[#This Row],[Data Value Number]]="","",INDEX(DataColumns[ColumnLabel],MATCH(ResultColumnLabels[[#This Row],[Data Value Number]],DataColumns[DVNum],0)))</f>
        <v/>
      </c>
    </row>
    <row r="967" spans="1:2" x14ac:dyDescent="0.25">
      <c r="A967" s="219" t="str">
        <f ca="1">IF(ROW()-1&gt;NumDataColumns,"",MAX(INDIRECT(CONCATENATE("R",ROW(ResultColumnLabels[#Headers]),"C",COLUMN(),":R",ROW()-1,"C",COLUMN()),FALSE))+1)</f>
        <v/>
      </c>
      <c r="B967" s="219" t="str">
        <f ca="1">IF(ResultColumnLabels[[#This Row],[Data Value Number]]="","",INDEX(DataColumns[ColumnLabel],MATCH(ResultColumnLabels[[#This Row],[Data Value Number]],DataColumns[DVNum],0)))</f>
        <v/>
      </c>
    </row>
    <row r="968" spans="1:2" x14ac:dyDescent="0.25">
      <c r="A968" s="219" t="str">
        <f ca="1">IF(ROW()-1&gt;NumDataColumns,"",MAX(INDIRECT(CONCATENATE("R",ROW(ResultColumnLabels[#Headers]),"C",COLUMN(),":R",ROW()-1,"C",COLUMN()),FALSE))+1)</f>
        <v/>
      </c>
      <c r="B968" s="219" t="str">
        <f ca="1">IF(ResultColumnLabels[[#This Row],[Data Value Number]]="","",INDEX(DataColumns[ColumnLabel],MATCH(ResultColumnLabels[[#This Row],[Data Value Number]],DataColumns[DVNum],0)))</f>
        <v/>
      </c>
    </row>
    <row r="969" spans="1:2" x14ac:dyDescent="0.25">
      <c r="A969" s="219" t="str">
        <f ca="1">IF(ROW()-1&gt;NumDataColumns,"",MAX(INDIRECT(CONCATENATE("R",ROW(ResultColumnLabels[#Headers]),"C",COLUMN(),":R",ROW()-1,"C",COLUMN()),FALSE))+1)</f>
        <v/>
      </c>
      <c r="B969" s="219" t="str">
        <f ca="1">IF(ResultColumnLabels[[#This Row],[Data Value Number]]="","",INDEX(DataColumns[ColumnLabel],MATCH(ResultColumnLabels[[#This Row],[Data Value Number]],DataColumns[DVNum],0)))</f>
        <v/>
      </c>
    </row>
    <row r="970" spans="1:2" x14ac:dyDescent="0.25">
      <c r="A970" s="219" t="str">
        <f ca="1">IF(ROW()-1&gt;NumDataColumns,"",MAX(INDIRECT(CONCATENATE("R",ROW(ResultColumnLabels[#Headers]),"C",COLUMN(),":R",ROW()-1,"C",COLUMN()),FALSE))+1)</f>
        <v/>
      </c>
      <c r="B970" s="219" t="str">
        <f ca="1">IF(ResultColumnLabels[[#This Row],[Data Value Number]]="","",INDEX(DataColumns[ColumnLabel],MATCH(ResultColumnLabels[[#This Row],[Data Value Number]],DataColumns[DVNum],0)))</f>
        <v/>
      </c>
    </row>
    <row r="971" spans="1:2" x14ac:dyDescent="0.25">
      <c r="A971" s="219" t="str">
        <f ca="1">IF(ROW()-1&gt;NumDataColumns,"",MAX(INDIRECT(CONCATENATE("R",ROW(ResultColumnLabels[#Headers]),"C",COLUMN(),":R",ROW()-1,"C",COLUMN()),FALSE))+1)</f>
        <v/>
      </c>
      <c r="B971" s="219" t="str">
        <f ca="1">IF(ResultColumnLabels[[#This Row],[Data Value Number]]="","",INDEX(DataColumns[ColumnLabel],MATCH(ResultColumnLabels[[#This Row],[Data Value Number]],DataColumns[DVNum],0)))</f>
        <v/>
      </c>
    </row>
    <row r="972" spans="1:2" x14ac:dyDescent="0.25">
      <c r="A972" s="219" t="str">
        <f ca="1">IF(ROW()-1&gt;NumDataColumns,"",MAX(INDIRECT(CONCATENATE("R",ROW(ResultColumnLabels[#Headers]),"C",COLUMN(),":R",ROW()-1,"C",COLUMN()),FALSE))+1)</f>
        <v/>
      </c>
      <c r="B972" s="219" t="str">
        <f ca="1">IF(ResultColumnLabels[[#This Row],[Data Value Number]]="","",INDEX(DataColumns[ColumnLabel],MATCH(ResultColumnLabels[[#This Row],[Data Value Number]],DataColumns[DVNum],0)))</f>
        <v/>
      </c>
    </row>
    <row r="973" spans="1:2" x14ac:dyDescent="0.25">
      <c r="A973" s="219" t="str">
        <f ca="1">IF(ROW()-1&gt;NumDataColumns,"",MAX(INDIRECT(CONCATENATE("R",ROW(ResultColumnLabels[#Headers]),"C",COLUMN(),":R",ROW()-1,"C",COLUMN()),FALSE))+1)</f>
        <v/>
      </c>
      <c r="B973" s="219" t="str">
        <f ca="1">IF(ResultColumnLabels[[#This Row],[Data Value Number]]="","",INDEX(DataColumns[ColumnLabel],MATCH(ResultColumnLabels[[#This Row],[Data Value Number]],DataColumns[DVNum],0)))</f>
        <v/>
      </c>
    </row>
    <row r="974" spans="1:2" x14ac:dyDescent="0.25">
      <c r="A974" s="219" t="str">
        <f ca="1">IF(ROW()-1&gt;NumDataColumns,"",MAX(INDIRECT(CONCATENATE("R",ROW(ResultColumnLabels[#Headers]),"C",COLUMN(),":R",ROW()-1,"C",COLUMN()),FALSE))+1)</f>
        <v/>
      </c>
      <c r="B974" s="219" t="str">
        <f ca="1">IF(ResultColumnLabels[[#This Row],[Data Value Number]]="","",INDEX(DataColumns[ColumnLabel],MATCH(ResultColumnLabels[[#This Row],[Data Value Number]],DataColumns[DVNum],0)))</f>
        <v/>
      </c>
    </row>
    <row r="975" spans="1:2" x14ac:dyDescent="0.25">
      <c r="A975" s="219" t="str">
        <f ca="1">IF(ROW()-1&gt;NumDataColumns,"",MAX(INDIRECT(CONCATENATE("R",ROW(ResultColumnLabels[#Headers]),"C",COLUMN(),":R",ROW()-1,"C",COLUMN()),FALSE))+1)</f>
        <v/>
      </c>
      <c r="B975" s="219" t="str">
        <f ca="1">IF(ResultColumnLabels[[#This Row],[Data Value Number]]="","",INDEX(DataColumns[ColumnLabel],MATCH(ResultColumnLabels[[#This Row],[Data Value Number]],DataColumns[DVNum],0)))</f>
        <v/>
      </c>
    </row>
    <row r="976" spans="1:2" x14ac:dyDescent="0.25">
      <c r="A976" s="219" t="str">
        <f ca="1">IF(ROW()-1&gt;NumDataColumns,"",MAX(INDIRECT(CONCATENATE("R",ROW(ResultColumnLabels[#Headers]),"C",COLUMN(),":R",ROW()-1,"C",COLUMN()),FALSE))+1)</f>
        <v/>
      </c>
      <c r="B976" s="219" t="str">
        <f ca="1">IF(ResultColumnLabels[[#This Row],[Data Value Number]]="","",INDEX(DataColumns[ColumnLabel],MATCH(ResultColumnLabels[[#This Row],[Data Value Number]],DataColumns[DVNum],0)))</f>
        <v/>
      </c>
    </row>
    <row r="977" spans="1:2" x14ac:dyDescent="0.25">
      <c r="A977" s="219" t="str">
        <f ca="1">IF(ROW()-1&gt;NumDataColumns,"",MAX(INDIRECT(CONCATENATE("R",ROW(ResultColumnLabels[#Headers]),"C",COLUMN(),":R",ROW()-1,"C",COLUMN()),FALSE))+1)</f>
        <v/>
      </c>
      <c r="B977" s="219" t="str">
        <f ca="1">IF(ResultColumnLabels[[#This Row],[Data Value Number]]="","",INDEX(DataColumns[ColumnLabel],MATCH(ResultColumnLabels[[#This Row],[Data Value Number]],DataColumns[DVNum],0)))</f>
        <v/>
      </c>
    </row>
    <row r="978" spans="1:2" x14ac:dyDescent="0.25">
      <c r="A978" s="219" t="str">
        <f ca="1">IF(ROW()-1&gt;NumDataColumns,"",MAX(INDIRECT(CONCATENATE("R",ROW(ResultColumnLabels[#Headers]),"C",COLUMN(),":R",ROW()-1,"C",COLUMN()),FALSE))+1)</f>
        <v/>
      </c>
      <c r="B978" s="219" t="str">
        <f ca="1">IF(ResultColumnLabels[[#This Row],[Data Value Number]]="","",INDEX(DataColumns[ColumnLabel],MATCH(ResultColumnLabels[[#This Row],[Data Value Number]],DataColumns[DVNum],0)))</f>
        <v/>
      </c>
    </row>
    <row r="979" spans="1:2" x14ac:dyDescent="0.25">
      <c r="A979" s="219" t="str">
        <f ca="1">IF(ROW()-1&gt;NumDataColumns,"",MAX(INDIRECT(CONCATENATE("R",ROW(ResultColumnLabels[#Headers]),"C",COLUMN(),":R",ROW()-1,"C",COLUMN()),FALSE))+1)</f>
        <v/>
      </c>
      <c r="B979" s="219" t="str">
        <f ca="1">IF(ResultColumnLabels[[#This Row],[Data Value Number]]="","",INDEX(DataColumns[ColumnLabel],MATCH(ResultColumnLabels[[#This Row],[Data Value Number]],DataColumns[DVNum],0)))</f>
        <v/>
      </c>
    </row>
    <row r="980" spans="1:2" x14ac:dyDescent="0.25">
      <c r="A980" s="219" t="str">
        <f ca="1">IF(ROW()-1&gt;NumDataColumns,"",MAX(INDIRECT(CONCATENATE("R",ROW(ResultColumnLabels[#Headers]),"C",COLUMN(),":R",ROW()-1,"C",COLUMN()),FALSE))+1)</f>
        <v/>
      </c>
      <c r="B980" s="219" t="str">
        <f ca="1">IF(ResultColumnLabels[[#This Row],[Data Value Number]]="","",INDEX(DataColumns[ColumnLabel],MATCH(ResultColumnLabels[[#This Row],[Data Value Number]],DataColumns[DVNum],0)))</f>
        <v/>
      </c>
    </row>
    <row r="981" spans="1:2" x14ac:dyDescent="0.25">
      <c r="A981" s="219" t="str">
        <f ca="1">IF(ROW()-1&gt;NumDataColumns,"",MAX(INDIRECT(CONCATENATE("R",ROW(ResultColumnLabels[#Headers]),"C",COLUMN(),":R",ROW()-1,"C",COLUMN()),FALSE))+1)</f>
        <v/>
      </c>
      <c r="B981" s="219" t="str">
        <f ca="1">IF(ResultColumnLabels[[#This Row],[Data Value Number]]="","",INDEX(DataColumns[ColumnLabel],MATCH(ResultColumnLabels[[#This Row],[Data Value Number]],DataColumns[DVNum],0)))</f>
        <v/>
      </c>
    </row>
    <row r="982" spans="1:2" x14ac:dyDescent="0.25">
      <c r="A982" s="219" t="str">
        <f ca="1">IF(ROW()-1&gt;NumDataColumns,"",MAX(INDIRECT(CONCATENATE("R",ROW(ResultColumnLabels[#Headers]),"C",COLUMN(),":R",ROW()-1,"C",COLUMN()),FALSE))+1)</f>
        <v/>
      </c>
      <c r="B982" s="219" t="str">
        <f ca="1">IF(ResultColumnLabels[[#This Row],[Data Value Number]]="","",INDEX(DataColumns[ColumnLabel],MATCH(ResultColumnLabels[[#This Row],[Data Value Number]],DataColumns[DVNum],0)))</f>
        <v/>
      </c>
    </row>
    <row r="983" spans="1:2" x14ac:dyDescent="0.25">
      <c r="A983" s="219" t="str">
        <f ca="1">IF(ROW()-1&gt;NumDataColumns,"",MAX(INDIRECT(CONCATENATE("R",ROW(ResultColumnLabels[#Headers]),"C",COLUMN(),":R",ROW()-1,"C",COLUMN()),FALSE))+1)</f>
        <v/>
      </c>
      <c r="B983" s="219" t="str">
        <f ca="1">IF(ResultColumnLabels[[#This Row],[Data Value Number]]="","",INDEX(DataColumns[ColumnLabel],MATCH(ResultColumnLabels[[#This Row],[Data Value Number]],DataColumns[DVNum],0)))</f>
        <v/>
      </c>
    </row>
    <row r="984" spans="1:2" x14ac:dyDescent="0.25">
      <c r="A984" s="219" t="str">
        <f ca="1">IF(ROW()-1&gt;NumDataColumns,"",MAX(INDIRECT(CONCATENATE("R",ROW(ResultColumnLabels[#Headers]),"C",COLUMN(),":R",ROW()-1,"C",COLUMN()),FALSE))+1)</f>
        <v/>
      </c>
      <c r="B984" s="219" t="str">
        <f ca="1">IF(ResultColumnLabels[[#This Row],[Data Value Number]]="","",INDEX(DataColumns[ColumnLabel],MATCH(ResultColumnLabels[[#This Row],[Data Value Number]],DataColumns[DVNum],0)))</f>
        <v/>
      </c>
    </row>
    <row r="985" spans="1:2" x14ac:dyDescent="0.25">
      <c r="A985" s="219" t="str">
        <f ca="1">IF(ROW()-1&gt;NumDataColumns,"",MAX(INDIRECT(CONCATENATE("R",ROW(ResultColumnLabels[#Headers]),"C",COLUMN(),":R",ROW()-1,"C",COLUMN()),FALSE))+1)</f>
        <v/>
      </c>
      <c r="B985" s="219" t="str">
        <f ca="1">IF(ResultColumnLabels[[#This Row],[Data Value Number]]="","",INDEX(DataColumns[ColumnLabel],MATCH(ResultColumnLabels[[#This Row],[Data Value Number]],DataColumns[DVNum],0)))</f>
        <v/>
      </c>
    </row>
    <row r="986" spans="1:2" x14ac:dyDescent="0.25">
      <c r="A986" s="219" t="str">
        <f ca="1">IF(ROW()-1&gt;NumDataColumns,"",MAX(INDIRECT(CONCATENATE("R",ROW(ResultColumnLabels[#Headers]),"C",COLUMN(),":R",ROW()-1,"C",COLUMN()),FALSE))+1)</f>
        <v/>
      </c>
      <c r="B986" s="219" t="str">
        <f ca="1">IF(ResultColumnLabels[[#This Row],[Data Value Number]]="","",INDEX(DataColumns[ColumnLabel],MATCH(ResultColumnLabels[[#This Row],[Data Value Number]],DataColumns[DVNum],0)))</f>
        <v/>
      </c>
    </row>
    <row r="987" spans="1:2" x14ac:dyDescent="0.25">
      <c r="A987" s="219" t="str">
        <f ca="1">IF(ROW()-1&gt;NumDataColumns,"",MAX(INDIRECT(CONCATENATE("R",ROW(ResultColumnLabels[#Headers]),"C",COLUMN(),":R",ROW()-1,"C",COLUMN()),FALSE))+1)</f>
        <v/>
      </c>
      <c r="B987" s="219" t="str">
        <f ca="1">IF(ResultColumnLabels[[#This Row],[Data Value Number]]="","",INDEX(DataColumns[ColumnLabel],MATCH(ResultColumnLabels[[#This Row],[Data Value Number]],DataColumns[DVNum],0)))</f>
        <v/>
      </c>
    </row>
    <row r="988" spans="1:2" x14ac:dyDescent="0.25">
      <c r="A988" s="219" t="str">
        <f ca="1">IF(ROW()-1&gt;NumDataColumns,"",MAX(INDIRECT(CONCATENATE("R",ROW(ResultColumnLabels[#Headers]),"C",COLUMN(),":R",ROW()-1,"C",COLUMN()),FALSE))+1)</f>
        <v/>
      </c>
      <c r="B988" s="219" t="str">
        <f ca="1">IF(ResultColumnLabels[[#This Row],[Data Value Number]]="","",INDEX(DataColumns[ColumnLabel],MATCH(ResultColumnLabels[[#This Row],[Data Value Number]],DataColumns[DVNum],0)))</f>
        <v/>
      </c>
    </row>
    <row r="989" spans="1:2" x14ac:dyDescent="0.25">
      <c r="A989" s="219" t="str">
        <f ca="1">IF(ROW()-1&gt;NumDataColumns,"",MAX(INDIRECT(CONCATENATE("R",ROW(ResultColumnLabels[#Headers]),"C",COLUMN(),":R",ROW()-1,"C",COLUMN()),FALSE))+1)</f>
        <v/>
      </c>
      <c r="B989" s="219" t="str">
        <f ca="1">IF(ResultColumnLabels[[#This Row],[Data Value Number]]="","",INDEX(DataColumns[ColumnLabel],MATCH(ResultColumnLabels[[#This Row],[Data Value Number]],DataColumns[DVNum],0)))</f>
        <v/>
      </c>
    </row>
    <row r="990" spans="1:2" x14ac:dyDescent="0.25">
      <c r="A990" s="219" t="str">
        <f ca="1">IF(ROW()-1&gt;NumDataColumns,"",MAX(INDIRECT(CONCATENATE("R",ROW(ResultColumnLabels[#Headers]),"C",COLUMN(),":R",ROW()-1,"C",COLUMN()),FALSE))+1)</f>
        <v/>
      </c>
      <c r="B990" s="219" t="str">
        <f ca="1">IF(ResultColumnLabels[[#This Row],[Data Value Number]]="","",INDEX(DataColumns[ColumnLabel],MATCH(ResultColumnLabels[[#This Row],[Data Value Number]],DataColumns[DVNum],0)))</f>
        <v/>
      </c>
    </row>
    <row r="991" spans="1:2" x14ac:dyDescent="0.25">
      <c r="A991" s="219" t="str">
        <f ca="1">IF(ROW()-1&gt;NumDataColumns,"",MAX(INDIRECT(CONCATENATE("R",ROW(ResultColumnLabels[#Headers]),"C",COLUMN(),":R",ROW()-1,"C",COLUMN()),FALSE))+1)</f>
        <v/>
      </c>
      <c r="B991" s="219" t="str">
        <f ca="1">IF(ResultColumnLabels[[#This Row],[Data Value Number]]="","",INDEX(DataColumns[ColumnLabel],MATCH(ResultColumnLabels[[#This Row],[Data Value Number]],DataColumns[DVNum],0)))</f>
        <v/>
      </c>
    </row>
    <row r="992" spans="1:2" x14ac:dyDescent="0.25">
      <c r="A992" s="219" t="str">
        <f ca="1">IF(ROW()-1&gt;NumDataColumns,"",MAX(INDIRECT(CONCATENATE("R",ROW(ResultColumnLabels[#Headers]),"C",COLUMN(),":R",ROW()-1,"C",COLUMN()),FALSE))+1)</f>
        <v/>
      </c>
      <c r="B992" s="219" t="str">
        <f ca="1">IF(ResultColumnLabels[[#This Row],[Data Value Number]]="","",INDEX(DataColumns[ColumnLabel],MATCH(ResultColumnLabels[[#This Row],[Data Value Number]],DataColumns[DVNum],0)))</f>
        <v/>
      </c>
    </row>
    <row r="993" spans="1:2" x14ac:dyDescent="0.25">
      <c r="A993" s="219" t="str">
        <f ca="1">IF(ROW()-1&gt;NumDataColumns,"",MAX(INDIRECT(CONCATENATE("R",ROW(ResultColumnLabels[#Headers]),"C",COLUMN(),":R",ROW()-1,"C",COLUMN()),FALSE))+1)</f>
        <v/>
      </c>
      <c r="B993" s="219" t="str">
        <f ca="1">IF(ResultColumnLabels[[#This Row],[Data Value Number]]="","",INDEX(DataColumns[ColumnLabel],MATCH(ResultColumnLabels[[#This Row],[Data Value Number]],DataColumns[DVNum],0)))</f>
        <v/>
      </c>
    </row>
    <row r="994" spans="1:2" x14ac:dyDescent="0.25">
      <c r="A994" s="219" t="str">
        <f ca="1">IF(ROW()-1&gt;NumDataColumns,"",MAX(INDIRECT(CONCATENATE("R",ROW(ResultColumnLabels[#Headers]),"C",COLUMN(),":R",ROW()-1,"C",COLUMN()),FALSE))+1)</f>
        <v/>
      </c>
      <c r="B994" s="219" t="str">
        <f ca="1">IF(ResultColumnLabels[[#This Row],[Data Value Number]]="","",INDEX(DataColumns[ColumnLabel],MATCH(ResultColumnLabels[[#This Row],[Data Value Number]],DataColumns[DVNum],0)))</f>
        <v/>
      </c>
    </row>
    <row r="995" spans="1:2" x14ac:dyDescent="0.25">
      <c r="A995" s="219" t="str">
        <f ca="1">IF(ROW()-1&gt;NumDataColumns,"",MAX(INDIRECT(CONCATENATE("R",ROW(ResultColumnLabels[#Headers]),"C",COLUMN(),":R",ROW()-1,"C",COLUMN()),FALSE))+1)</f>
        <v/>
      </c>
      <c r="B995" s="219" t="str">
        <f ca="1">IF(ResultColumnLabels[[#This Row],[Data Value Number]]="","",INDEX(DataColumns[ColumnLabel],MATCH(ResultColumnLabels[[#This Row],[Data Value Number]],DataColumns[DVNum],0)))</f>
        <v/>
      </c>
    </row>
    <row r="996" spans="1:2" x14ac:dyDescent="0.25">
      <c r="A996" s="219" t="str">
        <f ca="1">IF(ROW()-1&gt;NumDataColumns,"",MAX(INDIRECT(CONCATENATE("R",ROW(ResultColumnLabels[#Headers]),"C",COLUMN(),":R",ROW()-1,"C",COLUMN()),FALSE))+1)</f>
        <v/>
      </c>
      <c r="B996" s="219" t="str">
        <f ca="1">IF(ResultColumnLabels[[#This Row],[Data Value Number]]="","",INDEX(DataColumns[ColumnLabel],MATCH(ResultColumnLabels[[#This Row],[Data Value Number]],DataColumns[DVNum],0)))</f>
        <v/>
      </c>
    </row>
    <row r="997" spans="1:2" x14ac:dyDescent="0.25">
      <c r="A997" s="219" t="str">
        <f ca="1">IF(ROW()-1&gt;NumDataColumns,"",MAX(INDIRECT(CONCATENATE("R",ROW(ResultColumnLabels[#Headers]),"C",COLUMN(),":R",ROW()-1,"C",COLUMN()),FALSE))+1)</f>
        <v/>
      </c>
      <c r="B997" s="219" t="str">
        <f ca="1">IF(ResultColumnLabels[[#This Row],[Data Value Number]]="","",INDEX(DataColumns[ColumnLabel],MATCH(ResultColumnLabels[[#This Row],[Data Value Number]],DataColumns[DVNum],0)))</f>
        <v/>
      </c>
    </row>
    <row r="998" spans="1:2" x14ac:dyDescent="0.25">
      <c r="A998" s="219" t="str">
        <f ca="1">IF(ROW()-1&gt;NumDataColumns,"",MAX(INDIRECT(CONCATENATE("R",ROW(ResultColumnLabels[#Headers]),"C",COLUMN(),":R",ROW()-1,"C",COLUMN()),FALSE))+1)</f>
        <v/>
      </c>
      <c r="B998" s="219" t="str">
        <f ca="1">IF(ResultColumnLabels[[#This Row],[Data Value Number]]="","",INDEX(DataColumns[ColumnLabel],MATCH(ResultColumnLabels[[#This Row],[Data Value Number]],DataColumns[DVNum],0)))</f>
        <v/>
      </c>
    </row>
    <row r="999" spans="1:2" x14ac:dyDescent="0.25">
      <c r="A999" s="219" t="str">
        <f ca="1">IF(ROW()-1&gt;NumDataColumns,"",MAX(INDIRECT(CONCATENATE("R",ROW(ResultColumnLabels[#Headers]),"C",COLUMN(),":R",ROW()-1,"C",COLUMN()),FALSE))+1)</f>
        <v/>
      </c>
      <c r="B999" s="219" t="str">
        <f ca="1">IF(ResultColumnLabels[[#This Row],[Data Value Number]]="","",INDEX(DataColumns[ColumnLabel],MATCH(ResultColumnLabels[[#This Row],[Data Value Number]],DataColumns[DVNum],0)))</f>
        <v/>
      </c>
    </row>
    <row r="1000" spans="1:2" x14ac:dyDescent="0.25">
      <c r="A1000" s="219" t="str">
        <f ca="1">IF(ROW()-1&gt;NumDataColumns,"",MAX(INDIRECT(CONCATENATE("R",ROW(ResultColumnLabels[#Headers]),"C",COLUMN(),":R",ROW()-1,"C",COLUMN()),FALSE))+1)</f>
        <v/>
      </c>
      <c r="B1000" s="219" t="str">
        <f ca="1">IF(ResultColumnLabels[[#This Row],[Data Value Number]]="","",INDEX(DataColumns[ColumnLabel],MATCH(ResultColumnLabels[[#This Row],[Data Value Number]],DataColumns[DVNum],0)))</f>
        <v/>
      </c>
    </row>
    <row r="1001" spans="1:2" x14ac:dyDescent="0.25">
      <c r="A1001" s="219" t="str">
        <f ca="1">IF(ROW()-1&gt;NumDataColumns,"",MAX(INDIRECT(CONCATENATE("R",ROW(ResultColumnLabels[#Headers]),"C",COLUMN(),":R",ROW()-1,"C",COLUMN()),FALSE))+1)</f>
        <v/>
      </c>
      <c r="B1001" s="219" t="str">
        <f ca="1">IF(ResultColumnLabels[[#This Row],[Data Value Number]]="","",INDEX(DataColumns[ColumnLabel],MATCH(ResultColumnLabels[[#This Row],[Data Value Number]],DataColumns[DVNum],0)))</f>
        <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Q19"/>
  <sheetViews>
    <sheetView workbookViewId="0">
      <selection activeCell="A92" sqref="A92:E109"/>
    </sheetView>
  </sheetViews>
  <sheetFormatPr defaultRowHeight="15" x14ac:dyDescent="0.25"/>
  <cols>
    <col min="1" max="1" width="32" style="6" bestFit="1" customWidth="1"/>
    <col min="2" max="2" width="36.7109375" style="6" bestFit="1" customWidth="1"/>
    <col min="3" max="3" width="21.5703125" style="6" bestFit="1" customWidth="1"/>
    <col min="4" max="4" width="10" style="6" bestFit="1" customWidth="1"/>
    <col min="5" max="5" width="15" style="6" bestFit="1" customWidth="1"/>
    <col min="6" max="6" width="5.28515625" style="6" bestFit="1" customWidth="1"/>
    <col min="7" max="7" width="22.42578125" style="6" bestFit="1" customWidth="1"/>
    <col min="8" max="8" width="53.7109375" style="6" bestFit="1" customWidth="1"/>
    <col min="9" max="9" width="33" style="6" bestFit="1" customWidth="1"/>
    <col min="10" max="10" width="11.42578125" style="6" bestFit="1" customWidth="1"/>
    <col min="11" max="11" width="15.7109375" style="6" bestFit="1" customWidth="1"/>
    <col min="12" max="12" width="9.140625" style="6" bestFit="1" customWidth="1"/>
    <col min="13" max="13" width="8.42578125" style="6" bestFit="1" customWidth="1"/>
    <col min="14" max="14" width="8.5703125" style="6" bestFit="1" customWidth="1"/>
    <col min="15" max="15" width="6.28515625" style="6" bestFit="1" customWidth="1"/>
    <col min="16" max="16" width="21.42578125" style="6" bestFit="1" customWidth="1"/>
    <col min="17" max="17" width="12.7109375" style="6" bestFit="1" customWidth="1"/>
    <col min="18" max="16384" width="9.140625" style="6"/>
  </cols>
  <sheetData>
    <row r="1" spans="1:17" ht="60" x14ac:dyDescent="0.25">
      <c r="A1" s="203" t="s">
        <v>1354</v>
      </c>
      <c r="B1" s="203" t="s">
        <v>1385</v>
      </c>
      <c r="C1" s="203" t="s">
        <v>1345</v>
      </c>
      <c r="D1" s="203" t="s">
        <v>1299</v>
      </c>
      <c r="E1" s="203" t="s">
        <v>1384</v>
      </c>
      <c r="F1" s="203" t="s">
        <v>1400</v>
      </c>
      <c r="G1" s="203" t="s">
        <v>1399</v>
      </c>
      <c r="H1" s="203" t="s">
        <v>1401</v>
      </c>
      <c r="I1" s="203" t="s">
        <v>1405</v>
      </c>
      <c r="J1" s="203" t="s">
        <v>1386</v>
      </c>
      <c r="K1" s="203" t="s">
        <v>1402</v>
      </c>
      <c r="L1" s="203" t="s">
        <v>1358</v>
      </c>
      <c r="M1" s="203" t="s">
        <v>1388</v>
      </c>
      <c r="N1" s="203" t="s">
        <v>1389</v>
      </c>
      <c r="O1" s="203" t="s">
        <v>1383</v>
      </c>
      <c r="P1" s="203" t="s">
        <v>1403</v>
      </c>
      <c r="Q1" s="203" t="s">
        <v>1390</v>
      </c>
    </row>
    <row r="2" spans="1:17" x14ac:dyDescent="0.25">
      <c r="A2" s="6" t="s">
        <v>1365</v>
      </c>
      <c r="B2" s="6" t="s">
        <v>1339</v>
      </c>
      <c r="C2" s="6" t="s">
        <v>1346</v>
      </c>
      <c r="D2" s="6" t="s">
        <v>1344</v>
      </c>
      <c r="E2" s="6" t="s">
        <v>1337</v>
      </c>
      <c r="F2" s="6">
        <v>1</v>
      </c>
      <c r="G2" s="6" t="e">
        <f>INDEX(DataColumns[ColumnLabel],MATCH(ResultColumnFinder[[#This Row],[DV Num]],DataColumns[DVNum],0))</f>
        <v>#N/A</v>
      </c>
      <c r="H2" s="6" t="e">
        <f>CONCATENATE(ResultColumnFinder[[#This Row],[DataType]],ResultColumnFinder[[#This Row],[Data Value Label]])</f>
        <v>#N/A</v>
      </c>
      <c r="I2" s="6" t="str">
        <f>CONCATENATE(ResultColumnFinder[[#This Row],[DataType]],ResultColumnFinder[[#This Row],[DV Num]])</f>
        <v>ResultAnalyst1</v>
      </c>
      <c r="J2" s="6">
        <f>MATCH(ResultColumnFinder[[#This Row],[DataType]],DataColumns[#Headers],0)</f>
        <v>18</v>
      </c>
      <c r="K2" s="6" t="e">
        <f>MATCH(CONCATENATE("ResultValue",ResultColumnFinder[[#This Row],[Data Value Label]]),DataColumns[Concat],0)</f>
        <v>#N/A</v>
      </c>
      <c r="L2" s="6" t="e">
        <f>MATCH(ResultColumnFinder[[#This Row],[Concat]],DataColumns[Concat],0)</f>
        <v>#N/A</v>
      </c>
      <c r="M2" s="6">
        <f>IF(ResultColumnFinder[[#This Row],[REQUIRED]]="Optional",0,
IF(ResultColumnFinder[[#This Row],[VBV or Column]]="Value-By-Value",NumSpecimens,
1))</f>
        <v>0</v>
      </c>
      <c r="N2" s="6" t="e">
        <f>IF(ISERROR(ResultColumnFinder[[#This Row],[Data Values Column Number]]),
IF(ISERROR(ResultColumnFinder[[#This Row],[Data Columns Input Column]]),
0,
IF(INDEX(DataColumns[],ResultColumnFinder[[#This Row],[Data Values Input Row]],ResultColumnFinder[[#This Row],[Data Columns Input Column]])="",
0,
1)),
1)</f>
        <v>#N/A</v>
      </c>
      <c r="O2" s="6" t="e">
        <f>IF(ResultColumnFinder[[#This Row],[Num Given]]&lt;ResultColumnFinder[[#This Row],[Num Required]],
"MISSING",
"OK")</f>
        <v>#N/A</v>
      </c>
      <c r="P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2" s="6" t="e">
        <f>INDIRECT(ResultColumnFinder[[#This Row],[First Value Address]],FALSE)</f>
        <v>#N/A</v>
      </c>
    </row>
    <row r="3" spans="1:17" x14ac:dyDescent="0.25">
      <c r="A3" s="6" t="s">
        <v>1424</v>
      </c>
      <c r="B3" s="6" t="s">
        <v>1179</v>
      </c>
      <c r="C3" s="6" t="s">
        <v>1350</v>
      </c>
      <c r="D3" s="6" t="s">
        <v>1299</v>
      </c>
      <c r="E3" s="6" t="s">
        <v>1337</v>
      </c>
      <c r="F3" s="6">
        <v>1</v>
      </c>
      <c r="G3" s="6" t="e">
        <f>INDEX(DataColumns[ColumnLabel],MATCH(ResultColumnFinder[[#This Row],[DV Num]],DataColumns[DVNum],0))</f>
        <v>#N/A</v>
      </c>
      <c r="H3" s="6" t="e">
        <f>CONCATENATE(ResultColumnFinder[[#This Row],[DataType]],ResultColumnFinder[[#This Row],[Data Value Label]])</f>
        <v>#N/A</v>
      </c>
      <c r="I3" s="6" t="str">
        <f>CONCATENATE(ResultColumnFinder[[#This Row],[DataType]],ResultColumnFinder[[#This Row],[DV Num]])</f>
        <v>AnalysisMethodCode1</v>
      </c>
      <c r="J3" s="6">
        <f>MATCH(ResultColumnFinder[[#This Row],[DataType]],DataColumns[#Headers],0)</f>
        <v>20</v>
      </c>
      <c r="K3" s="6" t="e">
        <f>MATCH(CONCATENATE("ResultValue",ResultColumnFinder[[#This Row],[Data Value Label]]),DataColumns[Concat],0)</f>
        <v>#N/A</v>
      </c>
      <c r="L3" s="6" t="e">
        <f>MATCH(ResultColumnFinder[[#This Row],[Concat]],DataColumns[Concat],0)</f>
        <v>#N/A</v>
      </c>
      <c r="M3" s="6">
        <f>IF(ResultColumnFinder[[#This Row],[REQUIRED]]="Optional",0,
IF(ResultColumnFinder[[#This Row],[VBV or Column]]="Value-By-Value",NumSpecimens,
1))</f>
        <v>1</v>
      </c>
      <c r="N3" s="6" t="e">
        <f>IF(ISERROR(ResultColumnFinder[[#This Row],[Data Values Column Number]]),
IF(ISERROR(ResultColumnFinder[[#This Row],[Data Columns Input Column]]),
0,
IF(INDEX(DataColumns[],ResultColumnFinder[[#This Row],[Data Values Input Row]],ResultColumnFinder[[#This Row],[Data Columns Input Column]])="",
0,
1)),
1)</f>
        <v>#N/A</v>
      </c>
      <c r="O3" s="6" t="e">
        <f>IF(ResultColumnFinder[[#This Row],[Num Given]]&lt;ResultColumnFinder[[#This Row],[Num Required]],
"MISSING",
"OK")</f>
        <v>#N/A</v>
      </c>
      <c r="P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3" s="6" t="e">
        <f>INDIRECT(ResultColumnFinder[[#This Row],[First Value Address]],FALSE)</f>
        <v>#N/A</v>
      </c>
    </row>
    <row r="4" spans="1:17" x14ac:dyDescent="0.25">
      <c r="A4" s="6" t="s">
        <v>1154</v>
      </c>
      <c r="B4" s="6" t="s">
        <v>1340</v>
      </c>
      <c r="C4" s="6" t="s">
        <v>1154</v>
      </c>
      <c r="D4" s="6" t="s">
        <v>1299</v>
      </c>
      <c r="E4" s="6" t="s">
        <v>1337</v>
      </c>
      <c r="F4" s="6">
        <v>1</v>
      </c>
      <c r="G4" s="6" t="e">
        <f>INDEX(DataColumns[ColumnLabel],MATCH(ResultColumnFinder[[#This Row],[DV Num]],DataColumns[DVNum],0))</f>
        <v>#N/A</v>
      </c>
      <c r="H4" s="6" t="e">
        <f>CONCATENATE(ResultColumnFinder[[#This Row],[DataType]],ResultColumnFinder[[#This Row],[Data Value Label]])</f>
        <v>#N/A</v>
      </c>
      <c r="I4" s="6" t="str">
        <f>CONCATENATE(ResultColumnFinder[[#This Row],[DataType]],ResultColumnFinder[[#This Row],[DV Num]])</f>
        <v>AggregationStatisticCV1</v>
      </c>
      <c r="J4" s="6">
        <f>MATCH(ResultColumnFinder[[#This Row],[DataType]],DataColumns[#Headers],0)</f>
        <v>27</v>
      </c>
      <c r="K4" s="6" t="e">
        <f>MATCH(CONCATENATE("ResultValue",ResultColumnFinder[[#This Row],[Data Value Label]]),DataColumns[Concat],0)</f>
        <v>#N/A</v>
      </c>
      <c r="L4" s="6" t="e">
        <f>MATCH(ResultColumnFinder[[#This Row],[Concat]],DataColumns[Concat],0)</f>
        <v>#N/A</v>
      </c>
      <c r="M4" s="6">
        <f>IF(ResultColumnFinder[[#This Row],[REQUIRED]]="Optional",0,
IF(ResultColumnFinder[[#This Row],[VBV or Column]]="Value-By-Value",NumSpecimens,
1))</f>
        <v>1</v>
      </c>
      <c r="N4" s="6" t="e">
        <f>IF(ISERROR(ResultColumnFinder[[#This Row],[Data Values Column Number]]),
IF(ISERROR(ResultColumnFinder[[#This Row],[Data Columns Input Column]]),
0,
IF(INDEX(DataColumns[],ResultColumnFinder[[#This Row],[Data Values Input Row]],ResultColumnFinder[[#This Row],[Data Columns Input Column]])="",
0,
1)),
1)</f>
        <v>#N/A</v>
      </c>
      <c r="O4" s="6" t="e">
        <f>IF(ResultColumnFinder[[#This Row],[Num Given]]&lt;ResultColumnFinder[[#This Row],[Num Required]],
"MISSING",
"OK")</f>
        <v>#N/A</v>
      </c>
      <c r="P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4" s="6" t="e">
        <f>INDIRECT(ResultColumnFinder[[#This Row],[First Value Address]],FALSE)</f>
        <v>#N/A</v>
      </c>
    </row>
    <row r="5" spans="1:17" x14ac:dyDescent="0.25">
      <c r="A5" s="6" t="s">
        <v>1143</v>
      </c>
      <c r="B5" s="6" t="s">
        <v>1340</v>
      </c>
      <c r="C5" s="6" t="s">
        <v>1143</v>
      </c>
      <c r="D5" s="6" t="s">
        <v>1299</v>
      </c>
      <c r="E5" s="6" t="s">
        <v>1337</v>
      </c>
      <c r="F5" s="6">
        <v>1</v>
      </c>
      <c r="G5" s="6" t="e">
        <f>INDEX(DataColumns[ColumnLabel],MATCH(ResultColumnFinder[[#This Row],[DV Num]],DataColumns[DVNum],0))</f>
        <v>#N/A</v>
      </c>
      <c r="H5" s="6" t="e">
        <f>CONCATENATE(ResultColumnFinder[[#This Row],[DataType]],ResultColumnFinder[[#This Row],[Data Value Label]])</f>
        <v>#N/A</v>
      </c>
      <c r="I5" s="6" t="str">
        <f>CONCATENATE(ResultColumnFinder[[#This Row],[DataType]],ResultColumnFinder[[#This Row],[DV Num]])</f>
        <v>CensorCodeCV1</v>
      </c>
      <c r="J5" s="6">
        <f>MATCH(ResultColumnFinder[[#This Row],[DataType]],DataColumns[#Headers],0)</f>
        <v>22</v>
      </c>
      <c r="K5" s="6" t="e">
        <f>MATCH(CONCATENATE("ResultValue",ResultColumnFinder[[#This Row],[Data Value Label]]),DataColumns[Concat],0)</f>
        <v>#N/A</v>
      </c>
      <c r="L5" s="6" t="e">
        <f>MATCH(ResultColumnFinder[[#This Row],[Concat]],DataColumns[Concat],0)</f>
        <v>#N/A</v>
      </c>
      <c r="M5" s="6">
        <f>IF(ResultColumnFinder[[#This Row],[REQUIRED]]="Optional",0,
IF(ResultColumnFinder[[#This Row],[VBV or Column]]="Value-By-Value",NumSpecimens,
1))</f>
        <v>1</v>
      </c>
      <c r="N5" s="6" t="e">
        <f>IF(ISERROR(ResultColumnFinder[[#This Row],[Data Values Column Number]]),
IF(ISERROR(ResultColumnFinder[[#This Row],[Data Columns Input Column]]),
0,
IF(INDEX(DataColumns[],ResultColumnFinder[[#This Row],[Data Values Input Row]],ResultColumnFinder[[#This Row],[Data Columns Input Column]])="",
0,
1)),
1)</f>
        <v>#N/A</v>
      </c>
      <c r="O5" s="6" t="e">
        <f>IF(ResultColumnFinder[[#This Row],[Num Given]]&lt;ResultColumnFinder[[#This Row],[Num Required]],
"MISSING",
"OK")</f>
        <v>#N/A</v>
      </c>
      <c r="P5"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5" s="6" t="e">
        <f>INDIRECT(ResultColumnFinder[[#This Row],[First Value Address]],FALSE)</f>
        <v>#N/A</v>
      </c>
    </row>
    <row r="6" spans="1:17" x14ac:dyDescent="0.25">
      <c r="A6" s="6" t="s">
        <v>1144</v>
      </c>
      <c r="B6" s="6" t="s">
        <v>1340</v>
      </c>
      <c r="C6" s="6" t="s">
        <v>1144</v>
      </c>
      <c r="D6" s="6" t="s">
        <v>1299</v>
      </c>
      <c r="E6" s="6" t="s">
        <v>1337</v>
      </c>
      <c r="F6" s="6">
        <v>1</v>
      </c>
      <c r="G6" s="6" t="e">
        <f>INDEX(DataColumns[ColumnLabel],MATCH(ResultColumnFinder[[#This Row],[DV Num]],DataColumns[DVNum],0))</f>
        <v>#N/A</v>
      </c>
      <c r="H6" s="6" t="e">
        <f>CONCATENATE(ResultColumnFinder[[#This Row],[DataType]],ResultColumnFinder[[#This Row],[Data Value Label]])</f>
        <v>#N/A</v>
      </c>
      <c r="I6" s="6" t="str">
        <f>CONCATENATE(ResultColumnFinder[[#This Row],[DataType]],ResultColumnFinder[[#This Row],[DV Num]])</f>
        <v>QualityCodeCV1</v>
      </c>
      <c r="J6" s="6">
        <f>MATCH(ResultColumnFinder[[#This Row],[DataType]],DataColumns[#Headers],0)</f>
        <v>23</v>
      </c>
      <c r="K6" s="6" t="e">
        <f>MATCH(CONCATENATE("ResultValue",ResultColumnFinder[[#This Row],[Data Value Label]]),DataColumns[Concat],0)</f>
        <v>#N/A</v>
      </c>
      <c r="L6" s="6" t="e">
        <f>MATCH(ResultColumnFinder[[#This Row],[Concat]],DataColumns[Concat],0)</f>
        <v>#N/A</v>
      </c>
      <c r="M6" s="6">
        <f>IF(ResultColumnFinder[[#This Row],[REQUIRED]]="Optional",0,
IF(ResultColumnFinder[[#This Row],[VBV or Column]]="Value-By-Value",NumSpecimens,
1))</f>
        <v>1</v>
      </c>
      <c r="N6" s="6" t="e">
        <f>IF(ISERROR(ResultColumnFinder[[#This Row],[Data Values Column Number]]),
IF(ISERROR(ResultColumnFinder[[#This Row],[Data Columns Input Column]]),
0,
IF(INDEX(DataColumns[],ResultColumnFinder[[#This Row],[Data Values Input Row]],ResultColumnFinder[[#This Row],[Data Columns Input Column]])="",
0,
1)),
1)</f>
        <v>#N/A</v>
      </c>
      <c r="O6" s="6" t="e">
        <f>IF(ResultColumnFinder[[#This Row],[Num Given]]&lt;ResultColumnFinder[[#This Row],[Num Required]],
"MISSING",
"OK")</f>
        <v>#N/A</v>
      </c>
      <c r="P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6" s="6" t="e">
        <f>INDIRECT(ResultColumnFinder[[#This Row],[First Value Address]],FALSE)</f>
        <v>#N/A</v>
      </c>
    </row>
    <row r="7" spans="1:17" x14ac:dyDescent="0.25">
      <c r="A7" s="6" t="s">
        <v>1279</v>
      </c>
      <c r="B7" s="6" t="s">
        <v>1340</v>
      </c>
      <c r="D7" s="6" t="s">
        <v>1299</v>
      </c>
      <c r="E7" s="6" t="s">
        <v>1337</v>
      </c>
      <c r="F7" s="6">
        <v>1</v>
      </c>
      <c r="G7" s="6" t="e">
        <f>INDEX(DataColumns[ColumnLabel],MATCH(ResultColumnFinder[[#This Row],[DV Num]],DataColumns[DVNum],0))</f>
        <v>#N/A</v>
      </c>
      <c r="H7" s="6" t="e">
        <f>CONCATENATE(ResultColumnFinder[[#This Row],[DataType]],ResultColumnFinder[[#This Row],[Data Value Label]])</f>
        <v>#N/A</v>
      </c>
      <c r="I7" s="6" t="str">
        <f>CONCATENATE(ResultColumnFinder[[#This Row],[DataType]],ResultColumnFinder[[#This Row],[DV Num]])</f>
        <v>TimeAggregationInterval1</v>
      </c>
      <c r="J7" s="6">
        <f>MATCH(ResultColumnFinder[[#This Row],[DataType]],DataColumns[#Headers],0)</f>
        <v>25</v>
      </c>
      <c r="K7" s="6" t="e">
        <f>MATCH(CONCATENATE("ResultValue",ResultColumnFinder[[#This Row],[Data Value Label]]),DataColumns[Concat],0)</f>
        <v>#N/A</v>
      </c>
      <c r="L7" s="6" t="e">
        <f>MATCH(ResultColumnFinder[[#This Row],[Concat]],DataColumns[Concat],0)</f>
        <v>#N/A</v>
      </c>
      <c r="M7" s="6">
        <f>IF(ResultColumnFinder[[#This Row],[REQUIRED]]="Optional",0,
IF(ResultColumnFinder[[#This Row],[VBV or Column]]="Value-By-Value",NumSpecimens,
1))</f>
        <v>1</v>
      </c>
      <c r="N7" s="6" t="e">
        <f>IF(ISERROR(ResultColumnFinder[[#This Row],[Data Values Column Number]]),
IF(ISERROR(ResultColumnFinder[[#This Row],[Data Columns Input Column]]),
0,
IF(INDEX(DataColumns[],ResultColumnFinder[[#This Row],[Data Values Input Row]],ResultColumnFinder[[#This Row],[Data Columns Input Column]])="",
0,
1)),
1)</f>
        <v>#N/A</v>
      </c>
      <c r="O7" s="6" t="e">
        <f>IF(ResultColumnFinder[[#This Row],[Num Given]]&lt;ResultColumnFinder[[#This Row],[Num Required]],
"MISSING",
"OK")</f>
        <v>#N/A</v>
      </c>
      <c r="P7"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7" s="6" t="e">
        <f>INDIRECT(ResultColumnFinder[[#This Row],[First Value Address]],FALSE)</f>
        <v>#N/A</v>
      </c>
    </row>
    <row r="8" spans="1:17" x14ac:dyDescent="0.25">
      <c r="A8" s="6" t="s">
        <v>1280</v>
      </c>
      <c r="B8" s="6" t="s">
        <v>1340</v>
      </c>
      <c r="D8" s="6" t="s">
        <v>1299</v>
      </c>
      <c r="E8" s="6" t="s">
        <v>1337</v>
      </c>
      <c r="F8" s="6">
        <v>1</v>
      </c>
      <c r="G8" s="6" t="e">
        <f>INDEX(DataColumns[ColumnLabel],MATCH(ResultColumnFinder[[#This Row],[DV Num]],DataColumns[DVNum],0))</f>
        <v>#N/A</v>
      </c>
      <c r="H8" s="6" t="e">
        <f>CONCATENATE(ResultColumnFinder[[#This Row],[DataType]],ResultColumnFinder[[#This Row],[Data Value Label]])</f>
        <v>#N/A</v>
      </c>
      <c r="I8" s="6" t="str">
        <f>CONCATENATE(ResultColumnFinder[[#This Row],[DataType]],ResultColumnFinder[[#This Row],[DV Num]])</f>
        <v>TimeAggregationIntervalUnitCode1</v>
      </c>
      <c r="J8" s="6">
        <f>MATCH(ResultColumnFinder[[#This Row],[DataType]],DataColumns[#Headers],0)</f>
        <v>26</v>
      </c>
      <c r="K8" s="6" t="e">
        <f>MATCH(CONCATENATE("ResultValue",ResultColumnFinder[[#This Row],[Data Value Label]]),DataColumns[Concat],0)</f>
        <v>#N/A</v>
      </c>
      <c r="L8" s="6" t="e">
        <f>MATCH(ResultColumnFinder[[#This Row],[Concat]],DataColumns[Concat],0)</f>
        <v>#N/A</v>
      </c>
      <c r="M8" s="6">
        <f>IF(ResultColumnFinder[[#This Row],[REQUIRED]]="Optional",0,
IF(ResultColumnFinder[[#This Row],[VBV or Column]]="Value-By-Value",NumSpecimens,
1))</f>
        <v>1</v>
      </c>
      <c r="N8" s="6" t="e">
        <f>IF(ISERROR(ResultColumnFinder[[#This Row],[Data Values Column Number]]),
IF(ISERROR(ResultColumnFinder[[#This Row],[Data Columns Input Column]]),
0,
IF(INDEX(DataColumns[],ResultColumnFinder[[#This Row],[Data Values Input Row]],ResultColumnFinder[[#This Row],[Data Columns Input Column]])="",
0,
1)),
1)</f>
        <v>#N/A</v>
      </c>
      <c r="O8" s="6" t="e">
        <f>IF(ResultColumnFinder[[#This Row],[Num Given]]&lt;ResultColumnFinder[[#This Row],[Num Required]],
"MISSING",
"OK")</f>
        <v>#N/A</v>
      </c>
      <c r="P8"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8" s="6" t="e">
        <f>INDIRECT(ResultColumnFinder[[#This Row],[First Value Address]],FALSE)</f>
        <v>#N/A</v>
      </c>
    </row>
    <row r="9" spans="1:17" x14ac:dyDescent="0.25">
      <c r="A9" s="6" t="s">
        <v>1281</v>
      </c>
      <c r="B9" s="6" t="s">
        <v>1184</v>
      </c>
      <c r="C9" s="6" t="s">
        <v>1347</v>
      </c>
      <c r="D9" s="6" t="s">
        <v>1299</v>
      </c>
      <c r="E9" s="6" t="s">
        <v>1337</v>
      </c>
      <c r="F9" s="6">
        <v>1</v>
      </c>
      <c r="G9" s="6" t="e">
        <f>INDEX(DataColumns[ColumnLabel],MATCH(ResultColumnFinder[[#This Row],[DV Num]],DataColumns[DVNum],0))</f>
        <v>#N/A</v>
      </c>
      <c r="H9" s="6" t="e">
        <f>CONCATENATE(ResultColumnFinder[[#This Row],[DataType]],ResultColumnFinder[[#This Row],[Data Value Label]])</f>
        <v>#N/A</v>
      </c>
      <c r="I9" s="6" t="str">
        <f>CONCATENATE(ResultColumnFinder[[#This Row],[DataType]],ResultColumnFinder[[#This Row],[DV Num]])</f>
        <v>ProcessingLevelCode1</v>
      </c>
      <c r="J9" s="6">
        <f>MATCH(ResultColumnFinder[[#This Row],[DataType]],DataColumns[#Headers],0)</f>
        <v>21</v>
      </c>
      <c r="K9" s="6" t="e">
        <f>MATCH(CONCATENATE("ResultValue",ResultColumnFinder[[#This Row],[Data Value Label]]),DataColumns[Concat],0)</f>
        <v>#N/A</v>
      </c>
      <c r="L9" s="6" t="e">
        <f>MATCH(ResultColumnFinder[[#This Row],[Concat]],DataColumns[Concat],0)</f>
        <v>#N/A</v>
      </c>
      <c r="M9" s="6">
        <f>IF(ResultColumnFinder[[#This Row],[REQUIRED]]="Optional",0,
IF(ResultColumnFinder[[#This Row],[VBV or Column]]="Value-By-Value",NumSpecimens,
1))</f>
        <v>1</v>
      </c>
      <c r="N9" s="6" t="e">
        <f>IF(ISERROR(ResultColumnFinder[[#This Row],[Data Values Column Number]]),
IF(ISERROR(ResultColumnFinder[[#This Row],[Data Columns Input Column]]),
0,
IF(INDEX(DataColumns[],ResultColumnFinder[[#This Row],[Data Values Input Row]],ResultColumnFinder[[#This Row],[Data Columns Input Column]])="",
0,
1)),
1)</f>
        <v>#N/A</v>
      </c>
      <c r="O9" s="6" t="e">
        <f>IF(ResultColumnFinder[[#This Row],[Num Given]]&lt;ResultColumnFinder[[#This Row],[Num Required]],
"MISSING",
"OK")</f>
        <v>#N/A</v>
      </c>
      <c r="P9"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9" s="6" t="e">
        <f>INDIRECT(ResultColumnFinder[[#This Row],[First Value Address]],FALSE)</f>
        <v>#N/A</v>
      </c>
    </row>
    <row r="10" spans="1:17" x14ac:dyDescent="0.25">
      <c r="A10" s="6" t="s">
        <v>1138</v>
      </c>
      <c r="B10" s="6" t="s">
        <v>1184</v>
      </c>
      <c r="C10" s="6" t="s">
        <v>1138</v>
      </c>
      <c r="D10" s="6" t="s">
        <v>1299</v>
      </c>
      <c r="E10" s="6" t="s">
        <v>1337</v>
      </c>
      <c r="F10" s="6">
        <v>1</v>
      </c>
      <c r="G10" s="6" t="e">
        <f>INDEX(DataColumns[ColumnLabel],MATCH(ResultColumnFinder[[#This Row],[DV Num]],DataColumns[DVNum],0))</f>
        <v>#N/A</v>
      </c>
      <c r="H10" s="6" t="e">
        <f>CONCATENATE(ResultColumnFinder[[#This Row],[DataType]],ResultColumnFinder[[#This Row],[Data Value Label]])</f>
        <v>#N/A</v>
      </c>
      <c r="I10" s="6" t="str">
        <f>CONCATENATE(ResultColumnFinder[[#This Row],[DataType]],ResultColumnFinder[[#This Row],[DV Num]])</f>
        <v>ResultTypeCV1</v>
      </c>
      <c r="J10" s="6">
        <f>MATCH(ResultColumnFinder[[#This Row],[DataType]],DataColumns[#Headers],0)</f>
        <v>14</v>
      </c>
      <c r="K10" s="6" t="e">
        <f>MATCH(CONCATENATE("ResultValue",ResultColumnFinder[[#This Row],[Data Value Label]]),DataColumns[Concat],0)</f>
        <v>#N/A</v>
      </c>
      <c r="L10" s="6" t="e">
        <f>MATCH(ResultColumnFinder[[#This Row],[Concat]],DataColumns[Concat],0)</f>
        <v>#N/A</v>
      </c>
      <c r="M10" s="6">
        <f>IF(ResultColumnFinder[[#This Row],[REQUIRED]]="Optional",0,
IF(ResultColumnFinder[[#This Row],[VBV or Column]]="Value-By-Value",NumSpecimens,
1))</f>
        <v>1</v>
      </c>
      <c r="N10" s="6" t="e">
        <f>IF(ISERROR(ResultColumnFinder[[#This Row],[Data Values Column Number]]),
IF(ISERROR(ResultColumnFinder[[#This Row],[Data Columns Input Column]]),
0,
IF(INDEX(DataColumns[],ResultColumnFinder[[#This Row],[Data Values Input Row]],ResultColumnFinder[[#This Row],[Data Columns Input Column]])="",
0,
1)),
1)</f>
        <v>#N/A</v>
      </c>
      <c r="O10" s="6" t="e">
        <f>IF(ResultColumnFinder[[#This Row],[Num Given]]&lt;ResultColumnFinder[[#This Row],[Num Required]],
"MISSING",
"OK")</f>
        <v>#N/A</v>
      </c>
      <c r="P10"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0" s="6" t="e">
        <f>INDIRECT(ResultColumnFinder[[#This Row],[First Value Address]],FALSE)</f>
        <v>#N/A</v>
      </c>
    </row>
    <row r="11" spans="1:17" x14ac:dyDescent="0.25">
      <c r="A11" s="6" t="s">
        <v>201</v>
      </c>
      <c r="B11" s="6" t="s">
        <v>1184</v>
      </c>
      <c r="C11" s="6" t="s">
        <v>201</v>
      </c>
      <c r="D11" s="6" t="s">
        <v>1299</v>
      </c>
      <c r="E11" s="6" t="s">
        <v>1337</v>
      </c>
      <c r="F11" s="6">
        <v>1</v>
      </c>
      <c r="G11" s="6" t="e">
        <f>INDEX(DataColumns[ColumnLabel],MATCH(ResultColumnFinder[[#This Row],[DV Num]],DataColumns[DVNum],0))</f>
        <v>#N/A</v>
      </c>
      <c r="H11" s="6" t="e">
        <f>CONCATENATE(ResultColumnFinder[[#This Row],[DataType]],ResultColumnFinder[[#This Row],[Data Value Label]])</f>
        <v>#N/A</v>
      </c>
      <c r="I11" s="6" t="str">
        <f>CONCATENATE(ResultColumnFinder[[#This Row],[DataType]],ResultColumnFinder[[#This Row],[DV Num]])</f>
        <v>SampledMediumCV1</v>
      </c>
      <c r="J11" s="6">
        <f>MATCH(ResultColumnFinder[[#This Row],[DataType]],DataColumns[#Headers],0)</f>
        <v>17</v>
      </c>
      <c r="K11" s="6" t="e">
        <f>MATCH(CONCATENATE("ResultValue",ResultColumnFinder[[#This Row],[Data Value Label]]),DataColumns[Concat],0)</f>
        <v>#N/A</v>
      </c>
      <c r="L11" s="6" t="e">
        <f>MATCH(ResultColumnFinder[[#This Row],[Concat]],DataColumns[Concat],0)</f>
        <v>#N/A</v>
      </c>
      <c r="M11" s="6">
        <f>IF(ResultColumnFinder[[#This Row],[REQUIRED]]="Optional",0,
IF(ResultColumnFinder[[#This Row],[VBV or Column]]="Value-By-Value",NumSpecimens,
1))</f>
        <v>1</v>
      </c>
      <c r="N11" s="6" t="e">
        <f>IF(ISERROR(ResultColumnFinder[[#This Row],[Data Values Column Number]]),
IF(ISERROR(ResultColumnFinder[[#This Row],[Data Columns Input Column]]),
0,
IF(INDEX(DataColumns[],ResultColumnFinder[[#This Row],[Data Values Input Row]],ResultColumnFinder[[#This Row],[Data Columns Input Column]])="",
0,
1)),
1)</f>
        <v>#N/A</v>
      </c>
      <c r="O11" s="6" t="e">
        <f>IF(ResultColumnFinder[[#This Row],[Num Given]]&lt;ResultColumnFinder[[#This Row],[Num Required]],
"MISSING",
"OK")</f>
        <v>#N/A</v>
      </c>
      <c r="P11"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1" s="6" t="e">
        <f>INDIRECT(ResultColumnFinder[[#This Row],[First Value Address]],FALSE)</f>
        <v>#N/A</v>
      </c>
    </row>
    <row r="12" spans="1:17" x14ac:dyDescent="0.25">
      <c r="A12" s="6" t="s">
        <v>1298</v>
      </c>
      <c r="B12" s="6" t="s">
        <v>1184</v>
      </c>
      <c r="C12" s="6" t="s">
        <v>1349</v>
      </c>
      <c r="D12" s="6" t="s">
        <v>1344</v>
      </c>
      <c r="E12" s="6" t="s">
        <v>1337</v>
      </c>
      <c r="F12" s="6">
        <v>1</v>
      </c>
      <c r="G12" s="6" t="e">
        <f>INDEX(DataColumns[ColumnLabel],MATCH(ResultColumnFinder[[#This Row],[DV Num]],DataColumns[DVNum],0))</f>
        <v>#N/A</v>
      </c>
      <c r="H12" s="6" t="e">
        <f>CONCATENATE(ResultColumnFinder[[#This Row],[DataType]],ResultColumnFinder[[#This Row],[Data Value Label]])</f>
        <v>#N/A</v>
      </c>
      <c r="I12" s="6" t="str">
        <f>CONCATENATE(ResultColumnFinder[[#This Row],[DataType]],ResultColumnFinder[[#This Row],[DV Num]])</f>
        <v>TaxonomicClassifierName1</v>
      </c>
      <c r="J12" s="6">
        <f>MATCH(ResultColumnFinder[[#This Row],[DataType]],DataColumns[#Headers],0)</f>
        <v>24</v>
      </c>
      <c r="K12" s="6" t="e">
        <f>MATCH(CONCATENATE("ResultValue",ResultColumnFinder[[#This Row],[Data Value Label]]),DataColumns[Concat],0)</f>
        <v>#N/A</v>
      </c>
      <c r="L12" s="6" t="e">
        <f>MATCH(ResultColumnFinder[[#This Row],[Concat]],DataColumns[Concat],0)</f>
        <v>#N/A</v>
      </c>
      <c r="M12" s="6">
        <f>IF(ResultColumnFinder[[#This Row],[REQUIRED]]="Optional",0,
IF(ResultColumnFinder[[#This Row],[VBV or Column]]="Value-By-Value",NumSpecimens,
1))</f>
        <v>0</v>
      </c>
      <c r="N12" s="6" t="e">
        <f>IF(ISERROR(ResultColumnFinder[[#This Row],[Data Values Column Number]]),
IF(ISERROR(ResultColumnFinder[[#This Row],[Data Columns Input Column]]),
0,
IF(INDEX(DataColumns[],ResultColumnFinder[[#This Row],[Data Values Input Row]],ResultColumnFinder[[#This Row],[Data Columns Input Column]])="",
0,
1)),
1)</f>
        <v>#N/A</v>
      </c>
      <c r="O12" s="6" t="e">
        <f>IF(ResultColumnFinder[[#This Row],[Num Given]]&lt;ResultColumnFinder[[#This Row],[Num Required]],
"MISSING",
"OK")</f>
        <v>#N/A</v>
      </c>
      <c r="P12"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2" s="6" t="e">
        <f>INDIRECT(ResultColumnFinder[[#This Row],[First Value Address]],FALSE)</f>
        <v>#N/A</v>
      </c>
    </row>
    <row r="13" spans="1:17" x14ac:dyDescent="0.25">
      <c r="A13" s="6" t="s">
        <v>1352</v>
      </c>
      <c r="B13" s="6" t="s">
        <v>1184</v>
      </c>
      <c r="D13" s="6" t="s">
        <v>1299</v>
      </c>
      <c r="E13" s="6" t="s">
        <v>1337</v>
      </c>
      <c r="F13" s="6">
        <v>1</v>
      </c>
      <c r="G13" s="6" t="e">
        <f>INDEX(DataColumns[ColumnLabel],MATCH(ResultColumnFinder[[#This Row],[DV Num]],DataColumns[DVNum],0))</f>
        <v>#N/A</v>
      </c>
      <c r="H13" s="6" t="e">
        <f>CONCATENATE(ResultColumnFinder[[#This Row],[DataType]],ResultColumnFinder[[#This Row],[Data Value Label]])</f>
        <v>#N/A</v>
      </c>
      <c r="I13" s="6" t="str">
        <f>CONCATENATE(ResultColumnFinder[[#This Row],[DataType]],ResultColumnFinder[[#This Row],[DV Num]])</f>
        <v>UnitName1</v>
      </c>
      <c r="J13" s="6">
        <f>MATCH(ResultColumnFinder[[#This Row],[DataType]],DataColumns[#Headers],0)</f>
        <v>16</v>
      </c>
      <c r="K13" s="6" t="e">
        <f>MATCH(CONCATENATE("ResultValue",ResultColumnFinder[[#This Row],[Data Value Label]]),DataColumns[Concat],0)</f>
        <v>#N/A</v>
      </c>
      <c r="L13" s="6" t="e">
        <f>MATCH(ResultColumnFinder[[#This Row],[Concat]],DataColumns[Concat],0)</f>
        <v>#N/A</v>
      </c>
      <c r="M13" s="6">
        <f>IF(ResultColumnFinder[[#This Row],[REQUIRED]]="Optional",0,
IF(ResultColumnFinder[[#This Row],[VBV or Column]]="Value-By-Value",NumSpecimens,
1))</f>
        <v>1</v>
      </c>
      <c r="N13" s="6" t="e">
        <f>IF(ISERROR(ResultColumnFinder[[#This Row],[Data Values Column Number]]),
IF(ISERROR(ResultColumnFinder[[#This Row],[Data Columns Input Column]]),
0,
IF(INDEX(DataColumns[],ResultColumnFinder[[#This Row],[Data Values Input Row]],ResultColumnFinder[[#This Row],[Data Columns Input Column]])="",
0,
1)),
1)</f>
        <v>#N/A</v>
      </c>
      <c r="O13" s="6" t="e">
        <f>IF(ResultColumnFinder[[#This Row],[Num Given]]&lt;ResultColumnFinder[[#This Row],[Num Required]],
"MISSING",
"OK")</f>
        <v>#N/A</v>
      </c>
      <c r="P13"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3" s="6" t="e">
        <f>INDIRECT(ResultColumnFinder[[#This Row],[First Value Address]],FALSE)</f>
        <v>#N/A</v>
      </c>
    </row>
    <row r="14" spans="1:17" x14ac:dyDescent="0.25">
      <c r="A14" s="6" t="s">
        <v>1353</v>
      </c>
      <c r="B14" s="6" t="s">
        <v>1184</v>
      </c>
      <c r="C14" s="6" t="s">
        <v>1351</v>
      </c>
      <c r="D14" s="6" t="s">
        <v>1299</v>
      </c>
      <c r="E14" s="6" t="s">
        <v>1337</v>
      </c>
      <c r="F14" s="6">
        <v>1</v>
      </c>
      <c r="G14" s="6" t="e">
        <f>INDEX(DataColumns[ColumnLabel],MATCH(ResultColumnFinder[[#This Row],[DV Num]],DataColumns[DVNum],0))</f>
        <v>#N/A</v>
      </c>
      <c r="H14" s="6" t="e">
        <f>CONCATENATE(ResultColumnFinder[[#This Row],[DataType]],ResultColumnFinder[[#This Row],[Data Value Label]])</f>
        <v>#N/A</v>
      </c>
      <c r="I14" s="6" t="str">
        <f>CONCATENATE(ResultColumnFinder[[#This Row],[DataType]],ResultColumnFinder[[#This Row],[DV Num]])</f>
        <v>VariableCode1</v>
      </c>
      <c r="J14" s="6">
        <f>MATCH(ResultColumnFinder[[#This Row],[DataType]],DataColumns[#Headers],0)</f>
        <v>15</v>
      </c>
      <c r="K14" s="6" t="e">
        <f>MATCH(CONCATENATE("ResultValue",ResultColumnFinder[[#This Row],[Data Value Label]]),DataColumns[Concat],0)</f>
        <v>#N/A</v>
      </c>
      <c r="L14" s="6" t="e">
        <f>MATCH(ResultColumnFinder[[#This Row],[Concat]],DataColumns[Concat],0)</f>
        <v>#N/A</v>
      </c>
      <c r="M14" s="6">
        <f>IF(ResultColumnFinder[[#This Row],[REQUIRED]]="Optional",0,
IF(ResultColumnFinder[[#This Row],[VBV or Column]]="Value-By-Value",NumSpecimens,
1))</f>
        <v>1</v>
      </c>
      <c r="N14" s="6" t="e">
        <f>IF(ISERROR(ResultColumnFinder[[#This Row],[Data Values Column Number]]),
IF(ISERROR(ResultColumnFinder[[#This Row],[Data Columns Input Column]]),
0,
IF(INDEX(DataColumns[],ResultColumnFinder[[#This Row],[Data Values Input Row]],ResultColumnFinder[[#This Row],[Data Columns Input Column]])="",
0,
1)),
1)</f>
        <v>#N/A</v>
      </c>
      <c r="O14" s="6" t="e">
        <f>IF(ResultColumnFinder[[#This Row],[Num Given]]&lt;ResultColumnFinder[[#This Row],[Num Required]],
"MISSING",
"OK")</f>
        <v>#N/A</v>
      </c>
      <c r="P14"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4" s="6" t="e">
        <f>INDIRECT(ResultColumnFinder[[#This Row],[First Value Address]],FALSE)</f>
        <v>#N/A</v>
      </c>
    </row>
    <row r="15" spans="1:17" x14ac:dyDescent="0.25">
      <c r="A15" s="6" t="s">
        <v>1334</v>
      </c>
      <c r="B15" s="6" t="s">
        <v>1179</v>
      </c>
      <c r="D15" s="6" t="s">
        <v>1344</v>
      </c>
      <c r="E15" s="6" t="s">
        <v>1338</v>
      </c>
      <c r="F15" s="6">
        <v>1</v>
      </c>
      <c r="G15" s="6" t="e">
        <f>INDEX(DataColumns[ColumnLabel],MATCH(ResultColumnFinder[[#This Row],[DV Num]],DataColumns[DVNum],0))</f>
        <v>#N/A</v>
      </c>
      <c r="H15" s="6" t="e">
        <f>CONCATENATE(ResultColumnFinder[[#This Row],[DataType]],ResultColumnFinder[[#This Row],[Data Value Label]])</f>
        <v>#N/A</v>
      </c>
      <c r="I15" s="6" t="str">
        <f>CONCATENATE(ResultColumnFinder[[#This Row],[DataType]],ResultColumnFinder[[#This Row],[DV Num]])</f>
        <v>AnalysisDateTime1</v>
      </c>
      <c r="J15" s="6" t="e">
        <f>MATCH(ResultColumnFinder[[#This Row],[DataType]],DataColumns[#Headers],0)</f>
        <v>#N/A</v>
      </c>
      <c r="K15" s="6" t="e">
        <f>MATCH(CONCATENATE("ResultValue",ResultColumnFinder[[#This Row],[Data Value Label]]),DataColumns[Concat],0)</f>
        <v>#N/A</v>
      </c>
      <c r="L15" s="6" t="e">
        <f>MATCH(ResultColumnFinder[[#This Row],[Concat]],DataColumns[Concat],0)</f>
        <v>#N/A</v>
      </c>
      <c r="M15" s="6">
        <f>IF(ResultColumnFinder[[#This Row],[REQUIRED]]="Optional",0,
IF(ResultColumnFinder[[#This Row],[VBV or Column]]="Value-By-Value",NumSpecimens,
1))</f>
        <v>0</v>
      </c>
      <c r="N15" s="6">
        <f>IF(ISERROR(ResultColumnFinder[[#This Row],[Data Values Column Number]]),
IF(ISERROR(ResultColumnFinder[[#This Row],[Data Columns Input Column]]),
0,
IF(INDEX(DataColumns[],ResultColumnFinder[[#This Row],[Data Values Input Row]],ResultColumnFinder[[#This Row],[Data Columns Input Column]])="",
0,
1)),
1)</f>
        <v>0</v>
      </c>
      <c r="O15" s="6" t="str">
        <f>IF(ResultColumnFinder[[#This Row],[Num Given]]&lt;ResultColumnFinder[[#This Row],[Num Required]],
"MISSING",
"OK")</f>
        <v>OK</v>
      </c>
      <c r="P15"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5" s="6" t="e">
        <f>INDIRECT(ResultColumnFinder[[#This Row],[First Value Address]],FALSE)</f>
        <v>#REF!</v>
      </c>
    </row>
    <row r="16" spans="1:17" x14ac:dyDescent="0.25">
      <c r="A16" s="6" t="s">
        <v>1335</v>
      </c>
      <c r="B16" s="6" t="s">
        <v>1179</v>
      </c>
      <c r="D16" s="6" t="s">
        <v>1344</v>
      </c>
      <c r="E16" s="6" t="s">
        <v>1337</v>
      </c>
      <c r="F16" s="6">
        <v>1</v>
      </c>
      <c r="G16" s="6" t="e">
        <f>INDEX(DataColumns[ColumnLabel],MATCH(ResultColumnFinder[[#This Row],[DV Num]],DataColumns[DVNum],0))</f>
        <v>#N/A</v>
      </c>
      <c r="H16" s="6" t="e">
        <f>CONCATENATE(ResultColumnFinder[[#This Row],[DataType]],ResultColumnFinder[[#This Row],[Data Value Label]])</f>
        <v>#N/A</v>
      </c>
      <c r="I16" s="6" t="str">
        <f>CONCATENATE(ResultColumnFinder[[#This Row],[DataType]],ResultColumnFinder[[#This Row],[DV Num]])</f>
        <v>AnalysisDateTimeUTCOffset1</v>
      </c>
      <c r="J16" s="6">
        <f>MATCH(ResultColumnFinder[[#This Row],[DataType]],DataColumns[#Headers],0)</f>
        <v>19</v>
      </c>
      <c r="K16" s="6" t="e">
        <f>MATCH(CONCATENATE("ResultValue",ResultColumnFinder[[#This Row],[Data Value Label]]),DataColumns[Concat],0)</f>
        <v>#N/A</v>
      </c>
      <c r="L16" s="6" t="e">
        <f>MATCH(ResultColumnFinder[[#This Row],[Concat]],DataColumns[Concat],0)</f>
        <v>#N/A</v>
      </c>
      <c r="M16" s="6">
        <f>IF(ResultColumnFinder[[#This Row],[REQUIRED]]="Optional",0,
IF(ResultColumnFinder[[#This Row],[VBV or Column]]="Value-By-Value",NumSpecimens,
1))</f>
        <v>0</v>
      </c>
      <c r="N16" s="6" t="e">
        <f>IF(ISERROR(ResultColumnFinder[[#This Row],[Data Values Column Number]]),
IF(ISERROR(ResultColumnFinder[[#This Row],[Data Columns Input Column]]),
0,
IF(INDEX(DataColumns[],ResultColumnFinder[[#This Row],[Data Values Input Row]],ResultColumnFinder[[#This Row],[Data Columns Input Column]])="",
0,
1)),
1)</f>
        <v>#N/A</v>
      </c>
      <c r="O16" s="6" t="e">
        <f>IF(ResultColumnFinder[[#This Row],[Num Given]]&lt;ResultColumnFinder[[#This Row],[Num Required]],
"MISSING",
"OK")</f>
        <v>#N/A</v>
      </c>
      <c r="P16" s="6" t="e">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#N/A</v>
      </c>
      <c r="Q16" s="6" t="e">
        <f>INDIRECT(ResultColumnFinder[[#This Row],[First Value Address]],FALSE)</f>
        <v>#N/A</v>
      </c>
    </row>
    <row r="17" spans="1:17" x14ac:dyDescent="0.25">
      <c r="A17" s="6" t="s">
        <v>1336</v>
      </c>
      <c r="B17" s="6" t="s">
        <v>1343</v>
      </c>
      <c r="D17" s="6" t="s">
        <v>1344</v>
      </c>
      <c r="E17" s="6" t="s">
        <v>1338</v>
      </c>
      <c r="F17" s="6">
        <v>1</v>
      </c>
      <c r="G17" s="6" t="e">
        <f>INDEX(DataColumns[ColumnLabel],MATCH(ResultColumnFinder[[#This Row],[DV Num]],DataColumns[DVNum],0))</f>
        <v>#N/A</v>
      </c>
      <c r="H17" s="6" t="e">
        <f>CONCATENATE(ResultColumnFinder[[#This Row],[DataType]],ResultColumnFinder[[#This Row],[Data Value Label]])</f>
        <v>#N/A</v>
      </c>
      <c r="I17" s="6" t="str">
        <f>CONCATENATE(ResultColumnFinder[[#This Row],[DataType]],ResultColumnFinder[[#This Row],[DV Num]])</f>
        <v>ValueAnnotation1</v>
      </c>
      <c r="J17" s="6" t="e">
        <f>MATCH(ResultColumnFinder[[#This Row],[DataType]],DataColumns[#Headers],0)</f>
        <v>#N/A</v>
      </c>
      <c r="K17" s="6" t="e">
        <f>MATCH(CONCATENATE("ResultValue",ResultColumnFinder[[#This Row],[Data Value Label]]),DataColumns[Concat],0)</f>
        <v>#N/A</v>
      </c>
      <c r="L17" s="6" t="e">
        <f>MATCH(ResultColumnFinder[[#This Row],[Concat]],DataColumns[Concat],0)</f>
        <v>#N/A</v>
      </c>
      <c r="M17" s="6">
        <f>IF(ResultColumnFinder[[#This Row],[REQUIRED]]="Optional",0,
IF(ResultColumnFinder[[#This Row],[VBV or Column]]="Value-By-Value",NumSpecimens,
1))</f>
        <v>0</v>
      </c>
      <c r="N17" s="6">
        <f>IF(ISERROR(ResultColumnFinder[[#This Row],[Data Values Column Number]]),
IF(ISERROR(ResultColumnFinder[[#This Row],[Data Columns Input Column]]),
0,
IF(INDEX(DataColumns[],ResultColumnFinder[[#This Row],[Data Values Input Row]],ResultColumnFinder[[#This Row],[Data Columns Input Column]])="",
0,
1)),
1)</f>
        <v>0</v>
      </c>
      <c r="O17" s="6" t="str">
        <f>IF(ResultColumnFinder[[#This Row],[Num Given]]&lt;ResultColumnFinder[[#This Row],[Num Required]],
"MISSING",
"OK")</f>
        <v>OK</v>
      </c>
      <c r="P17"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7" s="6" t="e">
        <f>INDIRECT(ResultColumnFinder[[#This Row],[First Value Address]],FALSE)</f>
        <v>#REF!</v>
      </c>
    </row>
    <row r="18" spans="1:17" x14ac:dyDescent="0.25">
      <c r="A18" s="6" t="s">
        <v>1137</v>
      </c>
      <c r="B18" s="6" t="s">
        <v>1184</v>
      </c>
      <c r="D18" s="6" t="s">
        <v>1344</v>
      </c>
      <c r="E18" s="6" t="s">
        <v>1338</v>
      </c>
      <c r="F18" s="6">
        <v>1</v>
      </c>
      <c r="G18" s="6" t="e">
        <f>INDEX(DataColumns[ColumnLabel],MATCH(ResultColumnFinder[[#This Row],[DV Num]],DataColumns[DVNum],0))</f>
        <v>#N/A</v>
      </c>
      <c r="H18" s="6" t="e">
        <f>CONCATENATE(ResultColumnFinder[[#This Row],[DataType]],ResultColumnFinder[[#This Row],[Data Value Label]])</f>
        <v>#N/A</v>
      </c>
      <c r="I18" s="6" t="str">
        <f>CONCATENATE(ResultColumnFinder[[#This Row],[DataType]],ResultColumnFinder[[#This Row],[DV Num]])</f>
        <v>ResultUUID1</v>
      </c>
      <c r="J18" s="6" t="e">
        <f>MATCH(ResultColumnFinder[[#This Row],[DataType]],DataColumns[#Headers],0)</f>
        <v>#N/A</v>
      </c>
      <c r="K18" s="6" t="e">
        <f>MATCH(CONCATENATE("ResultValue",ResultColumnFinder[[#This Row],[Data Value Label]]),DataColumns[Concat],0)</f>
        <v>#N/A</v>
      </c>
      <c r="L18" s="6" t="e">
        <f>MATCH(ResultColumnFinder[[#This Row],[Concat]],DataColumns[Concat],0)</f>
        <v>#N/A</v>
      </c>
      <c r="M18" s="6">
        <f>IF(ResultColumnFinder[[#This Row],[REQUIRED]]="Optional",0,
IF(ResultColumnFinder[[#This Row],[VBV or Column]]="Value-By-Value",NumSpecimens,
1))</f>
        <v>0</v>
      </c>
      <c r="N18" s="6">
        <f>IF(ISERROR(ResultColumnFinder[[#This Row],[Data Values Column Number]]),
IF(ISERROR(ResultColumnFinder[[#This Row],[Data Columns Input Column]]),
0,
IF(INDEX(DataColumns[],ResultColumnFinder[[#This Row],[Data Values Input Row]],ResultColumnFinder[[#This Row],[Data Columns Input Column]])="",
0,
1)),
1)</f>
        <v>0</v>
      </c>
      <c r="O18" s="6" t="str">
        <f>IF(ResultColumnFinder[[#This Row],[Num Given]]&lt;ResultColumnFinder[[#This Row],[Num Required]],
"MISSING",
"OK")</f>
        <v>OK</v>
      </c>
      <c r="P18"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8" s="6" t="e">
        <f>INDIRECT(ResultColumnFinder[[#This Row],[First Value Address]],FALSE)</f>
        <v>#REF!</v>
      </c>
    </row>
    <row r="19" spans="1:17" x14ac:dyDescent="0.25">
      <c r="A19" s="6" t="s">
        <v>1415</v>
      </c>
      <c r="B19" s="6" t="s">
        <v>1341</v>
      </c>
      <c r="D19" s="6" t="s">
        <v>1299</v>
      </c>
      <c r="E19" s="6" t="s">
        <v>1338</v>
      </c>
      <c r="F19" s="6">
        <v>1</v>
      </c>
      <c r="G19" s="6" t="e">
        <f>INDEX(DataColumns[ColumnLabel],MATCH(ResultColumnFinder[[#This Row],[DV Num]],DataColumns[DVNum],0))</f>
        <v>#N/A</v>
      </c>
      <c r="H19" s="6" t="e">
        <f>CONCATENATE(ResultColumnFinder[[#This Row],[DataType]],ResultColumnFinder[[#This Row],[Data Value Label]])</f>
        <v>#N/A</v>
      </c>
      <c r="I19" s="6" t="str">
        <f>CONCATENATE(ResultColumnFinder[[#This Row],[DataType]],ResultColumnFinder[[#This Row],[DV Num]])</f>
        <v>ResultValue1</v>
      </c>
      <c r="J19" s="6" t="e">
        <f>MATCH(ResultColumnFinder[[#This Row],[DataType]],DataColumns[#Headers],0)</f>
        <v>#N/A</v>
      </c>
      <c r="K19" s="6" t="e">
        <f>MATCH(CONCATENATE("ResultValue",ResultColumnFinder[[#This Row],[Data Value Label]]),DataColumns[Concat],0)</f>
        <v>#N/A</v>
      </c>
      <c r="L19" s="6" t="e">
        <f>MATCH(ResultColumnFinder[[#This Row],[Concat]],DataColumns[Concat],0)</f>
        <v>#N/A</v>
      </c>
      <c r="M19" s="6">
        <f>IF(ResultColumnFinder[[#This Row],[REQUIRED]]="Optional",0,
IF(ResultColumnFinder[[#This Row],[VBV or Column]]="Value-By-Value",NumSpecimens,
1))</f>
        <v>1</v>
      </c>
      <c r="N19" s="6">
        <f>IF(ISERROR(ResultColumnFinder[[#This Row],[Data Values Column Number]]),
IF(ISERROR(ResultColumnFinder[[#This Row],[Data Columns Input Column]]),
0,
IF(INDEX(DataColumns[],ResultColumnFinder[[#This Row],[Data Values Input Row]],ResultColumnFinder[[#This Row],[Data Columns Input Column]])="",
0,
1)),
1)</f>
        <v>0</v>
      </c>
      <c r="O19" s="6" t="str">
        <f>IF(ResultColumnFinder[[#This Row],[Num Given]]&lt;ResultColumnFinder[[#This Row],[Num Required]],
"MISSING",
"OK")</f>
        <v>MISSING</v>
      </c>
      <c r="P19" s="6" t="str">
        <f>IF(AND(ISERROR(ResultColumnFinder[[#This Row],[Data Values Column Number]]),ISERROR(ResultColumnFinder[[#This Row],[Data Columns Input Column]])),
"NOT GIVEN",
IFERROR(CONCATENATE("'Data Values'!R2",,"C",ResultColumnFinder[[#This Row],[Data Values Column Number]]),
IF(INDIRECT(CONCATENATE("'Data Columns'!R",ROW(DataColumns[#Headers])+ResultColumnFinder[[#This Row],[Data Values Input Row]],"C",ResultColumnFinder[[#This Row],[Data Columns Input Column]]),FALSE)="",
"NOT GIVEN",
CONCATENATE("'Data Columns'!R",ROW(DataColumns[#Headers])+ResultColumnFinder[[#This Row],[Data Values Input Row]],"C",ResultColumnFinder[[#This Row],[Data Columns Input Column]]))))</f>
        <v>NOT GIVEN</v>
      </c>
      <c r="Q19" s="6" t="e">
        <f>INDIRECT(ResultColumnFinder[[#This Row],[First Value Address]],FALSE)</f>
        <v>#REF!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CD8"/>
  <sheetViews>
    <sheetView workbookViewId="0">
      <selection activeCell="A8" sqref="A8:XFD8"/>
    </sheetView>
  </sheetViews>
  <sheetFormatPr defaultColWidth="8.85546875" defaultRowHeight="15" x14ac:dyDescent="0.25"/>
  <cols>
    <col min="1" max="1" width="12" style="26" bestFit="1" customWidth="1"/>
    <col min="2" max="2" width="11.28515625" style="26" customWidth="1"/>
    <col min="3" max="3" width="18.42578125" style="26" customWidth="1"/>
    <col min="4" max="4" width="16.28515625" style="26" customWidth="1"/>
    <col min="5" max="5" width="29.140625" style="26" customWidth="1"/>
    <col min="6" max="6" width="25.85546875" style="26" customWidth="1"/>
    <col min="7" max="7" width="13" style="26" customWidth="1"/>
    <col min="8" max="8" width="25" style="26" customWidth="1"/>
    <col min="9" max="9" width="15.7109375" style="26" customWidth="1"/>
    <col min="10" max="10" width="12.140625" style="26" customWidth="1"/>
    <col min="11" max="11" width="23.28515625" style="26" customWidth="1"/>
    <col min="12" max="12" width="15.7109375" style="26" customWidth="1"/>
    <col min="13" max="13" width="17.7109375" style="26" customWidth="1"/>
    <col min="14" max="22" width="20.42578125" style="26" customWidth="1"/>
    <col min="23" max="23" width="69.5703125" style="26" customWidth="1"/>
    <col min="24" max="24" width="34.7109375" style="26" bestFit="1" customWidth="1"/>
    <col min="25" max="25" width="18.7109375" style="26" customWidth="1"/>
    <col min="26" max="26" width="86.140625" style="26" customWidth="1"/>
    <col min="27" max="27" width="17.28515625" style="26" customWidth="1"/>
    <col min="28" max="28" width="32.5703125" style="26" customWidth="1"/>
    <col min="29" max="29" width="19.140625" style="26" bestFit="1" customWidth="1"/>
    <col min="30" max="30" width="28.28515625" style="26" customWidth="1"/>
    <col min="31" max="31" width="31.5703125" style="26" customWidth="1"/>
    <col min="32" max="32" width="28.7109375" style="26" customWidth="1"/>
    <col min="33" max="33" width="11.7109375" style="26" customWidth="1"/>
    <col min="34" max="35" width="8.85546875" style="26"/>
    <col min="36" max="36" width="20.28515625" style="26" bestFit="1" customWidth="1"/>
    <col min="37" max="37" width="16.42578125" style="26" customWidth="1"/>
    <col min="38" max="38" width="23.140625" style="26" bestFit="1" customWidth="1"/>
    <col min="39" max="39" width="17.28515625" style="26" bestFit="1" customWidth="1"/>
    <col min="40" max="40" width="23.28515625" style="26" bestFit="1" customWidth="1"/>
    <col min="41" max="41" width="23.5703125" style="26" bestFit="1" customWidth="1"/>
    <col min="42" max="42" width="24.28515625" style="26" bestFit="1" customWidth="1"/>
    <col min="43" max="43" width="24.28515625" style="26" customWidth="1"/>
    <col min="44" max="45" width="15.42578125" style="26" customWidth="1"/>
    <col min="46" max="46" width="12" style="26" bestFit="1" customWidth="1"/>
    <col min="47" max="47" width="21.42578125" style="26" bestFit="1" customWidth="1"/>
    <col min="48" max="48" width="15.42578125" style="26" bestFit="1" customWidth="1"/>
    <col min="49" max="49" width="21.5703125" style="26" bestFit="1" customWidth="1"/>
    <col min="50" max="50" width="21.85546875" style="26" bestFit="1" customWidth="1"/>
    <col min="51" max="51" width="24.28515625" style="26" bestFit="1" customWidth="1"/>
    <col min="52" max="52" width="37.42578125" style="26" customWidth="1"/>
    <col min="53" max="53" width="26.28515625" style="26" bestFit="1" customWidth="1"/>
    <col min="54" max="54" width="24.42578125" style="26" bestFit="1" customWidth="1"/>
    <col min="55" max="55" width="22.42578125" style="26" customWidth="1"/>
    <col min="56" max="56" width="20.42578125" style="26" customWidth="1"/>
    <col min="57" max="57" width="11" style="26" bestFit="1" customWidth="1"/>
    <col min="58" max="58" width="13.5703125" style="26" bestFit="1" customWidth="1"/>
    <col min="59" max="59" width="15.42578125" style="26" bestFit="1" customWidth="1"/>
    <col min="60" max="60" width="11.140625" style="26" bestFit="1" customWidth="1"/>
    <col min="61" max="61" width="9.5703125" style="26" bestFit="1" customWidth="1"/>
    <col min="62" max="62" width="22.42578125" style="26" bestFit="1" customWidth="1"/>
    <col min="63" max="64" width="22.42578125" style="26" customWidth="1"/>
    <col min="65" max="70" width="20.28515625" style="26" customWidth="1"/>
    <col min="71" max="71" width="17.140625" style="26" customWidth="1"/>
    <col min="72" max="72" width="19" style="26" customWidth="1"/>
    <col min="73" max="73" width="20.7109375" style="26" bestFit="1" customWidth="1"/>
    <col min="74" max="74" width="38.42578125" style="26" customWidth="1"/>
    <col min="75" max="76" width="26.5703125" style="26" customWidth="1"/>
    <col min="77" max="77" width="11.85546875" style="26" bestFit="1" customWidth="1"/>
    <col min="78" max="78" width="18.140625" style="26" bestFit="1" customWidth="1"/>
    <col min="79" max="79" width="18.140625" style="26" customWidth="1"/>
    <col min="80" max="80" width="11.85546875" style="26" customWidth="1"/>
    <col min="81" max="81" width="20.7109375" style="26" bestFit="1" customWidth="1"/>
    <col min="82" max="16384" width="8.85546875" style="26"/>
  </cols>
  <sheetData>
    <row r="1" spans="1:82" x14ac:dyDescent="0.25">
      <c r="A1" s="26" t="s">
        <v>225</v>
      </c>
      <c r="B1" s="26" t="s">
        <v>215</v>
      </c>
      <c r="C1" s="26" t="s">
        <v>1275</v>
      </c>
      <c r="D1" s="26" t="s">
        <v>217</v>
      </c>
      <c r="E1" s="26" t="s">
        <v>1271</v>
      </c>
      <c r="F1" s="26" t="s">
        <v>1251</v>
      </c>
      <c r="G1" s="26" t="s">
        <v>216</v>
      </c>
      <c r="H1" s="26" t="s">
        <v>1262</v>
      </c>
      <c r="I1" s="26" t="s">
        <v>218</v>
      </c>
      <c r="J1" s="26" t="s">
        <v>219</v>
      </c>
      <c r="K1" s="26" t="s">
        <v>1261</v>
      </c>
      <c r="L1" s="26" t="s">
        <v>220</v>
      </c>
      <c r="M1" s="26" t="s">
        <v>221</v>
      </c>
      <c r="N1" s="26" t="s">
        <v>222</v>
      </c>
      <c r="O1" s="26" t="s">
        <v>1305</v>
      </c>
      <c r="P1" s="26" t="s">
        <v>1433</v>
      </c>
      <c r="Q1" s="26" t="s">
        <v>1330</v>
      </c>
      <c r="R1" s="26" t="s">
        <v>1331</v>
      </c>
      <c r="S1" s="26" t="s">
        <v>1304</v>
      </c>
      <c r="T1" s="26" t="s">
        <v>1434</v>
      </c>
      <c r="U1" s="26" t="s">
        <v>1435</v>
      </c>
      <c r="V1" s="26" t="s">
        <v>1359</v>
      </c>
      <c r="W1" s="26" t="s">
        <v>223</v>
      </c>
      <c r="X1" s="26" t="s">
        <v>1263</v>
      </c>
      <c r="Y1" s="26" t="s">
        <v>224</v>
      </c>
      <c r="Z1" s="26" t="s">
        <v>226</v>
      </c>
      <c r="AA1" s="26" t="s">
        <v>243</v>
      </c>
      <c r="AB1" s="26" t="s">
        <v>1391</v>
      </c>
      <c r="AC1" s="26" t="s">
        <v>1392</v>
      </c>
      <c r="AD1" s="26" t="s">
        <v>1393</v>
      </c>
      <c r="AE1" s="26" t="s">
        <v>1394</v>
      </c>
      <c r="AF1" s="26" t="s">
        <v>244</v>
      </c>
      <c r="AG1" s="26" t="s">
        <v>248</v>
      </c>
      <c r="AH1" s="26" t="s">
        <v>1078</v>
      </c>
      <c r="AI1" s="26" t="s">
        <v>238</v>
      </c>
      <c r="AJ1" s="26" t="s">
        <v>1396</v>
      </c>
      <c r="AK1" s="26" t="s">
        <v>1178</v>
      </c>
      <c r="AL1" s="26" t="s">
        <v>1425</v>
      </c>
      <c r="AM1" s="26" t="s">
        <v>1426</v>
      </c>
      <c r="AN1" s="26" t="s">
        <v>1427</v>
      </c>
      <c r="AO1" s="26" t="s">
        <v>1443</v>
      </c>
      <c r="AP1" s="26" t="s">
        <v>1431</v>
      </c>
      <c r="AQ1" s="26" t="s">
        <v>1436</v>
      </c>
      <c r="AR1" s="26" t="s">
        <v>1404</v>
      </c>
      <c r="AS1" s="26" t="s">
        <v>1407</v>
      </c>
      <c r="AT1" s="26" t="s">
        <v>1415</v>
      </c>
      <c r="AU1" s="26" t="s">
        <v>1428</v>
      </c>
      <c r="AV1" s="26" t="s">
        <v>1429</v>
      </c>
      <c r="AW1" s="26" t="s">
        <v>1430</v>
      </c>
      <c r="AX1" s="26" t="s">
        <v>1442</v>
      </c>
      <c r="AY1" s="26" t="s">
        <v>1432</v>
      </c>
      <c r="AZ1" s="26" t="s">
        <v>1437</v>
      </c>
      <c r="BA1" s="26" t="s">
        <v>1438</v>
      </c>
      <c r="BB1" s="26" t="s">
        <v>1439</v>
      </c>
      <c r="BC1" s="26" t="s">
        <v>1440</v>
      </c>
      <c r="BD1" s="26" t="s">
        <v>1441</v>
      </c>
      <c r="BE1" s="26" t="s">
        <v>1137</v>
      </c>
      <c r="BF1" s="26" t="s">
        <v>1406</v>
      </c>
      <c r="BG1" s="26" t="s">
        <v>1408</v>
      </c>
      <c r="BH1" s="26" t="s">
        <v>1409</v>
      </c>
      <c r="BI1" s="26" t="s">
        <v>1410</v>
      </c>
      <c r="BJ1" s="26" t="s">
        <v>1411</v>
      </c>
      <c r="BK1" s="26" t="s">
        <v>1412</v>
      </c>
      <c r="BL1" s="26" t="s">
        <v>1413</v>
      </c>
      <c r="BM1" s="26" t="s">
        <v>1414</v>
      </c>
      <c r="BN1" s="26" t="s">
        <v>1418</v>
      </c>
      <c r="BO1" s="26" t="s">
        <v>1419</v>
      </c>
      <c r="BP1" s="26" t="s">
        <v>1420</v>
      </c>
      <c r="BQ1" s="26" t="s">
        <v>1421</v>
      </c>
      <c r="BR1" s="26" t="s">
        <v>1422</v>
      </c>
      <c r="BS1" s="26" t="s">
        <v>1184</v>
      </c>
      <c r="BT1" s="26" t="s">
        <v>1451</v>
      </c>
      <c r="BU1" s="26" t="s">
        <v>1186</v>
      </c>
      <c r="BV1" s="26" t="s">
        <v>1187</v>
      </c>
      <c r="BW1" s="26" t="s">
        <v>1416</v>
      </c>
      <c r="BX1" s="26" t="s">
        <v>1417</v>
      </c>
      <c r="BY1" s="26" t="s">
        <v>1445</v>
      </c>
      <c r="BZ1" s="26" t="s">
        <v>1446</v>
      </c>
      <c r="CA1" s="26" t="s">
        <v>1447</v>
      </c>
      <c r="CB1" s="26" t="s">
        <v>1444</v>
      </c>
      <c r="CC1" s="26" t="s">
        <v>1204</v>
      </c>
    </row>
    <row r="2" spans="1:82" x14ac:dyDescent="0.25">
      <c r="A2" s="26" t="s">
        <v>1080</v>
      </c>
      <c r="B2" s="26">
        <v>3</v>
      </c>
      <c r="C2" s="26">
        <v>2</v>
      </c>
      <c r="D2" s="26">
        <f>MAX(NumOrganizations+1,2)</f>
        <v>2</v>
      </c>
      <c r="E2" s="26">
        <f>IF(AND(CitationDOI="",NumORCIDs=0,NumIGSNs=0),1,3)</f>
        <v>1</v>
      </c>
      <c r="F2" s="26">
        <f>IF(AND(CitationDOI="",NumORCIDs=0,NumIGSNs=0),1,4)</f>
        <v>1</v>
      </c>
      <c r="G2" s="26">
        <f>MAX(NumPeople+1,2)</f>
        <v>2</v>
      </c>
      <c r="H2" s="26">
        <f>IF(NumORCIDs=0,1,MAX(NumORCIDs+1,2))</f>
        <v>1</v>
      </c>
      <c r="I2" s="26">
        <f>MAX(NumOrganizations+1,NumPeople+1,2)</f>
        <v>2</v>
      </c>
      <c r="J2" s="26">
        <f>IF(COUNTA(CitationInformation)=0,1,2)</f>
        <v>1</v>
      </c>
      <c r="K2" s="26">
        <f>IF(CitationDOI="",1,2)</f>
        <v>1</v>
      </c>
      <c r="L2" s="26">
        <f>IF(COUNTA(CitationInformation)=0,1,NumAuthors+1)</f>
        <v>1</v>
      </c>
      <c r="M2" s="26">
        <f>IF(COUNTA(CitationInformation)=0,1,2)</f>
        <v>1</v>
      </c>
      <c r="N2" s="26">
        <v>2</v>
      </c>
      <c r="O2" s="26">
        <v>1</v>
      </c>
      <c r="P2" s="26">
        <v>1</v>
      </c>
      <c r="Q2" s="26">
        <v>1</v>
      </c>
      <c r="R2" s="26">
        <v>1</v>
      </c>
      <c r="S2" s="26">
        <v>1</v>
      </c>
      <c r="T2" s="26">
        <v>1</v>
      </c>
      <c r="U2" s="26">
        <v>1</v>
      </c>
      <c r="V2" s="26">
        <v>1</v>
      </c>
      <c r="W2" s="26">
        <f>MAX(NumParentSamplingFeatures+NumSpecimens+1,2)</f>
        <v>2</v>
      </c>
      <c r="X2" s="26">
        <f>IF(AND(NumIGSNs=0,COUNTIF(DataColumns[ColumnType],"SpecimenIGSN")=0),1,MAX(2,NumIGSNs+1,NumParentSamplingFeatures+NumSpecimens+1))</f>
        <v>1</v>
      </c>
      <c r="Y2" s="26">
        <f>IF(NumSites=0,1,NumSites+1)</f>
        <v>1</v>
      </c>
      <c r="Z2" s="26">
        <f>NumParentSpecimens+NumSpecimens+1</f>
        <v>2</v>
      </c>
      <c r="AA2" s="26">
        <f>IF(COUNTA(SpatialOffsets[Spatial Offset Code])=0,1,COUNTA(SpatialOffsets[Spatial Offset Code])+1)</f>
        <v>1</v>
      </c>
      <c r="AB2" s="26">
        <v>1</v>
      </c>
      <c r="AC2" s="26">
        <v>1</v>
      </c>
      <c r="AD2" s="26">
        <v>1</v>
      </c>
      <c r="AE2" s="26">
        <v>1</v>
      </c>
      <c r="AF2" s="26">
        <f>IF(AND(NumRelatedFeatures=0,MATCH("ParentSamplingFeatureCode",SpecimenColumnFinder[DataType],0))="NOT GIVEN",1,MAX(2,NumRelatedFeatures+1,NumRelatedFeatures+NumSpecimens+1))</f>
        <v>2</v>
      </c>
      <c r="AG2" s="26">
        <f>MAX(NumMethods+1,2)</f>
        <v>2</v>
      </c>
      <c r="AH2" s="26">
        <f>MAX(NumVariables+1,2)</f>
        <v>2</v>
      </c>
      <c r="AI2" s="26">
        <v>1</v>
      </c>
      <c r="AJ2" s="26">
        <f>IF(NumTaxClassifiers=0,1,NumTaxClassifiers+1)</f>
        <v>1</v>
      </c>
      <c r="AK2" s="26">
        <f>MAX(NumProcessingLevels+1,2)</f>
        <v>2</v>
      </c>
      <c r="AL2" s="26">
        <v>1</v>
      </c>
      <c r="AM2" s="26">
        <v>1</v>
      </c>
      <c r="AN2" s="26">
        <v>1</v>
      </c>
      <c r="AO2" s="26">
        <v>1</v>
      </c>
      <c r="AP2" s="26">
        <v>1</v>
      </c>
      <c r="AQ2" s="26">
        <f>NumSpecimens+1</f>
        <v>2</v>
      </c>
      <c r="AR2" s="26">
        <v>1</v>
      </c>
      <c r="AS2" s="26">
        <v>1</v>
      </c>
      <c r="AT2" s="26">
        <v>1</v>
      </c>
      <c r="AU2" s="26">
        <v>1</v>
      </c>
      <c r="AV2" s="26">
        <v>1</v>
      </c>
      <c r="AW2" s="26">
        <v>1</v>
      </c>
      <c r="AX2" s="26">
        <v>1</v>
      </c>
      <c r="AY2" s="26">
        <v>1</v>
      </c>
      <c r="AZ2" s="26">
        <f>MAX(NumDataColumns*NumSpecimens+1,2)</f>
        <v>2</v>
      </c>
      <c r="BA2" s="26">
        <f>NumSpecimens+1</f>
        <v>2</v>
      </c>
      <c r="BB2" s="26">
        <f>MAX(NumDataColumns*NumSpecimens+1,2)</f>
        <v>2</v>
      </c>
      <c r="BC2" s="26">
        <f>NumSpecimens+1</f>
        <v>2</v>
      </c>
      <c r="BD2" s="26">
        <f>MAX(NumDataColumns*NumSpecimens+1,2)</f>
        <v>2</v>
      </c>
      <c r="BE2" s="26">
        <v>1</v>
      </c>
      <c r="BF2" s="26">
        <v>1</v>
      </c>
      <c r="BG2" s="26">
        <v>1</v>
      </c>
      <c r="BH2" s="26">
        <v>1</v>
      </c>
      <c r="BI2" s="26">
        <v>1</v>
      </c>
      <c r="BJ2" s="26">
        <v>1</v>
      </c>
      <c r="BK2" s="26">
        <v>1</v>
      </c>
      <c r="BL2" s="26">
        <v>1</v>
      </c>
      <c r="BM2" s="26">
        <v>1</v>
      </c>
      <c r="BN2" s="26">
        <v>1</v>
      </c>
      <c r="BO2" s="26">
        <v>1</v>
      </c>
      <c r="BP2" s="26">
        <v>1</v>
      </c>
      <c r="BQ2" s="26">
        <v>1</v>
      </c>
      <c r="BR2" s="26">
        <v>1</v>
      </c>
      <c r="BS2" s="26">
        <f>MAX(NumDataColumns*NumSpecimens+1,2)</f>
        <v>2</v>
      </c>
      <c r="BT2" s="26">
        <f>MAX(NumDataColumns*NumSpecimens+1,2)</f>
        <v>2</v>
      </c>
      <c r="BU2" s="26">
        <f>IF(COUNTIF(BF:BF,"Measurement")=0,1,MAX(NumDataColumns*NumSpecimens+1,2))</f>
        <v>1</v>
      </c>
      <c r="BV2" s="26">
        <f>IF(COUNTIF(BF:BF,"Measurement")=0,1,MAX(NumDataColumns*NumSpecimens+1,2))</f>
        <v>1</v>
      </c>
      <c r="BW2" s="26">
        <f>IF(COUNTIFS(BF:BF,"Count observation",BF:BF,"Truth observation",BF:BF,"Category observation")=0,1,MAX(NumDataColumns*NumSpecimens+1,2))</f>
        <v>1</v>
      </c>
      <c r="BX2" s="26">
        <f>IF(COUNTIFS(BF:BF,"Count observation",BF:BF,"Truth observation",BF:BF,"Category observation")=0,1,MAX(NumDataColumns*NumSpecimens+1,2))</f>
        <v>1</v>
      </c>
    </row>
    <row r="3" spans="1:82" x14ac:dyDescent="0.25">
      <c r="A3" s="26">
        <f t="shared" ref="A3:A7" si="0">ROW()-3</f>
        <v>0</v>
      </c>
      <c r="B3" s="26" t="s">
        <v>134</v>
      </c>
      <c r="C3" s="26" t="s">
        <v>1209</v>
      </c>
      <c r="D3" s="26" t="s">
        <v>177</v>
      </c>
      <c r="E3"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3" s="26" t="str">
        <f>IF(AND(CitationDOI="",NumORCIDs=0,NumIGSNs=0),"","ExternalIdentifierSystems:")</f>
        <v/>
      </c>
      <c r="G3" s="26" t="s">
        <v>175</v>
      </c>
      <c r="H3" s="26" t="str">
        <f>IF(NumORCIDs=0,"","PersonExternalIdentifiers:")</f>
        <v/>
      </c>
      <c r="I3" s="26" t="s">
        <v>178</v>
      </c>
      <c r="J3" s="26" t="str">
        <f>IF(COUNTA(CitationInformation)=0,"","Citations:")</f>
        <v/>
      </c>
      <c r="K3" s="26" t="str">
        <f>IF(CitationDOI="","","CitationExternalIdentifiers:")</f>
        <v/>
      </c>
      <c r="L3" s="26" t="str">
        <f>IF(COUNTA(CitationInformation)=0,"","AuthorLists:")</f>
        <v/>
      </c>
      <c r="M3" s="26" t="str">
        <f>IF(COUNTA(CitationInformation)=0,"","DatasetCitations:")</f>
        <v/>
      </c>
      <c r="N3" s="26" t="s">
        <v>213</v>
      </c>
      <c r="O3" s="26" t="str">
        <f>""</f>
        <v/>
      </c>
      <c r="P3" s="26" t="str">
        <f>""</f>
        <v/>
      </c>
      <c r="Q3" s="26" t="str">
        <f>""</f>
        <v/>
      </c>
      <c r="R3" s="26" t="str">
        <f>""</f>
        <v/>
      </c>
      <c r="S3" s="26" t="str">
        <f>""</f>
        <v/>
      </c>
      <c r="T3" s="26" t="str">
        <f>""</f>
        <v/>
      </c>
      <c r="U3" s="26" t="str">
        <f>""</f>
        <v/>
      </c>
      <c r="V3" s="26" t="str">
        <f>""</f>
        <v/>
      </c>
      <c r="W3" s="26" t="s">
        <v>214</v>
      </c>
      <c r="X3" s="26" t="str">
        <f>IF(AND(NumIGSNs=0,COUNTIF(DataColumns[ColumnType],"SpecimenIGSN")=0),"","SamplingFeatureExternalIdentifiers:")</f>
        <v/>
      </c>
      <c r="Y3" s="26" t="str">
        <f>IF(MAX(SamplingFeatures[SiteID])=0,"","Sites:")</f>
        <v/>
      </c>
      <c r="Z3" s="26" t="s">
        <v>1378</v>
      </c>
      <c r="AA3" s="26" t="str">
        <f>IF(COUNTA(SpatialOffsets[Spatial Offset Code])=0,"","SpatialOffsets:")</f>
        <v/>
      </c>
      <c r="AB3" s="26" t="str">
        <f>""</f>
        <v/>
      </c>
      <c r="AC3" s="26" t="str">
        <f>""</f>
        <v/>
      </c>
      <c r="AD3" s="26" t="str">
        <f>""</f>
        <v/>
      </c>
      <c r="AE3" s="26" t="str">
        <f>""</f>
        <v/>
      </c>
      <c r="AF3" s="26" t="e">
        <f>IF(AND(NumRelatedFeatures=0,INDEX(SpecimenColumnFinder[First Value Address],MATCH("ParentSamplingFeatureCode",SpecimenColumnFinder[DataType],0))="NOT GIVEN"),"","RelatedFeatures:")</f>
        <v>#N/A</v>
      </c>
      <c r="AG3" s="26" t="s">
        <v>273</v>
      </c>
      <c r="AH3" s="26" t="s">
        <v>1079</v>
      </c>
      <c r="AI3" s="26" t="str">
        <f>""</f>
        <v/>
      </c>
      <c r="AJ3" s="26" t="str">
        <f>IF(NumTaxClassifiers=0,"","TaxonomicClassifiers:")</f>
        <v/>
      </c>
      <c r="AK3" s="26" t="s">
        <v>1397</v>
      </c>
      <c r="AL3" s="26" t="str">
        <f>""</f>
        <v/>
      </c>
      <c r="AM3" s="26" t="str">
        <f>""</f>
        <v/>
      </c>
      <c r="AN3" s="26" t="str">
        <f>""</f>
        <v/>
      </c>
      <c r="AO3" s="26" t="str">
        <f>""</f>
        <v/>
      </c>
      <c r="AP3" s="26" t="str">
        <f>""</f>
        <v/>
      </c>
      <c r="AQ3" s="26" t="s">
        <v>1181</v>
      </c>
      <c r="AR3" s="26" t="str">
        <f>""</f>
        <v/>
      </c>
      <c r="AS3" s="26" t="str">
        <f>""</f>
        <v/>
      </c>
      <c r="AT3" s="26" t="str">
        <f>""</f>
        <v/>
      </c>
      <c r="AU3" s="26" t="str">
        <f>""</f>
        <v/>
      </c>
      <c r="AV3" s="26" t="str">
        <f>""</f>
        <v/>
      </c>
      <c r="AW3" s="26" t="str">
        <f>""</f>
        <v/>
      </c>
      <c r="AX3" s="26" t="str">
        <f>""</f>
        <v/>
      </c>
      <c r="AY3" s="26" t="str">
        <f>""</f>
        <v/>
      </c>
      <c r="AZ3" s="26" t="str">
        <f>""</f>
        <v/>
      </c>
      <c r="BA3" s="26" t="s">
        <v>1183</v>
      </c>
      <c r="BB3" s="26" t="str">
        <f>""</f>
        <v/>
      </c>
      <c r="BC3" s="26" t="s">
        <v>1276</v>
      </c>
      <c r="BD3" s="26" t="str">
        <f>""</f>
        <v/>
      </c>
      <c r="BE3" s="26" t="str">
        <f>""</f>
        <v/>
      </c>
      <c r="BF3" s="26" t="str">
        <f>""</f>
        <v/>
      </c>
      <c r="BG3" s="26" t="str">
        <f>""</f>
        <v/>
      </c>
      <c r="BH3" s="26" t="str">
        <f>""</f>
        <v/>
      </c>
      <c r="BI3" s="26" t="str">
        <f>""</f>
        <v/>
      </c>
      <c r="BJ3" s="26" t="str">
        <f>""</f>
        <v/>
      </c>
      <c r="BK3" s="26" t="str">
        <f>""</f>
        <v/>
      </c>
      <c r="BL3" s="26" t="str">
        <f>""</f>
        <v/>
      </c>
      <c r="BM3" s="26" t="str">
        <f>""</f>
        <v/>
      </c>
      <c r="BN3" s="26" t="str">
        <f>""</f>
        <v/>
      </c>
      <c r="BO3" s="26" t="str">
        <f>""</f>
        <v/>
      </c>
      <c r="BP3" s="26" t="str">
        <f>""</f>
        <v/>
      </c>
      <c r="BQ3" s="26" t="str">
        <f>""</f>
        <v/>
      </c>
      <c r="BR3" s="26" t="str">
        <f>""</f>
        <v/>
      </c>
      <c r="BS3" s="26" t="s">
        <v>1185</v>
      </c>
      <c r="BT3" s="26" t="s">
        <v>1450</v>
      </c>
      <c r="BU3" s="26" t="str">
        <f>IF(COUNTIF(BF:BF,"Measurement")=0,"","MeasurementResults:")</f>
        <v/>
      </c>
      <c r="BV3" s="26" t="str">
        <f>IF(COUNTIF(BF:BF,"Measurement")=0,"","MeasurementResultValues:")</f>
        <v/>
      </c>
      <c r="BW3" s="26" t="str">
        <f>IF(COUNTIFS(BF:BF,"Count observation",BF:BF,"Truth observation",BF:BF,"Category observation")=0,"","CategoricalResults:")</f>
        <v/>
      </c>
      <c r="BX3" s="26" t="str">
        <f>IF(COUNTIFS(BF:BF,"Count observation",BF:BF,"Truth observation",BF:BF,"Category observation")=0,"","CategoricalResultValues:")</f>
        <v/>
      </c>
      <c r="CC3" s="26" t="s">
        <v>1208</v>
      </c>
      <c r="CD3" s="26">
        <f>MAX(B2:BX2)</f>
        <v>3</v>
      </c>
    </row>
    <row r="4" spans="1:82" x14ac:dyDescent="0.25">
      <c r="A4" s="26">
        <f t="shared" si="0"/>
        <v>1</v>
      </c>
      <c r="B4" s="26" t="s">
        <v>1277</v>
      </c>
      <c r="C4" s="26" t="str">
        <f>CONCATENATE("  - &amp;DatasetID00001 {",
"DatasetUUID:  ",CONCATENATE(CHAR(34),DatasetUUID,CHAR(34)),
IF(DatasetType=""," PLEASE FILL IN THE Dataset TYPE IN THE Dataset CITATION TAB",CONCATENATE(",  DatasetTypeCV:  ",CHAR(34),DatasetType,CHAR(34))),
IF(DatasetCode=""," PLEASE FILL IN THE Dataset CODE IN THE Dataset CITATION TAB",CONCATENATE(",  DatasetCode:  ",CHAR(34),DatasetCode,CHAR(34))),
IF(DatasetTitle=""," PLEASE FILL IN THE Dataset TITLE IN THE Dataset CITATION TAB",CONCATENATE(",  DatasetTitle:  ",CHAR(34),DatasetTitle,CHAR(34))),
",  DatasetAbstract:  ",CHAR(34),DatasetAbstract,CHAR(34),
"}")</f>
        <v xml:space="preserve">  - &amp;DatasetID00001 {DatasetUUID:  "" PLEASE FILL IN THE Dataset TYPE IN THE Dataset CITATION TAB PLEASE FILL IN THE Dataset CODE IN THE Dataset CITATION TAB PLEASE FILL IN THE Dataset TITLE IN THE Dataset CITATION TAB,  DatasetAbstract:  ""}</v>
      </c>
      <c r="D4" s="26" t="str">
        <f>IF(INDEX(Organizations[Organization Type '[CV']],ROW()-3)="","PLEASE FILL IN AT LEAST ONE ORGANIZATION WITH TYPE, CODE, AND NAME",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PLEASE FILL IN AT LEAST ONE ORGANIZATION WITH TYPE, CODE, AND NAME</v>
      </c>
      <c r="E4"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4"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&amp;ExternalIdentifierSystemID00001 {ExternalIdentifierSystemName:  "ORCID", IdentifierSystemOrganizationObj:  *OrganizationID00001, ExternalIdentifierSystemDescription:  "ORCID provides a persistent digital identifier that distinguishes you from every other researcher and, through integration in key research workflows such as manuscript and grant submission, supports automated linkages between you and your professional activities ensuring that your work is recognized.", ExternalIdentifierSystemURL:  "http://orcid.org/"}</v>
      </c>
      <c r="G4" s="26" t="str">
        <f>IF(INDEX(People[First Name],ROW()-3)="","PLEASE FILL IN AT LEAST ONE PERSON WITH FIRST, MIDDLE AND LAST NAME",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PLEASE FILL IN AT LEAST ONE PERSON WITH FIRST, MIDDLE AND LAST NAME</v>
      </c>
      <c r="H4"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4"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J4" s="26" t="str">
        <f>IF(COUNTA(CitationInformation)=0,"",
CONCATENATE("  - &amp;CitationID00001 {",
IF(CitationTitle=""," PLEASE FILL IN A TITLE FOR THE CITATION",CONCATENATE("Title: ",CHAR(34),CitationTitle,CHAR(34))),
IF(Publisher=""," PLEASE FILL IN THE CITATION PUBLISHER",CONCATENATE(", Publisher: ",CHAR(34),Publisher,CHAR(34))),
IF(PublicationYear=""," PLEASE FILL IN THE CITATION YEAR",CONCATENATE(", PublicationYear: ",CHAR(34),PublicationYear,CHAR(34))),
", CitationLink: ",CHAR(34),CitationLink,CHAR(34),
"}"))</f>
        <v/>
      </c>
      <c r="K4" s="26" t="str">
        <f>IF(CitationDOI="","",
CONCATENATE("  - {",
"CitationObj:  *CitationID001",
", ExternalIdentifierSystemObj:  *ExternalIdentifierSystemID00002",
", CitationExternalIdentifier:  ",CHAR(34),CitationDOI,CHAR(34),
", CitationExternalIdentifierURI:  ",CHAR(34),CHAR(34),
"}"))</f>
        <v/>
      </c>
      <c r="L4" s="26" t="str">
        <f>IF(COUNTA(CitationInformation)=0,"",
IF(INDEX(AuthorList[Author Name],ROW()-3)="","PLEASE FILL IN AT LEAST ONE CITATION AUTHOR",
CONCATENATE("  - &amp;AuthorListID",TEXT(ROW()-3,"00000"),
"  {CitationObj: *CitationID00001",
", PersonObj: *PersonID",IFERROR(TEXT(MATCH(INDEX(AuthorList[Author Name],ROW()-3),People[Full Name],0),"00000"),"PLEASE SELECT A VALID AUTHOR NAME FROM THE DROP-DOWN LIST"),
", AuthorOrder: ",INDEX(AuthorList[Author Number],ROW()-3),
"}")))</f>
        <v/>
      </c>
      <c r="M4" s="26" t="str">
        <f>IF(COUNTA(CitationInformation)=0,"",
CONCATENATE("  - {",
"DatasetObj: *DatasetID00001",
", CitationObj: *CitationID00001",
IF(DatasetCitationRelationship="","PLEASE FILL IN THE RELATIONSHIP BETWEEN THE Dataset AND THE CITATION",CONCATENATE(", RelationshipTypeCV: ",DatasetCitationRelationship)),
"}"))</f>
        <v/>
      </c>
      <c r="N4" s="26" t="str">
        <f>IF(LatLonDatum="","PLEASE FILL IN A VALID LAT/LONG DATUM",
CONCATENATE("  - &amp;SRSID",TEXT(ROW()-3,"00000")," {",
"SRSCode: ",CHAR(34),INDEX(SpatialReferences[SRSCode],MATCH(LatLonDatum,SpatialReferences[SRSName],0)),CHAR(34),
", SRSName: ",CHAR(34),LatLonDatum,CHAR(34),
", SRSDescription: ",CHAR(34),INDEX(SpatialReferences[SRSDescription],MATCH(LatLonDatum,SpatialReferences[SRSName],0)),CHAR(34),
", SRSLink: ",CHAR(34),INDEX(SpatialReferences[SRSLink],MATCH(LatLonDatum,SpatialReferences[SRSName],0)),CHAR(34),
"}"))</f>
        <v>PLEASE FILL IN A VALID LAT/LONG DATUM</v>
      </c>
      <c r="O4"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4"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4"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4"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4"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4"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4"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4"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4" s="26" t="str">
        <f>IF(ROW()-3&gt;NumParentSamplingFeatures+NumSpecimens,"",
IF(ROW()-3&gt;NumParentSamplingFeatures,
CONCATENATE("  - &amp;SamplingFeatureID",TEXT(ROW()-3,"00000"),
" {","SamplingFeatureUUID:  ",CHAR(34),O4,CHAR(34),
", SamplingFeatureTypeCV:  ",CHAR(34),"Specimen",CHAR(34),
", SamplingFeatureCode:  ",CHAR(34),P4,CHAR(34),
", SamplingFeatureName:  ",CHAR(34),Q4,CHAR(34),
", SamplingFeatureDescription:  ",CHAR(34),R4,CHAR(34),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xml:space="preserve">  - &amp;SamplingFeatureID00001 {SamplingFeatureUUID:  "", SamplingFeatureTypeCV:  "Specimen", SamplingFeatureCode:  "PLEASE SPECIFY WHICH COLUMN HAS THE SPECIMEN CODES!!!", SamplingFeatureName:  "", SamplingFeatureDescription:  "", SamplingFeatureGeotypeCV:  Point, FeatureGeometry:  "", Elevation_m:  "", ElevationDatumCV:  ""}</v>
      </c>
      <c r="X4" s="26" t="str">
        <f>IF(AND(NumIGSNs=0,COUNTIF(DataColumns[ColumnType],"SpecimenIGSN")=0),"",
IF(ROW()-3&gt;NumIGSNs+NumSpecimens,"",
IF(ROW()-3&gt;NumIGSNs,
IF(ISERROR(MATCH("SpecimenIGSN",DataColumns[ColumnType],0)),"",
IF(S4="","",
CONCATENATE("  - {",
"SamplingFeatureObj:  *SamplingFeatureID",TEXT(ROW()-2-NumIGSNs+NumParentSamplingFeatures-1,"00000"),
", ExternalIdentifierSystemObj:  *ExternalIdentifierSystemID00003",
", SamplingFeatureExternalIdentifier:  ",CHAR(34),S4,CHAR(34),
", SamplingFeatureExternalIdentifierURI:  ",CHAR(34),"http://app.geosamples.org/sample/igsn/",S4,CHAR(34),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4"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4" s="26" t="e">
        <f>IF(ROW()-4&gt;NumParentSpecimens+NumSpecimens,"",
IF(ROW()-3&gt;NumParentSpecimens,
CONCATENATE("  - {",
"SamplingFeatureObj:  *SamplingFeatureID",TEXT(ROW()-3+NumParentSamplingFeatures,"00000"),
", SpecimenTypeCV:  ",CHAR(34),T4,CHAR(34),
", SpecimenMediumCV:  ",CHAR(34),U4,CHAR(34),
", IsFieldSpecimen:  ",CHAR(34),V4,CHAR(34),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4"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4" s="26" t="str">
        <f>CONCATENATE("*SamplingFeatureID",TEXT(ROW()-2-NumRelatedFeatures+NumParentSamplingFeatures-1,"00000"))</f>
        <v>*SamplingFeatureID00001</v>
      </c>
      <c r="AC4"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4"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4"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4" s="26" t="e">
        <f>IF(AND(NumRelatedFeatures=0,MATCH("ParentSamplingFeatureCode",SpecimenColumnFinder[DataType],0)="NOT GIVEN"),"",
IF(ROW()-3&gt;NumRelatedFeatures+NumSpecimens,"",
IF(ROW()-3&gt;NumRelatedFeatures,
IF(AD4="NO RELATED FEATURE","",
CONCATENATE("  - {",
"SamplingFeatureObj:  ",AB4,
", RelationshipTypeCV:  ",CHAR(34),AC4,CHAR(34),
", RelatedFeatureObj: ",AD4,
", SpatialOffsetObj:  ",IF(AE4="","NULL",AE4),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#N/A</v>
      </c>
      <c r="AG4" s="26" t="str">
        <f>IF(INDEX(Methods[Method Type],ROW()-3)="","PLEASE FILL IN AT LEAST ONE METHOD",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PLEASE FILL IN AT LEAST ONE METHOD</v>
      </c>
      <c r="AH4" s="26" t="str">
        <f>IF(INDEX(Variables[Variable Type],ROW()-3)="","PLEASE FILL IN AT LEAST ONE VARIABLE",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PLEASE FILL IN AT LEAST ONE VARIABLE</v>
      </c>
      <c r="AJ4"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4" s="26" t="str">
        <f>IF(INDEX(ProcessingLevels[Processing Level Code],ROW()-3)="","PLEASE FILL IN AT LEAST ONE PROCESSING LEVEL",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PLEASE FILL IN AT LEAST ONE PROCESSING LEVEL</v>
      </c>
      <c r="AL4"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4"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4"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4"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4" s="26" t="str">
        <f t="shared" ref="AP4:AP8" si="1">CONCATENATE("*SamplingFeatureID",TEXT(ROW()-3+NumParentSamplingFeatures,"00000"))</f>
        <v>*SamplingFeatureID00001</v>
      </c>
      <c r="AQ4" s="26" t="e">
        <f>IF(ROW()-3&gt;NumSpecimens,"",
CONCATENATE("  - &amp;ActionID",TEXT(ROW()-3,"00000"),
" {","ActionTypeCV:  ",CHAR(34),"Specimen collection",CHAR(34),
", MethodObj: ",AL4,
", BeginDateTime:  ",CHAR(34),AM4,CHAR(34),
", BeginDateTimeUTCOffset:  ",CHAR(34),AN4,CHAR(34),
", EndDateTime:  ","NULL",
", EndDateTimeUTCOffset:  ","NULL",
", ActionDescription:  ",CHAR(34),"Action generated by Excel Template for ",TemplateProfile," v.",TemplateVersion,CHAR(34),
", ActionFileLink:  ",CHAR(34),CHAR(34),
,"}"))</f>
        <v>#N/A</v>
      </c>
      <c r="AR4" s="26">
        <v>1</v>
      </c>
      <c r="AS4" s="26" t="e">
        <f>INDEX(ResultColumnFinder[Data Value Label],MATCH($AR4,ResultColumnFinder[DV Num],1))</f>
        <v>#N/A</v>
      </c>
      <c r="AT4" s="26" t="str">
        <f>IF(INDEX(ResultColumnFinder[First Value Address],MATCH(CONCATENATE("ResultValue",$AR4),ResultColumnFinder[Concat2],0))="NOT GIVEN",
"",
IF(OFFSET(INDIRECT(INDEX(ResultColumnFinder[First Value Address],MATCH(CONCATENATE("ResultValue",$AR4),ResultColumnFinder[Concat2],0)),FALSE),ROW()-4-($AR4-1)*NumSpecimens,0)="",
"",
OFFSET(INDIRECT(INDEX(ResultColumnFinder[First Value Address],MATCH(CONCATENATE("ResultValue",$AR4),ResultColumnFinder[Concat2],0)),FALSE),ROW()-4-($AR4-1)*NumSpecimens,0))
)</f>
        <v/>
      </c>
      <c r="AU4" s="26" t="e">
        <f>IF(INDEX(ResultColumnFinder[First Value Address],MATCH(CONCATENATE("AnalysisMethodCode",$AR4),ResultColumnFinder[Concat2],0))="NOT GIVEN",
CONCATENATE("PLEASE FILL IN A VALID ANALYSIS METHOD CODE FOR ",$AS4),
IF(LEFT(INDEX(ResultColumnFinder[First Value Address],MATCH(CONCATENATE("AnalysisMethodCode",$AR4),ResultColumnFinder[Concat2],0)),14)="'Data Columns'",
IF(ISERROR(MATCH(INDIRECT(INDEX(ResultColumnFinder[First Value Address],MATCH(CONCATENATE("AnalysisMethodCode",$AR4),ResultColumnFinder[Concat2],0)),FALSE),Methods[Method Code],0)),
CONCATENATE("PLEASE FILL IN A VALID ANALYSIS METHOD CODE FOR ",$AS4),
CONCATENATE("*MethodID",TEXT(MATCH(INDIRECT(INDEX(ResultColumnFinder[First Value Address],MATCH(CONCATENATE("AnalysisMethodCode",$AR4),ResultColumnFinder[Concat2],0)),FALSE),Methods[Method Code],0),"00000"))),
IF(ISERROR(MATCH(OFFSET(INDIRECT(INDEX(ResultColumnFinder[First Value Address],MATCH(CONCATENATE("AnalysisMethodCode",$AR4),ResultColumnFinder[Concat2],0)),FALSE),ROW()-4-($AR4-1)*NumSpecimens,0),Methods[Method Code],0)),
CONCATENATE("PLEASE SPECIFY A VALID ANALYSIS METHOD CODE FOR ",$AS4," IN ROW ",ROW()-4-($AR4-1)*NumSpecimens),
CONCATENATE("*MethodID",TEXT(MATCH(OFFSET(INDIRECT(INDEX(ResultColumnFinder[First Value Address],MATCH(CONCATENATE("AnalysisMethodCode",$AR4),ResultColumnFinder[Concat2],0)),FALSE),ROW()-4-($AR4-1)*NumSpecimens,0),Methods[Method Code],0),"00000")))))</f>
        <v>#N/A</v>
      </c>
      <c r="AV4" s="26" t="str">
        <f>IF(INDEX(ResultColumnFinder[First Value Address],MATCH(CONCATENATE("AnalysisDateTime",$AR4),ResultColumnFinder[Concat2],0))="NOT GIVEN",
"",
IF(OFFSET(INDIRECT(INDEX(ResultColumnFinder[First Value Address],MATCH(CONCATENATE("AnalysisDateTime",$AR4),ResultColumnFinder[Concat2],0)),FALSE),ROW()-4-($AR4-1)*NumSpecimens,0)="",
CONCATENATE("PLEASE SPECIFY AN ANALYSIS TIME FOR ",$AS4," IN ROW ",ROW()-4-($AR4-1)*NumSpecimens),
TEXT(OFFSET(INDIRECT(INDEX(ResultColumnFinder[First Value Address],MATCH(CONCATENATE("AnalysisDateTime",$AR4),ResultColumnFinder[Concat2],0)),FALSE),ROW()-4-($AR4-1)*NumSpecimens,0),"yyyy-mm-dd hh:mm:ss")))</f>
        <v/>
      </c>
      <c r="AW4" s="26" t="e">
        <f>IF(INDEX(ResultColumnFinder[First Value Address],MATCH(CONCATENATE("AnalysisDateTimeUTCOffset",$AR4),ResultColumnFinder[Concat2],0))="NOT GIVEN",
"",
IF(LEFT(INDEX(ResultColumnFinder[First Value Address],MATCH(CONCATENATE("AnalysisDateTimeUTCOffset",$AR4),ResultColumnFinder[Concat2],0)),14)="'Data Columns'",
IF(INDIRECT(INDEX(ResultColumnFinder[First Value Address],MATCH(CONCATENATE("AnalysisDateTimeUTCOffset",$AR4),ResultColumnFinder[Concat2],0)),FALSE)="",
CONCATENATE("PLEASE FILL IN AN ANALYSIS TIME UTC OFFSET FOR ",$AS4),
INDIRECT(INDEX(ResultColumnFinder[First Value Address],MATCH(CONCATENATE("AnalysisDateTimeUTCOffset",$AR4),ResultColumnFinder[Concat2],0)),FALSE)),
IF(OFFSET(INDIRECT(INDEX(ResultColumnFinder[First Value Address],MATCH(CONCATENATE("AnalysisDateTimeUTCOffset",$AR4),ResultColumnFinder[Concat2],0)),FALSE),ROW()-4-($AR4-1)*NumSpecimens,0)="",
CONCATENATE("PLEASE SPECIFY AN ANALYSIS TIME UTC OFFSET FOR ",$AS4," IN ROW ",ROW()-4-($AR4-1)*NumSpecimens),
OFFSET(INDIRECT(INDEX(ResultColumnFinder[First Value Address],MATCH(CONCATENATE("AnalysisDateTimeUTCOffset",$AR4),ResultColumnFinder[Concat2],0)),FALSE),ROW()-4-($AR4-1)*NumSpecimens,0))))</f>
        <v>#N/A</v>
      </c>
      <c r="AX4" s="26" t="e">
        <f>IF(INDEX(ResultColumnFinder[First Value Address],MATCH(CONCATENATE("ResultAnalyst",$AR4),ResultColumnFinder[Concat2],0))="NOT GIVEN",
"",
IF(LEFT(INDEX(ResultColumnFinder[First Value Address],MATCH(CONCATENATE("ResultAnalyst",$AR4),ResultColumnFinder[Concat2],0)),14)="'Data Columns'",
IF(ISERROR(MATCH(INDIRECT(INDEX(ResultColumnFinder[First Value Address],MATCH(CONCATENATE("ResultAnalyst",$AR4),ResultColumnFinder[Concat2],0)),FALSE),People[Full Name],0)),
CONCATENATE("PLEASE FILL IN A VALID ANALYST FOR ",$AS4),
CONCATENATE("*AffiliationID",TEXT(MATCH(INDIRECT(INDEX(ResultColumnFinder[First Value Address],MATCH(CONCATENATE("ResultAnalyst",$AR4),ResultColumnFinder[Concat2],0)),FALSE),People[Full Name],0),"00000"))),
IF(OFFSET(INDIRECT(INDEX(ResultColumnFinder[First Value Address],MATCH(CONCATENATE("ResultAnalyst",$AR4),ResultColumnFinder[Concat2],0)),FALSE),ROW()-4-($AR4-1)*NumSpecimens,0)="",
"",
IF(ISERROR(MATCH(OFFSET(INDIRECT(INDEX(ResultColumnFinder[First Value Address],MATCH(CONCATENATE("ResultAnalyst",$AR4),ResultColumnFinder[Concat2],0)),FALSE),ROW()-4-($AR4-1)*NumSpecimens,0),People[Full Name],0)),
CONCATENATE("PLEASE SPECIFY A VALID ANALYST FOR ",$AS4," IN ROW ",ROW()-4-($AR4-1)*NumSpecimens),
CONCATENATE("*AffiliationID",TEXT(MATCH(OFFSET(INDIRECT(INDEX(ResultColumnFinder[First Value Address],MATCH(CONCATENATE("ResultAnalyst",$AR4),ResultColumnFinder[Concat2],0)),FALSE),ROW()-4-($AR4-1)*NumSpecimens,0),People[Full Name],0),"00000"))))))</f>
        <v>#N/A</v>
      </c>
      <c r="AY4" s="26" t="str">
        <f t="shared" ref="AY4:AY8" si="2">CONCATENATE("*SamplingFeatureID",TEXT(ROW()-3-($AR4-1)*NumSpecimens+NumParentSamplingFeatures,"00000"))</f>
        <v>*SamplingFeatureID00001</v>
      </c>
      <c r="AZ4" s="26" t="str">
        <f>IF(ROW()-3&gt;NumDataColumns*NumSpecimens,"",
IF(AT4="","",
CONCATENATE("  - &amp;ActionID",TEXT(ROW()-3+NumSpecimens,"00000"),
" {","ActionTypeCV:  ",CHAR(34),"Specimen analysis",CHAR(34),
", MethodObj: ",AU4,
", BeginDateTime:  ",CHAR(34),AV4,CHAR(34),
", BeginDateTimeUTCOffset:  ",CHAR(34),AW4,CHAR(34),
", EndDateTime:  ","NULL",
", EndDateTimeUTCOffset:  ","NULL",
", ActionDescription:  ",CHAR(34),"Action generated by Excel Template for ",TemplateProfile," v.",TemplateVersion,CHAR(34),
", ActionFileLink:  ","NULL",
,"}")))</f>
        <v/>
      </c>
      <c r="BA4" s="26" t="str">
        <f>IF(ROW()-3&gt;NumSpecimens,"",
CONCATENATE("  - &amp;FeatureActionID",TEXT(ROW()-3,"00000"),
" {","SamplingFeatureObj:  ",AP4,
", ActionObj:  *ActionID",TEXT(ROW()-3,"00000"),"}"))</f>
        <v xml:space="preserve">  - &amp;FeatureActionID00001 {SamplingFeatureObj:  *SamplingFeatureID00001, ActionObj:  *ActionID00001}</v>
      </c>
      <c r="BB4" s="26" t="str">
        <f>IF(ROW()-3&gt;NumDataColumns*NumSpecimens,"",
IF(AT4="","",
CONCATENATE("  - &amp;FeatureActionID",TEXT(ROW()-3+NumSpecimens,"00000"),
" {","SamplingFeatureObj:  ",AY4,
", ActionObj:  *ActionID",TEXT(ROW()-3+NumSpecimens,"00000"),"}")))</f>
        <v/>
      </c>
      <c r="BC4" s="26" t="e">
        <f>IF(ROW()-3&gt;NumSpecimens,"",
IF(AO4="","",
CONCATENATE("  - {",
"ActionObj:  *ActionID",TEXT(ROW()-3,"00000"),
", AffiliationObj:  ",AO4,
", IsActionLead: TRUE",
", RoleDescription: ","NULL",
"}")))</f>
        <v>#N/A</v>
      </c>
      <c r="BD4" s="26" t="str">
        <f>IF(ROW()-3&gt;NumDataColumns*NumSpecimens,"",
IF(AT4="","",
IF(AX4="","",
CONCATENATE("  - {",
"ActionObj:  *ActionID",TEXT(ROW()-3+NumSpecimens,"00000"),
", AffiliationObj:  ",AX4,
", IsActionLead: TRUE",
", RoleDescription: ","NULL",
"}"))))</f>
        <v/>
      </c>
      <c r="BE4" s="26" t="str">
        <f>IF(INDEX(ResultColumnFinder[First Value Address],MATCH(CONCATENATE("ResultUUID",$AR4),ResultColumnFinder[Concat2],0))="NOT GIVEN",
"",
IF(OFFSET(INDIRECT(INDEX(ResultColumnFinder[First Value Address],MATCH(CONCATENATE("ResultUUID",$AR4),ResultColumnFinder[Concat2],0)),FALSE),ROW()-4-($AR4-1)*NumSpecimens,0)="",
"",
OFFSET(INDIRECT(INDEX(ResultColumnFinder[First Value Address],MATCH(CONCATENATE("ResultUUID",$AR4),ResultColumnFinder[Concat2],0)),FALSE),ROW()-4-($AR4-1)*NumSpecimens,0))
)</f>
        <v/>
      </c>
      <c r="BF4" s="26" t="e">
        <f>IF(INDEX(ResultColumnFinder[First Value Address],MATCH(CONCATENATE("ResultTypeCV",$AR4),ResultColumnFinder[Concat2],0))="NOT GIVEN",
"PLEASE NOTE: A  RESULT TYPE MUST BE SPECIFIED FOR EACH RESULT",
IF(LEFT(INDEX(ResultColumnFinder[First Value Address],MATCH(CONCATENATE("ResultTypeCV",$AR4),ResultColumnFinder[Concat2],0)),14)="'Data Columns'",
IF(COUNTIF(ResultTypeCV,INDIRECT(INDEX(ResultColumnFinder[First Value Address],MATCH(CONCATENATE("ResultTypeCV",$AR4),ResultColumnFinder[Concat2],0)),FALSE))=0,
CONCATENATE("PLEASE FILL IN A VALID  RESULT TYPE FOR ",$AS4),
INDIRECT(INDEX(ResultColumnFinder[First Value Address],MATCH(CONCATENATE("ResultTypeCV",$AR4),ResultColumnFinder[Concat2],0)),FALSE)),
IF(COUNTIF(ResultTypeCV,OFFSET(INDIRECT(INDEX(ResultColumnFinder[First Value Address],MATCH(CONCATENATE("ResultTypeCV",$AR4),ResultColumnFinder[Concat2],0)),FALSE),ROW()-4-($AR4-1)*NumSpecimens,0))=0,
CONCATENATE("PLEASE SPECIFY A VALID  RESULT TYPE FOR ",$AS4," IN ROW ",ROW()-4-($AR4-1)*NumSpecimens),
OFFSET(INDIRECT(INDEX(ResultColumnFinder[First Value Address],MATCH(CONCATENATE("ResultTypeCV",$AR4),ResultColumnFinder[Concat2],0)),FALSE),ROW()-4-($AR4-1)*NumSpecimens,0))
))</f>
        <v>#N/A</v>
      </c>
      <c r="BG4" s="26" t="e">
        <f>IF(INDEX(ResultColumnFinder[First Value Address],MATCH(CONCATENATE("VariableCode",$AR4),ResultColumnFinder[Concat2],0))="NOT GIVEN",
"PLEASE NOTE: A VARIABLE CODE MUST BE SPECIFIED FOR EACH RESULT",
IF(LEFT(INDEX(ResultColumnFinder[First Value Address],MATCH(CONCATENATE("VariableCode",$AR4),ResultColumnFinder[Concat2],0)),14)="'Data Columns'",
IF(ISERROR(MATCH(INDIRECT(INDEX(ResultColumnFinder[First Value Address],MATCH(CONCATENATE("VariableCode",$AR4),ResultColumnFinder[Concat2],0)),FALSE),Variables[Variable Code],0)),
CONCATENATE("PLEASE FILL IN A VALID VARIABLE CODE FOR ",$AS4),
CONCATENATE("*VariableID",TEXT(MATCH(INDIRECT(INDEX(ResultColumnFinder[First Value Address],MATCH(CONCATENATE("VariableCode",$AR4),ResultColumnFinder[Concat2],0)),FALSE),Variables[Variable Code],0),"00000"))),
IF(ISERROR(MATCH(OFFSET(INDIRECT(INDEX(ResultColumnFinder[First Value Address],MATCH(CONCATENATE("VariableCode",$AR4),ResultColumnFinder[Concat2],0)),FALSE),ROW()-4-($AR4-1)*NumSpecimens,0),Variables[Variable Code],0)),
CONCATENATE("PLEASE SPECIFY A VALID VARIABLE CODE FOR ",$AS4," IN ROW ",ROW()-4-($AR4-1)*NumSpecimens),
CONCATENATE("*VariableID",TEXT(MATCH(OFFSET(INDIRECT(INDEX(ResultColumnFinder[First Value Address],MATCH(CONCATENATE("VariableCode",$AR4),ResultColumnFinder[Concat2],0)),FALSE),ROW()-4-($AR4-1)*NumSpecimens,0),Variables[Variable Code],0),"00000")))))</f>
        <v>#N/A</v>
      </c>
      <c r="BH4" s="26" t="e">
        <f>IF(INDEX(ResultColumnFinder[First Value Address],MATCH(CONCATENATE("UnitName",$AR4),ResultColumnFinder[Concat2],0))="NOT GIVEN",
"PLEASE NOTE: A UNIT MUST BE SPECIFIED FOR EACH RESULT",
IF(LEFT(INDEX(ResultColumnFinder[First Value Address],MATCH(CONCATENATE("UnitName",$AR4),ResultColumnFinder[Concat2],0)),14)="'Data Columns'",
IF(INDIRECT(INDEX(ResultColumnFinder[First Value Address],MATCH(CONCATENATE("UnitName",$AR4),ResultColumnFinder[Concat2],0)),FALSE)="",
CONCATENATE("PLEASE FILL IN A UNIT FOR ",$AS4),
INDIRECT(INDEX(ResultColumnFinder[First Value Address],MATCH(CONCATENATE("UnitName",$AR4),ResultColumnFinder[Concat2],0)),FALSE)),
IF(OFFSET(INDIRECT(INDEX(ResultColumnFinder[First Value Address],MATCH(CONCATENATE("UnitName",$AR4),ResultColumnFinder[Concat2],0)),FALSE),ROW()-4-($AR4-1)*NumSpecimens,0)="",
CONCATENATE("PLEASE SPECIFY A UNIT FOR ",$AS4," IN ROW ",ROW()-4-($AR4-1)*NumSpecimens),
OFFSET(INDIRECT(INDEX(ResultColumnFinder[First Value Address],MATCH(CONCATENATE("UnitName",$AR4),ResultColumnFinder[Concat2],0)),FALSE),ROW()-4-($AR4-1)*NumSpecimens,0))
))</f>
        <v>#N/A</v>
      </c>
      <c r="BI4" s="26" t="e">
        <f>IF(INDEX(ResultColumnFinder[First Value Address],MATCH(CONCATENATE("TaxonomicClassifierName",$AR4),ResultColumnFinder[Concat2],0))="NOT GIVEN",
"",
IF(LEFT(INDEX(ResultColumnFinder[First Value Address],MATCH(CONCATENATE("TaxonomicClassifierName",$AR4),ResultColumnFinder[Concat2],0)),14)="'Data Columns'",
IF(ISERROR(MATCH(INDIRECT(INDEX(ResultColumnFinder[First Value Address],MATCH(CONCATENATE("TaxonomicClassifierName",$AR4),ResultColumnFinder[Concat2],0)),FALSE),TaxonomicClassifiers[Taxonomic Classifier Name],0)),
"",
CONCATENATE("*VariableID",TEXT(MATCH(INDIRECT(INDEX(ResultColumnFinder[First Value Address],MATCH(CONCATENATE("TaxonomicClassifierName",$AR4),ResultColumnFinder[Concat2],0)),FALSE),TaxonomicClassifiers[Taxonomic Classifier Name],0),"00000"))),
IF(ISERROR(MATCH(OFFSET(INDIRECT(INDEX(ResultColumnFinder[First Value Address],MATCH(CONCATENATE("TaxonomicClassifierName",$AR4),ResultColumnFinder[Concat2],0)),FALSE),ROW()-4-($AR4-1)*NumSpecimens,0),TaxonomicClassifiers[Taxonomic Classifier Name],0)),
"",
CONCATENATE("*VariableID",TEXT(MATCH(OFFSET(INDIRECT(INDEX(ResultColumnFinder[First Value Address],MATCH(CONCATENATE("TaxonomicClassifierName",$AR4),ResultColumnFinder[Concat2],0)),FALSE),ROW()-4-($AR4-1)*NumSpecimens,0),TaxonomicClassifiers[Taxonomic Classifier Name],0),"00000")))))</f>
        <v>#N/A</v>
      </c>
      <c r="BJ4" s="26" t="e">
        <f>IF(INDEX(ResultColumnFinder[First Value Address],MATCH(CONCATENATE("ProcessingLevelCode",$AR4),ResultColumnFinder[Concat2],0))="NOT GIVEN",
"PLEASE NOTE: A PROCESSING LEVEL CODE MUST BE SPECIFIED FOR EACH RESULT",
IF(LEFT(INDEX(ResultColumnFinder[First Value Address],MATCH(CONCATENATE("ProcessingLevelCode",$AR4),ResultColumnFinder[Concat2],0)),14)="'Data Columns'",
IF(ISERROR(MATCH(INDIRECT(INDEX(ResultColumnFinder[First Value Address],MATCH(CONCATENATE("ProcessingLevelCode",$AR4),ResultColumnFinder[Concat2],0)),FALSE),ProcessingLevels[Processing Level Code],0)),
CONCATENATE("PLEASE FILL IN A VALID PROCESSING LEVEL CODE FOR ",$AS4),
CONCATENATE("*ProcessingLevelID",TEXT(MATCH(INDIRECT(INDEX(ResultColumnFinder[First Value Address],MATCH(CONCATENATE("ProcessingLevelCode",$AR4),ResultColumnFinder[Concat2],0)),FALSE),ProcessingLevels[Processing Level Code],0),"00000"))),
IF(ISERROR(MATCH(OFFSET(INDIRECT(INDEX(ResultColumnFinder[First Value Address],MATCH(CONCATENATE("ProcessingLevelCode",$AR4),ResultColumnFinder[Concat2],0)),FALSE),ROW()-4-($AR4-1)*NumSpecimens,0),ProcessingLevels[Processing Level Code],0)),
CONCATENATE("PLEASE SPECIFY A VALID PROCESSING LEVEL CODE FOR ",$AS4," IN ROW ",ROW()-4-($AR4-1)*NumSpecimens),
CONCATENATE("*ProcessingLevelID",TEXT(MATCH(OFFSET(INDIRECT(INDEX(ResultColumnFinder[First Value Address],MATCH(CONCATENATE("ProcessingLevelCode",$AR4),ResultColumnFinder[Concat2],0)),FALSE),ROW()-4-($AR4-1)*NumSpecimens,0),ProcessingLevels[Processing Level Code],0),"00000")))))</f>
        <v>#N/A</v>
      </c>
      <c r="BK4"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Address],MATCH("CollectionDateTime",SpecimenColumnFinder[DataType],0)),FALSE),ROW()-4-($AR4-1)*NumSpecimens,0)="",
CONCATENATE("PLEASE SPECIFY A SPECIMEN COLLECTION DATE/TIME IN ROW ",ROW()-4-($AR4-1)*NumSpecimens),
TEXT(OFFSET(INDIRECT(INDEX(SpecimenColumnFinder[First Value Address],MATCH("CollectionDateTime",SpecimenColumnFinder[DataType],0)),FALSE),ROW()-4-($AR4-1)*NumSpecimens,0),"yyyy-mm-dd hh:mm:ss")))</f>
        <v>PLEASE NOTE: THE SPECIMEN COLLECTION DATE/TIME MUST BE SPECIFIED</v>
      </c>
      <c r="BL4"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Address],MATCH("CollectionDateTimeUTCOffset",SpecimenColumnFinder[DataType],0)),FALSE),ROW()-4-($AR4-1)*NumSpecimens,0)="",
CONCATENATE("PLEASE SPECIFY A COLLECTION TIME UTC OFFSET IN ROW ",ROW()-4-($AR4-1)*NumSpecimens),
OFFSET(INDIRECT(INDEX(SpecimenColumnFinder[First Value Address],MATCH("CollectionDateTimeUTCOffset",SpecimenColumnFinder[DataType],0)),FALSE),ROW()-4-($AR4-1)*NumSpecimens,0)))</f>
        <v>#N/A</v>
      </c>
      <c r="BM4" s="26" t="e">
        <f>IF(INDEX(ResultColumnFinder[First Value Address],MATCH(CONCATENATE("SampledMediumCV",$AR4),ResultColumnFinder[Concat2],0))="NOT GIVEN",
"PLEASE NOTE: A SAMPLED MEDIUM MUST BE SPECIFIED FOR EACH RESULT",
IF(LEFT(INDEX(ResultColumnFinder[First Value Address],MATCH(CONCATENATE("SampledMediumCV",$AR4),ResultColumnFinder[Concat2],0)),14)="'Data Columns'",
IF(COUNTIF(SampledMediumCV,INDIRECT(INDEX(ResultColumnFinder[First Value Address],MATCH(CONCATENATE("SampledMediumCV",$AR4),ResultColumnFinder[Concat2],0)),FALSE))=0,
CONCATENATE("PLEASE FILL IN A VALID SAMPLED MEDIUM FOR ",$AS4),
INDIRECT(INDEX(ResultColumnFinder[First Value Address],MATCH(CONCATENATE("SampledMediumCV",$AR4),ResultColumnFinder[Concat2],0)),FALSE)),
IF(COUNTIF(SampledMediumCV,OFFSET(INDIRECT(INDEX(ResultColumnFinder[First Value Address],MATCH(CONCATENATE("SampledMediumCV",$AR4),ResultColumnFinder[Concat2],0)),FALSE),ROW()-4-($AR4-1)*NumSpecimens,0))=0,
CONCATENATE("PLEASE SPECIFY A VALID SAMPLED MEDIUM FOR ",$AS4," IN ROW ",ROW()-4-($AR4-1)*NumSpecimens),
OFFSET(INDIRECT(INDEX(ResultColumnFinder[First Value Address],MATCH(CONCATENATE("SampledMediumCV",$AR4),ResultColumnFinder[Concat2],0)),FALSE),ROW()-4-($AR4-1)*NumSpecimens,0))
))</f>
        <v>#N/A</v>
      </c>
      <c r="BN4" s="26" t="e">
        <f>IF(BF4&lt;&gt;"Measurement","",
IF(INDEX(ResultColumnFinder[First Value Address],MATCH(CONCATENATE("CensorCodeCV",$AR4),ResultColumnFinder[Concat2],0))="NOT GIVEN",
"PLEASE NOTE: A CENSOR CODE MUST BE SPECIFIED FOR EACH RESULT",
IF(LEFT(INDEX(ResultColumnFinder[First Value Address],MATCH(CONCATENATE("CensorCodeCV",$AR4),ResultColumnFinder[Concat2],0)),14)="'Data Columns'",
IF(COUNTIF(CensorCodeCV,INDIRECT(INDEX(ResultColumnFinder[First Value Address],MATCH(CONCATENATE("CensorCodeCV",$AR4),ResultColumnFinder[Concat2],0)),FALSE))=0,
CONCATENATE("PLEASE FILL IN A VALID CENSOR CODE FOR ",$AS4),
INDIRECT(INDEX(ResultColumnFinder[First Value Address],MATCH(CONCATENATE("CensorCodeCV",$AR4),ResultColumnFinder[Concat2],0)),FALSE)),
IF(COUNTIF(CensorCodeCV,OFFSET(INDIRECT(INDEX(ResultColumnFinder[First Value Address],MATCH(CONCATENATE("CensorCodeCV",$AR4),ResultColumnFinder[Concat2],0)),FALSE),ROW()-4-($AR4-1)*NumSpecimens,0))=0,
CONCATENATE("PLEASE SPECIFY A VALID CENSOR CODE FOR ",$AS4," IN ROW ",ROW()-4-($AR4-1)*NumSpecimens),
OFFSET(INDIRECT(INDEX(ResultColumnFinder[First Value Address],MATCH(CONCATENATE("CensorCodeCV",$AR4),ResultColumnFinder[Concat2],0)),FALSE),ROW()-4-($AR4-1)*NumSpecimens,0))
)))</f>
        <v>#N/A</v>
      </c>
      <c r="BO4" s="26" t="e">
        <f>IF(INDEX(ResultColumnFinder[First Value Address],MATCH(CONCATENATE("QualityCodeCV",$AR4),ResultColumnFinder[Concat2],0))="NOT GIVEN",
"PLEASE NOTE: A QUALITY CODE MUST BE SPECIFIED FOR EACH RESULT",
IF(LEFT(INDEX(ResultColumnFinder[First Value Address],MATCH(CONCATENATE("QualityCodeCV",$AR4),ResultColumnFinder[Concat2],0)),14)="'Data Columns'",
IF(COUNTIF(QualityCodeCV,INDIRECT(INDEX(ResultColumnFinder[First Value Address],MATCH(CONCATENATE("QualityCodeCV",$AR4),ResultColumnFinder[Concat2],0)),FALSE))=0,
CONCATENATE("PLEASE FILL IN A VALID QUALITY CODE FOR ",$AS4),
INDIRECT(INDEX(ResultColumnFinder[First Value Address],MATCH(CONCATENATE("QualityCodeCV",$AR4),ResultColumnFinder[Concat2],0)),FALSE)),
IF(COUNTIF(QualityCodeCV,OFFSET(INDIRECT(INDEX(ResultColumnFinder[First Value Address],MATCH(CONCATENATE("QualityCodeCV",$AR4),ResultColumnFinder[Concat2],0)),FALSE),ROW()-4-($AR4-1)*NumSpecimens,0))=0,
CONCATENATE("PLEASE SPECIFY A VALID QUALITY CODE FOR ",$AS4," IN ROW ",ROW()-4-($AR4-1)*NumSpecimens),
OFFSET(INDIRECT(INDEX(ResultColumnFinder[First Value Address],MATCH(CONCATENATE("QualityCodeCV",$AR4),ResultColumnFinder[Concat2],0)),FALSE),ROW()-4-($AR4-1)*NumSpecimens,0))
))</f>
        <v>#N/A</v>
      </c>
      <c r="BP4" s="26" t="e">
        <f>IF(BF4&lt;&gt;"Measurement","",
IF(INDEX(ResultColumnFinder[First Value Address],MATCH(CONCATENATE("AggregationStatisticCV",$AR4),ResultColumnFinder[Concat2],0))="NOT GIVEN",
"PLEASE NOTE: AN AGGREGATION STATISTIC MUST BE SPECIFIED FOR EACH MEASUREMENT RESULT",
IF(LEFT(INDEX(ResultColumnFinder[First Value Address],MATCH(CONCATENATE("AggregationStatisticCV",$AR4),ResultColumnFinder[Concat2],0)),14)="'Data Columns'",
IF(COUNTIF(AggregationStatisticCV,INDIRECT(INDEX(ResultColumnFinder[First Value Address],MATCH(CONCATENATE("AggregationStatisticCV",$AR4),ResultColumnFinder[Concat2],0)),FALSE))=0,
CONCATENATE("PLEASE FILL IN A VALID AGGREGATION STATISTIC FOR ",$AS4),
INDIRECT(INDEX(ResultColumnFinder[First Value Address],MATCH(CONCATENATE("AggregationStatisticCV",$AR4),ResultColumnFinder[Concat2],0)),FALSE)),
IF(COUNTIF(AggregationStatisticCV,OFFSET(INDIRECT(INDEX(ResultColumnFinder[First Value Address],MATCH(CONCATENATE("AggregationStatisticCV",$AR4),ResultColumnFinder[Concat2],0)),FALSE),ROW()-4-($AR4-1)*NumSpecimens,0))=0,
CONCATENATE("PLEASE SPECIFY A VALID AGGREGATION STATISTIC FOR ",$AS4," IN ROW ",ROW()-4-($AR4-1)*NumSpecimens),
OFFSET(INDIRECT(INDEX(ResultColumnFinder[First Value Address],MATCH(CONCATENATE("AggregationStatisticCV",$AR4),ResultColumnFinder[Concat2],0)),FALSE),ROW()-4-($AR4-1)*NumSpecimens,0))
)))</f>
        <v>#N/A</v>
      </c>
      <c r="BQ4" s="26" t="e">
        <f>IF(BF4&lt;&gt;"Measurement","",
IF(INDEX(ResultColumnFinder[First Value Address],MATCH(CONCATENATE("TimeAggregationInterval",$AR4),ResultColumnFinder[Concat2],0))="NOT GIVEN",
"PLEASE NOTE: A TIME AGGREGATION INTERVAL MUST BE SPECIFIED FOR EACH RESULT",
IF(LEFT(INDEX(ResultColumnFinder[First Value Address],MATCH(CONCATENATE("TimeAggregationInterval",$AR4),ResultColumnFinder[Concat2],0)),14)="'Data Columns'",
IF(INDIRECT(INDEX(ResultColumnFinder[First Value Address],MATCH(CONCATENATE("TimeAggregationInterval",$AR4),ResultColumnFinder[Concat2],0)),FALSE)="",
CONCATENATE("PLEASE FILL IN A TIME AGGREGATION INTERVAL FOR ",$AS4),
INDIRECT(INDEX(ResultColumnFinder[First Value Address],MATCH(CONCATENATE("TimeAggregationInterval",$AR4),ResultColumnFinder[Concat2],0)),FALSE)),
IF(OFFSET(INDIRECT(INDEX(ResultColumnFinder[First Value Address],MATCH(CONCATENATE("TimeAggregationInterval",$AR4),ResultColumnFinder[Concat2],0)),FALSE),ROW()-4-($AR4-1)*NumSpecimens,0)="",
CONCATENATE("PLEASE SPECIFY A TIME AGGREGATION INTERVAL FOR ",$AS4," IN ROW ",ROW()-4-($AR4-1)*NumSpecimens),
OFFSET(INDIRECT(INDEX(ResultColumnFinder[First Value Address],MATCH(CONCATENATE("TimeAggregationInterval",$AR4),ResultColumnFinder[Concat2],0)),FALSE),ROW()-4-($AR4-1)*NumSpecimens,0))
)))</f>
        <v>#N/A</v>
      </c>
      <c r="BR4" s="26" t="e">
        <f>IF(BF4&lt;&gt;"Measurement","",
IF(INDEX(ResultColumnFinder[First Value Address],MATCH(CONCATENATE("TimeAggregationIntervalUnitCode",$AR4),ResultColumnFinder[Concat2],0))="NOT GIVEN",
"PLEASE NOTE: A TIME AGGREGATION UNIT MUST BE SPECIFIED FOR EACH RESULT",
IF(LEFT(INDEX(ResultColumnFinder[First Value Address],MATCH(CONCATENATE("TimeAggregationIntervalUnitCode",$AR4),ResultColumnFinder[Concat2],0)),14)="'Data Columns'",
IF(INDIRECT(INDEX(ResultColumnFinder[First Value Address],MATCH(CONCATENATE("TimeAggregationIntervalUnitCode",$AR4),ResultColumnFinder[Concat2],0)),FALSE)="",
CONCATENATE("PLEASE FILL IN A TIME AGGREGATION UNIT FOR ",$AS4),
INDIRECT(INDEX(ResultColumnFinder[First Value Address],MATCH(CONCATENATE("TimeAggregationIntervalUnitCode",$AR4),ResultColumnFinder[Concat2],0)),FALSE)),
IF(OFFSET(INDIRECT(INDEX(ResultColumnFinder[First Value Address],MATCH(CONCATENATE("TimeAggregationIntervalUnitCode",$AR4),ResultColumnFinder[Concat2],0)),FALSE),ROW()-4-($AR4-1)*NumSpecimens,0)="",
CONCATENATE("PLEASE SPECIFY A TIME AGGREGATION UNIT FOR ",$AS4," IN ROW ",ROW()-4-($AR4-1)*NumSpecimens),
OFFSET(INDIRECT(INDEX(ResultColumnFinder[First Value Address],MATCH(CONCATENATE("TimeAggregationIntervalUnitCode",$AR4),ResultColumnFinder[Concat2],0)),FALSE),ROW()-4-($AR4-1)*NumSpecimens,0))
)))</f>
        <v>#N/A</v>
      </c>
      <c r="BS4" s="26" t="str">
        <f>IF(NumDataColumns=0,"PLEASE SELECT AT LEAST 1 COLUMN OF RESULT VALUES",
IF(AT4="","",
CONCATENATE("  - &amp;ResultID",TEXT(ROW()-3,"00000"),
" {","ResultUUID:  ",CHAR(34),BE4,CHAR(34),
", FeatureActionObj: *FeatureActionID",TEXT(ROW()-3,"00000"),
", ResultTypeCV:  ",CHAR(34),BF4,CHAR(34),
", VariableObj:  ",BG4,
", UnitsObj:  ",BH4,
", TaxonomicClassifierObj:  ",BI4,
", ProcessingLevelObj:  ",BJ4,
", ResultDateTime:  ",BK4,
", ResultDateTimeUTCOffset:  ",BL4,
", ValidDateTime:  ","NULL",
", ValidDateTimeUTCOffset:  ","NULL",
", StatusCV:  ","NULL",
", SampledMediumCV:  ",CHAR(34),BM4,CHAR(34),
", ValueCount:  ",1,"}")))</f>
        <v>PLEASE SELECT AT LEAST 1 COLUMN OF RESULT VALUES</v>
      </c>
      <c r="BT4" s="26" t="str">
        <f>IF(NumDataColumns=0,"THERE MUST BE AT LEAST ONE COLUMN OF DATA VALUES",
IF(AT4="","",
CONCATENATE("  - {DatasetObj: *DatasetID00001, ",
"ResultObj: *ResultID",TEXT(ROW()-3,"00000"),
"}")))</f>
        <v>THERE MUST BE AT LEAST ONE COLUMN OF DATA VALUES</v>
      </c>
      <c r="BU4" s="26" t="e">
        <f>IF(BF4&lt;&gt;"Measurement","",
IF(AT4="","",
CONCATENATE("  - &amp;MeasurementResultID",TEXT(ROW()-3,"00000"),
" {","ResultObj: *ResultID",TEXT(ROW()-3,"00000"),
", XLocation:  ","NULL",
", XLocationUnitsObj:  ","NULL",
", YLocation:  ","NULL",
", YLocationUnitsObj:  ","NULL",
", ZLocation:  ","NULL",
", ZLocationUnitsObj:  ","NULL",
", SpatialReferenceObj:  ","NULL",
", CensorCodeCV: ",CHAR(34),BN4,CHAR(34),
", QualityCodeCV:  ",CHAR(34),BO4,CHAR(34),
", AggregationStatisticCV:  ",CHAR(34),BP4,CHAR(34),
", TimeAggregationInterval:  ",BQ4,
", TimeAggregationUnitsObj:  ",CHAR(34),BR4,CHAR(34),
"}")))</f>
        <v>#N/A</v>
      </c>
      <c r="BV4" s="26" t="e">
        <f>IF(BF4&lt;&gt;"Measurement","",
IF(AT4="","",
CONCATENATE("  - &amp;MeasurementResultValueID",TEXT(ROW()-3,"00000"),
" {","MeasurementResultObj: *MeasurementResultID",TEXT(ROW()-3,"00000"),
", DataValue: ",AT4,
", ValueDateTime:  ",CHAR(34),BK4,CHAR(34),
", ValueDateTimeUTCOffset:  ",BL4,
"}")))</f>
        <v>#N/A</v>
      </c>
      <c r="BW4" s="26" t="e">
        <f>IF(BF4="Measurement","",
IF(AT4="","",
CONCATENATE("  - &amp;CategoricalResultID",TEXT(ROW()-3,"00000"),
" {","ResultObj: *ResultID",TEXT(ROW()-3,"00000"),
", XLocation:  ","NULL",
", XLocationUnitsObj:  ","NULL",
", YLocation:  ","NULL",
", YLocationUnitsObj:  ","NULL",
", ZLocation:  ","NULL",
", ZLocationUnitsObj:  ","NULL",
", SpatialReferenceObj:  ","NULL",
", QualityCodeCV:  ",CHAR(34),BO4,CHAR(34),
"}")))</f>
        <v>#N/A</v>
      </c>
      <c r="BX4" s="26" t="e">
        <f>IF(BF4="Measurement","",
IF(AT4="","",
CONCATENATE("  - &amp;CategoricalResultValueID",TEXT(ROW()-3,"00000"),
" {","MeasurementResultObj: *CategoricalResultID",TEXT(ROW()-3,"00000"),
", DataValue: ",AT4,
", ValueDateTime:  ",CHAR(34),BK4,CHAR(34),
", ValueDateTimeUTCOffset:  ",BL4,
"}")))</f>
        <v>#N/A</v>
      </c>
      <c r="CC4" s="26" t="s">
        <v>1205</v>
      </c>
      <c r="CD4" s="26">
        <f>SUM(B2:BX2)</f>
        <v>96</v>
      </c>
    </row>
    <row r="5" spans="1:82" x14ac:dyDescent="0.25">
      <c r="A5" s="26">
        <f t="shared" si="0"/>
        <v>2</v>
      </c>
      <c r="B5" s="26" t="str">
        <f>CONCATENATE("  - {",
"Version: ",CHAR(34),YODAVersion,CHAR(34),
", Profile: ",CHAR(34),TemplateProfile,CHAR(34),
", CreationTool: ",CHAR(34),"Excel Template v",TemplateVersion,CHAR(34),
", DateCreated: ",CHAR(34),TEXT(TODAY(),"yyyy-mm-dd"),CHAR(34),
", DateUpdated: ",CHAR(34),TEXT(TODAY(),"yyyy-mm-dd"),CHAR(34),
"}")</f>
        <v xml:space="preserve">  - {Version: "0.1.0", Profile: "Specimen", CreationTool: "Excel Template v0.1.0-alpha+20150427.163449", DateCreated: "2015-04-27", DateUpdated: "2015-04-27"}</v>
      </c>
      <c r="D5"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E5" s="26" t="str">
        <f>IF(AND(CitationDOI="",NumORCIDs=0,NumIGSNs=0),"",
CONCATENATE("  - &amp;OrganizationID",TEXT(NumOrganizations+ROW()-3+1,"00000"),
" {","OrganizationTypeCV:  ",CHAR(34),INDEX(ExternalIDOrgs[Organization Type '[CV']],ROW()-3+1),CHAR(34),
", OrganizationCode:  ",CHAR(34),INDEX(ExternalIDOrgs[Organization Code],ROW()-3+1),CHAR(34),
", OrganizationName:  ",CHAR(34),INDEX(ExternalIDOrgs[Organization Name],ROW()-3+1),CHAR(34),
", OrganizationDescription:  ",CHAR(34),INDEX(ExternalIDOrgs[Organization Description],ROW()-3+1),CHAR(34),
", OrganizationLink:  ",CHAR(34),INDEX(ExternalIDOrgs[Organization Link],ROW()-3+1),CHAR(34),"}"))</f>
        <v/>
      </c>
      <c r="F5"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&amp;ExternalIdentifierSystemID00002 {ExternalIdentifierSystemName:  "Digital Object Identifier (DOI)", IdentifierSystemOrganizationObj:  *OrganizationID00002, ExternalIdentifierSystemDescription:  "A Digital Identifier of an Object that provides an actionable, interoperable, persistent link to that object", ExternalIdentifierSystemURL:  "http://www.doi.org/"}</v>
      </c>
      <c r="G5"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5"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5"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5"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5"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5"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5"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5"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5"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5"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5"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5"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5" s="26" t="str">
        <f>IF(ROW()-3&gt;NumParentSamplingFeatures+NumSpecimens,"",
IF(ROW()-3&gt;NumParentSamplingFeatures,
CONCATENATE("  - &amp;SamplingFeatureID",TEXT(ROW()-3,"00000"),
" {","SamplingFeatureUUID:  ",CHAR(34),O5,CHAR(34),
", SamplingFeatureTypeCV:  ",CHAR(34),"Specimen",CHAR(34),
", SamplingFeatureCode:  ",CHAR(34),P5,CHAR(34),
", SamplingFeatureName:  ",CHAR(34),Q5,CHAR(34),
", SamplingFeatureDescription:  ",CHAR(34),R5,CHAR(34),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5" s="26" t="str">
        <f>IF(AND(NumIGSNs=0,COUNTIF(DataColumns[ColumnType],"SpecimenIGSN")=0),"",
IF(ROW()-3&gt;NumIGSNs+NumSpecimens,"",
IF(ROW()-3&gt;NumIGSNs,
IF(ISERROR(MATCH("SpecimenIGSN",DataColumns[ColumnType],0)),"",
IF(S5="","",
CONCATENATE("  - {",
"SamplingFeatureObj:  *SamplingFeatureID",TEXT(ROW()-2-NumIGSNs+NumParentSamplingFeatures-1,"00000"),
", ExternalIdentifierSystemObj:  *ExternalIdentifierSystemID00003",
", SamplingFeatureExternalIdentifier:  ",CHAR(34),S5,CHAR(34),
", SamplingFeatureExternalIdentifierURI:  ",CHAR(34),"http://app.geosamples.org/sample/igsn/",S5,CHAR(34),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5"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5" s="26" t="e">
        <f>IF(ROW()-4&gt;NumParentSpecimens+NumSpecimens,"",
IF(ROW()-3&gt;NumParentSpecimens,
CONCATENATE("  - {",
"SamplingFeatureObj:  *SamplingFeatureID",TEXT(ROW()-3+NumParentSamplingFeatures,"00000"),
", SpecimenTypeCV:  ",CHAR(34),T5,CHAR(34),
", SpecimenMediumCV:  ",CHAR(34),U5,CHAR(34),
", IsFieldSpecimen:  ",CHAR(34),V5,CHAR(34),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#N/A</v>
      </c>
      <c r="AA5"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5" s="26" t="str">
        <f t="shared" ref="AB5:AB8" si="3">CONCATENATE("*SamplingFeatureID",TEXT(ROW()-2-NumRelatedFeatures+NumParentSamplingFeatures-1,"00000"))</f>
        <v>*SamplingFeatureID00002</v>
      </c>
      <c r="AC5"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5"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5"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5" s="26" t="str">
        <f>IF(AND(NumRelatedFeatures=0,MATCH("ParentSamplingFeatureCode",SpecimenColumnFinder[DataType],0)="NOT GIVEN"),"",
IF(ROW()-3&gt;NumRelatedFeatures+NumSpecimens,"",
IF(ROW()-3&gt;NumRelatedFeatures,
IF(AD5="NO RELATED FEATURE","",
CONCATENATE("  - {",
"SamplingFeatureObj:  ",AB5,
", RelationshipTypeCV:  ",CHAR(34),AC5,CHAR(34),
", RelatedFeatureObj: ",AD5,
", SpatialOffsetObj:  ",IF(AE5="","NULL",AE5),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5"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5"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5"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5"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5"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5"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5"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5"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5" s="26" t="str">
        <f t="shared" si="1"/>
        <v>*SamplingFeatureID00002</v>
      </c>
      <c r="AQ5" s="26" t="str">
        <f>IF(ROW()-3&gt;NumSpecimens,"",
CONCATENATE("  - &amp;ActionID",TEXT(ROW()-3,"00000"),
" {","ActionTypeCV:  ",CHAR(34),"Specimen collection",CHAR(34),
", MethodObj: ",AL5,
", BeginDateTime:  ",CHAR(34),AM5,CHAR(34),
", BeginDateTimeUTCOffset:  ",CHAR(34),AN5,CHAR(34),
", EndDateTime:  ","NULL",
", EndDateTimeUTCOffset:  ","NULL",
", ActionDescription:  ",CHAR(34),"Action generated by Excel Template for ",TemplateProfile," v.",TemplateVersion,CHAR(34),
", ActionFileLink:  ",CHAR(34),CHAR(34),
,"}"))</f>
        <v/>
      </c>
      <c r="AR5" s="26">
        <f t="shared" ref="AR5:AR8" si="4">IF(ROW()-3&gt;NumSpecimens*AR4,AR4+1,AR4)</f>
        <v>2</v>
      </c>
      <c r="AS5" s="26" t="e">
        <f>INDEX(ResultColumnFinder[Data Value Label],MATCH($AR5,ResultColumnFinder[DV Num],1))</f>
        <v>#N/A</v>
      </c>
      <c r="AT5" s="26" t="e">
        <f>IF(INDEX(ResultColumnFinder[First Value Address],MATCH(CONCATENATE("ResultValue",$AR5),ResultColumnFinder[Concat2],0))="NOT GIVEN",
"",
IF(OFFSET(INDIRECT(INDEX(ResultColumnFinder[First Value Address],MATCH(CONCATENATE("ResultValue",$AR5),ResultColumnFinder[Concat2],0)),FALSE),ROW()-4-($AR5-1)*NumSpecimens,0)="",
"",
OFFSET(INDIRECT(INDEX(ResultColumnFinder[First Value Address],MATCH(CONCATENATE("ResultValue",$AR5),ResultColumnFinder[Concat2],0)),FALSE),ROW()-4-($AR5-1)*NumSpecimens,0))
)</f>
        <v>#N/A</v>
      </c>
      <c r="AU5" s="26" t="e">
        <f>IF(INDEX(ResultColumnFinder[First Value Address],MATCH(CONCATENATE("AnalysisMethodCode",$AR5),ResultColumnFinder[Concat2],0))="NOT GIVEN",
CONCATENATE("PLEASE FILL IN A VALID ANALYSIS METHOD CODE FOR ",$AS5),
IF(LEFT(INDEX(ResultColumnFinder[First Value Address],MATCH(CONCATENATE("AnalysisMethodCode",$AR5),ResultColumnFinder[Concat2],0)),14)="'Data Columns'",
IF(ISERROR(MATCH(INDIRECT(INDEX(ResultColumnFinder[First Value Address],MATCH(CONCATENATE("AnalysisMethodCode",$AR5),ResultColumnFinder[Concat2],0)),FALSE),Methods[Method Code],0)),
CONCATENATE("PLEASE FILL IN A VALID ANALYSIS METHOD CODE FOR ",$AS5),
CONCATENATE("*MethodID",TEXT(MATCH(INDIRECT(INDEX(ResultColumnFinder[First Value Address],MATCH(CONCATENATE("AnalysisMethodCode",$AR5),ResultColumnFinder[Concat2],0)),FALSE),Methods[Method Code],0),"00000"))),
IF(ISERROR(MATCH(OFFSET(INDIRECT(INDEX(ResultColumnFinder[First Value Address],MATCH(CONCATENATE("AnalysisMethodCode",$AR5),ResultColumnFinder[Concat2],0)),FALSE),ROW()-4-($AR5-1)*NumSpecimens,0),Methods[Method Code],0)),
CONCATENATE("PLEASE SPECIFY A VALID ANALYSIS METHOD CODE FOR ",$AS5," IN ROW ",ROW()-4-($AR5-1)*NumSpecimens),
CONCATENATE("*MethodID",TEXT(MATCH(OFFSET(INDIRECT(INDEX(ResultColumnFinder[First Value Address],MATCH(CONCATENATE("AnalysisMethodCode",$AR5),ResultColumnFinder[Concat2],0)),FALSE),ROW()-4-($AR5-1)*NumSpecimens,0),Methods[Method Code],0),"00000")))))</f>
        <v>#N/A</v>
      </c>
      <c r="AV5" s="26" t="e">
        <f>IF(INDEX(ResultColumnFinder[First Value Address],MATCH(CONCATENATE("AnalysisDateTime",$AR5),ResultColumnFinder[Concat2],0))="NOT GIVEN",
"",
IF(OFFSET(INDIRECT(INDEX(ResultColumnFinder[First Value Address],MATCH(CONCATENATE("AnalysisDateTime",$AR5),ResultColumnFinder[Concat2],0)),FALSE),ROW()-4-($AR5-1)*NumSpecimens,0)="",
CONCATENATE("PLEASE SPECIFY AN ANALYSIS TIME FOR ",$AS5," IN ROW ",ROW()-4-($AR5-1)*NumSpecimens),
TEXT(OFFSET(INDIRECT(INDEX(ResultColumnFinder[First Value Address],MATCH(CONCATENATE("AnalysisDateTime",$AR5),ResultColumnFinder[Concat2],0)),FALSE),ROW()-4-($AR5-1)*NumSpecimens,0),"yyyy-mm-dd hh:mm:ss")))</f>
        <v>#N/A</v>
      </c>
      <c r="AW5" s="26" t="e">
        <f>IF(INDEX(ResultColumnFinder[First Value Address],MATCH(CONCATENATE("AnalysisDateTimeUTCOffset",$AR5),ResultColumnFinder[Concat2],0))="NOT GIVEN",
"",
IF(LEFT(INDEX(ResultColumnFinder[First Value Address],MATCH(CONCATENATE("AnalysisDateTimeUTCOffset",$AR5),ResultColumnFinder[Concat2],0)),14)="'Data Columns'",
IF(INDIRECT(INDEX(ResultColumnFinder[First Value Address],MATCH(CONCATENATE("AnalysisDateTimeUTCOffset",$AR5),ResultColumnFinder[Concat2],0)),FALSE)="",
CONCATENATE("PLEASE FILL IN AN ANALYSIS TIME UTC OFFSET FOR ",$AS5),
INDIRECT(INDEX(ResultColumnFinder[First Value Address],MATCH(CONCATENATE("AnalysisDateTimeUTCOffset",$AR5),ResultColumnFinder[Concat2],0)),FALSE)),
IF(OFFSET(INDIRECT(INDEX(ResultColumnFinder[First Value Address],MATCH(CONCATENATE("AnalysisDateTimeUTCOffset",$AR5),ResultColumnFinder[Concat2],0)),FALSE),ROW()-4-($AR5-1)*NumSpecimens,0)="",
CONCATENATE("PLEASE SPECIFY AN ANALYSIS TIME UTC OFFSET FOR ",$AS5," IN ROW ",ROW()-4-($AR5-1)*NumSpecimens),
OFFSET(INDIRECT(INDEX(ResultColumnFinder[First Value Address],MATCH(CONCATENATE("AnalysisDateTimeUTCOffset",$AR5),ResultColumnFinder[Concat2],0)),FALSE),ROW()-4-($AR5-1)*NumSpecimens,0))))</f>
        <v>#N/A</v>
      </c>
      <c r="AX5" s="26" t="e">
        <f>IF(INDEX(ResultColumnFinder[First Value Address],MATCH(CONCATENATE("ResultAnalyst",$AR5),ResultColumnFinder[Concat2],0))="NOT GIVEN",
"",
IF(LEFT(INDEX(ResultColumnFinder[First Value Address],MATCH(CONCATENATE("ResultAnalyst",$AR5),ResultColumnFinder[Concat2],0)),14)="'Data Columns'",
IF(ISERROR(MATCH(INDIRECT(INDEX(ResultColumnFinder[First Value Address],MATCH(CONCATENATE("ResultAnalyst",$AR5),ResultColumnFinder[Concat2],0)),FALSE),People[Full Name],0)),
CONCATENATE("PLEASE FILL IN A VALID ANALYST FOR ",$AS5),
CONCATENATE("*AffiliationID",TEXT(MATCH(INDIRECT(INDEX(ResultColumnFinder[First Value Address],MATCH(CONCATENATE("ResultAnalyst",$AR5),ResultColumnFinder[Concat2],0)),FALSE),People[Full Name],0),"00000"))),
IF(OFFSET(INDIRECT(INDEX(ResultColumnFinder[First Value Address],MATCH(CONCATENATE("ResultAnalyst",$AR5),ResultColumnFinder[Concat2],0)),FALSE),ROW()-4-($AR5-1)*NumSpecimens,0)="",
"",
IF(ISERROR(MATCH(OFFSET(INDIRECT(INDEX(ResultColumnFinder[First Value Address],MATCH(CONCATENATE("ResultAnalyst",$AR5),ResultColumnFinder[Concat2],0)),FALSE),ROW()-4-($AR5-1)*NumSpecimens,0),People[Full Name],0)),
CONCATENATE("PLEASE SPECIFY A VALID ANALYST FOR ",$AS5," IN ROW ",ROW()-4-($AR5-1)*NumSpecimens),
CONCATENATE("*AffiliationID",TEXT(MATCH(OFFSET(INDIRECT(INDEX(ResultColumnFinder[First Value Address],MATCH(CONCATENATE("ResultAnalyst",$AR5),ResultColumnFinder[Concat2],0)),FALSE),ROW()-4-($AR5-1)*NumSpecimens,0),People[Full Name],0),"00000"))))))</f>
        <v>#N/A</v>
      </c>
      <c r="AY5" s="26" t="str">
        <f t="shared" si="2"/>
        <v>*SamplingFeatureID00001</v>
      </c>
      <c r="AZ5" s="26" t="str">
        <f>IF(ROW()-3&gt;NumDataColumns*NumSpecimens,"",
IF(AT5="","",
CONCATENATE("  - &amp;ActionID",TEXT(ROW()-3+NumSpecimens,"00000"),
" {","ActionTypeCV:  ",CHAR(34),"Specimen analysis",CHAR(34),
", MethodObj: ",AU5,
", BeginDateTime:  ",CHAR(34),AV5,CHAR(34),
", BeginDateTimeUTCOffset:  ",CHAR(34),AW5,CHAR(34),
", EndDateTime:  ","NULL",
", EndDateTimeUTCOffset:  ","NULL",
", ActionDescription:  ",CHAR(34),"Action generated by Excel Template for ",TemplateProfile," v.",TemplateVersion,CHAR(34),
", ActionFileLink:  ","NULL",
,"}")))</f>
        <v/>
      </c>
      <c r="BA5" s="26" t="str">
        <f>IF(ROW()-3&gt;NumSpecimens,"",
CONCATENATE("  - &amp;FeatureActionID",TEXT(ROW()-3,"00000"),
" {","SamplingFeatureObj:  ",AP5,
", ActionObj:  *ActionID",TEXT(ROW()-3,"00000"),"}"))</f>
        <v/>
      </c>
      <c r="BB5" s="26" t="str">
        <f>IF(ROW()-3&gt;NumDataColumns*NumSpecimens,"",
IF(AT5="","",
CONCATENATE("  - &amp;FeatureActionID",TEXT(ROW()-3+NumSpecimens,"00000"),
" {","SamplingFeatureObj:  ",AY5,
", ActionObj:  *ActionID",TEXT(ROW()-3+NumSpecimens,"00000"),"}")))</f>
        <v/>
      </c>
      <c r="BC5" s="26" t="str">
        <f>IF(ROW()-3&gt;NumSpecimens,"",
IF(AO5="","",
CONCATENATE("  - {",
"ActionObj:  *ActionID",TEXT(ROW()-3,"00000"),
", AffiliationObj:  ",AO5,
", IsActionLead: TRUE",
", RoleDescription: ","NULL",
"}")))</f>
        <v/>
      </c>
      <c r="BD5" s="26" t="str">
        <f>IF(ROW()-3&gt;NumDataColumns*NumSpecimens,"",
IF(AT5="","",
IF(AX5="","",
CONCATENATE("  - {",
"ActionObj:  *ActionID",TEXT(ROW()-3+NumSpecimens,"00000"),
", AffiliationObj:  ",AX5,
", IsActionLead: TRUE",
", RoleDescription: ","NULL",
"}"))))</f>
        <v/>
      </c>
      <c r="BE5" s="26" t="e">
        <f>IF(INDEX(ResultColumnFinder[First Value Address],MATCH(CONCATENATE("ResultUUID",$AR5),ResultColumnFinder[Concat2],0))="NOT GIVEN",
"",
IF(OFFSET(INDIRECT(INDEX(ResultColumnFinder[First Value Address],MATCH(CONCATENATE("ResultUUID",$AR5),ResultColumnFinder[Concat2],0)),FALSE),ROW()-4-($AR5-1)*NumSpecimens,0)="",
"",
OFFSET(INDIRECT(INDEX(ResultColumnFinder[First Value Address],MATCH(CONCATENATE("ResultUUID",$AR5),ResultColumnFinder[Concat2],0)),FALSE),ROW()-4-($AR5-1)*NumSpecimens,0))
)</f>
        <v>#N/A</v>
      </c>
      <c r="BF5" s="26" t="e">
        <f>IF(INDEX(ResultColumnFinder[First Value Address],MATCH(CONCATENATE("ResultTypeCV",$AR5),ResultColumnFinder[Concat2],0))="NOT GIVEN",
"PLEASE NOTE: A  RESULT TYPE MUST BE SPECIFIED FOR EACH RESULT",
IF(LEFT(INDEX(ResultColumnFinder[First Value Address],MATCH(CONCATENATE("ResultTypeCV",$AR5),ResultColumnFinder[Concat2],0)),14)="'Data Columns'",
IF(COUNTIF(ResultTypeCV,INDIRECT(INDEX(ResultColumnFinder[First Value Address],MATCH(CONCATENATE("ResultTypeCV",$AR5),ResultColumnFinder[Concat2],0)),FALSE))=0,
CONCATENATE("PLEASE FILL IN A VALID  RESULT TYPE FOR ",$AS5),
INDIRECT(INDEX(ResultColumnFinder[First Value Address],MATCH(CONCATENATE("ResultTypeCV",$AR5),ResultColumnFinder[Concat2],0)),FALSE)),
IF(COUNTIF(ResultTypeCV,OFFSET(INDIRECT(INDEX(ResultColumnFinder[First Value Address],MATCH(CONCATENATE("ResultTypeCV",$AR5),ResultColumnFinder[Concat2],0)),FALSE),ROW()-4-($AR5-1)*NumSpecimens,0))=0,
CONCATENATE("PLEASE SPECIFY A VALID  RESULT TYPE FOR ",$AS5," IN ROW ",ROW()-4-($AR5-1)*NumSpecimens),
OFFSET(INDIRECT(INDEX(ResultColumnFinder[First Value Address],MATCH(CONCATENATE("ResultTypeCV",$AR5),ResultColumnFinder[Concat2],0)),FALSE),ROW()-4-($AR5-1)*NumSpecimens,0))
))</f>
        <v>#N/A</v>
      </c>
      <c r="BG5" s="26" t="e">
        <f>IF(INDEX(ResultColumnFinder[First Value Address],MATCH(CONCATENATE("VariableCode",$AR5),ResultColumnFinder[Concat2],0))="NOT GIVEN",
"PLEASE NOTE: A VARIABLE CODE MUST BE SPECIFIED FOR EACH RESULT",
IF(LEFT(INDEX(ResultColumnFinder[First Value Address],MATCH(CONCATENATE("VariableCode",$AR5),ResultColumnFinder[Concat2],0)),14)="'Data Columns'",
IF(ISERROR(MATCH(INDIRECT(INDEX(ResultColumnFinder[First Value Address],MATCH(CONCATENATE("VariableCode",$AR5),ResultColumnFinder[Concat2],0)),FALSE),Variables[Variable Code],0)),
CONCATENATE("PLEASE FILL IN A VALID VARIABLE CODE FOR ",$AS5),
CONCATENATE("*VariableID",TEXT(MATCH(INDIRECT(INDEX(ResultColumnFinder[First Value Address],MATCH(CONCATENATE("VariableCode",$AR5),ResultColumnFinder[Concat2],0)),FALSE),Variables[Variable Code],0),"00000"))),
IF(ISERROR(MATCH(OFFSET(INDIRECT(INDEX(ResultColumnFinder[First Value Address],MATCH(CONCATENATE("VariableCode",$AR5),ResultColumnFinder[Concat2],0)),FALSE),ROW()-4-($AR5-1)*NumSpecimens,0),Variables[Variable Code],0)),
CONCATENATE("PLEASE SPECIFY A VALID VARIABLE CODE FOR ",$AS5," IN ROW ",ROW()-4-($AR5-1)*NumSpecimens),
CONCATENATE("*VariableID",TEXT(MATCH(OFFSET(INDIRECT(INDEX(ResultColumnFinder[First Value Address],MATCH(CONCATENATE("VariableCode",$AR5),ResultColumnFinder[Concat2],0)),FALSE),ROW()-4-($AR5-1)*NumSpecimens,0),Variables[Variable Code],0),"00000")))))</f>
        <v>#N/A</v>
      </c>
      <c r="BH5" s="26" t="e">
        <f>IF(INDEX(ResultColumnFinder[First Value Address],MATCH(CONCATENATE("UnitName",$AR5),ResultColumnFinder[Concat2],0))="NOT GIVEN",
"PLEASE NOTE: A UNIT MUST BE SPECIFIED FOR EACH RESULT",
IF(LEFT(INDEX(ResultColumnFinder[First Value Address],MATCH(CONCATENATE("UnitName",$AR5),ResultColumnFinder[Concat2],0)),14)="'Data Columns'",
IF(INDIRECT(INDEX(ResultColumnFinder[First Value Address],MATCH(CONCATENATE("UnitName",$AR5),ResultColumnFinder[Concat2],0)),FALSE)="",
CONCATENATE("PLEASE FILL IN A UNIT FOR ",$AS5),
INDIRECT(INDEX(ResultColumnFinder[First Value Address],MATCH(CONCATENATE("UnitName",$AR5),ResultColumnFinder[Concat2],0)),FALSE)),
IF(OFFSET(INDIRECT(INDEX(ResultColumnFinder[First Value Address],MATCH(CONCATENATE("UnitName",$AR5),ResultColumnFinder[Concat2],0)),FALSE),ROW()-4-($AR5-1)*NumSpecimens,0)="",
CONCATENATE("PLEASE SPECIFY A UNIT FOR ",$AS5," IN ROW ",ROW()-4-($AR5-1)*NumSpecimens),
OFFSET(INDIRECT(INDEX(ResultColumnFinder[First Value Address],MATCH(CONCATENATE("UnitName",$AR5),ResultColumnFinder[Concat2],0)),FALSE),ROW()-4-($AR5-1)*NumSpecimens,0))
))</f>
        <v>#N/A</v>
      </c>
      <c r="BI5" s="26" t="e">
        <f>IF(INDEX(ResultColumnFinder[First Value Address],MATCH(CONCATENATE("TaxonomicClassifierName",$AR5),ResultColumnFinder[Concat2],0))="NOT GIVEN",
"",
IF(LEFT(INDEX(ResultColumnFinder[First Value Address],MATCH(CONCATENATE("TaxonomicClassifierName",$AR5),ResultColumnFinder[Concat2],0)),14)="'Data Columns'",
IF(ISERROR(MATCH(INDIRECT(INDEX(ResultColumnFinder[First Value Address],MATCH(CONCATENATE("TaxonomicClassifierName",$AR5),ResultColumnFinder[Concat2],0)),FALSE),TaxonomicClassifiers[Taxonomic Classifier Name],0)),
"",
CONCATENATE("*VariableID",TEXT(MATCH(INDIRECT(INDEX(ResultColumnFinder[First Value Address],MATCH(CONCATENATE("TaxonomicClassifierName",$AR5),ResultColumnFinder[Concat2],0)),FALSE),TaxonomicClassifiers[Taxonomic Classifier Name],0),"00000"))),
IF(ISERROR(MATCH(OFFSET(INDIRECT(INDEX(ResultColumnFinder[First Value Address],MATCH(CONCATENATE("TaxonomicClassifierName",$AR5),ResultColumnFinder[Concat2],0)),FALSE),ROW()-4-($AR5-1)*NumSpecimens,0),TaxonomicClassifiers[Taxonomic Classifier Name],0)),
"",
CONCATENATE("*VariableID",TEXT(MATCH(OFFSET(INDIRECT(INDEX(ResultColumnFinder[First Value Address],MATCH(CONCATENATE("TaxonomicClassifierName",$AR5),ResultColumnFinder[Concat2],0)),FALSE),ROW()-4-($AR5-1)*NumSpecimens,0),TaxonomicClassifiers[Taxonomic Classifier Name],0),"00000")))))</f>
        <v>#N/A</v>
      </c>
      <c r="BJ5" s="26" t="e">
        <f>IF(INDEX(ResultColumnFinder[First Value Address],MATCH(CONCATENATE("ProcessingLevelCode",$AR5),ResultColumnFinder[Concat2],0))="NOT GIVEN",
"PLEASE NOTE: A PROCESSING LEVEL CODE MUST BE SPECIFIED FOR EACH RESULT",
IF(LEFT(INDEX(ResultColumnFinder[First Value Address],MATCH(CONCATENATE("ProcessingLevelCode",$AR5),ResultColumnFinder[Concat2],0)),14)="'Data Columns'",
IF(ISERROR(MATCH(INDIRECT(INDEX(ResultColumnFinder[First Value Address],MATCH(CONCATENATE("ProcessingLevelCode",$AR5),ResultColumnFinder[Concat2],0)),FALSE),ProcessingLevels[Processing Level Code],0)),
CONCATENATE("PLEASE FILL IN A VALID PROCESSING LEVEL CODE FOR ",$AS5),
CONCATENATE("*ProcessingLevelID",TEXT(MATCH(INDIRECT(INDEX(ResultColumnFinder[First Value Address],MATCH(CONCATENATE("ProcessingLevelCode",$AR5),ResultColumnFinder[Concat2],0)),FALSE),ProcessingLevels[Processing Level Code],0),"00000"))),
IF(ISERROR(MATCH(OFFSET(INDIRECT(INDEX(ResultColumnFinder[First Value Address],MATCH(CONCATENATE("ProcessingLevelCode",$AR5),ResultColumnFinder[Concat2],0)),FALSE),ROW()-4-($AR5-1)*NumSpecimens,0),ProcessingLevels[Processing Level Code],0)),
CONCATENATE("PLEASE SPECIFY A VALID PROCESSING LEVEL CODE FOR ",$AS5," IN ROW ",ROW()-4-($AR5-1)*NumSpecimens),
CONCATENATE("*ProcessingLevelID",TEXT(MATCH(OFFSET(INDIRECT(INDEX(ResultColumnFinder[First Value Address],MATCH(CONCATENATE("ProcessingLevelCode",$AR5),ResultColumnFinder[Concat2],0)),FALSE),ROW()-4-($AR5-1)*NumSpecimens,0),ProcessingLevels[Processing Level Code],0),"00000")))))</f>
        <v>#N/A</v>
      </c>
      <c r="BK5"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Address],MATCH("CollectionDateTime",SpecimenColumnFinder[DataType],0)),FALSE),ROW()-4-($AR5-1)*NumSpecimens,0)="",
CONCATENATE("PLEASE SPECIFY A SPECIMEN COLLECTION DATE/TIME IN ROW ",ROW()-4-($AR5-1)*NumSpecimens),
TEXT(OFFSET(INDIRECT(INDEX(SpecimenColumnFinder[First Value Address],MATCH("CollectionDateTime",SpecimenColumnFinder[DataType],0)),FALSE),ROW()-4-($AR5-1)*NumSpecimens,0),"yyyy-mm-dd hh:mm:ss")))</f>
        <v>PLEASE NOTE: THE SPECIMEN COLLECTION DATE/TIME MUST BE SPECIFIED</v>
      </c>
      <c r="BL5"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Address],MATCH("CollectionDateTimeUTCOffset",SpecimenColumnFinder[DataType],0)),FALSE),ROW()-4-($AR5-1)*NumSpecimens,0)="",
CONCATENATE("PLEASE SPECIFY A COLLECTION TIME UTC OFFSET IN ROW ",ROW()-4-($AR5-1)*NumSpecimens),
OFFSET(INDIRECT(INDEX(SpecimenColumnFinder[First Value Address],MATCH("CollectionDateTimeUTCOffset",SpecimenColumnFinder[DataType],0)),FALSE),ROW()-4-($AR5-1)*NumSpecimens,0)))</f>
        <v>#N/A</v>
      </c>
      <c r="BM5" s="26" t="e">
        <f>IF(INDEX(ResultColumnFinder[First Value Address],MATCH(CONCATENATE("SampledMediumCV",$AR5),ResultColumnFinder[Concat2],0))="NOT GIVEN",
"PLEASE NOTE: A SAMPLED MEDIUM MUST BE SPECIFIED FOR EACH RESULT",
IF(LEFT(INDEX(ResultColumnFinder[First Value Address],MATCH(CONCATENATE("SampledMediumCV",$AR5),ResultColumnFinder[Concat2],0)),14)="'Data Columns'",
IF(COUNTIF(SampledMediumCV,INDIRECT(INDEX(ResultColumnFinder[First Value Address],MATCH(CONCATENATE("SampledMediumCV",$AR5),ResultColumnFinder[Concat2],0)),FALSE))=0,
CONCATENATE("PLEASE FILL IN A VALID SAMPLED MEDIUM FOR ",$AS5),
INDIRECT(INDEX(ResultColumnFinder[First Value Address],MATCH(CONCATENATE("SampledMediumCV",$AR5),ResultColumnFinder[Concat2],0)),FALSE)),
IF(COUNTIF(SampledMediumCV,OFFSET(INDIRECT(INDEX(ResultColumnFinder[First Value Address],MATCH(CONCATENATE("SampledMediumCV",$AR5),ResultColumnFinder[Concat2],0)),FALSE),ROW()-4-($AR5-1)*NumSpecimens,0))=0,
CONCATENATE("PLEASE SPECIFY A VALID SAMPLED MEDIUM FOR ",$AS5," IN ROW ",ROW()-4-($AR5-1)*NumSpecimens),
OFFSET(INDIRECT(INDEX(ResultColumnFinder[First Value Address],MATCH(CONCATENATE("SampledMediumCV",$AR5),ResultColumnFinder[Concat2],0)),FALSE),ROW()-4-($AR5-1)*NumSpecimens,0))
))</f>
        <v>#N/A</v>
      </c>
      <c r="BN5" s="26" t="e">
        <f>IF(BF5&lt;&gt;"Measurement","",
IF(INDEX(ResultColumnFinder[First Value Address],MATCH(CONCATENATE("CensorCodeCV",$AR5),ResultColumnFinder[Concat2],0))="NOT GIVEN",
"PLEASE NOTE: A CENSOR CODE MUST BE SPECIFIED FOR EACH RESULT",
IF(LEFT(INDEX(ResultColumnFinder[First Value Address],MATCH(CONCATENATE("CensorCodeCV",$AR5),ResultColumnFinder[Concat2],0)),14)="'Data Columns'",
IF(COUNTIF(CensorCodeCV,INDIRECT(INDEX(ResultColumnFinder[First Value Address],MATCH(CONCATENATE("CensorCodeCV",$AR5),ResultColumnFinder[Concat2],0)),FALSE))=0,
CONCATENATE("PLEASE FILL IN A VALID CENSOR CODE FOR ",$AS5),
INDIRECT(INDEX(ResultColumnFinder[First Value Address],MATCH(CONCATENATE("CensorCodeCV",$AR5),ResultColumnFinder[Concat2],0)),FALSE)),
IF(COUNTIF(CensorCodeCV,OFFSET(INDIRECT(INDEX(ResultColumnFinder[First Value Address],MATCH(CONCATENATE("CensorCodeCV",$AR5),ResultColumnFinder[Concat2],0)),FALSE),ROW()-4-($AR5-1)*NumSpecimens,0))=0,
CONCATENATE("PLEASE SPECIFY A VALID CENSOR CODE FOR ",$AS5," IN ROW ",ROW()-4-($AR5-1)*NumSpecimens),
OFFSET(INDIRECT(INDEX(ResultColumnFinder[First Value Address],MATCH(CONCATENATE("CensorCodeCV",$AR5),ResultColumnFinder[Concat2],0)),FALSE),ROW()-4-($AR5-1)*NumSpecimens,0))
)))</f>
        <v>#N/A</v>
      </c>
      <c r="BO5" s="26" t="e">
        <f>IF(INDEX(ResultColumnFinder[First Value Address],MATCH(CONCATENATE("QualityCodeCV",$AR5),ResultColumnFinder[Concat2],0))="NOT GIVEN",
"PLEASE NOTE: A QUALITY CODE MUST BE SPECIFIED FOR EACH RESULT",
IF(LEFT(INDEX(ResultColumnFinder[First Value Address],MATCH(CONCATENATE("QualityCodeCV",$AR5),ResultColumnFinder[Concat2],0)),14)="'Data Columns'",
IF(COUNTIF(QualityCodeCV,INDIRECT(INDEX(ResultColumnFinder[First Value Address],MATCH(CONCATENATE("QualityCodeCV",$AR5),ResultColumnFinder[Concat2],0)),FALSE))=0,
CONCATENATE("PLEASE FILL IN A VALID QUALITY CODE FOR ",$AS5),
INDIRECT(INDEX(ResultColumnFinder[First Value Address],MATCH(CONCATENATE("QualityCodeCV",$AR5),ResultColumnFinder[Concat2],0)),FALSE)),
IF(COUNTIF(QualityCodeCV,OFFSET(INDIRECT(INDEX(ResultColumnFinder[First Value Address],MATCH(CONCATENATE("QualityCodeCV",$AR5),ResultColumnFinder[Concat2],0)),FALSE),ROW()-4-($AR5-1)*NumSpecimens,0))=0,
CONCATENATE("PLEASE SPECIFY A VALID QUALITY CODE FOR ",$AS5," IN ROW ",ROW()-4-($AR5-1)*NumSpecimens),
OFFSET(INDIRECT(INDEX(ResultColumnFinder[First Value Address],MATCH(CONCATENATE("QualityCodeCV",$AR5),ResultColumnFinder[Concat2],0)),FALSE),ROW()-4-($AR5-1)*NumSpecimens,0))
))</f>
        <v>#N/A</v>
      </c>
      <c r="BP5" s="26" t="e">
        <f>IF(BF5&lt;&gt;"Measurement","",
IF(INDEX(ResultColumnFinder[First Value Address],MATCH(CONCATENATE("AggregationStatisticCV",$AR5),ResultColumnFinder[Concat2],0))="NOT GIVEN",
"PLEASE NOTE: AN AGGREGATION STATISTIC MUST BE SPECIFIED FOR EACH MEASUREMENT RESULT",
IF(LEFT(INDEX(ResultColumnFinder[First Value Address],MATCH(CONCATENATE("AggregationStatisticCV",$AR5),ResultColumnFinder[Concat2],0)),14)="'Data Columns'",
IF(COUNTIF(AggregationStatisticCV,INDIRECT(INDEX(ResultColumnFinder[First Value Address],MATCH(CONCATENATE("AggregationStatisticCV",$AR5),ResultColumnFinder[Concat2],0)),FALSE))=0,
CONCATENATE("PLEASE FILL IN A VALID AGGREGATION STATISTIC FOR ",$AS5),
INDIRECT(INDEX(ResultColumnFinder[First Value Address],MATCH(CONCATENATE("AggregationStatisticCV",$AR5),ResultColumnFinder[Concat2],0)),FALSE)),
IF(COUNTIF(AggregationStatisticCV,OFFSET(INDIRECT(INDEX(ResultColumnFinder[First Value Address],MATCH(CONCATENATE("AggregationStatisticCV",$AR5),ResultColumnFinder[Concat2],0)),FALSE),ROW()-4-($AR5-1)*NumSpecimens,0))=0,
CONCATENATE("PLEASE SPECIFY A VALID AGGREGATION STATISTIC FOR ",$AS5," IN ROW ",ROW()-4-($AR5-1)*NumSpecimens),
OFFSET(INDIRECT(INDEX(ResultColumnFinder[First Value Address],MATCH(CONCATENATE("AggregationStatisticCV",$AR5),ResultColumnFinder[Concat2],0)),FALSE),ROW()-4-($AR5-1)*NumSpecimens,0))
)))</f>
        <v>#N/A</v>
      </c>
      <c r="BQ5" s="26" t="e">
        <f>IF(BF5&lt;&gt;"Measurement","",
IF(INDEX(ResultColumnFinder[First Value Address],MATCH(CONCATENATE("TimeAggregationInterval",$AR5),ResultColumnFinder[Concat2],0))="NOT GIVEN",
"PLEASE NOTE: A TIME AGGREGATION INTERVAL MUST BE SPECIFIED FOR EACH RESULT",
IF(LEFT(INDEX(ResultColumnFinder[First Value Address],MATCH(CONCATENATE("TimeAggregationInterval",$AR5),ResultColumnFinder[Concat2],0)),14)="'Data Columns'",
IF(INDIRECT(INDEX(ResultColumnFinder[First Value Address],MATCH(CONCATENATE("TimeAggregationInterval",$AR5),ResultColumnFinder[Concat2],0)),FALSE)="",
CONCATENATE("PLEASE FILL IN A TIME AGGREGATION INTERVAL FOR ",$AS5),
INDIRECT(INDEX(ResultColumnFinder[First Value Address],MATCH(CONCATENATE("TimeAggregationInterval",$AR5),ResultColumnFinder[Concat2],0)),FALSE)),
IF(OFFSET(INDIRECT(INDEX(ResultColumnFinder[First Value Address],MATCH(CONCATENATE("TimeAggregationInterval",$AR5),ResultColumnFinder[Concat2],0)),FALSE),ROW()-4-($AR5-1)*NumSpecimens,0)="",
CONCATENATE("PLEASE SPECIFY A TIME AGGREGATION INTERVAL FOR ",$AS5," IN ROW ",ROW()-4-($AR5-1)*NumSpecimens),
OFFSET(INDIRECT(INDEX(ResultColumnFinder[First Value Address],MATCH(CONCATENATE("TimeAggregationInterval",$AR5),ResultColumnFinder[Concat2],0)),FALSE),ROW()-4-($AR5-1)*NumSpecimens,0))
)))</f>
        <v>#N/A</v>
      </c>
      <c r="BR5" s="26" t="e">
        <f>IF(BF5&lt;&gt;"Measurement","",
IF(INDEX(ResultColumnFinder[First Value Address],MATCH(CONCATENATE("TimeAggregationIntervalUnitCode",$AR5),ResultColumnFinder[Concat2],0))="NOT GIVEN",
"PLEASE NOTE: A TIME AGGREGATION UNIT MUST BE SPECIFIED FOR EACH RESULT",
IF(LEFT(INDEX(ResultColumnFinder[First Value Address],MATCH(CONCATENATE("TimeAggregationIntervalUnitCode",$AR5),ResultColumnFinder[Concat2],0)),14)="'Data Columns'",
IF(INDIRECT(INDEX(ResultColumnFinder[First Value Address],MATCH(CONCATENATE("TimeAggregationIntervalUnitCode",$AR5),ResultColumnFinder[Concat2],0)),FALSE)="",
CONCATENATE("PLEASE FILL IN A TIME AGGREGATION UNIT FOR ",$AS5),
INDIRECT(INDEX(ResultColumnFinder[First Value Address],MATCH(CONCATENATE("TimeAggregationIntervalUnitCode",$AR5),ResultColumnFinder[Concat2],0)),FALSE)),
IF(OFFSET(INDIRECT(INDEX(ResultColumnFinder[First Value Address],MATCH(CONCATENATE("TimeAggregationIntervalUnitCode",$AR5),ResultColumnFinder[Concat2],0)),FALSE),ROW()-4-($AR5-1)*NumSpecimens,0)="",
CONCATENATE("PLEASE SPECIFY A TIME AGGREGATION UNIT FOR ",$AS5," IN ROW ",ROW()-4-($AR5-1)*NumSpecimens),
OFFSET(INDIRECT(INDEX(ResultColumnFinder[First Value Address],MATCH(CONCATENATE("TimeAggregationIntervalUnitCode",$AR5),ResultColumnFinder[Concat2],0)),FALSE),ROW()-4-($AR5-1)*NumSpecimens,0))
)))</f>
        <v>#N/A</v>
      </c>
      <c r="BS5" s="26" t="str">
        <f>IF(NumDataColumns=0,"PLEASE SELECT AT LEAST 1 COLUMN OF RESULT VALUES",
IF(AT5="","",
CONCATENATE("  - &amp;ResultID",TEXT(ROW()-3,"00000"),
" {","ResultUUID:  ",CHAR(34),BE5,CHAR(34),
", FeatureActionObj: *FeatureActionID",TEXT(ROW()-3,"00000"),
", ResultTypeCV:  ",CHAR(34),BF5,CHAR(34),
", VariableObj:  ",BG5,
", UnitsObj:  ",BH5,
", TaxonomicClassifierObj:  ",BI5,
", ProcessingLevelObj:  ",BJ5,
", ResultDateTime:  ",BK5,
", ResultDateTimeUTCOffset:  ",BL5,
", ValidDateTime:  ","NULL",
", ValidDateTimeUTCOffset:  ","NULL",
", StatusCV:  ","NULL",
", SampledMediumCV:  ",CHAR(34),BM5,CHAR(34),
", ValueCount:  ",1,"}")))</f>
        <v>PLEASE SELECT AT LEAST 1 COLUMN OF RESULT VALUES</v>
      </c>
      <c r="BT5" s="26" t="str">
        <f>IF(ROW()-3&gt;NumDataColumns*NumSpecimens,"",
IF(AT5="","",
CONCATENATE("  - {DatasetObj: *DatasetID00001, ",
"ResultObj: *ResultID",TEXT(ROW()-3,"00000"),
"}")))</f>
        <v/>
      </c>
      <c r="BU5" s="26" t="e">
        <f t="shared" ref="BU5:BU8" si="5">IF(BF5&lt;&gt;"Measurement","",
IF(AT5="","",
CONCATENATE("  - &amp;MeasurementResultID",TEXT(ROW()-3,"00000"),
" {","ResultObj: *ResultID",TEXT(ROW()-3,"00000"),
", XLocation:  ","NULL",
", XLocationUnitsObj:  ","NULL",
", YLocation:  ","NULL",
", YLocationUnitsObj:  ","NULL",
", ZLocation:  ","NULL",
", ZLocationUnitsObj:  ","NULL",
", SpatialReferenceObj:  ","NULL",
", CensorCodeCV: ",CHAR(34),BN5,CHAR(34),
", QualityCodeCV:  ",CHAR(34),BO5,CHAR(34),
", AggregationStatisticCV:  ",CHAR(34),BP5,CHAR(34),
", TimeAggregationInterval:  ",BQ5,
", TimeAggregationUnitsObj:  ",CHAR(34),BR5,CHAR(34),
"}")))</f>
        <v>#N/A</v>
      </c>
      <c r="BV5" s="26" t="e">
        <f>IF(BF5&lt;&gt;"Measurement","",
IF(AT5="","",
CONCATENATE("  - &amp;MeasurementResultValueID",TEXT(ROW()-3,"00000"),
" {","MeasurementResultObj: *MeasurementResultID",TEXT(ROW()-3,"00000"),
", DataValue: ",AT5,
", ValueDateTime:  ",CHAR(34),BK5,CHAR(34),
", ValueDateTimeUTCOffset:  ",BL5,
"}")))</f>
        <v>#N/A</v>
      </c>
      <c r="BW5" s="26" t="e">
        <f t="shared" ref="BW5:BW8" si="6">IF(BF5="Measurement","",
IF(AT5="","",
CONCATENATE("  - &amp;CategoricalResultID",TEXT(ROW()-3,"00000"),
" {","ResultObj: *ResultID",TEXT(ROW()-3,"00000"),
", XLocation:  ","NULL",
", XLocationUnitsObj:  ","NULL",
", YLocation:  ","NULL",
", YLocationUnitsObj:  ","NULL",
", ZLocation:  ","NULL",
", ZLocationUnitsObj:  ","NULL",
", SpatialReferenceObj:  ","NULL",
", QualityCodeCV:  ",CHAR(34),BO5,CHAR(34),
"}")))</f>
        <v>#N/A</v>
      </c>
      <c r="BX5" s="26" t="e">
        <f>IF(BF5="Measurement","",
IF(AT5="","",
CONCATENATE("  - &amp;CategoricalResultValueID",TEXT(ROW()-3,"00000"),
" {","MeasurementResultObj: *CategoricalResultID",TEXT(ROW()-3,"00000"),
", DataValue: ",AT5,
", ValueDateTime:  ",CHAR(34),BK5,CHAR(34),
", ValueDateTimeUTCOffset:  ",BL5,
"}")))</f>
        <v>#N/A</v>
      </c>
      <c r="CC5" s="26" t="s">
        <v>1206</v>
      </c>
      <c r="CD5" s="26">
        <f>COUNT(INDIRECT(CONCATENATE("'Data Values'!C2:C96148")))</f>
        <v>0</v>
      </c>
    </row>
    <row r="6" spans="1:82" x14ac:dyDescent="0.25">
      <c r="A6" s="26">
        <f t="shared" si="0"/>
        <v>3</v>
      </c>
      <c r="D6"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F6" s="26" t="str">
        <f>CONCATENATE("  - &amp;ExternalIdentifierSystemID",TEXT(ROW()-3,"00000"),
" {","ExternalIdentifierSystemName:  ",CHAR(34),INDEX(ExternalIdentifiers[External Identifier System Name],ROW()-3),CHAR(34),
", IdentifierSystemOrganizationObj:  *OrganizationID",TEXT(NumOrganizations+ROW()-3,"00000"),
", ExternalIdentifierSystemDescription:  ",CHAR(34),INDEX(ExternalIdentifiers[External Identifier System Descrption],ROW()-3),CHAR(34),
", ExternalIdentifierSystemURL:  ",CHAR(34),INDEX(ExternalIdentifiers[External Identifier System URL],ROW()-3),CHAR(34),"}")</f>
        <v xml:space="preserve">  - &amp;ExternalIdentifierSystemID00003 {ExternalIdentifierSystemName:  "International Geo Sample Number (IGSN)", IdentifierSystemOrganizationObj:  *OrganizationID00003, ExternalIdentifierSystemDescription:  "IGSN stands for International Geo Sample Number. The IGSN is 9-digit alphanumeric code that uniquely identifies samples from our natural environment and related sampling features. You can get an IGSN for your sample by registering it in the System for Earth Sample Registration SESAR.", ExternalIdentifierSystemURL:  "http://www.geosamples.org/"}</v>
      </c>
      <c r="G6"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6"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6"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6"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6"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6"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6"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6"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6"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6"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6"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6"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6" s="26" t="str">
        <f>IF(ROW()-3&gt;NumParentSamplingFeatures+NumSpecimens,"",
IF(ROW()-3&gt;NumParentSamplingFeatures,
CONCATENATE("  - &amp;SamplingFeatureID",TEXT(ROW()-3,"00000"),
" {","SamplingFeatureUUID:  ",CHAR(34),O6,CHAR(34),
", SamplingFeatureTypeCV:  ",CHAR(34),"Specimen",CHAR(34),
", SamplingFeatureCode:  ",CHAR(34),P6,CHAR(34),
", SamplingFeatureName:  ",CHAR(34),Q6,CHAR(34),
", SamplingFeatureDescription:  ",CHAR(34),R6,CHAR(34),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6" s="26" t="str">
        <f>IF(AND(NumIGSNs=0,COUNTIF(DataColumns[ColumnType],"SpecimenIGSN")=0),"",
IF(ROW()-3&gt;NumIGSNs+NumSpecimens,"",
IF(ROW()-3&gt;NumIGSNs,
IF(ISERROR(MATCH("SpecimenIGSN",DataColumns[ColumnType],0)),"",
IF(S6="","",
CONCATENATE("  - {",
"SamplingFeatureObj:  *SamplingFeatureID",TEXT(ROW()-2-NumIGSNs+NumParentSamplingFeatures-1,"00000"),
", ExternalIdentifierSystemObj:  *ExternalIdentifierSystemID00003",
", SamplingFeatureExternalIdentifier:  ",CHAR(34),S6,CHAR(34),
", SamplingFeatureExternalIdentifierURI:  ",CHAR(34),"http://app.geosamples.org/sample/igsn/",S6,CHAR(34),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6"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6" s="26" t="str">
        <f>IF(ROW()-4&gt;NumParentSpecimens+NumSpecimens,"",
IF(ROW()-3&gt;NumParentSpecimens,
CONCATENATE("  - {",
"SamplingFeatureObj:  *SamplingFeatureID",TEXT(ROW()-3+NumParentSamplingFeatures,"00000"),
", SpecimenTypeCV:  ",CHAR(34),T6,CHAR(34),
", SpecimenMediumCV:  ",CHAR(34),U6,CHAR(34),
", IsFieldSpecimen:  ",CHAR(34),V6,CHAR(34),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6"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6" s="26" t="str">
        <f t="shared" si="3"/>
        <v>*SamplingFeatureID00003</v>
      </c>
      <c r="AC6"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6"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6"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6" s="26" t="str">
        <f>IF(AND(NumRelatedFeatures=0,MATCH("ParentSamplingFeatureCode",SpecimenColumnFinder[DataType],0)="NOT GIVEN"),"",
IF(ROW()-3&gt;NumRelatedFeatures+NumSpecimens,"",
IF(ROW()-3&gt;NumRelatedFeatures,
IF(AD6="NO RELATED FEATURE","",
CONCATENATE("  - {",
"SamplingFeatureObj:  ",AB6,
", RelationshipTypeCV:  ",CHAR(34),AC6,CHAR(34),
", RelatedFeatureObj: ",AD6,
", SpatialOffsetObj:  ",IF(AE6="","NULL",AE6),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6"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6"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6"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6"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6"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6"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6"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6"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6" s="26" t="str">
        <f t="shared" si="1"/>
        <v>*SamplingFeatureID00003</v>
      </c>
      <c r="AQ6" s="26" t="str">
        <f>IF(ROW()-3&gt;NumSpecimens,"",
CONCATENATE("  - &amp;ActionID",TEXT(ROW()-3,"00000"),
" {","ActionTypeCV:  ",CHAR(34),"Specimen collection",CHAR(34),
", MethodObj: ",AL6,
", BeginDateTime:  ",CHAR(34),AM6,CHAR(34),
", BeginDateTimeUTCOffset:  ",CHAR(34),AN6,CHAR(34),
", EndDateTime:  ","NULL",
", EndDateTimeUTCOffset:  ","NULL",
", ActionDescription:  ",CHAR(34),"Action generated by Excel Template for ",TemplateProfile," v.",TemplateVersion,CHAR(34),
", ActionFileLink:  ",CHAR(34),CHAR(34),
,"}"))</f>
        <v/>
      </c>
      <c r="AR6" s="26">
        <f t="shared" si="4"/>
        <v>3</v>
      </c>
      <c r="AS6" s="26" t="e">
        <f>INDEX(ResultColumnFinder[Data Value Label],MATCH($AR6,ResultColumnFinder[DV Num],1))</f>
        <v>#N/A</v>
      </c>
      <c r="AT6" s="26" t="e">
        <f>IF(INDEX(ResultColumnFinder[First Value Address],MATCH(CONCATENATE("ResultValue",$AR6),ResultColumnFinder[Concat2],0))="NOT GIVEN",
"",
IF(OFFSET(INDIRECT(INDEX(ResultColumnFinder[First Value Address],MATCH(CONCATENATE("ResultValue",$AR6),ResultColumnFinder[Concat2],0)),FALSE),ROW()-4-($AR6-1)*NumSpecimens,0)="",
"",
OFFSET(INDIRECT(INDEX(ResultColumnFinder[First Value Address],MATCH(CONCATENATE("ResultValue",$AR6),ResultColumnFinder[Concat2],0)),FALSE),ROW()-4-($AR6-1)*NumSpecimens,0))
)</f>
        <v>#N/A</v>
      </c>
      <c r="AU6" s="26" t="e">
        <f>IF(INDEX(ResultColumnFinder[First Value Address],MATCH(CONCATENATE("AnalysisMethodCode",$AR6),ResultColumnFinder[Concat2],0))="NOT GIVEN",
CONCATENATE("PLEASE FILL IN A VALID ANALYSIS METHOD CODE FOR ",$AS6),
IF(LEFT(INDEX(ResultColumnFinder[First Value Address],MATCH(CONCATENATE("AnalysisMethodCode",$AR6),ResultColumnFinder[Concat2],0)),14)="'Data Columns'",
IF(ISERROR(MATCH(INDIRECT(INDEX(ResultColumnFinder[First Value Address],MATCH(CONCATENATE("AnalysisMethodCode",$AR6),ResultColumnFinder[Concat2],0)),FALSE),Methods[Method Code],0)),
CONCATENATE("PLEASE FILL IN A VALID ANALYSIS METHOD CODE FOR ",$AS6),
CONCATENATE("*MethodID",TEXT(MATCH(INDIRECT(INDEX(ResultColumnFinder[First Value Address],MATCH(CONCATENATE("AnalysisMethodCode",$AR6),ResultColumnFinder[Concat2],0)),FALSE),Methods[Method Code],0),"00000"))),
IF(ISERROR(MATCH(OFFSET(INDIRECT(INDEX(ResultColumnFinder[First Value Address],MATCH(CONCATENATE("AnalysisMethodCode",$AR6),ResultColumnFinder[Concat2],0)),FALSE),ROW()-4-($AR6-1)*NumSpecimens,0),Methods[Method Code],0)),
CONCATENATE("PLEASE SPECIFY A VALID ANALYSIS METHOD CODE FOR ",$AS6," IN ROW ",ROW()-4-($AR6-1)*NumSpecimens),
CONCATENATE("*MethodID",TEXT(MATCH(OFFSET(INDIRECT(INDEX(ResultColumnFinder[First Value Address],MATCH(CONCATENATE("AnalysisMethodCode",$AR6),ResultColumnFinder[Concat2],0)),FALSE),ROW()-4-($AR6-1)*NumSpecimens,0),Methods[Method Code],0),"00000")))))</f>
        <v>#N/A</v>
      </c>
      <c r="AV6" s="26" t="e">
        <f>IF(INDEX(ResultColumnFinder[First Value Address],MATCH(CONCATENATE("AnalysisDateTime",$AR6),ResultColumnFinder[Concat2],0))="NOT GIVEN",
"",
IF(OFFSET(INDIRECT(INDEX(ResultColumnFinder[First Value Address],MATCH(CONCATENATE("AnalysisDateTime",$AR6),ResultColumnFinder[Concat2],0)),FALSE),ROW()-4-($AR6-1)*NumSpecimens,0)="",
CONCATENATE("PLEASE SPECIFY AN ANALYSIS TIME FOR ",$AS6," IN ROW ",ROW()-4-($AR6-1)*NumSpecimens),
TEXT(OFFSET(INDIRECT(INDEX(ResultColumnFinder[First Value Address],MATCH(CONCATENATE("AnalysisDateTime",$AR6),ResultColumnFinder[Concat2],0)),FALSE),ROW()-4-($AR6-1)*NumSpecimens,0),"yyyy-mm-dd hh:mm:ss")))</f>
        <v>#N/A</v>
      </c>
      <c r="AW6" s="26" t="e">
        <f>IF(INDEX(ResultColumnFinder[First Value Address],MATCH(CONCATENATE("AnalysisDateTimeUTCOffset",$AR6),ResultColumnFinder[Concat2],0))="NOT GIVEN",
"",
IF(LEFT(INDEX(ResultColumnFinder[First Value Address],MATCH(CONCATENATE("AnalysisDateTimeUTCOffset",$AR6),ResultColumnFinder[Concat2],0)),14)="'Data Columns'",
IF(INDIRECT(INDEX(ResultColumnFinder[First Value Address],MATCH(CONCATENATE("AnalysisDateTimeUTCOffset",$AR6),ResultColumnFinder[Concat2],0)),FALSE)="",
CONCATENATE("PLEASE FILL IN AN ANALYSIS TIME UTC OFFSET FOR ",$AS6),
INDIRECT(INDEX(ResultColumnFinder[First Value Address],MATCH(CONCATENATE("AnalysisDateTimeUTCOffset",$AR6),ResultColumnFinder[Concat2],0)),FALSE)),
IF(OFFSET(INDIRECT(INDEX(ResultColumnFinder[First Value Address],MATCH(CONCATENATE("AnalysisDateTimeUTCOffset",$AR6),ResultColumnFinder[Concat2],0)),FALSE),ROW()-4-($AR6-1)*NumSpecimens,0)="",
CONCATENATE("PLEASE SPECIFY AN ANALYSIS TIME UTC OFFSET FOR ",$AS6," IN ROW ",ROW()-4-($AR6-1)*NumSpecimens),
OFFSET(INDIRECT(INDEX(ResultColumnFinder[First Value Address],MATCH(CONCATENATE("AnalysisDateTimeUTCOffset",$AR6),ResultColumnFinder[Concat2],0)),FALSE),ROW()-4-($AR6-1)*NumSpecimens,0))))</f>
        <v>#N/A</v>
      </c>
      <c r="AX6" s="26" t="e">
        <f>IF(INDEX(ResultColumnFinder[First Value Address],MATCH(CONCATENATE("ResultAnalyst",$AR6),ResultColumnFinder[Concat2],0))="NOT GIVEN",
"",
IF(LEFT(INDEX(ResultColumnFinder[First Value Address],MATCH(CONCATENATE("ResultAnalyst",$AR6),ResultColumnFinder[Concat2],0)),14)="'Data Columns'",
IF(ISERROR(MATCH(INDIRECT(INDEX(ResultColumnFinder[First Value Address],MATCH(CONCATENATE("ResultAnalyst",$AR6),ResultColumnFinder[Concat2],0)),FALSE),People[Full Name],0)),
CONCATENATE("PLEASE FILL IN A VALID ANALYST FOR ",$AS6),
CONCATENATE("*AffiliationID",TEXT(MATCH(INDIRECT(INDEX(ResultColumnFinder[First Value Address],MATCH(CONCATENATE("ResultAnalyst",$AR6),ResultColumnFinder[Concat2],0)),FALSE),People[Full Name],0),"00000"))),
IF(OFFSET(INDIRECT(INDEX(ResultColumnFinder[First Value Address],MATCH(CONCATENATE("ResultAnalyst",$AR6),ResultColumnFinder[Concat2],0)),FALSE),ROW()-4-($AR6-1)*NumSpecimens,0)="",
"",
IF(ISERROR(MATCH(OFFSET(INDIRECT(INDEX(ResultColumnFinder[First Value Address],MATCH(CONCATENATE("ResultAnalyst",$AR6),ResultColumnFinder[Concat2],0)),FALSE),ROW()-4-($AR6-1)*NumSpecimens,0),People[Full Name],0)),
CONCATENATE("PLEASE SPECIFY A VALID ANALYST FOR ",$AS6," IN ROW ",ROW()-4-($AR6-1)*NumSpecimens),
CONCATENATE("*AffiliationID",TEXT(MATCH(OFFSET(INDIRECT(INDEX(ResultColumnFinder[First Value Address],MATCH(CONCATENATE("ResultAnalyst",$AR6),ResultColumnFinder[Concat2],0)),FALSE),ROW()-4-($AR6-1)*NumSpecimens,0),People[Full Name],0),"00000"))))))</f>
        <v>#N/A</v>
      </c>
      <c r="AY6" s="26" t="str">
        <f t="shared" si="2"/>
        <v>*SamplingFeatureID00001</v>
      </c>
      <c r="AZ6" s="26" t="str">
        <f>IF(ROW()-3&gt;NumDataColumns*NumSpecimens,"",
IF(AT6="","",
CONCATENATE("  - &amp;ActionID",TEXT(ROW()-3+NumSpecimens,"00000"),
" {","ActionTypeCV:  ",CHAR(34),"Specimen analysis",CHAR(34),
", MethodObj: ",AU6,
", BeginDateTime:  ",CHAR(34),AV6,CHAR(34),
", BeginDateTimeUTCOffset:  ",CHAR(34),AW6,CHAR(34),
", EndDateTime:  ","NULL",
", EndDateTimeUTCOffset:  ","NULL",
", ActionDescription:  ",CHAR(34),"Action generated by Excel Template for ",TemplateProfile," v.",TemplateVersion,CHAR(34),
", ActionFileLink:  ","NULL",
,"}")))</f>
        <v/>
      </c>
      <c r="BA6" s="26" t="str">
        <f>IF(ROW()-3&gt;NumSpecimens,"",
CONCATENATE("  - &amp;FeatureActionID",TEXT(ROW()-3,"00000"),
" {","SamplingFeatureObj:  ",AP6,
", ActionObj:  *ActionID",TEXT(ROW()-3,"00000"),"}"))</f>
        <v/>
      </c>
      <c r="BB6" s="26" t="str">
        <f>IF(ROW()-3&gt;NumDataColumns*NumSpecimens,"",
IF(AT6="","",
CONCATENATE("  - &amp;FeatureActionID",TEXT(ROW()-3+NumSpecimens,"00000"),
" {","SamplingFeatureObj:  ",AY6,
", ActionObj:  *ActionID",TEXT(ROW()-3+NumSpecimens,"00000"),"}")))</f>
        <v/>
      </c>
      <c r="BC6" s="26" t="str">
        <f>IF(ROW()-3&gt;NumSpecimens,"",
IF(AO6="","",
CONCATENATE("  - {",
"ActionObj:  *ActionID",TEXT(ROW()-3,"00000"),
", AffiliationObj:  ",AO6,
", IsActionLead: TRUE",
", RoleDescription: ","NULL",
"}")))</f>
        <v/>
      </c>
      <c r="BD6" s="26" t="str">
        <f>IF(ROW()-3&gt;NumDataColumns*NumSpecimens,"",
IF(AT6="","",
IF(AX6="","",
CONCATENATE("  - {",
"ActionObj:  *ActionID",TEXT(ROW()-3+NumSpecimens,"00000"),
", AffiliationObj:  ",AX6,
", IsActionLead: TRUE",
", RoleDescription: ","NULL",
"}"))))</f>
        <v/>
      </c>
      <c r="BE6" s="26" t="e">
        <f>IF(INDEX(ResultColumnFinder[First Value Address],MATCH(CONCATENATE("ResultUUID",$AR6),ResultColumnFinder[Concat2],0))="NOT GIVEN",
"",
IF(OFFSET(INDIRECT(INDEX(ResultColumnFinder[First Value Address],MATCH(CONCATENATE("ResultUUID",$AR6),ResultColumnFinder[Concat2],0)),FALSE),ROW()-4-($AR6-1)*NumSpecimens,0)="",
"",
OFFSET(INDIRECT(INDEX(ResultColumnFinder[First Value Address],MATCH(CONCATENATE("ResultUUID",$AR6),ResultColumnFinder[Concat2],0)),FALSE),ROW()-4-($AR6-1)*NumSpecimens,0))
)</f>
        <v>#N/A</v>
      </c>
      <c r="BF6" s="26" t="e">
        <f>IF(INDEX(ResultColumnFinder[First Value Address],MATCH(CONCATENATE("ResultTypeCV",$AR6),ResultColumnFinder[Concat2],0))="NOT GIVEN",
"PLEASE NOTE: A  RESULT TYPE MUST BE SPECIFIED FOR EACH RESULT",
IF(LEFT(INDEX(ResultColumnFinder[First Value Address],MATCH(CONCATENATE("ResultTypeCV",$AR6),ResultColumnFinder[Concat2],0)),14)="'Data Columns'",
IF(COUNTIF(ResultTypeCV,INDIRECT(INDEX(ResultColumnFinder[First Value Address],MATCH(CONCATENATE("ResultTypeCV",$AR6),ResultColumnFinder[Concat2],0)),FALSE))=0,
CONCATENATE("PLEASE FILL IN A VALID  RESULT TYPE FOR ",$AS6),
INDIRECT(INDEX(ResultColumnFinder[First Value Address],MATCH(CONCATENATE("ResultTypeCV",$AR6),ResultColumnFinder[Concat2],0)),FALSE)),
IF(COUNTIF(ResultTypeCV,OFFSET(INDIRECT(INDEX(ResultColumnFinder[First Value Address],MATCH(CONCATENATE("ResultTypeCV",$AR6),ResultColumnFinder[Concat2],0)),FALSE),ROW()-4-($AR6-1)*NumSpecimens,0))=0,
CONCATENATE("PLEASE SPECIFY A VALID  RESULT TYPE FOR ",$AS6," IN ROW ",ROW()-4-($AR6-1)*NumSpecimens),
OFFSET(INDIRECT(INDEX(ResultColumnFinder[First Value Address],MATCH(CONCATENATE("ResultTypeCV",$AR6),ResultColumnFinder[Concat2],0)),FALSE),ROW()-4-($AR6-1)*NumSpecimens,0))
))</f>
        <v>#N/A</v>
      </c>
      <c r="BG6" s="26" t="e">
        <f>IF(INDEX(ResultColumnFinder[First Value Address],MATCH(CONCATENATE("VariableCode",$AR6),ResultColumnFinder[Concat2],0))="NOT GIVEN",
"PLEASE NOTE: A VARIABLE CODE MUST BE SPECIFIED FOR EACH RESULT",
IF(LEFT(INDEX(ResultColumnFinder[First Value Address],MATCH(CONCATENATE("VariableCode",$AR6),ResultColumnFinder[Concat2],0)),14)="'Data Columns'",
IF(ISERROR(MATCH(INDIRECT(INDEX(ResultColumnFinder[First Value Address],MATCH(CONCATENATE("VariableCode",$AR6),ResultColumnFinder[Concat2],0)),FALSE),Variables[Variable Code],0)),
CONCATENATE("PLEASE FILL IN A VALID VARIABLE CODE FOR ",$AS6),
CONCATENATE("*VariableID",TEXT(MATCH(INDIRECT(INDEX(ResultColumnFinder[First Value Address],MATCH(CONCATENATE("VariableCode",$AR6),ResultColumnFinder[Concat2],0)),FALSE),Variables[Variable Code],0),"00000"))),
IF(ISERROR(MATCH(OFFSET(INDIRECT(INDEX(ResultColumnFinder[First Value Address],MATCH(CONCATENATE("VariableCode",$AR6),ResultColumnFinder[Concat2],0)),FALSE),ROW()-4-($AR6-1)*NumSpecimens,0),Variables[Variable Code],0)),
CONCATENATE("PLEASE SPECIFY A VALID VARIABLE CODE FOR ",$AS6," IN ROW ",ROW()-4-($AR6-1)*NumSpecimens),
CONCATENATE("*VariableID",TEXT(MATCH(OFFSET(INDIRECT(INDEX(ResultColumnFinder[First Value Address],MATCH(CONCATENATE("VariableCode",$AR6),ResultColumnFinder[Concat2],0)),FALSE),ROW()-4-($AR6-1)*NumSpecimens,0),Variables[Variable Code],0),"00000")))))</f>
        <v>#N/A</v>
      </c>
      <c r="BH6" s="26" t="e">
        <f>IF(INDEX(ResultColumnFinder[First Value Address],MATCH(CONCATENATE("UnitName",$AR6),ResultColumnFinder[Concat2],0))="NOT GIVEN",
"PLEASE NOTE: A UNIT MUST BE SPECIFIED FOR EACH RESULT",
IF(LEFT(INDEX(ResultColumnFinder[First Value Address],MATCH(CONCATENATE("UnitName",$AR6),ResultColumnFinder[Concat2],0)),14)="'Data Columns'",
IF(INDIRECT(INDEX(ResultColumnFinder[First Value Address],MATCH(CONCATENATE("UnitName",$AR6),ResultColumnFinder[Concat2],0)),FALSE)="",
CONCATENATE("PLEASE FILL IN A UNIT FOR ",$AS6),
INDIRECT(INDEX(ResultColumnFinder[First Value Address],MATCH(CONCATENATE("UnitName",$AR6),ResultColumnFinder[Concat2],0)),FALSE)),
IF(OFFSET(INDIRECT(INDEX(ResultColumnFinder[First Value Address],MATCH(CONCATENATE("UnitName",$AR6),ResultColumnFinder[Concat2],0)),FALSE),ROW()-4-($AR6-1)*NumSpecimens,0)="",
CONCATENATE("PLEASE SPECIFY A UNIT FOR ",$AS6," IN ROW ",ROW()-4-($AR6-1)*NumSpecimens),
OFFSET(INDIRECT(INDEX(ResultColumnFinder[First Value Address],MATCH(CONCATENATE("UnitName",$AR6),ResultColumnFinder[Concat2],0)),FALSE),ROW()-4-($AR6-1)*NumSpecimens,0))
))</f>
        <v>#N/A</v>
      </c>
      <c r="BI6" s="26" t="e">
        <f>IF(INDEX(ResultColumnFinder[First Value Address],MATCH(CONCATENATE("TaxonomicClassifierName",$AR6),ResultColumnFinder[Concat2],0))="NOT GIVEN",
"",
IF(LEFT(INDEX(ResultColumnFinder[First Value Address],MATCH(CONCATENATE("TaxonomicClassifierName",$AR6),ResultColumnFinder[Concat2],0)),14)="'Data Columns'",
IF(ISERROR(MATCH(INDIRECT(INDEX(ResultColumnFinder[First Value Address],MATCH(CONCATENATE("TaxonomicClassifierName",$AR6),ResultColumnFinder[Concat2],0)),FALSE),TaxonomicClassifiers[Taxonomic Classifier Name],0)),
"",
CONCATENATE("*VariableID",TEXT(MATCH(INDIRECT(INDEX(ResultColumnFinder[First Value Address],MATCH(CONCATENATE("TaxonomicClassifierName",$AR6),ResultColumnFinder[Concat2],0)),FALSE),TaxonomicClassifiers[Taxonomic Classifier Name],0),"00000"))),
IF(ISERROR(MATCH(OFFSET(INDIRECT(INDEX(ResultColumnFinder[First Value Address],MATCH(CONCATENATE("TaxonomicClassifierName",$AR6),ResultColumnFinder[Concat2],0)),FALSE),ROW()-4-($AR6-1)*NumSpecimens,0),TaxonomicClassifiers[Taxonomic Classifier Name],0)),
"",
CONCATENATE("*VariableID",TEXT(MATCH(OFFSET(INDIRECT(INDEX(ResultColumnFinder[First Value Address],MATCH(CONCATENATE("TaxonomicClassifierName",$AR6),ResultColumnFinder[Concat2],0)),FALSE),ROW()-4-($AR6-1)*NumSpecimens,0),TaxonomicClassifiers[Taxonomic Classifier Name],0),"00000")))))</f>
        <v>#N/A</v>
      </c>
      <c r="BJ6" s="26" t="e">
        <f>IF(INDEX(ResultColumnFinder[First Value Address],MATCH(CONCATENATE("ProcessingLevelCode",$AR6),ResultColumnFinder[Concat2],0))="NOT GIVEN",
"PLEASE NOTE: A PROCESSING LEVEL CODE MUST BE SPECIFIED FOR EACH RESULT",
IF(LEFT(INDEX(ResultColumnFinder[First Value Address],MATCH(CONCATENATE("ProcessingLevelCode",$AR6),ResultColumnFinder[Concat2],0)),14)="'Data Columns'",
IF(ISERROR(MATCH(INDIRECT(INDEX(ResultColumnFinder[First Value Address],MATCH(CONCATENATE("ProcessingLevelCode",$AR6),ResultColumnFinder[Concat2],0)),FALSE),ProcessingLevels[Processing Level Code],0)),
CONCATENATE("PLEASE FILL IN A VALID PROCESSING LEVEL CODE FOR ",$AS6),
CONCATENATE("*ProcessingLevelID",TEXT(MATCH(INDIRECT(INDEX(ResultColumnFinder[First Value Address],MATCH(CONCATENATE("ProcessingLevelCode",$AR6),ResultColumnFinder[Concat2],0)),FALSE),ProcessingLevels[Processing Level Code],0),"00000"))),
IF(ISERROR(MATCH(OFFSET(INDIRECT(INDEX(ResultColumnFinder[First Value Address],MATCH(CONCATENATE("ProcessingLevelCode",$AR6),ResultColumnFinder[Concat2],0)),FALSE),ROW()-4-($AR6-1)*NumSpecimens,0),ProcessingLevels[Processing Level Code],0)),
CONCATENATE("PLEASE SPECIFY A VALID PROCESSING LEVEL CODE FOR ",$AS6," IN ROW ",ROW()-4-($AR6-1)*NumSpecimens),
CONCATENATE("*ProcessingLevelID",TEXT(MATCH(OFFSET(INDIRECT(INDEX(ResultColumnFinder[First Value Address],MATCH(CONCATENATE("ProcessingLevelCode",$AR6),ResultColumnFinder[Concat2],0)),FALSE),ROW()-4-($AR6-1)*NumSpecimens,0),ProcessingLevels[Processing Level Code],0),"00000")))))</f>
        <v>#N/A</v>
      </c>
      <c r="BK6"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Address],MATCH("CollectionDateTime",SpecimenColumnFinder[DataType],0)),FALSE),ROW()-4-($AR6-1)*NumSpecimens,0)="",
CONCATENATE("PLEASE SPECIFY A SPECIMEN COLLECTION DATE/TIME IN ROW ",ROW()-4-($AR6-1)*NumSpecimens),
TEXT(OFFSET(INDIRECT(INDEX(SpecimenColumnFinder[First Value Address],MATCH("CollectionDateTime",SpecimenColumnFinder[DataType],0)),FALSE),ROW()-4-($AR6-1)*NumSpecimens,0),"yyyy-mm-dd hh:mm:ss")))</f>
        <v>PLEASE NOTE: THE SPECIMEN COLLECTION DATE/TIME MUST BE SPECIFIED</v>
      </c>
      <c r="BL6"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Address],MATCH("CollectionDateTimeUTCOffset",SpecimenColumnFinder[DataType],0)),FALSE),ROW()-4-($AR6-1)*NumSpecimens,0)="",
CONCATENATE("PLEASE SPECIFY A COLLECTION TIME UTC OFFSET IN ROW ",ROW()-4-($AR6-1)*NumSpecimens),
OFFSET(INDIRECT(INDEX(SpecimenColumnFinder[First Value Address],MATCH("CollectionDateTimeUTCOffset",SpecimenColumnFinder[DataType],0)),FALSE),ROW()-4-($AR6-1)*NumSpecimens,0)))</f>
        <v>#N/A</v>
      </c>
      <c r="BM6" s="26" t="e">
        <f>IF(INDEX(ResultColumnFinder[First Value Address],MATCH(CONCATENATE("SampledMediumCV",$AR6),ResultColumnFinder[Concat2],0))="NOT GIVEN",
"PLEASE NOTE: A SAMPLED MEDIUM MUST BE SPECIFIED FOR EACH RESULT",
IF(LEFT(INDEX(ResultColumnFinder[First Value Address],MATCH(CONCATENATE("SampledMediumCV",$AR6),ResultColumnFinder[Concat2],0)),14)="'Data Columns'",
IF(COUNTIF(SampledMediumCV,INDIRECT(INDEX(ResultColumnFinder[First Value Address],MATCH(CONCATENATE("SampledMediumCV",$AR6),ResultColumnFinder[Concat2],0)),FALSE))=0,
CONCATENATE("PLEASE FILL IN A VALID SAMPLED MEDIUM FOR ",$AS6),
INDIRECT(INDEX(ResultColumnFinder[First Value Address],MATCH(CONCATENATE("SampledMediumCV",$AR6),ResultColumnFinder[Concat2],0)),FALSE)),
IF(COUNTIF(SampledMediumCV,OFFSET(INDIRECT(INDEX(ResultColumnFinder[First Value Address],MATCH(CONCATENATE("SampledMediumCV",$AR6),ResultColumnFinder[Concat2],0)),FALSE),ROW()-4-($AR6-1)*NumSpecimens,0))=0,
CONCATENATE("PLEASE SPECIFY A VALID SAMPLED MEDIUM FOR ",$AS6," IN ROW ",ROW()-4-($AR6-1)*NumSpecimens),
OFFSET(INDIRECT(INDEX(ResultColumnFinder[First Value Address],MATCH(CONCATENATE("SampledMediumCV",$AR6),ResultColumnFinder[Concat2],0)),FALSE),ROW()-4-($AR6-1)*NumSpecimens,0))
))</f>
        <v>#N/A</v>
      </c>
      <c r="BN6" s="26" t="e">
        <f>IF(BF6&lt;&gt;"Measurement","",
IF(INDEX(ResultColumnFinder[First Value Address],MATCH(CONCATENATE("CensorCodeCV",$AR6),ResultColumnFinder[Concat2],0))="NOT GIVEN",
"PLEASE NOTE: A CENSOR CODE MUST BE SPECIFIED FOR EACH RESULT",
IF(LEFT(INDEX(ResultColumnFinder[First Value Address],MATCH(CONCATENATE("CensorCodeCV",$AR6),ResultColumnFinder[Concat2],0)),14)="'Data Columns'",
IF(COUNTIF(CensorCodeCV,INDIRECT(INDEX(ResultColumnFinder[First Value Address],MATCH(CONCATENATE("CensorCodeCV",$AR6),ResultColumnFinder[Concat2],0)),FALSE))=0,
CONCATENATE("PLEASE FILL IN A VALID CENSOR CODE FOR ",$AS6),
INDIRECT(INDEX(ResultColumnFinder[First Value Address],MATCH(CONCATENATE("CensorCodeCV",$AR6),ResultColumnFinder[Concat2],0)),FALSE)),
IF(COUNTIF(CensorCodeCV,OFFSET(INDIRECT(INDEX(ResultColumnFinder[First Value Address],MATCH(CONCATENATE("CensorCodeCV",$AR6),ResultColumnFinder[Concat2],0)),FALSE),ROW()-4-($AR6-1)*NumSpecimens,0))=0,
CONCATENATE("PLEASE SPECIFY A VALID CENSOR CODE FOR ",$AS6," IN ROW ",ROW()-4-($AR6-1)*NumSpecimens),
OFFSET(INDIRECT(INDEX(ResultColumnFinder[First Value Address],MATCH(CONCATENATE("CensorCodeCV",$AR6),ResultColumnFinder[Concat2],0)),FALSE),ROW()-4-($AR6-1)*NumSpecimens,0))
)))</f>
        <v>#N/A</v>
      </c>
      <c r="BO6" s="26" t="e">
        <f>IF(INDEX(ResultColumnFinder[First Value Address],MATCH(CONCATENATE("QualityCodeCV",$AR6),ResultColumnFinder[Concat2],0))="NOT GIVEN",
"PLEASE NOTE: A QUALITY CODE MUST BE SPECIFIED FOR EACH RESULT",
IF(LEFT(INDEX(ResultColumnFinder[First Value Address],MATCH(CONCATENATE("QualityCodeCV",$AR6),ResultColumnFinder[Concat2],0)),14)="'Data Columns'",
IF(COUNTIF(QualityCodeCV,INDIRECT(INDEX(ResultColumnFinder[First Value Address],MATCH(CONCATENATE("QualityCodeCV",$AR6),ResultColumnFinder[Concat2],0)),FALSE))=0,
CONCATENATE("PLEASE FILL IN A VALID QUALITY CODE FOR ",$AS6),
INDIRECT(INDEX(ResultColumnFinder[First Value Address],MATCH(CONCATENATE("QualityCodeCV",$AR6),ResultColumnFinder[Concat2],0)),FALSE)),
IF(COUNTIF(QualityCodeCV,OFFSET(INDIRECT(INDEX(ResultColumnFinder[First Value Address],MATCH(CONCATENATE("QualityCodeCV",$AR6),ResultColumnFinder[Concat2],0)),FALSE),ROW()-4-($AR6-1)*NumSpecimens,0))=0,
CONCATENATE("PLEASE SPECIFY A VALID QUALITY CODE FOR ",$AS6," IN ROW ",ROW()-4-($AR6-1)*NumSpecimens),
OFFSET(INDIRECT(INDEX(ResultColumnFinder[First Value Address],MATCH(CONCATENATE("QualityCodeCV",$AR6),ResultColumnFinder[Concat2],0)),FALSE),ROW()-4-($AR6-1)*NumSpecimens,0))
))</f>
        <v>#N/A</v>
      </c>
      <c r="BP6" s="26" t="e">
        <f>IF(BF6&lt;&gt;"Measurement","",
IF(INDEX(ResultColumnFinder[First Value Address],MATCH(CONCATENATE("AggregationStatisticCV",$AR6),ResultColumnFinder[Concat2],0))="NOT GIVEN",
"PLEASE NOTE: AN AGGREGATION STATISTIC MUST BE SPECIFIED FOR EACH MEASUREMENT RESULT",
IF(LEFT(INDEX(ResultColumnFinder[First Value Address],MATCH(CONCATENATE("AggregationStatisticCV",$AR6),ResultColumnFinder[Concat2],0)),14)="'Data Columns'",
IF(COUNTIF(AggregationStatisticCV,INDIRECT(INDEX(ResultColumnFinder[First Value Address],MATCH(CONCATENATE("AggregationStatisticCV",$AR6),ResultColumnFinder[Concat2],0)),FALSE))=0,
CONCATENATE("PLEASE FILL IN A VALID AGGREGATION STATISTIC FOR ",$AS6),
INDIRECT(INDEX(ResultColumnFinder[First Value Address],MATCH(CONCATENATE("AggregationStatisticCV",$AR6),ResultColumnFinder[Concat2],0)),FALSE)),
IF(COUNTIF(AggregationStatisticCV,OFFSET(INDIRECT(INDEX(ResultColumnFinder[First Value Address],MATCH(CONCATENATE("AggregationStatisticCV",$AR6),ResultColumnFinder[Concat2],0)),FALSE),ROW()-4-($AR6-1)*NumSpecimens,0))=0,
CONCATENATE("PLEASE SPECIFY A VALID AGGREGATION STATISTIC FOR ",$AS6," IN ROW ",ROW()-4-($AR6-1)*NumSpecimens),
OFFSET(INDIRECT(INDEX(ResultColumnFinder[First Value Address],MATCH(CONCATENATE("AggregationStatisticCV",$AR6),ResultColumnFinder[Concat2],0)),FALSE),ROW()-4-($AR6-1)*NumSpecimens,0))
)))</f>
        <v>#N/A</v>
      </c>
      <c r="BQ6" s="26" t="e">
        <f>IF(BF6&lt;&gt;"Measurement","",
IF(INDEX(ResultColumnFinder[First Value Address],MATCH(CONCATENATE("TimeAggregationInterval",$AR6),ResultColumnFinder[Concat2],0))="NOT GIVEN",
"PLEASE NOTE: A TIME AGGREGATION INTERVAL MUST BE SPECIFIED FOR EACH RESULT",
IF(LEFT(INDEX(ResultColumnFinder[First Value Address],MATCH(CONCATENATE("TimeAggregationInterval",$AR6),ResultColumnFinder[Concat2],0)),14)="'Data Columns'",
IF(INDIRECT(INDEX(ResultColumnFinder[First Value Address],MATCH(CONCATENATE("TimeAggregationInterval",$AR6),ResultColumnFinder[Concat2],0)),FALSE)="",
CONCATENATE("PLEASE FILL IN A TIME AGGREGATION INTERVAL FOR ",$AS6),
INDIRECT(INDEX(ResultColumnFinder[First Value Address],MATCH(CONCATENATE("TimeAggregationInterval",$AR6),ResultColumnFinder[Concat2],0)),FALSE)),
IF(OFFSET(INDIRECT(INDEX(ResultColumnFinder[First Value Address],MATCH(CONCATENATE("TimeAggregationInterval",$AR6),ResultColumnFinder[Concat2],0)),FALSE),ROW()-4-($AR6-1)*NumSpecimens,0)="",
CONCATENATE("PLEASE SPECIFY A TIME AGGREGATION INTERVAL FOR ",$AS6," IN ROW ",ROW()-4-($AR6-1)*NumSpecimens),
OFFSET(INDIRECT(INDEX(ResultColumnFinder[First Value Address],MATCH(CONCATENATE("TimeAggregationInterval",$AR6),ResultColumnFinder[Concat2],0)),FALSE),ROW()-4-($AR6-1)*NumSpecimens,0))
)))</f>
        <v>#N/A</v>
      </c>
      <c r="BR6" s="26" t="e">
        <f>IF(BF6&lt;&gt;"Measurement","",
IF(INDEX(ResultColumnFinder[First Value Address],MATCH(CONCATENATE("TimeAggregationIntervalUnitCode",$AR6),ResultColumnFinder[Concat2],0))="NOT GIVEN",
"PLEASE NOTE: A TIME AGGREGATION UNIT MUST BE SPECIFIED FOR EACH RESULT",
IF(LEFT(INDEX(ResultColumnFinder[First Value Address],MATCH(CONCATENATE("TimeAggregationIntervalUnitCode",$AR6),ResultColumnFinder[Concat2],0)),14)="'Data Columns'",
IF(INDIRECT(INDEX(ResultColumnFinder[First Value Address],MATCH(CONCATENATE("TimeAggregationIntervalUnitCode",$AR6),ResultColumnFinder[Concat2],0)),FALSE)="",
CONCATENATE("PLEASE FILL IN A TIME AGGREGATION UNIT FOR ",$AS6),
INDIRECT(INDEX(ResultColumnFinder[First Value Address],MATCH(CONCATENATE("TimeAggregationIntervalUnitCode",$AR6),ResultColumnFinder[Concat2],0)),FALSE)),
IF(OFFSET(INDIRECT(INDEX(ResultColumnFinder[First Value Address],MATCH(CONCATENATE("TimeAggregationIntervalUnitCode",$AR6),ResultColumnFinder[Concat2],0)),FALSE),ROW()-4-($AR6-1)*NumSpecimens,0)="",
CONCATENATE("PLEASE SPECIFY A TIME AGGREGATION UNIT FOR ",$AS6," IN ROW ",ROW()-4-($AR6-1)*NumSpecimens),
OFFSET(INDIRECT(INDEX(ResultColumnFinder[First Value Address],MATCH(CONCATENATE("TimeAggregationIntervalUnitCode",$AR6),ResultColumnFinder[Concat2],0)),FALSE),ROW()-4-($AR6-1)*NumSpecimens,0))
)))</f>
        <v>#N/A</v>
      </c>
      <c r="BS6" s="26" t="str">
        <f>IF(NumDataColumns=0,"PLEASE SELECT AT LEAST 1 COLUMN OF RESULT VALUES",
IF(AT6="","",
CONCATENATE("  - &amp;ResultID",TEXT(ROW()-3,"00000"),
" {","ResultUUID:  ",CHAR(34),BE6,CHAR(34),
", FeatureActionObj: *FeatureActionID",TEXT(ROW()-3,"00000"),
", ResultTypeCV:  ",CHAR(34),BF6,CHAR(34),
", VariableObj:  ",BG6,
", UnitsObj:  ",BH6,
", TaxonomicClassifierObj:  ",BI6,
", ProcessingLevelObj:  ",BJ6,
", ResultDateTime:  ",BK6,
", ResultDateTimeUTCOffset:  ",BL6,
", ValidDateTime:  ","NULL",
", ValidDateTimeUTCOffset:  ","NULL",
", StatusCV:  ","NULL",
", SampledMediumCV:  ",CHAR(34),BM6,CHAR(34),
", ValueCount:  ",1,"}")))</f>
        <v>PLEASE SELECT AT LEAST 1 COLUMN OF RESULT VALUES</v>
      </c>
      <c r="BT6" s="26" t="str">
        <f>IF(ROW()-3&gt;NumDataColumns*NumSpecimens,"",
IF(AT6="","",
CONCATENATE("  - {DatasetObj: *DatasetID00001, ",
"ResultObj: *ResultID",TEXT(ROW()-3,"00000"),
"}")))</f>
        <v/>
      </c>
      <c r="BU6" s="26" t="e">
        <f t="shared" si="5"/>
        <v>#N/A</v>
      </c>
      <c r="BV6" s="26" t="e">
        <f>IF(BF6&lt;&gt;"Measurement","",
IF(AT6="","",
CONCATENATE("  - &amp;MeasurementResultValueID",TEXT(ROW()-3,"00000"),
" {","MeasurementResultObj: *MeasurementResultID",TEXT(ROW()-3,"00000"),
", DataValue: ",AT6,
", ValueDateTime:  ",CHAR(34),BK6,CHAR(34),
", ValueDateTimeUTCOffset:  ",BL6,
"}")))</f>
        <v>#N/A</v>
      </c>
      <c r="BW6" s="26" t="e">
        <f t="shared" si="6"/>
        <v>#N/A</v>
      </c>
      <c r="BX6" s="26" t="e">
        <f>IF(BF6="Measurement","",
IF(AT6="","",
CONCATENATE("  - &amp;CategoricalResultValueID",TEXT(ROW()-3,"00000"),
" {","MeasurementResultObj: *CategoricalResultID",TEXT(ROW()-3,"00000"),
", DataValue: ",AT6,
", ValueDateTime:  ",CHAR(34),BK6,CHAR(34),
", ValueDateTimeUTCOffset:  ",BL6,
"}")))</f>
        <v>#N/A</v>
      </c>
    </row>
    <row r="7" spans="1:82" x14ac:dyDescent="0.25">
      <c r="A7" s="26">
        <f t="shared" si="0"/>
        <v>4</v>
      </c>
      <c r="D7"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7"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7"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7"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7"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7"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7"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7"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7"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7"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7"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7"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7"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7" s="26" t="str">
        <f>IF(ROW()-3&gt;NumParentSamplingFeatures+NumSpecimens,"",
IF(ROW()-3&gt;NumParentSamplingFeatures,
CONCATENATE("  - &amp;SamplingFeatureID",TEXT(ROW()-3,"00000"),
" {","SamplingFeatureUUID:  ",CHAR(34),O7,CHAR(34),
", SamplingFeatureTypeCV:  ",CHAR(34),"Specimen",CHAR(34),
", SamplingFeatureCode:  ",CHAR(34),P7,CHAR(34),
", SamplingFeatureName:  ",CHAR(34),Q7,CHAR(34),
", SamplingFeatureDescription:  ",CHAR(34),R7,CHAR(34),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7" s="26" t="str">
        <f>IF(AND(NumIGSNs=0,COUNTIF(DataColumns[ColumnType],"SpecimenIGSN")=0),"",
IF(ROW()-3&gt;NumIGSNs+NumSpecimens,"",
IF(ROW()-3&gt;NumIGSNs,
IF(ISERROR(MATCH("SpecimenIGSN",DataColumns[ColumnType],0)),"",
IF(S7="","",
CONCATENATE("  - {",
"SamplingFeatureObj:  *SamplingFeatureID",TEXT(ROW()-2-NumIGSNs+NumParentSamplingFeatures-1,"00000"),
", ExternalIdentifierSystemObj:  *ExternalIdentifierSystemID00003",
", SamplingFeatureExternalIdentifier:  ",CHAR(34),S7,CHAR(34),
", SamplingFeatureExternalIdentifierURI:  ",CHAR(34),"http://app.geosamples.org/sample/igsn/",S7,CHAR(34),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7"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7" s="26" t="str">
        <f>IF(ROW()-4&gt;NumParentSpecimens+NumSpecimens,"",
IF(ROW()-3&gt;NumParentSpecimens,
CONCATENATE("  - {",
"SamplingFeatureObj:  *SamplingFeatureID",TEXT(ROW()-3+NumParentSamplingFeatures,"00000"),
", SpecimenTypeCV:  ",CHAR(34),T7,CHAR(34),
", SpecimenMediumCV:  ",CHAR(34),U7,CHAR(34),
", IsFieldSpecimen:  ",CHAR(34),V7,CHAR(34),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7"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7" s="26" t="str">
        <f t="shared" si="3"/>
        <v>*SamplingFeatureID00004</v>
      </c>
      <c r="AC7"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7"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7"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7" s="26" t="str">
        <f>IF(AND(NumRelatedFeatures=0,MATCH("ParentSamplingFeatureCode",SpecimenColumnFinder[DataType],0)="NOT GIVEN"),"",
IF(ROW()-3&gt;NumRelatedFeatures+NumSpecimens,"",
IF(ROW()-3&gt;NumRelatedFeatures,
IF(AD7="NO RELATED FEATURE","",
CONCATENATE("  - {",
"SamplingFeatureObj:  ",AB7,
", RelationshipTypeCV:  ",CHAR(34),AC7,CHAR(34),
", RelatedFeatureObj: ",AD7,
", SpatialOffsetObj:  ",IF(AE7="","NULL",AE7),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7"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7"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7"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7"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7"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7"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7"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7"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7" s="26" t="str">
        <f t="shared" si="1"/>
        <v>*SamplingFeatureID00004</v>
      </c>
      <c r="AQ7" s="26" t="str">
        <f>IF(ROW()-3&gt;NumSpecimens,"",
CONCATENATE("  - &amp;ActionID",TEXT(ROW()-3,"00000"),
" {","ActionTypeCV:  ",CHAR(34),"Specimen collection",CHAR(34),
", MethodObj: ",AL7,
", BeginDateTime:  ",CHAR(34),AM7,CHAR(34),
", BeginDateTimeUTCOffset:  ",CHAR(34),AN7,CHAR(34),
", EndDateTime:  ","NULL",
", EndDateTimeUTCOffset:  ","NULL",
", ActionDescription:  ",CHAR(34),"Action generated by Excel Template for ",TemplateProfile," v.",TemplateVersion,CHAR(34),
", ActionFileLink:  ",CHAR(34),CHAR(34),
,"}"))</f>
        <v/>
      </c>
      <c r="AR7" s="26">
        <f t="shared" si="4"/>
        <v>4</v>
      </c>
      <c r="AS7" s="26" t="e">
        <f>INDEX(ResultColumnFinder[Data Value Label],MATCH($AR7,ResultColumnFinder[DV Num],1))</f>
        <v>#N/A</v>
      </c>
      <c r="AT7" s="26" t="e">
        <f>IF(INDEX(ResultColumnFinder[First Value Address],MATCH(CONCATENATE("ResultValue",$AR7),ResultColumnFinder[Concat2],0))="NOT GIVEN",
"",
IF(OFFSET(INDIRECT(INDEX(ResultColumnFinder[First Value Address],MATCH(CONCATENATE("ResultValue",$AR7),ResultColumnFinder[Concat2],0)),FALSE),ROW()-4-($AR7-1)*NumSpecimens,0)="",
"",
OFFSET(INDIRECT(INDEX(ResultColumnFinder[First Value Address],MATCH(CONCATENATE("ResultValue",$AR7),ResultColumnFinder[Concat2],0)),FALSE),ROW()-4-($AR7-1)*NumSpecimens,0))
)</f>
        <v>#N/A</v>
      </c>
      <c r="AU7" s="26" t="e">
        <f>IF(INDEX(ResultColumnFinder[First Value Address],MATCH(CONCATENATE("AnalysisMethodCode",$AR7),ResultColumnFinder[Concat2],0))="NOT GIVEN",
CONCATENATE("PLEASE FILL IN A VALID ANALYSIS METHOD CODE FOR ",$AS7),
IF(LEFT(INDEX(ResultColumnFinder[First Value Address],MATCH(CONCATENATE("AnalysisMethodCode",$AR7),ResultColumnFinder[Concat2],0)),14)="'Data Columns'",
IF(ISERROR(MATCH(INDIRECT(INDEX(ResultColumnFinder[First Value Address],MATCH(CONCATENATE("AnalysisMethodCode",$AR7),ResultColumnFinder[Concat2],0)),FALSE),Methods[Method Code],0)),
CONCATENATE("PLEASE FILL IN A VALID ANALYSIS METHOD CODE FOR ",$AS7),
CONCATENATE("*MethodID",TEXT(MATCH(INDIRECT(INDEX(ResultColumnFinder[First Value Address],MATCH(CONCATENATE("AnalysisMethodCode",$AR7),ResultColumnFinder[Concat2],0)),FALSE),Methods[Method Code],0),"00000"))),
IF(ISERROR(MATCH(OFFSET(INDIRECT(INDEX(ResultColumnFinder[First Value Address],MATCH(CONCATENATE("AnalysisMethodCode",$AR7),ResultColumnFinder[Concat2],0)),FALSE),ROW()-4-($AR7-1)*NumSpecimens,0),Methods[Method Code],0)),
CONCATENATE("PLEASE SPECIFY A VALID ANALYSIS METHOD CODE FOR ",$AS7," IN ROW ",ROW()-4-($AR7-1)*NumSpecimens),
CONCATENATE("*MethodID",TEXT(MATCH(OFFSET(INDIRECT(INDEX(ResultColumnFinder[First Value Address],MATCH(CONCATENATE("AnalysisMethodCode",$AR7),ResultColumnFinder[Concat2],0)),FALSE),ROW()-4-($AR7-1)*NumSpecimens,0),Methods[Method Code],0),"00000")))))</f>
        <v>#N/A</v>
      </c>
      <c r="AV7" s="26" t="e">
        <f>IF(INDEX(ResultColumnFinder[First Value Address],MATCH(CONCATENATE("AnalysisDateTime",$AR7),ResultColumnFinder[Concat2],0))="NOT GIVEN",
"",
IF(OFFSET(INDIRECT(INDEX(ResultColumnFinder[First Value Address],MATCH(CONCATENATE("AnalysisDateTime",$AR7),ResultColumnFinder[Concat2],0)),FALSE),ROW()-4-($AR7-1)*NumSpecimens,0)="",
CONCATENATE("PLEASE SPECIFY AN ANALYSIS TIME FOR ",$AS7," IN ROW ",ROW()-4-($AR7-1)*NumSpecimens),
TEXT(OFFSET(INDIRECT(INDEX(ResultColumnFinder[First Value Address],MATCH(CONCATENATE("AnalysisDateTime",$AR7),ResultColumnFinder[Concat2],0)),FALSE),ROW()-4-($AR7-1)*NumSpecimens,0),"yyyy-mm-dd hh:mm:ss")))</f>
        <v>#N/A</v>
      </c>
      <c r="AW7" s="26" t="e">
        <f>IF(INDEX(ResultColumnFinder[First Value Address],MATCH(CONCATENATE("AnalysisDateTimeUTCOffset",$AR7),ResultColumnFinder[Concat2],0))="NOT GIVEN",
"",
IF(LEFT(INDEX(ResultColumnFinder[First Value Address],MATCH(CONCATENATE("AnalysisDateTimeUTCOffset",$AR7),ResultColumnFinder[Concat2],0)),14)="'Data Columns'",
IF(INDIRECT(INDEX(ResultColumnFinder[First Value Address],MATCH(CONCATENATE("AnalysisDateTimeUTCOffset",$AR7),ResultColumnFinder[Concat2],0)),FALSE)="",
CONCATENATE("PLEASE FILL IN AN ANALYSIS TIME UTC OFFSET FOR ",$AS7),
INDIRECT(INDEX(ResultColumnFinder[First Value Address],MATCH(CONCATENATE("AnalysisDateTimeUTCOffset",$AR7),ResultColumnFinder[Concat2],0)),FALSE)),
IF(OFFSET(INDIRECT(INDEX(ResultColumnFinder[First Value Address],MATCH(CONCATENATE("AnalysisDateTimeUTCOffset",$AR7),ResultColumnFinder[Concat2],0)),FALSE),ROW()-4-($AR7-1)*NumSpecimens,0)="",
CONCATENATE("PLEASE SPECIFY AN ANALYSIS TIME UTC OFFSET FOR ",$AS7," IN ROW ",ROW()-4-($AR7-1)*NumSpecimens),
OFFSET(INDIRECT(INDEX(ResultColumnFinder[First Value Address],MATCH(CONCATENATE("AnalysisDateTimeUTCOffset",$AR7),ResultColumnFinder[Concat2],0)),FALSE),ROW()-4-($AR7-1)*NumSpecimens,0))))</f>
        <v>#N/A</v>
      </c>
      <c r="AX7" s="26" t="e">
        <f>IF(INDEX(ResultColumnFinder[First Value Address],MATCH(CONCATENATE("ResultAnalyst",$AR7),ResultColumnFinder[Concat2],0))="NOT GIVEN",
"",
IF(LEFT(INDEX(ResultColumnFinder[First Value Address],MATCH(CONCATENATE("ResultAnalyst",$AR7),ResultColumnFinder[Concat2],0)),14)="'Data Columns'",
IF(ISERROR(MATCH(INDIRECT(INDEX(ResultColumnFinder[First Value Address],MATCH(CONCATENATE("ResultAnalyst",$AR7),ResultColumnFinder[Concat2],0)),FALSE),People[Full Name],0)),
CONCATENATE("PLEASE FILL IN A VALID ANALYST FOR ",$AS7),
CONCATENATE("*AffiliationID",TEXT(MATCH(INDIRECT(INDEX(ResultColumnFinder[First Value Address],MATCH(CONCATENATE("ResultAnalyst",$AR7),ResultColumnFinder[Concat2],0)),FALSE),People[Full Name],0),"00000"))),
IF(OFFSET(INDIRECT(INDEX(ResultColumnFinder[First Value Address],MATCH(CONCATENATE("ResultAnalyst",$AR7),ResultColumnFinder[Concat2],0)),FALSE),ROW()-4-($AR7-1)*NumSpecimens,0)="",
"",
IF(ISERROR(MATCH(OFFSET(INDIRECT(INDEX(ResultColumnFinder[First Value Address],MATCH(CONCATENATE("ResultAnalyst",$AR7),ResultColumnFinder[Concat2],0)),FALSE),ROW()-4-($AR7-1)*NumSpecimens,0),People[Full Name],0)),
CONCATENATE("PLEASE SPECIFY A VALID ANALYST FOR ",$AS7," IN ROW ",ROW()-4-($AR7-1)*NumSpecimens),
CONCATENATE("*AffiliationID",TEXT(MATCH(OFFSET(INDIRECT(INDEX(ResultColumnFinder[First Value Address],MATCH(CONCATENATE("ResultAnalyst",$AR7),ResultColumnFinder[Concat2],0)),FALSE),ROW()-4-($AR7-1)*NumSpecimens,0),People[Full Name],0),"00000"))))))</f>
        <v>#N/A</v>
      </c>
      <c r="AY7" s="26" t="str">
        <f t="shared" si="2"/>
        <v>*SamplingFeatureID00001</v>
      </c>
      <c r="AZ7" s="26" t="str">
        <f>IF(ROW()-3&gt;NumDataColumns*NumSpecimens,"",
IF(AT7="","",
CONCATENATE("  - &amp;ActionID",TEXT(ROW()-3+NumSpecimens,"00000"),
" {","ActionTypeCV:  ",CHAR(34),"Specimen analysis",CHAR(34),
", MethodObj: ",AU7,
", BeginDateTime:  ",CHAR(34),AV7,CHAR(34),
", BeginDateTimeUTCOffset:  ",CHAR(34),AW7,CHAR(34),
", EndDateTime:  ","NULL",
", EndDateTimeUTCOffset:  ","NULL",
", ActionDescription:  ",CHAR(34),"Action generated by Excel Template for ",TemplateProfile," v.",TemplateVersion,CHAR(34),
", ActionFileLink:  ","NULL",
,"}")))</f>
        <v/>
      </c>
      <c r="BA7" s="26" t="str">
        <f>IF(ROW()-3&gt;NumSpecimens,"",
CONCATENATE("  - &amp;FeatureActionID",TEXT(ROW()-3,"00000"),
" {","SamplingFeatureObj:  ",AP7,
", ActionObj:  *ActionID",TEXT(ROW()-3,"00000"),"}"))</f>
        <v/>
      </c>
      <c r="BB7" s="26" t="str">
        <f>IF(ROW()-3&gt;NumDataColumns*NumSpecimens,"",
IF(AT7="","",
CONCATENATE("  - &amp;FeatureActionID",TEXT(ROW()-3+NumSpecimens,"00000"),
" {","SamplingFeatureObj:  ",AY7,
", ActionObj:  *ActionID",TEXT(ROW()-3+NumSpecimens,"00000"),"}")))</f>
        <v/>
      </c>
      <c r="BC7" s="26" t="str">
        <f>IF(ROW()-3&gt;NumSpecimens,"",
IF(AO7="","",
CONCATENATE("  - {",
"ActionObj:  *ActionID",TEXT(ROW()-3,"00000"),
", AffiliationObj:  ",AO7,
", IsActionLead: TRUE",
", RoleDescription: ","NULL",
"}")))</f>
        <v/>
      </c>
      <c r="BD7" s="26" t="str">
        <f>IF(ROW()-3&gt;NumDataColumns*NumSpecimens,"",
IF(AT7="","",
IF(AX7="","",
CONCATENATE("  - {",
"ActionObj:  *ActionID",TEXT(ROW()-3+NumSpecimens,"00000"),
", AffiliationObj:  ",AX7,
", IsActionLead: TRUE",
", RoleDescription: ","NULL",
"}"))))</f>
        <v/>
      </c>
      <c r="BE7" s="26" t="e">
        <f>IF(INDEX(ResultColumnFinder[First Value Address],MATCH(CONCATENATE("ResultUUID",$AR7),ResultColumnFinder[Concat2],0))="NOT GIVEN",
"",
IF(OFFSET(INDIRECT(INDEX(ResultColumnFinder[First Value Address],MATCH(CONCATENATE("ResultUUID",$AR7),ResultColumnFinder[Concat2],0)),FALSE),ROW()-4-($AR7-1)*NumSpecimens,0)="",
"",
OFFSET(INDIRECT(INDEX(ResultColumnFinder[First Value Address],MATCH(CONCATENATE("ResultUUID",$AR7),ResultColumnFinder[Concat2],0)),FALSE),ROW()-4-($AR7-1)*NumSpecimens,0))
)</f>
        <v>#N/A</v>
      </c>
      <c r="BF7" s="26" t="e">
        <f>IF(INDEX(ResultColumnFinder[First Value Address],MATCH(CONCATENATE("ResultTypeCV",$AR7),ResultColumnFinder[Concat2],0))="NOT GIVEN",
"PLEASE NOTE: A  RESULT TYPE MUST BE SPECIFIED FOR EACH RESULT",
IF(LEFT(INDEX(ResultColumnFinder[First Value Address],MATCH(CONCATENATE("ResultTypeCV",$AR7),ResultColumnFinder[Concat2],0)),14)="'Data Columns'",
IF(COUNTIF(ResultTypeCV,INDIRECT(INDEX(ResultColumnFinder[First Value Address],MATCH(CONCATENATE("ResultTypeCV",$AR7),ResultColumnFinder[Concat2],0)),FALSE))=0,
CONCATENATE("PLEASE FILL IN A VALID  RESULT TYPE FOR ",$AS7),
INDIRECT(INDEX(ResultColumnFinder[First Value Address],MATCH(CONCATENATE("ResultTypeCV",$AR7),ResultColumnFinder[Concat2],0)),FALSE)),
IF(COUNTIF(ResultTypeCV,OFFSET(INDIRECT(INDEX(ResultColumnFinder[First Value Address],MATCH(CONCATENATE("ResultTypeCV",$AR7),ResultColumnFinder[Concat2],0)),FALSE),ROW()-4-($AR7-1)*NumSpecimens,0))=0,
CONCATENATE("PLEASE SPECIFY A VALID  RESULT TYPE FOR ",$AS7," IN ROW ",ROW()-4-($AR7-1)*NumSpecimens),
OFFSET(INDIRECT(INDEX(ResultColumnFinder[First Value Address],MATCH(CONCATENATE("ResultTypeCV",$AR7),ResultColumnFinder[Concat2],0)),FALSE),ROW()-4-($AR7-1)*NumSpecimens,0))
))</f>
        <v>#N/A</v>
      </c>
      <c r="BG7" s="26" t="e">
        <f>IF(INDEX(ResultColumnFinder[First Value Address],MATCH(CONCATENATE("VariableCode",$AR7),ResultColumnFinder[Concat2],0))="NOT GIVEN",
"PLEASE NOTE: A VARIABLE CODE MUST BE SPECIFIED FOR EACH RESULT",
IF(LEFT(INDEX(ResultColumnFinder[First Value Address],MATCH(CONCATENATE("VariableCode",$AR7),ResultColumnFinder[Concat2],0)),14)="'Data Columns'",
IF(ISERROR(MATCH(INDIRECT(INDEX(ResultColumnFinder[First Value Address],MATCH(CONCATENATE("VariableCode",$AR7),ResultColumnFinder[Concat2],0)),FALSE),Variables[Variable Code],0)),
CONCATENATE("PLEASE FILL IN A VALID VARIABLE CODE FOR ",$AS7),
CONCATENATE("*VariableID",TEXT(MATCH(INDIRECT(INDEX(ResultColumnFinder[First Value Address],MATCH(CONCATENATE("VariableCode",$AR7),ResultColumnFinder[Concat2],0)),FALSE),Variables[Variable Code],0),"00000"))),
IF(ISERROR(MATCH(OFFSET(INDIRECT(INDEX(ResultColumnFinder[First Value Address],MATCH(CONCATENATE("VariableCode",$AR7),ResultColumnFinder[Concat2],0)),FALSE),ROW()-4-($AR7-1)*NumSpecimens,0),Variables[Variable Code],0)),
CONCATENATE("PLEASE SPECIFY A VALID VARIABLE CODE FOR ",$AS7," IN ROW ",ROW()-4-($AR7-1)*NumSpecimens),
CONCATENATE("*VariableID",TEXT(MATCH(OFFSET(INDIRECT(INDEX(ResultColumnFinder[First Value Address],MATCH(CONCATENATE("VariableCode",$AR7),ResultColumnFinder[Concat2],0)),FALSE),ROW()-4-($AR7-1)*NumSpecimens,0),Variables[Variable Code],0),"00000")))))</f>
        <v>#N/A</v>
      </c>
      <c r="BH7" s="26" t="e">
        <f>IF(INDEX(ResultColumnFinder[First Value Address],MATCH(CONCATENATE("UnitName",$AR7),ResultColumnFinder[Concat2],0))="NOT GIVEN",
"PLEASE NOTE: A UNIT MUST BE SPECIFIED FOR EACH RESULT",
IF(LEFT(INDEX(ResultColumnFinder[First Value Address],MATCH(CONCATENATE("UnitName",$AR7),ResultColumnFinder[Concat2],0)),14)="'Data Columns'",
IF(INDIRECT(INDEX(ResultColumnFinder[First Value Address],MATCH(CONCATENATE("UnitName",$AR7),ResultColumnFinder[Concat2],0)),FALSE)="",
CONCATENATE("PLEASE FILL IN A UNIT FOR ",$AS7),
INDIRECT(INDEX(ResultColumnFinder[First Value Address],MATCH(CONCATENATE("UnitName",$AR7),ResultColumnFinder[Concat2],0)),FALSE)),
IF(OFFSET(INDIRECT(INDEX(ResultColumnFinder[First Value Address],MATCH(CONCATENATE("UnitName",$AR7),ResultColumnFinder[Concat2],0)),FALSE),ROW()-4-($AR7-1)*NumSpecimens,0)="",
CONCATENATE("PLEASE SPECIFY A UNIT FOR ",$AS7," IN ROW ",ROW()-4-($AR7-1)*NumSpecimens),
OFFSET(INDIRECT(INDEX(ResultColumnFinder[First Value Address],MATCH(CONCATENATE("UnitName",$AR7),ResultColumnFinder[Concat2],0)),FALSE),ROW()-4-($AR7-1)*NumSpecimens,0))
))</f>
        <v>#N/A</v>
      </c>
      <c r="BI7" s="26" t="e">
        <f>IF(INDEX(ResultColumnFinder[First Value Address],MATCH(CONCATENATE("TaxonomicClassifierName",$AR7),ResultColumnFinder[Concat2],0))="NOT GIVEN",
"",
IF(LEFT(INDEX(ResultColumnFinder[First Value Address],MATCH(CONCATENATE("TaxonomicClassifierName",$AR7),ResultColumnFinder[Concat2],0)),14)="'Data Columns'",
IF(ISERROR(MATCH(INDIRECT(INDEX(ResultColumnFinder[First Value Address],MATCH(CONCATENATE("TaxonomicClassifierName",$AR7),ResultColumnFinder[Concat2],0)),FALSE),TaxonomicClassifiers[Taxonomic Classifier Name],0)),
"",
CONCATENATE("*VariableID",TEXT(MATCH(INDIRECT(INDEX(ResultColumnFinder[First Value Address],MATCH(CONCATENATE("TaxonomicClassifierName",$AR7),ResultColumnFinder[Concat2],0)),FALSE),TaxonomicClassifiers[Taxonomic Classifier Name],0),"00000"))),
IF(ISERROR(MATCH(OFFSET(INDIRECT(INDEX(ResultColumnFinder[First Value Address],MATCH(CONCATENATE("TaxonomicClassifierName",$AR7),ResultColumnFinder[Concat2],0)),FALSE),ROW()-4-($AR7-1)*NumSpecimens,0),TaxonomicClassifiers[Taxonomic Classifier Name],0)),
"",
CONCATENATE("*VariableID",TEXT(MATCH(OFFSET(INDIRECT(INDEX(ResultColumnFinder[First Value Address],MATCH(CONCATENATE("TaxonomicClassifierName",$AR7),ResultColumnFinder[Concat2],0)),FALSE),ROW()-4-($AR7-1)*NumSpecimens,0),TaxonomicClassifiers[Taxonomic Classifier Name],0),"00000")))))</f>
        <v>#N/A</v>
      </c>
      <c r="BJ7" s="26" t="e">
        <f>IF(INDEX(ResultColumnFinder[First Value Address],MATCH(CONCATENATE("ProcessingLevelCode",$AR7),ResultColumnFinder[Concat2],0))="NOT GIVEN",
"PLEASE NOTE: A PROCESSING LEVEL CODE MUST BE SPECIFIED FOR EACH RESULT",
IF(LEFT(INDEX(ResultColumnFinder[First Value Address],MATCH(CONCATENATE("ProcessingLevelCode",$AR7),ResultColumnFinder[Concat2],0)),14)="'Data Columns'",
IF(ISERROR(MATCH(INDIRECT(INDEX(ResultColumnFinder[First Value Address],MATCH(CONCATENATE("ProcessingLevelCode",$AR7),ResultColumnFinder[Concat2],0)),FALSE),ProcessingLevels[Processing Level Code],0)),
CONCATENATE("PLEASE FILL IN A VALID PROCESSING LEVEL CODE FOR ",$AS7),
CONCATENATE("*ProcessingLevelID",TEXT(MATCH(INDIRECT(INDEX(ResultColumnFinder[First Value Address],MATCH(CONCATENATE("ProcessingLevelCode",$AR7),ResultColumnFinder[Concat2],0)),FALSE),ProcessingLevels[Processing Level Code],0),"00000"))),
IF(ISERROR(MATCH(OFFSET(INDIRECT(INDEX(ResultColumnFinder[First Value Address],MATCH(CONCATENATE("ProcessingLevelCode",$AR7),ResultColumnFinder[Concat2],0)),FALSE),ROW()-4-($AR7-1)*NumSpecimens,0),ProcessingLevels[Processing Level Code],0)),
CONCATENATE("PLEASE SPECIFY A VALID PROCESSING LEVEL CODE FOR ",$AS7," IN ROW ",ROW()-4-($AR7-1)*NumSpecimens),
CONCATENATE("*ProcessingLevelID",TEXT(MATCH(OFFSET(INDIRECT(INDEX(ResultColumnFinder[First Value Address],MATCH(CONCATENATE("ProcessingLevelCode",$AR7),ResultColumnFinder[Concat2],0)),FALSE),ROW()-4-($AR7-1)*NumSpecimens,0),ProcessingLevels[Processing Level Code],0),"00000")))))</f>
        <v>#N/A</v>
      </c>
      <c r="BK7"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Address],MATCH("CollectionDateTime",SpecimenColumnFinder[DataType],0)),FALSE),ROW()-4-($AR7-1)*NumSpecimens,0)="",
CONCATENATE("PLEASE SPECIFY A SPECIMEN COLLECTION DATE/TIME IN ROW ",ROW()-4-($AR7-1)*NumSpecimens),
TEXT(OFFSET(INDIRECT(INDEX(SpecimenColumnFinder[First Value Address],MATCH("CollectionDateTime",SpecimenColumnFinder[DataType],0)),FALSE),ROW()-4-($AR7-1)*NumSpecimens,0),"yyyy-mm-dd hh:mm:ss")))</f>
        <v>PLEASE NOTE: THE SPECIMEN COLLECTION DATE/TIME MUST BE SPECIFIED</v>
      </c>
      <c r="BL7"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Address],MATCH("CollectionDateTimeUTCOffset",SpecimenColumnFinder[DataType],0)),FALSE),ROW()-4-($AR7-1)*NumSpecimens,0)="",
CONCATENATE("PLEASE SPECIFY A COLLECTION TIME UTC OFFSET IN ROW ",ROW()-4-($AR7-1)*NumSpecimens),
OFFSET(INDIRECT(INDEX(SpecimenColumnFinder[First Value Address],MATCH("CollectionDateTimeUTCOffset",SpecimenColumnFinder[DataType],0)),FALSE),ROW()-4-($AR7-1)*NumSpecimens,0)))</f>
        <v>#N/A</v>
      </c>
      <c r="BM7" s="26" t="e">
        <f>IF(INDEX(ResultColumnFinder[First Value Address],MATCH(CONCATENATE("SampledMediumCV",$AR7),ResultColumnFinder[Concat2],0))="NOT GIVEN",
"PLEASE NOTE: A SAMPLED MEDIUM MUST BE SPECIFIED FOR EACH RESULT",
IF(LEFT(INDEX(ResultColumnFinder[First Value Address],MATCH(CONCATENATE("SampledMediumCV",$AR7),ResultColumnFinder[Concat2],0)),14)="'Data Columns'",
IF(COUNTIF(SampledMediumCV,INDIRECT(INDEX(ResultColumnFinder[First Value Address],MATCH(CONCATENATE("SampledMediumCV",$AR7),ResultColumnFinder[Concat2],0)),FALSE))=0,
CONCATENATE("PLEASE FILL IN A VALID SAMPLED MEDIUM FOR ",$AS7),
INDIRECT(INDEX(ResultColumnFinder[First Value Address],MATCH(CONCATENATE("SampledMediumCV",$AR7),ResultColumnFinder[Concat2],0)),FALSE)),
IF(COUNTIF(SampledMediumCV,OFFSET(INDIRECT(INDEX(ResultColumnFinder[First Value Address],MATCH(CONCATENATE("SampledMediumCV",$AR7),ResultColumnFinder[Concat2],0)),FALSE),ROW()-4-($AR7-1)*NumSpecimens,0))=0,
CONCATENATE("PLEASE SPECIFY A VALID SAMPLED MEDIUM FOR ",$AS7," IN ROW ",ROW()-4-($AR7-1)*NumSpecimens),
OFFSET(INDIRECT(INDEX(ResultColumnFinder[First Value Address],MATCH(CONCATENATE("SampledMediumCV",$AR7),ResultColumnFinder[Concat2],0)),FALSE),ROW()-4-($AR7-1)*NumSpecimens,0))
))</f>
        <v>#N/A</v>
      </c>
      <c r="BN7" s="26" t="e">
        <f>IF(BF7&lt;&gt;"Measurement","",
IF(INDEX(ResultColumnFinder[First Value Address],MATCH(CONCATENATE("CensorCodeCV",$AR7),ResultColumnFinder[Concat2],0))="NOT GIVEN",
"PLEASE NOTE: A CENSOR CODE MUST BE SPECIFIED FOR EACH RESULT",
IF(LEFT(INDEX(ResultColumnFinder[First Value Address],MATCH(CONCATENATE("CensorCodeCV",$AR7),ResultColumnFinder[Concat2],0)),14)="'Data Columns'",
IF(COUNTIF(CensorCodeCV,INDIRECT(INDEX(ResultColumnFinder[First Value Address],MATCH(CONCATENATE("CensorCodeCV",$AR7),ResultColumnFinder[Concat2],0)),FALSE))=0,
CONCATENATE("PLEASE FILL IN A VALID CENSOR CODE FOR ",$AS7),
INDIRECT(INDEX(ResultColumnFinder[First Value Address],MATCH(CONCATENATE("CensorCodeCV",$AR7),ResultColumnFinder[Concat2],0)),FALSE)),
IF(COUNTIF(CensorCodeCV,OFFSET(INDIRECT(INDEX(ResultColumnFinder[First Value Address],MATCH(CONCATENATE("CensorCodeCV",$AR7),ResultColumnFinder[Concat2],0)),FALSE),ROW()-4-($AR7-1)*NumSpecimens,0))=0,
CONCATENATE("PLEASE SPECIFY A VALID CENSOR CODE FOR ",$AS7," IN ROW ",ROW()-4-($AR7-1)*NumSpecimens),
OFFSET(INDIRECT(INDEX(ResultColumnFinder[First Value Address],MATCH(CONCATENATE("CensorCodeCV",$AR7),ResultColumnFinder[Concat2],0)),FALSE),ROW()-4-($AR7-1)*NumSpecimens,0))
)))</f>
        <v>#N/A</v>
      </c>
      <c r="BO7" s="26" t="e">
        <f>IF(INDEX(ResultColumnFinder[First Value Address],MATCH(CONCATENATE("QualityCodeCV",$AR7),ResultColumnFinder[Concat2],0))="NOT GIVEN",
"PLEASE NOTE: A QUALITY CODE MUST BE SPECIFIED FOR EACH RESULT",
IF(LEFT(INDEX(ResultColumnFinder[First Value Address],MATCH(CONCATENATE("QualityCodeCV",$AR7),ResultColumnFinder[Concat2],0)),14)="'Data Columns'",
IF(COUNTIF(QualityCodeCV,INDIRECT(INDEX(ResultColumnFinder[First Value Address],MATCH(CONCATENATE("QualityCodeCV",$AR7),ResultColumnFinder[Concat2],0)),FALSE))=0,
CONCATENATE("PLEASE FILL IN A VALID QUALITY CODE FOR ",$AS7),
INDIRECT(INDEX(ResultColumnFinder[First Value Address],MATCH(CONCATENATE("QualityCodeCV",$AR7),ResultColumnFinder[Concat2],0)),FALSE)),
IF(COUNTIF(QualityCodeCV,OFFSET(INDIRECT(INDEX(ResultColumnFinder[First Value Address],MATCH(CONCATENATE("QualityCodeCV",$AR7),ResultColumnFinder[Concat2],0)),FALSE),ROW()-4-($AR7-1)*NumSpecimens,0))=0,
CONCATENATE("PLEASE SPECIFY A VALID QUALITY CODE FOR ",$AS7," IN ROW ",ROW()-4-($AR7-1)*NumSpecimens),
OFFSET(INDIRECT(INDEX(ResultColumnFinder[First Value Address],MATCH(CONCATENATE("QualityCodeCV",$AR7),ResultColumnFinder[Concat2],0)),FALSE),ROW()-4-($AR7-1)*NumSpecimens,0))
))</f>
        <v>#N/A</v>
      </c>
      <c r="BP7" s="26" t="e">
        <f>IF(BF7&lt;&gt;"Measurement","",
IF(INDEX(ResultColumnFinder[First Value Address],MATCH(CONCATENATE("AggregationStatisticCV",$AR7),ResultColumnFinder[Concat2],0))="NOT GIVEN",
"PLEASE NOTE: AN AGGREGATION STATISTIC MUST BE SPECIFIED FOR EACH MEASUREMENT RESULT",
IF(LEFT(INDEX(ResultColumnFinder[First Value Address],MATCH(CONCATENATE("AggregationStatisticCV",$AR7),ResultColumnFinder[Concat2],0)),14)="'Data Columns'",
IF(COUNTIF(AggregationStatisticCV,INDIRECT(INDEX(ResultColumnFinder[First Value Address],MATCH(CONCATENATE("AggregationStatisticCV",$AR7),ResultColumnFinder[Concat2],0)),FALSE))=0,
CONCATENATE("PLEASE FILL IN A VALID AGGREGATION STATISTIC FOR ",$AS7),
INDIRECT(INDEX(ResultColumnFinder[First Value Address],MATCH(CONCATENATE("AggregationStatisticCV",$AR7),ResultColumnFinder[Concat2],0)),FALSE)),
IF(COUNTIF(AggregationStatisticCV,OFFSET(INDIRECT(INDEX(ResultColumnFinder[First Value Address],MATCH(CONCATENATE("AggregationStatisticCV",$AR7),ResultColumnFinder[Concat2],0)),FALSE),ROW()-4-($AR7-1)*NumSpecimens,0))=0,
CONCATENATE("PLEASE SPECIFY A VALID AGGREGATION STATISTIC FOR ",$AS7," IN ROW ",ROW()-4-($AR7-1)*NumSpecimens),
OFFSET(INDIRECT(INDEX(ResultColumnFinder[First Value Address],MATCH(CONCATENATE("AggregationStatisticCV",$AR7),ResultColumnFinder[Concat2],0)),FALSE),ROW()-4-($AR7-1)*NumSpecimens,0))
)))</f>
        <v>#N/A</v>
      </c>
      <c r="BQ7" s="26" t="e">
        <f>IF(BF7&lt;&gt;"Measurement","",
IF(INDEX(ResultColumnFinder[First Value Address],MATCH(CONCATENATE("TimeAggregationInterval",$AR7),ResultColumnFinder[Concat2],0))="NOT GIVEN",
"PLEASE NOTE: A TIME AGGREGATION INTERVAL MUST BE SPECIFIED FOR EACH RESULT",
IF(LEFT(INDEX(ResultColumnFinder[First Value Address],MATCH(CONCATENATE("TimeAggregationInterval",$AR7),ResultColumnFinder[Concat2],0)),14)="'Data Columns'",
IF(INDIRECT(INDEX(ResultColumnFinder[First Value Address],MATCH(CONCATENATE("TimeAggregationInterval",$AR7),ResultColumnFinder[Concat2],0)),FALSE)="",
CONCATENATE("PLEASE FILL IN A TIME AGGREGATION INTERVAL FOR ",$AS7),
INDIRECT(INDEX(ResultColumnFinder[First Value Address],MATCH(CONCATENATE("TimeAggregationInterval",$AR7),ResultColumnFinder[Concat2],0)),FALSE)),
IF(OFFSET(INDIRECT(INDEX(ResultColumnFinder[First Value Address],MATCH(CONCATENATE("TimeAggregationInterval",$AR7),ResultColumnFinder[Concat2],0)),FALSE),ROW()-4-($AR7-1)*NumSpecimens,0)="",
CONCATENATE("PLEASE SPECIFY A TIME AGGREGATION INTERVAL FOR ",$AS7," IN ROW ",ROW()-4-($AR7-1)*NumSpecimens),
OFFSET(INDIRECT(INDEX(ResultColumnFinder[First Value Address],MATCH(CONCATENATE("TimeAggregationInterval",$AR7),ResultColumnFinder[Concat2],0)),FALSE),ROW()-4-($AR7-1)*NumSpecimens,0))
)))</f>
        <v>#N/A</v>
      </c>
      <c r="BR7" s="26" t="e">
        <f>IF(BF7&lt;&gt;"Measurement","",
IF(INDEX(ResultColumnFinder[First Value Address],MATCH(CONCATENATE("TimeAggregationIntervalUnitCode",$AR7),ResultColumnFinder[Concat2],0))="NOT GIVEN",
"PLEASE NOTE: A TIME AGGREGATION UNIT MUST BE SPECIFIED FOR EACH RESULT",
IF(LEFT(INDEX(ResultColumnFinder[First Value Address],MATCH(CONCATENATE("TimeAggregationIntervalUnitCode",$AR7),ResultColumnFinder[Concat2],0)),14)="'Data Columns'",
IF(INDIRECT(INDEX(ResultColumnFinder[First Value Address],MATCH(CONCATENATE("TimeAggregationIntervalUnitCode",$AR7),ResultColumnFinder[Concat2],0)),FALSE)="",
CONCATENATE("PLEASE FILL IN A TIME AGGREGATION UNIT FOR ",$AS7),
INDIRECT(INDEX(ResultColumnFinder[First Value Address],MATCH(CONCATENATE("TimeAggregationIntervalUnitCode",$AR7),ResultColumnFinder[Concat2],0)),FALSE)),
IF(OFFSET(INDIRECT(INDEX(ResultColumnFinder[First Value Address],MATCH(CONCATENATE("TimeAggregationIntervalUnitCode",$AR7),ResultColumnFinder[Concat2],0)),FALSE),ROW()-4-($AR7-1)*NumSpecimens,0)="",
CONCATENATE("PLEASE SPECIFY A TIME AGGREGATION UNIT FOR ",$AS7," IN ROW ",ROW()-4-($AR7-1)*NumSpecimens),
OFFSET(INDIRECT(INDEX(ResultColumnFinder[First Value Address],MATCH(CONCATENATE("TimeAggregationIntervalUnitCode",$AR7),ResultColumnFinder[Concat2],0)),FALSE),ROW()-4-($AR7-1)*NumSpecimens,0))
)))</f>
        <v>#N/A</v>
      </c>
      <c r="BS7" s="26" t="str">
        <f>IF(NumDataColumns=0,"PLEASE SELECT AT LEAST 1 COLUMN OF RESULT VALUES",
IF(AT7="","",
CONCATENATE("  - &amp;ResultID",TEXT(ROW()-3,"00000"),
" {","ResultUUID:  ",CHAR(34),BE7,CHAR(34),
", FeatureActionObj: *FeatureActionID",TEXT(ROW()-3,"00000"),
", ResultTypeCV:  ",CHAR(34),BF7,CHAR(34),
", VariableObj:  ",BG7,
", UnitsObj:  ",BH7,
", TaxonomicClassifierObj:  ",BI7,
", ProcessingLevelObj:  ",BJ7,
", ResultDateTime:  ",BK7,
", ResultDateTimeUTCOffset:  ",BL7,
", ValidDateTime:  ","NULL",
", ValidDateTimeUTCOffset:  ","NULL",
", StatusCV:  ","NULL",
", SampledMediumCV:  ",CHAR(34),BM7,CHAR(34),
", ValueCount:  ",1,"}")))</f>
        <v>PLEASE SELECT AT LEAST 1 COLUMN OF RESULT VALUES</v>
      </c>
      <c r="BT7" s="26" t="str">
        <f>IF(ROW()-3&gt;NumDataColumns*NumSpecimens,"",
IF(AT7="","",
CONCATENATE("  - {DatasetObj: *DatasetID00001, ",
"ResultObj: *ResultID",TEXT(ROW()-3,"00000"),
"}")))</f>
        <v/>
      </c>
      <c r="BU7" s="26" t="e">
        <f t="shared" si="5"/>
        <v>#N/A</v>
      </c>
      <c r="BV7" s="26" t="e">
        <f>IF(BF7&lt;&gt;"Measurement","",
IF(AT7="","",
CONCATENATE("  - &amp;MeasurementResultValueID",TEXT(ROW()-3,"00000"),
" {","MeasurementResultObj: *MeasurementResultID",TEXT(ROW()-3,"00000"),
", DataValue: ",AT7,
", ValueDateTime:  ",CHAR(34),BK7,CHAR(34),
", ValueDateTimeUTCOffset:  ",BL7,
"}")))</f>
        <v>#N/A</v>
      </c>
      <c r="BW7" s="26" t="e">
        <f t="shared" si="6"/>
        <v>#N/A</v>
      </c>
      <c r="BX7" s="26" t="e">
        <f>IF(BF7="Measurement","",
IF(AT7="","",
CONCATENATE("  - &amp;CategoricalResultValueID",TEXT(ROW()-3,"00000"),
" {","MeasurementResultObj: *CategoricalResultID",TEXT(ROW()-3,"00000"),
", DataValue: ",AT7,
", ValueDateTime:  ",CHAR(34),BK7,CHAR(34),
", ValueDateTimeUTCOffset:  ",BL7,
"}")))</f>
        <v>#N/A</v>
      </c>
    </row>
    <row r="8" spans="1:82" x14ac:dyDescent="0.25">
      <c r="A8" s="26">
        <f>ROW()-3</f>
        <v>5</v>
      </c>
      <c r="D8" s="26" t="str">
        <f>IF(ROW()-3&gt;NumOrganizations,"",
CONCATENATE("  - &amp;OrganizationID",TEXT(ROW()-3,"00000"),
" {","OrganizationTypeCV:  ",CHAR(34),IF(INDEX(Organizations[Organization Type '[CV']],ROW()-3)&lt;&gt;"",INDEX(Organizations[Organization Type '[CV']],ROW()-3),"PLEASE SELECT A VALID ORGANIZATION TYPE FOR THIS ORGANIZATION"),CHAR(34),
", OrganizationCode:  ",CHAR(34),IF(INDEX(Organizations[Organization Code],ROW()-3)&lt;&gt;"",INDEX(Organizations[Organization Code],ROW()-3),"PLEASE FILL IN A CODE FOR THIS ORGANIZATION"),CHAR(34),
", OrganizationName:  ",CHAR(34),INDEX(Organizations[Organization Name],ROW()-3),CHAR(34),
", OrganizationDescription:  ",CHAR(34),INDEX(Organizations[Organization Description],ROW()-3),CHAR(34),
", OrganizationLink:  ",CHAR(34),INDEX(Organizations[Organization Link],ROW()-3),CHAR(34),
"}"))</f>
        <v/>
      </c>
      <c r="G8" s="26" t="str">
        <f>IF(ROW()-3&gt;NumPeople,"",
CONCATENATE("  - &amp;PersonID",TEXT(ROW()-3,"00000"),
" {","PersonFirstName:  ",CHAR(34),IF(INDEX(People[First Name],ROW()-3)&lt;&gt;"",INDEX(People[First Name],ROW()-3),"PLEASE FILL IN A FIRST NAME FOR THIS PERSON"),CHAR(34),
", PersonMiddleName:  ",CHAR(34),INDEX(People[Middle Name],ROW()-3),CHAR(34),
", PersonLastName:  ",CHAR(34),IF(INDEX(People[Last Name],ROW()-3)&lt;&gt;"",INDEX(People[Last Name],ROW()-3),"PLEASE FILL IN A LAST NAME FOR THIS PERSON"),CHAR(34),
"}"))</f>
        <v/>
      </c>
      <c r="H8" s="26" t="str">
        <f>IF(NumORCIDs=0,"",
IF(NumORCIDs&lt;ROW()-3,"",
CONCATENATE("  - {",
"PersonObj:  *PersonID",TEXT(MATCH(ROW()-3,People[ExternalIDNum],0),"00000"),
", ExternalIdentifierSystemObj:  *ExternalIdentifierSystemID00001",
", PersonExternalIdentifier:  ",CHAR(34),INDEX(People[Person OrcID],MATCH(ROW()-3,People[ExternalIDNum],0)),CHAR(34),
", PersonExternalIdentifierURI:  ",CHAR(34),"http://orcid.org/",INDEX(People[Person OrcID],MATCH(ROW()-3,People[ExternalIDNum],0)),CHAR(34),
"}")))</f>
        <v/>
      </c>
      <c r="I8" s="26" t="str">
        <f>IF(ROW()-3&gt;NumPeople,"",
IF(ISERROR(MATCH(INDEX(People[Organization Name],ROW()-3),Organizations[Organization Name],0)),"PLEASE FILL IN A VALID ORGANIZATION FOR EACH PERSON",
CONCATENATE("  - &amp;AffiliationID",TEXT(ROW()-3,"00000"),
" {PersonObj: *PersonID",TEXT(ROW()-3,"00000"),
", OrganizationObj: *OrganizationID",IFERROR(TEXT(MATCH(INDEX(People[Organization Name],ROW()-3),Organizations[Organization Name],0),"00000"),"PLEASE SELECT A VALID ORGANIZATION FOR THIS PERSON"),
", IsPrimaryOrganizationContact: ",CHAR(34),CHAR(34),
", AffiliationStartDate: ",CHAR(34),CHAR(34),
", AffiliationEndDate: ",CHAR(34),CHAR(34),
", PrimaryPhone: ",CHAR(34),CHAR(34),
", PrimaryEmail: ",CHAR(34),IF(INDEX(People[Primary Email],ROW()-3)&lt;&gt;"",INDEX(People[Primary Email],ROW()-3),"PLEASE GIVE THIS PERSON AN EMAIL ADDRESS"),CHAR(34),
", PrimaryAddress: ",CHAR(34),INDEX(People[Primary Address],ROW()-3),CHAR(34),
", PersonLink: ",CHAR(34),CHAR(34),
"}")))</f>
        <v/>
      </c>
      <c r="L8" s="26" t="str">
        <f>IF(COUNTA(CitationInformation)=0,"",
IF(ROW()-3&gt;NumAuthors,"",
CONCATENATE("  - &amp;AuthorListID",TEXT(ROW()-3,"00000"),
"  {CitationObj: *CitationID00001",
", PersonObj: *PersonID",IFERROR(TEXT(MATCH(INDEX(AuthorList[Author Name],ROW()-3),People[Full Name],0),"00000"),"PLEASE SELECT A VALID AUTHOR NAME FROM THE DROP-DOWN LIST"),
", AuthorOrder: ",INDEX(AuthorList[Author Number],ROW()-3),
"}")))</f>
        <v/>
      </c>
      <c r="O8" s="26" t="str">
        <f>IF(INDEX(SpecimenColumnFinder[First Value Address],MATCH("SpecimenUUID",SpecimenColumnFinder[DataType],0))="NOT GIVEN",
"",
IF(OFFSET(INDIRECT(INDEX(SpecimenColumnFinder[First Value Address],MATCH("SpecimenUUID",SpecimenColumnFinder[DataType],0)),FALSE),ROW()-4-NumParentSamplingFeatures,0)="",
"",
OFFSET(INDIRECT(INDEX(SpecimenColumnFinder[First Value Address],MATCH("SpecimenUUID",SpecimenColumnFinder[DataType],0)),FALSE),ROW()-4-NumParentSamplingFeatures,0))
)</f>
        <v/>
      </c>
      <c r="P8" s="26" t="str">
        <f>IF(INDEX(SpecimenColumnFinder[First Value Address],MATCH("SpecimenCode",SpecimenColumnFinder[DataType],0))="NOT GIVEN",
"PLEASE SPECIFY WHICH COLUMN HAS THE SPECIMEN CODES!!!",
IF(OFFSET(INDIRECT(INDEX(SpecimenColumnFinder[First Value Address],MATCH("SpecimenCode",SpecimenColumnFinder[DataType],0)),FALSE),ROW()-4-NumParentSamplingFeatures,0)="",
CONCATENATE("PLEASE PUT A SPECIMEN CODE IN ROW ",ROW()-4-NumParentSamplingFeatures),
OFFSET(INDIRECT(INDEX(SpecimenColumnFinder[First Value Address],MATCH("SpecimenCode",SpecimenColumnFinder[DataType],0)),FALSE),ROW()-4-NumParentSamplingFeatures,0))
)</f>
        <v>PLEASE SPECIFY WHICH COLUMN HAS THE SPECIMEN CODES!!!</v>
      </c>
      <c r="Q8" s="26" t="str">
        <f>IF(INDEX(SpecimenColumnFinder[First Value Address],MATCH("SpecimenName",SpecimenColumnFinder[DataType],0))="NOT GIVEN",
"",
IF(OFFSET(INDIRECT(INDEX(SpecimenColumnFinder[First Value Address],MATCH("SpecimenName",SpecimenColumnFinder[DataType],0)),FALSE),ROW()-4-NumParentSamplingFeatures,0)="",
"",
OFFSET(INDIRECT(INDEX(SpecimenColumnFinder[First Value Address],MATCH("SpecimenName",SpecimenColumnFinder[DataType],0)),FALSE),ROW()-4-NumParentSamplingFeatures,0))
)</f>
        <v/>
      </c>
      <c r="R8" s="26" t="str">
        <f>IF(INDEX(SpecimenColumnFinder[First Value Address],MATCH("SpecimenDescription",SpecimenColumnFinder[DataType],0))="NOT GIVEN",
"",
IF(OFFSET(INDIRECT(INDEX(SpecimenColumnFinder[First Value Address],MATCH("SpecimenDescription",SpecimenColumnFinder[DataType],0)),FALSE),ROW()-4-NumParentSamplingFeatures,0)="",
"",
OFFSET(INDIRECT(INDEX(SpecimenColumnFinder[First Value Address],MATCH("SpecimenDescription",SpecimenColumnFinder[DataType],0)),FALSE),ROW()-4-NumParentSamplingFeatures,0))
)</f>
        <v/>
      </c>
      <c r="S8" s="26" t="str">
        <f>IF(INDEX(SpecimenColumnFinder[First Value Address],MATCH("SpecimenIGSN",SpecimenColumnFinder[DataType],0))="NOT GIVEN",
"",
IF(OFFSET(INDIRECT(INDEX(SpecimenColumnFinder[First Value Address],MATCH("SpecimenIGSN",SpecimenColumnFinder[DataType],0)),FALSE),ROW()-4-NumIGSNs,0)="",
"",
OFFSET(INDIRECT(INDEX(SpecimenColumnFinder[First Value Address],MATCH("SpecimenIGSN",SpecimenColumnFinder[DataType],0)),FALSE),ROW()-4-NumIGSNs,0))
)</f>
        <v/>
      </c>
      <c r="T8" s="26" t="e">
        <f>IF(INDEX(SpecimenColumnFinder[First Value Address],MATCH("SpecimenTypeCV",SpecimenColumnFinder[DataType],0))="NOT GIVEN",
"PLEASE NOTE:  A SPECIMEN TYPE MUST BE SPECIFIED",
IF(LEFT(INDEX(SpecimenColumnFinder[First Value Address],MATCH("SpecimenTypeCV",SpecimenColumnFinder[DataType],0)),14)="'Data Columns'",
IF(COUNTIF(SpecimenTypeCV,INDIRECT(INDEX(SpecimenColumnFinder[First Value Address],MATCH("SpecimenTypeCV",SpecimenColumnFinder[DataType],0)),FALSE))=0,
"PLEASE USE A VALID SPECIMEN TYPE FOR ALL SPECIMENS",
INDIRECT(INDEX(SpecimenColumnFinder[First Value Address],MATCH("SpecimenTypeCV",SpecimenColumnFinder[DataType],0)),FALSE)),
IF(COUNTIF(SpecimenTypeCV,OFFSET(INDIRECT(INDEX(SpecimenColumnFinder[First Value Address],MATCH("SpecimenTypeCV",SpecimenColumnFinder[DataType],0)),FALSE),ROW()-4-NumParentSpecimens,0))=0,
CONCATENATE("PLEASE PUT A VALID SPECIMEN TYPE IN ROW ",ROW()-4-NumParentSpecimens),
OFFSET(INDIRECT(INDEX(SpecimenColumnFinder[First Value Address],MATCH("SpecimenTypeCV",SpecimenColumnFinder[DataType],0)),FALSE),ROW()-4-NumParentSpecimens,0))
))</f>
        <v>#N/A</v>
      </c>
      <c r="U8" s="26" t="e">
        <f>IF(INDEX(SpecimenColumnFinder[First Value Address],MATCH("SpecimenMediumCV",SpecimenColumnFinder[DataType],0))="NOT GIVEN",
"PLEASE NOTE:  A SPECIMEN MEDIUM MUST BE SPECIFIED",
IF(LEFT(INDEX(SpecimenColumnFinder[First Value Address],MATCH("SpecimenMediumCV",SpecimenColumnFinder[DataType],0)),14)="'Data Columns'",
IF(COUNTIF(SampledMediumCV,INDIRECT(INDEX(SpecimenColumnFinder[First Value Address],MATCH("SpecimenMediumCV",SpecimenColumnFinder[DataType],0)),FALSE))=0,
"PLEASE USE A VALID SPECIMEN MEDIUM FOR ALL SPECIMENS",
INDIRECT(INDEX(SpecimenColumnFinder[First Value Address],MATCH("SpecimenMediumCV",SpecimenColumnFinder[DataType],0)),FALSE)),
IF(COUNTIF(SampledMediumCV,OFFSET(INDIRECT(INDEX(SpecimenColumnFinder[First Value Address],MATCH("SpecimenMediumCV",SpecimenColumnFinder[DataType],0)),FALSE),ROW()-4-NumParentSpecimens,0))=0,
CONCATENATE("PLEASE PUT A VALID SPECIMEN MEDIUM IN ROW ",ROW()-4-NumParentSpecimens),
OFFSET(INDIRECT(INDEX(SpecimenColumnFinder[First Value Address],MATCH("SpecimenMediumCV",SpecimenColumnFinder[DataType],0)),FALSE),ROW()-4-NumParentSpecimens,0))
))</f>
        <v>#N/A</v>
      </c>
      <c r="V8" s="26" t="e">
        <f>IF(INDEX(SpecimenColumnFinder[First Value Address],MATCH("IsFieldSpecimen",SpecimenColumnFinder[DataType],0))="NOT GIVEN",
"PLEASE NOTE:  SPECIMEN MUST BE CLASSIFIED AS FIELD SPECIMEN OR NOT",
IF(LEFT(INDEX(SpecimenColumnFinder[First Value Address],MATCH("IsFieldSpecimen",SpecimenColumnFinder[DataType],0)),14)="'Data Columns'",
IF(COUNTIF(Boolean,INDIRECT(INDEX(SpecimenColumnFinder[First Value Address],MATCH("IsFieldSpecimen",SpecimenColumnFinder[DataType],0)),FALSE))=0,
"PLEASE SAY WHETHER ALL SPECIMENS ARE FIELD SPECIMENS",
INDIRECT(INDEX(SpecimenColumnFinder[First Value Address],MATCH("IsFieldSpecimen",SpecimenColumnFinder[DataType],0)),FALSE)),
IF(COUNTIF(Boolean,OFFSET(INDIRECT(INDEX(SpecimenColumnFinder[First Value Address],MATCH("IsFieldSpecimen",SpecimenColumnFinder[DataType],0)),FALSE),ROW()-4-NumParentSpecimens,0))=0,
CONCATENATE("PLEASE SAY WHETHER THE SPECIMEN IN ROW ",ROW()-4-NumParentSpecimens," IS A FIELD SPECIMEN"),
OFFSET(INDIRECT(INDEX(SpecimenColumnFinder[First Value Address],MATCH("IsFieldSpecimen",SpecimenColumnFinder[DataType],0)),FALSE),ROW()-4-NumParentSpecimens,0))
))</f>
        <v>#N/A</v>
      </c>
      <c r="W8" s="26" t="str">
        <f>IF(ROW()-3&gt;NumParentSamplingFeatures+NumSpecimens,"",
IF(ROW()-3&gt;NumParentSamplingFeatures,
CONCATENATE("  - &amp;SamplingFeatureID",TEXT(ROW()-3,"00000"),
" {","SamplingFeatureUUID:  ",CHAR(34),O8,CHAR(34),
", SamplingFeatureTypeCV:  ",CHAR(34),"Specimen",CHAR(34),
", SamplingFeatureCode:  ",CHAR(34),P8,CHAR(34),
", SamplingFeatureName:  ",CHAR(34),Q8,CHAR(34),
", SamplingFeatureDescription:  ",CHAR(34),R8,CHAR(34),
", SamplingFeatureGeotypeCV:  Point",
", FeatureGeometry:  ",CHAR(34),CHAR(34),
", Elevation_m:  ",CHAR(34),CHAR(34),
", ElevationDatumCV:  ",CHAR(34),CHAR(34),"}"),
CONCATENATE("  - &amp;SamplingFeatureID",TEXT(ROW()-3,"00000"),
" {","SamplingFeatureUUID:  ",CHAR(34),INDEX(SamplingFeatures[Sampling Feature UUID],ROW()-3),CHAR(34),
", SamplingFeatureTypeCV:  ",CHAR(34),INDEX(SamplingFeatures[Sampling Feature Type],ROW()-3),CHAR(34),
", SamplingFeatureCode:  ",CHAR(34),INDEX(SamplingFeatures[Feature Code],ROW()-3),CHAR(34),
", SamplingFeatureName:  ",CHAR(34),INDEX(SamplingFeatures[Feature Name],ROW()-3),CHAR(34),
", SamplingFeatureDescription:  ",CHAR(34),INDEX(SamplingFeatures[Feature Description],ROW()-3),CHAR(34),
", SamplingFeatureGeotypeCV:  ",CHAR(34),INDEX(SamplingFeatures[Feature Geo Type],ROW()-3),CHAR(34),
", FeatureGeometry:  ",CHAR(34),INDEX(SamplingFeatures[Feature Geometry],ROW()-3),CHAR(34),
", Elevation_m:  ",CHAR(34),INDEX(SamplingFeatures[Elevation_m],ROW()-3),CHAR(34),
", ElevationDatumCV:  ",CHAR(34),ElevationDatum,CHAR(34),
"}")))</f>
        <v/>
      </c>
      <c r="X8" s="26" t="str">
        <f>IF(AND(NumIGSNs=0,COUNTIF(DataColumns[ColumnType],"SpecimenIGSN")=0),"",
IF(ROW()-3&gt;NumIGSNs+NumSpecimens,"",
IF(ROW()-3&gt;NumIGSNs,
IF(ISERROR(MATCH("SpecimenIGSN",DataColumns[ColumnType],0)),"",
IF(S8="","",
CONCATENATE("  - {",
"SamplingFeatureObj:  *SamplingFeatureID",TEXT(ROW()-2-NumIGSNs+NumParentSamplingFeatures-1,"00000"),
", ExternalIdentifierSystemObj:  *ExternalIdentifierSystemID00003",
", SamplingFeatureExternalIdentifier:  ",CHAR(34),S8,CHAR(34),
", SamplingFeatureExternalIdentifierURI:  ",CHAR(34),"http://app.geosamples.org/sample/igsn/",S8,CHAR(34),
"}"))),
CONCATENATE("  - {",
"SamplingFeatureObj:  *SamplingFeatureID",TEXT(MATCH(ROW()-3,SamplingFeatures[IGSNID],0),"00000"),
", ExternalIdentifierSystemObj:  *ExternalIdentifierSystemID00003",
", SamplingFeatureExternalIdentifier:  ",CHAR(34),INDEX(SamplingFeatures[Feature IGSN],MATCH(ROW()-3,SamplingFeatures[IGSNID],0)),CHAR(34),
", SamplingFeatureExternalIdentifierURI:  ",CHAR(34),"http://app.geosamples.org/sample/igsn/",INDEX(SamplingFeatures[Feature IGSN],MATCH(ROW()-3,SamplingFeatures[IGSNID],0)),CHAR(34),
"}"))))</f>
        <v/>
      </c>
      <c r="Y8" s="26" t="str">
        <f>IF(NumSites=0,"",
IF(NumSites&lt;ROW()-3,"",
CONCATENATE("  - {",
"SamplingFeatureObj:  *SamplingFeatureID",TEXT(MATCH(ROW()-3,SamplingFeatures[SiteID],0),"00000"),
", SiteTypeCV:  ",CHAR(34),INDEX(SamplingFeatures[Site Type],MATCH(ROW()-3,SamplingFeatures[SiteID],0)),CHAR(34),
", Latitude:  ",INDEX(SamplingFeatures[Latitude],MATCH(ROW()-3,SamplingFeatures[SiteID],0)),
", Longitude:  ",INDEX(SamplingFeatures[Longitude],MATCH(ROW()-3,SamplingFeatures[SiteID],0)),
", SpatialReferenceObj:  *SRSID00001}")))</f>
        <v/>
      </c>
      <c r="Z8" s="26" t="str">
        <f>IF(ROW()-4&gt;NumParentSpecimens+NumSpecimens,"",
IF(ROW()-3&gt;NumParentSpecimens,
CONCATENATE("  - {",
"SamplingFeatureObj:  *SamplingFeatureID",TEXT(ROW()-3+NumParentSamplingFeatures,"00000"),
", SpecimenTypeCV:  ",CHAR(34),T8,CHAR(34),
", SpecimenMediumCV:  ",CHAR(34),U8,CHAR(34),
", IsFieldSpecimen:  ",CHAR(34),V8,CHAR(34),
"}"),
CONCATENATE("  - {",
"SamplingFeatureObj:  *SamplingFeatureID",TEXT(MATCH(ROW()-3,SamplingFeatures[SpecimenID],0),"00000"),
", SpecimenTypeCV:  ",CHAR(34),IF(INDEX(SamplingFeatures[Specimen Type],MATCH(ROW()-3,SamplingFeatures[SpecimenID],0))&lt;&gt;"",INDEX(SamplingFeatures[Specimen Type],MATCH(ROW()-3,SamplingFeatures[SpecimenID],0)),"PLEASE SELECT A VALID TYPE FOR THIS SPECIMEN"),CHAR(34),
", SpecimenMediumCV:  ",IF(INDEX(SamplingFeatures[Specimen Medium],MATCH(ROW()-3,SamplingFeatures[SpecimenID],0))&lt;&gt;"",INDEX(SamplingFeatures[Specimen Medium],MATCH(ROW()-3,SamplingFeatures[SpecimenID],0)),"PLEASE SELECT A VALID MEDIUM FOR THIS SPECIMEN"),
", IsFieldSpecimen:  ",CHAR(34),IF(INDEX(SamplingFeatures[Is Field Specimen?],MATCH(ROW()-3,SamplingFeatures[SpecimenID],0))&lt;&gt;"",INDEX(SamplingFeatures[Is Field Specimen?],MATCH(ROW()-3,SamplingFeatures[SpecimenID],0)),"PLEASE SPECIFY WHETHER OR NOT THIS SPECIMEN IS A FIELD SPECIMEN"),CHAR(34),
"}")))</f>
        <v/>
      </c>
      <c r="AA8" s="26" t="str">
        <f>IF(COUNTA(SpatialOffsets[Spatial Offset Code])=0,"",
IF(COUNTA(SpatialOffsets[Spatial Offset Code])&lt;ROW()-3,"",
CONCATENATE("  - &amp;SpatialOffsetID",TEXT(ROW()-3,"00000"),
" {","SpatialOffsetTypeCV:  ",CHAR(34),IF(INDEX(SpatialOffsets[Spatial Offset Code],ROW()-3)&lt;&gt;"",INDEX(SpatialOffsets[Spatial Offset Code],ROW()-3),"PLEASE SELECT A VALID SPATIAL OFFSET TYPE FOR THIS OFFSET"),CHAR(34),
", Offset1Value:  ",IF(INDEX(SpatialOffsets[Offset 1 Value],ROW()-3)&lt;&gt;"",INDEX(SpatialOffsets[Offset 1 Value],ROW()-3),"PLEASE FILL IN A VALUE FOR THE FIRST OFFSET DIMENSION"),
", Offset1UnitObj:  ",CHAR(34),IF(INDEX(SpatialOffsets[Offset 1 Unit],ROW()-3)&lt;&gt;"",INDEX(SpatialOffsets[Offset 1 Unit],ROW()-3),"PLEASE SELECT A VALID UNIT FOR THE FIRST OFFSET DIMENSION"),CHAR(34),
", Offset2Value:  ",IF(INDEX(SpatialOffsets[Offset 2 Value],ROW()-3)="","NULL",INDEX(SpatialOffsets[Offset 2 Value],ROW()-3)),
", Offset2UnitObj:  ",CHAR(34),INDEX(SpatialOffsets[Offset 2 Unit],ROW()-3),CHAR(34),
", Offset3Value:  ",IF(INDEX(SpatialOffsets[Offset 3 Value],ROW()-3)="","NULL",INDEX(SpatialOffsets[Offset 3 Value],ROW()-3)),
", Offset3UnitObj:  ",CHAR(34),INDEX(SpatialOffsets[Offset 3 Unit],ROW()-3),CHAR(34),
"}")))</f>
        <v/>
      </c>
      <c r="AB8" s="26" t="str">
        <f t="shared" si="3"/>
        <v>*SamplingFeatureID00005</v>
      </c>
      <c r="AC8" s="26" t="e">
        <f>IF(INDEX(SpecimenColumnFinder[First Value Address],MATCH("RelationshipTypeCV",SpecimenColumnFinder[DataType],0))="NOT GIVEN",
"isChildOf",
IF(LEFT(INDEX(SpecimenColumnFinder[First Value Address],MATCH("RelationshipTypeCV",SpecimenColumnFinder[DataType],0)),14)="'Data Columns'",
IF(COUNTIF(RelationshipTypeCV,INDIRECT(INDEX(SpecimenColumnFinder[First Value Address],MATCH("RelationshipTypeCV",SpecimenColumnFinder[DataType],0)),FALSE))=0,
"PLEASE USE A VALID RELATIONSHIP TYPE BETWEEN ALL SPECIMENS AND THE PARENT SPECIMEN",
INDIRECT(INDEX(SpecimenColumnFinder[First Value Address],MATCH("RelationshipTypeCV",SpecimenColumnFinder[DataType],0)),FALSE)),
IF(OFFSET(INDIRECT(INDEX(SpecimenColumnFinder[First Value Address],MATCH("RelationshipTypeCV",SpecimenColumnFinder[DataType],0)),FALSE),ROW()-4-NumParentSpecimens,0)="",
"isChildOf",
IF(COUNTIF(RelationshipTypeCV,OFFSET(INDIRECT(INDEX(SpecimenColumnFinder[First Value Address],MATCH("RelationshipTypeCV",SpecimenColumnFinder[DataType],0)),FALSE),ROW()-4-NumParentSpecimens,0))=0,
CONCATENATE("PLEASE PUT A VALID SPECIMEN MEDIUM IN ROW ",ROW()-4-NumParentSpecimens),
OFFSET(INDIRECT(INDEX(SpecimenColumnFinder[First Value Address],MATCH("RelationshipTypeCV",SpecimenColumnFinder[DataType],0)),FALSE),ROW()-4-NumParentSpecimens,0))
)))</f>
        <v>#N/A</v>
      </c>
      <c r="AD8" s="163" t="e">
        <f>IF(INDEX(SpecimenColumnFinder[First Value Address],MATCH("ParentSamplingFeatureCode",SpecimenColumnFinder[DataType],0))="NOT GIVEN",
"NO RELATED FEATURE",
IF(LEFT(INDEX(SpecimenColumnFinder[First Value Address],MATCH("ParentSamplingFeatureCode",SpecimenColumnFinder[DataType],0)),14)="'Data Columns'",
IF(ISERROR(MATCH(INDIRECT(INDEX(SpecimenColumnFinder[First Value Address],MATCH("ParentSamplingFeatureCode",SpecimenColumnFinder[DataType],0)),FALSE),SamplingFeatures[Feature Code],0)),
"PLEASE SELECT A VALID PARENT SAMPLING FEATURE FOR ALL SPECIMENS",
CONCATENATE("*SamplingFeatureID",TEXT(MATCH(INDIRECT(INDEX(SpecimenColumnFinder[First Value Address],MATCH("ParentSamplingFeatureCode",SpecimenColumnFinder[DataType],0)),FALSE),SamplingFeatures[Feature Code],0),"00000"))),
IF(OFFSET(INDIRECT(INDEX(SpecimenColumnFinder[First Value Address],MATCH("ParentSamplingFeatureCode",SpecimenColumnFinder[DataType],0)),FALSE),ROW()-4-NumRelatedFeatures,0)="",
"NO RELATED FEATURE",
IF(ISERROR(MATCH(OFFSET(INDIRECT(INDEX(SpecimenColumnFinder[First Value Address],MATCH("ParentSamplingFeatureCode",SpecimenColumnFinder[DataType],0)),FALSE),ROW()-4-NumRelatedFeatures,0),SamplingFeatures[Feature Code],0)),
CONCATENATE("PLEASE PUT A VALID PARENT FEATURE CODE IN ROW ",ROW()-4-NumRelatedFeatures),
CONCATENATE("*SamplingFeatureID",TEXT(MATCH(OFFSET(INDIRECT(INDEX(SpecimenColumnFinder[First Value Address],MATCH("ParentSamplingFeatureCode",SpecimenColumnFinder[DataType],0)),FALSE),ROW()-4-NumRelatedFeatures,0),SamplingFeatures[Feature Code],0),"00000"))))
))</f>
        <v>#N/A</v>
      </c>
      <c r="AE8" s="163" t="e">
        <f>IF(INDEX(SpecimenColumnFinder[First Value Address],MATCH("SpatialOffsetCode",SpecimenColumnFinder[DataType],0))="NOT GIVEN",
"",
IF(LEFT(INDEX(SpecimenColumnFinder[First Value Address],MATCH("SpatialOffsetCode",SpecimenColumnFinder[DataType],0)),14)="'Data Columns'",
IF(ISERROR(MATCH(INDIRECT(INDEX(SpecimenColumnFinder[First Value Address],MATCH("SpatialOffsetCode",SpecimenColumnFinder[DataType],0)),FALSE),SpatialOffsets[Spatial Offset Code],0)),
"PLEASE SELECT A VALID SPATIAL OFFSET CODE FOR ALL SPECIMENS",
CONCATENATE("*SpatialOffsetID",TEXT(MATCH(INDIRECT(INDEX(SpecimenColumnFinder[First Value Address],MATCH("SpatialOffsetCode",SpecimenColumnFinder[DataType],0)),FALSE),SpatialOffsets[Spatial Offset Code],0),"00000"))),
IF(OFFSET(INDIRECT(INDEX(SpecimenColumnFinder[First Value Address],MATCH("SpatialOffsetCode",SpecimenColumnFinder[DataType],0)),FALSE),ROW()-4-NumRelatedFeatures,0)="",
"",
IF(ISERROR(MATCH(OFFSET(INDIRECT(INDEX(SpecimenColumnFinder[First Value Address],MATCH("SpatialOffsetCode",SpecimenColumnFinder[DataType],0)),FALSE),ROW()-4-NumRelatedFeatures,0),SpatialOffsets[Spatial Offset Code],0)),
CONCATENATE("PLEASE PUT A VALID SPATIAL OFFSET CODE IN ROW ",ROW()-4-NumRelatedFeatures),
CONCATENATE("*SpatialOffsetID",TEXT(MATCH(OFFSET(INDIRECT(INDEX(SpecimenColumnFinder[First Value Address],MATCH("SpatialOffsetCode",SpecimenColumnFinder[DataType],0)),FALSE),ROW()-4-NumRelatedFeatures,0),SpatialOffsets[Spatial Offset Code],0),"00000"))))
))</f>
        <v>#N/A</v>
      </c>
      <c r="AF8" s="26" t="str">
        <f>IF(AND(NumRelatedFeatures=0,MATCH("ParentSamplingFeatureCode",SpecimenColumnFinder[DataType],0)="NOT GIVEN"),"",
IF(ROW()-3&gt;NumRelatedFeatures+NumSpecimens,"",
IF(ROW()-3&gt;NumRelatedFeatures,
IF(AD8="NO RELATED FEATURE","",
CONCATENATE("  - {",
"SamplingFeatureObj:  ",AB8,
", RelationshipTypeCV:  ",CHAR(34),AC8,CHAR(34),
", RelatedFeatureObj: ",AD8,
", SpatialOffsetObj:  ",IF(AE8="","NULL",AE8),
"}")),
IF(INDEX(RelatedFeatures[First Sampling Feature Code],ROW()-3)="","PLEASE FILL IN THE FIRST FEATURE ON THE FIRST ROW",
CONCATENATE("  - {",
"SamplingFeatureObj:  *SamplingFeatureID",IFERROR(TEXT(MATCH(INDEX(RelatedFeatures[First Sampling Feature Code],ROW()-3),SamplingFeatures[Feature Code],0),"00000"),"PLEASE SELECT A VALID FIRST FEATURE CODE"),
", RelationshipTypeCV:  ",CHAR(34),IF(INDEX(RelatedFeatures[Relationship Type],ROW()-3)&lt;&gt;"",INDEX(RelatedFeatures[Relationship Type],ROW()-3),"PLEASE SELECT A VALID RELATIONSHIP TYPE BETWEEN THESE TWO FEATURES"),CHAR(34),
", RelatedFeatureObj: *SamplingFeatureID",IFERROR(TEXT(MATCH(INDEX(RelatedFeatures[Second Sampling Feature Code],ROW()-3),SamplingFeatures[Feature Code],0),"00000"),"PLEASE SELECT A VALID SECOND FEATURE CODE"),
", SpatialOffsetObj:  ",IF(INDEX(RelatedFeatures[Spatial Offset Code],ROW()-3)="","NULL",CONCATENATE("*SpatialOffsetID",IFERROR(TEXT(MATCH(INDEX(RelatedFeatures[Spatial Offset Code],ROW()-3),SpatialOffsets[Spatial Offset Code],0),"00000"),"PLEASE SELECT A VALID SPATIAL OFFSET CODE"))),
"}")))))</f>
        <v/>
      </c>
      <c r="AG8" s="26" t="str">
        <f>IF(INDEX(Methods[Method Type],ROW()-3)="","",
CONCATENATE("  - &amp;MethodID",TEXT(ROW()-3,"00000"),
" {","MethodTypeCV:  ",CHAR(34),IF(INDEX(Methods[Method Type],ROW()-3)&lt;&gt;"",INDEX(Methods[Method Type],ROW()-3),"PLEASE SELECT A VALID METHOD TYPE FOR THIS METHOD"),CHAR(34),
", MethodCode:  ",CHAR(34),IF(INDEX(Methods[Method Code],ROW()-3)&lt;&gt;"",INDEX(Methods[Method Code],ROW()-3),"PLEASE FILL IN A CODE FOR THIS METHOD"),CHAR(34),
", MethodName:  ",CHAR(34),IF(INDEX(Methods[Method Name],ROW()-3)&lt;&gt;"",INDEX(Methods[Method Name],ROW()-3),"PLEASE FILL IN A NAME FOR THIS METHOD"),CHAR(34),
", MethodDescription:  ",CHAR(34),INDEX(Methods[Method Description],ROW()-3),CHAR(34),
", MethodLink:  ",CHAR(34),INDEX(Methods[Method Link],ROW()-3),CHAR(34),
IF(INDEX(Methods[Organization Name],ROW()-3)="",CONCATENATE(", OrganizationObj: ","NULL"),
CONCATENATE(", OrganizationObj: *OrganizationID",IFERROR(TEXT(MATCH(INDEX(Methods[Organization Name],ROW()-3),Organizations[Organization Name],0),"00000"),"PLEASE SELECT A VALID ORGANIZATION NAME FOR THIS METHOD"))),
"}"))</f>
        <v/>
      </c>
      <c r="AH8" s="26" t="str">
        <f>IF(ROW()-3&gt;NumVariables,"",
CONCATENATE("  - &amp;VariableID",TEXT(ROW()-3,"00000"),
" {","VariableTypeCV:  ",CHAR(34),IF(INDEX(Variables[Variable Type],ROW()-3)&lt;&gt;"",INDEX(Variables[Variable Type],ROW()-3),"PLEASE SELECT A VALID VARIABLE TYPE FOR THIS VARIABLE"),CHAR(34),
", VariableCode:  ",CHAR(34),IF(INDEX(Variables[Variable Code],ROW()-3)&lt;&gt;"",INDEX(Variables[Variable Code],ROW()-3),"PLEASE FILL IN A CODE FOR THIS VARIABLE"),CHAR(34),
", VariableNameCV:  ",CHAR(34),IF(INDEX(Variables[Variable Name],ROW()-3)&lt;&gt;"",INDEX(Variables[Variable Name],ROW()-3),"PLEASE SELECT A VALID NAME FOR THIS VARIABLE"),CHAR(34),
", VariableDefinition:  ",CHAR(34),INDEX(Variables[Variable Definition],ROW()-3),CHAR(34),
", SpeciationCV:  ",CHAR(34),INDEX(Variables[Speciation],ROW()-3),CHAR(34),
", NoDataValue:  ",CHAR(34),IF(INDEX(Variables[No Data Value],ROW()-3)&lt;&gt;"",INDEX(Variables[No Data Value],ROW()-3),"PLEASE FILL IN THE VALUE FOR MISSING POINTS IN THIS VARIABLE"),CHAR(34),
"}"))</f>
        <v/>
      </c>
      <c r="AJ8" s="26" t="str">
        <f>IF(ROW()-3&gt;NumTaxClassifiers,"",
CONCATENATE("  - &amp;TaxonomicClassifierID",TEXT(ROW()-3,"00000"),
" {","TaxonomicClassifierTypeCV:  ",CHAR(34),IF(INDEX(TaxonomicClassifiers[Taxonomic Classifier Type],ROW()-3)&lt;&gt;"",INDEX(TaxonomicClassifiers[Taxonomic Classifier Type],ROW()-3),"PLEASE SELECT A VALID TAXONOMIC TYPE FOR THIS VARIABLE"),CHAR(34),
", TaxonomicClassifierName:  ",CHAR(34),IF(INDEX(TaxonomicClassifiers[Taxonomic Classifier Name],ROW()-3)&lt;&gt;"",INDEX(TaxonomicClassifiers[Taxonomic Classifier Name],ROW()-3),"PLEASE FILL IN A NAME FOR THIS TAXONOMIC CLASSIFIER"),CHAR(34),
", TaxonomicClassifierCommonName:  ",CHAR(34),INDEX(TaxonomicClassifiers[Taxonomic Classifier Common Name],ROW()-3),CHAR(34),
", TaxonomicClassifierDescription:  ",CHAR(34),INDEX(TaxonomicClassifiers[Taxonomic Classifier Description],ROW()-3),CHAR(34),
", ParentTaxonomicClassifierObj:  ","NULL",
"}"))</f>
        <v/>
      </c>
      <c r="AK8" s="26" t="str">
        <f>IF(ROW()-3&gt;NumProcessingLevels,"",
CONCATENATE("  - &amp;ProcessingLevelID",TEXT(ROW()-3,"00000"),
" {","ProcessingLevelCode:  ",CHAR(34),IF(INDEX(ProcessingLevels[Processing Level Code],ROW()-3)&lt;&gt;"",INDEX(ProcessingLevels[Processing Level Code],ROW()-3),"PLEASE FILL IN A CODE FOR THIS PROCESSING LEVEL"),CHAR(34),
", Definition:  ",CHAR(34),INDEX(ProcessingLevels[Definition],ROW()-3),CHAR(34),
", Explanation:  ",CHAR(34),INDEX(ProcessingLevels[Explanation],ROW()-3),CHAR(34),
"}"))</f>
        <v/>
      </c>
      <c r="AL8" s="26" t="e">
        <f>IF(INDEX(SpecimenColumnFinder[First Value Address],MATCH("CollectionMethodCode",SpecimenColumnFinder[DataType],0))="NOT GIVEN",
"PLEASE NOTE:  A SPECIMEN COLLECTION METHOD CODE MUST BE SPECIFIED",
IF(LEFT(INDEX(SpecimenColumnFinder[First Value Address],MATCH("CollectionMethodCode",SpecimenColumnFinder[DataType],0)),14)="'Data Columns'",
IF(ISERROR(MATCH(INDIRECT(INDEX(SpecimenColumnFinder[First Value Address],MATCH("CollectionMethodCode",SpecimenColumnFinder[DataType],0)),FALSE),Methods[Method Code],0)),
"PLEASE USE A VALID SAMPLE COLLECTION METHOD CODE FOR ALL SPECIMENS",
CONCATENATE("*MethodID",TEXT(MATCH(INDIRECT(INDEX(SpecimenColumnFinder[First Value Address],MATCH("CollectionMethodCode",SpecimenColumnFinder[DataType],0)),FALSE),Methods[Method Code],0),"00000"))),
IF(ISERROR(MATCH(OFFSET(INDIRECT(INDEX(SpecimenColumnFinder[First Value Address],MATCH("CollectionMethodCode",SpecimenColumnFinder[DataType],0)),FALSE),ROW()-4,0),Methods[Method Code],0)),
CONCATENATE("PLEASE PUT A VALID SAMPLE COLLECTION METHOD CODE IN ROW ",ROW()-4),
CONCATENATE("*MethodID",TEXT(MATCH(OFFSET(INDIRECT(INDEX(SpecimenColumnFinder[First Value Address],MATCH("CollectionMethodCode",SpecimenColumnFinder[DataType],0)),FALSE),ROW()-4,0),Methods[Method Code],0),"00000")))
))</f>
        <v>#N/A</v>
      </c>
      <c r="AM8" s="26" t="str">
        <f>IF(INDEX(SpecimenColumnFinder[First Value Address],MATCH("CollectionDateTime",SpecimenColumnFinder[DataType],0))="NOT GIVEN",
"PLEASE SPECIFY WHICH COLUMN HAS THE SPECIMEN COLLECTION TIMES",
IF(OFFSET(INDIRECT(INDEX(SpecimenColumnFinder[First Value Address],MATCH("CollectionDateTime",SpecimenColumnFinder[DataType],0)),FALSE),ROW()-4,0)="",
CONCATENATE("PLEASE PUT A SPECIMEN CODE IN ROW ",ROW()-4),
TEXT(OFFSET(INDIRECT(INDEX(SpecimenColumnFinder[First Value Address],MATCH("CollectionDateTime",SpecimenColumnFinder[DataType],0)),FALSE),ROW()-4,0),"yyyy-mm-dd hh:mm:ss"))
)</f>
        <v>PLEASE SPECIFY WHICH COLUMN HAS THE SPECIMEN COLLECTION TIMES</v>
      </c>
      <c r="AN8" s="26" t="e">
        <f>IF(INDEX(SpecimenColumnFinder[First Value Address],MATCH("CollectionDateTimeUTCOffset",SpecimenColumnFinder[DataType],0))="NOT GIVEN",
"PLEASE NOTE:  THE SPECIMEN COLLLECTION TIME UTC OFFSET MUST BE GIVEN",
IF(LEFT(INDEX(SpecimenColumnFinder[First Value Address],MATCH("CollectionDateTimeUTCOffset",SpecimenColumnFinder[DataType],0)),14)="'Data Columns'",
IF(INDIRECT(INDEX(SpecimenColumnFinder[First Value Address],MATCH("CollectionDateTimeUTCOffset",SpecimenColumnFinder[DataType],0)),FALSE)="",
"PLEASE SPECIFY THE UTC OFFSET FOR THE COLLECTION TIME OF ALL SPECIMENS",
INDIRECT(INDEX(SpecimenColumnFinder[First Value Address],MATCH("CollectionDateTimeUTCOffset",SpecimenColumnFinder[DataType],0)),FALSE)),
IF(OFFSET(INDIRECT(INDEX(SpecimenColumnFinder[First Value Address],MATCH("CollectionDateTimeUTCOffset",SpecimenColumnFinder[DataType],0)),FALSE),ROW()-4,0)="",
CONCATENATE("PLEASE PUT A UTC OFFSET FOR THE COLLECTION TIME IN ROW ",ROW()-4),
OFFSET(INDIRECT(INDEX(SpecimenColumnFinder[First Value Address],MATCH("CollectionDateTimeUTCOffset",SpecimenColumnFinder[DataType],0)),FALSE),ROW()-4,0))
))</f>
        <v>#N/A</v>
      </c>
      <c r="AO8" s="26" t="e">
        <f>IF(INDEX(SpecimenColumnFinder[First Value Address],MATCH("SpecimenCollector",SpecimenColumnFinder[DataType],0))="NOT GIVEN",
"",
IF(LEFT(INDEX(SpecimenColumnFinder[First Value Address],MATCH("SpecimenCollector",SpecimenColumnFinder[DataType],0)),14)="'Data Columns'",
IF(ISERROR(MATCH(INDIRECT(INDEX(SpecimenColumnFinder[First Value Address],MATCH("SpecimenCollector",SpecimenColumnFinder[DataType],0)),FALSE),People[Full Name],0)),
"PLEASE SELECT A VALID SAMPLE COLLECTOR FOR ALL SPECIMENS",
CONCATENATE("*AffiliationID",TEXT(MATCH(INDIRECT(INDEX(SpecimenColumnFinder[First Value Address],MATCH("SpecimenCollector",SpecimenColumnFinder[DataType],0)),FALSE),People[Full Name],0),"00000"))),
IF(OFFSET(INDIRECT(INDEX(SpecimenColumnFinder[First Value Address],MATCH("SpecimenCollector",SpecimenColumnFinder[DataType],0)),FALSE),ROW()-4,0)="",
"",
IF(ISERROR(MATCH(OFFSET(INDIRECT(INDEX(SpecimenColumnFinder[First Value Address],MATCH("SpecimenCollector",SpecimenColumnFinder[DataType],0)),FALSE),ROW()-4,0),People[Full Name],0)),
CONCATENATE("PLEASE PUT A VALID SAMPLE COLLECTOR IN ROW ",ROW()-4),
CONCATENATE("*AffiliationID",TEXT(MATCH(OFFSET(INDIRECT(INDEX(SpecimenColumnFinder[First Value Address],MATCH("SpecimenCollector",SpecimenColumnFinder[DataType],0)),FALSE),ROW()-4,0),People[Full Name],0),"00000")))
)))</f>
        <v>#N/A</v>
      </c>
      <c r="AP8" s="26" t="str">
        <f t="shared" si="1"/>
        <v>*SamplingFeatureID00005</v>
      </c>
      <c r="AQ8" s="26" t="str">
        <f>IF(ROW()-3&gt;NumSpecimens,"",
CONCATENATE("  - &amp;ActionID",TEXT(ROW()-3,"00000"),
" {","ActionTypeCV:  ",CHAR(34),"Specimen collection",CHAR(34),
", MethodObj: ",AL8,
", BeginDateTime:  ",CHAR(34),AM8,CHAR(34),
", BeginDateTimeUTCOffset:  ",CHAR(34),AN8,CHAR(34),
", EndDateTime:  ","NULL",
", EndDateTimeUTCOffset:  ","NULL",
", ActionDescription:  ",CHAR(34),"Action generated by Excel Template for ",TemplateProfile," v.",TemplateVersion,CHAR(34),
", ActionFileLink:  ",CHAR(34),CHAR(34),
,"}"))</f>
        <v/>
      </c>
      <c r="AR8" s="26">
        <f t="shared" si="4"/>
        <v>5</v>
      </c>
      <c r="AS8" s="26" t="e">
        <f>INDEX(ResultColumnFinder[Data Value Label],MATCH($AR8,ResultColumnFinder[DV Num],1))</f>
        <v>#N/A</v>
      </c>
      <c r="AT8" s="26" t="e">
        <f>IF(INDEX(ResultColumnFinder[First Value Address],MATCH(CONCATENATE("ResultValue",$AR8),ResultColumnFinder[Concat2],0))="NOT GIVEN",
"",
IF(OFFSET(INDIRECT(INDEX(ResultColumnFinder[First Value Address],MATCH(CONCATENATE("ResultValue",$AR8),ResultColumnFinder[Concat2],0)),FALSE),ROW()-4-($AR8-1)*NumSpecimens,0)="",
"",
OFFSET(INDIRECT(INDEX(ResultColumnFinder[First Value Address],MATCH(CONCATENATE("ResultValue",$AR8),ResultColumnFinder[Concat2],0)),FALSE),ROW()-4-($AR8-1)*NumSpecimens,0))
)</f>
        <v>#N/A</v>
      </c>
      <c r="AU8" s="26" t="e">
        <f>IF(INDEX(ResultColumnFinder[First Value Address],MATCH(CONCATENATE("AnalysisMethodCode",$AR8),ResultColumnFinder[Concat2],0))="NOT GIVEN",
CONCATENATE("PLEASE FILL IN A VALID ANALYSIS METHOD CODE FOR ",$AS8),
IF(LEFT(INDEX(ResultColumnFinder[First Value Address],MATCH(CONCATENATE("AnalysisMethodCode",$AR8),ResultColumnFinder[Concat2],0)),14)="'Data Columns'",
IF(ISERROR(MATCH(INDIRECT(INDEX(ResultColumnFinder[First Value Address],MATCH(CONCATENATE("AnalysisMethodCode",$AR8),ResultColumnFinder[Concat2],0)),FALSE),Methods[Method Code],0)),
CONCATENATE("PLEASE FILL IN A VALID ANALYSIS METHOD CODE FOR ",$AS8),
CONCATENATE("*MethodID",TEXT(MATCH(INDIRECT(INDEX(ResultColumnFinder[First Value Address],MATCH(CONCATENATE("AnalysisMethodCode",$AR8),ResultColumnFinder[Concat2],0)),FALSE),Methods[Method Code],0),"00000"))),
IF(ISERROR(MATCH(OFFSET(INDIRECT(INDEX(ResultColumnFinder[First Value Address],MATCH(CONCATENATE("AnalysisMethodCode",$AR8),ResultColumnFinder[Concat2],0)),FALSE),ROW()-4-($AR8-1)*NumSpecimens,0),Methods[Method Code],0)),
CONCATENATE("PLEASE SPECIFY A VALID ANALYSIS METHOD CODE FOR ",$AS8," IN ROW ",ROW()-4-($AR8-1)*NumSpecimens),
CONCATENATE("*MethodID",TEXT(MATCH(OFFSET(INDIRECT(INDEX(ResultColumnFinder[First Value Address],MATCH(CONCATENATE("AnalysisMethodCode",$AR8),ResultColumnFinder[Concat2],0)),FALSE),ROW()-4-($AR8-1)*NumSpecimens,0),Methods[Method Code],0),"00000")))))</f>
        <v>#N/A</v>
      </c>
      <c r="AV8" s="26" t="e">
        <f>IF(INDEX(ResultColumnFinder[First Value Address],MATCH(CONCATENATE("AnalysisDateTime",$AR8),ResultColumnFinder[Concat2],0))="NOT GIVEN",
"",
IF(OFFSET(INDIRECT(INDEX(ResultColumnFinder[First Value Address],MATCH(CONCATENATE("AnalysisDateTime",$AR8),ResultColumnFinder[Concat2],0)),FALSE),ROW()-4-($AR8-1)*NumSpecimens,0)="",
CONCATENATE("PLEASE SPECIFY AN ANALYSIS TIME FOR ",$AS8," IN ROW ",ROW()-4-($AR8-1)*NumSpecimens),
TEXT(OFFSET(INDIRECT(INDEX(ResultColumnFinder[First Value Address],MATCH(CONCATENATE("AnalysisDateTime",$AR8),ResultColumnFinder[Concat2],0)),FALSE),ROW()-4-($AR8-1)*NumSpecimens,0),"yyyy-mm-dd hh:mm:ss")))</f>
        <v>#N/A</v>
      </c>
      <c r="AW8" s="26" t="e">
        <f>IF(INDEX(ResultColumnFinder[First Value Address],MATCH(CONCATENATE("AnalysisDateTimeUTCOffset",$AR8),ResultColumnFinder[Concat2],0))="NOT GIVEN",
"",
IF(LEFT(INDEX(ResultColumnFinder[First Value Address],MATCH(CONCATENATE("AnalysisDateTimeUTCOffset",$AR8),ResultColumnFinder[Concat2],0)),14)="'Data Columns'",
IF(INDIRECT(INDEX(ResultColumnFinder[First Value Address],MATCH(CONCATENATE("AnalysisDateTimeUTCOffset",$AR8),ResultColumnFinder[Concat2],0)),FALSE)="",
CONCATENATE("PLEASE FILL IN AN ANALYSIS TIME UTC OFFSET FOR ",$AS8),
INDIRECT(INDEX(ResultColumnFinder[First Value Address],MATCH(CONCATENATE("AnalysisDateTimeUTCOffset",$AR8),ResultColumnFinder[Concat2],0)),FALSE)),
IF(OFFSET(INDIRECT(INDEX(ResultColumnFinder[First Value Address],MATCH(CONCATENATE("AnalysisDateTimeUTCOffset",$AR8),ResultColumnFinder[Concat2],0)),FALSE),ROW()-4-($AR8-1)*NumSpecimens,0)="",
CONCATENATE("PLEASE SPECIFY AN ANALYSIS TIME UTC OFFSET FOR ",$AS8," IN ROW ",ROW()-4-($AR8-1)*NumSpecimens),
OFFSET(INDIRECT(INDEX(ResultColumnFinder[First Value Address],MATCH(CONCATENATE("AnalysisDateTimeUTCOffset",$AR8),ResultColumnFinder[Concat2],0)),FALSE),ROW()-4-($AR8-1)*NumSpecimens,0))))</f>
        <v>#N/A</v>
      </c>
      <c r="AX8" s="26" t="e">
        <f>IF(INDEX(ResultColumnFinder[First Value Address],MATCH(CONCATENATE("ResultAnalyst",$AR8),ResultColumnFinder[Concat2],0))="NOT GIVEN",
"",
IF(LEFT(INDEX(ResultColumnFinder[First Value Address],MATCH(CONCATENATE("ResultAnalyst",$AR8),ResultColumnFinder[Concat2],0)),14)="'Data Columns'",
IF(ISERROR(MATCH(INDIRECT(INDEX(ResultColumnFinder[First Value Address],MATCH(CONCATENATE("ResultAnalyst",$AR8),ResultColumnFinder[Concat2],0)),FALSE),People[Full Name],0)),
CONCATENATE("PLEASE FILL IN A VALID ANALYST FOR ",$AS8),
CONCATENATE("*AffiliationID",TEXT(MATCH(INDIRECT(INDEX(ResultColumnFinder[First Value Address],MATCH(CONCATENATE("ResultAnalyst",$AR8),ResultColumnFinder[Concat2],0)),FALSE),People[Full Name],0),"00000"))),
IF(OFFSET(INDIRECT(INDEX(ResultColumnFinder[First Value Address],MATCH(CONCATENATE("ResultAnalyst",$AR8),ResultColumnFinder[Concat2],0)),FALSE),ROW()-4-($AR8-1)*NumSpecimens,0)="",
"",
IF(ISERROR(MATCH(OFFSET(INDIRECT(INDEX(ResultColumnFinder[First Value Address],MATCH(CONCATENATE("ResultAnalyst",$AR8),ResultColumnFinder[Concat2],0)),FALSE),ROW()-4-($AR8-1)*NumSpecimens,0),People[Full Name],0)),
CONCATENATE("PLEASE SPECIFY A VALID ANALYST FOR ",$AS8," IN ROW ",ROW()-4-($AR8-1)*NumSpecimens),
CONCATENATE("*AffiliationID",TEXT(MATCH(OFFSET(INDIRECT(INDEX(ResultColumnFinder[First Value Address],MATCH(CONCATENATE("ResultAnalyst",$AR8),ResultColumnFinder[Concat2],0)),FALSE),ROW()-4-($AR8-1)*NumSpecimens,0),People[Full Name],0),"00000"))))))</f>
        <v>#N/A</v>
      </c>
      <c r="AY8" s="26" t="str">
        <f t="shared" si="2"/>
        <v>*SamplingFeatureID00001</v>
      </c>
      <c r="AZ8" s="26" t="str">
        <f>IF(ROW()-3&gt;NumDataColumns*NumSpecimens,"",
IF(AT8="","",
CONCATENATE("  - &amp;ActionID",TEXT(ROW()-3+NumSpecimens,"00000"),
" {","ActionTypeCV:  ",CHAR(34),"Specimen analysis",CHAR(34),
", MethodObj: ",AU8,
", BeginDateTime:  ",CHAR(34),AV8,CHAR(34),
", BeginDateTimeUTCOffset:  ",CHAR(34),AW8,CHAR(34),
", EndDateTime:  ","NULL",
", EndDateTimeUTCOffset:  ","NULL",
", ActionDescription:  ",CHAR(34),"Action generated by Excel Template for ",TemplateProfile," v.",TemplateVersion,CHAR(34),
", ActionFileLink:  ","NULL",
,"}")))</f>
        <v/>
      </c>
      <c r="BA8" s="26" t="str">
        <f>IF(ROW()-3&gt;NumSpecimens,"",
CONCATENATE("  - &amp;FeatureActionID",TEXT(ROW()-3,"00000"),
" {","SamplingFeatureObj:  ",AP8,
", ActionObj:  *ActionID",TEXT(ROW()-3,"00000"),"}"))</f>
        <v/>
      </c>
      <c r="BB8" s="26" t="str">
        <f>IF(ROW()-3&gt;NumDataColumns*NumSpecimens,"",
IF(AT8="","",
CONCATENATE("  - &amp;FeatureActionID",TEXT(ROW()-3+NumSpecimens,"00000"),
" {","SamplingFeatureObj:  ",AY8,
", ActionObj:  *ActionID",TEXT(ROW()-3+NumSpecimens,"00000"),"}")))</f>
        <v/>
      </c>
      <c r="BC8" s="26" t="str">
        <f>IF(ROW()-3&gt;NumSpecimens,"",
IF(AO8="","",
CONCATENATE("  - {",
"ActionObj:  *ActionID",TEXT(ROW()-3,"00000"),
", AffiliationObj:  ",AO8,
", IsActionLead: TRUE",
", RoleDescription: ","NULL",
"}")))</f>
        <v/>
      </c>
      <c r="BD8" s="26" t="str">
        <f>IF(ROW()-3&gt;NumDataColumns*NumSpecimens,"",
IF(AT8="","",
IF(AX8="","",
CONCATENATE("  - {",
"ActionObj:  *ActionID",TEXT(ROW()-3+NumSpecimens,"00000"),
", AffiliationObj:  ",AX8,
", IsActionLead: TRUE",
", RoleDescription: ","NULL",
"}"))))</f>
        <v/>
      </c>
      <c r="BE8" s="26" t="e">
        <f>IF(INDEX(ResultColumnFinder[First Value Address],MATCH(CONCATENATE("ResultUUID",$AR8),ResultColumnFinder[Concat2],0))="NOT GIVEN",
"",
IF(OFFSET(INDIRECT(INDEX(ResultColumnFinder[First Value Address],MATCH(CONCATENATE("ResultUUID",$AR8),ResultColumnFinder[Concat2],0)),FALSE),ROW()-4-($AR8-1)*NumSpecimens,0)="",
"",
OFFSET(INDIRECT(INDEX(ResultColumnFinder[First Value Address],MATCH(CONCATENATE("ResultUUID",$AR8),ResultColumnFinder[Concat2],0)),FALSE),ROW()-4-($AR8-1)*NumSpecimens,0))
)</f>
        <v>#N/A</v>
      </c>
      <c r="BF8" s="26" t="e">
        <f>IF(INDEX(ResultColumnFinder[First Value Address],MATCH(CONCATENATE("ResultTypeCV",$AR8),ResultColumnFinder[Concat2],0))="NOT GIVEN",
"PLEASE NOTE: A  RESULT TYPE MUST BE SPECIFIED FOR EACH RESULT",
IF(LEFT(INDEX(ResultColumnFinder[First Value Address],MATCH(CONCATENATE("ResultTypeCV",$AR8),ResultColumnFinder[Concat2],0)),14)="'Data Columns'",
IF(COUNTIF(ResultTypeCV,INDIRECT(INDEX(ResultColumnFinder[First Value Address],MATCH(CONCATENATE("ResultTypeCV",$AR8),ResultColumnFinder[Concat2],0)),FALSE))=0,
CONCATENATE("PLEASE FILL IN A VALID  RESULT TYPE FOR ",$AS8),
INDIRECT(INDEX(ResultColumnFinder[First Value Address],MATCH(CONCATENATE("ResultTypeCV",$AR8),ResultColumnFinder[Concat2],0)),FALSE)),
IF(COUNTIF(ResultTypeCV,OFFSET(INDIRECT(INDEX(ResultColumnFinder[First Value Address],MATCH(CONCATENATE("ResultTypeCV",$AR8),ResultColumnFinder[Concat2],0)),FALSE),ROW()-4-($AR8-1)*NumSpecimens,0))=0,
CONCATENATE("PLEASE SPECIFY A VALID  RESULT TYPE FOR ",$AS8," IN ROW ",ROW()-4-($AR8-1)*NumSpecimens),
OFFSET(INDIRECT(INDEX(ResultColumnFinder[First Value Address],MATCH(CONCATENATE("ResultTypeCV",$AR8),ResultColumnFinder[Concat2],0)),FALSE),ROW()-4-($AR8-1)*NumSpecimens,0))
))</f>
        <v>#N/A</v>
      </c>
      <c r="BG8" s="26" t="e">
        <f>IF(INDEX(ResultColumnFinder[First Value Address],MATCH(CONCATENATE("VariableCode",$AR8),ResultColumnFinder[Concat2],0))="NOT GIVEN",
"PLEASE NOTE: A VARIABLE CODE MUST BE SPECIFIED FOR EACH RESULT",
IF(LEFT(INDEX(ResultColumnFinder[First Value Address],MATCH(CONCATENATE("VariableCode",$AR8),ResultColumnFinder[Concat2],0)),14)="'Data Columns'",
IF(ISERROR(MATCH(INDIRECT(INDEX(ResultColumnFinder[First Value Address],MATCH(CONCATENATE("VariableCode",$AR8),ResultColumnFinder[Concat2],0)),FALSE),Variables[Variable Code],0)),
CONCATENATE("PLEASE FILL IN A VALID VARIABLE CODE FOR ",$AS8),
CONCATENATE("*VariableID",TEXT(MATCH(INDIRECT(INDEX(ResultColumnFinder[First Value Address],MATCH(CONCATENATE("VariableCode",$AR8),ResultColumnFinder[Concat2],0)),FALSE),Variables[Variable Code],0),"00000"))),
IF(ISERROR(MATCH(OFFSET(INDIRECT(INDEX(ResultColumnFinder[First Value Address],MATCH(CONCATENATE("VariableCode",$AR8),ResultColumnFinder[Concat2],0)),FALSE),ROW()-4-($AR8-1)*NumSpecimens,0),Variables[Variable Code],0)),
CONCATENATE("PLEASE SPECIFY A VALID VARIABLE CODE FOR ",$AS8," IN ROW ",ROW()-4-($AR8-1)*NumSpecimens),
CONCATENATE("*VariableID",TEXT(MATCH(OFFSET(INDIRECT(INDEX(ResultColumnFinder[First Value Address],MATCH(CONCATENATE("VariableCode",$AR8),ResultColumnFinder[Concat2],0)),FALSE),ROW()-4-($AR8-1)*NumSpecimens,0),Variables[Variable Code],0),"00000")))))</f>
        <v>#N/A</v>
      </c>
      <c r="BH8" s="26" t="e">
        <f>IF(INDEX(ResultColumnFinder[First Value Address],MATCH(CONCATENATE("UnitName",$AR8),ResultColumnFinder[Concat2],0))="NOT GIVEN",
"PLEASE NOTE: A UNIT MUST BE SPECIFIED FOR EACH RESULT",
IF(LEFT(INDEX(ResultColumnFinder[First Value Address],MATCH(CONCATENATE("UnitName",$AR8),ResultColumnFinder[Concat2],0)),14)="'Data Columns'",
IF(INDIRECT(INDEX(ResultColumnFinder[First Value Address],MATCH(CONCATENATE("UnitName",$AR8),ResultColumnFinder[Concat2],0)),FALSE)="",
CONCATENATE("PLEASE FILL IN A UNIT FOR ",$AS8),
INDIRECT(INDEX(ResultColumnFinder[First Value Address],MATCH(CONCATENATE("UnitName",$AR8),ResultColumnFinder[Concat2],0)),FALSE)),
IF(OFFSET(INDIRECT(INDEX(ResultColumnFinder[First Value Address],MATCH(CONCATENATE("UnitName",$AR8),ResultColumnFinder[Concat2],0)),FALSE),ROW()-4-($AR8-1)*NumSpecimens,0)="",
CONCATENATE("PLEASE SPECIFY A UNIT FOR ",$AS8," IN ROW ",ROW()-4-($AR8-1)*NumSpecimens),
OFFSET(INDIRECT(INDEX(ResultColumnFinder[First Value Address],MATCH(CONCATENATE("UnitName",$AR8),ResultColumnFinder[Concat2],0)),FALSE),ROW()-4-($AR8-1)*NumSpecimens,0))
))</f>
        <v>#N/A</v>
      </c>
      <c r="BI8" s="26" t="e">
        <f>IF(INDEX(ResultColumnFinder[First Value Address],MATCH(CONCATENATE("TaxonomicClassifierName",$AR8),ResultColumnFinder[Concat2],0))="NOT GIVEN",
"",
IF(LEFT(INDEX(ResultColumnFinder[First Value Address],MATCH(CONCATENATE("TaxonomicClassifierName",$AR8),ResultColumnFinder[Concat2],0)),14)="'Data Columns'",
IF(ISERROR(MATCH(INDIRECT(INDEX(ResultColumnFinder[First Value Address],MATCH(CONCATENATE("TaxonomicClassifierName",$AR8),ResultColumnFinder[Concat2],0)),FALSE),TaxonomicClassifiers[Taxonomic Classifier Name],0)),
"",
CONCATENATE("*VariableID",TEXT(MATCH(INDIRECT(INDEX(ResultColumnFinder[First Value Address],MATCH(CONCATENATE("TaxonomicClassifierName",$AR8),ResultColumnFinder[Concat2],0)),FALSE),TaxonomicClassifiers[Taxonomic Classifier Name],0),"00000"))),
IF(ISERROR(MATCH(OFFSET(INDIRECT(INDEX(ResultColumnFinder[First Value Address],MATCH(CONCATENATE("TaxonomicClassifierName",$AR8),ResultColumnFinder[Concat2],0)),FALSE),ROW()-4-($AR8-1)*NumSpecimens,0),TaxonomicClassifiers[Taxonomic Classifier Name],0)),
"",
CONCATENATE("*VariableID",TEXT(MATCH(OFFSET(INDIRECT(INDEX(ResultColumnFinder[First Value Address],MATCH(CONCATENATE("TaxonomicClassifierName",$AR8),ResultColumnFinder[Concat2],0)),FALSE),ROW()-4-($AR8-1)*NumSpecimens,0),TaxonomicClassifiers[Taxonomic Classifier Name],0),"00000")))))</f>
        <v>#N/A</v>
      </c>
      <c r="BJ8" s="26" t="e">
        <f>IF(INDEX(ResultColumnFinder[First Value Address],MATCH(CONCATENATE("ProcessingLevelCode",$AR8),ResultColumnFinder[Concat2],0))="NOT GIVEN",
"PLEASE NOTE: A PROCESSING LEVEL CODE MUST BE SPECIFIED FOR EACH RESULT",
IF(LEFT(INDEX(ResultColumnFinder[First Value Address],MATCH(CONCATENATE("ProcessingLevelCode",$AR8),ResultColumnFinder[Concat2],0)),14)="'Data Columns'",
IF(ISERROR(MATCH(INDIRECT(INDEX(ResultColumnFinder[First Value Address],MATCH(CONCATENATE("ProcessingLevelCode",$AR8),ResultColumnFinder[Concat2],0)),FALSE),ProcessingLevels[Processing Level Code],0)),
CONCATENATE("PLEASE FILL IN A VALID PROCESSING LEVEL CODE FOR ",$AS8),
CONCATENATE("*ProcessingLevelID",TEXT(MATCH(INDIRECT(INDEX(ResultColumnFinder[First Value Address],MATCH(CONCATENATE("ProcessingLevelCode",$AR8),ResultColumnFinder[Concat2],0)),FALSE),ProcessingLevels[Processing Level Code],0),"00000"))),
IF(ISERROR(MATCH(OFFSET(INDIRECT(INDEX(ResultColumnFinder[First Value Address],MATCH(CONCATENATE("ProcessingLevelCode",$AR8),ResultColumnFinder[Concat2],0)),FALSE),ROW()-4-($AR8-1)*NumSpecimens,0),ProcessingLevels[Processing Level Code],0)),
CONCATENATE("PLEASE SPECIFY A VALID PROCESSING LEVEL CODE FOR ",$AS8," IN ROW ",ROW()-4-($AR8-1)*NumSpecimens),
CONCATENATE("*ProcessingLevelID",TEXT(MATCH(OFFSET(INDIRECT(INDEX(ResultColumnFinder[First Value Address],MATCH(CONCATENATE("ProcessingLevelCode",$AR8),ResultColumnFinder[Concat2],0)),FALSE),ROW()-4-($AR8-1)*NumSpecimens,0),ProcessingLevels[Processing Level Code],0),"00000")))))</f>
        <v>#N/A</v>
      </c>
      <c r="BK8" s="26" t="str">
        <f>IF(INDEX(SpecimenColumnFinder[First Value Address],MATCH("CollectionDateTime",SpecimenColumnFinder[DataType],0))="NOT GIVEN",
"PLEASE NOTE: THE SPECIMEN COLLECTION DATE/TIME MUST BE SPECIFIED",
IF(OFFSET(INDIRECT(INDEX(SpecimenColumnFinder[First Value Address],MATCH("CollectionDateTime",SpecimenColumnFinder[DataType],0)),FALSE),ROW()-4-($AR8-1)*NumSpecimens,0)="",
CONCATENATE("PLEASE SPECIFY A SPECIMEN COLLECTION DATE/TIME IN ROW ",ROW()-4-($AR8-1)*NumSpecimens),
TEXT(OFFSET(INDIRECT(INDEX(SpecimenColumnFinder[First Value Address],MATCH("CollectionDateTime",SpecimenColumnFinder[DataType],0)),FALSE),ROW()-4-($AR8-1)*NumSpecimens,0),"yyyy-mm-dd hh:mm:ss")))</f>
        <v>PLEASE NOTE: THE SPECIMEN COLLECTION DATE/TIME MUST BE SPECIFIED</v>
      </c>
      <c r="BL8" s="26" t="e">
        <f>IF(INDEX(SpecimenColumnFinder[First Value Address],MATCH("CollectionDateTimeUTCOffset",SpecimenColumnFinder[DataType],0))="NOT GIVEN",
"PLEASE NOTE: THE COLLECTION TIME UTC OFFSET MUST BE SPECIFIED",
IF(OFFSET(INDIRECT(INDEX(SpecimenColumnFinder[First Value Address],MATCH("CollectionDateTimeUTCOffset",SpecimenColumnFinder[DataType],0)),FALSE),ROW()-4-($AR8-1)*NumSpecimens,0)="",
CONCATENATE("PLEASE SPECIFY A COLLECTION TIME UTC OFFSET IN ROW ",ROW()-4-($AR8-1)*NumSpecimens),
OFFSET(INDIRECT(INDEX(SpecimenColumnFinder[First Value Address],MATCH("CollectionDateTimeUTCOffset",SpecimenColumnFinder[DataType],0)),FALSE),ROW()-4-($AR8-1)*NumSpecimens,0)))</f>
        <v>#N/A</v>
      </c>
      <c r="BM8" s="26" t="e">
        <f>IF(INDEX(ResultColumnFinder[First Value Address],MATCH(CONCATENATE("SampledMediumCV",$AR8),ResultColumnFinder[Concat2],0))="NOT GIVEN",
"PLEASE NOTE: A SAMPLED MEDIUM MUST BE SPECIFIED FOR EACH RESULT",
IF(LEFT(INDEX(ResultColumnFinder[First Value Address],MATCH(CONCATENATE("SampledMediumCV",$AR8),ResultColumnFinder[Concat2],0)),14)="'Data Columns'",
IF(COUNTIF(SampledMediumCV,INDIRECT(INDEX(ResultColumnFinder[First Value Address],MATCH(CONCATENATE("SampledMediumCV",$AR8),ResultColumnFinder[Concat2],0)),FALSE))=0,
CONCATENATE("PLEASE FILL IN A VALID SAMPLED MEDIUM FOR ",$AS8),
INDIRECT(INDEX(ResultColumnFinder[First Value Address],MATCH(CONCATENATE("SampledMediumCV",$AR8),ResultColumnFinder[Concat2],0)),FALSE)),
IF(COUNTIF(SampledMediumCV,OFFSET(INDIRECT(INDEX(ResultColumnFinder[First Value Address],MATCH(CONCATENATE("SampledMediumCV",$AR8),ResultColumnFinder[Concat2],0)),FALSE),ROW()-4-($AR8-1)*NumSpecimens,0))=0,
CONCATENATE("PLEASE SPECIFY A VALID SAMPLED MEDIUM FOR ",$AS8," IN ROW ",ROW()-4-($AR8-1)*NumSpecimens),
OFFSET(INDIRECT(INDEX(ResultColumnFinder[First Value Address],MATCH(CONCATENATE("SampledMediumCV",$AR8),ResultColumnFinder[Concat2],0)),FALSE),ROW()-4-($AR8-1)*NumSpecimens,0))
))</f>
        <v>#N/A</v>
      </c>
      <c r="BN8" s="26" t="e">
        <f>IF(BF8&lt;&gt;"Measurement","",
IF(INDEX(ResultColumnFinder[First Value Address],MATCH(CONCATENATE("CensorCodeCV",$AR8),ResultColumnFinder[Concat2],0))="NOT GIVEN",
"PLEASE NOTE: A CENSOR CODE MUST BE SPECIFIED FOR EACH RESULT",
IF(LEFT(INDEX(ResultColumnFinder[First Value Address],MATCH(CONCATENATE("CensorCodeCV",$AR8),ResultColumnFinder[Concat2],0)),14)="'Data Columns'",
IF(COUNTIF(CensorCodeCV,INDIRECT(INDEX(ResultColumnFinder[First Value Address],MATCH(CONCATENATE("CensorCodeCV",$AR8),ResultColumnFinder[Concat2],0)),FALSE))=0,
CONCATENATE("PLEASE FILL IN A VALID CENSOR CODE FOR ",$AS8),
INDIRECT(INDEX(ResultColumnFinder[First Value Address],MATCH(CONCATENATE("CensorCodeCV",$AR8),ResultColumnFinder[Concat2],0)),FALSE)),
IF(COUNTIF(CensorCodeCV,OFFSET(INDIRECT(INDEX(ResultColumnFinder[First Value Address],MATCH(CONCATENATE("CensorCodeCV",$AR8),ResultColumnFinder[Concat2],0)),FALSE),ROW()-4-($AR8-1)*NumSpecimens,0))=0,
CONCATENATE("PLEASE SPECIFY A VALID CENSOR CODE FOR ",$AS8," IN ROW ",ROW()-4-($AR8-1)*NumSpecimens),
OFFSET(INDIRECT(INDEX(ResultColumnFinder[First Value Address],MATCH(CONCATENATE("CensorCodeCV",$AR8),ResultColumnFinder[Concat2],0)),FALSE),ROW()-4-($AR8-1)*NumSpecimens,0))
)))</f>
        <v>#N/A</v>
      </c>
      <c r="BO8" s="26" t="e">
        <f>IF(INDEX(ResultColumnFinder[First Value Address],MATCH(CONCATENATE("QualityCodeCV",$AR8),ResultColumnFinder[Concat2],0))="NOT GIVEN",
"PLEASE NOTE: A QUALITY CODE MUST BE SPECIFIED FOR EACH RESULT",
IF(LEFT(INDEX(ResultColumnFinder[First Value Address],MATCH(CONCATENATE("QualityCodeCV",$AR8),ResultColumnFinder[Concat2],0)),14)="'Data Columns'",
IF(COUNTIF(QualityCodeCV,INDIRECT(INDEX(ResultColumnFinder[First Value Address],MATCH(CONCATENATE("QualityCodeCV",$AR8),ResultColumnFinder[Concat2],0)),FALSE))=0,
CONCATENATE("PLEASE FILL IN A VALID QUALITY CODE FOR ",$AS8),
INDIRECT(INDEX(ResultColumnFinder[First Value Address],MATCH(CONCATENATE("QualityCodeCV",$AR8),ResultColumnFinder[Concat2],0)),FALSE)),
IF(COUNTIF(QualityCodeCV,OFFSET(INDIRECT(INDEX(ResultColumnFinder[First Value Address],MATCH(CONCATENATE("QualityCodeCV",$AR8),ResultColumnFinder[Concat2],0)),FALSE),ROW()-4-($AR8-1)*NumSpecimens,0))=0,
CONCATENATE("PLEASE SPECIFY A VALID QUALITY CODE FOR ",$AS8," IN ROW ",ROW()-4-($AR8-1)*NumSpecimens),
OFFSET(INDIRECT(INDEX(ResultColumnFinder[First Value Address],MATCH(CONCATENATE("QualityCodeCV",$AR8),ResultColumnFinder[Concat2],0)),FALSE),ROW()-4-($AR8-1)*NumSpecimens,0))
))</f>
        <v>#N/A</v>
      </c>
      <c r="BP8" s="26" t="e">
        <f>IF(BF8&lt;&gt;"Measurement","",
IF(INDEX(ResultColumnFinder[First Value Address],MATCH(CONCATENATE("AggregationStatisticCV",$AR8),ResultColumnFinder[Concat2],0))="NOT GIVEN",
"PLEASE NOTE: AN AGGREGATION STATISTIC MUST BE SPECIFIED FOR EACH MEASUREMENT RESULT",
IF(LEFT(INDEX(ResultColumnFinder[First Value Address],MATCH(CONCATENATE("AggregationStatisticCV",$AR8),ResultColumnFinder[Concat2],0)),14)="'Data Columns'",
IF(COUNTIF(AggregationStatisticCV,INDIRECT(INDEX(ResultColumnFinder[First Value Address],MATCH(CONCATENATE("AggregationStatisticCV",$AR8),ResultColumnFinder[Concat2],0)),FALSE))=0,
CONCATENATE("PLEASE FILL IN A VALID AGGREGATION STATISTIC FOR ",$AS8),
INDIRECT(INDEX(ResultColumnFinder[First Value Address],MATCH(CONCATENATE("AggregationStatisticCV",$AR8),ResultColumnFinder[Concat2],0)),FALSE)),
IF(COUNTIF(AggregationStatisticCV,OFFSET(INDIRECT(INDEX(ResultColumnFinder[First Value Address],MATCH(CONCATENATE("AggregationStatisticCV",$AR8),ResultColumnFinder[Concat2],0)),FALSE),ROW()-4-($AR8-1)*NumSpecimens,0))=0,
CONCATENATE("PLEASE SPECIFY A VALID AGGREGATION STATISTIC FOR ",$AS8," IN ROW ",ROW()-4-($AR8-1)*NumSpecimens),
OFFSET(INDIRECT(INDEX(ResultColumnFinder[First Value Address],MATCH(CONCATENATE("AggregationStatisticCV",$AR8),ResultColumnFinder[Concat2],0)),FALSE),ROW()-4-($AR8-1)*NumSpecimens,0))
)))</f>
        <v>#N/A</v>
      </c>
      <c r="BQ8" s="26" t="e">
        <f>IF(BF8&lt;&gt;"Measurement","",
IF(INDEX(ResultColumnFinder[First Value Address],MATCH(CONCATENATE("TimeAggregationInterval",$AR8),ResultColumnFinder[Concat2],0))="NOT GIVEN",
"PLEASE NOTE: A TIME AGGREGATION INTERVAL MUST BE SPECIFIED FOR EACH RESULT",
IF(LEFT(INDEX(ResultColumnFinder[First Value Address],MATCH(CONCATENATE("TimeAggregationInterval",$AR8),ResultColumnFinder[Concat2],0)),14)="'Data Columns'",
IF(INDIRECT(INDEX(ResultColumnFinder[First Value Address],MATCH(CONCATENATE("TimeAggregationInterval",$AR8),ResultColumnFinder[Concat2],0)),FALSE)="",
CONCATENATE("PLEASE FILL IN A TIME AGGREGATION INTERVAL FOR ",$AS8),
INDIRECT(INDEX(ResultColumnFinder[First Value Address],MATCH(CONCATENATE("TimeAggregationInterval",$AR8),ResultColumnFinder[Concat2],0)),FALSE)),
IF(OFFSET(INDIRECT(INDEX(ResultColumnFinder[First Value Address],MATCH(CONCATENATE("TimeAggregationInterval",$AR8),ResultColumnFinder[Concat2],0)),FALSE),ROW()-4-($AR8-1)*NumSpecimens,0)="",
CONCATENATE("PLEASE SPECIFY A TIME AGGREGATION INTERVAL FOR ",$AS8," IN ROW ",ROW()-4-($AR8-1)*NumSpecimens),
OFFSET(INDIRECT(INDEX(ResultColumnFinder[First Value Address],MATCH(CONCATENATE("TimeAggregationInterval",$AR8),ResultColumnFinder[Concat2],0)),FALSE),ROW()-4-($AR8-1)*NumSpecimens,0))
)))</f>
        <v>#N/A</v>
      </c>
      <c r="BR8" s="26" t="e">
        <f>IF(BF8&lt;&gt;"Measurement","",
IF(INDEX(ResultColumnFinder[First Value Address],MATCH(CONCATENATE("TimeAggregationIntervalUnitCode",$AR8),ResultColumnFinder[Concat2],0))="NOT GIVEN",
"PLEASE NOTE: A TIME AGGREGATION UNIT MUST BE SPECIFIED FOR EACH RESULT",
IF(LEFT(INDEX(ResultColumnFinder[First Value Address],MATCH(CONCATENATE("TimeAggregationIntervalUnitCode",$AR8),ResultColumnFinder[Concat2],0)),14)="'Data Columns'",
IF(INDIRECT(INDEX(ResultColumnFinder[First Value Address],MATCH(CONCATENATE("TimeAggregationIntervalUnitCode",$AR8),ResultColumnFinder[Concat2],0)),FALSE)="",
CONCATENATE("PLEASE FILL IN A TIME AGGREGATION UNIT FOR ",$AS8),
INDIRECT(INDEX(ResultColumnFinder[First Value Address],MATCH(CONCATENATE("TimeAggregationIntervalUnitCode",$AR8),ResultColumnFinder[Concat2],0)),FALSE)),
IF(OFFSET(INDIRECT(INDEX(ResultColumnFinder[First Value Address],MATCH(CONCATENATE("TimeAggregationIntervalUnitCode",$AR8),ResultColumnFinder[Concat2],0)),FALSE),ROW()-4-($AR8-1)*NumSpecimens,0)="",
CONCATENATE("PLEASE SPECIFY A TIME AGGREGATION UNIT FOR ",$AS8," IN ROW ",ROW()-4-($AR8-1)*NumSpecimens),
OFFSET(INDIRECT(INDEX(ResultColumnFinder[First Value Address],MATCH(CONCATENATE("TimeAggregationIntervalUnitCode",$AR8),ResultColumnFinder[Concat2],0)),FALSE),ROW()-4-($AR8-1)*NumSpecimens,0))
)))</f>
        <v>#N/A</v>
      </c>
      <c r="BS8" s="26" t="str">
        <f>IF(NumDataColumns=0,"PLEASE SELECT AT LEAST 1 COLUMN OF RESULT VALUES",
IF(AT8="","",
CONCATENATE("  - &amp;ResultID",TEXT(ROW()-3,"00000"),
" {","ResultUUID:  ",CHAR(34),BE8,CHAR(34),
", FeatureActionObj: *FeatureActionID",TEXT(ROW()-3,"00000"),
", ResultTypeCV:  ",CHAR(34),BF8,CHAR(34),
", VariableObj:  ",BG8,
", UnitsObj:  ",BH8,
", TaxonomicClassifierObj:  ",BI8,
", ProcessingLevelObj:  ",BJ8,
", ResultDateTime:  ",BK8,
", ResultDateTimeUTCOffset:  ",BL8,
", ValidDateTime:  ","NULL",
", ValidDateTimeUTCOffset:  ","NULL",
", StatusCV:  ","NULL",
", SampledMediumCV:  ",CHAR(34),BM8,CHAR(34),
", ValueCount:  ",1,"}")))</f>
        <v>PLEASE SELECT AT LEAST 1 COLUMN OF RESULT VALUES</v>
      </c>
      <c r="BT8" s="26" t="str">
        <f>IF(ROW()-3&gt;NumDataColumns*NumSpecimens,"",
IF(AT8="","",
CONCATENATE("  - {DatasetObj: *DatasetID00001, ",
"ResultObj: *ResultID",TEXT(ROW()-3,"00000"),
"}")))</f>
        <v/>
      </c>
      <c r="BU8" s="26" t="e">
        <f t="shared" si="5"/>
        <v>#N/A</v>
      </c>
      <c r="BV8" s="26" t="e">
        <f>IF(BF8&lt;&gt;"Measurement","",
IF(AT8="","",
CONCATENATE("  - &amp;MeasurementResultValueID",TEXT(ROW()-3,"00000"),
" {","MeasurementResultObj: *MeasurementResultID",TEXT(ROW()-3,"00000"),
", DataValue: ",AT8,
", ValueDateTime:  ",CHAR(34),BK8,CHAR(34),
", ValueDateTimeUTCOffset:  ",BL8,
"}")))</f>
        <v>#N/A</v>
      </c>
      <c r="BW8" s="26" t="e">
        <f t="shared" si="6"/>
        <v>#N/A</v>
      </c>
      <c r="BX8" s="26" t="e">
        <f>IF(BF8="Measurement","",
IF(AT8="","",
CONCATENATE("  - &amp;CategoricalResultValueID",TEXT(ROW()-3,"00000"),
" {","MeasurementResultObj: *CategoricalResultID",TEXT(ROW()-3,"00000"),
", DataValue: ",AT8,
", ValueDateTime:  ",CHAR(34),BK8,CHAR(34),
", ValueDateTimeUTCOffset:  ",BL8,
"}")))</f>
        <v>#N/A</v>
      </c>
    </row>
  </sheetData>
  <pageMargins left="0.7" right="0.7" top="0.75" bottom="0.75" header="0.3" footer="0.3"/>
  <pageSetup orientation="portrait" verticalDpi="0"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D3"/>
  <sheetViews>
    <sheetView workbookViewId="0">
      <selection activeCell="D2" sqref="D2:D97"/>
    </sheetView>
  </sheetViews>
  <sheetFormatPr defaultRowHeight="15" x14ac:dyDescent="0.25"/>
  <cols>
    <col min="1" max="1" width="13.5703125" style="26" bestFit="1" customWidth="1"/>
    <col min="2" max="2" width="34.7109375" style="26" bestFit="1" customWidth="1"/>
    <col min="3" max="3" width="12.140625" style="26" bestFit="1" customWidth="1"/>
    <col min="4" max="16384" width="9.140625" style="26"/>
  </cols>
  <sheetData>
    <row r="1" spans="1:4" x14ac:dyDescent="0.25">
      <c r="A1" s="26" t="s">
        <v>1082</v>
      </c>
      <c r="B1" s="26" t="s">
        <v>1191</v>
      </c>
      <c r="C1" s="26" t="s">
        <v>1083</v>
      </c>
      <c r="D1" s="26" t="s">
        <v>1081</v>
      </c>
    </row>
    <row r="2" spans="1:4" x14ac:dyDescent="0.25">
      <c r="A2" s="26">
        <v>1</v>
      </c>
      <c r="B2" s="26" t="str">
        <f>OFFSET('YODA Header Blocks'!$A$1,0,A2)</f>
        <v>YAML Header</v>
      </c>
      <c r="C2" s="26">
        <v>1</v>
      </c>
      <c r="D2" s="26" t="str">
        <f>OFFSET('YODA Header Blocks'!$A$2,C2,A2)</f>
        <v>---</v>
      </c>
    </row>
    <row r="3" spans="1:4" x14ac:dyDescent="0.25">
      <c r="A3" s="26">
        <f>IF(C2=INDIRECT(CONCATENATE("'YODA Header Blocks'!R2C",A2+1,":R2C",A2+1),FALSE),A2+1,A2)</f>
        <v>1</v>
      </c>
      <c r="B3" s="26" t="str">
        <f>OFFSET('YODA Header Blocks'!$A$1,0,A3)</f>
        <v>YAML Header</v>
      </c>
      <c r="C3" s="26">
        <f>IF(C2=SUM(INDIRECT(CONCATENATE("'YODA Header Blocks'!R2C",A2+1,":R2C",A2+1),FALSE)),1,C2+1)</f>
        <v>2</v>
      </c>
      <c r="D3" s="26" t="str">
        <f>OFFSET('YODA Header Blocks'!$A$2,C3,A3)</f>
        <v>YODA:</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34"/>
  <sheetViews>
    <sheetView workbookViewId="0"/>
  </sheetViews>
  <sheetFormatPr defaultRowHeight="15" x14ac:dyDescent="0.25"/>
  <sheetData>
    <row r="1" spans="1:1" x14ac:dyDescent="0.25">
      <c r="A1" t="s">
        <v>134</v>
      </c>
    </row>
    <row r="2" spans="1:1" x14ac:dyDescent="0.25">
      <c r="A2" t="s">
        <v>1277</v>
      </c>
    </row>
    <row r="3" spans="1:1" x14ac:dyDescent="0.25">
      <c r="A3" t="s">
        <v>1691</v>
      </c>
    </row>
    <row r="4" spans="1:1" x14ac:dyDescent="0.25">
      <c r="A4" t="s">
        <v>1209</v>
      </c>
    </row>
    <row r="5" spans="1:1" x14ac:dyDescent="0.25">
      <c r="A5" t="s">
        <v>1701</v>
      </c>
    </row>
    <row r="6" spans="1:1" x14ac:dyDescent="0.25">
      <c r="A6" t="s">
        <v>177</v>
      </c>
    </row>
    <row r="7" spans="1:1" x14ac:dyDescent="0.25">
      <c r="A7" t="s">
        <v>1692</v>
      </c>
    </row>
    <row r="8" spans="1:1" x14ac:dyDescent="0.25">
      <c r="A8" t="s">
        <v>175</v>
      </c>
    </row>
    <row r="9" spans="1:1" x14ac:dyDescent="0.25">
      <c r="A9" t="s">
        <v>1693</v>
      </c>
    </row>
    <row r="10" spans="1:1" x14ac:dyDescent="0.25">
      <c r="A10" t="s">
        <v>178</v>
      </c>
    </row>
    <row r="11" spans="1:1" x14ac:dyDescent="0.25">
      <c r="A11" t="s">
        <v>213</v>
      </c>
    </row>
    <row r="12" spans="1:1" x14ac:dyDescent="0.25">
      <c r="A12" t="s">
        <v>1694</v>
      </c>
    </row>
    <row r="13" spans="1:1" x14ac:dyDescent="0.25">
      <c r="A13" t="s">
        <v>214</v>
      </c>
    </row>
    <row r="14" spans="1:1" x14ac:dyDescent="0.25">
      <c r="A14" t="s">
        <v>1702</v>
      </c>
    </row>
    <row r="15" spans="1:1" x14ac:dyDescent="0.25">
      <c r="A15" t="s">
        <v>1378</v>
      </c>
    </row>
    <row r="16" spans="1:1" x14ac:dyDescent="0.25">
      <c r="A16" t="e">
        <v>#N/A</v>
      </c>
    </row>
    <row r="17" spans="1:1" x14ac:dyDescent="0.25">
      <c r="A17" t="e">
        <v>#N/A</v>
      </c>
    </row>
    <row r="18" spans="1:1" x14ac:dyDescent="0.25">
      <c r="A18" t="e">
        <v>#N/A</v>
      </c>
    </row>
    <row r="19" spans="1:1" x14ac:dyDescent="0.25">
      <c r="A19" t="s">
        <v>273</v>
      </c>
    </row>
    <row r="20" spans="1:1" x14ac:dyDescent="0.25">
      <c r="A20" t="s">
        <v>1695</v>
      </c>
    </row>
    <row r="21" spans="1:1" x14ac:dyDescent="0.25">
      <c r="A21" t="s">
        <v>1079</v>
      </c>
    </row>
    <row r="22" spans="1:1" x14ac:dyDescent="0.25">
      <c r="A22" t="s">
        <v>1696</v>
      </c>
    </row>
    <row r="23" spans="1:1" x14ac:dyDescent="0.25">
      <c r="A23" t="s">
        <v>1397</v>
      </c>
    </row>
    <row r="24" spans="1:1" x14ac:dyDescent="0.25">
      <c r="A24" t="s">
        <v>1697</v>
      </c>
    </row>
    <row r="25" spans="1:1" x14ac:dyDescent="0.25">
      <c r="A25" t="s">
        <v>1181</v>
      </c>
    </row>
    <row r="26" spans="1:1" x14ac:dyDescent="0.25">
      <c r="A26" t="e">
        <v>#N/A</v>
      </c>
    </row>
    <row r="27" spans="1:1" x14ac:dyDescent="0.25">
      <c r="A27" t="s">
        <v>1183</v>
      </c>
    </row>
    <row r="28" spans="1:1" x14ac:dyDescent="0.25">
      <c r="A28" t="s">
        <v>1698</v>
      </c>
    </row>
    <row r="29" spans="1:1" x14ac:dyDescent="0.25">
      <c r="A29" t="s">
        <v>1276</v>
      </c>
    </row>
    <row r="30" spans="1:1" x14ac:dyDescent="0.25">
      <c r="A30" t="e">
        <v>#N/A</v>
      </c>
    </row>
    <row r="31" spans="1:1" x14ac:dyDescent="0.25">
      <c r="A31" t="s">
        <v>1185</v>
      </c>
    </row>
    <row r="32" spans="1:1" x14ac:dyDescent="0.25">
      <c r="A32" t="s">
        <v>1699</v>
      </c>
    </row>
    <row r="33" spans="1:1" x14ac:dyDescent="0.25">
      <c r="A33" t="s">
        <v>1450</v>
      </c>
    </row>
    <row r="34" spans="1:1" x14ac:dyDescent="0.25">
      <c r="A34" t="s">
        <v>1700</v>
      </c>
    </row>
  </sheetData>
  <conditionalFormatting sqref="A1:A1048576">
    <cfRule type="containsErrors" dxfId="1" priority="1">
      <formula>ISERROR(A1)</formula>
    </cfRule>
    <cfRule type="containsText" dxfId="0" priority="2" operator="containsText" text="PLEASE">
      <formula>NOT(ISERROR(SEARCH("PLEASE",A1)))</formula>
    </cfRule>
  </conditionalFormatting>
  <pageMargins left="0.7" right="0.7" top="0.75" bottom="0.75" header="0.3" footer="0.3"/>
  <pageSetup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X793"/>
  <sheetViews>
    <sheetView topLeftCell="A2" workbookViewId="0">
      <selection activeCell="B2" sqref="B2:B793"/>
    </sheetView>
  </sheetViews>
  <sheetFormatPr defaultColWidth="8.85546875" defaultRowHeight="15" x14ac:dyDescent="0.25"/>
  <cols>
    <col min="1" max="1" width="10.5703125" bestFit="1" customWidth="1"/>
    <col min="2" max="2" width="16.140625" bestFit="1" customWidth="1"/>
    <col min="3" max="3" width="33" bestFit="1" customWidth="1"/>
    <col min="4" max="4" width="37.140625" bestFit="1" customWidth="1"/>
    <col min="5" max="5" width="25.42578125" bestFit="1" customWidth="1"/>
    <col min="6" max="6" width="29" bestFit="1" customWidth="1"/>
    <col min="7" max="7" width="35.85546875" bestFit="1" customWidth="1"/>
    <col min="8" max="8" width="33.28515625" bestFit="1" customWidth="1"/>
    <col min="9" max="9" width="20.140625" bestFit="1" customWidth="1"/>
    <col min="10" max="10" width="21.42578125" bestFit="1" customWidth="1"/>
    <col min="11" max="11" width="21.28515625" bestFit="1" customWidth="1"/>
    <col min="12" max="12" width="32.42578125" bestFit="1" customWidth="1"/>
    <col min="13" max="13" width="23.42578125" bestFit="1" customWidth="1"/>
    <col min="14" max="14" width="17.5703125" bestFit="1" customWidth="1"/>
    <col min="15" max="15" width="40.5703125" customWidth="1"/>
    <col min="16" max="16" width="20.7109375" bestFit="1" customWidth="1"/>
    <col min="17" max="17" width="20.7109375" style="5" customWidth="1"/>
    <col min="18" max="18" width="24.85546875" bestFit="1" customWidth="1"/>
    <col min="19" max="19" width="16.85546875" bestFit="1" customWidth="1"/>
    <col min="20" max="20" width="28.7109375" bestFit="1" customWidth="1"/>
    <col min="21" max="21" width="11.140625" bestFit="1" customWidth="1"/>
    <col min="22" max="23" width="23.42578125" bestFit="1" customWidth="1"/>
    <col min="24" max="24" width="28.28515625" bestFit="1" customWidth="1"/>
  </cols>
  <sheetData>
    <row r="1" spans="1:24" x14ac:dyDescent="0.25">
      <c r="A1" s="1" t="s">
        <v>188</v>
      </c>
      <c r="B1" s="1" t="s">
        <v>200</v>
      </c>
      <c r="C1" s="1" t="s">
        <v>1278</v>
      </c>
      <c r="D1" s="1" t="s">
        <v>193</v>
      </c>
      <c r="E1" s="1" t="s">
        <v>1452</v>
      </c>
      <c r="F1" s="1" t="s">
        <v>199</v>
      </c>
      <c r="G1" s="1" t="s">
        <v>194</v>
      </c>
      <c r="H1" s="1" t="s">
        <v>195</v>
      </c>
      <c r="I1" s="1" t="s">
        <v>196</v>
      </c>
      <c r="J1" s="1" t="s">
        <v>197</v>
      </c>
      <c r="K1" s="1" t="s">
        <v>198</v>
      </c>
      <c r="L1" s="1" t="s">
        <v>201</v>
      </c>
      <c r="M1" s="1" t="s">
        <v>234</v>
      </c>
      <c r="N1" s="1" t="s">
        <v>245</v>
      </c>
      <c r="O1" s="1" t="s">
        <v>286</v>
      </c>
      <c r="P1" s="1" t="s">
        <v>288</v>
      </c>
      <c r="Q1" s="1" t="s">
        <v>1544</v>
      </c>
      <c r="R1" s="3" t="s">
        <v>1138</v>
      </c>
      <c r="S1" s="1" t="s">
        <v>1143</v>
      </c>
      <c r="T1" s="1" t="s">
        <v>1144</v>
      </c>
      <c r="U1" s="1" t="s">
        <v>1154</v>
      </c>
      <c r="V1" s="1" t="s">
        <v>1169</v>
      </c>
      <c r="W1" s="1" t="s">
        <v>1182</v>
      </c>
      <c r="X1" s="1" t="s">
        <v>1291</v>
      </c>
    </row>
    <row r="2" spans="1:24" x14ac:dyDescent="0.25">
      <c r="A2" t="b">
        <v>0</v>
      </c>
      <c r="B2" s="2" t="s">
        <v>174</v>
      </c>
      <c r="C2" s="2" t="s">
        <v>1154</v>
      </c>
      <c r="D2" t="s">
        <v>14</v>
      </c>
      <c r="E2" t="s">
        <v>1085</v>
      </c>
      <c r="F2" t="s">
        <v>29</v>
      </c>
      <c r="G2" t="s">
        <v>47</v>
      </c>
      <c r="H2" t="s">
        <v>55</v>
      </c>
      <c r="I2" t="s">
        <v>104</v>
      </c>
      <c r="J2" t="s">
        <v>131</v>
      </c>
      <c r="K2" t="s">
        <v>181</v>
      </c>
      <c r="L2" t="s">
        <v>202</v>
      </c>
      <c r="M2" t="s">
        <v>1115</v>
      </c>
      <c r="N2" t="s">
        <v>267</v>
      </c>
      <c r="O2" t="s">
        <v>1122</v>
      </c>
      <c r="P2" t="s">
        <v>289</v>
      </c>
      <c r="Q2" s="5" t="s">
        <v>1545</v>
      </c>
      <c r="R2" t="s">
        <v>1139</v>
      </c>
      <c r="S2" t="s">
        <v>1145</v>
      </c>
      <c r="T2" t="s">
        <v>1150</v>
      </c>
      <c r="U2" t="s">
        <v>1155</v>
      </c>
      <c r="V2" t="s">
        <v>1170</v>
      </c>
      <c r="W2" t="s">
        <v>250</v>
      </c>
      <c r="X2" t="s">
        <v>1292</v>
      </c>
    </row>
    <row r="3" spans="1:24" x14ac:dyDescent="0.25">
      <c r="A3" t="b">
        <v>1</v>
      </c>
      <c r="C3" s="5" t="s">
        <v>1334</v>
      </c>
      <c r="D3" t="s">
        <v>152</v>
      </c>
      <c r="E3" t="s">
        <v>1087</v>
      </c>
      <c r="F3" t="s">
        <v>39</v>
      </c>
      <c r="G3" t="s">
        <v>48</v>
      </c>
      <c r="H3" t="s">
        <v>56</v>
      </c>
      <c r="I3" t="s">
        <v>1089</v>
      </c>
      <c r="J3" t="s">
        <v>132</v>
      </c>
      <c r="K3" t="s">
        <v>182</v>
      </c>
      <c r="L3" t="s">
        <v>203</v>
      </c>
      <c r="M3" t="s">
        <v>1116</v>
      </c>
      <c r="N3" t="s">
        <v>268</v>
      </c>
      <c r="O3" t="s">
        <v>1123</v>
      </c>
      <c r="P3" t="s">
        <v>290</v>
      </c>
      <c r="Q3" s="5" t="s">
        <v>1546</v>
      </c>
      <c r="R3" s="5" t="s">
        <v>1140</v>
      </c>
      <c r="S3" t="s">
        <v>1146</v>
      </c>
      <c r="T3" t="s">
        <v>1151</v>
      </c>
      <c r="U3" t="s">
        <v>1156</v>
      </c>
      <c r="V3" t="s">
        <v>1171</v>
      </c>
      <c r="W3" t="s">
        <v>251</v>
      </c>
      <c r="X3" t="s">
        <v>1293</v>
      </c>
    </row>
    <row r="4" spans="1:24" x14ac:dyDescent="0.25">
      <c r="C4" s="5" t="s">
        <v>1335</v>
      </c>
      <c r="D4" t="s">
        <v>154</v>
      </c>
      <c r="E4" t="s">
        <v>113</v>
      </c>
      <c r="F4" t="s">
        <v>1088</v>
      </c>
      <c r="G4" t="s">
        <v>49</v>
      </c>
      <c r="H4" t="s">
        <v>57</v>
      </c>
      <c r="I4" t="s">
        <v>1090</v>
      </c>
      <c r="J4" t="s">
        <v>133</v>
      </c>
      <c r="K4" t="s">
        <v>1094</v>
      </c>
      <c r="L4" t="s">
        <v>204</v>
      </c>
      <c r="M4" t="s">
        <v>34</v>
      </c>
      <c r="O4" t="s">
        <v>1124</v>
      </c>
      <c r="P4" t="s">
        <v>291</v>
      </c>
      <c r="Q4" s="5" t="s">
        <v>1547</v>
      </c>
      <c r="R4" s="5" t="s">
        <v>1141</v>
      </c>
      <c r="S4" t="s">
        <v>1147</v>
      </c>
      <c r="T4" t="s">
        <v>1152</v>
      </c>
      <c r="U4" t="s">
        <v>1157</v>
      </c>
      <c r="V4" t="s">
        <v>1172</v>
      </c>
      <c r="W4" t="s">
        <v>252</v>
      </c>
      <c r="X4" t="s">
        <v>207</v>
      </c>
    </row>
    <row r="5" spans="1:24" x14ac:dyDescent="0.25">
      <c r="C5" s="5" t="s">
        <v>1143</v>
      </c>
      <c r="D5" t="s">
        <v>155</v>
      </c>
      <c r="E5" t="s">
        <v>1084</v>
      </c>
      <c r="F5" t="s">
        <v>34</v>
      </c>
      <c r="G5" t="s">
        <v>50</v>
      </c>
      <c r="H5" t="s">
        <v>58</v>
      </c>
      <c r="I5" t="s">
        <v>1091</v>
      </c>
      <c r="J5" t="s">
        <v>14</v>
      </c>
      <c r="K5" t="s">
        <v>186</v>
      </c>
      <c r="L5" t="s">
        <v>205</v>
      </c>
      <c r="M5" t="s">
        <v>1117</v>
      </c>
      <c r="O5" t="s">
        <v>1125</v>
      </c>
      <c r="P5" t="s">
        <v>292</v>
      </c>
      <c r="Q5" s="5" t="s">
        <v>1548</v>
      </c>
      <c r="R5" s="5" t="s">
        <v>1142</v>
      </c>
      <c r="S5" t="s">
        <v>1148</v>
      </c>
      <c r="T5" t="s">
        <v>1153</v>
      </c>
      <c r="U5" t="s">
        <v>1158</v>
      </c>
      <c r="W5" t="s">
        <v>253</v>
      </c>
      <c r="X5" t="s">
        <v>1294</v>
      </c>
    </row>
    <row r="6" spans="1:24" x14ac:dyDescent="0.25">
      <c r="C6" s="5" t="s">
        <v>1332</v>
      </c>
      <c r="D6" t="s">
        <v>156</v>
      </c>
      <c r="E6" t="s">
        <v>1086</v>
      </c>
      <c r="F6" t="s">
        <v>43</v>
      </c>
      <c r="G6" t="s">
        <v>51</v>
      </c>
      <c r="H6" t="s">
        <v>59</v>
      </c>
      <c r="I6" t="s">
        <v>1092</v>
      </c>
      <c r="K6" t="s">
        <v>1095</v>
      </c>
      <c r="L6" t="s">
        <v>47</v>
      </c>
      <c r="M6" t="s">
        <v>1118</v>
      </c>
      <c r="O6" t="s">
        <v>1126</v>
      </c>
      <c r="P6" t="s">
        <v>293</v>
      </c>
      <c r="Q6" s="5" t="s">
        <v>1549</v>
      </c>
      <c r="S6" t="s">
        <v>1149</v>
      </c>
      <c r="T6" t="s">
        <v>14</v>
      </c>
      <c r="U6" t="s">
        <v>1159</v>
      </c>
      <c r="W6" t="s">
        <v>254</v>
      </c>
      <c r="X6" t="s">
        <v>1295</v>
      </c>
    </row>
    <row r="7" spans="1:24" x14ac:dyDescent="0.25">
      <c r="C7" s="5" t="s">
        <v>1333</v>
      </c>
      <c r="D7" t="s">
        <v>157</v>
      </c>
      <c r="F7" t="s">
        <v>42</v>
      </c>
      <c r="G7" t="s">
        <v>52</v>
      </c>
      <c r="H7" t="s">
        <v>60</v>
      </c>
      <c r="I7" t="s">
        <v>105</v>
      </c>
      <c r="K7" t="s">
        <v>1096</v>
      </c>
      <c r="L7" t="s">
        <v>113</v>
      </c>
      <c r="M7" t="s">
        <v>235</v>
      </c>
      <c r="O7" t="s">
        <v>1127</v>
      </c>
      <c r="P7" t="s">
        <v>294</v>
      </c>
      <c r="Q7" s="5" t="s">
        <v>1550</v>
      </c>
      <c r="U7" t="s">
        <v>1160</v>
      </c>
      <c r="W7" t="s">
        <v>255</v>
      </c>
      <c r="X7" t="s">
        <v>1296</v>
      </c>
    </row>
    <row r="8" spans="1:24" x14ac:dyDescent="0.25">
      <c r="C8" s="5" t="s">
        <v>1423</v>
      </c>
      <c r="D8" t="s">
        <v>158</v>
      </c>
      <c r="F8" t="s">
        <v>30</v>
      </c>
      <c r="G8" t="s">
        <v>53</v>
      </c>
      <c r="H8" t="s">
        <v>61</v>
      </c>
      <c r="I8" t="s">
        <v>106</v>
      </c>
      <c r="K8" t="s">
        <v>1097</v>
      </c>
      <c r="L8" t="s">
        <v>206</v>
      </c>
      <c r="M8" t="s">
        <v>236</v>
      </c>
      <c r="O8" t="s">
        <v>1128</v>
      </c>
      <c r="P8" t="s">
        <v>295</v>
      </c>
      <c r="Q8" s="5" t="s">
        <v>1551</v>
      </c>
      <c r="U8" t="s">
        <v>1161</v>
      </c>
      <c r="W8" t="s">
        <v>256</v>
      </c>
      <c r="X8" t="s">
        <v>1297</v>
      </c>
    </row>
    <row r="9" spans="1:24" x14ac:dyDescent="0.25">
      <c r="C9" s="5" t="s">
        <v>1415</v>
      </c>
      <c r="D9" t="s">
        <v>153</v>
      </c>
      <c r="F9" t="s">
        <v>31</v>
      </c>
      <c r="G9" t="s">
        <v>54</v>
      </c>
      <c r="H9" t="s">
        <v>62</v>
      </c>
      <c r="I9" t="s">
        <v>107</v>
      </c>
      <c r="K9" t="s">
        <v>1098</v>
      </c>
      <c r="L9" t="s">
        <v>207</v>
      </c>
      <c r="M9" t="s">
        <v>1119</v>
      </c>
      <c r="O9" t="s">
        <v>1129</v>
      </c>
      <c r="P9" t="s">
        <v>296</v>
      </c>
      <c r="Q9" s="5" t="s">
        <v>1552</v>
      </c>
      <c r="U9" t="s">
        <v>1162</v>
      </c>
      <c r="W9" t="s">
        <v>257</v>
      </c>
      <c r="X9" t="s">
        <v>8</v>
      </c>
    </row>
    <row r="10" spans="1:24" x14ac:dyDescent="0.25">
      <c r="C10" s="5" t="s">
        <v>1359</v>
      </c>
      <c r="D10" t="s">
        <v>159</v>
      </c>
      <c r="F10" t="s">
        <v>32</v>
      </c>
      <c r="H10" t="s">
        <v>63</v>
      </c>
      <c r="I10" t="s">
        <v>108</v>
      </c>
      <c r="K10" t="s">
        <v>1099</v>
      </c>
      <c r="L10" t="s">
        <v>208</v>
      </c>
      <c r="M10" t="s">
        <v>1120</v>
      </c>
      <c r="O10" t="s">
        <v>1130</v>
      </c>
      <c r="P10" t="s">
        <v>297</v>
      </c>
      <c r="Q10" s="5" t="s">
        <v>1553</v>
      </c>
      <c r="U10" t="s">
        <v>1163</v>
      </c>
      <c r="W10" t="s">
        <v>258</v>
      </c>
      <c r="X10" t="s">
        <v>9</v>
      </c>
    </row>
    <row r="11" spans="1:24" x14ac:dyDescent="0.25">
      <c r="C11" s="5" t="s">
        <v>1424</v>
      </c>
      <c r="D11" t="s">
        <v>160</v>
      </c>
      <c r="F11" t="s">
        <v>33</v>
      </c>
      <c r="H11" t="s">
        <v>64</v>
      </c>
      <c r="I11" t="s">
        <v>109</v>
      </c>
      <c r="K11" t="s">
        <v>1100</v>
      </c>
      <c r="L11" t="s">
        <v>13</v>
      </c>
      <c r="M11" t="s">
        <v>237</v>
      </c>
      <c r="O11" t="s">
        <v>1131</v>
      </c>
      <c r="P11" t="s">
        <v>298</v>
      </c>
      <c r="Q11" s="5" t="s">
        <v>1554</v>
      </c>
      <c r="U11" t="s">
        <v>1164</v>
      </c>
      <c r="W11" t="s">
        <v>259</v>
      </c>
      <c r="X11" t="s">
        <v>10</v>
      </c>
    </row>
    <row r="12" spans="1:24" x14ac:dyDescent="0.25">
      <c r="C12" s="5" t="s">
        <v>1379</v>
      </c>
      <c r="D12" t="s">
        <v>161</v>
      </c>
      <c r="F12" t="s">
        <v>38</v>
      </c>
      <c r="H12" t="s">
        <v>65</v>
      </c>
      <c r="I12" t="s">
        <v>110</v>
      </c>
      <c r="K12" t="s">
        <v>1101</v>
      </c>
      <c r="L12" t="s">
        <v>209</v>
      </c>
      <c r="M12" t="s">
        <v>1121</v>
      </c>
      <c r="O12" t="s">
        <v>1132</v>
      </c>
      <c r="P12" t="s">
        <v>299</v>
      </c>
      <c r="Q12" s="5" t="s">
        <v>1555</v>
      </c>
      <c r="U12" t="s">
        <v>1165</v>
      </c>
      <c r="W12" t="s">
        <v>260</v>
      </c>
      <c r="X12" t="s">
        <v>11</v>
      </c>
    </row>
    <row r="13" spans="1:24" x14ac:dyDescent="0.25">
      <c r="C13" s="5" t="s">
        <v>1281</v>
      </c>
      <c r="D13" t="s">
        <v>162</v>
      </c>
      <c r="F13" t="s">
        <v>41</v>
      </c>
      <c r="H13" t="s">
        <v>66</v>
      </c>
      <c r="I13" t="s">
        <v>111</v>
      </c>
      <c r="K13" t="s">
        <v>1102</v>
      </c>
      <c r="L13" t="s">
        <v>210</v>
      </c>
      <c r="O13" t="s">
        <v>1133</v>
      </c>
      <c r="P13" t="s">
        <v>300</v>
      </c>
      <c r="Q13" s="5" t="s">
        <v>1556</v>
      </c>
      <c r="U13" t="s">
        <v>1166</v>
      </c>
      <c r="W13" t="s">
        <v>261</v>
      </c>
      <c r="X13" t="s">
        <v>12</v>
      </c>
    </row>
    <row r="14" spans="1:24" x14ac:dyDescent="0.25">
      <c r="C14" s="5" t="s">
        <v>1144</v>
      </c>
      <c r="D14" t="s">
        <v>163</v>
      </c>
      <c r="F14" t="s">
        <v>35</v>
      </c>
      <c r="H14" t="s">
        <v>67</v>
      </c>
      <c r="I14" t="s">
        <v>112</v>
      </c>
      <c r="K14" t="s">
        <v>1103</v>
      </c>
      <c r="L14" t="s">
        <v>211</v>
      </c>
      <c r="O14" t="s">
        <v>1134</v>
      </c>
      <c r="P14" t="s">
        <v>301</v>
      </c>
      <c r="Q14" s="5" t="s">
        <v>1557</v>
      </c>
      <c r="U14" t="s">
        <v>1167</v>
      </c>
      <c r="W14" t="s">
        <v>262</v>
      </c>
      <c r="X14" t="s">
        <v>13</v>
      </c>
    </row>
    <row r="15" spans="1:24" x14ac:dyDescent="0.25">
      <c r="C15" s="5" t="s">
        <v>198</v>
      </c>
      <c r="D15" t="s">
        <v>164</v>
      </c>
      <c r="F15" t="s">
        <v>27</v>
      </c>
      <c r="H15" t="s">
        <v>68</v>
      </c>
      <c r="I15" t="s">
        <v>113</v>
      </c>
      <c r="K15" t="s">
        <v>1104</v>
      </c>
      <c r="L15" t="s">
        <v>212</v>
      </c>
      <c r="O15" t="s">
        <v>1135</v>
      </c>
      <c r="P15" t="s">
        <v>302</v>
      </c>
      <c r="Q15" s="5" t="s">
        <v>1558</v>
      </c>
      <c r="U15" t="s">
        <v>14</v>
      </c>
      <c r="W15" t="s">
        <v>263</v>
      </c>
      <c r="X15" t="s">
        <v>287</v>
      </c>
    </row>
    <row r="16" spans="1:24" x14ac:dyDescent="0.25">
      <c r="C16" s="5" t="s">
        <v>1365</v>
      </c>
      <c r="D16" t="s">
        <v>165</v>
      </c>
      <c r="F16" t="s">
        <v>40</v>
      </c>
      <c r="H16" t="s">
        <v>69</v>
      </c>
      <c r="I16" t="s">
        <v>114</v>
      </c>
      <c r="K16" t="s">
        <v>1105</v>
      </c>
      <c r="L16" t="s">
        <v>14</v>
      </c>
      <c r="O16" t="s">
        <v>7</v>
      </c>
      <c r="P16" t="s">
        <v>303</v>
      </c>
      <c r="Q16" s="5" t="s">
        <v>1559</v>
      </c>
      <c r="U16" t="s">
        <v>1168</v>
      </c>
      <c r="W16" t="s">
        <v>264</v>
      </c>
    </row>
    <row r="17" spans="3:23" x14ac:dyDescent="0.25">
      <c r="C17" s="5" t="s">
        <v>1138</v>
      </c>
      <c r="D17" t="s">
        <v>150</v>
      </c>
      <c r="F17" t="s">
        <v>26</v>
      </c>
      <c r="H17" t="s">
        <v>70</v>
      </c>
      <c r="I17" t="s">
        <v>115</v>
      </c>
      <c r="K17" t="s">
        <v>1106</v>
      </c>
      <c r="O17" t="s">
        <v>8</v>
      </c>
      <c r="P17" t="s">
        <v>304</v>
      </c>
      <c r="Q17" s="5" t="s">
        <v>1560</v>
      </c>
      <c r="W17" t="s">
        <v>265</v>
      </c>
    </row>
    <row r="18" spans="3:23" x14ac:dyDescent="0.25">
      <c r="C18" s="5" t="s">
        <v>1137</v>
      </c>
      <c r="D18" t="s">
        <v>166</v>
      </c>
      <c r="F18" t="s">
        <v>44</v>
      </c>
      <c r="H18" t="s">
        <v>71</v>
      </c>
      <c r="I18" t="s">
        <v>116</v>
      </c>
      <c r="K18" t="s">
        <v>1107</v>
      </c>
      <c r="O18" t="s">
        <v>9</v>
      </c>
      <c r="P18" t="s">
        <v>305</v>
      </c>
      <c r="Q18" s="5" t="s">
        <v>1561</v>
      </c>
      <c r="W18" t="s">
        <v>266</v>
      </c>
    </row>
    <row r="19" spans="3:23" x14ac:dyDescent="0.25">
      <c r="C19" s="5" t="s">
        <v>201</v>
      </c>
      <c r="D19" t="s">
        <v>167</v>
      </c>
      <c r="F19" t="s">
        <v>36</v>
      </c>
      <c r="H19" t="s">
        <v>72</v>
      </c>
      <c r="I19" t="s">
        <v>117</v>
      </c>
      <c r="K19" t="s">
        <v>1108</v>
      </c>
      <c r="O19" t="s">
        <v>10</v>
      </c>
      <c r="P19" t="s">
        <v>306</v>
      </c>
      <c r="Q19" s="5" t="s">
        <v>1562</v>
      </c>
      <c r="W19" t="s">
        <v>267</v>
      </c>
    </row>
    <row r="20" spans="3:23" x14ac:dyDescent="0.25">
      <c r="C20" s="5" t="s">
        <v>1380</v>
      </c>
      <c r="D20" t="s">
        <v>168</v>
      </c>
      <c r="F20" t="s">
        <v>28</v>
      </c>
      <c r="H20" t="s">
        <v>73</v>
      </c>
      <c r="I20" t="s">
        <v>118</v>
      </c>
      <c r="K20" t="s">
        <v>1109</v>
      </c>
      <c r="O20" t="s">
        <v>11</v>
      </c>
      <c r="P20" t="s">
        <v>307</v>
      </c>
      <c r="Q20" s="5" t="s">
        <v>1563</v>
      </c>
      <c r="W20" t="s">
        <v>268</v>
      </c>
    </row>
    <row r="21" spans="3:23" x14ac:dyDescent="0.25">
      <c r="C21" s="5" t="s">
        <v>1433</v>
      </c>
      <c r="D21" t="s">
        <v>149</v>
      </c>
      <c r="F21" t="s">
        <v>37</v>
      </c>
      <c r="H21" t="s">
        <v>74</v>
      </c>
      <c r="I21" t="s">
        <v>119</v>
      </c>
      <c r="K21" t="s">
        <v>1110</v>
      </c>
      <c r="O21" t="s">
        <v>12</v>
      </c>
      <c r="P21" t="s">
        <v>308</v>
      </c>
      <c r="Q21" s="5" t="s">
        <v>1564</v>
      </c>
      <c r="W21" t="s">
        <v>269</v>
      </c>
    </row>
    <row r="22" spans="3:23" x14ac:dyDescent="0.25">
      <c r="C22" s="5" t="s">
        <v>1364</v>
      </c>
      <c r="D22" t="s">
        <v>148</v>
      </c>
      <c r="F22" t="s">
        <v>46</v>
      </c>
      <c r="H22" t="s">
        <v>75</v>
      </c>
      <c r="I22" t="s">
        <v>120</v>
      </c>
      <c r="K22" t="s">
        <v>183</v>
      </c>
      <c r="O22" t="s">
        <v>13</v>
      </c>
      <c r="P22" t="s">
        <v>309</v>
      </c>
      <c r="Q22" s="5" t="s">
        <v>1565</v>
      </c>
      <c r="W22" t="s">
        <v>270</v>
      </c>
    </row>
    <row r="23" spans="3:23" x14ac:dyDescent="0.25">
      <c r="C23" s="5" t="s">
        <v>1331</v>
      </c>
      <c r="D23" t="s">
        <v>169</v>
      </c>
      <c r="F23" t="s">
        <v>45</v>
      </c>
      <c r="H23" t="s">
        <v>76</v>
      </c>
      <c r="I23" t="s">
        <v>121</v>
      </c>
      <c r="K23" t="s">
        <v>184</v>
      </c>
      <c r="O23" t="s">
        <v>14</v>
      </c>
      <c r="P23" t="s">
        <v>310</v>
      </c>
      <c r="Q23" s="5" t="s">
        <v>1566</v>
      </c>
      <c r="W23" t="s">
        <v>271</v>
      </c>
    </row>
    <row r="24" spans="3:23" x14ac:dyDescent="0.25">
      <c r="C24" s="5" t="s">
        <v>1304</v>
      </c>
      <c r="D24" t="s">
        <v>170</v>
      </c>
      <c r="H24" t="s">
        <v>77</v>
      </c>
      <c r="I24" t="s">
        <v>122</v>
      </c>
      <c r="K24" t="s">
        <v>1111</v>
      </c>
      <c r="O24" t="s">
        <v>287</v>
      </c>
      <c r="P24" t="s">
        <v>311</v>
      </c>
      <c r="Q24" s="5" t="s">
        <v>1567</v>
      </c>
      <c r="W24" t="s">
        <v>272</v>
      </c>
    </row>
    <row r="25" spans="3:23" x14ac:dyDescent="0.25">
      <c r="C25" s="5" t="s">
        <v>1301</v>
      </c>
      <c r="D25" t="s">
        <v>171</v>
      </c>
      <c r="H25" t="s">
        <v>78</v>
      </c>
      <c r="I25" t="s">
        <v>1093</v>
      </c>
      <c r="K25" t="s">
        <v>1112</v>
      </c>
      <c r="P25" t="s">
        <v>312</v>
      </c>
      <c r="Q25" s="5" t="s">
        <v>1568</v>
      </c>
    </row>
    <row r="26" spans="3:23" x14ac:dyDescent="0.25">
      <c r="C26" s="5" t="s">
        <v>1330</v>
      </c>
      <c r="D26" t="s">
        <v>147</v>
      </c>
      <c r="H26" t="s">
        <v>79</v>
      </c>
      <c r="I26" t="s">
        <v>123</v>
      </c>
      <c r="K26" t="s">
        <v>1113</v>
      </c>
      <c r="P26" t="s">
        <v>313</v>
      </c>
      <c r="Q26" s="5" t="s">
        <v>1569</v>
      </c>
    </row>
    <row r="27" spans="3:23" x14ac:dyDescent="0.25">
      <c r="C27" s="5" t="s">
        <v>196</v>
      </c>
      <c r="D27" t="s">
        <v>151</v>
      </c>
      <c r="H27" t="s">
        <v>80</v>
      </c>
      <c r="I27" t="s">
        <v>124</v>
      </c>
      <c r="K27" t="s">
        <v>185</v>
      </c>
      <c r="P27" t="s">
        <v>314</v>
      </c>
      <c r="Q27" s="5" t="s">
        <v>1570</v>
      </c>
    </row>
    <row r="28" spans="3:23" x14ac:dyDescent="0.25">
      <c r="C28" s="5" t="s">
        <v>1305</v>
      </c>
      <c r="H28" t="s">
        <v>81</v>
      </c>
      <c r="K28" t="s">
        <v>1114</v>
      </c>
      <c r="P28" t="s">
        <v>315</v>
      </c>
      <c r="Q28" s="5" t="s">
        <v>1571</v>
      </c>
    </row>
    <row r="29" spans="3:23" x14ac:dyDescent="0.25">
      <c r="C29" s="5" t="s">
        <v>1298</v>
      </c>
      <c r="H29" t="s">
        <v>82</v>
      </c>
      <c r="P29" t="s">
        <v>316</v>
      </c>
      <c r="Q29" s="5" t="s">
        <v>1572</v>
      </c>
    </row>
    <row r="30" spans="3:23" x14ac:dyDescent="0.25">
      <c r="C30" s="5" t="s">
        <v>1279</v>
      </c>
      <c r="H30" t="s">
        <v>83</v>
      </c>
      <c r="P30" t="s">
        <v>317</v>
      </c>
      <c r="Q30" s="5" t="s">
        <v>1573</v>
      </c>
    </row>
    <row r="31" spans="3:23" x14ac:dyDescent="0.25">
      <c r="C31" s="5" t="s">
        <v>1280</v>
      </c>
      <c r="H31" t="s">
        <v>84</v>
      </c>
      <c r="P31" t="s">
        <v>318</v>
      </c>
      <c r="Q31" s="5" t="s">
        <v>1574</v>
      </c>
    </row>
    <row r="32" spans="3:23" x14ac:dyDescent="0.25">
      <c r="C32" s="5" t="s">
        <v>1352</v>
      </c>
      <c r="H32" t="s">
        <v>85</v>
      </c>
      <c r="P32" t="s">
        <v>319</v>
      </c>
      <c r="Q32" s="5" t="s">
        <v>1575</v>
      </c>
    </row>
    <row r="33" spans="3:17" x14ac:dyDescent="0.25">
      <c r="C33" s="5" t="s">
        <v>1336</v>
      </c>
      <c r="H33" t="s">
        <v>86</v>
      </c>
      <c r="P33" t="s">
        <v>320</v>
      </c>
      <c r="Q33" s="5" t="s">
        <v>1576</v>
      </c>
    </row>
    <row r="34" spans="3:17" x14ac:dyDescent="0.25">
      <c r="C34" s="5" t="s">
        <v>1353</v>
      </c>
      <c r="H34" t="s">
        <v>87</v>
      </c>
      <c r="P34" t="s">
        <v>321</v>
      </c>
      <c r="Q34" s="5" t="s">
        <v>1577</v>
      </c>
    </row>
    <row r="35" spans="3:17" x14ac:dyDescent="0.25">
      <c r="C35" s="5"/>
      <c r="H35" t="s">
        <v>88</v>
      </c>
      <c r="P35" t="s">
        <v>322</v>
      </c>
      <c r="Q35" s="5" t="s">
        <v>1578</v>
      </c>
    </row>
    <row r="36" spans="3:17" x14ac:dyDescent="0.25">
      <c r="C36" s="5"/>
      <c r="H36" t="s">
        <v>89</v>
      </c>
      <c r="P36" t="s">
        <v>323</v>
      </c>
      <c r="Q36" s="5" t="s">
        <v>1579</v>
      </c>
    </row>
    <row r="37" spans="3:17" x14ac:dyDescent="0.25">
      <c r="C37" s="5"/>
      <c r="H37" t="s">
        <v>90</v>
      </c>
      <c r="P37" t="s">
        <v>324</v>
      </c>
      <c r="Q37" s="5" t="s">
        <v>1580</v>
      </c>
    </row>
    <row r="38" spans="3:17" x14ac:dyDescent="0.25">
      <c r="C38" s="5"/>
      <c r="H38" t="s">
        <v>91</v>
      </c>
      <c r="P38" t="s">
        <v>325</v>
      </c>
      <c r="Q38" s="5" t="s">
        <v>1581</v>
      </c>
    </row>
    <row r="39" spans="3:17" x14ac:dyDescent="0.25">
      <c r="C39" s="5"/>
      <c r="H39" t="s">
        <v>92</v>
      </c>
      <c r="P39" t="s">
        <v>326</v>
      </c>
      <c r="Q39" s="5" t="s">
        <v>1582</v>
      </c>
    </row>
    <row r="40" spans="3:17" x14ac:dyDescent="0.25">
      <c r="C40" s="5"/>
      <c r="H40" t="s">
        <v>93</v>
      </c>
      <c r="P40" t="s">
        <v>327</v>
      </c>
      <c r="Q40" s="5" t="s">
        <v>1583</v>
      </c>
    </row>
    <row r="41" spans="3:17" x14ac:dyDescent="0.25">
      <c r="C41" s="5"/>
      <c r="H41" t="s">
        <v>94</v>
      </c>
      <c r="P41" t="s">
        <v>328</v>
      </c>
      <c r="Q41" s="5" t="s">
        <v>1584</v>
      </c>
    </row>
    <row r="42" spans="3:17" x14ac:dyDescent="0.25">
      <c r="C42" s="5"/>
      <c r="H42" t="s">
        <v>14</v>
      </c>
      <c r="P42" t="s">
        <v>329</v>
      </c>
      <c r="Q42" s="5" t="s">
        <v>1585</v>
      </c>
    </row>
    <row r="43" spans="3:17" x14ac:dyDescent="0.25">
      <c r="C43" s="5"/>
      <c r="H43" t="s">
        <v>95</v>
      </c>
      <c r="P43" t="s">
        <v>330</v>
      </c>
      <c r="Q43" s="5" t="s">
        <v>1586</v>
      </c>
    </row>
    <row r="44" spans="3:17" x14ac:dyDescent="0.25">
      <c r="C44" s="5"/>
      <c r="H44" t="s">
        <v>96</v>
      </c>
      <c r="P44" t="s">
        <v>331</v>
      </c>
      <c r="Q44" s="5" t="s">
        <v>1587</v>
      </c>
    </row>
    <row r="45" spans="3:17" x14ac:dyDescent="0.25">
      <c r="C45" s="5"/>
      <c r="H45" t="s">
        <v>97</v>
      </c>
      <c r="P45" t="s">
        <v>332</v>
      </c>
      <c r="Q45" s="5" t="s">
        <v>1588</v>
      </c>
    </row>
    <row r="46" spans="3:17" x14ac:dyDescent="0.25">
      <c r="C46" s="5"/>
      <c r="H46" t="s">
        <v>98</v>
      </c>
      <c r="P46" t="s">
        <v>333</v>
      </c>
      <c r="Q46" s="5" t="s">
        <v>1589</v>
      </c>
    </row>
    <row r="47" spans="3:17" x14ac:dyDescent="0.25">
      <c r="C47" s="5"/>
      <c r="H47" t="s">
        <v>99</v>
      </c>
      <c r="P47" t="s">
        <v>334</v>
      </c>
      <c r="Q47" s="5" t="s">
        <v>1590</v>
      </c>
    </row>
    <row r="48" spans="3:17" x14ac:dyDescent="0.25">
      <c r="C48" s="5"/>
      <c r="H48" t="s">
        <v>100</v>
      </c>
      <c r="P48" t="s">
        <v>335</v>
      </c>
      <c r="Q48" s="5" t="s">
        <v>1591</v>
      </c>
    </row>
    <row r="49" spans="3:17" x14ac:dyDescent="0.25">
      <c r="C49" s="5"/>
      <c r="H49" t="s">
        <v>101</v>
      </c>
      <c r="P49" t="s">
        <v>336</v>
      </c>
      <c r="Q49" s="5" t="s">
        <v>1592</v>
      </c>
    </row>
    <row r="50" spans="3:17" x14ac:dyDescent="0.25">
      <c r="C50" s="5"/>
      <c r="H50" t="s">
        <v>102</v>
      </c>
      <c r="P50" t="s">
        <v>337</v>
      </c>
      <c r="Q50" s="5" t="s">
        <v>1593</v>
      </c>
    </row>
    <row r="51" spans="3:17" x14ac:dyDescent="0.25">
      <c r="C51" s="5"/>
      <c r="H51" t="s">
        <v>103</v>
      </c>
      <c r="P51" t="s">
        <v>338</v>
      </c>
      <c r="Q51" s="5" t="s">
        <v>1594</v>
      </c>
    </row>
    <row r="52" spans="3:17" x14ac:dyDescent="0.25">
      <c r="C52" s="5"/>
      <c r="P52" t="s">
        <v>339</v>
      </c>
      <c r="Q52" s="5" t="s">
        <v>1595</v>
      </c>
    </row>
    <row r="53" spans="3:17" x14ac:dyDescent="0.25">
      <c r="C53" s="5"/>
      <c r="P53" t="s">
        <v>340</v>
      </c>
      <c r="Q53" s="5" t="s">
        <v>1596</v>
      </c>
    </row>
    <row r="54" spans="3:17" x14ac:dyDescent="0.25">
      <c r="C54" s="5"/>
      <c r="P54" t="s">
        <v>341</v>
      </c>
      <c r="Q54" s="5" t="s">
        <v>1597</v>
      </c>
    </row>
    <row r="55" spans="3:17" x14ac:dyDescent="0.25">
      <c r="C55" s="5"/>
      <c r="P55" t="s">
        <v>342</v>
      </c>
      <c r="Q55" s="5" t="s">
        <v>1598</v>
      </c>
    </row>
    <row r="56" spans="3:17" x14ac:dyDescent="0.25">
      <c r="C56" s="5"/>
      <c r="P56" t="s">
        <v>343</v>
      </c>
      <c r="Q56" s="5" t="s">
        <v>1599</v>
      </c>
    </row>
    <row r="57" spans="3:17" x14ac:dyDescent="0.25">
      <c r="C57" s="5"/>
      <c r="P57" t="s">
        <v>344</v>
      </c>
      <c r="Q57" s="5" t="s">
        <v>1600</v>
      </c>
    </row>
    <row r="58" spans="3:17" x14ac:dyDescent="0.25">
      <c r="C58" s="5"/>
      <c r="P58" t="s">
        <v>345</v>
      </c>
      <c r="Q58" s="5" t="s">
        <v>1601</v>
      </c>
    </row>
    <row r="59" spans="3:17" x14ac:dyDescent="0.25">
      <c r="C59" s="5"/>
      <c r="P59" t="s">
        <v>346</v>
      </c>
      <c r="Q59" s="5" t="s">
        <v>1602</v>
      </c>
    </row>
    <row r="60" spans="3:17" x14ac:dyDescent="0.25">
      <c r="C60" s="5"/>
      <c r="P60" t="s">
        <v>347</v>
      </c>
      <c r="Q60" s="5" t="s">
        <v>1603</v>
      </c>
    </row>
    <row r="61" spans="3:17" x14ac:dyDescent="0.25">
      <c r="C61" s="5"/>
      <c r="P61" t="s">
        <v>348</v>
      </c>
      <c r="Q61" s="5" t="s">
        <v>1604</v>
      </c>
    </row>
    <row r="62" spans="3:17" x14ac:dyDescent="0.25">
      <c r="C62" s="5"/>
      <c r="P62" t="s">
        <v>349</v>
      </c>
      <c r="Q62" s="5" t="s">
        <v>1605</v>
      </c>
    </row>
    <row r="63" spans="3:17" x14ac:dyDescent="0.25">
      <c r="C63" s="5"/>
      <c r="P63" t="s">
        <v>350</v>
      </c>
      <c r="Q63" s="5" t="s">
        <v>1606</v>
      </c>
    </row>
    <row r="64" spans="3:17" x14ac:dyDescent="0.25">
      <c r="C64" s="5"/>
      <c r="P64" t="s">
        <v>351</v>
      </c>
      <c r="Q64" s="5" t="s">
        <v>1607</v>
      </c>
    </row>
    <row r="65" spans="3:17" x14ac:dyDescent="0.25">
      <c r="C65" s="5"/>
      <c r="P65" t="s">
        <v>352</v>
      </c>
      <c r="Q65" s="5" t="s">
        <v>1608</v>
      </c>
    </row>
    <row r="66" spans="3:17" x14ac:dyDescent="0.25">
      <c r="C66" s="5"/>
      <c r="P66" t="s">
        <v>353</v>
      </c>
      <c r="Q66" s="5" t="s">
        <v>1609</v>
      </c>
    </row>
    <row r="67" spans="3:17" x14ac:dyDescent="0.25">
      <c r="C67" s="5"/>
      <c r="P67" t="s">
        <v>354</v>
      </c>
      <c r="Q67" s="5" t="s">
        <v>1610</v>
      </c>
    </row>
    <row r="68" spans="3:17" x14ac:dyDescent="0.25">
      <c r="C68" s="5"/>
      <c r="P68" t="s">
        <v>355</v>
      </c>
      <c r="Q68" s="5" t="s">
        <v>1611</v>
      </c>
    </row>
    <row r="69" spans="3:17" x14ac:dyDescent="0.25">
      <c r="C69" s="5"/>
      <c r="P69" t="s">
        <v>356</v>
      </c>
      <c r="Q69" s="5" t="s">
        <v>1612</v>
      </c>
    </row>
    <row r="70" spans="3:17" x14ac:dyDescent="0.25">
      <c r="C70" s="5"/>
      <c r="P70" t="s">
        <v>357</v>
      </c>
      <c r="Q70" s="5" t="s">
        <v>1613</v>
      </c>
    </row>
    <row r="71" spans="3:17" x14ac:dyDescent="0.25">
      <c r="C71" s="5"/>
      <c r="P71" t="s">
        <v>358</v>
      </c>
      <c r="Q71" s="5" t="s">
        <v>1614</v>
      </c>
    </row>
    <row r="72" spans="3:17" x14ac:dyDescent="0.25">
      <c r="C72" s="5"/>
      <c r="P72" t="s">
        <v>359</v>
      </c>
      <c r="Q72" s="5" t="s">
        <v>1615</v>
      </c>
    </row>
    <row r="73" spans="3:17" x14ac:dyDescent="0.25">
      <c r="C73" s="5"/>
      <c r="P73" t="s">
        <v>360</v>
      </c>
      <c r="Q73" s="5" t="s">
        <v>1616</v>
      </c>
    </row>
    <row r="74" spans="3:17" x14ac:dyDescent="0.25">
      <c r="C74" s="5"/>
      <c r="P74" t="s">
        <v>361</v>
      </c>
      <c r="Q74" s="5" t="s">
        <v>1617</v>
      </c>
    </row>
    <row r="75" spans="3:17" x14ac:dyDescent="0.25">
      <c r="C75" s="5"/>
      <c r="P75" t="s">
        <v>362</v>
      </c>
      <c r="Q75" s="5" t="s">
        <v>1618</v>
      </c>
    </row>
    <row r="76" spans="3:17" x14ac:dyDescent="0.25">
      <c r="C76" s="5"/>
      <c r="P76" t="s">
        <v>363</v>
      </c>
      <c r="Q76" s="5" t="s">
        <v>1619</v>
      </c>
    </row>
    <row r="77" spans="3:17" x14ac:dyDescent="0.25">
      <c r="C77" s="5"/>
      <c r="P77" t="s">
        <v>364</v>
      </c>
      <c r="Q77" s="5" t="s">
        <v>1620</v>
      </c>
    </row>
    <row r="78" spans="3:17" x14ac:dyDescent="0.25">
      <c r="C78" s="5"/>
      <c r="P78" t="s">
        <v>365</v>
      </c>
      <c r="Q78" s="5" t="s">
        <v>1621</v>
      </c>
    </row>
    <row r="79" spans="3:17" x14ac:dyDescent="0.25">
      <c r="C79" s="5"/>
      <c r="P79" t="s">
        <v>366</v>
      </c>
      <c r="Q79" s="5" t="s">
        <v>1622</v>
      </c>
    </row>
    <row r="80" spans="3:17" x14ac:dyDescent="0.25">
      <c r="C80" s="5"/>
      <c r="P80" t="s">
        <v>367</v>
      </c>
      <c r="Q80" s="5" t="s">
        <v>1623</v>
      </c>
    </row>
    <row r="81" spans="3:17" x14ac:dyDescent="0.25">
      <c r="C81" s="5"/>
      <c r="P81" t="s">
        <v>368</v>
      </c>
      <c r="Q81" s="5" t="s">
        <v>1624</v>
      </c>
    </row>
    <row r="82" spans="3:17" x14ac:dyDescent="0.25">
      <c r="C82" s="5"/>
      <c r="P82" t="s">
        <v>369</v>
      </c>
      <c r="Q82" s="5" t="s">
        <v>1625</v>
      </c>
    </row>
    <row r="83" spans="3:17" x14ac:dyDescent="0.25">
      <c r="C83" s="5"/>
      <c r="P83" t="s">
        <v>370</v>
      </c>
      <c r="Q83" s="5" t="s">
        <v>1626</v>
      </c>
    </row>
    <row r="84" spans="3:17" x14ac:dyDescent="0.25">
      <c r="C84" s="5"/>
      <c r="P84" t="s">
        <v>371</v>
      </c>
      <c r="Q84" s="5" t="s">
        <v>1627</v>
      </c>
    </row>
    <row r="85" spans="3:17" x14ac:dyDescent="0.25">
      <c r="C85" s="5"/>
      <c r="P85" t="s">
        <v>372</v>
      </c>
      <c r="Q85" s="5" t="s">
        <v>1628</v>
      </c>
    </row>
    <row r="86" spans="3:17" x14ac:dyDescent="0.25">
      <c r="C86" s="5"/>
      <c r="P86" t="s">
        <v>373</v>
      </c>
      <c r="Q86" s="5" t="s">
        <v>1629</v>
      </c>
    </row>
    <row r="87" spans="3:17" x14ac:dyDescent="0.25">
      <c r="C87" s="5"/>
      <c r="P87" t="s">
        <v>374</v>
      </c>
      <c r="Q87" s="5" t="s">
        <v>1630</v>
      </c>
    </row>
    <row r="88" spans="3:17" x14ac:dyDescent="0.25">
      <c r="C88" s="5"/>
      <c r="P88" t="s">
        <v>375</v>
      </c>
      <c r="Q88" s="5" t="s">
        <v>1631</v>
      </c>
    </row>
    <row r="89" spans="3:17" x14ac:dyDescent="0.25">
      <c r="C89" s="5"/>
      <c r="P89" t="s">
        <v>376</v>
      </c>
      <c r="Q89" s="5" t="s">
        <v>1632</v>
      </c>
    </row>
    <row r="90" spans="3:17" x14ac:dyDescent="0.25">
      <c r="C90" s="5"/>
      <c r="P90" t="s">
        <v>377</v>
      </c>
      <c r="Q90" s="5" t="s">
        <v>1633</v>
      </c>
    </row>
    <row r="91" spans="3:17" x14ac:dyDescent="0.25">
      <c r="C91" s="5"/>
      <c r="P91" t="s">
        <v>378</v>
      </c>
      <c r="Q91" s="5" t="s">
        <v>1634</v>
      </c>
    </row>
    <row r="92" spans="3:17" x14ac:dyDescent="0.25">
      <c r="C92" s="5"/>
      <c r="P92" t="s">
        <v>379</v>
      </c>
      <c r="Q92" s="5" t="s">
        <v>1635</v>
      </c>
    </row>
    <row r="93" spans="3:17" x14ac:dyDescent="0.25">
      <c r="C93" s="5"/>
      <c r="P93" t="s">
        <v>380</v>
      </c>
      <c r="Q93" s="5" t="s">
        <v>1636</v>
      </c>
    </row>
    <row r="94" spans="3:17" x14ac:dyDescent="0.25">
      <c r="C94" s="5"/>
      <c r="P94" t="s">
        <v>381</v>
      </c>
      <c r="Q94" s="5" t="s">
        <v>1637</v>
      </c>
    </row>
    <row r="95" spans="3:17" x14ac:dyDescent="0.25">
      <c r="C95" s="5"/>
      <c r="P95" t="s">
        <v>382</v>
      </c>
      <c r="Q95" s="5" t="s">
        <v>1638</v>
      </c>
    </row>
    <row r="96" spans="3:17" x14ac:dyDescent="0.25">
      <c r="C96" s="5"/>
      <c r="P96" t="s">
        <v>383</v>
      </c>
      <c r="Q96" s="5" t="s">
        <v>1639</v>
      </c>
    </row>
    <row r="97" spans="3:17" x14ac:dyDescent="0.25">
      <c r="C97" s="5"/>
      <c r="P97" t="s">
        <v>384</v>
      </c>
      <c r="Q97" s="5" t="s">
        <v>1640</v>
      </c>
    </row>
    <row r="98" spans="3:17" x14ac:dyDescent="0.25">
      <c r="C98" s="5"/>
      <c r="P98" t="s">
        <v>385</v>
      </c>
      <c r="Q98" s="5" t="s">
        <v>1641</v>
      </c>
    </row>
    <row r="99" spans="3:17" x14ac:dyDescent="0.25">
      <c r="C99" s="5"/>
      <c r="P99" t="s">
        <v>386</v>
      </c>
      <c r="Q99" s="5" t="s">
        <v>1642</v>
      </c>
    </row>
    <row r="100" spans="3:17" x14ac:dyDescent="0.25">
      <c r="C100" s="5"/>
      <c r="P100" t="s">
        <v>387</v>
      </c>
      <c r="Q100" s="5" t="s">
        <v>1643</v>
      </c>
    </row>
    <row r="101" spans="3:17" x14ac:dyDescent="0.25">
      <c r="C101" s="5"/>
      <c r="P101" t="s">
        <v>388</v>
      </c>
      <c r="Q101" s="5" t="s">
        <v>1644</v>
      </c>
    </row>
    <row r="102" spans="3:17" x14ac:dyDescent="0.25">
      <c r="C102" s="5"/>
      <c r="P102" t="s">
        <v>389</v>
      </c>
      <c r="Q102" s="5" t="s">
        <v>1645</v>
      </c>
    </row>
    <row r="103" spans="3:17" x14ac:dyDescent="0.25">
      <c r="C103" s="5"/>
      <c r="P103" t="s">
        <v>390</v>
      </c>
      <c r="Q103" s="5" t="s">
        <v>1646</v>
      </c>
    </row>
    <row r="104" spans="3:17" x14ac:dyDescent="0.25">
      <c r="C104" s="5"/>
      <c r="P104" t="s">
        <v>391</v>
      </c>
      <c r="Q104" s="5" t="s">
        <v>1647</v>
      </c>
    </row>
    <row r="105" spans="3:17" x14ac:dyDescent="0.25">
      <c r="C105" s="5"/>
      <c r="P105" t="s">
        <v>392</v>
      </c>
      <c r="Q105" s="5" t="s">
        <v>1648</v>
      </c>
    </row>
    <row r="106" spans="3:17" x14ac:dyDescent="0.25">
      <c r="C106" s="5"/>
      <c r="P106" t="s">
        <v>393</v>
      </c>
      <c r="Q106" s="5" t="s">
        <v>1649</v>
      </c>
    </row>
    <row r="107" spans="3:17" x14ac:dyDescent="0.25">
      <c r="C107" s="5"/>
      <c r="P107" t="s">
        <v>394</v>
      </c>
      <c r="Q107" s="5" t="s">
        <v>1650</v>
      </c>
    </row>
    <row r="108" spans="3:17" x14ac:dyDescent="0.25">
      <c r="C108" s="5"/>
      <c r="P108" t="s">
        <v>395</v>
      </c>
      <c r="Q108" s="5" t="s">
        <v>1651</v>
      </c>
    </row>
    <row r="109" spans="3:17" x14ac:dyDescent="0.25">
      <c r="C109" s="5"/>
      <c r="P109" t="s">
        <v>396</v>
      </c>
      <c r="Q109" s="5" t="s">
        <v>1652</v>
      </c>
    </row>
    <row r="110" spans="3:17" x14ac:dyDescent="0.25">
      <c r="C110" s="5"/>
      <c r="P110" t="s">
        <v>397</v>
      </c>
      <c r="Q110" s="5" t="s">
        <v>1653</v>
      </c>
    </row>
    <row r="111" spans="3:17" x14ac:dyDescent="0.25">
      <c r="C111" s="5"/>
      <c r="P111" t="s">
        <v>398</v>
      </c>
      <c r="Q111" s="5" t="s">
        <v>1654</v>
      </c>
    </row>
    <row r="112" spans="3:17" x14ac:dyDescent="0.25">
      <c r="C112" s="5"/>
      <c r="P112" t="s">
        <v>399</v>
      </c>
      <c r="Q112" s="5" t="s">
        <v>1655</v>
      </c>
    </row>
    <row r="113" spans="3:17" x14ac:dyDescent="0.25">
      <c r="C113" s="5"/>
      <c r="P113" t="s">
        <v>400</v>
      </c>
      <c r="Q113" s="5" t="s">
        <v>1656</v>
      </c>
    </row>
    <row r="114" spans="3:17" x14ac:dyDescent="0.25">
      <c r="C114" s="5"/>
      <c r="P114" t="s">
        <v>401</v>
      </c>
      <c r="Q114" s="5" t="s">
        <v>1657</v>
      </c>
    </row>
    <row r="115" spans="3:17" x14ac:dyDescent="0.25">
      <c r="C115" s="5"/>
      <c r="P115" t="s">
        <v>402</v>
      </c>
      <c r="Q115" s="5" t="s">
        <v>1658</v>
      </c>
    </row>
    <row r="116" spans="3:17" x14ac:dyDescent="0.25">
      <c r="C116" s="5"/>
      <c r="P116" t="s">
        <v>403</v>
      </c>
      <c r="Q116" s="5" t="s">
        <v>1659</v>
      </c>
    </row>
    <row r="117" spans="3:17" x14ac:dyDescent="0.25">
      <c r="C117" s="5"/>
      <c r="P117" t="s">
        <v>404</v>
      </c>
      <c r="Q117" s="5" t="s">
        <v>1660</v>
      </c>
    </row>
    <row r="118" spans="3:17" x14ac:dyDescent="0.25">
      <c r="C118" s="5"/>
      <c r="P118" t="s">
        <v>405</v>
      </c>
      <c r="Q118" s="5" t="s">
        <v>1661</v>
      </c>
    </row>
    <row r="119" spans="3:17" x14ac:dyDescent="0.25">
      <c r="C119" s="5"/>
      <c r="P119" t="s">
        <v>406</v>
      </c>
      <c r="Q119" s="5" t="s">
        <v>1662</v>
      </c>
    </row>
    <row r="120" spans="3:17" x14ac:dyDescent="0.25">
      <c r="C120" s="5"/>
      <c r="P120" t="s">
        <v>407</v>
      </c>
      <c r="Q120" s="5" t="s">
        <v>1663</v>
      </c>
    </row>
    <row r="121" spans="3:17" x14ac:dyDescent="0.25">
      <c r="C121" s="5"/>
      <c r="P121" t="s">
        <v>408</v>
      </c>
      <c r="Q121" s="5" t="s">
        <v>1664</v>
      </c>
    </row>
    <row r="122" spans="3:17" x14ac:dyDescent="0.25">
      <c r="C122" s="5"/>
      <c r="P122" t="s">
        <v>409</v>
      </c>
      <c r="Q122" s="5" t="s">
        <v>1665</v>
      </c>
    </row>
    <row r="123" spans="3:17" x14ac:dyDescent="0.25">
      <c r="C123" s="5"/>
      <c r="P123" t="s">
        <v>410</v>
      </c>
      <c r="Q123" s="5" t="s">
        <v>1666</v>
      </c>
    </row>
    <row r="124" spans="3:17" x14ac:dyDescent="0.25">
      <c r="C124" s="5"/>
      <c r="P124" t="s">
        <v>411</v>
      </c>
      <c r="Q124" s="5" t="s">
        <v>1667</v>
      </c>
    </row>
    <row r="125" spans="3:17" x14ac:dyDescent="0.25">
      <c r="C125" s="5"/>
      <c r="P125" t="s">
        <v>412</v>
      </c>
      <c r="Q125" s="5" t="s">
        <v>1668</v>
      </c>
    </row>
    <row r="126" spans="3:17" x14ac:dyDescent="0.25">
      <c r="C126" s="5"/>
      <c r="P126" t="s">
        <v>413</v>
      </c>
      <c r="Q126" s="5" t="s">
        <v>832</v>
      </c>
    </row>
    <row r="127" spans="3:17" x14ac:dyDescent="0.25">
      <c r="C127" s="5"/>
      <c r="P127" t="s">
        <v>414</v>
      </c>
      <c r="Q127" s="5" t="s">
        <v>1669</v>
      </c>
    </row>
    <row r="128" spans="3:17" x14ac:dyDescent="0.25">
      <c r="C128" s="5"/>
      <c r="P128" t="s">
        <v>415</v>
      </c>
      <c r="Q128" s="5" t="s">
        <v>1670</v>
      </c>
    </row>
    <row r="129" spans="3:17" x14ac:dyDescent="0.25">
      <c r="C129" s="5"/>
      <c r="P129" t="s">
        <v>416</v>
      </c>
      <c r="Q129" s="5" t="s">
        <v>1671</v>
      </c>
    </row>
    <row r="130" spans="3:17" x14ac:dyDescent="0.25">
      <c r="C130" s="5"/>
      <c r="P130" t="s">
        <v>417</v>
      </c>
      <c r="Q130" s="5" t="s">
        <v>1672</v>
      </c>
    </row>
    <row r="131" spans="3:17" x14ac:dyDescent="0.25">
      <c r="C131" s="5"/>
      <c r="P131" t="s">
        <v>418</v>
      </c>
      <c r="Q131" s="5" t="s">
        <v>1673</v>
      </c>
    </row>
    <row r="132" spans="3:17" x14ac:dyDescent="0.25">
      <c r="C132" s="5"/>
      <c r="P132" t="s">
        <v>419</v>
      </c>
      <c r="Q132" s="5" t="s">
        <v>1674</v>
      </c>
    </row>
    <row r="133" spans="3:17" x14ac:dyDescent="0.25">
      <c r="C133" s="5"/>
      <c r="P133" t="s">
        <v>420</v>
      </c>
      <c r="Q133" s="5" t="s">
        <v>1675</v>
      </c>
    </row>
    <row r="134" spans="3:17" x14ac:dyDescent="0.25">
      <c r="C134" s="5"/>
      <c r="P134" t="s">
        <v>421</v>
      </c>
      <c r="Q134" s="5" t="s">
        <v>1676</v>
      </c>
    </row>
    <row r="135" spans="3:17" x14ac:dyDescent="0.25">
      <c r="C135" s="5"/>
      <c r="P135" t="s">
        <v>422</v>
      </c>
      <c r="Q135" s="5" t="s">
        <v>1677</v>
      </c>
    </row>
    <row r="136" spans="3:17" x14ac:dyDescent="0.25">
      <c r="C136" s="5"/>
      <c r="P136" t="s">
        <v>423</v>
      </c>
      <c r="Q136" s="5" t="s">
        <v>1678</v>
      </c>
    </row>
    <row r="137" spans="3:17" x14ac:dyDescent="0.25">
      <c r="C137" s="5"/>
      <c r="P137" t="s">
        <v>424</v>
      </c>
      <c r="Q137" s="5" t="s">
        <v>1679</v>
      </c>
    </row>
    <row r="138" spans="3:17" x14ac:dyDescent="0.25">
      <c r="C138" s="5"/>
      <c r="P138" t="s">
        <v>425</v>
      </c>
      <c r="Q138" s="5" t="s">
        <v>1680</v>
      </c>
    </row>
    <row r="139" spans="3:17" x14ac:dyDescent="0.25">
      <c r="C139" s="5"/>
      <c r="P139" t="s">
        <v>426</v>
      </c>
      <c r="Q139" s="5" t="s">
        <v>1681</v>
      </c>
    </row>
    <row r="140" spans="3:17" x14ac:dyDescent="0.25">
      <c r="C140" s="5"/>
      <c r="P140" t="s">
        <v>427</v>
      </c>
      <c r="Q140" s="5" t="s">
        <v>1682</v>
      </c>
    </row>
    <row r="141" spans="3:17" x14ac:dyDescent="0.25">
      <c r="C141" s="5"/>
      <c r="P141" t="s">
        <v>428</v>
      </c>
      <c r="Q141" s="5" t="s">
        <v>1683</v>
      </c>
    </row>
    <row r="142" spans="3:17" x14ac:dyDescent="0.25">
      <c r="C142" s="5"/>
      <c r="P142" t="s">
        <v>429</v>
      </c>
      <c r="Q142" s="5" t="s">
        <v>1684</v>
      </c>
    </row>
    <row r="143" spans="3:17" x14ac:dyDescent="0.25">
      <c r="C143" s="5"/>
      <c r="P143" t="s">
        <v>430</v>
      </c>
      <c r="Q143" s="5" t="s">
        <v>14</v>
      </c>
    </row>
    <row r="144" spans="3:17" x14ac:dyDescent="0.25">
      <c r="C144" s="5"/>
      <c r="P144" t="s">
        <v>431</v>
      </c>
      <c r="Q144" s="5" t="s">
        <v>1685</v>
      </c>
    </row>
    <row r="145" spans="3:17" x14ac:dyDescent="0.25">
      <c r="C145" s="5"/>
      <c r="P145" t="s">
        <v>432</v>
      </c>
      <c r="Q145" s="5" t="s">
        <v>1686</v>
      </c>
    </row>
    <row r="146" spans="3:17" x14ac:dyDescent="0.25">
      <c r="C146" s="5"/>
      <c r="P146" t="s">
        <v>433</v>
      </c>
      <c r="Q146" s="5" t="s">
        <v>1687</v>
      </c>
    </row>
    <row r="147" spans="3:17" x14ac:dyDescent="0.25">
      <c r="C147" s="5"/>
      <c r="P147" t="s">
        <v>434</v>
      </c>
    </row>
    <row r="148" spans="3:17" x14ac:dyDescent="0.25">
      <c r="C148" s="5"/>
      <c r="P148" t="s">
        <v>435</v>
      </c>
    </row>
    <row r="149" spans="3:17" x14ac:dyDescent="0.25">
      <c r="C149" s="5"/>
      <c r="P149" t="s">
        <v>436</v>
      </c>
    </row>
    <row r="150" spans="3:17" x14ac:dyDescent="0.25">
      <c r="C150" s="5"/>
      <c r="P150" t="s">
        <v>437</v>
      </c>
    </row>
    <row r="151" spans="3:17" x14ac:dyDescent="0.25">
      <c r="C151" s="5"/>
      <c r="P151" t="s">
        <v>438</v>
      </c>
    </row>
    <row r="152" spans="3:17" x14ac:dyDescent="0.25">
      <c r="C152" s="5"/>
      <c r="P152" t="s">
        <v>439</v>
      </c>
    </row>
    <row r="153" spans="3:17" x14ac:dyDescent="0.25">
      <c r="C153" s="5"/>
      <c r="P153" t="s">
        <v>440</v>
      </c>
    </row>
    <row r="154" spans="3:17" x14ac:dyDescent="0.25">
      <c r="C154" s="5"/>
      <c r="P154" t="s">
        <v>441</v>
      </c>
    </row>
    <row r="155" spans="3:17" x14ac:dyDescent="0.25">
      <c r="C155" s="5"/>
      <c r="P155" t="s">
        <v>442</v>
      </c>
    </row>
    <row r="156" spans="3:17" x14ac:dyDescent="0.25">
      <c r="C156" s="5"/>
      <c r="P156" t="s">
        <v>443</v>
      </c>
    </row>
    <row r="157" spans="3:17" x14ac:dyDescent="0.25">
      <c r="C157" s="5"/>
      <c r="P157" t="s">
        <v>444</v>
      </c>
    </row>
    <row r="158" spans="3:17" x14ac:dyDescent="0.25">
      <c r="C158" s="5"/>
      <c r="P158" t="s">
        <v>445</v>
      </c>
    </row>
    <row r="159" spans="3:17" x14ac:dyDescent="0.25">
      <c r="C159" s="5"/>
      <c r="P159" t="s">
        <v>446</v>
      </c>
    </row>
    <row r="160" spans="3:17" x14ac:dyDescent="0.25">
      <c r="C160" s="5"/>
      <c r="P160" t="s">
        <v>447</v>
      </c>
    </row>
    <row r="161" spans="3:16" x14ac:dyDescent="0.25">
      <c r="C161" s="5"/>
      <c r="P161" t="s">
        <v>448</v>
      </c>
    </row>
    <row r="162" spans="3:16" x14ac:dyDescent="0.25">
      <c r="C162" s="5"/>
      <c r="P162" t="s">
        <v>449</v>
      </c>
    </row>
    <row r="163" spans="3:16" x14ac:dyDescent="0.25">
      <c r="C163" s="5"/>
      <c r="P163" t="s">
        <v>450</v>
      </c>
    </row>
    <row r="164" spans="3:16" x14ac:dyDescent="0.25">
      <c r="C164" s="5"/>
      <c r="P164" t="s">
        <v>451</v>
      </c>
    </row>
    <row r="165" spans="3:16" x14ac:dyDescent="0.25">
      <c r="C165" s="5"/>
      <c r="P165" t="s">
        <v>452</v>
      </c>
    </row>
    <row r="166" spans="3:16" x14ac:dyDescent="0.25">
      <c r="C166" s="5"/>
      <c r="P166" t="s">
        <v>453</v>
      </c>
    </row>
    <row r="167" spans="3:16" x14ac:dyDescent="0.25">
      <c r="C167" s="5"/>
      <c r="P167" t="s">
        <v>454</v>
      </c>
    </row>
    <row r="168" spans="3:16" x14ac:dyDescent="0.25">
      <c r="C168" s="5"/>
      <c r="P168" t="s">
        <v>455</v>
      </c>
    </row>
    <row r="169" spans="3:16" x14ac:dyDescent="0.25">
      <c r="C169" s="5"/>
      <c r="P169" t="s">
        <v>456</v>
      </c>
    </row>
    <row r="170" spans="3:16" x14ac:dyDescent="0.25">
      <c r="C170" s="5"/>
      <c r="P170" t="s">
        <v>457</v>
      </c>
    </row>
    <row r="171" spans="3:16" x14ac:dyDescent="0.25">
      <c r="C171" s="5"/>
      <c r="P171" t="s">
        <v>458</v>
      </c>
    </row>
    <row r="172" spans="3:16" x14ac:dyDescent="0.25">
      <c r="C172" s="5"/>
      <c r="P172" t="s">
        <v>459</v>
      </c>
    </row>
    <row r="173" spans="3:16" x14ac:dyDescent="0.25">
      <c r="C173" s="5"/>
      <c r="P173" t="s">
        <v>460</v>
      </c>
    </row>
    <row r="174" spans="3:16" x14ac:dyDescent="0.25">
      <c r="C174" s="5"/>
      <c r="P174" t="s">
        <v>461</v>
      </c>
    </row>
    <row r="175" spans="3:16" x14ac:dyDescent="0.25">
      <c r="C175" s="5"/>
      <c r="P175" t="s">
        <v>462</v>
      </c>
    </row>
    <row r="176" spans="3:16" x14ac:dyDescent="0.25">
      <c r="C176" s="5"/>
      <c r="P176" t="s">
        <v>463</v>
      </c>
    </row>
    <row r="177" spans="3:16" x14ac:dyDescent="0.25">
      <c r="C177" s="5"/>
      <c r="P177" t="s">
        <v>464</v>
      </c>
    </row>
    <row r="178" spans="3:16" x14ac:dyDescent="0.25">
      <c r="C178" s="5"/>
      <c r="P178" t="s">
        <v>465</v>
      </c>
    </row>
    <row r="179" spans="3:16" x14ac:dyDescent="0.25">
      <c r="C179" s="5"/>
      <c r="P179" t="s">
        <v>466</v>
      </c>
    </row>
    <row r="180" spans="3:16" x14ac:dyDescent="0.25">
      <c r="C180" s="5"/>
      <c r="P180" t="s">
        <v>467</v>
      </c>
    </row>
    <row r="181" spans="3:16" x14ac:dyDescent="0.25">
      <c r="C181" s="5"/>
      <c r="P181" t="s">
        <v>468</v>
      </c>
    </row>
    <row r="182" spans="3:16" x14ac:dyDescent="0.25">
      <c r="C182" s="5"/>
      <c r="P182" t="s">
        <v>469</v>
      </c>
    </row>
    <row r="183" spans="3:16" x14ac:dyDescent="0.25">
      <c r="C183" s="5"/>
      <c r="P183" t="s">
        <v>470</v>
      </c>
    </row>
    <row r="184" spans="3:16" x14ac:dyDescent="0.25">
      <c r="C184" s="5"/>
      <c r="P184" t="s">
        <v>471</v>
      </c>
    </row>
    <row r="185" spans="3:16" x14ac:dyDescent="0.25">
      <c r="C185" s="5"/>
      <c r="P185" t="s">
        <v>472</v>
      </c>
    </row>
    <row r="186" spans="3:16" x14ac:dyDescent="0.25">
      <c r="C186" s="5"/>
      <c r="P186" t="s">
        <v>473</v>
      </c>
    </row>
    <row r="187" spans="3:16" x14ac:dyDescent="0.25">
      <c r="C187" s="5"/>
      <c r="P187" t="s">
        <v>474</v>
      </c>
    </row>
    <row r="188" spans="3:16" x14ac:dyDescent="0.25">
      <c r="C188" s="5"/>
      <c r="P188" t="s">
        <v>475</v>
      </c>
    </row>
    <row r="189" spans="3:16" x14ac:dyDescent="0.25">
      <c r="C189" s="5"/>
      <c r="P189" t="s">
        <v>476</v>
      </c>
    </row>
    <row r="190" spans="3:16" x14ac:dyDescent="0.25">
      <c r="C190" s="5"/>
      <c r="P190" t="s">
        <v>477</v>
      </c>
    </row>
    <row r="191" spans="3:16" x14ac:dyDescent="0.25">
      <c r="C191" s="5"/>
      <c r="P191" t="s">
        <v>478</v>
      </c>
    </row>
    <row r="192" spans="3:16" x14ac:dyDescent="0.25">
      <c r="C192" s="5"/>
      <c r="P192" t="s">
        <v>479</v>
      </c>
    </row>
    <row r="193" spans="3:16" x14ac:dyDescent="0.25">
      <c r="C193" s="5"/>
      <c r="P193" t="s">
        <v>480</v>
      </c>
    </row>
    <row r="194" spans="3:16" x14ac:dyDescent="0.25">
      <c r="C194" s="5"/>
      <c r="P194" t="s">
        <v>481</v>
      </c>
    </row>
    <row r="195" spans="3:16" x14ac:dyDescent="0.25">
      <c r="C195" s="5"/>
      <c r="P195" t="s">
        <v>482</v>
      </c>
    </row>
    <row r="196" spans="3:16" x14ac:dyDescent="0.25">
      <c r="C196" s="5"/>
      <c r="P196" t="s">
        <v>483</v>
      </c>
    </row>
    <row r="197" spans="3:16" x14ac:dyDescent="0.25">
      <c r="C197" s="5"/>
      <c r="P197" t="s">
        <v>484</v>
      </c>
    </row>
    <row r="198" spans="3:16" x14ac:dyDescent="0.25">
      <c r="C198" s="5"/>
      <c r="P198" t="s">
        <v>485</v>
      </c>
    </row>
    <row r="199" spans="3:16" x14ac:dyDescent="0.25">
      <c r="C199" s="5"/>
      <c r="P199" t="s">
        <v>486</v>
      </c>
    </row>
    <row r="200" spans="3:16" x14ac:dyDescent="0.25">
      <c r="C200" s="5"/>
      <c r="P200" t="s">
        <v>487</v>
      </c>
    </row>
    <row r="201" spans="3:16" x14ac:dyDescent="0.25">
      <c r="C201" s="5"/>
      <c r="P201" t="s">
        <v>488</v>
      </c>
    </row>
    <row r="202" spans="3:16" x14ac:dyDescent="0.25">
      <c r="C202" s="5"/>
      <c r="P202" t="s">
        <v>489</v>
      </c>
    </row>
    <row r="203" spans="3:16" x14ac:dyDescent="0.25">
      <c r="C203" s="5"/>
      <c r="P203" t="s">
        <v>490</v>
      </c>
    </row>
    <row r="204" spans="3:16" x14ac:dyDescent="0.25">
      <c r="C204" s="5"/>
      <c r="P204" t="s">
        <v>491</v>
      </c>
    </row>
    <row r="205" spans="3:16" x14ac:dyDescent="0.25">
      <c r="C205" s="5"/>
      <c r="P205" t="s">
        <v>492</v>
      </c>
    </row>
    <row r="206" spans="3:16" x14ac:dyDescent="0.25">
      <c r="C206" s="5"/>
      <c r="P206" t="s">
        <v>493</v>
      </c>
    </row>
    <row r="207" spans="3:16" x14ac:dyDescent="0.25">
      <c r="C207" s="5"/>
      <c r="P207" t="s">
        <v>494</v>
      </c>
    </row>
    <row r="208" spans="3:16" x14ac:dyDescent="0.25">
      <c r="C208" s="5"/>
      <c r="P208" t="s">
        <v>495</v>
      </c>
    </row>
    <row r="209" spans="3:16" x14ac:dyDescent="0.25">
      <c r="C209" s="5"/>
      <c r="P209" t="s">
        <v>496</v>
      </c>
    </row>
    <row r="210" spans="3:16" x14ac:dyDescent="0.25">
      <c r="C210" s="5"/>
      <c r="P210" t="s">
        <v>497</v>
      </c>
    </row>
    <row r="211" spans="3:16" x14ac:dyDescent="0.25">
      <c r="C211" s="5"/>
      <c r="P211" t="s">
        <v>498</v>
      </c>
    </row>
    <row r="212" spans="3:16" x14ac:dyDescent="0.25">
      <c r="C212" s="5"/>
      <c r="P212" t="s">
        <v>499</v>
      </c>
    </row>
    <row r="213" spans="3:16" x14ac:dyDescent="0.25">
      <c r="C213" s="5"/>
      <c r="P213" t="s">
        <v>500</v>
      </c>
    </row>
    <row r="214" spans="3:16" x14ac:dyDescent="0.25">
      <c r="C214" s="5"/>
      <c r="P214" t="s">
        <v>501</v>
      </c>
    </row>
    <row r="215" spans="3:16" x14ac:dyDescent="0.25">
      <c r="C215" s="5"/>
      <c r="P215" t="s">
        <v>502</v>
      </c>
    </row>
    <row r="216" spans="3:16" x14ac:dyDescent="0.25">
      <c r="C216" s="5"/>
      <c r="P216" t="s">
        <v>503</v>
      </c>
    </row>
    <row r="217" spans="3:16" x14ac:dyDescent="0.25">
      <c r="C217" s="5"/>
      <c r="P217" t="s">
        <v>504</v>
      </c>
    </row>
    <row r="218" spans="3:16" x14ac:dyDescent="0.25">
      <c r="C218" s="5"/>
      <c r="P218" t="s">
        <v>505</v>
      </c>
    </row>
    <row r="219" spans="3:16" x14ac:dyDescent="0.25">
      <c r="C219" s="5"/>
      <c r="P219" t="s">
        <v>506</v>
      </c>
    </row>
    <row r="220" spans="3:16" x14ac:dyDescent="0.25">
      <c r="C220" s="5"/>
      <c r="P220" t="s">
        <v>507</v>
      </c>
    </row>
    <row r="221" spans="3:16" x14ac:dyDescent="0.25">
      <c r="C221" s="5"/>
      <c r="P221" t="s">
        <v>508</v>
      </c>
    </row>
    <row r="222" spans="3:16" x14ac:dyDescent="0.25">
      <c r="C222" s="5"/>
      <c r="P222" t="s">
        <v>509</v>
      </c>
    </row>
    <row r="223" spans="3:16" x14ac:dyDescent="0.25">
      <c r="C223" s="5"/>
      <c r="P223" t="s">
        <v>510</v>
      </c>
    </row>
    <row r="224" spans="3:16" x14ac:dyDescent="0.25">
      <c r="C224" s="5"/>
      <c r="P224" t="s">
        <v>511</v>
      </c>
    </row>
    <row r="225" spans="3:16" x14ac:dyDescent="0.25">
      <c r="C225" s="5"/>
      <c r="P225" t="s">
        <v>512</v>
      </c>
    </row>
    <row r="226" spans="3:16" x14ac:dyDescent="0.25">
      <c r="C226" s="5"/>
      <c r="P226" t="s">
        <v>513</v>
      </c>
    </row>
    <row r="227" spans="3:16" x14ac:dyDescent="0.25">
      <c r="C227" s="5"/>
      <c r="P227" t="s">
        <v>514</v>
      </c>
    </row>
    <row r="228" spans="3:16" x14ac:dyDescent="0.25">
      <c r="C228" s="5"/>
      <c r="P228" t="s">
        <v>515</v>
      </c>
    </row>
    <row r="229" spans="3:16" x14ac:dyDescent="0.25">
      <c r="C229" s="5"/>
      <c r="P229" t="s">
        <v>516</v>
      </c>
    </row>
    <row r="230" spans="3:16" x14ac:dyDescent="0.25">
      <c r="C230" s="5"/>
      <c r="P230" t="s">
        <v>517</v>
      </c>
    </row>
    <row r="231" spans="3:16" x14ac:dyDescent="0.25">
      <c r="C231" s="5"/>
      <c r="P231" t="s">
        <v>518</v>
      </c>
    </row>
    <row r="232" spans="3:16" x14ac:dyDescent="0.25">
      <c r="C232" s="5"/>
      <c r="P232" t="s">
        <v>519</v>
      </c>
    </row>
    <row r="233" spans="3:16" x14ac:dyDescent="0.25">
      <c r="C233" s="5"/>
      <c r="P233" t="s">
        <v>520</v>
      </c>
    </row>
    <row r="234" spans="3:16" x14ac:dyDescent="0.25">
      <c r="C234" s="5"/>
      <c r="P234" t="s">
        <v>521</v>
      </c>
    </row>
    <row r="235" spans="3:16" x14ac:dyDescent="0.25">
      <c r="C235" s="5"/>
      <c r="P235" t="s">
        <v>522</v>
      </c>
    </row>
    <row r="236" spans="3:16" x14ac:dyDescent="0.25">
      <c r="C236" s="5"/>
      <c r="P236" t="s">
        <v>523</v>
      </c>
    </row>
    <row r="237" spans="3:16" x14ac:dyDescent="0.25">
      <c r="C237" s="5"/>
      <c r="P237" t="s">
        <v>524</v>
      </c>
    </row>
    <row r="238" spans="3:16" x14ac:dyDescent="0.25">
      <c r="C238" s="5"/>
      <c r="P238" t="s">
        <v>525</v>
      </c>
    </row>
    <row r="239" spans="3:16" x14ac:dyDescent="0.25">
      <c r="C239" s="5"/>
      <c r="P239" t="s">
        <v>526</v>
      </c>
    </row>
    <row r="240" spans="3:16" x14ac:dyDescent="0.25">
      <c r="C240" s="5"/>
      <c r="P240" t="s">
        <v>527</v>
      </c>
    </row>
    <row r="241" spans="3:16" x14ac:dyDescent="0.25">
      <c r="C241" s="5"/>
      <c r="P241" t="s">
        <v>528</v>
      </c>
    </row>
    <row r="242" spans="3:16" x14ac:dyDescent="0.25">
      <c r="C242" s="5"/>
      <c r="P242" t="s">
        <v>529</v>
      </c>
    </row>
    <row r="243" spans="3:16" x14ac:dyDescent="0.25">
      <c r="C243" s="5"/>
      <c r="P243" t="s">
        <v>530</v>
      </c>
    </row>
    <row r="244" spans="3:16" x14ac:dyDescent="0.25">
      <c r="C244" s="5"/>
      <c r="P244" t="s">
        <v>531</v>
      </c>
    </row>
    <row r="245" spans="3:16" x14ac:dyDescent="0.25">
      <c r="C245" s="5"/>
      <c r="P245" t="s">
        <v>532</v>
      </c>
    </row>
    <row r="246" spans="3:16" x14ac:dyDescent="0.25">
      <c r="C246" s="5"/>
      <c r="P246" t="s">
        <v>533</v>
      </c>
    </row>
    <row r="247" spans="3:16" x14ac:dyDescent="0.25">
      <c r="C247" s="5"/>
      <c r="P247" t="s">
        <v>534</v>
      </c>
    </row>
    <row r="248" spans="3:16" x14ac:dyDescent="0.25">
      <c r="C248" s="5"/>
      <c r="P248" t="s">
        <v>535</v>
      </c>
    </row>
    <row r="249" spans="3:16" x14ac:dyDescent="0.25">
      <c r="C249" s="5"/>
      <c r="P249" t="s">
        <v>536</v>
      </c>
    </row>
    <row r="250" spans="3:16" x14ac:dyDescent="0.25">
      <c r="C250" s="5"/>
      <c r="P250" t="s">
        <v>537</v>
      </c>
    </row>
    <row r="251" spans="3:16" x14ac:dyDescent="0.25">
      <c r="C251" s="5"/>
      <c r="P251" t="s">
        <v>538</v>
      </c>
    </row>
    <row r="252" spans="3:16" x14ac:dyDescent="0.25">
      <c r="C252" s="5"/>
      <c r="P252" t="s">
        <v>539</v>
      </c>
    </row>
    <row r="253" spans="3:16" x14ac:dyDescent="0.25">
      <c r="C253" s="5"/>
      <c r="P253" t="s">
        <v>540</v>
      </c>
    </row>
    <row r="254" spans="3:16" x14ac:dyDescent="0.25">
      <c r="C254" s="5"/>
      <c r="P254" t="s">
        <v>541</v>
      </c>
    </row>
    <row r="255" spans="3:16" x14ac:dyDescent="0.25">
      <c r="C255" s="5"/>
      <c r="P255" t="s">
        <v>542</v>
      </c>
    </row>
    <row r="256" spans="3:16" x14ac:dyDescent="0.25">
      <c r="C256" s="5"/>
      <c r="P256" t="s">
        <v>543</v>
      </c>
    </row>
    <row r="257" spans="3:16" x14ac:dyDescent="0.25">
      <c r="C257" s="5"/>
      <c r="P257" t="s">
        <v>544</v>
      </c>
    </row>
    <row r="258" spans="3:16" x14ac:dyDescent="0.25">
      <c r="C258" s="5"/>
      <c r="P258" t="s">
        <v>545</v>
      </c>
    </row>
    <row r="259" spans="3:16" x14ac:dyDescent="0.25">
      <c r="C259" s="5"/>
      <c r="P259" t="s">
        <v>546</v>
      </c>
    </row>
    <row r="260" spans="3:16" x14ac:dyDescent="0.25">
      <c r="C260" s="5"/>
      <c r="P260" t="s">
        <v>547</v>
      </c>
    </row>
    <row r="261" spans="3:16" x14ac:dyDescent="0.25">
      <c r="C261" s="5"/>
      <c r="P261" t="s">
        <v>548</v>
      </c>
    </row>
    <row r="262" spans="3:16" x14ac:dyDescent="0.25">
      <c r="C262" s="5"/>
      <c r="P262" t="s">
        <v>549</v>
      </c>
    </row>
    <row r="263" spans="3:16" x14ac:dyDescent="0.25">
      <c r="C263" s="5"/>
      <c r="P263" t="s">
        <v>550</v>
      </c>
    </row>
    <row r="264" spans="3:16" x14ac:dyDescent="0.25">
      <c r="C264" s="5"/>
      <c r="P264" t="s">
        <v>551</v>
      </c>
    </row>
    <row r="265" spans="3:16" x14ac:dyDescent="0.25">
      <c r="C265" s="5"/>
      <c r="P265" t="s">
        <v>552</v>
      </c>
    </row>
    <row r="266" spans="3:16" x14ac:dyDescent="0.25">
      <c r="C266" s="5"/>
      <c r="P266" t="s">
        <v>553</v>
      </c>
    </row>
    <row r="267" spans="3:16" x14ac:dyDescent="0.25">
      <c r="C267" s="5"/>
      <c r="P267" t="s">
        <v>554</v>
      </c>
    </row>
    <row r="268" spans="3:16" x14ac:dyDescent="0.25">
      <c r="C268" s="5"/>
      <c r="P268" t="s">
        <v>555</v>
      </c>
    </row>
    <row r="269" spans="3:16" x14ac:dyDescent="0.25">
      <c r="C269" s="5"/>
      <c r="P269" t="s">
        <v>556</v>
      </c>
    </row>
    <row r="270" spans="3:16" x14ac:dyDescent="0.25">
      <c r="C270" s="5"/>
      <c r="P270" t="s">
        <v>557</v>
      </c>
    </row>
    <row r="271" spans="3:16" x14ac:dyDescent="0.25">
      <c r="C271" s="5"/>
      <c r="P271" t="s">
        <v>558</v>
      </c>
    </row>
    <row r="272" spans="3:16" x14ac:dyDescent="0.25">
      <c r="C272" s="5"/>
      <c r="P272" t="s">
        <v>559</v>
      </c>
    </row>
    <row r="273" spans="3:16" x14ac:dyDescent="0.25">
      <c r="C273" s="5"/>
      <c r="P273" t="s">
        <v>560</v>
      </c>
    </row>
    <row r="274" spans="3:16" x14ac:dyDescent="0.25">
      <c r="C274" s="5"/>
      <c r="P274" t="s">
        <v>561</v>
      </c>
    </row>
    <row r="275" spans="3:16" x14ac:dyDescent="0.25">
      <c r="C275" s="5"/>
      <c r="P275" t="s">
        <v>562</v>
      </c>
    </row>
    <row r="276" spans="3:16" x14ac:dyDescent="0.25">
      <c r="C276" s="5"/>
      <c r="P276" t="s">
        <v>563</v>
      </c>
    </row>
    <row r="277" spans="3:16" x14ac:dyDescent="0.25">
      <c r="C277" s="5"/>
      <c r="P277" t="s">
        <v>564</v>
      </c>
    </row>
    <row r="278" spans="3:16" x14ac:dyDescent="0.25">
      <c r="C278" s="5"/>
      <c r="P278" t="s">
        <v>565</v>
      </c>
    </row>
    <row r="279" spans="3:16" x14ac:dyDescent="0.25">
      <c r="C279" s="5"/>
      <c r="P279" t="s">
        <v>566</v>
      </c>
    </row>
    <row r="280" spans="3:16" x14ac:dyDescent="0.25">
      <c r="C280" s="5"/>
      <c r="P280" t="s">
        <v>567</v>
      </c>
    </row>
    <row r="281" spans="3:16" x14ac:dyDescent="0.25">
      <c r="C281" s="5"/>
      <c r="P281" t="s">
        <v>568</v>
      </c>
    </row>
    <row r="282" spans="3:16" x14ac:dyDescent="0.25">
      <c r="C282" s="5"/>
      <c r="P282" t="s">
        <v>569</v>
      </c>
    </row>
    <row r="283" spans="3:16" x14ac:dyDescent="0.25">
      <c r="C283" s="5"/>
      <c r="P283" t="s">
        <v>570</v>
      </c>
    </row>
    <row r="284" spans="3:16" x14ac:dyDescent="0.25">
      <c r="C284" s="5"/>
      <c r="P284" t="s">
        <v>571</v>
      </c>
    </row>
    <row r="285" spans="3:16" x14ac:dyDescent="0.25">
      <c r="C285" s="5"/>
      <c r="P285" t="s">
        <v>572</v>
      </c>
    </row>
    <row r="286" spans="3:16" x14ac:dyDescent="0.25">
      <c r="C286" s="5"/>
      <c r="P286" t="s">
        <v>573</v>
      </c>
    </row>
    <row r="287" spans="3:16" x14ac:dyDescent="0.25">
      <c r="C287" s="5"/>
      <c r="P287" t="s">
        <v>574</v>
      </c>
    </row>
    <row r="288" spans="3:16" x14ac:dyDescent="0.25">
      <c r="C288" s="5"/>
      <c r="P288" t="s">
        <v>575</v>
      </c>
    </row>
    <row r="289" spans="3:16" x14ac:dyDescent="0.25">
      <c r="C289" s="5"/>
      <c r="P289" t="s">
        <v>576</v>
      </c>
    </row>
    <row r="290" spans="3:16" x14ac:dyDescent="0.25">
      <c r="C290" s="5"/>
      <c r="P290" t="s">
        <v>577</v>
      </c>
    </row>
    <row r="291" spans="3:16" x14ac:dyDescent="0.25">
      <c r="C291" s="5"/>
      <c r="P291" t="s">
        <v>578</v>
      </c>
    </row>
    <row r="292" spans="3:16" x14ac:dyDescent="0.25">
      <c r="C292" s="5"/>
      <c r="P292" t="s">
        <v>579</v>
      </c>
    </row>
    <row r="293" spans="3:16" x14ac:dyDescent="0.25">
      <c r="C293" s="5"/>
      <c r="P293" t="s">
        <v>580</v>
      </c>
    </row>
    <row r="294" spans="3:16" x14ac:dyDescent="0.25">
      <c r="C294" s="5"/>
      <c r="P294" t="s">
        <v>581</v>
      </c>
    </row>
    <row r="295" spans="3:16" x14ac:dyDescent="0.25">
      <c r="C295" s="5"/>
      <c r="P295" t="s">
        <v>582</v>
      </c>
    </row>
    <row r="296" spans="3:16" x14ac:dyDescent="0.25">
      <c r="C296" s="5"/>
      <c r="P296" t="s">
        <v>583</v>
      </c>
    </row>
    <row r="297" spans="3:16" x14ac:dyDescent="0.25">
      <c r="C297" s="5"/>
      <c r="P297" t="s">
        <v>584</v>
      </c>
    </row>
    <row r="298" spans="3:16" x14ac:dyDescent="0.25">
      <c r="C298" s="5"/>
      <c r="P298" t="s">
        <v>585</v>
      </c>
    </row>
    <row r="299" spans="3:16" x14ac:dyDescent="0.25">
      <c r="C299" s="5"/>
      <c r="P299" t="s">
        <v>586</v>
      </c>
    </row>
    <row r="300" spans="3:16" x14ac:dyDescent="0.25">
      <c r="C300" s="5"/>
      <c r="P300" t="s">
        <v>587</v>
      </c>
    </row>
    <row r="301" spans="3:16" x14ac:dyDescent="0.25">
      <c r="C301" s="5"/>
      <c r="P301" t="s">
        <v>588</v>
      </c>
    </row>
    <row r="302" spans="3:16" x14ac:dyDescent="0.25">
      <c r="C302" s="5"/>
      <c r="P302" t="s">
        <v>589</v>
      </c>
    </row>
    <row r="303" spans="3:16" x14ac:dyDescent="0.25">
      <c r="C303" s="5"/>
      <c r="P303" t="s">
        <v>590</v>
      </c>
    </row>
    <row r="304" spans="3:16" x14ac:dyDescent="0.25">
      <c r="C304" s="5"/>
      <c r="P304" t="s">
        <v>591</v>
      </c>
    </row>
    <row r="305" spans="3:16" x14ac:dyDescent="0.25">
      <c r="C305" s="5"/>
      <c r="P305" t="s">
        <v>592</v>
      </c>
    </row>
    <row r="306" spans="3:16" x14ac:dyDescent="0.25">
      <c r="C306" s="5"/>
      <c r="P306" t="s">
        <v>593</v>
      </c>
    </row>
    <row r="307" spans="3:16" x14ac:dyDescent="0.25">
      <c r="C307" s="5"/>
      <c r="P307" t="s">
        <v>594</v>
      </c>
    </row>
    <row r="308" spans="3:16" x14ac:dyDescent="0.25">
      <c r="C308" s="5"/>
      <c r="P308" t="s">
        <v>595</v>
      </c>
    </row>
    <row r="309" spans="3:16" x14ac:dyDescent="0.25">
      <c r="C309" s="5"/>
      <c r="P309" t="s">
        <v>596</v>
      </c>
    </row>
    <row r="310" spans="3:16" x14ac:dyDescent="0.25">
      <c r="C310" s="5"/>
      <c r="P310" t="s">
        <v>597</v>
      </c>
    </row>
    <row r="311" spans="3:16" x14ac:dyDescent="0.25">
      <c r="C311" s="5"/>
      <c r="P311" t="s">
        <v>598</v>
      </c>
    </row>
    <row r="312" spans="3:16" x14ac:dyDescent="0.25">
      <c r="C312" s="5"/>
      <c r="P312" t="s">
        <v>599</v>
      </c>
    </row>
    <row r="313" spans="3:16" x14ac:dyDescent="0.25">
      <c r="C313" s="5"/>
      <c r="P313" t="s">
        <v>600</v>
      </c>
    </row>
    <row r="314" spans="3:16" x14ac:dyDescent="0.25">
      <c r="C314" s="5"/>
      <c r="P314" t="s">
        <v>601</v>
      </c>
    </row>
    <row r="315" spans="3:16" x14ac:dyDescent="0.25">
      <c r="C315" s="5"/>
      <c r="P315" t="s">
        <v>602</v>
      </c>
    </row>
    <row r="316" spans="3:16" x14ac:dyDescent="0.25">
      <c r="C316" s="5"/>
      <c r="P316" t="s">
        <v>603</v>
      </c>
    </row>
    <row r="317" spans="3:16" x14ac:dyDescent="0.25">
      <c r="C317" s="5"/>
      <c r="P317" t="s">
        <v>604</v>
      </c>
    </row>
    <row r="318" spans="3:16" x14ac:dyDescent="0.25">
      <c r="C318" s="5"/>
      <c r="P318" t="s">
        <v>605</v>
      </c>
    </row>
    <row r="319" spans="3:16" x14ac:dyDescent="0.25">
      <c r="C319" s="5"/>
      <c r="P319" t="s">
        <v>606</v>
      </c>
    </row>
    <row r="320" spans="3:16" x14ac:dyDescent="0.25">
      <c r="C320" s="5"/>
      <c r="P320" t="s">
        <v>607</v>
      </c>
    </row>
    <row r="321" spans="3:16" x14ac:dyDescent="0.25">
      <c r="C321" s="5"/>
      <c r="P321" t="s">
        <v>608</v>
      </c>
    </row>
    <row r="322" spans="3:16" x14ac:dyDescent="0.25">
      <c r="C322" s="5"/>
      <c r="P322" t="s">
        <v>609</v>
      </c>
    </row>
    <row r="323" spans="3:16" x14ac:dyDescent="0.25">
      <c r="C323" s="5"/>
      <c r="P323" t="s">
        <v>610</v>
      </c>
    </row>
    <row r="324" spans="3:16" x14ac:dyDescent="0.25">
      <c r="C324" s="5"/>
      <c r="P324" t="s">
        <v>611</v>
      </c>
    </row>
    <row r="325" spans="3:16" x14ac:dyDescent="0.25">
      <c r="C325" s="5"/>
      <c r="P325" t="s">
        <v>612</v>
      </c>
    </row>
    <row r="326" spans="3:16" x14ac:dyDescent="0.25">
      <c r="C326" s="5"/>
      <c r="P326" t="s">
        <v>613</v>
      </c>
    </row>
    <row r="327" spans="3:16" x14ac:dyDescent="0.25">
      <c r="C327" s="5"/>
      <c r="P327" t="s">
        <v>614</v>
      </c>
    </row>
    <row r="328" spans="3:16" x14ac:dyDescent="0.25">
      <c r="C328" s="5"/>
      <c r="P328" t="s">
        <v>615</v>
      </c>
    </row>
    <row r="329" spans="3:16" x14ac:dyDescent="0.25">
      <c r="C329" s="5"/>
      <c r="P329" t="s">
        <v>616</v>
      </c>
    </row>
    <row r="330" spans="3:16" x14ac:dyDescent="0.25">
      <c r="C330" s="5"/>
      <c r="P330" t="s">
        <v>617</v>
      </c>
    </row>
    <row r="331" spans="3:16" x14ac:dyDescent="0.25">
      <c r="C331" s="5"/>
      <c r="P331" t="s">
        <v>618</v>
      </c>
    </row>
    <row r="332" spans="3:16" x14ac:dyDescent="0.25">
      <c r="C332" s="5"/>
      <c r="P332" t="s">
        <v>619</v>
      </c>
    </row>
    <row r="333" spans="3:16" x14ac:dyDescent="0.25">
      <c r="C333" s="5"/>
      <c r="P333" t="s">
        <v>620</v>
      </c>
    </row>
    <row r="334" spans="3:16" x14ac:dyDescent="0.25">
      <c r="C334" s="5"/>
      <c r="P334" t="s">
        <v>621</v>
      </c>
    </row>
    <row r="335" spans="3:16" x14ac:dyDescent="0.25">
      <c r="C335" s="5"/>
      <c r="P335" t="s">
        <v>622</v>
      </c>
    </row>
    <row r="336" spans="3:16" x14ac:dyDescent="0.25">
      <c r="C336" s="5"/>
      <c r="P336" t="s">
        <v>623</v>
      </c>
    </row>
    <row r="337" spans="3:16" x14ac:dyDescent="0.25">
      <c r="C337" s="5"/>
      <c r="P337" t="s">
        <v>624</v>
      </c>
    </row>
    <row r="338" spans="3:16" x14ac:dyDescent="0.25">
      <c r="C338" s="5"/>
      <c r="P338" t="s">
        <v>625</v>
      </c>
    </row>
    <row r="339" spans="3:16" x14ac:dyDescent="0.25">
      <c r="C339" s="5"/>
      <c r="P339" t="s">
        <v>626</v>
      </c>
    </row>
    <row r="340" spans="3:16" x14ac:dyDescent="0.25">
      <c r="C340" s="5"/>
      <c r="P340" t="s">
        <v>627</v>
      </c>
    </row>
    <row r="341" spans="3:16" x14ac:dyDescent="0.25">
      <c r="C341" s="5"/>
      <c r="P341" t="s">
        <v>628</v>
      </c>
    </row>
    <row r="342" spans="3:16" x14ac:dyDescent="0.25">
      <c r="C342" s="5"/>
      <c r="P342" t="s">
        <v>629</v>
      </c>
    </row>
    <row r="343" spans="3:16" x14ac:dyDescent="0.25">
      <c r="C343" s="5"/>
      <c r="P343" t="s">
        <v>630</v>
      </c>
    </row>
    <row r="344" spans="3:16" x14ac:dyDescent="0.25">
      <c r="C344" s="5"/>
      <c r="P344" t="s">
        <v>631</v>
      </c>
    </row>
    <row r="345" spans="3:16" x14ac:dyDescent="0.25">
      <c r="C345" s="5"/>
      <c r="P345" t="s">
        <v>632</v>
      </c>
    </row>
    <row r="346" spans="3:16" x14ac:dyDescent="0.25">
      <c r="C346" s="5"/>
      <c r="P346" t="s">
        <v>633</v>
      </c>
    </row>
    <row r="347" spans="3:16" x14ac:dyDescent="0.25">
      <c r="C347" s="5"/>
      <c r="P347" t="s">
        <v>634</v>
      </c>
    </row>
    <row r="348" spans="3:16" x14ac:dyDescent="0.25">
      <c r="C348" s="5"/>
      <c r="P348" t="s">
        <v>635</v>
      </c>
    </row>
    <row r="349" spans="3:16" x14ac:dyDescent="0.25">
      <c r="C349" s="5"/>
      <c r="P349" t="s">
        <v>636</v>
      </c>
    </row>
    <row r="350" spans="3:16" x14ac:dyDescent="0.25">
      <c r="C350" s="5"/>
      <c r="P350" t="s">
        <v>637</v>
      </c>
    </row>
    <row r="351" spans="3:16" x14ac:dyDescent="0.25">
      <c r="C351" s="5"/>
      <c r="P351" t="s">
        <v>638</v>
      </c>
    </row>
    <row r="352" spans="3:16" x14ac:dyDescent="0.25">
      <c r="C352" s="5"/>
      <c r="P352" t="s">
        <v>639</v>
      </c>
    </row>
    <row r="353" spans="3:16" x14ac:dyDescent="0.25">
      <c r="C353" s="5"/>
      <c r="P353" t="s">
        <v>640</v>
      </c>
    </row>
    <row r="354" spans="3:16" x14ac:dyDescent="0.25">
      <c r="C354" s="5"/>
      <c r="P354" t="s">
        <v>641</v>
      </c>
    </row>
    <row r="355" spans="3:16" x14ac:dyDescent="0.25">
      <c r="C355" s="5"/>
      <c r="P355" t="s">
        <v>642</v>
      </c>
    </row>
    <row r="356" spans="3:16" x14ac:dyDescent="0.25">
      <c r="C356" s="5"/>
      <c r="P356" t="s">
        <v>643</v>
      </c>
    </row>
    <row r="357" spans="3:16" x14ac:dyDescent="0.25">
      <c r="C357" s="5"/>
      <c r="P357" t="s">
        <v>644</v>
      </c>
    </row>
    <row r="358" spans="3:16" x14ac:dyDescent="0.25">
      <c r="C358" s="5"/>
      <c r="P358" t="s">
        <v>645</v>
      </c>
    </row>
    <row r="359" spans="3:16" x14ac:dyDescent="0.25">
      <c r="C359" s="5"/>
      <c r="P359" t="s">
        <v>646</v>
      </c>
    </row>
    <row r="360" spans="3:16" x14ac:dyDescent="0.25">
      <c r="C360" s="5"/>
      <c r="P360" t="s">
        <v>647</v>
      </c>
    </row>
    <row r="361" spans="3:16" x14ac:dyDescent="0.25">
      <c r="C361" s="5"/>
      <c r="P361" t="s">
        <v>648</v>
      </c>
    </row>
    <row r="362" spans="3:16" x14ac:dyDescent="0.25">
      <c r="C362" s="5"/>
      <c r="P362" t="s">
        <v>649</v>
      </c>
    </row>
    <row r="363" spans="3:16" x14ac:dyDescent="0.25">
      <c r="C363" s="5"/>
      <c r="P363" t="s">
        <v>650</v>
      </c>
    </row>
    <row r="364" spans="3:16" x14ac:dyDescent="0.25">
      <c r="C364" s="5"/>
      <c r="P364" t="s">
        <v>651</v>
      </c>
    </row>
    <row r="365" spans="3:16" x14ac:dyDescent="0.25">
      <c r="C365" s="5"/>
      <c r="P365" t="s">
        <v>652</v>
      </c>
    </row>
    <row r="366" spans="3:16" x14ac:dyDescent="0.25">
      <c r="C366" s="5"/>
      <c r="P366" t="s">
        <v>653</v>
      </c>
    </row>
    <row r="367" spans="3:16" x14ac:dyDescent="0.25">
      <c r="C367" s="5"/>
      <c r="P367" t="s">
        <v>654</v>
      </c>
    </row>
    <row r="368" spans="3:16" x14ac:dyDescent="0.25">
      <c r="C368" s="5"/>
      <c r="P368" t="s">
        <v>655</v>
      </c>
    </row>
    <row r="369" spans="3:16" x14ac:dyDescent="0.25">
      <c r="C369" s="5"/>
      <c r="P369" t="s">
        <v>656</v>
      </c>
    </row>
    <row r="370" spans="3:16" x14ac:dyDescent="0.25">
      <c r="C370" s="5"/>
      <c r="P370" t="s">
        <v>657</v>
      </c>
    </row>
    <row r="371" spans="3:16" x14ac:dyDescent="0.25">
      <c r="C371" s="5"/>
      <c r="P371" t="s">
        <v>658</v>
      </c>
    </row>
    <row r="372" spans="3:16" x14ac:dyDescent="0.25">
      <c r="C372" s="5"/>
      <c r="P372" t="s">
        <v>659</v>
      </c>
    </row>
    <row r="373" spans="3:16" x14ac:dyDescent="0.25">
      <c r="C373" s="5"/>
      <c r="P373" t="s">
        <v>660</v>
      </c>
    </row>
    <row r="374" spans="3:16" x14ac:dyDescent="0.25">
      <c r="C374" s="5"/>
      <c r="P374" t="s">
        <v>661</v>
      </c>
    </row>
    <row r="375" spans="3:16" x14ac:dyDescent="0.25">
      <c r="C375" s="5"/>
      <c r="P375" t="s">
        <v>662</v>
      </c>
    </row>
    <row r="376" spans="3:16" x14ac:dyDescent="0.25">
      <c r="C376" s="5"/>
      <c r="P376" t="s">
        <v>663</v>
      </c>
    </row>
    <row r="377" spans="3:16" x14ac:dyDescent="0.25">
      <c r="C377" s="5"/>
      <c r="P377" t="s">
        <v>664</v>
      </c>
    </row>
    <row r="378" spans="3:16" x14ac:dyDescent="0.25">
      <c r="C378" s="5"/>
      <c r="P378" t="s">
        <v>665</v>
      </c>
    </row>
    <row r="379" spans="3:16" x14ac:dyDescent="0.25">
      <c r="C379" s="5"/>
      <c r="P379" t="s">
        <v>666</v>
      </c>
    </row>
    <row r="380" spans="3:16" x14ac:dyDescent="0.25">
      <c r="C380" s="5"/>
      <c r="P380" t="s">
        <v>667</v>
      </c>
    </row>
    <row r="381" spans="3:16" x14ac:dyDescent="0.25">
      <c r="C381" s="5"/>
      <c r="P381" t="s">
        <v>668</v>
      </c>
    </row>
    <row r="382" spans="3:16" x14ac:dyDescent="0.25">
      <c r="C382" s="5"/>
      <c r="P382" t="s">
        <v>669</v>
      </c>
    </row>
    <row r="383" spans="3:16" x14ac:dyDescent="0.25">
      <c r="C383" s="5"/>
      <c r="P383" t="s">
        <v>670</v>
      </c>
    </row>
    <row r="384" spans="3:16" x14ac:dyDescent="0.25">
      <c r="C384" s="5"/>
      <c r="P384" t="s">
        <v>671</v>
      </c>
    </row>
    <row r="385" spans="3:16" x14ac:dyDescent="0.25">
      <c r="C385" s="5"/>
      <c r="P385" t="s">
        <v>672</v>
      </c>
    </row>
    <row r="386" spans="3:16" x14ac:dyDescent="0.25">
      <c r="C386" s="5"/>
      <c r="P386" t="s">
        <v>673</v>
      </c>
    </row>
    <row r="387" spans="3:16" x14ac:dyDescent="0.25">
      <c r="C387" s="5"/>
      <c r="P387" t="s">
        <v>674</v>
      </c>
    </row>
    <row r="388" spans="3:16" x14ac:dyDescent="0.25">
      <c r="C388" s="5"/>
      <c r="P388" t="s">
        <v>675</v>
      </c>
    </row>
    <row r="389" spans="3:16" x14ac:dyDescent="0.25">
      <c r="C389" s="5"/>
      <c r="P389" t="s">
        <v>676</v>
      </c>
    </row>
    <row r="390" spans="3:16" x14ac:dyDescent="0.25">
      <c r="C390" s="5"/>
      <c r="P390" t="s">
        <v>677</v>
      </c>
    </row>
    <row r="391" spans="3:16" x14ac:dyDescent="0.25">
      <c r="C391" s="5"/>
      <c r="P391" t="s">
        <v>678</v>
      </c>
    </row>
    <row r="392" spans="3:16" x14ac:dyDescent="0.25">
      <c r="C392" s="5"/>
      <c r="P392" t="s">
        <v>679</v>
      </c>
    </row>
    <row r="393" spans="3:16" x14ac:dyDescent="0.25">
      <c r="C393" s="5"/>
      <c r="P393" t="s">
        <v>680</v>
      </c>
    </row>
    <row r="394" spans="3:16" x14ac:dyDescent="0.25">
      <c r="C394" s="5"/>
      <c r="P394" t="s">
        <v>681</v>
      </c>
    </row>
    <row r="395" spans="3:16" x14ac:dyDescent="0.25">
      <c r="C395" s="5"/>
      <c r="P395" t="s">
        <v>682</v>
      </c>
    </row>
    <row r="396" spans="3:16" x14ac:dyDescent="0.25">
      <c r="C396" s="5"/>
      <c r="P396" t="s">
        <v>683</v>
      </c>
    </row>
    <row r="397" spans="3:16" x14ac:dyDescent="0.25">
      <c r="C397" s="5"/>
      <c r="P397" t="s">
        <v>684</v>
      </c>
    </row>
    <row r="398" spans="3:16" x14ac:dyDescent="0.25">
      <c r="C398" s="5"/>
      <c r="P398" t="s">
        <v>685</v>
      </c>
    </row>
    <row r="399" spans="3:16" x14ac:dyDescent="0.25">
      <c r="C399" s="5"/>
      <c r="P399" t="s">
        <v>686</v>
      </c>
    </row>
    <row r="400" spans="3:16" x14ac:dyDescent="0.25">
      <c r="C400" s="5"/>
      <c r="P400" t="s">
        <v>687</v>
      </c>
    </row>
    <row r="401" spans="3:16" x14ac:dyDescent="0.25">
      <c r="C401" s="5"/>
      <c r="P401" t="s">
        <v>688</v>
      </c>
    </row>
    <row r="402" spans="3:16" x14ac:dyDescent="0.25">
      <c r="C402" s="5"/>
      <c r="P402" t="s">
        <v>689</v>
      </c>
    </row>
    <row r="403" spans="3:16" x14ac:dyDescent="0.25">
      <c r="C403" s="5"/>
      <c r="P403" t="s">
        <v>690</v>
      </c>
    </row>
    <row r="404" spans="3:16" x14ac:dyDescent="0.25">
      <c r="C404" s="5"/>
      <c r="P404" t="s">
        <v>691</v>
      </c>
    </row>
    <row r="405" spans="3:16" x14ac:dyDescent="0.25">
      <c r="C405" s="5"/>
      <c r="P405" t="s">
        <v>692</v>
      </c>
    </row>
    <row r="406" spans="3:16" x14ac:dyDescent="0.25">
      <c r="C406" s="5"/>
      <c r="P406" t="s">
        <v>693</v>
      </c>
    </row>
    <row r="407" spans="3:16" x14ac:dyDescent="0.25">
      <c r="C407" s="5"/>
      <c r="P407" t="s">
        <v>694</v>
      </c>
    </row>
    <row r="408" spans="3:16" x14ac:dyDescent="0.25">
      <c r="C408" s="5"/>
      <c r="P408" t="s">
        <v>695</v>
      </c>
    </row>
    <row r="409" spans="3:16" x14ac:dyDescent="0.25">
      <c r="C409" s="5"/>
      <c r="P409" t="s">
        <v>696</v>
      </c>
    </row>
    <row r="410" spans="3:16" x14ac:dyDescent="0.25">
      <c r="C410" s="5"/>
      <c r="P410" t="s">
        <v>697</v>
      </c>
    </row>
    <row r="411" spans="3:16" x14ac:dyDescent="0.25">
      <c r="C411" s="5"/>
      <c r="P411" t="s">
        <v>698</v>
      </c>
    </row>
    <row r="412" spans="3:16" x14ac:dyDescent="0.25">
      <c r="C412" s="5"/>
      <c r="P412" t="s">
        <v>699</v>
      </c>
    </row>
    <row r="413" spans="3:16" x14ac:dyDescent="0.25">
      <c r="C413" s="5"/>
      <c r="P413" t="s">
        <v>22</v>
      </c>
    </row>
    <row r="414" spans="3:16" x14ac:dyDescent="0.25">
      <c r="C414" s="5"/>
      <c r="P414" t="s">
        <v>700</v>
      </c>
    </row>
    <row r="415" spans="3:16" x14ac:dyDescent="0.25">
      <c r="C415" s="5"/>
      <c r="P415" t="s">
        <v>701</v>
      </c>
    </row>
    <row r="416" spans="3:16" x14ac:dyDescent="0.25">
      <c r="C416" s="5"/>
      <c r="P416" t="s">
        <v>702</v>
      </c>
    </row>
    <row r="417" spans="3:16" x14ac:dyDescent="0.25">
      <c r="C417" s="5"/>
      <c r="P417" t="s">
        <v>703</v>
      </c>
    </row>
    <row r="418" spans="3:16" x14ac:dyDescent="0.25">
      <c r="C418" s="5"/>
      <c r="P418" t="s">
        <v>704</v>
      </c>
    </row>
    <row r="419" spans="3:16" x14ac:dyDescent="0.25">
      <c r="C419" s="5"/>
      <c r="P419" t="s">
        <v>705</v>
      </c>
    </row>
    <row r="420" spans="3:16" x14ac:dyDescent="0.25">
      <c r="C420" s="5"/>
      <c r="P420" t="s">
        <v>706</v>
      </c>
    </row>
    <row r="421" spans="3:16" x14ac:dyDescent="0.25">
      <c r="C421" s="5"/>
      <c r="P421" t="s">
        <v>707</v>
      </c>
    </row>
    <row r="422" spans="3:16" x14ac:dyDescent="0.25">
      <c r="C422" s="5"/>
      <c r="P422" t="s">
        <v>708</v>
      </c>
    </row>
    <row r="423" spans="3:16" x14ac:dyDescent="0.25">
      <c r="C423" s="5"/>
      <c r="P423" t="s">
        <v>709</v>
      </c>
    </row>
    <row r="424" spans="3:16" x14ac:dyDescent="0.25">
      <c r="C424" s="5"/>
      <c r="P424" t="s">
        <v>710</v>
      </c>
    </row>
    <row r="425" spans="3:16" x14ac:dyDescent="0.25">
      <c r="C425" s="5"/>
      <c r="P425" t="s">
        <v>23</v>
      </c>
    </row>
    <row r="426" spans="3:16" x14ac:dyDescent="0.25">
      <c r="C426" s="5"/>
      <c r="P426" t="s">
        <v>711</v>
      </c>
    </row>
    <row r="427" spans="3:16" x14ac:dyDescent="0.25">
      <c r="C427" s="5"/>
      <c r="P427" t="s">
        <v>712</v>
      </c>
    </row>
    <row r="428" spans="3:16" x14ac:dyDescent="0.25">
      <c r="C428" s="5"/>
      <c r="P428" t="s">
        <v>713</v>
      </c>
    </row>
    <row r="429" spans="3:16" x14ac:dyDescent="0.25">
      <c r="C429" s="5"/>
      <c r="P429" t="s">
        <v>714</v>
      </c>
    </row>
    <row r="430" spans="3:16" x14ac:dyDescent="0.25">
      <c r="C430" s="5"/>
      <c r="P430" t="s">
        <v>715</v>
      </c>
    </row>
    <row r="431" spans="3:16" x14ac:dyDescent="0.25">
      <c r="C431" s="5"/>
      <c r="P431" t="s">
        <v>716</v>
      </c>
    </row>
    <row r="432" spans="3:16" x14ac:dyDescent="0.25">
      <c r="C432" s="5"/>
      <c r="P432" t="s">
        <v>717</v>
      </c>
    </row>
    <row r="433" spans="3:16" x14ac:dyDescent="0.25">
      <c r="C433" s="5"/>
      <c r="P433" t="s">
        <v>718</v>
      </c>
    </row>
    <row r="434" spans="3:16" x14ac:dyDescent="0.25">
      <c r="C434" s="5"/>
      <c r="P434" t="s">
        <v>719</v>
      </c>
    </row>
    <row r="435" spans="3:16" x14ac:dyDescent="0.25">
      <c r="C435" s="5"/>
      <c r="P435" t="s">
        <v>720</v>
      </c>
    </row>
    <row r="436" spans="3:16" x14ac:dyDescent="0.25">
      <c r="C436" s="5"/>
      <c r="P436" t="s">
        <v>721</v>
      </c>
    </row>
    <row r="437" spans="3:16" x14ac:dyDescent="0.25">
      <c r="C437" s="5"/>
      <c r="P437" t="s">
        <v>722</v>
      </c>
    </row>
    <row r="438" spans="3:16" x14ac:dyDescent="0.25">
      <c r="C438" s="5"/>
      <c r="P438" t="s">
        <v>723</v>
      </c>
    </row>
    <row r="439" spans="3:16" x14ac:dyDescent="0.25">
      <c r="C439" s="5"/>
      <c r="P439" t="s">
        <v>724</v>
      </c>
    </row>
    <row r="440" spans="3:16" x14ac:dyDescent="0.25">
      <c r="C440" s="5"/>
      <c r="P440" t="s">
        <v>725</v>
      </c>
    </row>
    <row r="441" spans="3:16" x14ac:dyDescent="0.25">
      <c r="C441" s="5"/>
      <c r="P441" t="s">
        <v>726</v>
      </c>
    </row>
    <row r="442" spans="3:16" x14ac:dyDescent="0.25">
      <c r="C442" s="5"/>
      <c r="P442" t="s">
        <v>727</v>
      </c>
    </row>
    <row r="443" spans="3:16" x14ac:dyDescent="0.25">
      <c r="C443" s="5"/>
      <c r="P443" t="s">
        <v>728</v>
      </c>
    </row>
    <row r="444" spans="3:16" x14ac:dyDescent="0.25">
      <c r="C444" s="5"/>
      <c r="P444" t="s">
        <v>729</v>
      </c>
    </row>
    <row r="445" spans="3:16" x14ac:dyDescent="0.25">
      <c r="C445" s="5"/>
      <c r="P445" t="s">
        <v>730</v>
      </c>
    </row>
    <row r="446" spans="3:16" x14ac:dyDescent="0.25">
      <c r="C446" s="5"/>
      <c r="P446" t="s">
        <v>731</v>
      </c>
    </row>
    <row r="447" spans="3:16" x14ac:dyDescent="0.25">
      <c r="C447" s="5"/>
      <c r="P447" t="s">
        <v>732</v>
      </c>
    </row>
    <row r="448" spans="3:16" x14ac:dyDescent="0.25">
      <c r="C448" s="5"/>
      <c r="P448" t="s">
        <v>733</v>
      </c>
    </row>
    <row r="449" spans="3:16" x14ac:dyDescent="0.25">
      <c r="C449" s="5"/>
      <c r="P449" t="s">
        <v>734</v>
      </c>
    </row>
    <row r="450" spans="3:16" x14ac:dyDescent="0.25">
      <c r="C450" s="5"/>
      <c r="P450" t="s">
        <v>735</v>
      </c>
    </row>
    <row r="451" spans="3:16" x14ac:dyDescent="0.25">
      <c r="C451" s="5"/>
      <c r="P451" t="s">
        <v>736</v>
      </c>
    </row>
    <row r="452" spans="3:16" x14ac:dyDescent="0.25">
      <c r="C452" s="5"/>
      <c r="P452" t="s">
        <v>737</v>
      </c>
    </row>
    <row r="453" spans="3:16" x14ac:dyDescent="0.25">
      <c r="C453" s="5"/>
      <c r="P453" t="s">
        <v>738</v>
      </c>
    </row>
    <row r="454" spans="3:16" x14ac:dyDescent="0.25">
      <c r="C454" s="5"/>
      <c r="P454" t="s">
        <v>739</v>
      </c>
    </row>
    <row r="455" spans="3:16" x14ac:dyDescent="0.25">
      <c r="C455" s="5"/>
      <c r="P455" t="s">
        <v>740</v>
      </c>
    </row>
    <row r="456" spans="3:16" x14ac:dyDescent="0.25">
      <c r="C456" s="5"/>
      <c r="P456" t="s">
        <v>741</v>
      </c>
    </row>
    <row r="457" spans="3:16" x14ac:dyDescent="0.25">
      <c r="C457" s="5"/>
      <c r="P457" t="s">
        <v>742</v>
      </c>
    </row>
    <row r="458" spans="3:16" x14ac:dyDescent="0.25">
      <c r="C458" s="5"/>
      <c r="P458" t="s">
        <v>743</v>
      </c>
    </row>
    <row r="459" spans="3:16" x14ac:dyDescent="0.25">
      <c r="C459" s="5"/>
      <c r="P459" t="s">
        <v>744</v>
      </c>
    </row>
    <row r="460" spans="3:16" x14ac:dyDescent="0.25">
      <c r="C460" s="5"/>
      <c r="P460" t="s">
        <v>745</v>
      </c>
    </row>
    <row r="461" spans="3:16" x14ac:dyDescent="0.25">
      <c r="C461" s="5"/>
      <c r="P461" t="s">
        <v>746</v>
      </c>
    </row>
    <row r="462" spans="3:16" x14ac:dyDescent="0.25">
      <c r="C462" s="5"/>
      <c r="P462" t="s">
        <v>747</v>
      </c>
    </row>
    <row r="463" spans="3:16" x14ac:dyDescent="0.25">
      <c r="C463" s="5"/>
      <c r="P463" t="s">
        <v>748</v>
      </c>
    </row>
    <row r="464" spans="3:16" x14ac:dyDescent="0.25">
      <c r="C464" s="5"/>
      <c r="P464" t="s">
        <v>749</v>
      </c>
    </row>
    <row r="465" spans="3:16" x14ac:dyDescent="0.25">
      <c r="C465" s="5"/>
      <c r="P465" t="s">
        <v>750</v>
      </c>
    </row>
    <row r="466" spans="3:16" x14ac:dyDescent="0.25">
      <c r="C466" s="5"/>
      <c r="P466" t="s">
        <v>751</v>
      </c>
    </row>
    <row r="467" spans="3:16" x14ac:dyDescent="0.25">
      <c r="C467" s="5"/>
      <c r="P467" t="s">
        <v>752</v>
      </c>
    </row>
    <row r="468" spans="3:16" x14ac:dyDescent="0.25">
      <c r="C468" s="5"/>
      <c r="P468" t="s">
        <v>753</v>
      </c>
    </row>
    <row r="469" spans="3:16" x14ac:dyDescent="0.25">
      <c r="C469" s="5"/>
      <c r="P469" t="s">
        <v>754</v>
      </c>
    </row>
    <row r="470" spans="3:16" x14ac:dyDescent="0.25">
      <c r="C470" s="5"/>
      <c r="P470" t="s">
        <v>755</v>
      </c>
    </row>
    <row r="471" spans="3:16" x14ac:dyDescent="0.25">
      <c r="C471" s="5"/>
      <c r="P471" t="s">
        <v>756</v>
      </c>
    </row>
    <row r="472" spans="3:16" x14ac:dyDescent="0.25">
      <c r="C472" s="5"/>
      <c r="P472" t="s">
        <v>757</v>
      </c>
    </row>
    <row r="473" spans="3:16" x14ac:dyDescent="0.25">
      <c r="C473" s="5"/>
      <c r="P473" t="s">
        <v>758</v>
      </c>
    </row>
    <row r="474" spans="3:16" x14ac:dyDescent="0.25">
      <c r="C474" s="5"/>
      <c r="P474" t="s">
        <v>759</v>
      </c>
    </row>
    <row r="475" spans="3:16" x14ac:dyDescent="0.25">
      <c r="C475" s="5"/>
      <c r="P475" t="s">
        <v>760</v>
      </c>
    </row>
    <row r="476" spans="3:16" x14ac:dyDescent="0.25">
      <c r="C476" s="5"/>
      <c r="P476" t="s">
        <v>761</v>
      </c>
    </row>
    <row r="477" spans="3:16" x14ac:dyDescent="0.25">
      <c r="C477" s="5"/>
      <c r="P477" t="s">
        <v>762</v>
      </c>
    </row>
    <row r="478" spans="3:16" x14ac:dyDescent="0.25">
      <c r="C478" s="5"/>
      <c r="P478" t="s">
        <v>763</v>
      </c>
    </row>
    <row r="479" spans="3:16" x14ac:dyDescent="0.25">
      <c r="C479" s="5"/>
      <c r="P479" t="s">
        <v>764</v>
      </c>
    </row>
    <row r="480" spans="3:16" x14ac:dyDescent="0.25">
      <c r="C480" s="5"/>
      <c r="P480" t="s">
        <v>765</v>
      </c>
    </row>
    <row r="481" spans="3:16" x14ac:dyDescent="0.25">
      <c r="C481" s="5"/>
      <c r="P481" t="s">
        <v>766</v>
      </c>
    </row>
    <row r="482" spans="3:16" x14ac:dyDescent="0.25">
      <c r="C482" s="5"/>
      <c r="P482" t="s">
        <v>767</v>
      </c>
    </row>
    <row r="483" spans="3:16" x14ac:dyDescent="0.25">
      <c r="C483" s="5"/>
      <c r="P483" t="s">
        <v>768</v>
      </c>
    </row>
    <row r="484" spans="3:16" x14ac:dyDescent="0.25">
      <c r="C484" s="5"/>
      <c r="P484" t="s">
        <v>769</v>
      </c>
    </row>
    <row r="485" spans="3:16" x14ac:dyDescent="0.25">
      <c r="C485" s="5"/>
      <c r="P485" t="s">
        <v>770</v>
      </c>
    </row>
    <row r="486" spans="3:16" x14ac:dyDescent="0.25">
      <c r="C486" s="5"/>
      <c r="P486" t="s">
        <v>771</v>
      </c>
    </row>
    <row r="487" spans="3:16" x14ac:dyDescent="0.25">
      <c r="C487" s="5"/>
      <c r="P487" t="s">
        <v>772</v>
      </c>
    </row>
    <row r="488" spans="3:16" x14ac:dyDescent="0.25">
      <c r="C488" s="5"/>
      <c r="P488" t="s">
        <v>773</v>
      </c>
    </row>
    <row r="489" spans="3:16" x14ac:dyDescent="0.25">
      <c r="C489" s="5"/>
      <c r="P489" t="s">
        <v>774</v>
      </c>
    </row>
    <row r="490" spans="3:16" x14ac:dyDescent="0.25">
      <c r="C490" s="5"/>
      <c r="P490" t="s">
        <v>775</v>
      </c>
    </row>
    <row r="491" spans="3:16" x14ac:dyDescent="0.25">
      <c r="C491" s="5"/>
      <c r="P491" t="s">
        <v>776</v>
      </c>
    </row>
    <row r="492" spans="3:16" x14ac:dyDescent="0.25">
      <c r="C492" s="5"/>
      <c r="P492" t="s">
        <v>777</v>
      </c>
    </row>
    <row r="493" spans="3:16" x14ac:dyDescent="0.25">
      <c r="C493" s="5"/>
      <c r="P493" t="s">
        <v>778</v>
      </c>
    </row>
    <row r="494" spans="3:16" x14ac:dyDescent="0.25">
      <c r="C494" s="5"/>
      <c r="P494" t="s">
        <v>779</v>
      </c>
    </row>
    <row r="495" spans="3:16" x14ac:dyDescent="0.25">
      <c r="C495" s="5"/>
      <c r="P495" t="s">
        <v>780</v>
      </c>
    </row>
    <row r="496" spans="3:16" x14ac:dyDescent="0.25">
      <c r="C496" s="5"/>
      <c r="P496" t="s">
        <v>781</v>
      </c>
    </row>
    <row r="497" spans="3:16" x14ac:dyDescent="0.25">
      <c r="C497" s="5"/>
      <c r="P497" t="s">
        <v>782</v>
      </c>
    </row>
    <row r="498" spans="3:16" x14ac:dyDescent="0.25">
      <c r="C498" s="5"/>
      <c r="P498" t="s">
        <v>783</v>
      </c>
    </row>
    <row r="499" spans="3:16" x14ac:dyDescent="0.25">
      <c r="C499" s="5"/>
      <c r="P499" t="s">
        <v>784</v>
      </c>
    </row>
    <row r="500" spans="3:16" x14ac:dyDescent="0.25">
      <c r="C500" s="5"/>
      <c r="P500" t="s">
        <v>785</v>
      </c>
    </row>
    <row r="501" spans="3:16" x14ac:dyDescent="0.25">
      <c r="C501" s="5"/>
      <c r="P501" t="s">
        <v>786</v>
      </c>
    </row>
    <row r="502" spans="3:16" x14ac:dyDescent="0.25">
      <c r="C502" s="5"/>
      <c r="P502" t="s">
        <v>787</v>
      </c>
    </row>
    <row r="503" spans="3:16" x14ac:dyDescent="0.25">
      <c r="C503" s="5"/>
      <c r="P503" t="s">
        <v>788</v>
      </c>
    </row>
    <row r="504" spans="3:16" x14ac:dyDescent="0.25">
      <c r="C504" s="5"/>
      <c r="P504" t="s">
        <v>789</v>
      </c>
    </row>
    <row r="505" spans="3:16" x14ac:dyDescent="0.25">
      <c r="C505" s="5"/>
      <c r="P505" t="s">
        <v>790</v>
      </c>
    </row>
    <row r="506" spans="3:16" x14ac:dyDescent="0.25">
      <c r="C506" s="5"/>
      <c r="P506" t="s">
        <v>791</v>
      </c>
    </row>
    <row r="507" spans="3:16" x14ac:dyDescent="0.25">
      <c r="C507" s="5"/>
      <c r="P507" t="s">
        <v>792</v>
      </c>
    </row>
    <row r="508" spans="3:16" x14ac:dyDescent="0.25">
      <c r="C508" s="5"/>
      <c r="P508" t="s">
        <v>793</v>
      </c>
    </row>
    <row r="509" spans="3:16" x14ac:dyDescent="0.25">
      <c r="C509" s="5"/>
      <c r="P509" t="s">
        <v>794</v>
      </c>
    </row>
    <row r="510" spans="3:16" x14ac:dyDescent="0.25">
      <c r="C510" s="5"/>
      <c r="P510" t="s">
        <v>795</v>
      </c>
    </row>
    <row r="511" spans="3:16" x14ac:dyDescent="0.25">
      <c r="C511" s="5"/>
      <c r="P511" t="s">
        <v>796</v>
      </c>
    </row>
    <row r="512" spans="3:16" x14ac:dyDescent="0.25">
      <c r="C512" s="5"/>
      <c r="P512" t="s">
        <v>797</v>
      </c>
    </row>
    <row r="513" spans="3:16" x14ac:dyDescent="0.25">
      <c r="C513" s="5"/>
      <c r="P513" t="s">
        <v>798</v>
      </c>
    </row>
    <row r="514" spans="3:16" x14ac:dyDescent="0.25">
      <c r="C514" s="5"/>
      <c r="P514" t="s">
        <v>799</v>
      </c>
    </row>
    <row r="515" spans="3:16" x14ac:dyDescent="0.25">
      <c r="C515" s="5"/>
      <c r="P515" t="s">
        <v>800</v>
      </c>
    </row>
    <row r="516" spans="3:16" x14ac:dyDescent="0.25">
      <c r="C516" s="5"/>
      <c r="P516" t="s">
        <v>801</v>
      </c>
    </row>
    <row r="517" spans="3:16" x14ac:dyDescent="0.25">
      <c r="C517" s="5"/>
      <c r="P517" t="s">
        <v>802</v>
      </c>
    </row>
    <row r="518" spans="3:16" x14ac:dyDescent="0.25">
      <c r="C518" s="5"/>
      <c r="P518" t="s">
        <v>803</v>
      </c>
    </row>
    <row r="519" spans="3:16" x14ac:dyDescent="0.25">
      <c r="C519" s="5"/>
      <c r="P519" t="s">
        <v>804</v>
      </c>
    </row>
    <row r="520" spans="3:16" x14ac:dyDescent="0.25">
      <c r="C520" s="5"/>
      <c r="P520" t="s">
        <v>805</v>
      </c>
    </row>
    <row r="521" spans="3:16" x14ac:dyDescent="0.25">
      <c r="C521" s="5"/>
      <c r="P521" t="s">
        <v>806</v>
      </c>
    </row>
    <row r="522" spans="3:16" x14ac:dyDescent="0.25">
      <c r="C522" s="5"/>
      <c r="P522" t="s">
        <v>807</v>
      </c>
    </row>
    <row r="523" spans="3:16" x14ac:dyDescent="0.25">
      <c r="C523" s="5"/>
      <c r="P523" t="s">
        <v>808</v>
      </c>
    </row>
    <row r="524" spans="3:16" x14ac:dyDescent="0.25">
      <c r="C524" s="5"/>
      <c r="P524" t="s">
        <v>809</v>
      </c>
    </row>
    <row r="525" spans="3:16" x14ac:dyDescent="0.25">
      <c r="C525" s="5"/>
      <c r="P525" t="s">
        <v>810</v>
      </c>
    </row>
    <row r="526" spans="3:16" x14ac:dyDescent="0.25">
      <c r="C526" s="5"/>
      <c r="P526" t="s">
        <v>811</v>
      </c>
    </row>
    <row r="527" spans="3:16" x14ac:dyDescent="0.25">
      <c r="C527" s="5"/>
      <c r="P527" t="s">
        <v>812</v>
      </c>
    </row>
    <row r="528" spans="3:16" x14ac:dyDescent="0.25">
      <c r="C528" s="5"/>
      <c r="P528" t="s">
        <v>813</v>
      </c>
    </row>
    <row r="529" spans="3:16" x14ac:dyDescent="0.25">
      <c r="C529" s="5"/>
      <c r="P529" t="s">
        <v>814</v>
      </c>
    </row>
    <row r="530" spans="3:16" x14ac:dyDescent="0.25">
      <c r="C530" s="5"/>
      <c r="P530" t="s">
        <v>815</v>
      </c>
    </row>
    <row r="531" spans="3:16" x14ac:dyDescent="0.25">
      <c r="C531" s="5"/>
      <c r="P531" t="s">
        <v>816</v>
      </c>
    </row>
    <row r="532" spans="3:16" x14ac:dyDescent="0.25">
      <c r="C532" s="5"/>
      <c r="P532" t="s">
        <v>817</v>
      </c>
    </row>
    <row r="533" spans="3:16" x14ac:dyDescent="0.25">
      <c r="C533" s="5"/>
      <c r="P533" t="s">
        <v>818</v>
      </c>
    </row>
    <row r="534" spans="3:16" x14ac:dyDescent="0.25">
      <c r="C534" s="5"/>
      <c r="P534" t="s">
        <v>819</v>
      </c>
    </row>
    <row r="535" spans="3:16" x14ac:dyDescent="0.25">
      <c r="C535" s="5"/>
      <c r="P535" t="s">
        <v>820</v>
      </c>
    </row>
    <row r="536" spans="3:16" x14ac:dyDescent="0.25">
      <c r="C536" s="5"/>
      <c r="P536" t="s">
        <v>821</v>
      </c>
    </row>
    <row r="537" spans="3:16" x14ac:dyDescent="0.25">
      <c r="C537" s="5"/>
      <c r="P537" t="s">
        <v>822</v>
      </c>
    </row>
    <row r="538" spans="3:16" x14ac:dyDescent="0.25">
      <c r="C538" s="5"/>
      <c r="P538" t="s">
        <v>823</v>
      </c>
    </row>
    <row r="539" spans="3:16" x14ac:dyDescent="0.25">
      <c r="C539" s="5"/>
      <c r="P539" t="s">
        <v>824</v>
      </c>
    </row>
    <row r="540" spans="3:16" x14ac:dyDescent="0.25">
      <c r="C540" s="5"/>
      <c r="P540" t="s">
        <v>825</v>
      </c>
    </row>
    <row r="541" spans="3:16" x14ac:dyDescent="0.25">
      <c r="C541" s="5"/>
      <c r="P541" t="s">
        <v>826</v>
      </c>
    </row>
    <row r="542" spans="3:16" x14ac:dyDescent="0.25">
      <c r="C542" s="5"/>
      <c r="P542" t="s">
        <v>827</v>
      </c>
    </row>
    <row r="543" spans="3:16" x14ac:dyDescent="0.25">
      <c r="C543" s="5"/>
      <c r="P543" t="s">
        <v>828</v>
      </c>
    </row>
    <row r="544" spans="3:16" x14ac:dyDescent="0.25">
      <c r="C544" s="5"/>
      <c r="P544" t="s">
        <v>829</v>
      </c>
    </row>
    <row r="545" spans="3:16" x14ac:dyDescent="0.25">
      <c r="C545" s="5"/>
      <c r="P545" t="s">
        <v>830</v>
      </c>
    </row>
    <row r="546" spans="3:16" x14ac:dyDescent="0.25">
      <c r="C546" s="5"/>
      <c r="P546" t="s">
        <v>831</v>
      </c>
    </row>
    <row r="547" spans="3:16" x14ac:dyDescent="0.25">
      <c r="C547" s="5"/>
      <c r="P547" t="s">
        <v>832</v>
      </c>
    </row>
    <row r="548" spans="3:16" x14ac:dyDescent="0.25">
      <c r="C548" s="5"/>
      <c r="P548" t="s">
        <v>833</v>
      </c>
    </row>
    <row r="549" spans="3:16" x14ac:dyDescent="0.25">
      <c r="C549" s="5"/>
      <c r="P549" t="s">
        <v>834</v>
      </c>
    </row>
    <row r="550" spans="3:16" x14ac:dyDescent="0.25">
      <c r="C550" s="5"/>
      <c r="P550" t="s">
        <v>835</v>
      </c>
    </row>
    <row r="551" spans="3:16" x14ac:dyDescent="0.25">
      <c r="C551" s="5"/>
      <c r="P551" t="s">
        <v>836</v>
      </c>
    </row>
    <row r="552" spans="3:16" x14ac:dyDescent="0.25">
      <c r="C552" s="5"/>
      <c r="P552" t="s">
        <v>837</v>
      </c>
    </row>
    <row r="553" spans="3:16" x14ac:dyDescent="0.25">
      <c r="C553" s="5"/>
      <c r="P553" t="s">
        <v>838</v>
      </c>
    </row>
    <row r="554" spans="3:16" x14ac:dyDescent="0.25">
      <c r="C554" s="5"/>
      <c r="P554" t="s">
        <v>839</v>
      </c>
    </row>
    <row r="555" spans="3:16" x14ac:dyDescent="0.25">
      <c r="C555" s="5"/>
      <c r="P555" t="s">
        <v>840</v>
      </c>
    </row>
    <row r="556" spans="3:16" x14ac:dyDescent="0.25">
      <c r="C556" s="5"/>
      <c r="P556" t="s">
        <v>841</v>
      </c>
    </row>
    <row r="557" spans="3:16" x14ac:dyDescent="0.25">
      <c r="C557" s="5"/>
      <c r="P557" t="s">
        <v>842</v>
      </c>
    </row>
    <row r="558" spans="3:16" x14ac:dyDescent="0.25">
      <c r="C558" s="5"/>
      <c r="P558" t="s">
        <v>843</v>
      </c>
    </row>
    <row r="559" spans="3:16" x14ac:dyDescent="0.25">
      <c r="C559" s="5"/>
      <c r="P559" t="s">
        <v>844</v>
      </c>
    </row>
    <row r="560" spans="3:16" x14ac:dyDescent="0.25">
      <c r="C560" s="5"/>
      <c r="P560" t="s">
        <v>845</v>
      </c>
    </row>
    <row r="561" spans="3:16" x14ac:dyDescent="0.25">
      <c r="C561" s="5"/>
      <c r="P561" t="s">
        <v>846</v>
      </c>
    </row>
    <row r="562" spans="3:16" x14ac:dyDescent="0.25">
      <c r="C562" s="5"/>
      <c r="P562" t="s">
        <v>847</v>
      </c>
    </row>
    <row r="563" spans="3:16" x14ac:dyDescent="0.25">
      <c r="C563" s="5"/>
      <c r="P563" t="s">
        <v>848</v>
      </c>
    </row>
    <row r="564" spans="3:16" x14ac:dyDescent="0.25">
      <c r="C564" s="5"/>
      <c r="P564" t="s">
        <v>849</v>
      </c>
    </row>
    <row r="565" spans="3:16" x14ac:dyDescent="0.25">
      <c r="C565" s="5"/>
      <c r="P565" t="s">
        <v>850</v>
      </c>
    </row>
    <row r="566" spans="3:16" x14ac:dyDescent="0.25">
      <c r="C566" s="5"/>
      <c r="P566" t="s">
        <v>851</v>
      </c>
    </row>
    <row r="567" spans="3:16" x14ac:dyDescent="0.25">
      <c r="C567" s="5"/>
      <c r="P567" t="s">
        <v>852</v>
      </c>
    </row>
    <row r="568" spans="3:16" x14ac:dyDescent="0.25">
      <c r="C568" s="5"/>
      <c r="P568" t="s">
        <v>853</v>
      </c>
    </row>
    <row r="569" spans="3:16" x14ac:dyDescent="0.25">
      <c r="C569" s="5"/>
      <c r="P569" t="s">
        <v>854</v>
      </c>
    </row>
    <row r="570" spans="3:16" x14ac:dyDescent="0.25">
      <c r="C570" s="5"/>
      <c r="P570" t="s">
        <v>855</v>
      </c>
    </row>
    <row r="571" spans="3:16" x14ac:dyDescent="0.25">
      <c r="C571" s="5"/>
      <c r="P571" t="s">
        <v>856</v>
      </c>
    </row>
    <row r="572" spans="3:16" x14ac:dyDescent="0.25">
      <c r="C572" s="5"/>
      <c r="P572" t="s">
        <v>857</v>
      </c>
    </row>
    <row r="573" spans="3:16" x14ac:dyDescent="0.25">
      <c r="C573" s="5"/>
      <c r="P573" t="s">
        <v>858</v>
      </c>
    </row>
    <row r="574" spans="3:16" x14ac:dyDescent="0.25">
      <c r="C574" s="5"/>
      <c r="P574" t="s">
        <v>859</v>
      </c>
    </row>
    <row r="575" spans="3:16" x14ac:dyDescent="0.25">
      <c r="C575" s="5"/>
      <c r="P575" t="s">
        <v>860</v>
      </c>
    </row>
    <row r="576" spans="3:16" x14ac:dyDescent="0.25">
      <c r="C576" s="5"/>
      <c r="P576" t="s">
        <v>861</v>
      </c>
    </row>
    <row r="577" spans="3:16" x14ac:dyDescent="0.25">
      <c r="C577" s="5"/>
      <c r="P577" t="s">
        <v>862</v>
      </c>
    </row>
    <row r="578" spans="3:16" x14ac:dyDescent="0.25">
      <c r="C578" s="5"/>
      <c r="P578" t="s">
        <v>863</v>
      </c>
    </row>
    <row r="579" spans="3:16" x14ac:dyDescent="0.25">
      <c r="C579" s="5"/>
      <c r="P579" t="s">
        <v>864</v>
      </c>
    </row>
    <row r="580" spans="3:16" x14ac:dyDescent="0.25">
      <c r="C580" s="5"/>
      <c r="P580" t="s">
        <v>865</v>
      </c>
    </row>
    <row r="581" spans="3:16" x14ac:dyDescent="0.25">
      <c r="C581" s="5"/>
      <c r="P581" t="s">
        <v>866</v>
      </c>
    </row>
    <row r="582" spans="3:16" x14ac:dyDescent="0.25">
      <c r="C582" s="5"/>
      <c r="P582" t="s">
        <v>867</v>
      </c>
    </row>
    <row r="583" spans="3:16" x14ac:dyDescent="0.25">
      <c r="C583" s="5"/>
      <c r="P583" t="s">
        <v>868</v>
      </c>
    </row>
    <row r="584" spans="3:16" x14ac:dyDescent="0.25">
      <c r="C584" s="5"/>
      <c r="P584" t="s">
        <v>869</v>
      </c>
    </row>
    <row r="585" spans="3:16" x14ac:dyDescent="0.25">
      <c r="C585" s="5"/>
      <c r="P585" t="s">
        <v>870</v>
      </c>
    </row>
    <row r="586" spans="3:16" x14ac:dyDescent="0.25">
      <c r="C586" s="5"/>
      <c r="P586" t="s">
        <v>871</v>
      </c>
    </row>
    <row r="587" spans="3:16" x14ac:dyDescent="0.25">
      <c r="C587" s="5"/>
      <c r="P587" t="s">
        <v>872</v>
      </c>
    </row>
    <row r="588" spans="3:16" x14ac:dyDescent="0.25">
      <c r="C588" s="5"/>
      <c r="P588" t="s">
        <v>873</v>
      </c>
    </row>
    <row r="589" spans="3:16" x14ac:dyDescent="0.25">
      <c r="C589" s="5"/>
      <c r="P589" t="s">
        <v>874</v>
      </c>
    </row>
    <row r="590" spans="3:16" x14ac:dyDescent="0.25">
      <c r="C590" s="5"/>
      <c r="P590" t="s">
        <v>875</v>
      </c>
    </row>
    <row r="591" spans="3:16" x14ac:dyDescent="0.25">
      <c r="C591" s="5"/>
      <c r="P591" t="s">
        <v>876</v>
      </c>
    </row>
    <row r="592" spans="3:16" x14ac:dyDescent="0.25">
      <c r="C592" s="5"/>
      <c r="P592" t="s">
        <v>877</v>
      </c>
    </row>
    <row r="593" spans="3:16" x14ac:dyDescent="0.25">
      <c r="C593" s="5"/>
      <c r="P593" t="s">
        <v>878</v>
      </c>
    </row>
    <row r="594" spans="3:16" x14ac:dyDescent="0.25">
      <c r="C594" s="5"/>
      <c r="P594" t="s">
        <v>879</v>
      </c>
    </row>
    <row r="595" spans="3:16" x14ac:dyDescent="0.25">
      <c r="C595" s="5"/>
      <c r="P595" t="s">
        <v>880</v>
      </c>
    </row>
    <row r="596" spans="3:16" x14ac:dyDescent="0.25">
      <c r="C596" s="5"/>
      <c r="P596" t="s">
        <v>881</v>
      </c>
    </row>
    <row r="597" spans="3:16" x14ac:dyDescent="0.25">
      <c r="C597" s="5"/>
      <c r="P597" t="s">
        <v>882</v>
      </c>
    </row>
    <row r="598" spans="3:16" x14ac:dyDescent="0.25">
      <c r="C598" s="5"/>
      <c r="P598" t="s">
        <v>883</v>
      </c>
    </row>
    <row r="599" spans="3:16" x14ac:dyDescent="0.25">
      <c r="C599" s="5"/>
      <c r="P599" t="s">
        <v>884</v>
      </c>
    </row>
    <row r="600" spans="3:16" x14ac:dyDescent="0.25">
      <c r="C600" s="5"/>
      <c r="P600" t="s">
        <v>885</v>
      </c>
    </row>
    <row r="601" spans="3:16" x14ac:dyDescent="0.25">
      <c r="C601" s="5"/>
      <c r="P601" t="s">
        <v>886</v>
      </c>
    </row>
    <row r="602" spans="3:16" x14ac:dyDescent="0.25">
      <c r="C602" s="5"/>
      <c r="P602" t="s">
        <v>887</v>
      </c>
    </row>
    <row r="603" spans="3:16" x14ac:dyDescent="0.25">
      <c r="C603" s="5"/>
      <c r="P603" t="s">
        <v>888</v>
      </c>
    </row>
    <row r="604" spans="3:16" x14ac:dyDescent="0.25">
      <c r="C604" s="5"/>
      <c r="P604" t="s">
        <v>889</v>
      </c>
    </row>
    <row r="605" spans="3:16" x14ac:dyDescent="0.25">
      <c r="C605" s="5"/>
      <c r="P605" t="s">
        <v>890</v>
      </c>
    </row>
    <row r="606" spans="3:16" x14ac:dyDescent="0.25">
      <c r="C606" s="5"/>
      <c r="P606" t="s">
        <v>891</v>
      </c>
    </row>
    <row r="607" spans="3:16" x14ac:dyDescent="0.25">
      <c r="C607" s="5"/>
      <c r="P607" t="s">
        <v>892</v>
      </c>
    </row>
    <row r="608" spans="3:16" x14ac:dyDescent="0.25">
      <c r="C608" s="5"/>
      <c r="P608" t="s">
        <v>893</v>
      </c>
    </row>
    <row r="609" spans="3:16" x14ac:dyDescent="0.25">
      <c r="C609" s="5"/>
      <c r="P609" t="s">
        <v>894</v>
      </c>
    </row>
    <row r="610" spans="3:16" x14ac:dyDescent="0.25">
      <c r="C610" s="5"/>
      <c r="P610" t="s">
        <v>895</v>
      </c>
    </row>
    <row r="611" spans="3:16" x14ac:dyDescent="0.25">
      <c r="C611" s="5"/>
      <c r="P611" t="s">
        <v>896</v>
      </c>
    </row>
    <row r="612" spans="3:16" x14ac:dyDescent="0.25">
      <c r="C612" s="5"/>
      <c r="P612" t="s">
        <v>897</v>
      </c>
    </row>
    <row r="613" spans="3:16" x14ac:dyDescent="0.25">
      <c r="C613" s="5"/>
      <c r="P613" t="s">
        <v>898</v>
      </c>
    </row>
    <row r="614" spans="3:16" x14ac:dyDescent="0.25">
      <c r="C614" s="5"/>
      <c r="P614" t="s">
        <v>899</v>
      </c>
    </row>
    <row r="615" spans="3:16" x14ac:dyDescent="0.25">
      <c r="C615" s="5"/>
      <c r="P615" t="s">
        <v>900</v>
      </c>
    </row>
    <row r="616" spans="3:16" x14ac:dyDescent="0.25">
      <c r="C616" s="5"/>
      <c r="P616" t="s">
        <v>901</v>
      </c>
    </row>
    <row r="617" spans="3:16" x14ac:dyDescent="0.25">
      <c r="C617" s="5"/>
      <c r="P617" t="s">
        <v>902</v>
      </c>
    </row>
    <row r="618" spans="3:16" x14ac:dyDescent="0.25">
      <c r="C618" s="5"/>
      <c r="P618" t="s">
        <v>903</v>
      </c>
    </row>
    <row r="619" spans="3:16" x14ac:dyDescent="0.25">
      <c r="C619" s="5"/>
      <c r="P619" t="s">
        <v>904</v>
      </c>
    </row>
    <row r="620" spans="3:16" x14ac:dyDescent="0.25">
      <c r="C620" s="5"/>
      <c r="P620" t="s">
        <v>905</v>
      </c>
    </row>
    <row r="621" spans="3:16" x14ac:dyDescent="0.25">
      <c r="C621" s="5"/>
      <c r="P621" t="s">
        <v>906</v>
      </c>
    </row>
    <row r="622" spans="3:16" x14ac:dyDescent="0.25">
      <c r="C622" s="5"/>
      <c r="P622" t="s">
        <v>907</v>
      </c>
    </row>
    <row r="623" spans="3:16" x14ac:dyDescent="0.25">
      <c r="C623" s="5"/>
      <c r="P623" t="s">
        <v>908</v>
      </c>
    </row>
    <row r="624" spans="3:16" x14ac:dyDescent="0.25">
      <c r="C624" s="5"/>
      <c r="P624" t="s">
        <v>909</v>
      </c>
    </row>
    <row r="625" spans="3:16" x14ac:dyDescent="0.25">
      <c r="C625" s="5"/>
      <c r="P625" t="s">
        <v>910</v>
      </c>
    </row>
    <row r="626" spans="3:16" x14ac:dyDescent="0.25">
      <c r="C626" s="5"/>
      <c r="P626" t="s">
        <v>911</v>
      </c>
    </row>
    <row r="627" spans="3:16" x14ac:dyDescent="0.25">
      <c r="C627" s="5"/>
      <c r="P627" t="s">
        <v>912</v>
      </c>
    </row>
    <row r="628" spans="3:16" x14ac:dyDescent="0.25">
      <c r="C628" s="5"/>
      <c r="P628" t="s">
        <v>913</v>
      </c>
    </row>
    <row r="629" spans="3:16" x14ac:dyDescent="0.25">
      <c r="C629" s="5"/>
      <c r="P629" t="s">
        <v>914</v>
      </c>
    </row>
    <row r="630" spans="3:16" x14ac:dyDescent="0.25">
      <c r="C630" s="5"/>
      <c r="P630" t="s">
        <v>915</v>
      </c>
    </row>
    <row r="631" spans="3:16" x14ac:dyDescent="0.25">
      <c r="C631" s="5"/>
      <c r="P631" t="s">
        <v>916</v>
      </c>
    </row>
    <row r="632" spans="3:16" x14ac:dyDescent="0.25">
      <c r="C632" s="5"/>
      <c r="P632" t="s">
        <v>917</v>
      </c>
    </row>
    <row r="633" spans="3:16" x14ac:dyDescent="0.25">
      <c r="C633" s="5"/>
      <c r="P633" t="s">
        <v>918</v>
      </c>
    </row>
    <row r="634" spans="3:16" x14ac:dyDescent="0.25">
      <c r="C634" s="5"/>
      <c r="P634" t="s">
        <v>919</v>
      </c>
    </row>
    <row r="635" spans="3:16" x14ac:dyDescent="0.25">
      <c r="C635" s="5"/>
      <c r="P635" t="s">
        <v>920</v>
      </c>
    </row>
    <row r="636" spans="3:16" x14ac:dyDescent="0.25">
      <c r="C636" s="5"/>
      <c r="P636" t="s">
        <v>921</v>
      </c>
    </row>
    <row r="637" spans="3:16" x14ac:dyDescent="0.25">
      <c r="C637" s="5"/>
      <c r="P637" t="s">
        <v>922</v>
      </c>
    </row>
    <row r="638" spans="3:16" x14ac:dyDescent="0.25">
      <c r="C638" s="5"/>
      <c r="P638" t="s">
        <v>923</v>
      </c>
    </row>
    <row r="639" spans="3:16" x14ac:dyDescent="0.25">
      <c r="C639" s="5"/>
      <c r="P639" t="s">
        <v>924</v>
      </c>
    </row>
    <row r="640" spans="3:16" x14ac:dyDescent="0.25">
      <c r="C640" s="5"/>
      <c r="P640" t="s">
        <v>925</v>
      </c>
    </row>
    <row r="641" spans="3:16" x14ac:dyDescent="0.25">
      <c r="C641" s="5"/>
      <c r="P641" t="s">
        <v>926</v>
      </c>
    </row>
    <row r="642" spans="3:16" x14ac:dyDescent="0.25">
      <c r="C642" s="5"/>
      <c r="P642" t="s">
        <v>927</v>
      </c>
    </row>
    <row r="643" spans="3:16" x14ac:dyDescent="0.25">
      <c r="C643" s="5"/>
      <c r="P643" t="s">
        <v>928</v>
      </c>
    </row>
    <row r="644" spans="3:16" x14ac:dyDescent="0.25">
      <c r="C644" s="5"/>
      <c r="P644" t="s">
        <v>929</v>
      </c>
    </row>
    <row r="645" spans="3:16" x14ac:dyDescent="0.25">
      <c r="C645" s="5"/>
      <c r="P645" t="s">
        <v>930</v>
      </c>
    </row>
    <row r="646" spans="3:16" x14ac:dyDescent="0.25">
      <c r="C646" s="5"/>
      <c r="P646" t="s">
        <v>931</v>
      </c>
    </row>
    <row r="647" spans="3:16" x14ac:dyDescent="0.25">
      <c r="C647" s="5"/>
      <c r="P647" t="s">
        <v>932</v>
      </c>
    </row>
    <row r="648" spans="3:16" x14ac:dyDescent="0.25">
      <c r="C648" s="5"/>
      <c r="P648" t="s">
        <v>933</v>
      </c>
    </row>
    <row r="649" spans="3:16" x14ac:dyDescent="0.25">
      <c r="C649" s="5"/>
      <c r="P649" t="s">
        <v>934</v>
      </c>
    </row>
    <row r="650" spans="3:16" x14ac:dyDescent="0.25">
      <c r="C650" s="5"/>
      <c r="P650" t="s">
        <v>935</v>
      </c>
    </row>
    <row r="651" spans="3:16" x14ac:dyDescent="0.25">
      <c r="C651" s="5"/>
      <c r="P651" t="s">
        <v>936</v>
      </c>
    </row>
    <row r="652" spans="3:16" x14ac:dyDescent="0.25">
      <c r="C652" s="5"/>
      <c r="P652" t="s">
        <v>937</v>
      </c>
    </row>
    <row r="653" spans="3:16" x14ac:dyDescent="0.25">
      <c r="C653" s="5"/>
      <c r="P653" t="s">
        <v>938</v>
      </c>
    </row>
    <row r="654" spans="3:16" x14ac:dyDescent="0.25">
      <c r="C654" s="5"/>
      <c r="P654" t="s">
        <v>939</v>
      </c>
    </row>
    <row r="655" spans="3:16" x14ac:dyDescent="0.25">
      <c r="C655" s="5"/>
      <c r="P655" t="s">
        <v>940</v>
      </c>
    </row>
    <row r="656" spans="3:16" x14ac:dyDescent="0.25">
      <c r="C656" s="5"/>
      <c r="P656" t="s">
        <v>941</v>
      </c>
    </row>
    <row r="657" spans="3:16" x14ac:dyDescent="0.25">
      <c r="C657" s="5"/>
      <c r="P657" t="s">
        <v>942</v>
      </c>
    </row>
    <row r="658" spans="3:16" x14ac:dyDescent="0.25">
      <c r="C658" s="5"/>
      <c r="P658" t="s">
        <v>943</v>
      </c>
    </row>
    <row r="659" spans="3:16" x14ac:dyDescent="0.25">
      <c r="C659" s="5"/>
      <c r="P659" t="s">
        <v>944</v>
      </c>
    </row>
    <row r="660" spans="3:16" x14ac:dyDescent="0.25">
      <c r="C660" s="5"/>
      <c r="P660" t="s">
        <v>945</v>
      </c>
    </row>
    <row r="661" spans="3:16" x14ac:dyDescent="0.25">
      <c r="C661" s="5"/>
      <c r="P661" t="s">
        <v>946</v>
      </c>
    </row>
    <row r="662" spans="3:16" x14ac:dyDescent="0.25">
      <c r="C662" s="5"/>
      <c r="P662" t="s">
        <v>947</v>
      </c>
    </row>
    <row r="663" spans="3:16" x14ac:dyDescent="0.25">
      <c r="C663" s="5"/>
      <c r="P663" t="s">
        <v>948</v>
      </c>
    </row>
    <row r="664" spans="3:16" x14ac:dyDescent="0.25">
      <c r="C664" s="5"/>
      <c r="P664" t="s">
        <v>949</v>
      </c>
    </row>
    <row r="665" spans="3:16" x14ac:dyDescent="0.25">
      <c r="C665" s="5"/>
      <c r="P665" t="s">
        <v>950</v>
      </c>
    </row>
    <row r="666" spans="3:16" x14ac:dyDescent="0.25">
      <c r="C666" s="5"/>
      <c r="P666" t="s">
        <v>951</v>
      </c>
    </row>
    <row r="667" spans="3:16" x14ac:dyDescent="0.25">
      <c r="C667" s="5"/>
      <c r="P667" t="s">
        <v>952</v>
      </c>
    </row>
    <row r="668" spans="3:16" x14ac:dyDescent="0.25">
      <c r="C668" s="5"/>
      <c r="P668" t="s">
        <v>953</v>
      </c>
    </row>
    <row r="669" spans="3:16" x14ac:dyDescent="0.25">
      <c r="C669" s="5"/>
      <c r="P669" t="s">
        <v>954</v>
      </c>
    </row>
    <row r="670" spans="3:16" x14ac:dyDescent="0.25">
      <c r="C670" s="5"/>
      <c r="P670" t="s">
        <v>955</v>
      </c>
    </row>
    <row r="671" spans="3:16" x14ac:dyDescent="0.25">
      <c r="C671" s="5"/>
      <c r="P671" t="s">
        <v>956</v>
      </c>
    </row>
    <row r="672" spans="3:16" x14ac:dyDescent="0.25">
      <c r="C672" s="5"/>
      <c r="P672" t="s">
        <v>957</v>
      </c>
    </row>
    <row r="673" spans="3:16" x14ac:dyDescent="0.25">
      <c r="C673" s="5"/>
      <c r="P673" t="s">
        <v>958</v>
      </c>
    </row>
    <row r="674" spans="3:16" x14ac:dyDescent="0.25">
      <c r="C674" s="5"/>
      <c r="P674" t="s">
        <v>959</v>
      </c>
    </row>
    <row r="675" spans="3:16" x14ac:dyDescent="0.25">
      <c r="C675" s="5"/>
      <c r="P675" t="s">
        <v>960</v>
      </c>
    </row>
    <row r="676" spans="3:16" x14ac:dyDescent="0.25">
      <c r="C676" s="5"/>
      <c r="P676" t="s">
        <v>961</v>
      </c>
    </row>
    <row r="677" spans="3:16" x14ac:dyDescent="0.25">
      <c r="C677" s="5"/>
      <c r="P677" t="s">
        <v>962</v>
      </c>
    </row>
    <row r="678" spans="3:16" x14ac:dyDescent="0.25">
      <c r="C678" s="5"/>
      <c r="P678" t="s">
        <v>963</v>
      </c>
    </row>
    <row r="679" spans="3:16" x14ac:dyDescent="0.25">
      <c r="C679" s="5"/>
      <c r="P679" t="s">
        <v>964</v>
      </c>
    </row>
    <row r="680" spans="3:16" x14ac:dyDescent="0.25">
      <c r="C680" s="5"/>
      <c r="P680" t="s">
        <v>965</v>
      </c>
    </row>
    <row r="681" spans="3:16" x14ac:dyDescent="0.25">
      <c r="C681" s="5"/>
      <c r="P681" t="s">
        <v>966</v>
      </c>
    </row>
    <row r="682" spans="3:16" x14ac:dyDescent="0.25">
      <c r="C682" s="5"/>
      <c r="P682" t="s">
        <v>967</v>
      </c>
    </row>
    <row r="683" spans="3:16" x14ac:dyDescent="0.25">
      <c r="C683" s="5"/>
      <c r="P683" t="s">
        <v>968</v>
      </c>
    </row>
    <row r="684" spans="3:16" x14ac:dyDescent="0.25">
      <c r="C684" s="5"/>
      <c r="P684" t="s">
        <v>969</v>
      </c>
    </row>
    <row r="685" spans="3:16" x14ac:dyDescent="0.25">
      <c r="C685" s="5"/>
      <c r="P685" t="s">
        <v>970</v>
      </c>
    </row>
    <row r="686" spans="3:16" x14ac:dyDescent="0.25">
      <c r="C686" s="5"/>
      <c r="P686" t="s">
        <v>971</v>
      </c>
    </row>
    <row r="687" spans="3:16" x14ac:dyDescent="0.25">
      <c r="C687" s="5"/>
      <c r="P687" t="s">
        <v>972</v>
      </c>
    </row>
    <row r="688" spans="3:16" x14ac:dyDescent="0.25">
      <c r="C688" s="5"/>
      <c r="P688" t="s">
        <v>973</v>
      </c>
    </row>
    <row r="689" spans="3:16" x14ac:dyDescent="0.25">
      <c r="C689" s="5"/>
      <c r="P689" t="s">
        <v>974</v>
      </c>
    </row>
    <row r="690" spans="3:16" x14ac:dyDescent="0.25">
      <c r="C690" s="5"/>
      <c r="P690" t="s">
        <v>975</v>
      </c>
    </row>
    <row r="691" spans="3:16" x14ac:dyDescent="0.25">
      <c r="C691" s="5"/>
      <c r="P691" t="s">
        <v>976</v>
      </c>
    </row>
    <row r="692" spans="3:16" x14ac:dyDescent="0.25">
      <c r="C692" s="5"/>
      <c r="P692" t="s">
        <v>977</v>
      </c>
    </row>
    <row r="693" spans="3:16" x14ac:dyDescent="0.25">
      <c r="C693" s="5"/>
      <c r="P693" t="s">
        <v>978</v>
      </c>
    </row>
    <row r="694" spans="3:16" x14ac:dyDescent="0.25">
      <c r="C694" s="5"/>
      <c r="P694" t="s">
        <v>979</v>
      </c>
    </row>
    <row r="695" spans="3:16" x14ac:dyDescent="0.25">
      <c r="C695" s="5"/>
      <c r="P695" t="s">
        <v>980</v>
      </c>
    </row>
    <row r="696" spans="3:16" x14ac:dyDescent="0.25">
      <c r="C696" s="5"/>
      <c r="P696" t="s">
        <v>981</v>
      </c>
    </row>
    <row r="697" spans="3:16" x14ac:dyDescent="0.25">
      <c r="C697" s="5"/>
      <c r="P697" t="s">
        <v>982</v>
      </c>
    </row>
    <row r="698" spans="3:16" x14ac:dyDescent="0.25">
      <c r="C698" s="5"/>
      <c r="P698" t="s">
        <v>983</v>
      </c>
    </row>
    <row r="699" spans="3:16" x14ac:dyDescent="0.25">
      <c r="C699" s="5"/>
      <c r="P699" t="s">
        <v>984</v>
      </c>
    </row>
    <row r="700" spans="3:16" x14ac:dyDescent="0.25">
      <c r="C700" s="5"/>
      <c r="P700" t="s">
        <v>985</v>
      </c>
    </row>
    <row r="701" spans="3:16" x14ac:dyDescent="0.25">
      <c r="C701" s="5"/>
      <c r="P701" t="s">
        <v>986</v>
      </c>
    </row>
    <row r="702" spans="3:16" x14ac:dyDescent="0.25">
      <c r="C702" s="5"/>
      <c r="P702" t="s">
        <v>987</v>
      </c>
    </row>
    <row r="703" spans="3:16" x14ac:dyDescent="0.25">
      <c r="C703" s="5"/>
      <c r="P703" t="s">
        <v>988</v>
      </c>
    </row>
    <row r="704" spans="3:16" x14ac:dyDescent="0.25">
      <c r="C704" s="5"/>
      <c r="P704" t="s">
        <v>989</v>
      </c>
    </row>
    <row r="705" spans="3:16" x14ac:dyDescent="0.25">
      <c r="C705" s="5"/>
      <c r="P705" t="s">
        <v>990</v>
      </c>
    </row>
    <row r="706" spans="3:16" x14ac:dyDescent="0.25">
      <c r="C706" s="5"/>
      <c r="P706" t="s">
        <v>991</v>
      </c>
    </row>
    <row r="707" spans="3:16" x14ac:dyDescent="0.25">
      <c r="C707" s="5"/>
      <c r="P707" t="s">
        <v>992</v>
      </c>
    </row>
    <row r="708" spans="3:16" x14ac:dyDescent="0.25">
      <c r="C708" s="5"/>
      <c r="P708" t="s">
        <v>993</v>
      </c>
    </row>
    <row r="709" spans="3:16" x14ac:dyDescent="0.25">
      <c r="C709" s="5"/>
      <c r="P709" t="s">
        <v>994</v>
      </c>
    </row>
    <row r="710" spans="3:16" x14ac:dyDescent="0.25">
      <c r="C710" s="5"/>
      <c r="P710" t="s">
        <v>995</v>
      </c>
    </row>
    <row r="711" spans="3:16" x14ac:dyDescent="0.25">
      <c r="C711" s="5"/>
      <c r="P711" t="s">
        <v>996</v>
      </c>
    </row>
    <row r="712" spans="3:16" x14ac:dyDescent="0.25">
      <c r="C712" s="5"/>
      <c r="P712" t="s">
        <v>997</v>
      </c>
    </row>
    <row r="713" spans="3:16" x14ac:dyDescent="0.25">
      <c r="C713" s="5"/>
      <c r="P713" t="s">
        <v>998</v>
      </c>
    </row>
    <row r="714" spans="3:16" x14ac:dyDescent="0.25">
      <c r="C714" s="5"/>
      <c r="P714" t="s">
        <v>999</v>
      </c>
    </row>
    <row r="715" spans="3:16" x14ac:dyDescent="0.25">
      <c r="C715" s="5"/>
      <c r="P715" t="s">
        <v>1000</v>
      </c>
    </row>
    <row r="716" spans="3:16" x14ac:dyDescent="0.25">
      <c r="C716" s="5"/>
      <c r="P716" t="s">
        <v>1001</v>
      </c>
    </row>
    <row r="717" spans="3:16" x14ac:dyDescent="0.25">
      <c r="C717" s="5"/>
      <c r="P717" t="s">
        <v>1002</v>
      </c>
    </row>
    <row r="718" spans="3:16" x14ac:dyDescent="0.25">
      <c r="C718" s="5"/>
      <c r="P718" t="s">
        <v>1003</v>
      </c>
    </row>
    <row r="719" spans="3:16" x14ac:dyDescent="0.25">
      <c r="C719" s="5"/>
      <c r="P719" t="s">
        <v>1004</v>
      </c>
    </row>
    <row r="720" spans="3:16" x14ac:dyDescent="0.25">
      <c r="C720" s="5"/>
      <c r="P720" t="s">
        <v>1005</v>
      </c>
    </row>
    <row r="721" spans="3:16" x14ac:dyDescent="0.25">
      <c r="C721" s="5"/>
      <c r="P721" t="s">
        <v>1006</v>
      </c>
    </row>
    <row r="722" spans="3:16" x14ac:dyDescent="0.25">
      <c r="C722" s="5"/>
      <c r="P722" t="s">
        <v>1007</v>
      </c>
    </row>
    <row r="723" spans="3:16" x14ac:dyDescent="0.25">
      <c r="C723" s="5"/>
      <c r="P723" t="s">
        <v>1008</v>
      </c>
    </row>
    <row r="724" spans="3:16" x14ac:dyDescent="0.25">
      <c r="C724" s="5"/>
      <c r="P724" t="s">
        <v>1009</v>
      </c>
    </row>
    <row r="725" spans="3:16" x14ac:dyDescent="0.25">
      <c r="C725" s="5"/>
      <c r="P725" t="s">
        <v>1010</v>
      </c>
    </row>
    <row r="726" spans="3:16" x14ac:dyDescent="0.25">
      <c r="C726" s="5"/>
      <c r="P726" t="s">
        <v>1011</v>
      </c>
    </row>
    <row r="727" spans="3:16" x14ac:dyDescent="0.25">
      <c r="C727" s="5"/>
      <c r="P727" t="s">
        <v>1012</v>
      </c>
    </row>
    <row r="728" spans="3:16" x14ac:dyDescent="0.25">
      <c r="C728" s="5"/>
      <c r="P728" t="s">
        <v>1013</v>
      </c>
    </row>
    <row r="729" spans="3:16" x14ac:dyDescent="0.25">
      <c r="C729" s="5"/>
      <c r="P729" t="s">
        <v>1014</v>
      </c>
    </row>
    <row r="730" spans="3:16" x14ac:dyDescent="0.25">
      <c r="C730" s="5"/>
      <c r="P730" t="s">
        <v>1015</v>
      </c>
    </row>
    <row r="731" spans="3:16" x14ac:dyDescent="0.25">
      <c r="C731" s="5"/>
      <c r="P731" t="s">
        <v>1016</v>
      </c>
    </row>
    <row r="732" spans="3:16" x14ac:dyDescent="0.25">
      <c r="C732" s="5"/>
      <c r="P732" t="s">
        <v>1017</v>
      </c>
    </row>
    <row r="733" spans="3:16" x14ac:dyDescent="0.25">
      <c r="C733" s="5"/>
      <c r="P733" t="s">
        <v>1018</v>
      </c>
    </row>
    <row r="734" spans="3:16" x14ac:dyDescent="0.25">
      <c r="C734" s="5"/>
      <c r="P734" t="s">
        <v>1019</v>
      </c>
    </row>
    <row r="735" spans="3:16" x14ac:dyDescent="0.25">
      <c r="C735" s="5"/>
      <c r="P735" t="s">
        <v>1020</v>
      </c>
    </row>
    <row r="736" spans="3:16" x14ac:dyDescent="0.25">
      <c r="C736" s="5"/>
      <c r="P736" t="s">
        <v>1021</v>
      </c>
    </row>
    <row r="737" spans="3:16" x14ac:dyDescent="0.25">
      <c r="C737" s="5"/>
      <c r="P737" t="s">
        <v>1022</v>
      </c>
    </row>
    <row r="738" spans="3:16" x14ac:dyDescent="0.25">
      <c r="C738" s="5"/>
      <c r="P738" t="s">
        <v>1023</v>
      </c>
    </row>
    <row r="739" spans="3:16" x14ac:dyDescent="0.25">
      <c r="C739" s="5"/>
      <c r="P739" t="s">
        <v>1024</v>
      </c>
    </row>
    <row r="740" spans="3:16" x14ac:dyDescent="0.25">
      <c r="C740" s="5"/>
      <c r="P740" t="s">
        <v>1025</v>
      </c>
    </row>
    <row r="741" spans="3:16" x14ac:dyDescent="0.25">
      <c r="C741" s="5"/>
      <c r="P741" t="s">
        <v>1026</v>
      </c>
    </row>
    <row r="742" spans="3:16" x14ac:dyDescent="0.25">
      <c r="C742" s="5"/>
      <c r="P742" t="s">
        <v>1027</v>
      </c>
    </row>
    <row r="743" spans="3:16" x14ac:dyDescent="0.25">
      <c r="C743" s="5"/>
      <c r="P743" t="s">
        <v>1028</v>
      </c>
    </row>
    <row r="744" spans="3:16" x14ac:dyDescent="0.25">
      <c r="C744" s="5"/>
      <c r="P744" t="s">
        <v>1029</v>
      </c>
    </row>
    <row r="745" spans="3:16" x14ac:dyDescent="0.25">
      <c r="C745" s="5"/>
      <c r="P745" t="s">
        <v>1030</v>
      </c>
    </row>
    <row r="746" spans="3:16" x14ac:dyDescent="0.25">
      <c r="C746" s="5"/>
      <c r="P746" t="s">
        <v>1031</v>
      </c>
    </row>
    <row r="747" spans="3:16" x14ac:dyDescent="0.25">
      <c r="C747" s="5"/>
      <c r="P747" t="s">
        <v>1032</v>
      </c>
    </row>
    <row r="748" spans="3:16" x14ac:dyDescent="0.25">
      <c r="C748" s="5"/>
      <c r="P748" t="s">
        <v>1033</v>
      </c>
    </row>
    <row r="749" spans="3:16" x14ac:dyDescent="0.25">
      <c r="C749" s="5"/>
      <c r="P749" t="s">
        <v>1034</v>
      </c>
    </row>
    <row r="750" spans="3:16" x14ac:dyDescent="0.25">
      <c r="C750" s="5"/>
      <c r="P750" t="s">
        <v>1035</v>
      </c>
    </row>
    <row r="751" spans="3:16" x14ac:dyDescent="0.25">
      <c r="C751" s="5"/>
      <c r="P751" t="s">
        <v>1036</v>
      </c>
    </row>
    <row r="752" spans="3:16" x14ac:dyDescent="0.25">
      <c r="C752" s="5"/>
      <c r="P752" t="s">
        <v>1037</v>
      </c>
    </row>
    <row r="753" spans="3:16" x14ac:dyDescent="0.25">
      <c r="C753" s="5"/>
      <c r="P753" t="s">
        <v>1038</v>
      </c>
    </row>
    <row r="754" spans="3:16" x14ac:dyDescent="0.25">
      <c r="C754" s="5"/>
      <c r="P754" t="s">
        <v>54</v>
      </c>
    </row>
    <row r="755" spans="3:16" x14ac:dyDescent="0.25">
      <c r="C755" s="5"/>
      <c r="P755" t="s">
        <v>1039</v>
      </c>
    </row>
    <row r="756" spans="3:16" x14ac:dyDescent="0.25">
      <c r="C756" s="5"/>
      <c r="P756" t="s">
        <v>1040</v>
      </c>
    </row>
    <row r="757" spans="3:16" x14ac:dyDescent="0.25">
      <c r="C757" s="5"/>
      <c r="P757" t="s">
        <v>1041</v>
      </c>
    </row>
    <row r="758" spans="3:16" x14ac:dyDescent="0.25">
      <c r="C758" s="5"/>
      <c r="P758" t="s">
        <v>1042</v>
      </c>
    </row>
    <row r="759" spans="3:16" x14ac:dyDescent="0.25">
      <c r="C759" s="5"/>
      <c r="P759" t="s">
        <v>1043</v>
      </c>
    </row>
    <row r="760" spans="3:16" x14ac:dyDescent="0.25">
      <c r="C760" s="5"/>
      <c r="P760" t="s">
        <v>1044</v>
      </c>
    </row>
    <row r="761" spans="3:16" x14ac:dyDescent="0.25">
      <c r="C761" s="5"/>
      <c r="P761" t="s">
        <v>1045</v>
      </c>
    </row>
    <row r="762" spans="3:16" x14ac:dyDescent="0.25">
      <c r="C762" s="5"/>
      <c r="P762" t="s">
        <v>1046</v>
      </c>
    </row>
    <row r="763" spans="3:16" x14ac:dyDescent="0.25">
      <c r="C763" s="5"/>
      <c r="P763" t="s">
        <v>1047</v>
      </c>
    </row>
    <row r="764" spans="3:16" x14ac:dyDescent="0.25">
      <c r="C764" s="5"/>
      <c r="P764" t="s">
        <v>1048</v>
      </c>
    </row>
    <row r="765" spans="3:16" x14ac:dyDescent="0.25">
      <c r="C765" s="5"/>
      <c r="P765" t="s">
        <v>1049</v>
      </c>
    </row>
    <row r="766" spans="3:16" x14ac:dyDescent="0.25">
      <c r="C766" s="5"/>
      <c r="P766" t="s">
        <v>1050</v>
      </c>
    </row>
    <row r="767" spans="3:16" x14ac:dyDescent="0.25">
      <c r="C767" s="5"/>
      <c r="P767" t="s">
        <v>1051</v>
      </c>
    </row>
    <row r="768" spans="3:16" x14ac:dyDescent="0.25">
      <c r="C768" s="5"/>
      <c r="P768" t="s">
        <v>1052</v>
      </c>
    </row>
    <row r="769" spans="3:16" x14ac:dyDescent="0.25">
      <c r="C769" s="5"/>
      <c r="P769" t="s">
        <v>1053</v>
      </c>
    </row>
    <row r="770" spans="3:16" x14ac:dyDescent="0.25">
      <c r="C770" s="5"/>
      <c r="P770" t="s">
        <v>1054</v>
      </c>
    </row>
    <row r="771" spans="3:16" x14ac:dyDescent="0.25">
      <c r="C771" s="5"/>
      <c r="P771" t="s">
        <v>1055</v>
      </c>
    </row>
    <row r="772" spans="3:16" x14ac:dyDescent="0.25">
      <c r="C772" s="5"/>
      <c r="P772" t="s">
        <v>1056</v>
      </c>
    </row>
    <row r="773" spans="3:16" x14ac:dyDescent="0.25">
      <c r="C773" s="5"/>
      <c r="P773" t="s">
        <v>1057</v>
      </c>
    </row>
    <row r="774" spans="3:16" x14ac:dyDescent="0.25">
      <c r="C774" s="5"/>
      <c r="P774" t="s">
        <v>1058</v>
      </c>
    </row>
    <row r="775" spans="3:16" x14ac:dyDescent="0.25">
      <c r="C775" s="5"/>
      <c r="P775" t="s">
        <v>1059</v>
      </c>
    </row>
    <row r="776" spans="3:16" x14ac:dyDescent="0.25">
      <c r="C776" s="5"/>
      <c r="P776" t="s">
        <v>1060</v>
      </c>
    </row>
    <row r="777" spans="3:16" x14ac:dyDescent="0.25">
      <c r="C777" s="5"/>
      <c r="P777" t="s">
        <v>1061</v>
      </c>
    </row>
    <row r="778" spans="3:16" x14ac:dyDescent="0.25">
      <c r="C778" s="5"/>
      <c r="P778" t="s">
        <v>1062</v>
      </c>
    </row>
    <row r="779" spans="3:16" x14ac:dyDescent="0.25">
      <c r="C779" s="5"/>
      <c r="P779" t="s">
        <v>1063</v>
      </c>
    </row>
    <row r="780" spans="3:16" x14ac:dyDescent="0.25">
      <c r="C780" s="5"/>
      <c r="P780" t="s">
        <v>1064</v>
      </c>
    </row>
    <row r="781" spans="3:16" x14ac:dyDescent="0.25">
      <c r="C781" s="5"/>
      <c r="P781" t="s">
        <v>1065</v>
      </c>
    </row>
    <row r="782" spans="3:16" x14ac:dyDescent="0.25">
      <c r="C782" s="5"/>
      <c r="P782" t="s">
        <v>1066</v>
      </c>
    </row>
    <row r="783" spans="3:16" x14ac:dyDescent="0.25">
      <c r="C783" s="5"/>
      <c r="P783" t="s">
        <v>1067</v>
      </c>
    </row>
    <row r="784" spans="3:16" x14ac:dyDescent="0.25">
      <c r="C784" s="5"/>
      <c r="P784" t="s">
        <v>1068</v>
      </c>
    </row>
    <row r="785" spans="3:16" x14ac:dyDescent="0.25">
      <c r="C785" s="5"/>
      <c r="P785" t="s">
        <v>1069</v>
      </c>
    </row>
    <row r="786" spans="3:16" x14ac:dyDescent="0.25">
      <c r="C786" s="5"/>
      <c r="P786" t="s">
        <v>1070</v>
      </c>
    </row>
    <row r="787" spans="3:16" x14ac:dyDescent="0.25">
      <c r="C787" s="5"/>
      <c r="P787" t="s">
        <v>1071</v>
      </c>
    </row>
    <row r="788" spans="3:16" x14ac:dyDescent="0.25">
      <c r="C788" s="5"/>
      <c r="P788" t="s">
        <v>1072</v>
      </c>
    </row>
    <row r="789" spans="3:16" x14ac:dyDescent="0.25">
      <c r="C789" s="5"/>
      <c r="P789" t="s">
        <v>1073</v>
      </c>
    </row>
    <row r="790" spans="3:16" x14ac:dyDescent="0.25">
      <c r="C790" s="5"/>
      <c r="P790" t="s">
        <v>1074</v>
      </c>
    </row>
    <row r="791" spans="3:16" x14ac:dyDescent="0.25">
      <c r="C791" s="5"/>
      <c r="P791" t="s">
        <v>1075</v>
      </c>
    </row>
    <row r="792" spans="3:16" x14ac:dyDescent="0.25">
      <c r="C792" s="5"/>
      <c r="P792" t="s">
        <v>1076</v>
      </c>
    </row>
    <row r="793" spans="3:16" x14ac:dyDescent="0.25">
      <c r="C793" s="5"/>
      <c r="P793" t="s">
        <v>1077</v>
      </c>
    </row>
  </sheetData>
  <pageMargins left="0.7" right="0.7" top="0.75" bottom="0.75" header="0.3" footer="0.3"/>
  <pageSetup orientation="portrait" verticalDpi="0" r:id="rId1"/>
  <tableParts count="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
  <sheetViews>
    <sheetView workbookViewId="0">
      <selection activeCell="N40" sqref="N40"/>
    </sheetView>
  </sheetViews>
  <sheetFormatPr defaultRowHeight="15" x14ac:dyDescent="0.25"/>
  <sheetData>
    <row r="1" spans="1:1" x14ac:dyDescent="0.25">
      <c r="A1" s="5" t="s">
        <v>1221</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D8"/>
  <sheetViews>
    <sheetView workbookViewId="0">
      <selection activeCell="D27" sqref="D27"/>
    </sheetView>
  </sheetViews>
  <sheetFormatPr defaultRowHeight="15" x14ac:dyDescent="0.25"/>
  <cols>
    <col min="1" max="1" width="13.5703125" customWidth="1"/>
    <col min="2" max="2" width="11.5703125" customWidth="1"/>
    <col min="3" max="3" width="66.85546875" customWidth="1"/>
    <col min="4" max="4" width="68.7109375" bestFit="1" customWidth="1"/>
  </cols>
  <sheetData>
    <row r="1" spans="1:4" x14ac:dyDescent="0.25">
      <c r="A1" s="5" t="s">
        <v>1221</v>
      </c>
    </row>
    <row r="2" spans="1:4" ht="15.75" thickBot="1" x14ac:dyDescent="0.3"/>
    <row r="3" spans="1:4" ht="15.75" thickTop="1" x14ac:dyDescent="0.25">
      <c r="A3" s="245" t="s">
        <v>1226</v>
      </c>
      <c r="B3" s="246"/>
      <c r="C3" s="246"/>
      <c r="D3" s="247"/>
    </row>
    <row r="4" spans="1:4" ht="15.75" thickBot="1" x14ac:dyDescent="0.3">
      <c r="A4" s="87" t="s">
        <v>1222</v>
      </c>
      <c r="B4" s="88" t="s">
        <v>1223</v>
      </c>
      <c r="C4" s="88" t="s">
        <v>1224</v>
      </c>
      <c r="D4" s="89" t="s">
        <v>1225</v>
      </c>
    </row>
    <row r="5" spans="1:4" ht="15.75" thickTop="1" x14ac:dyDescent="0.25">
      <c r="A5" s="96" t="s">
        <v>14</v>
      </c>
      <c r="B5" s="90" t="s">
        <v>14</v>
      </c>
      <c r="C5" s="91" t="s">
        <v>1236</v>
      </c>
      <c r="D5" s="97"/>
    </row>
    <row r="6" spans="1:4" ht="60" x14ac:dyDescent="0.25">
      <c r="A6" s="98" t="s">
        <v>1227</v>
      </c>
      <c r="B6" s="92" t="s">
        <v>128</v>
      </c>
      <c r="C6" s="93" t="s">
        <v>1228</v>
      </c>
      <c r="D6" s="99" t="s">
        <v>1229</v>
      </c>
    </row>
    <row r="7" spans="1:4" ht="60" x14ac:dyDescent="0.25">
      <c r="A7" s="98" t="s">
        <v>1230</v>
      </c>
      <c r="B7" s="92" t="s">
        <v>129</v>
      </c>
      <c r="C7" s="93" t="s">
        <v>1231</v>
      </c>
      <c r="D7" s="99" t="s">
        <v>1232</v>
      </c>
    </row>
    <row r="8" spans="1:4" ht="30.75" thickBot="1" x14ac:dyDescent="0.3">
      <c r="A8" s="100" t="s">
        <v>1233</v>
      </c>
      <c r="B8" s="101" t="s">
        <v>130</v>
      </c>
      <c r="C8" s="102" t="s">
        <v>1234</v>
      </c>
      <c r="D8" s="103" t="s">
        <v>1235</v>
      </c>
    </row>
  </sheetData>
  <mergeCells count="1">
    <mergeCell ref="A3:D3"/>
  </mergeCells>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F20"/>
  <sheetViews>
    <sheetView workbookViewId="0">
      <selection activeCell="G6" sqref="G6"/>
    </sheetView>
  </sheetViews>
  <sheetFormatPr defaultRowHeight="15" x14ac:dyDescent="0.25"/>
  <cols>
    <col min="1" max="1" width="39" customWidth="1"/>
    <col min="2" max="2" width="32.42578125" customWidth="1"/>
    <col min="3" max="3" width="53.42578125" style="86" customWidth="1"/>
    <col min="4" max="4" width="48.140625" customWidth="1"/>
    <col min="5" max="5" width="38.42578125" bestFit="1" customWidth="1"/>
  </cols>
  <sheetData>
    <row r="1" spans="1:6" x14ac:dyDescent="0.25">
      <c r="A1" t="s">
        <v>1221</v>
      </c>
    </row>
    <row r="2" spans="1:6" ht="15.75" thickBot="1" x14ac:dyDescent="0.3"/>
    <row r="3" spans="1:6" s="6" customFormat="1" x14ac:dyDescent="0.25">
      <c r="A3" s="248" t="s">
        <v>1259</v>
      </c>
      <c r="B3" s="249"/>
      <c r="C3" s="249"/>
      <c r="D3" s="249"/>
      <c r="E3" s="250"/>
      <c r="F3"/>
    </row>
    <row r="4" spans="1:6" s="6" customFormat="1" ht="15.75" thickBot="1" x14ac:dyDescent="0.3">
      <c r="A4" s="70" t="s">
        <v>143</v>
      </c>
      <c r="B4" s="54" t="s">
        <v>144</v>
      </c>
      <c r="C4" s="54" t="s">
        <v>19</v>
      </c>
      <c r="D4" s="61" t="s">
        <v>145</v>
      </c>
      <c r="E4" s="62" t="s">
        <v>146</v>
      </c>
    </row>
    <row r="5" spans="1:6" s="6" customFormat="1" ht="75.75" thickTop="1" x14ac:dyDescent="0.25">
      <c r="A5" s="111" t="s">
        <v>158</v>
      </c>
      <c r="B5" s="18" t="s">
        <v>1240</v>
      </c>
      <c r="C5" s="18" t="s">
        <v>1240</v>
      </c>
      <c r="D5" s="41" t="s">
        <v>1252</v>
      </c>
      <c r="E5" s="112" t="s">
        <v>1241</v>
      </c>
    </row>
    <row r="6" spans="1:6" s="6" customFormat="1" ht="150" x14ac:dyDescent="0.25">
      <c r="A6" s="105" t="s">
        <v>158</v>
      </c>
      <c r="B6" s="10" t="s">
        <v>1253</v>
      </c>
      <c r="C6" s="10" t="s">
        <v>1254</v>
      </c>
      <c r="D6" s="11" t="s">
        <v>1255</v>
      </c>
      <c r="E6" s="106" t="s">
        <v>1256</v>
      </c>
    </row>
    <row r="7" spans="1:6" s="6" customFormat="1" ht="75.75" thickBot="1" x14ac:dyDescent="0.3">
      <c r="A7" s="107" t="s">
        <v>158</v>
      </c>
      <c r="B7" s="108" t="s">
        <v>1246</v>
      </c>
      <c r="C7" s="108" t="s">
        <v>1257</v>
      </c>
      <c r="D7" s="109" t="s">
        <v>1258</v>
      </c>
      <c r="E7" s="110" t="s">
        <v>1244</v>
      </c>
    </row>
    <row r="8" spans="1:6" x14ac:dyDescent="0.25">
      <c r="C8"/>
    </row>
    <row r="9" spans="1:6" s="5" customFormat="1" x14ac:dyDescent="0.25"/>
    <row r="10" spans="1:6" s="5" customFormat="1" x14ac:dyDescent="0.25"/>
    <row r="11" spans="1:6" s="5" customFormat="1" x14ac:dyDescent="0.25"/>
    <row r="12" spans="1:6" s="5" customFormat="1" x14ac:dyDescent="0.25"/>
    <row r="13" spans="1:6" s="5" customFormat="1" x14ac:dyDescent="0.25"/>
    <row r="14" spans="1:6" x14ac:dyDescent="0.25">
      <c r="C14"/>
    </row>
    <row r="15" spans="1:6" ht="15.75" thickBot="1" x14ac:dyDescent="0.3">
      <c r="C15"/>
    </row>
    <row r="16" spans="1:6" s="5" customFormat="1" x14ac:dyDescent="0.25">
      <c r="A16" s="251" t="s">
        <v>1251</v>
      </c>
      <c r="B16" s="252"/>
      <c r="C16" s="252"/>
      <c r="D16" s="252"/>
      <c r="E16" s="253"/>
    </row>
    <row r="17" spans="1:5" ht="15.75" thickBot="1" x14ac:dyDescent="0.3">
      <c r="A17" s="87" t="s">
        <v>1237</v>
      </c>
      <c r="B17" s="88" t="s">
        <v>1260</v>
      </c>
      <c r="C17" s="104" t="s">
        <v>1238</v>
      </c>
      <c r="D17" s="89" t="s">
        <v>1239</v>
      </c>
      <c r="E17" s="88" t="s">
        <v>1264</v>
      </c>
    </row>
    <row r="18" spans="1:5" ht="90.75" thickTop="1" x14ac:dyDescent="0.25">
      <c r="A18" s="113" t="s">
        <v>1240</v>
      </c>
      <c r="B18" s="90" t="s">
        <v>1240</v>
      </c>
      <c r="C18" s="91" t="s">
        <v>1242</v>
      </c>
      <c r="D18" s="115" t="s">
        <v>1241</v>
      </c>
      <c r="E18" s="120" t="s">
        <v>1241</v>
      </c>
    </row>
    <row r="19" spans="1:5" s="5" customFormat="1" ht="30" x14ac:dyDescent="0.25">
      <c r="A19" s="114" t="s">
        <v>1250</v>
      </c>
      <c r="B19" s="92" t="s">
        <v>1254</v>
      </c>
      <c r="C19" s="93" t="s">
        <v>1247</v>
      </c>
      <c r="D19" s="116" t="s">
        <v>1248</v>
      </c>
      <c r="E19" s="99"/>
    </row>
    <row r="20" spans="1:5" ht="90.75" thickBot="1" x14ac:dyDescent="0.3">
      <c r="A20" s="117" t="s">
        <v>1249</v>
      </c>
      <c r="B20" s="94" t="s">
        <v>1257</v>
      </c>
      <c r="C20" s="95" t="s">
        <v>1243</v>
      </c>
      <c r="D20" s="118" t="s">
        <v>1244</v>
      </c>
      <c r="E20" s="119" t="s">
        <v>1265</v>
      </c>
    </row>
  </sheetData>
  <mergeCells count="2">
    <mergeCell ref="A3:E3"/>
    <mergeCell ref="A16:E16"/>
  </mergeCells>
  <dataValidations count="2">
    <dataValidation type="list" allowBlank="1" showInputMessage="1" showErrorMessage="1" sqref="A5:A7">
      <formula1>OrganizationTypeCV</formula1>
    </dataValidation>
    <dataValidation type="textLength" allowBlank="1" showInputMessage="1" showErrorMessage="1" sqref="B5:B15">
      <formula1>1</formula1>
      <formula2>50</formula2>
    </dataValidation>
  </dataValidations>
  <hyperlinks>
    <hyperlink ref="D18" r:id="rId1"/>
    <hyperlink ref="D20" r:id="rId2"/>
    <hyperlink ref="D19" r:id="rId3"/>
    <hyperlink ref="E5" r:id="rId4"/>
    <hyperlink ref="E6" r:id="rId5"/>
    <hyperlink ref="E7" r:id="rId6"/>
    <hyperlink ref="E20" r:id="rId7"/>
    <hyperlink ref="E18" r:id="rId8"/>
  </hyperlinks>
  <pageMargins left="0.7" right="0.7" top="0.75" bottom="0.75" header="0.3" footer="0.3"/>
  <pageSetup orientation="portrait" verticalDpi="0" r:id="rId9"/>
  <tableParts count="2">
    <tablePart r:id="rId10"/>
    <tablePart r:id="rId1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40</vt:i4>
      </vt:variant>
    </vt:vector>
  </HeadingPairs>
  <TitlesOfParts>
    <vt:vector size="62" baseType="lpstr">
      <vt:lpstr>Instructions</vt:lpstr>
      <vt:lpstr>People and Organizations</vt:lpstr>
      <vt:lpstr>Dataset Citation</vt:lpstr>
      <vt:lpstr>Sampling Features</vt:lpstr>
      <vt:lpstr>Spatial Offsets</vt:lpstr>
      <vt:lpstr>Related Features (optional)</vt:lpstr>
      <vt:lpstr>Methods</vt:lpstr>
      <vt:lpstr>Variables</vt:lpstr>
      <vt:lpstr>Processing Levels</vt:lpstr>
      <vt:lpstr>Taxonomic Classifiers</vt:lpstr>
      <vt:lpstr>Data Columns</vt:lpstr>
      <vt:lpstr>Data Values</vt:lpstr>
      <vt:lpstr>Specimen Column Finder</vt:lpstr>
      <vt:lpstr>Result Column Labels</vt:lpstr>
      <vt:lpstr>Result Column Finder</vt:lpstr>
      <vt:lpstr>YODA Header Blocks</vt:lpstr>
      <vt:lpstr>YODA Generator</vt:lpstr>
      <vt:lpstr>YODA File</vt:lpstr>
      <vt:lpstr>Controlled Vocabularies</vt:lpstr>
      <vt:lpstr>Units</vt:lpstr>
      <vt:lpstr>SpatialReferences</vt:lpstr>
      <vt:lpstr>ExternalIdentifierSystems</vt:lpstr>
      <vt:lpstr>CitationDOI</vt:lpstr>
      <vt:lpstr>CitationInformation</vt:lpstr>
      <vt:lpstr>CitationLink</vt:lpstr>
      <vt:lpstr>CitationTitle</vt:lpstr>
      <vt:lpstr>DatasetAbstract</vt:lpstr>
      <vt:lpstr>DatasetCitationRelationship</vt:lpstr>
      <vt:lpstr>DatasetCode</vt:lpstr>
      <vt:lpstr>DatasetTitle</vt:lpstr>
      <vt:lpstr>DatasetType</vt:lpstr>
      <vt:lpstr>DatasetUUID</vt:lpstr>
      <vt:lpstr>ElevationDatum</vt:lpstr>
      <vt:lpstr>LatLonDatum</vt:lpstr>
      <vt:lpstr>LengthHeader</vt:lpstr>
      <vt:lpstr>ListOfVocabularies</vt:lpstr>
      <vt:lpstr>LongestBlock</vt:lpstr>
      <vt:lpstr>NumAuthors</vt:lpstr>
      <vt:lpstr>NumDataColumns</vt:lpstr>
      <vt:lpstr>NumDataValues</vt:lpstr>
      <vt:lpstr>NumFileColumns</vt:lpstr>
      <vt:lpstr>NumIGSNs</vt:lpstr>
      <vt:lpstr>NumMethods</vt:lpstr>
      <vt:lpstr>NumORCIDs</vt:lpstr>
      <vt:lpstr>NumOrganizations</vt:lpstr>
      <vt:lpstr>NumParentSamplingFeatures</vt:lpstr>
      <vt:lpstr>NumParentSpecimens</vt:lpstr>
      <vt:lpstr>NumPeople</vt:lpstr>
      <vt:lpstr>NumPersonExternalIDs</vt:lpstr>
      <vt:lpstr>NumProcessingLevels</vt:lpstr>
      <vt:lpstr>NumRelatedFeatures</vt:lpstr>
      <vt:lpstr>NumSites</vt:lpstr>
      <vt:lpstr>NumSpecimens</vt:lpstr>
      <vt:lpstr>NumTaxClassifiers</vt:lpstr>
      <vt:lpstr>NumVariables</vt:lpstr>
      <vt:lpstr>PublicationYear</vt:lpstr>
      <vt:lpstr>Publisher</vt:lpstr>
      <vt:lpstr>ResultColumns</vt:lpstr>
      <vt:lpstr>SpecimenColumnNumber</vt:lpstr>
      <vt:lpstr>TemplateProfile</vt:lpstr>
      <vt:lpstr>TemplateVersion</vt:lpstr>
      <vt:lpstr>YODAVersion</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Sara Geleskie Damiano</dc:creator>
  <cp:lastModifiedBy>Sara Geleskie Damiano</cp:lastModifiedBy>
  <cp:lastPrinted>2015-04-20T21:18:48Z</cp:lastPrinted>
  <dcterms:created xsi:type="dcterms:W3CDTF">2015-02-03T15:37:42Z</dcterms:created>
  <dcterms:modified xsi:type="dcterms:W3CDTF">2015-04-27T20:35:28Z</dcterms:modified>
</cp:coreProperties>
</file>