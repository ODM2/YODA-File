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8.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A8" i="11" l="1"/>
  <c r="L8" i="11"/>
  <c r="AA7" i="11"/>
  <c r="L7" i="11"/>
  <c r="AA6" i="11"/>
  <c r="L6" i="11"/>
  <c r="AA5" i="11"/>
  <c r="L5" i="11"/>
  <c r="AK4" i="11"/>
  <c r="AH4" i="11"/>
  <c r="AG4" i="11"/>
  <c r="AA4" i="11"/>
  <c r="N4" i="11"/>
  <c r="M4" i="11"/>
  <c r="L4" i="11"/>
  <c r="K4" i="11"/>
  <c r="J4" i="11"/>
  <c r="G4" i="11"/>
  <c r="D4" i="11"/>
  <c r="C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13" i="4"/>
  <c r="I24" i="7"/>
  <c r="K13" i="2"/>
  <c r="AB20" i="4"/>
  <c r="AB21" i="4" s="1"/>
  <c r="K14" i="2"/>
  <c r="A14" i="4"/>
  <c r="AB22" i="4"/>
  <c r="K15" i="2"/>
  <c r="A15" i="4"/>
  <c r="AB23" i="4"/>
  <c r="AB24" i="4" s="1"/>
  <c r="K16" i="2"/>
  <c r="A16" i="4"/>
  <c r="A17" i="4"/>
  <c r="K17" i="2"/>
  <c r="A18" i="4"/>
  <c r="A19" i="4"/>
  <c r="K18" i="2"/>
  <c r="K19" i="2"/>
  <c r="A20" i="4"/>
  <c r="A21" i="4"/>
  <c r="A22" i="4"/>
  <c r="A23" i="4"/>
  <c r="A24" i="4"/>
  <c r="A25" i="4"/>
  <c r="A26" i="4"/>
  <c r="K20" i="2" l="1"/>
  <c r="Y3" i="11" s="1"/>
  <c r="AA2" i="11"/>
  <c r="AB25" i="4"/>
  <c r="A27" i="4"/>
  <c r="A28" i="4" s="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Q9" i="2" l="1"/>
  <c r="D2" i="15" l="1"/>
  <c r="G11" i="4"/>
  <c r="T11" i="4"/>
  <c r="S11" i="4"/>
  <c r="I9" i="2" l="1"/>
  <c r="AP6" i="11" l="1"/>
  <c r="AP7" i="11"/>
  <c r="AP8" i="11"/>
  <c r="AP5" i="11"/>
  <c r="AP4" i="11"/>
  <c r="F3" i="21"/>
  <c r="G3" i="21"/>
  <c r="H3" i="21"/>
  <c r="K3" i="21"/>
  <c r="O11" i="4"/>
  <c r="H11" i="4"/>
  <c r="X11" i="4"/>
  <c r="L11" i="4"/>
  <c r="AA11" i="4"/>
  <c r="R11" i="4"/>
  <c r="P11" i="4"/>
  <c r="V11" i="4"/>
  <c r="E11" i="4"/>
  <c r="N11" i="4"/>
  <c r="J11" i="4"/>
  <c r="U11" i="4"/>
  <c r="Z11" i="4"/>
  <c r="Q11" i="4"/>
  <c r="M11" i="4"/>
  <c r="K11" i="4"/>
  <c r="Y11" i="4"/>
  <c r="F11" i="4"/>
  <c r="W11" i="4"/>
  <c r="I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M9" i="2" l="1"/>
  <c r="F8" i="21"/>
  <c r="G8" i="21"/>
  <c r="Y5" i="11" l="1"/>
  <c r="Y4" i="11"/>
  <c r="Y6" i="11"/>
  <c r="Y7" i="11"/>
  <c r="Y8" i="11"/>
  <c r="G8" i="23"/>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N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R7" i="11" l="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O9" i="23"/>
  <c r="O8" i="23"/>
  <c r="P9" i="23"/>
  <c r="P16" i="23"/>
  <c r="P7" i="11"/>
  <c r="P6" i="11"/>
  <c r="AM8" i="11"/>
  <c r="AM5" i="11"/>
  <c r="AO6" i="11"/>
  <c r="AN5" i="11"/>
  <c r="AN4" i="11"/>
  <c r="P3" i="23"/>
  <c r="P7" i="23"/>
  <c r="P6" i="23"/>
  <c r="L2" i="21"/>
  <c r="I16" i="21"/>
  <c r="L11" i="21"/>
  <c r="L9" i="21"/>
  <c r="Q17" i="23"/>
  <c r="P13" i="23"/>
  <c r="Q19" i="23"/>
  <c r="P4" i="11"/>
  <c r="AM4" i="11"/>
  <c r="AO7" i="11"/>
  <c r="AO5" i="11"/>
  <c r="AN8" i="11"/>
  <c r="P12" i="23"/>
  <c r="P10" i="23"/>
  <c r="P2" i="23"/>
  <c r="Q15" i="23"/>
  <c r="I6" i="21"/>
  <c r="L13" i="21"/>
  <c r="L4" i="21"/>
  <c r="P11" i="23"/>
  <c r="P8" i="11"/>
  <c r="AM6" i="11"/>
  <c r="AO4" i="11"/>
  <c r="AN6" i="11"/>
  <c r="P4" i="23"/>
  <c r="P5" i="23"/>
  <c r="P14" i="23"/>
  <c r="I2" i="21"/>
  <c r="L10" i="21"/>
  <c r="L16" i="21"/>
  <c r="L5" i="21"/>
  <c r="P5" i="11"/>
  <c r="AM7" i="11"/>
  <c r="AO8" i="11"/>
  <c r="AN7" i="11"/>
  <c r="P8" i="23"/>
  <c r="L12" i="21"/>
  <c r="I4" i="21"/>
  <c r="L6" i="21"/>
  <c r="I5" i="21"/>
  <c r="AX4" i="11" l="1"/>
  <c r="BI4" i="11"/>
  <c r="J2" i="21"/>
  <c r="J6" i="21"/>
  <c r="J16" i="21"/>
  <c r="T7" i="11"/>
  <c r="Q16" i="23"/>
  <c r="Q8" i="23"/>
  <c r="T4" i="11"/>
  <c r="Q10" i="23"/>
  <c r="BO4" i="11"/>
  <c r="Q5" i="23"/>
  <c r="Q12" i="23"/>
  <c r="Q14" i="23"/>
  <c r="Q6" i="23"/>
  <c r="Q3" i="23"/>
  <c r="Q7" i="23"/>
  <c r="BF4" i="11"/>
  <c r="BH4" i="11"/>
  <c r="Q13" i="23"/>
  <c r="AU4" i="11"/>
  <c r="Q2" i="23"/>
  <c r="Q9" i="23"/>
  <c r="T5" i="11"/>
  <c r="Q18" i="23"/>
  <c r="T8" i="11"/>
  <c r="Q11" i="23"/>
  <c r="BG4" i="11"/>
  <c r="Q4" i="23"/>
  <c r="T6" i="11"/>
  <c r="CD5" i="11"/>
  <c r="BX4" i="11" l="1"/>
  <c r="BW4" i="11"/>
  <c r="M2" i="11"/>
  <c r="J2" i="11"/>
  <c r="B5" i="11"/>
  <c r="BP4" i="11"/>
  <c r="BQ4" i="11"/>
  <c r="BN4" i="11"/>
  <c r="BR4" i="11"/>
  <c r="E4" i="20" l="1"/>
  <c r="AJ6" i="11" l="1"/>
  <c r="AJ7" i="11"/>
  <c r="AJ4" i="11"/>
  <c r="AJ8" i="11"/>
  <c r="AJ3" i="11"/>
  <c r="AJ5"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AL6" i="11"/>
  <c r="AL5" i="11"/>
  <c r="K8" i="21"/>
  <c r="AL8" i="11"/>
  <c r="I3" i="21"/>
  <c r="AL7" i="11"/>
  <c r="K14" i="21"/>
  <c r="V5" i="4"/>
  <c r="AL4" i="11"/>
  <c r="K7" i="21"/>
  <c r="AT4" i="11"/>
  <c r="AW4" i="11"/>
  <c r="AV4" i="11"/>
  <c r="BK4" i="11"/>
  <c r="BL4" i="11"/>
  <c r="AE7" i="11" l="1"/>
  <c r="AE8" i="11"/>
  <c r="AE5" i="11"/>
  <c r="AE4" i="11"/>
  <c r="AE6" i="11"/>
  <c r="AC6" i="11"/>
  <c r="AC7" i="11"/>
  <c r="AC4" i="11"/>
  <c r="AC8" i="11"/>
  <c r="AC5" i="11"/>
  <c r="BV4" i="11"/>
  <c r="BU4" i="11"/>
  <c r="BT4" i="11"/>
  <c r="BC7" i="11"/>
  <c r="AQ7" i="11"/>
  <c r="W7" i="11"/>
  <c r="BA5" i="11"/>
  <c r="BA4" i="11"/>
  <c r="BC8" i="11"/>
  <c r="AQ8" i="11"/>
  <c r="W8" i="11"/>
  <c r="BA6" i="11"/>
  <c r="BD4" i="11"/>
  <c r="AZ4" i="11"/>
  <c r="BA7" i="11"/>
  <c r="BC5" i="11"/>
  <c r="AQ5" i="11"/>
  <c r="W5" i="11"/>
  <c r="BC4" i="11"/>
  <c r="AQ4" i="11"/>
  <c r="W4" i="11"/>
  <c r="BA8" i="11"/>
  <c r="BC6" i="11"/>
  <c r="AQ6" i="11"/>
  <c r="W6" i="11"/>
  <c r="BT2" i="11"/>
  <c r="AZ2" i="11"/>
  <c r="BS2" i="11"/>
  <c r="BB2" i="11"/>
  <c r="BD2" i="11"/>
  <c r="BA2" i="11"/>
  <c r="BC2" i="11"/>
  <c r="AQ2" i="11"/>
  <c r="AY4" i="11"/>
  <c r="BB4" i="11" s="1"/>
  <c r="Z2" i="11"/>
  <c r="J7" i="21"/>
  <c r="J3" i="21"/>
  <c r="H5" i="7"/>
  <c r="U4" i="11"/>
  <c r="U5" i="11"/>
  <c r="U6" i="11"/>
  <c r="L7" i="21"/>
  <c r="BJ4" i="11"/>
  <c r="L15" i="21"/>
  <c r="U8" i="11"/>
  <c r="U7" i="11"/>
  <c r="I7" i="11" l="1"/>
  <c r="G6" i="11"/>
  <c r="I8" i="11"/>
  <c r="G7" i="11"/>
  <c r="G8" i="11"/>
  <c r="I5" i="11"/>
  <c r="I4" i="11"/>
  <c r="I6" i="11"/>
  <c r="G5" i="11"/>
  <c r="G2" i="11"/>
  <c r="H6" i="7"/>
  <c r="L8" i="21"/>
  <c r="L14" i="21"/>
  <c r="V4" i="11"/>
  <c r="V7" i="11"/>
  <c r="V8" i="11"/>
  <c r="V6" i="11"/>
  <c r="V5"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V5" i="11"/>
  <c r="BL6" i="11"/>
  <c r="BG5" i="11"/>
  <c r="AD7" i="11"/>
  <c r="AD5" i="11"/>
  <c r="AD6" i="11"/>
  <c r="AD4" i="11"/>
  <c r="AD8" i="11"/>
  <c r="AT5" i="11"/>
  <c r="BM5" i="11"/>
  <c r="AW5" i="11"/>
  <c r="BJ5" i="11"/>
  <c r="BH5" i="11"/>
  <c r="BK6" i="11"/>
  <c r="AU5" i="11"/>
  <c r="AH5" i="11" l="1"/>
  <c r="AH6" i="11"/>
  <c r="AH7" i="11"/>
  <c r="AH8" i="11"/>
  <c r="AK7" i="11"/>
  <c r="AK8" i="11"/>
  <c r="AK5" i="11"/>
  <c r="AK6" i="11"/>
  <c r="AF3" i="11"/>
  <c r="AG8" i="11"/>
  <c r="AG5" i="11"/>
  <c r="AG6" i="11"/>
  <c r="AG7" i="11"/>
  <c r="AZ5" i="11"/>
  <c r="BB5" i="11"/>
  <c r="BD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V6" i="11"/>
  <c r="BL7" i="11"/>
  <c r="BM6" i="11"/>
  <c r="BO6" i="11"/>
  <c r="AT6" i="11"/>
  <c r="AU6" i="11"/>
  <c r="BJ6" i="11"/>
  <c r="BF6" i="11"/>
  <c r="AW6" i="11"/>
  <c r="BO5" i="11"/>
  <c r="A3" i="15"/>
  <c r="BG6" i="11"/>
  <c r="BH6" i="11"/>
  <c r="BK7" i="11"/>
  <c r="BF5" i="11"/>
  <c r="C3" i="15"/>
  <c r="D3" i="15" l="1"/>
  <c r="BW6" i="11"/>
  <c r="BV6" i="11"/>
  <c r="BX6" i="11"/>
  <c r="BV5" i="11"/>
  <c r="BX5" i="11"/>
  <c r="BW5" i="11"/>
  <c r="BS5" i="11"/>
  <c r="BS6" i="11"/>
  <c r="BB6" i="11"/>
  <c r="BD6" i="11"/>
  <c r="AZ6" i="11"/>
  <c r="BT6" i="11"/>
  <c r="BI7" i="11"/>
  <c r="AX7" i="11"/>
  <c r="BE7" i="11"/>
  <c r="AY7" i="11"/>
  <c r="B3" i="15"/>
  <c r="AS7" i="11"/>
  <c r="AR8" i="11"/>
  <c r="BR6" i="11"/>
  <c r="BN6" i="11"/>
  <c r="BP5" i="11"/>
  <c r="BP6" i="11"/>
  <c r="BR5" i="11"/>
  <c r="AT7" i="11"/>
  <c r="BK8" i="11"/>
  <c r="BO7" i="11"/>
  <c r="AU7" i="11"/>
  <c r="BQ5" i="11"/>
  <c r="BH7" i="11"/>
  <c r="AW7" i="11"/>
  <c r="BJ7" i="11"/>
  <c r="BG7" i="11"/>
  <c r="BN5" i="11"/>
  <c r="BQ6" i="11"/>
  <c r="AV7" i="11"/>
  <c r="BM7" i="11"/>
  <c r="BF7" i="11"/>
  <c r="BL8" i="11"/>
  <c r="BU6" i="11" l="1"/>
  <c r="BU5" i="11"/>
  <c r="BX7" i="11"/>
  <c r="BW7" i="11"/>
  <c r="BV7" i="11"/>
  <c r="BS7" i="11"/>
  <c r="BT7" i="11"/>
  <c r="BB7" i="11"/>
  <c r="BD7" i="11"/>
  <c r="AZ7" i="11"/>
  <c r="BI8" i="11"/>
  <c r="AX8" i="11"/>
  <c r="BE8" i="11"/>
  <c r="AY8" i="11"/>
  <c r="AS8" i="11"/>
  <c r="Y2" i="11"/>
  <c r="BR7" i="11"/>
  <c r="BQ7" i="11"/>
  <c r="AT8" i="11"/>
  <c r="BH8" i="11"/>
  <c r="AV8" i="11"/>
  <c r="BF8" i="11"/>
  <c r="BP7" i="11"/>
  <c r="AW8" i="11"/>
  <c r="BG8" i="11"/>
  <c r="BN7" i="11"/>
  <c r="BJ8" i="11"/>
  <c r="BM8" i="11"/>
  <c r="AU8" i="11"/>
  <c r="BO8" i="11"/>
  <c r="BU7" i="11" l="1"/>
  <c r="BX8" i="11"/>
  <c r="BW8" i="11"/>
  <c r="BV8" i="11"/>
  <c r="BS8" i="11"/>
  <c r="BT8" i="11"/>
  <c r="BD8" i="11"/>
  <c r="AZ8" i="11"/>
  <c r="BB8" i="11"/>
  <c r="V3" i="4"/>
  <c r="BN8" i="11"/>
  <c r="BP8" i="11"/>
  <c r="BR8" i="11"/>
  <c r="BQ8" i="11"/>
  <c r="BU8" i="11" l="1"/>
  <c r="BW2" i="11" l="1"/>
  <c r="BU2" i="11"/>
  <c r="BX3" i="11"/>
  <c r="BV2" i="11"/>
  <c r="BX2" i="11"/>
  <c r="BU3"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<sst xmlns="http://schemas.openxmlformats.org/spreadsheetml/2006/main" count="1967" uniqueCount="1702">
  <si>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</si>
  <si>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</si>
  <si>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</si>
  <si>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</si>
  <si>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</si>
  <si>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</si>
  <si>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</si>
  <si>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</si>
  <si>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</si>
  <si>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</si>
  <si>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</si>
  <si>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</si>
  <si>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</si>
  <si>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</si>
  <si>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</si>
  <si>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</si>
  <si>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</si>
  <si>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</si>
  <si>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</si>
  <si>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</si>
  <si>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</si>
  <si>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</si>
  <si>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</si>
  <si>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</si>
  <si>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</si>
  <si>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</si>
  <si>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</si>
  <si>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</si>
  <si>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</si>
  <si>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</si>
  <si>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</si>
  <si>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</si>
  <si>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</si>
  <si>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</si>
  <si>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</si>
  <si>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</si>
  <si>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</si>
  <si>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</si>
  <si>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</si>
  <si>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</si>
  <si>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</si>
  <si>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</si>
  <si>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</si>
  <si>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</si>
  <si>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</si>
  <si>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</si>
  <si>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</si>
  <si>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</si>
  <si>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</si>
  <si>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</si>
  <si>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</si>
  <si>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</si>
  <si>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</si>
  <si>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</si>
  <si>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</si>
  <si>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</si>
  <si>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</si>
  <si>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</si>
  <si>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</si>
  <si>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</si>
  <si>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</si>
  <si>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</si>
  <si>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</si>
  <si>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</si>
  <si>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</si>
  <si>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</si>
  <si>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</si>
  <si>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</si>
  <si>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</si>
  <si>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</si>
  <si>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</si>
  <si>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</si>
  <si>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</si>
  <si>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</si>
  <si>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</si>
  <si>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</si>
  <si>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</si>
  <si>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</si>
  <si>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</si>
  <si>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</si>
  <si>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</si>
  <si>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</si>
  <si>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</si>
  <si>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</si>
  <si>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</si>
  <si>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</si>
  <si>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</si>
  <si>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</si>
  <si>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</si>
  <si>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</si>
  <si>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</si>
  <si>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</si>
  <si>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</si>
  <si>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</si>
  <si>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</si>
  <si>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</si>
  <si>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</si>
  <si>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</si>
  <si>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</si>
  <si>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</si>
  <si>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</si>
  <si>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</si>
  <si>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</si>
  <si>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</si>
  <si>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</si>
  <si>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</si>
  <si>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</si>
  <si>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</si>
  <si>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</si>
  <si>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</si>
  <si>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</si>
  <si>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</si>
  <si>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</si>
  <si>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</si>
  <si>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</si>
  <si>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</si>
  <si>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</si>
  <si>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</si>
  <si>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</si>
  <si>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</si>
  <si>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</si>
  <si>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</si>
  <si>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</si>
  <si>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</si>
  <si>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</si>
  <si>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</si>
  <si>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</si>
  <si>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</si>
  <si>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</si>
  <si>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</si>
  <si>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</si>
  <si>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</si>
  <si>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</si>
  <si>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</si>
  <si>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</si>
  <si>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</si>
  <si>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</si>
  <si>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</si>
  <si>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</si>
  <si>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</si>
  <si>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</si>
  <si>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</si>
  <si>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</si>
  <si>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</si>
  <si>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</si>
  <si>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</si>
  <si>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</si>
  <si>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</si>
  <si>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</si>
  <si>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</si>
  <si>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</si>
  <si>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</si>
  <si>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</si>
  <si>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</si>
  <si>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</si>
  <si>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</si>
  <si>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</si>
  <si>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</si>
  <si>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</si>
  <si>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</si>
  <si>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</si>
  <si>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</si>
  <si>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</si>
  <si>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</si>
  <si>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</si>
  <si>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</si>
  <si>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</si>
  <si>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</si>
  <si>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</si>
  <si>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</si>
  <si>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</si>
  <si>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</si>
  <si>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</si>
  <si>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</si>
  <si>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</si>
  <si>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</si>
  <si>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</si>
  <si>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</si>
  <si>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</si>
  <si>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</si>
  <si>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</si>
  <si>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</si>
  <si>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</si>
  <si>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</si>
  <si>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</si>
  <si>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</si>
  <si>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</si>
  <si>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</si>
  <si>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</si>
  <si>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</si>
  <si>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</si>
  <si>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</si>
  <si>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</si>
  <si>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</si>
  <si>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</si>
  <si>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</si>
  <si>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</si>
  <si>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</si>
  <si>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</si>
  <si>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</si>
  <si>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</si>
  <si>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</si>
  <si>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</si>
  <si>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</si>
  <si>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</si>
  <si>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</si>
  <si>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</si>
  <si>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</si>
  <si>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</si>
  <si>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</si>
  <si>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</si>
  <si>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</si>
  <si>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</si>
  <si>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</si>
  <si>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</si>
  <si>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</si>
  <si>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</si>
  <si>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</si>
  <si>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</si>
  <si>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</si>
  <si>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</si>
  <si>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</si>
  <si>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</si>
  <si>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</si>
  <si>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</si>
  <si>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</si>
  <si>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</si>
  <si>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</si>
  <si>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</si>
  <si>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</si>
  <si>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</si>
  <si>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</si>
  <si>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</si>
  <si>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</si>
  <si>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</si>
  <si>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</si>
  <si>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</si>
  <si>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</si>
  <si>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</si>
  <si>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</si>
  <si>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</si>
  <si>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</si>
  <si>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</si>
  <si>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</si>
  <si>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</si>
  <si>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</si>
  <si>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</si>
  <si>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</si>
  <si>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</si>
  <si>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</si>
  <si>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</si>
  <si>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</si>
  <si>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</si>
  <si>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</si>
  <si>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</si>
  <si>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</si>
  <si>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</si>
  <si>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</si>
  <si>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</si>
  <si>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</si>
  <si>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</si>
  <si>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</si>
  <si>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</si>
  <si>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</si>
  <si>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</si>
  <si>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</si>
  <si>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</si>
  <si>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</si>
  <si>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</si>
  <si>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</si>
  <si>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</si>
  <si>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</si>
  <si>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</si>
  <si>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</si>
  <si>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</si>
  <si>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</si>
  <si>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</si>
  <si>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</si>
  <si>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</si>
  <si>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</si>
  <si>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</si>
  <si>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</si>
  <si>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</si>
  <si>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</si>
  <si>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</si>
  <si>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</si>
  <si>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</si>
  <si>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</si>
  <si>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</si>
  <si>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</si>
  <si>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</si>
  <si>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</si>
  <si>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</si>
  <si>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</si>
  <si>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</si>
  <si>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</si>
  <si>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</si>
  <si>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</si>
  <si>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</si>
  <si>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</si>
  <si>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</si>
  <si>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</si>
  <si>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</si>
  <si>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</si>
  <si>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</si>
  <si>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</si>
  <si>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</si>
  <si>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</si>
  <si>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</si>
  <si>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</si>
  <si>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</si>
  <si>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</si>
  <si>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</si>
  <si>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</si>
  <si>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</si>
  <si>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</si>
  <si>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</si>
  <si>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</si>
  <si>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</si>
  <si>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</si>
  <si>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</si>
  <si>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</si>
  <si>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</si>
  <si>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</si>
  <si>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</si>
  <si>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</si>
  <si>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</si>
  <si>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</si>
  <si>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</si>
  <si>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</si>
  <si>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</si>
  <si>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</si>
  <si>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</si>
  <si>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</si>
  <si>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</si>
  <si>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</si>
  <si>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</si>
  <si>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</si>
  <si>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</si>
  <si>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</si>
  <si>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</si>
  <si>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</si>
  <si>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</si>
  <si>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</si>
  <si>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</si>
  <si>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</si>
  <si>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</si>
  <si>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</si>
  <si>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</si>
  <si>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</si>
  <si>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</si>
  <si>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</si>
  <si>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</si>
  <si>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</si>
  <si>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</si>
  <si>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</si>
  <si>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</si>
  <si>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</si>
  <si>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</si>
  <si>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</si>
  <si>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</si>
  <si>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</si>
  <si>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</si>
  <si>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</si>
  <si>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</si>
  <si>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</si>
  <si>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</si>
  <si>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</si>
  <si>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</si>
  <si>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</si>
  <si>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</si>
  <si>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</si>
  <si>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</si>
  <si>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</si>
  <si>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</si>
  <si>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</si>
  <si>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</si>
  <si>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</si>
  <si>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</si>
  <si>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</si>
  <si>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</si>
  <si>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</si>
  <si>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</si>
  <si>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</si>
  <si>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</si>
  <si>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</si>
  <si>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</si>
  <si>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</si>
  <si>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</si>
  <si>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</si>
  <si>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</si>
  <si>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</si>
  <si>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</si>
  <si>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</si>
  <si>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</si>
  <si>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</si>
  <si>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</si>
  <si>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</si>
  <si>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</si>
  <si>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</si>
  <si>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</si>
  <si>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</si>
  <si>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</si>
  <si>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</si>
  <si>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</si>
  <si>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</si>
  <si>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</si>
  <si>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</si>
  <si>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</si>
  <si>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</si>
  <si>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</si>
  <si>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</si>
  <si>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</si>
  <si>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</si>
  <si>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</si>
  <si>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</si>
  <si>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</si>
  <si>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</si>
  <si>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</si>
  <si>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</si>
  <si>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</si>
  <si>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</si>
  <si>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</si>
  <si>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</si>
  <si>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</si>
  <si>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</si>
  <si>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</si>
  <si>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</si>
  <si>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</si>
  <si>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</si>
  <si>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</si>
  <si>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</si>
  <si>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</si>
  <si>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</si>
  <si>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</si>
  <si>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</si>
  <si>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</si>
  <si>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</si>
  <si>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</si>
  <si>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</si>
  <si>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</si>
  <si>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</si>
  <si>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</si>
  <si>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</si>
  <si>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</si>
  <si>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</si>
  <si>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</si>
  <si>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</si>
  <si>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</si>
  <si>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</si>
  <si>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</si>
  <si>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</si>
  <si>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</si>
  <si>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</si>
  <si>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</si>
  <si>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</si>
  <si>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</si>
  <si>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</si>
  <si>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</si>
  <si>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</si>
  <si>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</si>
  <si>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</si>
  <si>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</si>
  <si>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</si>
  <si>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</si>
  <si>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</si>
  <si>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</si>
  <si>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</si>
  <si>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</si>
  <si>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</si>
  <si>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</si>
  <si>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</si>
  <si>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</si>
  <si>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</si>
  <si>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</si>
  <si>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</si>
  <si>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</si>
  <si>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</si>
  <si>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</si>
  <si>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</si>
  <si>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</si>
  <si>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</si>
  <si>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</si>
  <si>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</si>
  <si>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</si>
  <si>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</si>
  <si>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</si>
  <si>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</si>
  <si>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</si>
  <si>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</si>
  <si>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</si>
  <si>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</si>
  <si>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</si>
  <si>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</si>
  <si>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</si>
  <si>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</si>
  <si>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</si>
  <si>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</si>
  <si>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</si>
  <si>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</si>
  <si>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</si>
  <si>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</si>
  <si>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</si>
  <si>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</si>
  <si>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</si>
  <si>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</si>
  <si>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</si>
  <si>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</si>
  <si>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</si>
  <si>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</si>
  <si>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</si>
  <si>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</si>
  <si>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</si>
  <si>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</si>
  <si>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</si>
  <si>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</si>
  <si>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</si>
  <si>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</si>
  <si>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</si>
  <si>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</si>
  <si>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</si>
  <si>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</si>
  <si>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</si>
  <si>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</si>
  <si>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</si>
  <si>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</si>
  <si>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</si>
  <si>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</si>
  <si>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</si>
  <si>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</si>
  <si>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</si>
  <si>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</si>
  <si>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</si>
  <si>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</si>
  <si>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</si>
  <si>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</si>
  <si>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</si>
  <si>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</si>
  <si>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</si>
  <si>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</si>
  <si>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</si>
  <si>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</si>
  <si>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</si>
  <si>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</si>
  <si>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</si>
  <si>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</si>
  <si>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</si>
  <si>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</si>
  <si>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</si>
  <si>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</si>
  <si>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</si>
  <si>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</si>
  <si>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</si>
  <si>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</si>
  <si>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</si>
  <si>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</si>
  <si>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</si>
  <si>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</si>
  <si>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</si>
  <si>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</si>
  <si>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</si>
  <si>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</si>
  <si>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</si>
  <si>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</si>
  <si>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</si>
  <si>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</si>
  <si>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</si>
  <si>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</si>
  <si>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</si>
  <si>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</si>
  <si>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</si>
  <si>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</si>
  <si>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</si>
  <si>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</si>
  <si>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</si>
  <si>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</si>
  <si>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</si>
  <si>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</si>
  <si>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</si>
  <si>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</si>
  <si>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</si>
  <si>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</si>
  <si>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</si>
  <si>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</si>
  <si>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</si>
  <si>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</si>
  <si>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</si>
  <si>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</si>
  <si>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</si>
  <si>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</si>
  <si>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</si>
  <si>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</si>
  <si>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</si>
  <si>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</si>
  <si>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</si>
  <si>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</si>
  <si>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</si>
  <si>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</si>
  <si>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</si>
  <si>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</si>
  <si>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</si>
  <si>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</si>
  <si>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</si>
  <si>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</si>
  <si>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</si>
  <si>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</si>
  <si>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</si>
  <si>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</si>
  <si>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</si>
  <si>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</si>
  <si>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</si>
  <si>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</si>
  <si>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</si>
  <si>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</si>
  <si>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</si>
  <si>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</si>
  <si>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</si>
  <si>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</si>
  <si>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</si>
  <si>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</si>
  <si>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</si>
  <si>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</si>
  <si>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</si>
  <si>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</si>
  <si>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</si>
  <si>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</si>
  <si>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</si>
  <si>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</si>
  <si>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</si>
  <si>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</si>
  <si>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</si>
  <si>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</si>
  <si>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</si>
  <si>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</si>
  <si>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</si>
  <si>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</si>
  <si>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</si>
  <si>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</si>
  <si>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</si>
  <si>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</si>
  <si>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</si>
  <si>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</si>
  <si>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</si>
  <si>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</si>
  <si>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</si>
  <si>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</si>
  <si>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</si>
  <si>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</si>
  <si>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</si>
  <si>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</si>
  <si>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</si>
  <si>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</si>
  <si>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</si>
  <si>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</si>
  <si>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</si>
  <si>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</si>
  <si>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</si>
  <si>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</si>
  <si>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</si>
  <si>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</si>
  <si>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</si>
  <si>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</si>
  <si>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</si>
  <si>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</si>
  <si>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</si>
  <si>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</si>
  <si>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</si>
  <si>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</si>
  <si>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</si>
  <si>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</si>
  <si>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</si>
  <si>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</si>
  <si>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</si>
  <si>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</si>
  <si>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</si>
  <si>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</si>
  <si>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</si>
  <si>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</si>
  <si>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</si>
  <si>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</si>
  <si>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</si>
  <si>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</si>
  <si>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</si>
  <si>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</si>
  <si>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</si>
  <si>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</si>
  <si>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</si>
  <si>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</si>
  <si>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</si>
  <si>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</si>
  <si>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</si>
  <si>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</si>
  <si>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</si>
  <si>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</si>
  <si>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</si>
  <si>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</si>
  <si>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</si>
  <si>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</si>
  <si>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</si>
  <si>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</si>
  <si>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</si>
  <si>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</si>
  <si>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</si>
  <si>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</si>
  <si>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</si>
  <si>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</si>
  <si>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</si>
  <si>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</si>
  <si>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</si>
  <si>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</si>
  <si>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</si>
  <si>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</si>
  <si>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</si>
  <si>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</si>
  <si>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</si>
  <si>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</si>
  <si>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</si>
  <si>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</si>
  <si>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</si>
  <si>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</si>
  <si>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</si>
  <si>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</si>
  <si>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</si>
  <si>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</si>
  <si>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</si>
  <si>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</si>
  <si>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</si>
  <si>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</si>
  <si>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</si>
  <si>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</si>
  <si>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</si>
  <si>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</si>
  <si>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</si>
  <si>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</si>
  <si>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</si>
  <si>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</si>
  <si>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</si>
  <si>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</si>
  <si>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</si>
  <si>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</si>
  <si>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</si>
  <si>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</si>
  <si>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</si>
  <si>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</si>
  <si>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</si>
  <si>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</si>
  <si>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</si>
  <si>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</si>
  <si>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</si>
  <si>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</si>
  <si>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</si>
  <si>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</si>
  <si>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</si>
  <si>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</si>
  <si>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</si>
  <si>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</si>
  <si>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</si>
  <si>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</si>
  <si>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</si>
  <si>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</si>
  <si>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</si>
  <si>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</si>
  <si>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</si>
  <si>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</si>
  <si>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</si>
  <si>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</si>
  <si>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</si>
  <si>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</si>
  <si>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</si>
  <si>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</si>
  <si>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</si>
  <si>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</si>
  <si>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</si>
  <si>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</si>
  <si>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</si>
  <si>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</si>
  <si>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</si>
  <si>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</si>
  <si>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</si>
  <si>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</si>
  <si>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</si>
  <si>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</si>
  <si>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</si>
  <si>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</si>
  <si>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</si>
  <si>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</si>
  <si>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</si>
  <si>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</si>
  <si>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</si>
  <si>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</si>
  <si>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</si>
  <si>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</si>
  <si>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</si>
  <si>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</si>
  <si>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</si>
  <si>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</si>
  <si>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</si>
  <si>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</si>
  <si>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</si>
  <si>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</si>
  <si>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</si>
  <si>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</si>
  <si>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</si>
  <si>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</si>
  <si>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</si>
  <si>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</si>
  <si>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</si>
  <si>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</si>
  <si>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</si>
  <si>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</si>
  <si>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</si>
  <si>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</si>
  <si>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</si>
  <si>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</si>
  <si>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</si>
  <si>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</si>
  <si>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</si>
  <si>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</si>
  <si>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</si>
  <si>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</si>
  <si>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</si>
  <si>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</si>
  <si>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</si>
  <si>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</si>
  <si>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</si>
  <si>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</si>
  <si>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</si>
  <si>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</si>
  <si>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</si>
  <si>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</si>
  <si>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</si>
  <si>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</si>
  <si>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</si>
  <si>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</si>
  <si>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</si>
  <si>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</si>
  <si>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</si>
  <si>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</si>
  <si>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</si>
  <si>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</si>
  <si>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</si>
  <si>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</si>
  <si>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</si>
  <si>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</si>
  <si>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</si>
  <si>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</si>
  <si>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</si>
  <si>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</si>
  <si>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</si>
  <si>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</si>
  <si>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</si>
  <si>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</si>
  <si>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</si>
  <si>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</si>
  <si>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</si>
  <si>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</si>
  <si>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</si>
  <si>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</si>
  <si>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</si>
  <si>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</si>
  <si>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</si>
  <si>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</si>
  <si>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</si>
  <si>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</si>
  <si>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</si>
  <si>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</si>
  <si>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</si>
  <si>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</si>
  <si>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</si>
  <si>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</si>
  <si>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</si>
  <si>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</si>
  <si>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</si>
  <si>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</si>
  <si>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</si>
  <si>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</si>
  <si>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</si>
  <si>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</si>
  <si>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</si>
  <si>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</si>
  <si>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</si>
  <si>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</si>
  <si>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</si>
  <si>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</si>
  <si>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</si>
  <si>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</si>
  <si>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</si>
  <si>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</si>
  <si>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</si>
  <si>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</si>
  <si>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</si>
  <si>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</si>
  <si>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</si>
  <si>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</si>
  <si>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</si>
  <si>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</si>
  <si>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</si>
  <si>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</si>
  <si>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</si>
  <si>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</si>
  <si>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</si>
  <si>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</si>
  <si>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</si>
  <si>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</si>
  <si>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</si>
  <si>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</si>
  <si>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</si>
  <si>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</si>
  <si>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</si>
  <si>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</si>
  <si>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</si>
  <si>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</si>
  <si>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</si>
  <si>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</si>
  <si>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</si>
  <si>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</si>
  <si>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</si>
  <si>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</si>
  <si>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</si>
  <si>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</si>
  <si>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</si>
  <si>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</si>
  <si>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</si>
  <si>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</si>
  <si>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</si>
  <si>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</si>
  <si>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</si>
  <si>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</si>
  <si>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</si>
  <si>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</si>
  <si>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</si>
  <si>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</si>
  <si>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</si>
  <si>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</si>
  <si>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</si>
  <si>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</si>
  <si>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</si>
  <si>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</si>
  <si>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</si>
  <si>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</si>
  <si>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</si>
  <si>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</si>
  <si>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</si>
  <si>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</si>
  <si>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</si>
  <si>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</si>
  <si>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</si>
  <si>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</si>
  <si>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</si>
  <si>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</si>
  <si>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</si>
  <si>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</si>
  <si>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</si>
  <si>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</si>
  <si>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</si>
  <si>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</si>
  <si>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</si>
  <si>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</si>
  <si>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</si>
  <si>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</si>
  <si>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</si>
  <si>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</si>
  <si>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</si>
  <si>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</si>
  <si>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</si>
  <si>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</si>
  <si>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</si>
  <si>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</si>
  <si>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</si>
  <si>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</si>
  <si>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</si>
  <si>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</si>
  <si>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</si>
  <si>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</si>
  <si>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</si>
  <si>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</si>
  <si>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</si>
  <si>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</si>
  <si>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</si>
  <si>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</si>
  <si>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</si>
  <si>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</si>
  <si>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</si>
  <si>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</si>
  <si>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</si>
  <si>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</si>
  <si>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</si>
  <si>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</si>
  <si>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</si>
  <si>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</si>
  <si>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</si>
  <si>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</si>
  <si>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</si>
  <si>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</si>
  <si>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</si>
  <si>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</si>
  <si>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</si>
  <si>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</si>
  <si>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</si>
  <si>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</si>
  <si>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</si>
  <si>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</si>
  <si>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</si>
  <si>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</si>
  <si>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</si>
  <si>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</si>
  <si>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</si>
  <si>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</si>
  <si>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</si>
  <si>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</si>
  <si>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</si>
  <si>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</si>
  <si>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</si>
  <si>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</si>
  <si>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</si>
  <si>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</si>
  <si>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</si>
  <si>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</si>
  <si>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</si>
  <si>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</si>
  <si>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</si>
  <si>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</si>
  <si>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</si>
  <si>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</si>
  <si>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</si>
  <si>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</si>
  <si>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</si>
  <si>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</si>
  <si>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</si>
  <si>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</si>
  <si>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</si>
  <si>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</si>
  <si>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</si>
  <si>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</si>
  <si>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</si>
  <si>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</si>
  <si>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</si>
  <si>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</si>
  <si>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</si>
  <si>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</si>
  <si>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</si>
  <si>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</si>
  <si>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</si>
  <si>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</si>
  <si>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</si>
  <si>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</si>
  <si>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</si>
  <si>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</si>
  <si>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</si>
  <si>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</si>
  <si>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</si>
  <si>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</si>
  <si>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</si>
  <si>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</si>
  <si>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</si>
  <si>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</si>
  <si>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</si>
  <si>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</si>
  <si>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</si>
  <si>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</si>
  <si>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</si>
  <si>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</si>
  <si>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</si>
  <si>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</si>
  <si>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</si>
  <si>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</si>
  <si>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</si>
  <si>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</si>
  <si>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</si>
  <si>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</si>
  <si>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</si>
  <si>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</si>
  <si>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</si>
  <si>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</si>
  <si>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</si>
  <si>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</si>
  <si>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</si>
  <si>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</si>
  <si>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</si>
  <si>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</si>
  <si>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</si>
  <si>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</si>
  <si>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</si>
  <si>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</si>
  <si>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</si>
  <si>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</si>
  <si>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</si>
  <si>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</si>
  <si>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</si>
  <si>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</si>
  <si>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</si>
  <si>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</si>
  <si>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</si>
  <si>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</si>
  <si>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</si>
  <si>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</si>
  <si>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</si>
  <si>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</si>
  <si>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</si>
  <si>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</si>
  <si>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</si>
  <si>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</si>
  <si>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</si>
  <si>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</si>
  <si>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</si>
  <si>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</si>
  <si>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</si>
  <si>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</si>
  <si>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</si>
  <si>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</si>
  <si>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</si>
  <si>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</si>
  <si>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</si>
  <si>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</si>
  <si>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</si>
  <si>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</si>
  <si>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</si>
  <si>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</si>
  <si>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</si>
  <si>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</si>
  <si>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</si>
  <si>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</si>
  <si>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</si>
  <si>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</si>
  <si>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</si>
  <si>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</si>
  <si>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</si>
  <si>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</si>
  <si>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</si>
  <si>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</si>
  <si>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</si>
  <si>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</si>
  <si>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</si>
  <si>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</si>
  <si>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</si>
  <si>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</si>
  <si>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</si>
  <si>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</si>
  <si>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</si>
  <si>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</si>
  <si>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</si>
  <si>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</si>
  <si>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</si>
  <si>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</si>
  <si>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</si>
  <si>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</si>
  <si>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</si>
  <si>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</si>
  <si>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</si>
  <si>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</si>
  <si>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</si>
  <si>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</si>
  <si>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</si>
  <si>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</si>
  <si>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</si>
  <si>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</si>
  <si>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</si>
  <si>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</si>
  <si>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</si>
  <si>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</si>
  <si>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</si>
  <si>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</si>
  <si>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</si>
  <si>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</si>
  <si>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</si>
  <si>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</si>
  <si>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</si>
  <si>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</si>
  <si>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</si>
  <si>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</si>
  <si>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</si>
  <si>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</si>
  <si>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</si>
  <si>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</si>
  <si>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</si>
  <si>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</si>
  <si>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</si>
  <si>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</si>
  <si>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</si>
  <si>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</si>
  <si>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</si>
  <si>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</si>
  <si>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</si>
  <si>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</si>
  <si>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</si>
  <si>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</si>
  <si>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</si>
  <si>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</si>
  <si>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</si>
  <si>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</si>
  <si>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</si>
  <si>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</si>
  <si>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</si>
  <si>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</si>
  <si>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</si>
  <si>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</si>
  <si>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</si>
  <si>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</si>
  <si>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</si>
  <si>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</si>
  <si>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</si>
  <si>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</si>
  <si>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</si>
  <si>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</si>
  <si>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</si>
  <si>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</si>
  <si>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</si>
  <si>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</si>
  <si>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</si>
  <si>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</si>
  <si>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</si>
  <si>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</si>
  <si>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</si>
  <si>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</si>
  <si>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</si>
  <si>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</si>
  <si>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</si>
  <si>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</si>
  <si>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</si>
  <si>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</si>
  <si>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</si>
  <si>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</si>
  <si>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</si>
  <si>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</si>
  <si>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</si>
  <si>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</si>
  <si>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</si>
  <si>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</si>
  <si>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</si>
  <si>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</si>
  <si>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</si>
  <si>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</si>
  <si>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</si>
  <si>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</si>
  <si>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</si>
  <si>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</si>
  <si>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</si>
  <si>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</si>
  <si>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</si>
  <si>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</si>
  <si>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</si>
  <si>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</si>
  <si>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</si>
  <si>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</si>
  <si>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</si>
  <si>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</si>
  <si>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</si>
  <si>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</si>
  <si>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</si>
  <si>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</si>
  <si>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</si>
  <si>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</si>
  <si>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</si>
  <si>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</si>
  <si>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</si>
  <si>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</si>
  <si>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</si>
  <si>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</si>
  <si>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</si>
  <si>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</si>
  <si>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</si>
  <si>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</si>
  <si>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</si>
  <si>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</si>
  <si>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</si>
  <si>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</si>
  <si>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</si>
  <si>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</si>
  <si>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</si>
  <si>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</si>
  <si>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</si>
  <si>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</si>
  <si>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</si>
  <si>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</si>
  <si>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</si>
  <si>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</si>
  <si>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</si>
  <si>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</si>
  <si>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</si>
  <si>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</si>
  <si>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</si>
  <si>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</si>
  <si>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</si>
  <si>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</si>
  <si>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</si>
  <si>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</si>
  <si>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</si>
  <si>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</si>
  <si>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</si>
  <si>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</si>
  <si>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</si>
  <si>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</si>
  <si>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</si>
  <si>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</si>
  <si>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</si>
  <si>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</si>
  <si>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</si>
  <si>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</si>
  <si>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</si>
  <si>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</si>
  <si>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</si>
  <si>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</si>
  <si>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</si>
  <si>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</si>
  <si>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</si>
  <si>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</si>
  <si>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</si>
  <si>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</si>
  <si>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</si>
  <si>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</si>
  <si>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</si>
  <si>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</si>
  <si>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</si>
  <si>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</si>
  <si>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</si>
  <si>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</si>
  <si>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</si>
  <si>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</si>
  <si>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</si>
  <si>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</si>
  <si>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</si>
  <si>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</si>
  <si>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</si>
  <si>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</si>
  <si>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</si>
  <si>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</si>
  <si>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</si>
  <si>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</si>
  <si>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</si>
  <si>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</si>
  <si>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</si>
  <si>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</si>
  <si>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</si>
  <si>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</si>
  <si>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</si>
  <si>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</si>
  <si>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</si>
  <si>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</si>
  <si>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</si>
  <si>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</si>
  <si>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</si>
  <si>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</si>
  <si>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</si>
  <si>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</si>
  <si>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</si>
  <si>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</si>
  <si>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</si>
  <si>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</si>
  <si>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</si>
  <si>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</si>
  <si>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</si>
  <si>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</si>
  <si>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</si>
  <si>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</si>
  <si>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</si>
  <si>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</si>
  <si>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</si>
  <si>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</si>
  <si>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</si>
  <si>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</si>
  <si>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</si>
  <si>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</si>
  <si>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</si>
  <si>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</si>
  <si>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</si>
  <si>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</si>
  <si>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</si>
  <si>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</si>
  <si>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</si>
  <si>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</si>
  <si>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</si>
  <si>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</si>
  <si>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</si>
  <si>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</si>
  <si>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</si>
  <si>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</si>
  <si>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</si>
  <si>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</si>
  <si>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</si>
  <si>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</si>
  <si>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</si>
  <si>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</si>
  <si>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</si>
  <si>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</si>
  <si>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</si>
  <si>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</si>
  <si>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</si>
  <si>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</si>
  <si>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</si>
  <si>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</si>
  <si>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</si>
  <si>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</si>
  <si>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</si>
  <si>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</si>
  <si>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</si>
  <si>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</si>
  <si>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</si>
  <si>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</si>
  <si>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</si>
  <si>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</si>
  <si>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</si>
  <si>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</si>
  <si>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</si>
  <si>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</si>
  <si>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</si>
  <si>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</si>
  <si>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</si>
  <si>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</si>
  <si>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</si>
  <si>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</si>
  <si>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</si>
  <si>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</si>
  <si>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</si>
  <si>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</si>
  <si>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</si>
  <si>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</si>
  <si>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</si>
  <si>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</si>
  <si>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</si>
  <si>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</si>
  <si>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</si>
  <si>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</si>
  <si>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</si>
  <si>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</si>
  <si>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</si>
  <si>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</si>
  <si>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</si>
  <si>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</si>
  <si>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</si>
  <si>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</si>
  <si>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</si>
  <si>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</si>
  <si>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</si>
  <si>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</si>
  <si>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</si>
  <si>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</si>
  <si>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</si>
  <si>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</si>
  <si>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</si>
  <si>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</si>
  <si>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</si>
  <si>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</si>
  <si>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</si>
  <si>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</si>
  <si>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</si>
  <si>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</si>
  <si>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</si>
  <si>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</si>
  <si>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</si>
  <si>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</si>
  <si>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</si>
  <si>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</si>
  <si>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</si>
  <si>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</si>
  <si>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</si>
  <si>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</si>
  <si>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</si>
  <si>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</si>
  <si>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</si>
  <si>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</si>
  <si>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</si>
  <si>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</si>
  <si>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</si>
  <si>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</si>
  <si>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</si>
  <si>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</si>
  <si>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</si>
  <si>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</si>
  <si>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</si>
  <si>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</si>
  <si>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</si>
  <si>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</si>
  <si>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</si>
  <si>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</si>
  <si>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</si>
  <si>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</si>
  <si>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</si>
  <si>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</si>
  <si>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</si>
  <si>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</si>
  <si>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</si>
  <si>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</si>
  <si>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</si>
  <si>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</si>
  <si>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</si>
  <si>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</si>
  <si>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</si>
  <si>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</si>
  <si>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</si>
  <si>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</si>
  <si>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</si>
  <si>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</si>
  <si>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</si>
  <si>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</si>
  <si>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</si>
  <si>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</si>
  <si>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</si>
  <si>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</si>
  <si>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</si>
  <si>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</si>
  <si>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</si>
  <si>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</si>
  <si>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</si>
  <si>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</si>
  <si>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</si>
  <si>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</si>
  <si>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</si>
  <si>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</si>
  <si>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</si>
  <si>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</si>
  <si>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</si>
  <si>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</si>
  <si>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</si>
  <si>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</si>
  <si>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</si>
  <si>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</si>
  <si>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</si>
  <si>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</si>
  <si>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</si>
  <si>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</si>
  <si>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</si>
  <si>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</si>
  <si>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</si>
  <si>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</si>
  <si>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</si>
  <si>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</si>
  <si>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</si>
  <si>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</si>
  <si>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</si>
  <si>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</si>
  <si>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</si>
  <si>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</si>
  <si>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</si>
  <si>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</si>
  <si>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</si>
  <si>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</si>
  <si>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</si>
  <si>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</si>
  <si>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</si>
  <si>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</si>
  <si>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</si>
  <si>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</si>
  <si>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</si>
  <si>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</si>
  <si>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</si>
  <si>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</si>
  <si>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</si>
  <si>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</si>
  <si>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</si>
  <si>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</si>
  <si>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</si>
  <si>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</si>
  <si>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</si>
  <si>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</si>
  <si>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</si>
  <si>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</si>
  <si>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</si>
  <si>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</si>
  <si>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</si>
  <si>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</si>
  <si>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</si>
  <si>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</si>
  <si>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</si>
  <si>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</si>
  <si>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</si>
  <si>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</si>
  <si>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</si>
  <si>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</si>
  <si>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</si>
  <si>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</si>
  <si>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</si>
  <si>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</si>
  <si>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</si>
  <si>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</si>
  <si>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</si>
  <si>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</si>
  <si>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</si>
  <si>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</si>
  <si>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</si>
  <si>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</si>
  <si>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</si>
  <si>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</si>
  <si>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</si>
  <si>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</si>
  <si>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</si>
  <si>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</si>
  <si>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</si>
  <si>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</si>
  <si>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</si>
  <si>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</si>
  <si>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</si>
  <si>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</si>
  <si>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</si>
  <si>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</si>
  <si>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</si>
  <si>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</si>
  <si>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</si>
  <si>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</si>
  <si>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</si>
  <si>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</si>
  <si>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</si>
  <si>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</si>
  <si>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</si>
  <si>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</si>
  <si>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</si>
  <si>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</si>
  <si>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</si>
  <si>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</si>
  <si>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</si>
  <si>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</si>
  <si>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</si>
  <si>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</si>
  <si>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</si>
  <si>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</si>
  <si>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</si>
  <si>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</si>
  <si>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</si>
  <si>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</si>
  <si>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</si>
  <si>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</si>
  <si>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</si>
  <si>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</si>
  <si>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</si>
  <si>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</si>
  <si>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</si>
  <si>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</si>
  <si>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</si>
  <si>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</si>
  <si>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</si>
  <si>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</si>
  <si>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</si>
  <si>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</si>
  <si>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</si>
  <si>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</si>
  <si>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</si>
  <si>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</si>
  <si>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</si>
  <si>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</si>
  <si>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</si>
  <si>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</si>
  <si>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</si>
  <si>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</si>
  <si>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</si>
  <si>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</si>
  <si>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</si>
  <si>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</si>
  <si>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</si>
  <si>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</si>
  <si>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</si>
  <si>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</si>
  <si>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</si>
  <si>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</si>
  <si>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</si>
  <si>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</si>
  <si>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</si>
  <si>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</si>
  <si>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</si>
  <si>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</si>
  <si>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</si>
  <si>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</si>
  <si>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</si>
  <si>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</si>
  <si>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</si>
  <si>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</si>
  <si>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</si>
  <si>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</si>
  <si>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</si>
  <si>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</si>
  <si>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</si>
  <si>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</si>
  <si>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</si>
  <si>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</si>
  <si>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</si>
  <si>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</si>
  <si>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</si>
  <si>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</si>
  <si>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</si>
  <si>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</si>
  <si>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</si>
  <si>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</si>
  <si>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</si>
  <si>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</si>
  <si>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</si>
  <si>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</si>
  <si>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</si>
  <si>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</si>
  <si>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</si>
  <si>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</si>
  <si>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If you get an error message about an undo, click "End" and then re-click the "Genereate YODA File" button.  This is a known bug which we have not yet solved.</t>
  </si>
  <si>
    <t>0.1.0-alpha+20150427.124146</t>
  </si>
  <si>
    <t xml:space="preserve">  - {Version: "0.1.0", Profile: "Specimen", CreationTool: "Excel Template v0.1.0-alpha+20150427.124146", DateCreated: "2015-04-27", DateUpdated: "2015-04-27"}</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</si>
  <si>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</si>
  <si>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</si>
  <si>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</si>
  <si>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</si>
  <si>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</si>
  <si>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</si>
  <si>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</si>
  <si>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</si>
  <si>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</si>
  <si>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</si>
  <si>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 Elevation_m:  ", ElevationDatumCV:  "}</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</si>
</sst>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96">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ill>
        <patternFill patternType="solid">
          <fgColor indexed="64"/>
          <bgColor rgb="FFFFFF66"/>
        </patternFill>
      </fill>
      <protection locked="0"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border outline="0">
        <left style="medium">
          <color auto="1"/>
        </left>
        <right style="medium">
          <color auto="1"/>
        </right>
        <bottom style="medium">
          <color auto="1"/>
        </bottom>
      </border>
    </dxf>
    <dxf>
      <border>
        <bottom style="double">
          <color auto="1"/>
        </bottom>
      </border>
    </dxf>
    <dxf>
      <border outline="0">
        <left style="medium">
          <color auto="1"/>
        </left>
        <right style="medium">
          <color auto="1"/>
        </right>
        <top style="medium">
          <color auto="1"/>
        </top>
        <bottom style="medium">
          <color auto="1"/>
        </bottom>
      </border>
    </dxf>
    <dxf>
      <border outline="0">
        <bottom style="double">
          <color auto="1"/>
        </bottom>
      </border>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4" dataDxfId="272" headerRowBorderDxfId="273" tableBorderDxfId="271">
  <tableColumns count="2">
    <tableColumn id="1" name="Author Number" dataDxfId="270">
      <calculatedColumnFormula>IF(AuthorList[[#This Row],[Author Name]]&lt;&gt;"",MAX(INDIRECT(CONCATENATE("R",ROW(AuthorList[#Headers]),"C",COLUMN(),":R",ROW()-1,"C",COLUMN()),FALSE))+1,"")</calculatedColumnFormula>
    </tableColumn>
    <tableColumn id="2" name="Author Name" dataDxfId="269"/>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68" dataDxfId="266" headerRowBorderDxfId="267" tableBorderDxfId="265">
  <tableColumns count="18">
    <tableColumn id="1" name="Sampling Feature UUID" dataDxfId="264"/>
    <tableColumn id="2" name="Sampling Feature Type" dataDxfId="263"/>
    <tableColumn id="3" name="Feature Geo Type" dataDxfId="262"/>
    <tableColumn id="4" name="Feature Code" dataDxfId="261"/>
    <tableColumn id="5" name="Feature Name" dataDxfId="260"/>
    <tableColumn id="6" name="Feature Description" dataDxfId="259"/>
    <tableColumn id="7" name="Feature Geometry" dataDxfId="258"/>
    <tableColumn id="8" name="Elevation_m" dataDxfId="257"/>
    <tableColumn id="9" name="Feature IGSN" dataDxfId="256"/>
    <tableColumn id="10" name="IGSNID" dataDxfId="255">
      <calculatedColumnFormula>IF(SamplingFeatures[[#This Row],[Feature IGSN]]&lt;&gt;"",MAX(INDIRECT(CONCATENATE("R",ROW(SamplingFeatures[#Headers]),"C",COLUMN(),":R",ROW()-1,"C",COLUMN()),FALSE))+1,"")</calculatedColumnFormula>
    </tableColumn>
    <tableColumn id="11" name="SiteID" dataDxfId="254">
      <calculatedColumnFormula>IF(SamplingFeatures[[#This Row],[Sampling Feature Type]]="Site",MAX(INDIRECT(CONCATENATE("R",ROW(SamplingFeatures[#Headers]),"C",COLUMN(),":R",ROW()-1,"C",COLUMN()),FALSE))+1,"")</calculatedColumnFormula>
    </tableColumn>
    <tableColumn id="12" name="Site Type" dataDxfId="253"/>
    <tableColumn id="13" name="Latitude" dataDxfId="252"/>
    <tableColumn id="14" name="Longitude" dataDxfId="251"/>
    <tableColumn id="15" name="SpecimenID" dataDxfId="250">
      <calculatedColumnFormula>IF(SamplingFeatures[[#This Row],[Sampling Feature Type]]="Specimen",MAX(INDIRECT(CONCATENATE("R",ROW(SamplingFeatures[#Headers]),"C",COLUMN(),":R",ROW()-1,"C",COLUMN()),FALSE))+1,"")</calculatedColumnFormula>
    </tableColumn>
    <tableColumn id="16" name="Specimen Type" dataDxfId="249"/>
    <tableColumn id="17" name="Specimen Medium" dataDxfId="248"/>
    <tableColumn id="18" name="Is Field Specimen?" dataDxfId="247"/>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76" dataDxfId="77" headerRowBorderDxfId="246" tableBorderDxfId="245">
  <tableColumns count="8">
    <tableColumn id="1" name="Spatial Offset Code" dataDxfId="85"/>
    <tableColumn id="2" name="Spatial Offset Type" dataDxfId="84"/>
    <tableColumn id="3" name="Offset 1 Value" dataDxfId="83"/>
    <tableColumn id="4" name="Offset 1 Unit" dataDxfId="82"/>
    <tableColumn id="5" name="Offset 2 Value" dataDxfId="81"/>
    <tableColumn id="6" name="Offset 2 Unit" dataDxfId="80"/>
    <tableColumn id="7" name="Offset 3 Value" dataDxfId="79"/>
    <tableColumn id="8" name="Offset 3 Unit" dataDxfId="78"/>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70" dataDxfId="71" headerRowBorderDxfId="244" tableBorderDxfId="243">
  <tableColumns count="4">
    <tableColumn id="1" name="First Sampling Feature Code" dataDxfId="75"/>
    <tableColumn id="2" name="Relationship Type" dataDxfId="74"/>
    <tableColumn id="3" name="Second Sampling Feature Code" dataDxfId="73"/>
    <tableColumn id="5" name="Spatial Offset Code" dataDxfId="72"/>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42" dataDxfId="240" headerRowBorderDxfId="241" tableBorderDxfId="239">
  <tableColumns count="6">
    <tableColumn id="1" name="Method Type" dataDxfId="238"/>
    <tableColumn id="2" name="Method Code" dataDxfId="237"/>
    <tableColumn id="3" name="Method Name" dataDxfId="236"/>
    <tableColumn id="4" name="Method Description" dataDxfId="235"/>
    <tableColumn id="5" name="Method Link" dataDxfId="234"/>
    <tableColumn id="6" name="Organization Name" dataDxfId="233"/>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32" dataDxfId="230" headerRowBorderDxfId="231" tableBorderDxfId="229">
  <tableColumns count="6">
    <tableColumn id="1" name="Variable Type" dataDxfId="228"/>
    <tableColumn id="2" name="Variable Code" dataDxfId="227"/>
    <tableColumn id="3" name="Variable Name" dataDxfId="226"/>
    <tableColumn id="4" name="Variable Definition" dataDxfId="225"/>
    <tableColumn id="5" name="Speciation" dataDxfId="224"/>
    <tableColumn id="6" name="No Data Value" dataDxfId="223"/>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22" dataDxfId="220" headerRowBorderDxfId="221" tableBorderDxfId="219">
  <tableColumns count="3">
    <tableColumn id="1" name="Processing Level Code" dataDxfId="218"/>
    <tableColumn id="2" name="Definition" dataDxfId="217"/>
    <tableColumn id="3" name="Explanation" dataDxfId="216"/>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14" headerRowBorderDxfId="215" tableBorderDxfId="213">
  <tableColumns count="4">
    <tableColumn id="1" name="Taxonomic Classifier Type" dataDxfId="212"/>
    <tableColumn id="2" name="Taxonomic Classifier Name" dataDxfId="211"/>
    <tableColumn id="3" name="Taxonomic Classifier Common Name" dataDxfId="210"/>
    <tableColumn id="4" name="Taxonomic Classifier Description" dataDxfId="209"/>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8" dataDxfId="206" totalsRowDxfId="204" headerRowBorderDxfId="207" tableBorderDxfId="205">
  <tableColumns count="29">
    <tableColumn id="1" name="Col#" totalsRowLabel="Total" dataDxfId="203" totalsRowDxfId="202">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201" totalsRowDxfId="200"/>
    <tableColumn id="17" name="ColumnType" dataDxfId="199" totalsRowDxfId="198"/>
    <tableColumn id="22" name="AppliesToColumn" dataDxfId="197" totalsRowDxfId="196"/>
    <tableColumn id="18" name="ParentSamplingFeatureCode" dataDxfId="195" totalsRowDxfId="194"/>
    <tableColumn id="24" name="RelationshipTypeCV" dataDxfId="193" totalsRowDxfId="192"/>
    <tableColumn id="28" name="CollectionDateTimeUTCOffset" dataDxfId="191" totalsRowDxfId="190"/>
    <tableColumn id="3" name="SpecimenCollector" dataDxfId="189" totalsRowDxfId="188"/>
    <tableColumn id="27" name="CollectionMethodCode" dataDxfId="187" totalsRowDxfId="186"/>
    <tableColumn id="20" name="SpecimenMediumCV" dataDxfId="185" totalsRowDxfId="184"/>
    <tableColumn id="21" name="SpecimenTypeCV" dataDxfId="183" totalsRowDxfId="182"/>
    <tableColumn id="4" name="IsFieldSpecimen" dataDxfId="181" totalsRowDxfId="180"/>
    <tableColumn id="23" name="SpatialOffsetCode" dataDxfId="179" totalsRowDxfId="178"/>
    <tableColumn id="6" name="ResultTypeCV" dataDxfId="177" totalsRowDxfId="176"/>
    <tableColumn id="7" name="VariableCode" dataDxfId="175" totalsRowDxfId="174"/>
    <tableColumn id="8" name="UnitName" dataDxfId="173" totalsRowDxfId="172"/>
    <tableColumn id="11" name="SampledMediumCV" dataDxfId="171" totalsRowDxfId="170"/>
    <tableColumn id="10" name="ResultAnalyst" dataDxfId="169" totalsRowDxfId="168"/>
    <tableColumn id="29" name="AnalysisDateTimeUTCOffset" dataDxfId="167" totalsRowDxfId="166"/>
    <tableColumn id="5" name="AnalysisMethodCode" dataDxfId="165" totalsRowDxfId="164"/>
    <tableColumn id="9" name="ProcessingLevelCode" dataDxfId="163" totalsRowDxfId="162"/>
    <tableColumn id="15" name="CensorCodeCV" dataDxfId="161" totalsRowDxfId="160"/>
    <tableColumn id="16" name="QualityCodeCV" dataDxfId="159" totalsRowDxfId="158"/>
    <tableColumn id="19" name="TaxonomicClassifierName" dataDxfId="157" totalsRowDxfId="156"/>
    <tableColumn id="12" name="TimeAggregationInterval" dataDxfId="155" totalsRowDxfId="154"/>
    <tableColumn id="13" name="TimeAggregationIntervalUnitCode" dataDxfId="153" totalsRowDxfId="152"/>
    <tableColumn id="14" name="AggregationStatisticCV" totalsRowFunction="count" dataDxfId="151" totalsRowDxfId="150"/>
    <tableColumn id="25" name="DVNum" dataDxfId="149" totalsRowDxfId="148">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47" totalsRowDxfId="146">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45" dataDxfId="144">
  <sortState ref="A2:L16">
    <sortCondition ref="B1"/>
  </sortState>
  <tableColumns count="12">
    <tableColumn id="1" name="DataType" dataDxfId="143"/>
    <tableColumn id="2" name="ODM Table" dataDxfId="142"/>
    <tableColumn id="5" name="CV Name" dataDxfId="141"/>
    <tableColumn id="3" name="REQUIRED" dataDxfId="140"/>
    <tableColumn id="4" name="VBV or Column" dataDxfId="139"/>
    <tableColumn id="12" name="Data Columns Input Column" dataDxfId="138">
      <calculatedColumnFormula>MATCH(SpecimenColumnFinder[[#This Row],[DataType]],DataColumns[#Headers],0)</calculatedColumnFormula>
    </tableColumn>
    <tableColumn id="6" name="Data Values Column Number" dataDxfId="137">
      <calculatedColumnFormula>MATCH(SpecimenColumnFinder[[#This Row],[DataType]],DataColumns[ColumnType],0)</calculatedColumnFormula>
    </tableColumn>
    <tableColumn id="9" name="Num Required" dataDxfId="136">
      <calculatedColumnFormula>IF(SpecimenColumnFinder[[#This Row],[REQUIRED]]="Optional",0,
IF(SpecimenColumnFinder[[#This Row],[VBV or Column]]="Value-By-Value",NumSpecimens,
1))</calculatedColumnFormula>
    </tableColumn>
    <tableColumn id="7" name="Num Given" dataDxfId="135">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34">
      <calculatedColumnFormula>IF(SpecimenColumnFinder[[#This Row],[Num Given]]&lt;SpecimenColumnFinder[[#This Row],[Num Required]],
"MISSING",
"OK")</calculatedColumnFormula>
    </tableColumn>
    <tableColumn id="11" name="First Value Address" dataDxfId="133">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32">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9" name="ResultColumnFinder" displayName="ResultColumnFinder" ref="A1:Q19" totalsRowShown="0" headerRowDxfId="131" dataDxfId="129" headerRowBorderDxfId="130" tableBorderDxfId="128" totalsRowBorderDxfId="127">
  <tableColumns count="17">
    <tableColumn id="1" name="DataType" dataDxfId="126"/>
    <tableColumn id="2" name="ODM Table" dataDxfId="125"/>
    <tableColumn id="3" name="CV Name" dataDxfId="124"/>
    <tableColumn id="5" name="REQUIRED" dataDxfId="123"/>
    <tableColumn id="6" name="VBV or Column" dataDxfId="122"/>
    <tableColumn id="14" name="DV Num" dataDxfId="121"/>
    <tableColumn id="15" name="Data Value Label" dataDxfId="120">
      <calculatedColumnFormula>INDEX(DataColumns[ColumnLabel],MATCH(ResultColumnFinder[[#This Row],[DV Num]],DataColumns[DVNum],0))</calculatedColumnFormula>
    </tableColumn>
    <tableColumn id="20" name="Concat" dataDxfId="119">
      <calculatedColumnFormula>CONCATENATE(ResultColumnFinder[[#This Row],[DataType]],ResultColumnFinder[[#This Row],[Data Value Label]])</calculatedColumnFormula>
    </tableColumn>
    <tableColumn id="22" name="Concat2" dataDxfId="118">
      <calculatedColumnFormula>CONCATENATE(ResultColumnFinder[[#This Row],[DataType]],ResultColumnFinder[[#This Row],[DV Num]])</calculatedColumnFormula>
    </tableColumn>
    <tableColumn id="7" name="Data Columns Input Column" dataDxfId="117">
      <calculatedColumnFormula>MATCH(ResultColumnFinder[[#This Row],[DataType]],DataColumns[#Headers],0)</calculatedColumnFormula>
    </tableColumn>
    <tableColumn id="21" name="Data Values Input Row" dataDxfId="116">
      <calculatedColumnFormula>MATCH(CONCATENATE("ResultValue",ResultColumnFinder[[#This Row],[Data Value Label]]),DataColumns[Concat],0)</calculatedColumnFormula>
    </tableColumn>
    <tableColumn id="8" name="Data Values Column Number" dataDxfId="115">
      <calculatedColumnFormula>MATCH(ResultColumnFinder[[#This Row],[Concat]],DataColumns[Concat],0)</calculatedColumnFormula>
    </tableColumn>
    <tableColumn id="9" name="Num Required" dataDxfId="114">
      <calculatedColumnFormula>IF(ResultColumnFinder[[#This Row],[REQUIRED]]="Optional",0,
IF(ResultColumnFinder[[#This Row],[VBV or Column]]="Value-By-Value",NumSpecimens,
1))</calculatedColumnFormula>
    </tableColumn>
    <tableColumn id="10" name="Num Given" dataDxfId="11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12">
      <calculatedColumnFormula>IF(ResultColumnFinder[[#This Row],[Num Given]]&lt;ResultColumnFinder[[#This Row],[Num Required]],
"MISSING",
"OK")</calculatedColumnFormula>
    </tableColumn>
    <tableColumn id="12" name="First Value Address" dataDxfId="11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10">
      <calculatedColumnFormula>INDIRECT(ResultColumnFinder[[#This Row],[First Value Address]],FALSE)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 name="ControlledVocabularies" displayName="ControlledVocabularies" ref="A1:X793" totalsRowShown="0" headerRowDxfId="109">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5.xml><?xml version="1.0" encoding="utf-8"?>
<table xmlns="http://schemas.openxmlformats.org/spreadsheetml/2006/main" id="8" name="SpatialReferences" displayName="SpatialReferences" ref="A4:D8" totalsRowShown="0" headerRowDxfId="108" headerRowBorderDxfId="107" tableBorderDxfId="106">
  <autoFilter ref="A4:D8"/>
  <tableColumns count="4">
    <tableColumn id="1" name="SRSCode" dataDxfId="105"/>
    <tableColumn id="2" name="SRSName" dataDxfId="104"/>
    <tableColumn id="3" name="SRSDescription" dataDxfId="103"/>
    <tableColumn id="4" name="SRSLink" dataDxfId="102"/>
  </tableColumns>
  <tableStyleInfo name="TableStyleMedium2" showFirstColumn="0" showLastColumn="0" showRowStripes="1" showColumnStripes="0"/>
</table>
</file>

<file path=xl/tables/table16.xml><?xml version="1.0" encoding="utf-8"?>
<table xmlns="http://schemas.openxmlformats.org/spreadsheetml/2006/main" id="16" name="ExternalIdentifiers" displayName="ExternalIdentifiers" ref="A17:E20" totalsRowShown="0" headerRowDxfId="101" headerRowBorderDxfId="100" tableBorderDxfId="99">
  <autoFilter ref="A17:E20"/>
  <tableColumns count="5">
    <tableColumn id="1" name="External Identifier System Name" dataDxfId="98"/>
    <tableColumn id="2" name="Identifier System Organization Name" dataDxfId="97"/>
    <tableColumn id="3" name="External Identifier System Descrption" dataDxfId="96"/>
    <tableColumn id="4" name="External Identifier System URL" dataDxfId="95" dataCellStyle="Hyperlink"/>
    <tableColumn id="5" name="URI Structure" dataDxfId="94"/>
  </tableColumns>
  <tableStyleInfo name="TableStyleMedium2" showFirstColumn="0" showLastColumn="0" showRowStripes="1" showColumnStripes="0"/>
</table>
</file>

<file path=xl/tables/table17.xml><?xml version="1.0" encoding="utf-8"?>
<table xmlns="http://schemas.openxmlformats.org/spreadsheetml/2006/main" id="17" name="ExternalIDOrgs" displayName="ExternalIDOrgs" ref="A4:E7" totalsRowShown="0" headerRowDxfId="93" headerRowBorderDxfId="92" tableBorderDxfId="91">
  <autoFilter ref="A4:E7"/>
  <tableColumns count="5">
    <tableColumn id="1" name="Organization Type [CV]" dataDxfId="90"/>
    <tableColumn id="2" name="Organization Code" dataDxfId="89"/>
    <tableColumn id="3" name="Organization Name" dataDxfId="88"/>
    <tableColumn id="4" name="Organization Description" dataDxfId="87"/>
    <tableColumn id="5" name="Organization Link" dataDxfId="8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7.xml"/><Relationship Id="rId5" Type="http://schemas.openxmlformats.org/officeDocument/2006/relationships/hyperlink" Target="http://www.doi.org/index.html" TargetMode="External"/><Relationship Id="rId10" Type="http://schemas.openxmlformats.org/officeDocument/2006/relationships/table" Target="../tables/table16.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86" customWidth="1"/>
  </cols>
  <sheetData>
    <row r="1" spans="1:1" s="5" customFormat="1" ht="18.75" x14ac:dyDescent="0.3">
      <c r="A1" s="191" t="s">
        <v>1274</v>
      </c>
    </row>
    <row r="2" spans="1:1" s="5" customFormat="1" ht="18.75" x14ac:dyDescent="0.3">
      <c r="A2" s="192" t="s">
        <v>1543</v>
      </c>
    </row>
    <row r="3" spans="1:1" s="5" customFormat="1" ht="18.75" x14ac:dyDescent="0.3">
      <c r="A3" s="191" t="s">
        <v>1273</v>
      </c>
    </row>
    <row r="4" spans="1:1" s="5" customFormat="1" ht="18.75" x14ac:dyDescent="0.3">
      <c r="A4" s="192" t="s">
        <v>26</v>
      </c>
    </row>
    <row r="5" spans="1:1" s="5" customFormat="1" ht="18.75" x14ac:dyDescent="0.3">
      <c r="A5" s="191" t="s">
        <v>1272</v>
      </c>
    </row>
    <row r="6" spans="1:1" s="5" customFormat="1" ht="18.75" x14ac:dyDescent="0.3">
      <c r="A6" s="192" t="s">
        <v>1689</v>
      </c>
    </row>
    <row r="7" spans="1:1" s="5" customFormat="1" x14ac:dyDescent="0.25">
      <c r="A7" s="86"/>
    </row>
    <row r="8" spans="1:1" ht="18.75" x14ac:dyDescent="0.3">
      <c r="A8" s="191" t="s">
        <v>1189</v>
      </c>
    </row>
    <row r="9" spans="1:1" s="5" customFormat="1" ht="30" x14ac:dyDescent="0.25">
      <c r="A9" s="86" t="s">
        <v>1207</v>
      </c>
    </row>
    <row r="10" spans="1:1" s="5" customFormat="1" x14ac:dyDescent="0.25">
      <c r="A10" s="86"/>
    </row>
    <row r="11" spans="1:1" ht="18.75" x14ac:dyDescent="0.3">
      <c r="A11" s="191" t="s">
        <v>1188</v>
      </c>
    </row>
    <row r="12" spans="1:1" s="5" customFormat="1" x14ac:dyDescent="0.25">
      <c r="A12" s="193" t="s">
        <v>1459</v>
      </c>
    </row>
    <row r="13" spans="1:1" s="5" customFormat="1" ht="30" x14ac:dyDescent="0.25">
      <c r="A13" s="194" t="s">
        <v>1460</v>
      </c>
    </row>
    <row r="14" spans="1:1" s="5" customFormat="1" x14ac:dyDescent="0.25">
      <c r="A14" s="194" t="s">
        <v>1461</v>
      </c>
    </row>
    <row r="15" spans="1:1" s="5" customFormat="1" x14ac:dyDescent="0.25">
      <c r="A15" s="195" t="s">
        <v>1462</v>
      </c>
    </row>
    <row r="16" spans="1:1" s="5" customFormat="1" ht="30" x14ac:dyDescent="0.25">
      <c r="A16" s="194" t="s">
        <v>1463</v>
      </c>
    </row>
    <row r="17" spans="1:1" s="5" customFormat="1" ht="30" x14ac:dyDescent="0.25">
      <c r="A17" s="194" t="s">
        <v>1464</v>
      </c>
    </row>
    <row r="18" spans="1:1" s="5" customFormat="1" x14ac:dyDescent="0.25">
      <c r="A18" s="194" t="s">
        <v>1465</v>
      </c>
    </row>
    <row r="19" spans="1:1" s="5" customFormat="1" x14ac:dyDescent="0.25">
      <c r="A19" s="194" t="s">
        <v>1466</v>
      </c>
    </row>
    <row r="20" spans="1:1" s="5" customFormat="1" ht="30" x14ac:dyDescent="0.25">
      <c r="A20" s="194" t="s">
        <v>1467</v>
      </c>
    </row>
    <row r="21" spans="1:1" s="5" customFormat="1" ht="30" x14ac:dyDescent="0.25">
      <c r="A21" s="194" t="s">
        <v>1468</v>
      </c>
    </row>
    <row r="22" spans="1:1" s="5" customFormat="1" ht="30" x14ac:dyDescent="0.25">
      <c r="A22" s="194" t="s">
        <v>1469</v>
      </c>
    </row>
    <row r="23" spans="1:1" s="5" customFormat="1" x14ac:dyDescent="0.25">
      <c r="A23" s="195" t="s">
        <v>1494</v>
      </c>
    </row>
    <row r="24" spans="1:1" s="5" customFormat="1" ht="30" x14ac:dyDescent="0.25">
      <c r="A24" s="194" t="s">
        <v>1495</v>
      </c>
    </row>
    <row r="25" spans="1:1" s="5" customFormat="1" ht="30" x14ac:dyDescent="0.25">
      <c r="A25" s="194" t="s">
        <v>1496</v>
      </c>
    </row>
    <row r="26" spans="1:1" s="5" customFormat="1" x14ac:dyDescent="0.25">
      <c r="A26" s="194" t="s">
        <v>1499</v>
      </c>
    </row>
    <row r="27" spans="1:1" s="5" customFormat="1" ht="45" x14ac:dyDescent="0.25">
      <c r="A27" s="194" t="s">
        <v>1498</v>
      </c>
    </row>
    <row r="28" spans="1:1" s="5" customFormat="1" x14ac:dyDescent="0.25">
      <c r="A28" s="194" t="s">
        <v>1500</v>
      </c>
    </row>
    <row r="29" spans="1:1" s="5" customFormat="1" ht="30" x14ac:dyDescent="0.25">
      <c r="A29" s="194" t="s">
        <v>1501</v>
      </c>
    </row>
    <row r="30" spans="1:1" s="5" customFormat="1" ht="30" x14ac:dyDescent="0.25">
      <c r="A30" s="194" t="s">
        <v>1502</v>
      </c>
    </row>
    <row r="31" spans="1:1" s="5" customFormat="1" ht="30" x14ac:dyDescent="0.25">
      <c r="A31" s="194" t="s">
        <v>1503</v>
      </c>
    </row>
    <row r="32" spans="1:1" s="5" customFormat="1" ht="30" x14ac:dyDescent="0.25">
      <c r="A32" s="194" t="s">
        <v>1504</v>
      </c>
    </row>
    <row r="33" spans="1:1" s="5" customFormat="1" x14ac:dyDescent="0.25">
      <c r="A33" s="195" t="s">
        <v>1470</v>
      </c>
    </row>
    <row r="34" spans="1:1" s="5" customFormat="1" x14ac:dyDescent="0.25">
      <c r="A34" s="194" t="s">
        <v>1471</v>
      </c>
    </row>
    <row r="35" spans="1:1" ht="30" x14ac:dyDescent="0.25">
      <c r="A35" s="194" t="s">
        <v>1472</v>
      </c>
    </row>
    <row r="36" spans="1:1" ht="30" x14ac:dyDescent="0.25">
      <c r="A36" s="194" t="s">
        <v>1473</v>
      </c>
    </row>
    <row r="37" spans="1:1" s="5" customFormat="1" ht="30" x14ac:dyDescent="0.25">
      <c r="A37" s="194" t="s">
        <v>1474</v>
      </c>
    </row>
    <row r="38" spans="1:1" s="5" customFormat="1" ht="30" x14ac:dyDescent="0.25">
      <c r="A38" s="194" t="s">
        <v>1475</v>
      </c>
    </row>
    <row r="39" spans="1:1" ht="30" x14ac:dyDescent="0.25">
      <c r="A39" s="194" t="s">
        <v>1476</v>
      </c>
    </row>
    <row r="40" spans="1:1" x14ac:dyDescent="0.25">
      <c r="A40" s="195" t="s">
        <v>1477</v>
      </c>
    </row>
    <row r="41" spans="1:1" ht="30" x14ac:dyDescent="0.25">
      <c r="A41" s="194" t="s">
        <v>1478</v>
      </c>
    </row>
    <row r="42" spans="1:1" ht="30" x14ac:dyDescent="0.25">
      <c r="A42" s="194" t="s">
        <v>1479</v>
      </c>
    </row>
    <row r="43" spans="1:1" s="5" customFormat="1" ht="30" x14ac:dyDescent="0.25">
      <c r="A43" s="194" t="s">
        <v>1688</v>
      </c>
    </row>
    <row r="44" spans="1:1" ht="30" x14ac:dyDescent="0.25">
      <c r="A44" s="194" t="s">
        <v>1480</v>
      </c>
    </row>
    <row r="45" spans="1:1" ht="30" x14ac:dyDescent="0.25">
      <c r="A45" s="194" t="s">
        <v>1481</v>
      </c>
    </row>
    <row r="46" spans="1:1" ht="30" x14ac:dyDescent="0.25">
      <c r="A46" s="194" t="s">
        <v>1482</v>
      </c>
    </row>
    <row r="47" spans="1:1" ht="30" x14ac:dyDescent="0.25">
      <c r="A47" s="194" t="s">
        <v>1483</v>
      </c>
    </row>
    <row r="48" spans="1:1" x14ac:dyDescent="0.25">
      <c r="A48" s="194" t="s">
        <v>1484</v>
      </c>
    </row>
    <row r="49" spans="1:1" x14ac:dyDescent="0.25">
      <c r="A49" s="195" t="s">
        <v>1485</v>
      </c>
    </row>
    <row r="50" spans="1:1" x14ac:dyDescent="0.25">
      <c r="A50" s="194" t="s">
        <v>1486</v>
      </c>
    </row>
    <row r="51" spans="1:1" x14ac:dyDescent="0.25">
      <c r="A51" s="194" t="s">
        <v>1487</v>
      </c>
    </row>
    <row r="52" spans="1:1" x14ac:dyDescent="0.25">
      <c r="A52" s="194" t="s">
        <v>1488</v>
      </c>
    </row>
    <row r="53" spans="1:1" x14ac:dyDescent="0.25">
      <c r="A53" s="194" t="s">
        <v>1489</v>
      </c>
    </row>
    <row r="54" spans="1:1" x14ac:dyDescent="0.25">
      <c r="A54" s="195" t="s">
        <v>1490</v>
      </c>
    </row>
    <row r="55" spans="1:1" ht="30" x14ac:dyDescent="0.25">
      <c r="A55" s="194" t="s">
        <v>1491</v>
      </c>
    </row>
    <row r="56" spans="1:1" x14ac:dyDescent="0.25">
      <c r="A56" s="194" t="s">
        <v>1492</v>
      </c>
    </row>
    <row r="57" spans="1:1" ht="30" x14ac:dyDescent="0.25">
      <c r="A57" s="194" t="s">
        <v>1493</v>
      </c>
    </row>
    <row r="58" spans="1:1" s="5" customFormat="1" x14ac:dyDescent="0.25">
      <c r="A58" s="194"/>
    </row>
    <row r="59" spans="1:1" s="5" customFormat="1" ht="18.75" x14ac:dyDescent="0.3">
      <c r="A59" s="191" t="s">
        <v>1505</v>
      </c>
    </row>
    <row r="60" spans="1:1" s="5" customFormat="1" ht="30" x14ac:dyDescent="0.25">
      <c r="A60" s="194" t="s">
        <v>1507</v>
      </c>
    </row>
    <row r="61" spans="1:1" s="5" customFormat="1" x14ac:dyDescent="0.25">
      <c r="A61" s="194" t="s">
        <v>1509</v>
      </c>
    </row>
    <row r="62" spans="1:1" s="5" customFormat="1" ht="45" x14ac:dyDescent="0.25">
      <c r="A62" s="194" t="s">
        <v>1508</v>
      </c>
    </row>
    <row r="63" spans="1:1" s="5" customFormat="1" ht="30" x14ac:dyDescent="0.25">
      <c r="A63" s="194" t="s">
        <v>1510</v>
      </c>
    </row>
    <row r="64" spans="1:1" s="5" customFormat="1" ht="45" x14ac:dyDescent="0.25">
      <c r="A64" s="194" t="s">
        <v>1513</v>
      </c>
    </row>
    <row r="65" spans="1:1" s="5" customFormat="1" ht="75" x14ac:dyDescent="0.25">
      <c r="A65" s="194" t="s">
        <v>1514</v>
      </c>
    </row>
    <row r="66" spans="1:1" s="5" customFormat="1" ht="75" x14ac:dyDescent="0.25">
      <c r="A66" s="194" t="s">
        <v>1515</v>
      </c>
    </row>
    <row r="67" spans="1:1" s="5" customFormat="1" ht="75" x14ac:dyDescent="0.25">
      <c r="A67" s="194" t="s">
        <v>1516</v>
      </c>
    </row>
    <row r="68" spans="1:1" s="5" customFormat="1" ht="45" x14ac:dyDescent="0.25">
      <c r="A68" s="194" t="s">
        <v>1517</v>
      </c>
    </row>
    <row r="69" spans="1:1" s="5" customFormat="1" ht="30" x14ac:dyDescent="0.25">
      <c r="A69" s="194" t="s">
        <v>1511</v>
      </c>
    </row>
    <row r="70" spans="1:1" s="5" customFormat="1" ht="30" x14ac:dyDescent="0.25">
      <c r="A70" s="194" t="s">
        <v>1512</v>
      </c>
    </row>
    <row r="71" spans="1:1" s="5" customFormat="1" ht="30" x14ac:dyDescent="0.25">
      <c r="A71" s="194" t="s">
        <v>1518</v>
      </c>
    </row>
    <row r="72" spans="1:1" s="5" customFormat="1" ht="45" x14ac:dyDescent="0.25">
      <c r="A72" s="194" t="s">
        <v>1519</v>
      </c>
    </row>
    <row r="73" spans="1:1" s="5" customFormat="1" ht="75" x14ac:dyDescent="0.25">
      <c r="A73" s="194" t="s">
        <v>1520</v>
      </c>
    </row>
    <row r="74" spans="1:1" s="5" customFormat="1" ht="90" x14ac:dyDescent="0.25">
      <c r="A74" s="194" t="s">
        <v>1521</v>
      </c>
    </row>
    <row r="75" spans="1:1" s="5" customFormat="1" ht="75" x14ac:dyDescent="0.25">
      <c r="A75" s="196" t="s">
        <v>1523</v>
      </c>
    </row>
    <row r="76" spans="1:1" s="5" customFormat="1" ht="90" x14ac:dyDescent="0.25">
      <c r="A76" s="196" t="s">
        <v>1522</v>
      </c>
    </row>
    <row r="77" spans="1:1" s="5" customFormat="1" ht="30" x14ac:dyDescent="0.25">
      <c r="A77" s="194" t="s">
        <v>1524</v>
      </c>
    </row>
    <row r="78" spans="1:1" s="5" customFormat="1" ht="60" x14ac:dyDescent="0.25">
      <c r="A78" s="194" t="s">
        <v>1527</v>
      </c>
    </row>
    <row r="79" spans="1:1" s="5" customFormat="1" ht="60" x14ac:dyDescent="0.25">
      <c r="A79" s="194" t="s">
        <v>1528</v>
      </c>
    </row>
    <row r="80" spans="1:1" s="5" customFormat="1" ht="60" x14ac:dyDescent="0.25">
      <c r="A80" s="194" t="s">
        <v>1529</v>
      </c>
    </row>
    <row r="81" spans="1:1" s="5" customFormat="1" ht="75" x14ac:dyDescent="0.25">
      <c r="A81" s="194" t="s">
        <v>1530</v>
      </c>
    </row>
    <row r="82" spans="1:1" s="5" customFormat="1" ht="60" x14ac:dyDescent="0.25">
      <c r="A82" s="194" t="s">
        <v>1531</v>
      </c>
    </row>
    <row r="83" spans="1:1" s="5" customFormat="1" ht="60" x14ac:dyDescent="0.25">
      <c r="A83" s="194" t="s">
        <v>1532</v>
      </c>
    </row>
    <row r="84" spans="1:1" s="5" customFormat="1" ht="60" x14ac:dyDescent="0.25">
      <c r="A84" s="194" t="s">
        <v>1533</v>
      </c>
    </row>
    <row r="85" spans="1:1" s="5" customFormat="1" ht="45" x14ac:dyDescent="0.25">
      <c r="A85" s="194" t="s">
        <v>1534</v>
      </c>
    </row>
    <row r="86" spans="1:1" s="5" customFormat="1" ht="45" x14ac:dyDescent="0.25">
      <c r="A86" s="194" t="s">
        <v>1535</v>
      </c>
    </row>
    <row r="87" spans="1:1" s="5" customFormat="1" ht="60" x14ac:dyDescent="0.25">
      <c r="A87" s="194" t="s">
        <v>1536</v>
      </c>
    </row>
    <row r="88" spans="1:1" s="5" customFormat="1" ht="60" x14ac:dyDescent="0.25">
      <c r="A88" s="194" t="s">
        <v>1537</v>
      </c>
    </row>
    <row r="89" spans="1:1" s="5" customFormat="1" ht="60" x14ac:dyDescent="0.25">
      <c r="A89" s="196" t="s">
        <v>1541</v>
      </c>
    </row>
    <row r="90" spans="1:1" s="5" customFormat="1" ht="45" x14ac:dyDescent="0.25">
      <c r="A90" s="196" t="s">
        <v>1525</v>
      </c>
    </row>
    <row r="91" spans="1:1" s="5" customFormat="1" ht="60" x14ac:dyDescent="0.25">
      <c r="A91" s="196" t="s">
        <v>1526</v>
      </c>
    </row>
    <row r="92" spans="1:1" s="5" customFormat="1" ht="60" x14ac:dyDescent="0.25">
      <c r="A92" s="196" t="s">
        <v>1538</v>
      </c>
    </row>
    <row r="93" spans="1:1" s="5" customFormat="1" ht="30" x14ac:dyDescent="0.25">
      <c r="A93" s="196" t="s">
        <v>1539</v>
      </c>
    </row>
    <row r="94" spans="1:1" s="5" customFormat="1" x14ac:dyDescent="0.25">
      <c r="A94" s="196"/>
    </row>
    <row r="95" spans="1:1" ht="18.75" x14ac:dyDescent="0.3">
      <c r="A95" s="191" t="s">
        <v>1190</v>
      </c>
    </row>
    <row r="96" spans="1:1" ht="30" x14ac:dyDescent="0.25">
      <c r="A96" s="86" t="s">
        <v>1219</v>
      </c>
    </row>
    <row r="97" spans="1:1" x14ac:dyDescent="0.25">
      <c r="A97" s="86" t="s">
        <v>1211</v>
      </c>
    </row>
    <row r="98" spans="1:1" x14ac:dyDescent="0.25">
      <c r="A98" s="86" t="s">
        <v>1212</v>
      </c>
    </row>
    <row r="99" spans="1:1" x14ac:dyDescent="0.25">
      <c r="A99" s="86" t="s">
        <v>1213</v>
      </c>
    </row>
    <row r="100" spans="1:1" x14ac:dyDescent="0.25">
      <c r="A100" s="86" t="s">
        <v>1449</v>
      </c>
    </row>
    <row r="101" spans="1:1" x14ac:dyDescent="0.25">
      <c r="A101" s="86" t="s">
        <v>1210</v>
      </c>
    </row>
    <row r="102" spans="1:1" ht="30" x14ac:dyDescent="0.25">
      <c r="A102" s="86" t="s">
        <v>1214</v>
      </c>
    </row>
    <row r="103" spans="1:1" x14ac:dyDescent="0.25">
      <c r="A103" s="86" t="s">
        <v>1215</v>
      </c>
    </row>
    <row r="104" spans="1:1" x14ac:dyDescent="0.25">
      <c r="A104" s="86" t="s">
        <v>1216</v>
      </c>
    </row>
    <row r="105" spans="1:1" x14ac:dyDescent="0.25">
      <c r="A105" s="86" t="s">
        <v>1217</v>
      </c>
    </row>
    <row r="106" spans="1:1" ht="30" x14ac:dyDescent="0.25">
      <c r="A106" s="86" t="s">
        <v>1218</v>
      </c>
    </row>
    <row r="107" spans="1:1" x14ac:dyDescent="0.25">
      <c r="A107" s="86" t="s">
        <v>1454</v>
      </c>
    </row>
    <row r="108" spans="1:1" ht="30" x14ac:dyDescent="0.25">
      <c r="A108" s="86" t="s">
        <v>1455</v>
      </c>
    </row>
    <row r="110" spans="1:1" ht="18.75" x14ac:dyDescent="0.3">
      <c r="A110" s="191" t="s">
        <v>1456</v>
      </c>
    </row>
    <row r="111" spans="1:1" ht="30" x14ac:dyDescent="0.25">
      <c r="A111" s="86" t="s">
        <v>1457</v>
      </c>
    </row>
    <row r="112" spans="1:1" x14ac:dyDescent="0.25">
      <c r="A112" s="86"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0">
        <f>COUNTA(OrganizationNames)</f>
        <v>0</v>
      </c>
    </row>
    <row r="5" spans="1:9" ht="15.75" thickBot="1" x14ac:dyDescent="0.3">
      <c r="A5" s="26" t="s">
        <v>279</v>
      </c>
      <c r="G5" s="27" t="s">
        <v>1200</v>
      </c>
      <c r="H5" s="50">
        <f>COUNTA(People[Last Name])</f>
        <v>0</v>
      </c>
    </row>
    <row r="6" spans="1:9" ht="15.75" thickBot="1" x14ac:dyDescent="0.3">
      <c r="G6" s="27" t="s">
        <v>1268</v>
      </c>
      <c r="H6" s="50">
        <f ca="1">MAX(People[ExternalIDNum])</f>
        <v>0</v>
      </c>
    </row>
    <row r="7" spans="1:9" ht="15.75" thickBot="1" x14ac:dyDescent="0.3">
      <c r="A7" s="219" t="s">
        <v>142</v>
      </c>
      <c r="B7" s="220"/>
      <c r="C7" s="220"/>
      <c r="D7" s="220"/>
      <c r="E7" s="221"/>
    </row>
    <row r="8" spans="1:9" ht="15.75" thickBot="1" x14ac:dyDescent="0.3">
      <c r="A8" s="128" t="s">
        <v>143</v>
      </c>
      <c r="B8" s="129" t="s">
        <v>144</v>
      </c>
      <c r="C8" s="129" t="s">
        <v>19</v>
      </c>
      <c r="D8" s="130" t="s">
        <v>145</v>
      </c>
      <c r="E8" s="131" t="s">
        <v>146</v>
      </c>
      <c r="I8" s="6"/>
    </row>
    <row r="9" spans="1:9" ht="15.75" thickTop="1" x14ac:dyDescent="0.25">
      <c r="A9" s="132"/>
      <c r="B9" s="7"/>
      <c r="C9" s="7"/>
      <c r="D9" s="8"/>
      <c r="E9" s="136"/>
      <c r="I9" s="6"/>
    </row>
    <row r="10" spans="1:9" x14ac:dyDescent="0.25">
      <c r="A10" s="105"/>
      <c r="B10" s="10"/>
      <c r="C10" s="10"/>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2" t="s">
        <v>141</v>
      </c>
      <c r="B22" s="223"/>
      <c r="C22" s="223"/>
      <c r="D22" s="223"/>
      <c r="E22" s="223"/>
      <c r="F22" s="223"/>
      <c r="G22" s="223"/>
      <c r="H22" s="223"/>
      <c r="I22" s="224"/>
    </row>
    <row r="23" spans="1:9" ht="15.75" thickBot="1" x14ac:dyDescent="0.3">
      <c r="A23" s="59" t="s">
        <v>15</v>
      </c>
      <c r="B23" s="61" t="s">
        <v>16</v>
      </c>
      <c r="C23" s="54" t="s">
        <v>17</v>
      </c>
      <c r="D23" s="54" t="s">
        <v>19</v>
      </c>
      <c r="E23" s="54" t="s">
        <v>18</v>
      </c>
      <c r="F23" s="57" t="s">
        <v>176</v>
      </c>
      <c r="G23" s="62" t="s">
        <v>1245</v>
      </c>
      <c r="H23" s="29" t="s">
        <v>277</v>
      </c>
      <c r="I23" s="29" t="s">
        <v>1266</v>
      </c>
    </row>
    <row r="24" spans="1:9" ht="15.75" thickTop="1" x14ac:dyDescent="0.25">
      <c r="A24" s="17"/>
      <c r="B24" s="19"/>
      <c r="C24" s="18"/>
      <c r="D24" s="18"/>
      <c r="E24" s="20"/>
      <c r="F24" s="135"/>
      <c r="G24" s="19"/>
      <c r="H24" s="123" t="str">
        <f>CONCATENATE(People[[#This Row],[First Name]],IF(People[[#This Row],[Middle Name]]="",""," "),People[[#This Row],[Middle Name]]," ",People[[#This Row],[Last Name]])</f>
        <v xml:space="preserve"> </v>
      </c>
      <c r="I24" s="125" t="str">
        <f ca="1">IF(People[[#This Row],[Person OrcID]]&lt;&gt;"",MAX(INDIRECT(CONCATENATE("R",ROW(People[#Headers]),"C",COLUMN(),":R",ROW()-1,"C",COLUMN()),FALSE))+1,"")</f>
        <v/>
      </c>
    </row>
    <row r="25" spans="1:9" x14ac:dyDescent="0.25">
      <c r="A25" s="9"/>
      <c r="B25" s="21"/>
      <c r="C25" s="10"/>
      <c r="D25" s="18"/>
      <c r="E25" s="22"/>
      <c r="F25" s="135"/>
      <c r="G25" s="21"/>
      <c r="H25" s="122" t="str">
        <f>CONCATENATE(People[[#This Row],[First Name]],IF(People[[#This Row],[Middle Name]]="",""," "),People[[#This Row],[Middle Name]]," ",People[[#This Row],[Last Name]])</f>
        <v xml:space="preserve"> </v>
      </c>
      <c r="I25" s="126" t="str">
        <f ca="1">IF(People[[#This Row],[Person OrcID]]&lt;&gt;"",MAX(INDIRECT(CONCATENATE("R",ROW(People[#Headers]),"C",COLUMN(),":R",ROW()-1,"C",COLUMN()),FALSE))+1,"")</f>
        <v/>
      </c>
    </row>
    <row r="26" spans="1:9" x14ac:dyDescent="0.25">
      <c r="A26" s="9"/>
      <c r="B26" s="21"/>
      <c r="C26" s="10"/>
      <c r="D26" s="18"/>
      <c r="E26" s="22"/>
      <c r="F26" s="135"/>
      <c r="G26" s="21"/>
      <c r="H26" s="122" t="str">
        <f>CONCATENATE(People[[#This Row],[First Name]],IF(People[[#This Row],[Middle Name]]="",""," "),People[[#This Row],[Middle Name]]," ",People[[#This Row],[Last Name]])</f>
        <v xml:space="preserve"> </v>
      </c>
      <c r="I26" s="126" t="str">
        <f ca="1">IF(People[[#This Row],[Person OrcID]]&lt;&gt;"",MAX(INDIRECT(CONCATENATE("R",ROW(People[#Headers]),"C",COLUMN(),":R",ROW()-1,"C",COLUMN()),FALSE))+1,"")</f>
        <v/>
      </c>
    </row>
    <row r="27" spans="1:9" x14ac:dyDescent="0.25">
      <c r="A27" s="9"/>
      <c r="B27" s="21"/>
      <c r="C27" s="10"/>
      <c r="D27" s="10"/>
      <c r="E27" s="22"/>
      <c r="F27" s="121"/>
      <c r="G27" s="21"/>
      <c r="H27" s="122" t="str">
        <f>CONCATENATE(People[[#This Row],[First Name]],IF(People[[#This Row],[Middle Name]]="",""," "),People[[#This Row],[Middle Name]]," ",People[[#This Row],[Last Name]])</f>
        <v xml:space="preserve"> </v>
      </c>
      <c r="I27" s="126" t="str">
        <f ca="1">IF(People[[#This Row],[Person OrcID]]&lt;&gt;"",MAX(INDIRECT(CONCATENATE("R",ROW(People[#Headers]),"C",COLUMN(),":R",ROW()-1,"C",COLUMN()),FALSE))+1,"")</f>
        <v/>
      </c>
    </row>
    <row r="28" spans="1:9" x14ac:dyDescent="0.25">
      <c r="A28" s="9"/>
      <c r="B28" s="21"/>
      <c r="C28" s="10"/>
      <c r="D28" s="10"/>
      <c r="E28" s="22"/>
      <c r="F28" s="135"/>
      <c r="G28" s="21"/>
      <c r="H28" s="122" t="str">
        <f>CONCATENATE(People[[#This Row],[First Name]],IF(People[[#This Row],[Middle Name]]="",""," "),People[[#This Row],[Middle Name]]," ",People[[#This Row],[Last Name]])</f>
        <v xml:space="preserve"> </v>
      </c>
      <c r="I28" s="126" t="str">
        <f ca="1">IF(People[[#This Row],[Person OrcID]]&lt;&gt;"",MAX(INDIRECT(CONCATENATE("R",ROW(People[#Headers]),"C",COLUMN(),":R",ROW()-1,"C",COLUMN()),FALSE))+1,"")</f>
        <v/>
      </c>
    </row>
    <row r="29" spans="1:9" x14ac:dyDescent="0.25">
      <c r="A29" s="9"/>
      <c r="B29" s="21"/>
      <c r="C29" s="10"/>
      <c r="D29" s="10"/>
      <c r="E29" s="22"/>
      <c r="F29" s="135"/>
      <c r="G29" s="21"/>
      <c r="H29" s="122" t="str">
        <f>CONCATENATE(People[[#This Row],[First Name]],IF(People[[#This Row],[Middle Name]]="",""," "),People[[#This Row],[Middle Name]]," ",People[[#This Row],[Last Name]])</f>
        <v xml:space="preserve"> </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69" priority="8">
      <formula>AND(COUNTIF(OrganizationTypeCV,$A9)=0,$A9&lt;&gt;"")</formula>
    </cfRule>
  </conditionalFormatting>
  <conditionalFormatting sqref="A9:C18">
    <cfRule type="expression" dxfId="68" priority="7">
      <formula>AND(COUNTA($A9:$E9)&gt;0,A9="")</formula>
    </cfRule>
  </conditionalFormatting>
  <conditionalFormatting sqref="A10:E18">
    <cfRule type="expression" dxfId="67" priority="6">
      <formula>AND(COUNTA($A9:$E9)=0,A10&lt;&gt;"")</formula>
    </cfRule>
  </conditionalFormatting>
  <conditionalFormatting sqref="C9:C18">
    <cfRule type="duplicateValues" dxfId="66" priority="5"/>
  </conditionalFormatting>
  <conditionalFormatting sqref="D24:D33">
    <cfRule type="expression" dxfId="65" priority="4">
      <formula>AND(COUNTIF(OrganizationNames,$D24)=0,$D24&lt;&gt;"")</formula>
    </cfRule>
  </conditionalFormatting>
  <conditionalFormatting sqref="A24:A33 C24:E33">
    <cfRule type="expression" dxfId="64" priority="3">
      <formula>AND(COUNTA($A24:$G24)&gt;0,A24="")</formula>
    </cfRule>
  </conditionalFormatting>
  <conditionalFormatting sqref="A25:G33">
    <cfRule type="expression" dxfId="63" priority="2">
      <formula>AND(COUNTA($A24:$G24)=0,A25&lt;&gt;"")</formula>
    </cfRule>
  </conditionalFormatting>
  <conditionalFormatting sqref="G24:G33">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25" t="s">
        <v>1314</v>
      </c>
      <c r="B6" s="226"/>
    </row>
    <row r="7" spans="1:4" ht="15.75" thickTop="1" x14ac:dyDescent="0.25">
      <c r="A7" s="35" t="s">
        <v>0</v>
      </c>
      <c r="B7" s="147"/>
    </row>
    <row r="8" spans="1:4" x14ac:dyDescent="0.25">
      <c r="A8" s="36" t="s">
        <v>3</v>
      </c>
      <c r="B8" s="30"/>
    </row>
    <row r="9" spans="1:4" x14ac:dyDescent="0.25">
      <c r="A9" s="36" t="s">
        <v>2</v>
      </c>
      <c r="B9" s="30"/>
    </row>
    <row r="10" spans="1:4" x14ac:dyDescent="0.25">
      <c r="A10" s="36" t="s">
        <v>1</v>
      </c>
      <c r="B10" s="30"/>
      <c r="D10" s="31"/>
    </row>
    <row r="11" spans="1:4" ht="15.75" thickBot="1" x14ac:dyDescent="0.3">
      <c r="A11" s="38" t="s">
        <v>4</v>
      </c>
      <c r="B11" s="148"/>
    </row>
    <row r="12" spans="1:4" ht="15.75" thickBot="1" x14ac:dyDescent="0.3">
      <c r="A12" s="5"/>
      <c r="B12" s="5"/>
    </row>
    <row r="13" spans="1:4" ht="15.75" thickBot="1" x14ac:dyDescent="0.3">
      <c r="A13" s="227" t="s">
        <v>1315</v>
      </c>
      <c r="B13" s="228"/>
    </row>
    <row r="14" spans="1:4" ht="15.75" thickTop="1" x14ac:dyDescent="0.25">
      <c r="A14" s="35" t="s">
        <v>180</v>
      </c>
      <c r="B14" s="147"/>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2" t="s">
        <v>1316</v>
      </c>
      <c r="B21" s="224"/>
      <c r="C21" s="32"/>
      <c r="D21" s="33"/>
      <c r="E21" s="33"/>
    </row>
    <row r="22" spans="1:5" ht="15.75" thickBot="1" x14ac:dyDescent="0.3">
      <c r="A22" s="59" t="s">
        <v>172</v>
      </c>
      <c r="B22" s="60" t="s">
        <v>278</v>
      </c>
      <c r="D22" s="27" t="s">
        <v>1198</v>
      </c>
      <c r="E22" s="28">
        <f>COUNTA(AuthorList[Author Name])</f>
        <v>0</v>
      </c>
    </row>
    <row r="23" spans="1:5" ht="15.75" thickTop="1" x14ac:dyDescent="0.25">
      <c r="A23" s="198" t="str">
        <f ca="1">IF(AuthorList[[#This Row],[Author Name]]&lt;&gt;"",MAX(INDIRECT(CONCATENATE("R",ROW(AuthorList[#Headers]),"C",COLUMN(),":R",ROW()-1,"C",COLUMN()),FALSE))+1,"")</f>
        <v/>
      </c>
      <c r="B23" s="43"/>
    </row>
    <row r="24" spans="1:5" x14ac:dyDescent="0.25">
      <c r="A24" s="198" t="str">
        <f ca="1">IF(AuthorList[[#This Row],[Author Name]]&lt;&gt;"",MAX(INDIRECT(CONCATENATE("R",ROW(AuthorList[#Headers]),"C",COLUMN(),":R",ROW()-1,"C",COLUMN()),FALSE))+1,"")</f>
        <v/>
      </c>
      <c r="B24" s="12"/>
    </row>
    <row r="25" spans="1:5" x14ac:dyDescent="0.25">
      <c r="A25" s="198" t="str">
        <f ca="1">IF(AuthorList[[#This Row],[Author Name]]&lt;&gt;"",MAX(INDIRECT(CONCATENATE("R",ROW(AuthorList[#Headers]),"C",COLUMN(),":R",ROW()-1,"C",COLUMN()),FALSE))+1,"")</f>
        <v/>
      </c>
      <c r="B25" s="12"/>
    </row>
    <row r="26" spans="1:5" x14ac:dyDescent="0.25">
      <c r="A26" s="198" t="str">
        <f ca="1">IF(AuthorList[[#This Row],[Author Name]]&lt;&gt;"",MAX(INDIRECT(CONCATENATE("R",ROW(AuthorList[#Headers]),"C",COLUMN(),":R",ROW()-1,"C",COLUMN()),FALSE))+1,"")</f>
        <v/>
      </c>
      <c r="B26" s="12"/>
    </row>
    <row r="27" spans="1:5" x14ac:dyDescent="0.25">
      <c r="A27" s="198" t="str">
        <f ca="1">IF(AuthorList[[#This Row],[Author Name]]&lt;&gt;"",MAX(INDIRECT(CONCATENATE("R",ROW(AuthorList[#Headers]),"C",COLUMN(),":R",ROW()-1,"C",COLUMN()),FALSE))+1,"")</f>
        <v/>
      </c>
      <c r="B27" s="12"/>
    </row>
    <row r="28" spans="1:5" x14ac:dyDescent="0.25">
      <c r="A28" s="198" t="str">
        <f ca="1">IF(AuthorList[[#This Row],[Author Name]]&lt;&gt;"",MAX(INDIRECT(CONCATENATE("R",ROW(AuthorList[#Headers]),"C",COLUMN(),":R",ROW()-1,"C",COLUMN()),FALSE))+1,"")</f>
        <v/>
      </c>
      <c r="B28" s="12"/>
    </row>
    <row r="29" spans="1:5" x14ac:dyDescent="0.25">
      <c r="A29" s="198" t="str">
        <f ca="1">IF(AuthorList[[#This Row],[Author Name]]&lt;&gt;"",MAX(INDIRECT(CONCATENATE("R",ROW(AuthorList[#Headers]),"C",COLUMN(),":R",ROW()-1,"C",COLUMN()),FALSE))+1,"")</f>
        <v/>
      </c>
      <c r="B29" s="12"/>
    </row>
    <row r="30" spans="1:5" x14ac:dyDescent="0.25">
      <c r="A30" s="198" t="str">
        <f ca="1">IF(AuthorList[[#This Row],[Author Name]]&lt;&gt;"",MAX(INDIRECT(CONCATENATE("R",ROW(AuthorList[#Headers]),"C",COLUMN(),":R",ROW()-1,"C",COLUMN()),FALSE))+1,"")</f>
        <v/>
      </c>
      <c r="B30" s="12"/>
    </row>
    <row r="31" spans="1:5" x14ac:dyDescent="0.25">
      <c r="A31" s="198" t="str">
        <f ca="1">IF(AuthorList[[#This Row],[Author Name]]&lt;&gt;"",MAX(INDIRECT(CONCATENATE("R",ROW(AuthorList[#Headers]),"C",COLUMN(),":R",ROW()-1,"C",COLUMN()),FALSE))+1,"")</f>
        <v/>
      </c>
      <c r="B31" s="12"/>
    </row>
    <row r="32" spans="1:5" x14ac:dyDescent="0.25">
      <c r="A32" s="198"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1" priority="6">
      <formula>COUNTA(CitationInformation)&gt;0</formula>
    </cfRule>
  </conditionalFormatting>
  <conditionalFormatting sqref="B8:B10">
    <cfRule type="expression" dxfId="60" priority="4">
      <formula>AND(COUNTA($B$7:$B$11)&gt;0,$B8="")</formula>
    </cfRule>
  </conditionalFormatting>
  <conditionalFormatting sqref="B8">
    <cfRule type="expression" dxfId="59" priority="3">
      <formula>AND(COUNTIF(DataSetTypeCV,$B$8)=0,$B$8&lt;&gt;"")</formula>
    </cfRule>
  </conditionalFormatting>
  <conditionalFormatting sqref="B23:B32">
    <cfRule type="expression" dxfId="58" priority="1">
      <formula>AND(COUNTIF(PeopleNames,$B23)=0,$B23&lt;&gt;"")</formula>
    </cfRule>
  </conditionalFormatting>
  <conditionalFormatting sqref="B14:B17 B23">
    <cfRule type="expression" dxfId="57" priority="5">
      <formula>AND(COUNTA(CitationInformation)&gt;0,$B14="")</formula>
    </cfRule>
    <cfRule type="expression" dxfId="56"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zoomScaleNormal="100" zoomScalePageLayoutView="150" workbookViewId="0">
      <selection activeCell="D31" sqref="D31"/>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1540</v>
      </c>
      <c r="I1" s="172"/>
      <c r="M1" s="172"/>
      <c r="N1" s="199"/>
    </row>
    <row r="2" spans="1:18" s="26" customFormat="1" x14ac:dyDescent="0.25">
      <c r="A2" s="197" t="s">
        <v>1542</v>
      </c>
      <c r="I2" s="172"/>
      <c r="M2" s="172"/>
      <c r="N2" s="199"/>
    </row>
    <row r="3" spans="1:18" s="26" customFormat="1" x14ac:dyDescent="0.25">
      <c r="A3" s="26" t="s">
        <v>1368</v>
      </c>
      <c r="I3" s="172"/>
      <c r="M3" s="172"/>
      <c r="N3" s="199"/>
    </row>
    <row r="4" spans="1:18" s="26" customFormat="1" x14ac:dyDescent="0.25">
      <c r="A4" s="26" t="s">
        <v>1309</v>
      </c>
      <c r="I4" s="172"/>
      <c r="M4" s="172"/>
      <c r="N4" s="199"/>
    </row>
    <row r="5" spans="1:18" s="26" customFormat="1" x14ac:dyDescent="0.25">
      <c r="A5" s="26" t="s">
        <v>1318</v>
      </c>
      <c r="I5" s="172"/>
      <c r="M5" s="172"/>
      <c r="N5" s="199"/>
    </row>
    <row r="6" spans="1:18" s="26" customFormat="1" x14ac:dyDescent="0.25">
      <c r="A6" s="26" t="s">
        <v>275</v>
      </c>
      <c r="I6" s="172"/>
      <c r="M6" s="172"/>
      <c r="N6" s="199"/>
    </row>
    <row r="7" spans="1:18" s="26" customFormat="1" ht="15.75" thickBot="1" x14ac:dyDescent="0.3">
      <c r="I7" s="172"/>
      <c r="M7" s="172"/>
      <c r="N7" s="199"/>
    </row>
    <row r="8" spans="1:18" s="26" customFormat="1" ht="15.75" thickBot="1" x14ac:dyDescent="0.3">
      <c r="A8" s="229" t="s">
        <v>127</v>
      </c>
      <c r="B8" s="230"/>
      <c r="I8" s="172"/>
      <c r="M8" s="172"/>
      <c r="N8" s="199"/>
    </row>
    <row r="9" spans="1:18" s="26" customFormat="1" ht="16.5" thickTop="1" thickBot="1" x14ac:dyDescent="0.3">
      <c r="A9" s="51" t="s">
        <v>25</v>
      </c>
      <c r="B9" s="204"/>
      <c r="D9" s="26" t="s">
        <v>274</v>
      </c>
      <c r="H9" s="27" t="s">
        <v>1197</v>
      </c>
      <c r="I9" s="50">
        <f>COUNTA(SamplingFeatures[Feature Code])</f>
        <v>0</v>
      </c>
      <c r="L9" s="27" t="s">
        <v>1195</v>
      </c>
      <c r="M9" s="50">
        <f ca="1">MAX(SamplingFeatures[SiteID])</f>
        <v>0</v>
      </c>
      <c r="N9" s="199"/>
      <c r="P9" s="27" t="s">
        <v>1369</v>
      </c>
      <c r="Q9" s="28">
        <f ca="1">MAX(SamplingFeatures[SpecimenID])</f>
        <v>0</v>
      </c>
    </row>
    <row r="10" spans="1:18" s="26" customFormat="1" ht="15.75" thickBot="1" x14ac:dyDescent="0.3">
      <c r="A10" s="52" t="s">
        <v>126</v>
      </c>
      <c r="B10" s="205"/>
      <c r="D10" s="26" t="s">
        <v>1270</v>
      </c>
      <c r="H10" s="27" t="s">
        <v>1269</v>
      </c>
      <c r="I10" s="50">
        <f ca="1">MAX(SamplingFeatures[IGSNID])</f>
        <v>0</v>
      </c>
      <c r="M10" s="172"/>
      <c r="N10" s="199"/>
    </row>
    <row r="11" spans="1:18" s="26" customFormat="1" ht="15.75" thickBot="1" x14ac:dyDescent="0.3">
      <c r="I11" s="172"/>
      <c r="K11" s="231" t="s">
        <v>1317</v>
      </c>
      <c r="L11" s="231"/>
      <c r="M11" s="231"/>
      <c r="N11" s="231"/>
      <c r="O11" s="231" t="s">
        <v>1370</v>
      </c>
      <c r="P11" s="231"/>
      <c r="Q11" s="231"/>
      <c r="R11" s="231"/>
    </row>
    <row r="12" spans="1:18" s="26" customFormat="1" ht="15.75" thickBot="1" x14ac:dyDescent="0.3">
      <c r="A12" s="53" t="s">
        <v>20</v>
      </c>
      <c r="B12" s="54" t="s">
        <v>21</v>
      </c>
      <c r="C12" s="54" t="s">
        <v>125</v>
      </c>
      <c r="D12" s="54" t="s">
        <v>191</v>
      </c>
      <c r="E12" s="55" t="s">
        <v>189</v>
      </c>
      <c r="F12" s="56" t="s">
        <v>190</v>
      </c>
      <c r="G12" s="57" t="s">
        <v>192</v>
      </c>
      <c r="H12" s="57" t="s">
        <v>24</v>
      </c>
      <c r="I12" s="58" t="s">
        <v>1180</v>
      </c>
      <c r="J12" s="48" t="s">
        <v>1267</v>
      </c>
      <c r="K12" s="214" t="s">
        <v>1136</v>
      </c>
      <c r="L12" s="209" t="s">
        <v>187</v>
      </c>
      <c r="M12" s="209" t="s">
        <v>22</v>
      </c>
      <c r="N12" s="209" t="s">
        <v>23</v>
      </c>
      <c r="O12" s="217" t="s">
        <v>1371</v>
      </c>
      <c r="P12" s="209" t="s">
        <v>1372</v>
      </c>
      <c r="Q12" s="209" t="s">
        <v>1373</v>
      </c>
      <c r="R12" s="210" t="s">
        <v>1374</v>
      </c>
    </row>
    <row r="13" spans="1:18" ht="15.75" thickTop="1" x14ac:dyDescent="0.25">
      <c r="A13" s="138"/>
      <c r="B13" s="18"/>
      <c r="C13" s="18"/>
      <c r="D13" s="18"/>
      <c r="E13" s="41"/>
      <c r="F13" s="42"/>
      <c r="G13" s="43"/>
      <c r="H13" s="43"/>
      <c r="I13" s="43"/>
      <c r="J13" s="46" t="str">
        <f ca="1">IF(SamplingFeatures[[#This Row],[Feature IGSN]]&lt;&gt;"",MAX(INDIRECT(CONCATENATE("R",ROW(SamplingFeatures[#Headers]),"C",COLUMN(),":R",ROW()-1,"C",COLUMN()),FALSE))+1,"")</f>
        <v/>
      </c>
      <c r="K13" s="215" t="str">
        <f ca="1">IF(SamplingFeatures[[#This Row],[Sampling Feature Type]]="Site",MAX(INDIRECT(CONCATENATE("R",ROW(SamplingFeatures[#Headers]),"C",COLUMN(),":R",ROW()-1,"C",COLUMN()),FALSE))+1,"")</f>
        <v/>
      </c>
      <c r="L13" s="211"/>
      <c r="M13" s="207"/>
      <c r="N13" s="207"/>
      <c r="O13" s="46" t="str">
        <f ca="1">IF(SamplingFeatures[[#This Row],[Sampling Feature Type]]="Specimen",MAX(INDIRECT(CONCATENATE("R",ROW(SamplingFeatures[#Headers]),"C",COLUMN(),":R",ROW()-1,"C",COLUMN()),FALSE))+1,"")</f>
        <v/>
      </c>
      <c r="P13" s="211"/>
      <c r="Q13" s="207"/>
      <c r="R13" s="207"/>
    </row>
    <row r="14" spans="1:18" x14ac:dyDescent="0.25">
      <c r="A14" s="139"/>
      <c r="B14" s="18"/>
      <c r="C14" s="18"/>
      <c r="D14" s="10"/>
      <c r="E14" s="11"/>
      <c r="F14" s="44"/>
      <c r="G14" s="12"/>
      <c r="H14" s="12"/>
      <c r="I14" s="12"/>
      <c r="J14" s="47" t="str">
        <f ca="1">IF(SamplingFeatures[[#This Row],[Feature IGSN]]&lt;&gt;"",MAX(INDIRECT(CONCATENATE("R",ROW(SamplingFeatures[#Headers]),"C",COLUMN(),":R",ROW()-1,"C",COLUMN()),FALSE))+1,"")</f>
        <v/>
      </c>
      <c r="K14" s="126" t="str">
        <f ca="1">IF(SamplingFeatures[[#This Row],[Sampling Feature Type]]="Site",MAX(INDIRECT(CONCATENATE("R",ROW(SamplingFeatures[#Headers]),"C",COLUMN(),":R",ROW()-1,"C",COLUMN()),FALSE))+1,"")</f>
        <v/>
      </c>
      <c r="L14" s="212"/>
      <c r="M14" s="206"/>
      <c r="N14" s="206"/>
      <c r="O14" s="47" t="str">
        <f ca="1">IF(SamplingFeatures[[#This Row],[Sampling Feature Type]]="Specimen",MAX(INDIRECT(CONCATENATE("R",ROW(SamplingFeatures[#Headers]),"C",COLUMN(),":R",ROW()-1,"C",COLUMN()),FALSE))+1,"")</f>
        <v/>
      </c>
      <c r="P14" s="212"/>
      <c r="Q14" s="206"/>
      <c r="R14" s="206"/>
    </row>
    <row r="15" spans="1:18" x14ac:dyDescent="0.25">
      <c r="A15" s="139"/>
      <c r="B15" s="18"/>
      <c r="C15" s="18"/>
      <c r="D15" s="10"/>
      <c r="E15" s="11"/>
      <c r="F15" s="44"/>
      <c r="G15" s="12"/>
      <c r="H15" s="12"/>
      <c r="I15" s="12"/>
      <c r="J15" s="47" t="str">
        <f ca="1">IF(SamplingFeatures[[#This Row],[Feature IGSN]]&lt;&gt;"",MAX(INDIRECT(CONCATENATE("R",ROW(SamplingFeatures[#Headers]),"C",COLUMN(),":R",ROW()-1,"C",COLUMN()),FALSE))+1,"")</f>
        <v/>
      </c>
      <c r="K15" s="126" t="str">
        <f ca="1">IF(SamplingFeatures[[#This Row],[Sampling Feature Type]]="Site",MAX(INDIRECT(CONCATENATE("R",ROW(SamplingFeatures[#Headers]),"C",COLUMN(),":R",ROW()-1,"C",COLUMN()),FALSE))+1,"")</f>
        <v/>
      </c>
      <c r="L15" s="212"/>
      <c r="M15" s="206"/>
      <c r="N15" s="206"/>
      <c r="O15" s="47" t="str">
        <f ca="1">IF(SamplingFeatures[[#This Row],[Sampling Feature Type]]="Specimen",MAX(INDIRECT(CONCATENATE("R",ROW(SamplingFeatures[#Headers]),"C",COLUMN(),":R",ROW()-1,"C",COLUMN()),FALSE))+1,"")</f>
        <v/>
      </c>
      <c r="P15" s="212"/>
      <c r="Q15" s="206"/>
      <c r="R15" s="206"/>
    </row>
    <row r="16" spans="1:18" ht="15" customHeight="1" x14ac:dyDescent="0.25">
      <c r="A16" s="139"/>
      <c r="B16" s="18"/>
      <c r="C16" s="18"/>
      <c r="D16" s="10"/>
      <c r="E16" s="11"/>
      <c r="F16" s="44"/>
      <c r="G16" s="12"/>
      <c r="H16" s="12"/>
      <c r="I16" s="12"/>
      <c r="J16" s="47" t="str">
        <f ca="1">IF(SamplingFeatures[[#This Row],[Feature IGSN]]&lt;&gt;"",MAX(INDIRECT(CONCATENATE("R",ROW(SamplingFeatures[#Headers]),"C",COLUMN(),":R",ROW()-1,"C",COLUMN()),FALSE))+1,"")</f>
        <v/>
      </c>
      <c r="K16" s="126" t="str">
        <f ca="1">IF(SamplingFeatures[[#This Row],[Sampling Feature Type]]="Site",MAX(INDIRECT(CONCATENATE("R",ROW(SamplingFeatures[#Headers]),"C",COLUMN(),":R",ROW()-1,"C",COLUMN()),FALSE))+1,"")</f>
        <v/>
      </c>
      <c r="L16" s="212"/>
      <c r="M16" s="206"/>
      <c r="N16" s="206"/>
      <c r="O16" s="47" t="str">
        <f ca="1">IF(SamplingFeatures[[#This Row],[Sampling Feature Type]]="Specimen",MAX(INDIRECT(CONCATENATE("R",ROW(SamplingFeatures[#Headers]),"C",COLUMN(),":R",ROW()-1,"C",COLUMN()),FALSE))+1,"")</f>
        <v/>
      </c>
      <c r="P16" s="212"/>
      <c r="Q16" s="206"/>
      <c r="R16" s="206"/>
    </row>
    <row r="17" spans="1:18" x14ac:dyDescent="0.25">
      <c r="A17" s="139"/>
      <c r="B17" s="18"/>
      <c r="C17" s="18"/>
      <c r="D17" s="10"/>
      <c r="E17" s="11"/>
      <c r="F17" s="44"/>
      <c r="G17" s="12"/>
      <c r="H17" s="12"/>
      <c r="I17" s="12"/>
      <c r="J17" s="47" t="str">
        <f ca="1">IF(SamplingFeatures[[#This Row],[Feature IGSN]]&lt;&gt;"",MAX(INDIRECT(CONCATENATE("R",ROW(SamplingFeatures[#Headers]),"C",COLUMN(),":R",ROW()-1,"C",COLUMN()),FALSE))+1,"")</f>
        <v/>
      </c>
      <c r="K17" s="126" t="str">
        <f ca="1">IF(SamplingFeatures[[#This Row],[Sampling Feature Type]]="Site",MAX(INDIRECT(CONCATENATE("R",ROW(SamplingFeatures[#Headers]),"C",COLUMN(),":R",ROW()-1,"C",COLUMN()),FALSE))+1,"")</f>
        <v/>
      </c>
      <c r="L17" s="212"/>
      <c r="M17" s="206"/>
      <c r="N17" s="206"/>
      <c r="O17" s="47" t="str">
        <f ca="1">IF(SamplingFeatures[[#This Row],[Sampling Feature Type]]="Specimen",MAX(INDIRECT(CONCATENATE("R",ROW(SamplingFeatures[#Headers]),"C",COLUMN(),":R",ROW()-1,"C",COLUMN()),FALSE))+1,"")</f>
        <v/>
      </c>
      <c r="P17" s="212"/>
      <c r="Q17" s="206"/>
      <c r="R17" s="206"/>
    </row>
    <row r="18" spans="1:18" ht="15" customHeight="1" x14ac:dyDescent="0.25">
      <c r="A18" s="139"/>
      <c r="B18" s="18"/>
      <c r="C18" s="18"/>
      <c r="D18" s="10"/>
      <c r="E18" s="11"/>
      <c r="F18" s="44"/>
      <c r="G18" s="12"/>
      <c r="H18" s="12"/>
      <c r="I18" s="12"/>
      <c r="J18" s="47" t="str">
        <f ca="1">IF(SamplingFeatures[[#This Row],[Feature IGSN]]&lt;&gt;"",MAX(INDIRECT(CONCATENATE("R",ROW(SamplingFeatures[#Headers]),"C",COLUMN(),":R",ROW()-1,"C",COLUMN()),FALSE))+1,"")</f>
        <v/>
      </c>
      <c r="K18" s="126" t="str">
        <f ca="1">IF(SamplingFeatures[[#This Row],[Sampling Feature Type]]="Site",MAX(INDIRECT(CONCATENATE("R",ROW(SamplingFeatures[#Headers]),"C",COLUMN(),":R",ROW()-1,"C",COLUMN()),FALSE))+1,"")</f>
        <v/>
      </c>
      <c r="L18" s="212"/>
      <c r="M18" s="206"/>
      <c r="N18" s="206"/>
      <c r="O18" s="47" t="str">
        <f ca="1">IF(SamplingFeatures[[#This Row],[Sampling Feature Type]]="Specimen",MAX(INDIRECT(CONCATENATE("R",ROW(SamplingFeatures[#Headers]),"C",COLUMN(),":R",ROW()-1,"C",COLUMN()),FALSE))+1,"")</f>
        <v/>
      </c>
      <c r="P18" s="212"/>
      <c r="Q18" s="206"/>
      <c r="R18" s="206"/>
    </row>
    <row r="19" spans="1:18" ht="15" customHeight="1" x14ac:dyDescent="0.25">
      <c r="A19" s="139"/>
      <c r="B19" s="18"/>
      <c r="C19" s="18"/>
      <c r="D19" s="10"/>
      <c r="E19" s="11"/>
      <c r="F19" s="44"/>
      <c r="G19" s="12"/>
      <c r="H19" s="12"/>
      <c r="I19" s="12"/>
      <c r="J19" s="47" t="str">
        <f ca="1">IF(SamplingFeatures[[#This Row],[Feature IGSN]]&lt;&gt;"",MAX(INDIRECT(CONCATENATE("R",ROW(SamplingFeatures[#Headers]),"C",COLUMN(),":R",ROW()-1,"C",COLUMN()),FALSE))+1,"")</f>
        <v/>
      </c>
      <c r="K19" s="126" t="str">
        <f ca="1">IF(SamplingFeatures[[#This Row],[Sampling Feature Type]]="Site",MAX(INDIRECT(CONCATENATE("R",ROW(SamplingFeatures[#Headers]),"C",COLUMN(),":R",ROW()-1,"C",COLUMN()),FALSE))+1,"")</f>
        <v/>
      </c>
      <c r="L19" s="212"/>
      <c r="M19" s="206"/>
      <c r="N19" s="206"/>
      <c r="O19" s="47" t="str">
        <f ca="1">IF(SamplingFeatures[[#This Row],[Sampling Feature Type]]="Specimen",MAX(INDIRECT(CONCATENATE("R",ROW(SamplingFeatures[#Headers]),"C",COLUMN(),":R",ROW()-1,"C",COLUMN()),FALSE))+1,"")</f>
        <v/>
      </c>
      <c r="P19" s="212"/>
      <c r="Q19" s="206"/>
      <c r="R19" s="206"/>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2"/>
      <c r="M20" s="206"/>
      <c r="N20" s="206"/>
      <c r="O20" s="47" t="str">
        <f ca="1">IF(SamplingFeatures[[#This Row],[Sampling Feature Type]]="Specimen",MAX(INDIRECT(CONCATENATE("R",ROW(SamplingFeatures[#Headers]),"C",COLUMN(),":R",ROW()-1,"C",COLUMN()),FALSE))+1,"")</f>
        <v/>
      </c>
      <c r="P20" s="212"/>
      <c r="Q20" s="206"/>
      <c r="R20" s="206"/>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2"/>
      <c r="M21" s="206"/>
      <c r="N21" s="206"/>
      <c r="O21" s="47" t="str">
        <f ca="1">IF(SamplingFeatures[[#This Row],[Sampling Feature Type]]="Specimen",MAX(INDIRECT(CONCATENATE("R",ROW(SamplingFeatures[#Headers]),"C",COLUMN(),":R",ROW()-1,"C",COLUMN()),FALSE))+1,"")</f>
        <v/>
      </c>
      <c r="P21" s="212"/>
      <c r="Q21" s="206"/>
      <c r="R21" s="206"/>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2"/>
      <c r="M22" s="206"/>
      <c r="N22" s="206"/>
      <c r="O22" s="47" t="str">
        <f ca="1">IF(SamplingFeatures[[#This Row],[Sampling Feature Type]]="Specimen",MAX(INDIRECT(CONCATENATE("R",ROW(SamplingFeatures[#Headers]),"C",COLUMN(),":R",ROW()-1,"C",COLUMN()),FALSE))+1,"")</f>
        <v/>
      </c>
      <c r="P22" s="212"/>
      <c r="Q22" s="206"/>
      <c r="R22" s="206"/>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2"/>
      <c r="M23" s="206"/>
      <c r="N23" s="206"/>
      <c r="O23" s="47" t="str">
        <f ca="1">IF(SamplingFeatures[[#This Row],[Sampling Feature Type]]="Specimen",MAX(INDIRECT(CONCATENATE("R",ROW(SamplingFeatures[#Headers]),"C",COLUMN(),":R",ROW()-1,"C",COLUMN()),FALSE))+1,"")</f>
        <v/>
      </c>
      <c r="P23" s="212"/>
      <c r="Q23" s="206"/>
      <c r="R23" s="206"/>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2"/>
      <c r="M24" s="206"/>
      <c r="N24" s="206"/>
      <c r="O24" s="47" t="str">
        <f ca="1">IF(SamplingFeatures[[#This Row],[Sampling Feature Type]]="Specimen",MAX(INDIRECT(CONCATENATE("R",ROW(SamplingFeatures[#Headers]),"C",COLUMN(),":R",ROW()-1,"C",COLUMN()),FALSE))+1,"")</f>
        <v/>
      </c>
      <c r="P24" s="212"/>
      <c r="Q24" s="206"/>
      <c r="R24" s="206"/>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2"/>
      <c r="M25" s="206"/>
      <c r="N25" s="206"/>
      <c r="O25" s="47" t="str">
        <f ca="1">IF(SamplingFeatures[[#This Row],[Sampling Feature Type]]="Specimen",MAX(INDIRECT(CONCATENATE("R",ROW(SamplingFeatures[#Headers]),"C",COLUMN(),":R",ROW()-1,"C",COLUMN()),FALSE))+1,"")</f>
        <v/>
      </c>
      <c r="P25" s="212"/>
      <c r="Q25" s="206"/>
      <c r="R25" s="206"/>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2"/>
      <c r="M26" s="206"/>
      <c r="N26" s="206"/>
      <c r="O26" s="47" t="str">
        <f ca="1">IF(SamplingFeatures[[#This Row],[Sampling Feature Type]]="Specimen",MAX(INDIRECT(CONCATENATE("R",ROW(SamplingFeatures[#Headers]),"C",COLUMN(),":R",ROW()-1,"C",COLUMN()),FALSE))+1,"")</f>
        <v/>
      </c>
      <c r="P26" s="212"/>
      <c r="Q26" s="206"/>
      <c r="R26" s="206"/>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2"/>
      <c r="M27" s="206"/>
      <c r="N27" s="206"/>
      <c r="O27" s="47" t="str">
        <f ca="1">IF(SamplingFeatures[[#This Row],[Sampling Feature Type]]="Specimen",MAX(INDIRECT(CONCATENATE("R",ROW(SamplingFeatures[#Headers]),"C",COLUMN(),":R",ROW()-1,"C",COLUMN()),FALSE))+1,"")</f>
        <v/>
      </c>
      <c r="P27" s="212"/>
      <c r="Q27" s="206"/>
      <c r="R27" s="206"/>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2"/>
      <c r="M28" s="206"/>
      <c r="N28" s="206"/>
      <c r="O28" s="47" t="str">
        <f ca="1">IF(SamplingFeatures[[#This Row],[Sampling Feature Type]]="Specimen",MAX(INDIRECT(CONCATENATE("R",ROW(SamplingFeatures[#Headers]),"C",COLUMN(),":R",ROW()-1,"C",COLUMN()),FALSE))+1,"")</f>
        <v/>
      </c>
      <c r="P28" s="212"/>
      <c r="Q28" s="206"/>
      <c r="R28" s="206"/>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2"/>
      <c r="M29" s="206"/>
      <c r="N29" s="206"/>
      <c r="O29" s="47" t="str">
        <f ca="1">IF(SamplingFeatures[[#This Row],[Sampling Feature Type]]="Specimen",MAX(INDIRECT(CONCATENATE("R",ROW(SamplingFeatures[#Headers]),"C",COLUMN(),":R",ROW()-1,"C",COLUMN()),FALSE))+1,"")</f>
        <v/>
      </c>
      <c r="P29" s="212"/>
      <c r="Q29" s="206"/>
      <c r="R29" s="206"/>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2"/>
      <c r="M30" s="206"/>
      <c r="N30" s="206"/>
      <c r="O30" s="47" t="str">
        <f ca="1">IF(SamplingFeatures[[#This Row],[Sampling Feature Type]]="Specimen",MAX(INDIRECT(CONCATENATE("R",ROW(SamplingFeatures[#Headers]),"C",COLUMN(),":R",ROW()-1,"C",COLUMN()),FALSE))+1,"")</f>
        <v/>
      </c>
      <c r="P30" s="212"/>
      <c r="Q30" s="206"/>
      <c r="R30" s="206"/>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2"/>
      <c r="M31" s="206"/>
      <c r="N31" s="206"/>
      <c r="O31" s="47" t="str">
        <f ca="1">IF(SamplingFeatures[[#This Row],[Sampling Feature Type]]="Specimen",MAX(INDIRECT(CONCATENATE("R",ROW(SamplingFeatures[#Headers]),"C",COLUMN(),":R",ROW()-1,"C",COLUMN()),FALSE))+1,"")</f>
        <v/>
      </c>
      <c r="P31" s="212"/>
      <c r="Q31" s="206"/>
      <c r="R31" s="206"/>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2"/>
      <c r="M32" s="206"/>
      <c r="N32" s="206"/>
      <c r="O32" s="47" t="str">
        <f ca="1">IF(SamplingFeatures[[#This Row],[Sampling Feature Type]]="Specimen",MAX(INDIRECT(CONCATENATE("R",ROW(SamplingFeatures[#Headers]),"C",COLUMN(),":R",ROW()-1,"C",COLUMN()),FALSE))+1,"")</f>
        <v/>
      </c>
      <c r="P32" s="212"/>
      <c r="Q32" s="206"/>
      <c r="R32" s="206"/>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2"/>
      <c r="M33" s="206"/>
      <c r="N33" s="206"/>
      <c r="O33" s="47" t="str">
        <f ca="1">IF(SamplingFeatures[[#This Row],[Sampling Feature Type]]="Specimen",MAX(INDIRECT(CONCATENATE("R",ROW(SamplingFeatures[#Headers]),"C",COLUMN(),":R",ROW()-1,"C",COLUMN()),FALSE))+1,"")</f>
        <v/>
      </c>
      <c r="P33" s="212"/>
      <c r="Q33" s="206"/>
      <c r="R33" s="206"/>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2"/>
      <c r="M34" s="206"/>
      <c r="N34" s="206"/>
      <c r="O34" s="47" t="str">
        <f ca="1">IF(SamplingFeatures[[#This Row],[Sampling Feature Type]]="Specimen",MAX(INDIRECT(CONCATENATE("R",ROW(SamplingFeatures[#Headers]),"C",COLUMN(),":R",ROW()-1,"C",COLUMN()),FALSE))+1,"")</f>
        <v/>
      </c>
      <c r="P34" s="212"/>
      <c r="Q34" s="206"/>
      <c r="R34" s="206"/>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2"/>
      <c r="M35" s="206"/>
      <c r="N35" s="206"/>
      <c r="O35" s="47" t="str">
        <f ca="1">IF(SamplingFeatures[[#This Row],[Sampling Feature Type]]="Specimen",MAX(INDIRECT(CONCATENATE("R",ROW(SamplingFeatures[#Headers]),"C",COLUMN(),":R",ROW()-1,"C",COLUMN()),FALSE))+1,"")</f>
        <v/>
      </c>
      <c r="P35" s="212"/>
      <c r="Q35" s="206"/>
      <c r="R35" s="206"/>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2"/>
      <c r="M36" s="206"/>
      <c r="N36" s="206"/>
      <c r="O36" s="47" t="str">
        <f ca="1">IF(SamplingFeatures[[#This Row],[Sampling Feature Type]]="Specimen",MAX(INDIRECT(CONCATENATE("R",ROW(SamplingFeatures[#Headers]),"C",COLUMN(),":R",ROW()-1,"C",COLUMN()),FALSE))+1,"")</f>
        <v/>
      </c>
      <c r="P36" s="212"/>
      <c r="Q36" s="206"/>
      <c r="R36" s="206"/>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2"/>
      <c r="M37" s="206"/>
      <c r="N37" s="206"/>
      <c r="O37" s="47" t="str">
        <f ca="1">IF(SamplingFeatures[[#This Row],[Sampling Feature Type]]="Specimen",MAX(INDIRECT(CONCATENATE("R",ROW(SamplingFeatures[#Headers]),"C",COLUMN(),":R",ROW()-1,"C",COLUMN()),FALSE))+1,"")</f>
        <v/>
      </c>
      <c r="P37" s="212"/>
      <c r="Q37" s="206"/>
      <c r="R37" s="206"/>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2"/>
      <c r="M38" s="206"/>
      <c r="N38" s="206"/>
      <c r="O38" s="47" t="str">
        <f ca="1">IF(SamplingFeatures[[#This Row],[Sampling Feature Type]]="Specimen",MAX(INDIRECT(CONCATENATE("R",ROW(SamplingFeatures[#Headers]),"C",COLUMN(),":R",ROW()-1,"C",COLUMN()),FALSE))+1,"")</f>
        <v/>
      </c>
      <c r="P38" s="212"/>
      <c r="Q38" s="206"/>
      <c r="R38" s="206"/>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2"/>
      <c r="M39" s="206"/>
      <c r="N39" s="206"/>
      <c r="O39" s="47" t="str">
        <f ca="1">IF(SamplingFeatures[[#This Row],[Sampling Feature Type]]="Specimen",MAX(INDIRECT(CONCATENATE("R",ROW(SamplingFeatures[#Headers]),"C",COLUMN(),":R",ROW()-1,"C",COLUMN()),FALSE))+1,"")</f>
        <v/>
      </c>
      <c r="P39" s="212"/>
      <c r="Q39" s="206"/>
      <c r="R39" s="206"/>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2"/>
      <c r="M40" s="206"/>
      <c r="N40" s="206"/>
      <c r="O40" s="47" t="str">
        <f ca="1">IF(SamplingFeatures[[#This Row],[Sampling Feature Type]]="Specimen",MAX(INDIRECT(CONCATENATE("R",ROW(SamplingFeatures[#Headers]),"C",COLUMN(),":R",ROW()-1,"C",COLUMN()),FALSE))+1,"")</f>
        <v/>
      </c>
      <c r="P40" s="212"/>
      <c r="Q40" s="206"/>
      <c r="R40" s="206"/>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2"/>
      <c r="M41" s="206"/>
      <c r="N41" s="206"/>
      <c r="O41" s="47" t="str">
        <f ca="1">IF(SamplingFeatures[[#This Row],[Sampling Feature Type]]="Specimen",MAX(INDIRECT(CONCATENATE("R",ROW(SamplingFeatures[#Headers]),"C",COLUMN(),":R",ROW()-1,"C",COLUMN()),FALSE))+1,"")</f>
        <v/>
      </c>
      <c r="P41" s="212"/>
      <c r="Q41" s="206"/>
      <c r="R41" s="206"/>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2"/>
      <c r="M42" s="206"/>
      <c r="N42" s="206"/>
      <c r="O42" s="47" t="str">
        <f ca="1">IF(SamplingFeatures[[#This Row],[Sampling Feature Type]]="Specimen",MAX(INDIRECT(CONCATENATE("R",ROW(SamplingFeatures[#Headers]),"C",COLUMN(),":R",ROW()-1,"C",COLUMN()),FALSE))+1,"")</f>
        <v/>
      </c>
      <c r="P42" s="212"/>
      <c r="Q42" s="206"/>
      <c r="R42" s="206"/>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2"/>
      <c r="M43" s="206"/>
      <c r="N43" s="206"/>
      <c r="O43" s="47" t="str">
        <f ca="1">IF(SamplingFeatures[[#This Row],[Sampling Feature Type]]="Specimen",MAX(INDIRECT(CONCATENATE("R",ROW(SamplingFeatures[#Headers]),"C",COLUMN(),":R",ROW()-1,"C",COLUMN()),FALSE))+1,"")</f>
        <v/>
      </c>
      <c r="P43" s="212"/>
      <c r="Q43" s="206"/>
      <c r="R43" s="206"/>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2"/>
      <c r="M44" s="206"/>
      <c r="N44" s="206"/>
      <c r="O44" s="47" t="str">
        <f ca="1">IF(SamplingFeatures[[#This Row],[Sampling Feature Type]]="Specimen",MAX(INDIRECT(CONCATENATE("R",ROW(SamplingFeatures[#Headers]),"C",COLUMN(),":R",ROW()-1,"C",COLUMN()),FALSE))+1,"")</f>
        <v/>
      </c>
      <c r="P44" s="212"/>
      <c r="Q44" s="206"/>
      <c r="R44" s="206"/>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2"/>
      <c r="M45" s="206"/>
      <c r="N45" s="206"/>
      <c r="O45" s="47" t="str">
        <f ca="1">IF(SamplingFeatures[[#This Row],[Sampling Feature Type]]="Specimen",MAX(INDIRECT(CONCATENATE("R",ROW(SamplingFeatures[#Headers]),"C",COLUMN(),":R",ROW()-1,"C",COLUMN()),FALSE))+1,"")</f>
        <v/>
      </c>
      <c r="P45" s="212"/>
      <c r="Q45" s="206"/>
      <c r="R45" s="206"/>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2"/>
      <c r="M46" s="206"/>
      <c r="N46" s="206"/>
      <c r="O46" s="47" t="str">
        <f ca="1">IF(SamplingFeatures[[#This Row],[Sampling Feature Type]]="Specimen",MAX(INDIRECT(CONCATENATE("R",ROW(SamplingFeatures[#Headers]),"C",COLUMN(),":R",ROW()-1,"C",COLUMN()),FALSE))+1,"")</f>
        <v/>
      </c>
      <c r="P46" s="212"/>
      <c r="Q46" s="206"/>
      <c r="R46" s="206"/>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2"/>
      <c r="M47" s="206"/>
      <c r="N47" s="206"/>
      <c r="O47" s="47" t="str">
        <f ca="1">IF(SamplingFeatures[[#This Row],[Sampling Feature Type]]="Specimen",MAX(INDIRECT(CONCATENATE("R",ROW(SamplingFeatures[#Headers]),"C",COLUMN(),":R",ROW()-1,"C",COLUMN()),FALSE))+1,"")</f>
        <v/>
      </c>
      <c r="P47" s="212"/>
      <c r="Q47" s="206"/>
      <c r="R47" s="206"/>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2"/>
      <c r="M48" s="206"/>
      <c r="N48" s="206"/>
      <c r="O48" s="47" t="str">
        <f ca="1">IF(SamplingFeatures[[#This Row],[Sampling Feature Type]]="Specimen",MAX(INDIRECT(CONCATENATE("R",ROW(SamplingFeatures[#Headers]),"C",COLUMN(),":R",ROW()-1,"C",COLUMN()),FALSE))+1,"")</f>
        <v/>
      </c>
      <c r="P48" s="212"/>
      <c r="Q48" s="206"/>
      <c r="R48" s="206"/>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2"/>
      <c r="M49" s="206"/>
      <c r="N49" s="206"/>
      <c r="O49" s="47" t="str">
        <f ca="1">IF(SamplingFeatures[[#This Row],[Sampling Feature Type]]="Specimen",MAX(INDIRECT(CONCATENATE("R",ROW(SamplingFeatures[#Headers]),"C",COLUMN(),":R",ROW()-1,"C",COLUMN()),FALSE))+1,"")</f>
        <v/>
      </c>
      <c r="P49" s="212"/>
      <c r="Q49" s="206"/>
      <c r="R49" s="206"/>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2"/>
      <c r="M50" s="206"/>
      <c r="N50" s="206"/>
      <c r="O50" s="47" t="str">
        <f ca="1">IF(SamplingFeatures[[#This Row],[Sampling Feature Type]]="Specimen",MAX(INDIRECT(CONCATENATE("R",ROW(SamplingFeatures[#Headers]),"C",COLUMN(),":R",ROW()-1,"C",COLUMN()),FALSE))+1,"")</f>
        <v/>
      </c>
      <c r="P50" s="212"/>
      <c r="Q50" s="206"/>
      <c r="R50" s="206"/>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2"/>
      <c r="M51" s="206"/>
      <c r="N51" s="206"/>
      <c r="O51" s="47" t="str">
        <f ca="1">IF(SamplingFeatures[[#This Row],[Sampling Feature Type]]="Specimen",MAX(INDIRECT(CONCATENATE("R",ROW(SamplingFeatures[#Headers]),"C",COLUMN(),":R",ROW()-1,"C",COLUMN()),FALSE))+1,"")</f>
        <v/>
      </c>
      <c r="P51" s="212"/>
      <c r="Q51" s="206"/>
      <c r="R51" s="206"/>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2"/>
      <c r="M52" s="206"/>
      <c r="N52" s="206"/>
      <c r="O52" s="47" t="str">
        <f ca="1">IF(SamplingFeatures[[#This Row],[Sampling Feature Type]]="Specimen",MAX(INDIRECT(CONCATENATE("R",ROW(SamplingFeatures[#Headers]),"C",COLUMN(),":R",ROW()-1,"C",COLUMN()),FALSE))+1,"")</f>
        <v/>
      </c>
      <c r="P52" s="212"/>
      <c r="Q52" s="206"/>
      <c r="R52" s="206"/>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2"/>
      <c r="M53" s="206"/>
      <c r="N53" s="206"/>
      <c r="O53" s="47" t="str">
        <f ca="1">IF(SamplingFeatures[[#This Row],[Sampling Feature Type]]="Specimen",MAX(INDIRECT(CONCATENATE("R",ROW(SamplingFeatures[#Headers]),"C",COLUMN(),":R",ROW()-1,"C",COLUMN()),FALSE))+1,"")</f>
        <v/>
      </c>
      <c r="P53" s="212"/>
      <c r="Q53" s="206"/>
      <c r="R53" s="206"/>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2"/>
      <c r="M54" s="206"/>
      <c r="N54" s="206"/>
      <c r="O54" s="47" t="str">
        <f ca="1">IF(SamplingFeatures[[#This Row],[Sampling Feature Type]]="Specimen",MAX(INDIRECT(CONCATENATE("R",ROW(SamplingFeatures[#Headers]),"C",COLUMN(),":R",ROW()-1,"C",COLUMN()),FALSE))+1,"")</f>
        <v/>
      </c>
      <c r="P54" s="212"/>
      <c r="Q54" s="206"/>
      <c r="R54" s="206"/>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2"/>
      <c r="M55" s="206"/>
      <c r="N55" s="206"/>
      <c r="O55" s="47" t="str">
        <f ca="1">IF(SamplingFeatures[[#This Row],[Sampling Feature Type]]="Specimen",MAX(INDIRECT(CONCATENATE("R",ROW(SamplingFeatures[#Headers]),"C",COLUMN(),":R",ROW()-1,"C",COLUMN()),FALSE))+1,"")</f>
        <v/>
      </c>
      <c r="P55" s="212"/>
      <c r="Q55" s="206"/>
      <c r="R55" s="206"/>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2"/>
      <c r="M56" s="206"/>
      <c r="N56" s="206"/>
      <c r="O56" s="47" t="str">
        <f ca="1">IF(SamplingFeatures[[#This Row],[Sampling Feature Type]]="Specimen",MAX(INDIRECT(CONCATENATE("R",ROW(SamplingFeatures[#Headers]),"C",COLUMN(),":R",ROW()-1,"C",COLUMN()),FALSE))+1,"")</f>
        <v/>
      </c>
      <c r="P56" s="212"/>
      <c r="Q56" s="206"/>
      <c r="R56" s="206"/>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2"/>
      <c r="M57" s="206"/>
      <c r="N57" s="206"/>
      <c r="O57" s="47" t="str">
        <f ca="1">IF(SamplingFeatures[[#This Row],[Sampling Feature Type]]="Specimen",MAX(INDIRECT(CONCATENATE("R",ROW(SamplingFeatures[#Headers]),"C",COLUMN(),":R",ROW()-1,"C",COLUMN()),FALSE))+1,"")</f>
        <v/>
      </c>
      <c r="P57" s="212"/>
      <c r="Q57" s="206"/>
      <c r="R57" s="206"/>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2"/>
      <c r="M58" s="206"/>
      <c r="N58" s="206"/>
      <c r="O58" s="47" t="str">
        <f ca="1">IF(SamplingFeatures[[#This Row],[Sampling Feature Type]]="Specimen",MAX(INDIRECT(CONCATENATE("R",ROW(SamplingFeatures[#Headers]),"C",COLUMN(),":R",ROW()-1,"C",COLUMN()),FALSE))+1,"")</f>
        <v/>
      </c>
      <c r="P58" s="212"/>
      <c r="Q58" s="206"/>
      <c r="R58" s="206"/>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2"/>
      <c r="M59" s="206"/>
      <c r="N59" s="206"/>
      <c r="O59" s="47" t="str">
        <f ca="1">IF(SamplingFeatures[[#This Row],[Sampling Feature Type]]="Specimen",MAX(INDIRECT(CONCATENATE("R",ROW(SamplingFeatures[#Headers]),"C",COLUMN(),":R",ROW()-1,"C",COLUMN()),FALSE))+1,"")</f>
        <v/>
      </c>
      <c r="P59" s="212"/>
      <c r="Q59" s="206"/>
      <c r="R59" s="206"/>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2"/>
      <c r="M60" s="206"/>
      <c r="N60" s="206"/>
      <c r="O60" s="47" t="str">
        <f ca="1">IF(SamplingFeatures[[#This Row],[Sampling Feature Type]]="Specimen",MAX(INDIRECT(CONCATENATE("R",ROW(SamplingFeatures[#Headers]),"C",COLUMN(),":R",ROW()-1,"C",COLUMN()),FALSE))+1,"")</f>
        <v/>
      </c>
      <c r="P60" s="212"/>
      <c r="Q60" s="206"/>
      <c r="R60" s="206"/>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2"/>
      <c r="M61" s="206"/>
      <c r="N61" s="206"/>
      <c r="O61" s="47" t="str">
        <f ca="1">IF(SamplingFeatures[[#This Row],[Sampling Feature Type]]="Specimen",MAX(INDIRECT(CONCATENATE("R",ROW(SamplingFeatures[#Headers]),"C",COLUMN(),":R",ROW()-1,"C",COLUMN()),FALSE))+1,"")</f>
        <v/>
      </c>
      <c r="P61" s="212"/>
      <c r="Q61" s="206"/>
      <c r="R61" s="206"/>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password="CA31" sheet="1" objects="1" scenarios="1" formatColumns="0" insertRows="0" insertHyperlinks="0" deleteRows="0"/>
  <mergeCells count="3">
    <mergeCell ref="A8:B8"/>
    <mergeCell ref="K11:N11"/>
    <mergeCell ref="O11:R11"/>
  </mergeCells>
  <conditionalFormatting sqref="B9">
    <cfRule type="expression" dxfId="55" priority="22">
      <formula>AND(COUNTIF(ElevationDatumCV,$B$9)=0,$B$9&lt;&gt;"")</formula>
    </cfRule>
  </conditionalFormatting>
  <conditionalFormatting sqref="B10">
    <cfRule type="expression" dxfId="54" priority="21">
      <formula>AND(COUNTIF(LatLonDatumNames,$B$10)=0,$B$10&lt;&gt;"")</formula>
    </cfRule>
  </conditionalFormatting>
  <conditionalFormatting sqref="B13:B62">
    <cfRule type="expression" dxfId="53" priority="20">
      <formula>AND(COUNTIF(SamplingFeatureTypeCV,$B13)=0,$B13&lt;&gt;"")</formula>
    </cfRule>
  </conditionalFormatting>
  <conditionalFormatting sqref="C13:C62">
    <cfRule type="expression" dxfId="52" priority="19">
      <formula>AND(COUNTIF(SamplingFeatureGeotypeCV,$C13)=0,$C13&lt;&gt;"")</formula>
    </cfRule>
  </conditionalFormatting>
  <conditionalFormatting sqref="B13:D62">
    <cfRule type="expression" dxfId="51" priority="18">
      <formula>AND(COUNTA($A13:$I13)&gt;0,B13="")</formula>
    </cfRule>
  </conditionalFormatting>
  <conditionalFormatting sqref="A14:I60 A61:C62 E61:I62 D62">
    <cfRule type="expression" dxfId="50" priority="17">
      <formula>AND(COUNTA($A13:$I13)=0,A14&lt;&gt;"")</formula>
    </cfRule>
  </conditionalFormatting>
  <conditionalFormatting sqref="H13:H62">
    <cfRule type="expression" dxfId="49" priority="16">
      <formula>ISTEXT($H13)</formula>
    </cfRule>
  </conditionalFormatting>
  <conditionalFormatting sqref="M13:N62">
    <cfRule type="expression" dxfId="48" priority="12">
      <formula>ISTEXT(M13)</formula>
    </cfRule>
  </conditionalFormatting>
  <conditionalFormatting sqref="L13:L62">
    <cfRule type="expression" dxfId="47" priority="11">
      <formula>AND(COUNTIF(SiteTypeCV,$L13)=0,$L13&lt;&gt;"")</formula>
    </cfRule>
  </conditionalFormatting>
  <conditionalFormatting sqref="L13:N62">
    <cfRule type="expression" dxfId="46" priority="9">
      <formula>AND($B13&lt;&gt;"Site",L13&lt;&gt;"")</formula>
    </cfRule>
    <cfRule type="expression" dxfId="45" priority="10">
      <formula>AND($B13="Site",L13="")</formula>
    </cfRule>
  </conditionalFormatting>
  <conditionalFormatting sqref="P13:P62">
    <cfRule type="expression" dxfId="44" priority="6">
      <formula>AND(COUNTIF(SpecimenTypeCV,$P13)=0,$P13&lt;&gt;"")</formula>
    </cfRule>
  </conditionalFormatting>
  <conditionalFormatting sqref="Q13:Q62">
    <cfRule type="expression" dxfId="43" priority="5">
      <formula>AND(COUNTIF(SampledMediumCV,$Q13)=0,$Q13&lt;&gt;"")</formula>
    </cfRule>
  </conditionalFormatting>
  <conditionalFormatting sqref="R13:R62">
    <cfRule type="expression" dxfId="42" priority="4">
      <formula>AND(COUNTIF(Boolean,$R13)=0,$R13&lt;&gt;"")</formula>
    </cfRule>
  </conditionalFormatting>
  <conditionalFormatting sqref="P13:R62">
    <cfRule type="expression" dxfId="41" priority="50">
      <formula>AND($B13&lt;&gt;"Specimen",P13&lt;&gt;"")</formula>
    </cfRule>
    <cfRule type="expression" dxfId="40" priority="51">
      <formula>AND($B13="Specimen",P13="")</formula>
    </cfRule>
  </conditionalFormatting>
  <conditionalFormatting sqref="D13:D60">
    <cfRule type="duplicateValues" dxfId="39" priority="146"/>
  </conditionalFormatting>
  <conditionalFormatting sqref="I13:I62">
    <cfRule type="duplicateValues" dxfId="38" priority="160"/>
  </conditionalFormatting>
  <conditionalFormatting sqref="A13:A62">
    <cfRule type="duplicateValues" dxfId="37" priority="161"/>
  </conditionalFormatting>
  <conditionalFormatting sqref="D61:D62">
    <cfRule type="duplicateValues" dxfId="36"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A13" sqref="A13"/>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88" t="s">
        <v>1366</v>
      </c>
      <c r="B7" s="189" t="s">
        <v>227</v>
      </c>
      <c r="C7" s="189" t="s">
        <v>228</v>
      </c>
      <c r="D7" s="189" t="s">
        <v>229</v>
      </c>
      <c r="E7" s="189" t="s">
        <v>230</v>
      </c>
      <c r="F7" s="189" t="s">
        <v>231</v>
      </c>
      <c r="G7" s="189" t="s">
        <v>232</v>
      </c>
      <c r="H7" s="190" t="s">
        <v>233</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password="CA31" sheet="1" objects="1" scenarios="1" formatColumns="0" insertRows="0" insertHyperlinks="0" deleteRows="0"/>
  <conditionalFormatting sqref="A8:D39">
    <cfRule type="expression" dxfId="35" priority="8">
      <formula>AND(COUNTA($A8:$H8)&gt;0,A8="")</formula>
    </cfRule>
  </conditionalFormatting>
  <conditionalFormatting sqref="B8:B39">
    <cfRule type="expression" dxfId="34" priority="3">
      <formula>AND(COUNTIF(SpatialOffsetTypeCV,$B8)=0,$B8&lt;&gt;"")</formula>
    </cfRule>
  </conditionalFormatting>
  <conditionalFormatting sqref="C8:C39 E8:E39 G8:G39">
    <cfRule type="expression" dxfId="33" priority="5">
      <formula>ISTEXT(C8)</formula>
    </cfRule>
  </conditionalFormatting>
  <conditionalFormatting sqref="A9:H39">
    <cfRule type="expression" dxfId="32" priority="2">
      <formula>AND(COUNTA($A8:$H8)=0,A9&lt;&gt;"")</formula>
    </cfRule>
  </conditionalFormatting>
  <conditionalFormatting sqref="A8:A39">
    <cfRule type="duplicateValues" dxfId="31"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1319</v>
      </c>
    </row>
    <row r="2" spans="1:6" s="26" customFormat="1" x14ac:dyDescent="0.25">
      <c r="A2" s="26" t="s">
        <v>1367</v>
      </c>
    </row>
    <row r="3" spans="1:6" s="26" customFormat="1" ht="15.75" thickBot="1" x14ac:dyDescent="0.3">
      <c r="A3" s="26" t="s">
        <v>1308</v>
      </c>
    </row>
    <row r="4" spans="1:6" s="26" customFormat="1" ht="15.75" thickBot="1" x14ac:dyDescent="0.3">
      <c r="A4" s="26" t="s">
        <v>1309</v>
      </c>
      <c r="E4" s="27" t="s">
        <v>1196</v>
      </c>
      <c r="F4" s="28">
        <f>COUNTA(RelatedFeatures[First Sampling Feature Code])</f>
        <v>0</v>
      </c>
    </row>
    <row r="5" spans="1:6" s="26" customFormat="1" x14ac:dyDescent="0.25">
      <c r="A5" s="26" t="s">
        <v>1320</v>
      </c>
      <c r="E5" s="149"/>
      <c r="F5" s="149"/>
    </row>
    <row r="6" spans="1:6" s="26" customFormat="1" ht="15.75" thickBot="1" x14ac:dyDescent="0.3"/>
    <row r="7" spans="1:6" s="26" customFormat="1" x14ac:dyDescent="0.25">
      <c r="A7" s="222" t="s">
        <v>242</v>
      </c>
      <c r="B7" s="223"/>
      <c r="C7" s="223"/>
      <c r="D7" s="224"/>
    </row>
    <row r="8" spans="1:6" s="26" customFormat="1" ht="15.75" thickBot="1" x14ac:dyDescent="0.3">
      <c r="A8" s="70" t="s">
        <v>239</v>
      </c>
      <c r="B8" s="54" t="s">
        <v>240</v>
      </c>
      <c r="C8" s="54" t="s">
        <v>241</v>
      </c>
      <c r="D8" s="71" t="s">
        <v>1366</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password="CA31" sheet="1" objects="1" scenarios="1" formatColumns="0" insertRows="0" insertHyperlinks="0" deleteRows="0"/>
  <mergeCells count="1">
    <mergeCell ref="A7:D7"/>
  </mergeCells>
  <conditionalFormatting sqref="A9:A40 C9:C40">
    <cfRule type="expression" dxfId="30" priority="7">
      <formula>AND(COUNTIF(FeatureCodes,$A9)=0,$A9&lt;&gt;"")</formula>
    </cfRule>
  </conditionalFormatting>
  <conditionalFormatting sqref="B9:B40">
    <cfRule type="expression" dxfId="29" priority="6">
      <formula>AND(COUNTIF(RelationshipTypeCV,$B9)=0,$B9&lt;&gt;"")</formula>
    </cfRule>
  </conditionalFormatting>
  <conditionalFormatting sqref="D9:D40">
    <cfRule type="expression" dxfId="28" priority="4">
      <formula>AND(COUNTIF(SpatialOffsetTypeCV,$D9)=0,$D9&lt;&gt;"")</formula>
    </cfRule>
  </conditionalFormatting>
  <conditionalFormatting sqref="D9:D40">
    <cfRule type="expression" dxfId="27" priority="42">
      <formula>AND(COUNTA($D9:$D9)&gt;0,D9="")</formula>
    </cfRule>
  </conditionalFormatting>
  <conditionalFormatting sqref="A9:C40">
    <cfRule type="expression" dxfId="26" priority="43">
      <formula>AND(COUNTA($A9:$D9)&gt;0,A9="")</formula>
    </cfRule>
  </conditionalFormatting>
  <conditionalFormatting sqref="A10:D40">
    <cfRule type="expression" dxfId="25"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35" t="s">
        <v>249</v>
      </c>
      <c r="B8" s="236"/>
      <c r="C8" s="236"/>
      <c r="D8" s="236"/>
      <c r="E8" s="236"/>
      <c r="F8" s="237"/>
    </row>
    <row r="9" spans="1:6" ht="15.75" thickBot="1" x14ac:dyDescent="0.3">
      <c r="A9" s="59" t="s">
        <v>246</v>
      </c>
      <c r="B9" s="54" t="s">
        <v>139</v>
      </c>
      <c r="C9" s="54" t="s">
        <v>138</v>
      </c>
      <c r="D9" s="61" t="s">
        <v>140</v>
      </c>
      <c r="E9" s="61" t="s">
        <v>247</v>
      </c>
      <c r="F9" s="57" t="s">
        <v>19</v>
      </c>
    </row>
    <row r="10" spans="1:6" ht="15.75" thickTop="1" x14ac:dyDescent="0.25">
      <c r="A10" s="72"/>
      <c r="B10" s="64"/>
      <c r="C10" s="73"/>
      <c r="D10" s="74"/>
      <c r="E10" s="75"/>
      <c r="F10" s="76"/>
    </row>
    <row r="11" spans="1:6" x14ac:dyDescent="0.25">
      <c r="A11" s="72"/>
      <c r="B11" s="64"/>
      <c r="C11" s="73"/>
      <c r="D11" s="74"/>
      <c r="E11" s="75"/>
      <c r="F11" s="76"/>
    </row>
    <row r="12" spans="1:6" x14ac:dyDescent="0.25">
      <c r="A12" s="72"/>
      <c r="B12" s="64"/>
      <c r="C12" s="73"/>
      <c r="D12" s="74"/>
      <c r="E12" s="75"/>
      <c r="F12" s="76"/>
    </row>
    <row r="13" spans="1:6" x14ac:dyDescent="0.25">
      <c r="A13" s="72"/>
      <c r="B13" s="64"/>
      <c r="C13" s="73"/>
      <c r="D13" s="74"/>
      <c r="E13" s="75"/>
      <c r="F13" s="76"/>
    </row>
    <row r="14" spans="1:6" x14ac:dyDescent="0.25">
      <c r="A14" s="72"/>
      <c r="B14" s="64"/>
      <c r="C14" s="64"/>
      <c r="D14" s="74"/>
      <c r="E14" s="75"/>
      <c r="F14" s="76"/>
    </row>
    <row r="15" spans="1:6" x14ac:dyDescent="0.25">
      <c r="A15" s="72"/>
      <c r="B15" s="64"/>
      <c r="C15" s="64"/>
      <c r="D15" s="74"/>
      <c r="E15" s="65"/>
      <c r="F15" s="76"/>
    </row>
    <row r="16" spans="1:6" x14ac:dyDescent="0.25">
      <c r="A16" s="72"/>
      <c r="B16" s="64"/>
      <c r="C16" s="73"/>
      <c r="D16" s="74"/>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password="CA31" sheet="1" objects="1" scenarios="1" formatColumns="0" insertRows="0" insertHyperlinks="0" deleteRows="0"/>
  <mergeCells count="1">
    <mergeCell ref="A8:F8"/>
  </mergeCells>
  <conditionalFormatting sqref="A10:A30">
    <cfRule type="expression" dxfId="24" priority="4">
      <formula>AND(COUNTIF(MethodTypeCV,A10)=0,A10&lt;&gt;"")</formula>
    </cfRule>
  </conditionalFormatting>
  <conditionalFormatting sqref="A10:C30">
    <cfRule type="expression" dxfId="23" priority="3">
      <formula>AND(COUNTA($A10:$F10)&gt;0,A10="")</formula>
    </cfRule>
  </conditionalFormatting>
  <conditionalFormatting sqref="A11:F30">
    <cfRule type="expression" dxfId="22" priority="2">
      <formula>AND(COUNTA($A10:$F10)=0,A11&lt;&gt;"")</formula>
    </cfRule>
  </conditionalFormatting>
  <conditionalFormatting sqref="B10:B30">
    <cfRule type="duplicateValues" dxfId="21"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35" t="s">
        <v>285</v>
      </c>
      <c r="B7" s="236"/>
      <c r="C7" s="236"/>
      <c r="D7" s="236"/>
      <c r="E7" s="236"/>
      <c r="F7" s="237"/>
    </row>
    <row r="8" spans="1:6" ht="15.75" thickBot="1" x14ac:dyDescent="0.3">
      <c r="A8" s="59" t="s">
        <v>281</v>
      </c>
      <c r="B8" s="54" t="s">
        <v>137</v>
      </c>
      <c r="C8" s="54" t="s">
        <v>136</v>
      </c>
      <c r="D8" s="61" t="s">
        <v>282</v>
      </c>
      <c r="E8" s="61" t="s">
        <v>283</v>
      </c>
      <c r="F8" s="60" t="s">
        <v>284</v>
      </c>
    </row>
    <row r="9" spans="1:6" ht="15.75" thickTop="1" x14ac:dyDescent="0.25">
      <c r="A9" s="72"/>
      <c r="B9" s="64"/>
      <c r="C9" s="64"/>
      <c r="D9" s="65"/>
      <c r="E9" s="65"/>
      <c r="F9" s="77"/>
    </row>
    <row r="10" spans="1:6" x14ac:dyDescent="0.25">
      <c r="A10" s="72"/>
      <c r="B10" s="64"/>
      <c r="C10" s="64"/>
      <c r="D10" s="65"/>
      <c r="E10" s="65"/>
      <c r="F10" s="77"/>
    </row>
    <row r="11" spans="1:6" x14ac:dyDescent="0.25">
      <c r="A11" s="72"/>
      <c r="B11" s="64"/>
      <c r="C11" s="64"/>
      <c r="D11" s="65"/>
      <c r="E11" s="65"/>
      <c r="F11" s="77"/>
    </row>
    <row r="12" spans="1:6" x14ac:dyDescent="0.25">
      <c r="A12" s="72"/>
      <c r="B12" s="64"/>
      <c r="C12" s="64"/>
      <c r="D12" s="65"/>
      <c r="E12" s="65"/>
      <c r="F12" s="77"/>
    </row>
    <row r="13" spans="1:6" x14ac:dyDescent="0.25">
      <c r="A13" s="72"/>
      <c r="B13" s="64"/>
      <c r="C13" s="64"/>
      <c r="D13" s="65"/>
      <c r="E13" s="65"/>
      <c r="F13" s="77"/>
    </row>
    <row r="14" spans="1:6" x14ac:dyDescent="0.25">
      <c r="A14" s="72"/>
      <c r="B14" s="64"/>
      <c r="C14" s="64"/>
      <c r="D14" s="65"/>
      <c r="E14" s="65"/>
      <c r="F14" s="77"/>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password="CA31" sheet="1" objects="1" scenarios="1" formatColumns="0" insertRows="0" insertHyperlinks="0" deleteRows="0"/>
  <mergeCells count="1">
    <mergeCell ref="A7:F7"/>
  </mergeCells>
  <conditionalFormatting sqref="A9:A28">
    <cfRule type="expression" dxfId="20" priority="5">
      <formula>AND(COUNTIF(VariableTypeCV,$A9)=0,$A9&lt;&gt;"")</formula>
    </cfRule>
  </conditionalFormatting>
  <conditionalFormatting sqref="C9:C28">
    <cfRule type="expression" dxfId="19" priority="4">
      <formula>AND(COUNTIF(VariableNameCV,$C9)=0,$C9&lt;&gt;"")</formula>
    </cfRule>
  </conditionalFormatting>
  <conditionalFormatting sqref="A9:C28 F9:F28">
    <cfRule type="expression" dxfId="18" priority="3">
      <formula>AND(COUNTA($A9:$F9)&gt;0,A9="")</formula>
    </cfRule>
  </conditionalFormatting>
  <conditionalFormatting sqref="A10:F27">
    <cfRule type="expression" dxfId="17" priority="2">
      <formula>AND(COUNTA($A9:$F9)=0,A10&lt;&gt;"")</formula>
    </cfRule>
  </conditionalFormatting>
  <conditionalFormatting sqref="E9:E28">
    <cfRule type="expression" dxfId="16"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32" t="s">
        <v>1176</v>
      </c>
      <c r="B9" s="233"/>
      <c r="C9" s="234"/>
    </row>
    <row r="10" spans="1:5" ht="15.75" thickBot="1" x14ac:dyDescent="0.3">
      <c r="A10" s="59" t="s">
        <v>1174</v>
      </c>
      <c r="B10" s="54" t="s">
        <v>1175</v>
      </c>
      <c r="C10" s="83" t="s">
        <v>1177</v>
      </c>
    </row>
    <row r="11" spans="1:5" ht="15.75" thickTop="1" x14ac:dyDescent="0.25">
      <c r="A11" s="79"/>
      <c r="B11" s="80"/>
      <c r="C11" s="81"/>
    </row>
    <row r="12" spans="1:5" x14ac:dyDescent="0.25">
      <c r="A12" s="72"/>
      <c r="B12" s="65"/>
      <c r="C12" s="82"/>
    </row>
    <row r="13" spans="1:5" x14ac:dyDescent="0.25">
      <c r="A13" s="72"/>
      <c r="B13" s="65"/>
      <c r="C13" s="82"/>
    </row>
    <row r="14" spans="1:5" x14ac:dyDescent="0.25">
      <c r="A14" s="72"/>
      <c r="B14" s="65"/>
      <c r="C14" s="82"/>
    </row>
    <row r="15" spans="1:5" x14ac:dyDescent="0.25">
      <c r="A15" s="72"/>
      <c r="B15" s="65"/>
      <c r="C15" s="82"/>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password="CA31" sheet="1" objects="1" scenarios="1" formatColumns="0" insertRows="0" insertHyperlinks="0" deleteRows="0"/>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78"/>
    </row>
    <row r="2" spans="1:5" s="6" customFormat="1" x14ac:dyDescent="0.25">
      <c r="A2" s="26" t="s">
        <v>1283</v>
      </c>
      <c r="C2" s="78"/>
    </row>
    <row r="3" spans="1:5" s="6" customFormat="1" ht="15.75" thickBot="1" x14ac:dyDescent="0.3">
      <c r="A3" s="26" t="s">
        <v>1395</v>
      </c>
      <c r="C3" s="78"/>
    </row>
    <row r="4" spans="1:5" s="6" customFormat="1" ht="15.75" thickBot="1" x14ac:dyDescent="0.3">
      <c r="A4" s="26" t="s">
        <v>1284</v>
      </c>
      <c r="C4" s="78"/>
      <c r="D4" s="27" t="s">
        <v>1285</v>
      </c>
      <c r="E4" s="28">
        <f>COUNTA(TaxClassifiers)</f>
        <v>0</v>
      </c>
    </row>
    <row r="5" spans="1:5" ht="15.75" thickBot="1" x14ac:dyDescent="0.3"/>
    <row r="6" spans="1:5" x14ac:dyDescent="0.25">
      <c r="A6" s="238" t="s">
        <v>1290</v>
      </c>
      <c r="B6" s="239"/>
      <c r="C6" s="239"/>
      <c r="D6" s="240"/>
    </row>
    <row r="7" spans="1:5" ht="15.75" thickBot="1" x14ac:dyDescent="0.3">
      <c r="A7" s="87" t="s">
        <v>1286</v>
      </c>
      <c r="B7" s="88" t="s">
        <v>1287</v>
      </c>
      <c r="C7" s="144" t="s">
        <v>1288</v>
      </c>
      <c r="D7" s="145" t="s">
        <v>1289</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4" sqref="D4"/>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56" width="12.140625" style="6" customWidth="1"/>
    <col min="57" max="16384" width="8.85546875" style="6"/>
  </cols>
  <sheetData>
    <row r="1" spans="1:29" s="26" customFormat="1" x14ac:dyDescent="0.25">
      <c r="A1" s="26" t="s">
        <v>135</v>
      </c>
      <c r="AC1" s="172"/>
    </row>
    <row r="2" spans="1:29" s="26" customFormat="1" ht="15.75" thickBot="1" x14ac:dyDescent="0.3">
      <c r="A2" s="26" t="s">
        <v>1506</v>
      </c>
      <c r="AC2" s="172"/>
    </row>
    <row r="3" spans="1:29" s="26" customFormat="1" ht="15.75" thickBot="1" x14ac:dyDescent="0.3">
      <c r="A3" s="26" t="s">
        <v>1192</v>
      </c>
      <c r="N3" s="163"/>
      <c r="U3" s="85" t="s">
        <v>1194</v>
      </c>
      <c r="V3" s="28">
        <f ca="1">MAX(DataColumns[Col'#])</f>
        <v>0</v>
      </c>
      <c r="AC3" s="172"/>
    </row>
    <row r="4" spans="1:29" s="26" customFormat="1" ht="15.75" thickBot="1" x14ac:dyDescent="0.3">
      <c r="A4" s="26" t="s">
        <v>1220</v>
      </c>
      <c r="N4" s="163"/>
      <c r="U4" s="85" t="s">
        <v>1303</v>
      </c>
      <c r="V4" s="28" t="e">
        <f>INDEX(DataColumns[Col'#],MATCH("SpecimenCode",DataColumns[ColumnType],0))</f>
        <v>#N/A</v>
      </c>
      <c r="AC4" s="172"/>
    </row>
    <row r="5" spans="1:29" s="26" customFormat="1" ht="15.75" thickBot="1" x14ac:dyDescent="0.3">
      <c r="A5" s="26" t="s">
        <v>1193</v>
      </c>
      <c r="N5" s="163"/>
      <c r="U5" s="85" t="s">
        <v>1302</v>
      </c>
      <c r="V5" s="28">
        <f ca="1">COUNTA(INDIRECT(CONCATENATE("'Data Values'!R2C",SpecimenColumnNumber,":R96129C",SpecimenColumnNumber),FALSE))</f>
        <v>1</v>
      </c>
      <c r="AC5" s="172"/>
    </row>
    <row r="6" spans="1:29" s="26" customFormat="1" ht="15.75" thickBot="1" x14ac:dyDescent="0.3">
      <c r="A6" s="26" t="s">
        <v>1448</v>
      </c>
      <c r="N6" s="163"/>
      <c r="U6" s="85" t="s">
        <v>1306</v>
      </c>
      <c r="V6" s="28">
        <f>COUNTIF(DataColumns[ColumnType],"ResultValue")</f>
        <v>0</v>
      </c>
      <c r="AC6" s="172"/>
    </row>
    <row r="7" spans="1:29" s="26" customFormat="1" x14ac:dyDescent="0.25">
      <c r="A7" s="26" t="s">
        <v>1497</v>
      </c>
      <c r="N7" s="163"/>
      <c r="AC7" s="172"/>
    </row>
    <row r="8" spans="1:29" s="26" customFormat="1" x14ac:dyDescent="0.25">
      <c r="A8" s="26" t="s">
        <v>1300</v>
      </c>
      <c r="N8" s="163"/>
      <c r="AC8" s="172"/>
    </row>
    <row r="9" spans="1:29" s="26" customFormat="1" ht="15.75" thickBot="1" x14ac:dyDescent="0.3">
      <c r="AC9" s="172"/>
    </row>
    <row r="10" spans="1:29" s="26" customFormat="1" x14ac:dyDescent="0.25">
      <c r="A10" s="241" t="s">
        <v>1361</v>
      </c>
      <c r="B10" s="242"/>
      <c r="C10" s="242"/>
      <c r="D10" s="243"/>
      <c r="E10" s="241" t="s">
        <v>1362</v>
      </c>
      <c r="F10" s="242"/>
      <c r="G10" s="242"/>
      <c r="H10" s="242"/>
      <c r="I10" s="242"/>
      <c r="J10" s="242"/>
      <c r="K10" s="242"/>
      <c r="L10" s="242"/>
      <c r="M10" s="243"/>
      <c r="N10" s="241" t="s">
        <v>1363</v>
      </c>
      <c r="O10" s="242"/>
      <c r="P10" s="242"/>
      <c r="Q10" s="242"/>
      <c r="R10" s="242"/>
      <c r="S10" s="242"/>
      <c r="T10" s="242"/>
      <c r="U10" s="242"/>
      <c r="V10" s="242"/>
      <c r="W10" s="242"/>
      <c r="X10" s="242"/>
      <c r="Y10" s="242"/>
      <c r="Z10" s="242"/>
      <c r="AA10" s="242"/>
      <c r="AB10" s="242"/>
      <c r="AC10" s="243"/>
    </row>
    <row r="11" spans="1:29" s="169" customFormat="1" ht="12.75" x14ac:dyDescent="0.2">
      <c r="A11" s="164"/>
      <c r="B11" s="165" t="s">
        <v>1299</v>
      </c>
      <c r="C11" s="165" t="s">
        <v>1299</v>
      </c>
      <c r="D11" s="166" t="s">
        <v>1299</v>
      </c>
      <c r="E11" s="164" t="str">
        <f ca="1">IF(ISERROR(MATCH(INDIRECT(CONCATENATE("R",ROW()+1,"C",COLUMN()),FALSE),DataColumns[ColumnType],0)),INDEX(SpecimenColumnFinder[REQUIRED],MATCH(INDIRECT(CONCATENATE("R",ROW()+1,"C",COLUMN()),FALSE),SpecimenColumnFinder[DataType],0)),2)</f>
        <v>Optional</v>
      </c>
      <c r="F11" s="165" t="str">
        <f ca="1">IF(ISERROR(MATCH(INDIRECT(CONCATENATE("R",ROW()+1,"C",COLUMN()),FALSE),DataColumns[ColumnType],0)),INDEX(SpecimenColumnFinder[REQUIRED],MATCH(INDIRECT(CONCATENATE("R",ROW()+1,"C",COLUMN()),FALSE),SpecimenColumnFinder[DataType],0)),2)</f>
        <v>Optional</v>
      </c>
      <c r="G11" s="165" t="str">
        <f ca="1">IF(ISERROR(MATCH(INDIRECT(CONCATENATE("R",ROW()+1,"C",COLUMN()),FALSE),DataColumns[ColumnType],0)),INDEX(SpecimenColumnFinder[REQUIRED],MATCH(INDIRECT(CONCATENATE("R",ROW()+1,"C",COLUMN()),FALSE),SpecimenColumnFinder[DataType],0)),2)</f>
        <v>REQUIRED</v>
      </c>
      <c r="H11" s="165" t="str">
        <f ca="1">IF(ISERROR(MATCH(INDIRECT(CONCATENATE("R",ROW()+1,"C",COLUMN()),FALSE),DataColumns[ColumnType],0)),INDEX(SpecimenColumnFinder[REQUIRED],MATCH(INDIRECT(CONCATENATE("R",ROW()+1,"C",COLUMN()),FALSE),SpecimenColumnFinder[DataType],0)),2)</f>
        <v>Optional</v>
      </c>
      <c r="I11" s="165" t="str">
        <f ca="1">IF(ISERROR(MATCH(INDIRECT(CONCATENATE("R",ROW()+1,"C",COLUMN()),FALSE),DataColumns[ColumnType],0)),INDEX(SpecimenColumnFinder[REQUIRED],MATCH(INDIRECT(CONCATENATE("R",ROW()+1,"C",COLUMN()),FALSE),SpecimenColumnFinder[DataType],0)),2)</f>
        <v>REQUIRED</v>
      </c>
      <c r="J11" s="165" t="str">
        <f ca="1">IF(ISERROR(MATCH(INDIRECT(CONCATENATE("R",ROW()+1,"C",COLUMN()),FALSE),DataColumns[ColumnType],0)),INDEX(SpecimenColumnFinder[REQUIRED],MATCH(INDIRECT(CONCATENATE("R",ROW()+1,"C",COLUMN()),FALSE),SpecimenColumnFinder[DataType],0)),2)</f>
        <v>REQUIRED</v>
      </c>
      <c r="K11" s="165" t="str">
        <f ca="1">IF(ISERROR(MATCH(INDIRECT(CONCATENATE("R",ROW()+1,"C",COLUMN()),FALSE),DataColumns[ColumnType],0)),INDEX(SpecimenColumnFinder[REQUIRED],MATCH(INDIRECT(CONCATENATE("R",ROW()+1,"C",COLUMN()),FALSE),SpecimenColumnFinder[DataType],0)),2)</f>
        <v>REQUIRED</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t="str">
        <f ca="1">IF(ISERROR(MATCH(INDIRECT(CONCATENATE("R",ROW()+1,"C",COLUMN()),FALSE),DataColumns[ColumnType],0)),INDEX(ResultColumnFinder[REQUIRED],MATCH(INDIRECT(CONCATENATE("R",ROW()+1,"C",COLUMN()),FALSE),ResultColumnFinder[DataType],0)),2)</f>
        <v>Optional</v>
      </c>
      <c r="T11" s="165" t="str">
        <f ca="1">IF(ISERROR(MATCH(INDIRECT(CONCATENATE("R",ROW()+1,"C",COLUMN()),FALSE),DataColumns[ColumnType],0)),INDEX(ResultColumnFinder[REQUIRED],MATCH(INDIRECT(CONCATENATE("R",ROW()+1,"C",COLUMN()),FALSE),ResultColumnFinder[DataType],0)),2)</f>
        <v>REQUIRED</v>
      </c>
      <c r="U11" s="165" t="str">
        <f ca="1">IF(ISERROR(MATCH(INDIRECT(CONCATENATE("R",ROW()+1,"C",COLUMN()),FALSE),DataColumns[ColumnType],0)),INDEX(ResultColumnFinder[REQUIRED],MATCH(INDIRECT(CONCATENATE("R",ROW()+1,"C",COLUMN()),FALSE),ResultColumnFinder[DataType],0)),2)</f>
        <v>REQUIRED</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6" customFormat="1" ht="15.75" thickBot="1" x14ac:dyDescent="0.3">
      <c r="A12" s="84" t="s">
        <v>1355</v>
      </c>
      <c r="B12" s="59" t="s">
        <v>1356</v>
      </c>
      <c r="C12" s="59" t="s">
        <v>1357</v>
      </c>
      <c r="D12" s="153" t="s">
        <v>1360</v>
      </c>
      <c r="E12" s="70" t="s">
        <v>1379</v>
      </c>
      <c r="F12" s="59" t="s">
        <v>198</v>
      </c>
      <c r="G12" s="59" t="s">
        <v>1333</v>
      </c>
      <c r="H12" s="54" t="s">
        <v>1364</v>
      </c>
      <c r="I12" s="54" t="s">
        <v>1423</v>
      </c>
      <c r="J12" s="54" t="s">
        <v>1301</v>
      </c>
      <c r="K12" s="60" t="s">
        <v>196</v>
      </c>
      <c r="L12" s="54" t="s">
        <v>1359</v>
      </c>
      <c r="M12" s="141" t="s">
        <v>1380</v>
      </c>
      <c r="N12" s="70" t="s">
        <v>1138</v>
      </c>
      <c r="O12" s="59" t="s">
        <v>1353</v>
      </c>
      <c r="P12" s="54" t="s">
        <v>1352</v>
      </c>
      <c r="Q12" s="54" t="s">
        <v>201</v>
      </c>
      <c r="R12" s="54" t="s">
        <v>1365</v>
      </c>
      <c r="S12" s="54" t="s">
        <v>1335</v>
      </c>
      <c r="T12" s="54" t="s">
        <v>1424</v>
      </c>
      <c r="U12" s="54" t="s">
        <v>1281</v>
      </c>
      <c r="V12" s="54" t="s">
        <v>1143</v>
      </c>
      <c r="W12" s="54" t="s">
        <v>1144</v>
      </c>
      <c r="X12" s="54" t="s">
        <v>1298</v>
      </c>
      <c r="Y12" s="54" t="s">
        <v>1279</v>
      </c>
      <c r="Z12" s="54" t="s">
        <v>1280</v>
      </c>
      <c r="AA12" s="54" t="s">
        <v>1154</v>
      </c>
      <c r="AB12" s="175" t="s">
        <v>1398</v>
      </c>
      <c r="AC12" s="174" t="s">
        <v>1401</v>
      </c>
    </row>
    <row r="13" spans="1:29" ht="15.75" thickTop="1" x14ac:dyDescent="0.25">
      <c r="A13" s="46" t="str">
        <f ca="1">IF(COUNTA(DataColumns[[#This Row],[ColumnLabel]:[QualityCodeCV]])&gt;0,IF(MAX(INDIRECT(CONCATENATE("R",ROW(DataColumns[#Headers]),"C",COLUMN(),":R",ROW()-1,"C",COLUMN()),FALSE))=0,1,MAX(INDIRECT(CONCATENATE("R",ROW(DataColumns[#Headers]),"C",COLUMN(),":R",ROW()-1,"C",COLUMN()),FALSE))+1),"")</f>
        <v/>
      </c>
      <c r="B13" s="132"/>
      <c r="C13" s="7"/>
      <c r="D13" s="154"/>
      <c r="E13" s="159"/>
      <c r="F13" s="170"/>
      <c r="G13" s="151"/>
      <c r="H13" s="7"/>
      <c r="I13" s="7"/>
      <c r="J13" s="7"/>
      <c r="K13" s="157"/>
      <c r="L13" s="7"/>
      <c r="M13" s="162"/>
      <c r="N13" s="132"/>
      <c r="O13" s="151"/>
      <c r="P13" s="7"/>
      <c r="Q13" s="7"/>
      <c r="R13" s="146"/>
      <c r="S13" s="146"/>
      <c r="T13" s="7"/>
      <c r="U13" s="7"/>
      <c r="V13" s="7"/>
      <c r="W13" s="7"/>
      <c r="X13" s="146"/>
      <c r="Y13" s="7"/>
      <c r="Z13" s="7"/>
      <c r="AA13" s="7"/>
      <c r="AB13" s="176"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
      </c>
    </row>
    <row r="14" spans="1:29" x14ac:dyDescent="0.25">
      <c r="A14" s="47" t="str">
        <f ca="1">IF(COUNTA(DataColumns[[#This Row],[ColumnLabel]:[QualityCodeCV]])&gt;0,IF(MAX(INDIRECT(CONCATENATE("R",ROW(DataColumns[#Headers]),"C",COLUMN(),":R",ROW()-1,"C",COLUMN()),FALSE))=0,1,MAX(INDIRECT(CONCATENATE("R",ROW(DataColumns[#Headers]),"C",COLUMN(),":R",ROW()-1,"C",COLUMN()),FALSE))+1),"")</f>
        <v/>
      </c>
      <c r="B14" s="105"/>
      <c r="C14" s="10"/>
      <c r="D14" s="155"/>
      <c r="E14" s="160"/>
      <c r="F14" s="139"/>
      <c r="G14" s="9"/>
      <c r="H14" s="10"/>
      <c r="I14" s="10"/>
      <c r="J14" s="10"/>
      <c r="K14" s="34"/>
      <c r="L14" s="10"/>
      <c r="M14" s="133"/>
      <c r="N14" s="105"/>
      <c r="O14" s="9"/>
      <c r="P14" s="10"/>
      <c r="Q14" s="10"/>
      <c r="R14" s="21"/>
      <c r="S14" s="21"/>
      <c r="T14" s="10"/>
      <c r="U14" s="10"/>
      <c r="V14" s="10"/>
      <c r="W14" s="10"/>
      <c r="X14" s="21"/>
      <c r="Y14" s="10"/>
      <c r="Z14" s="10"/>
      <c r="AA14" s="10"/>
      <c r="AB14" s="177"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
      </c>
    </row>
    <row r="15" spans="1:29" x14ac:dyDescent="0.25">
      <c r="A15" s="47" t="str">
        <f ca="1">IF(COUNTA(DataColumns[[#This Row],[ColumnLabel]:[QualityCodeCV]])&gt;0,IF(MAX(INDIRECT(CONCATENATE("R",ROW(DataColumns[#Headers]),"C",COLUMN(),":R",ROW()-1,"C",COLUMN()),FALSE))=0,1,MAX(INDIRECT(CONCATENATE("R",ROW(DataColumns[#Headers]),"C",COLUMN(),":R",ROW()-1,"C",COLUMN()),FALSE))+1),"")</f>
        <v/>
      </c>
      <c r="B15" s="105"/>
      <c r="C15" s="10"/>
      <c r="D15" s="155"/>
      <c r="E15" s="160"/>
      <c r="F15" s="139"/>
      <c r="G15" s="9"/>
      <c r="H15" s="10"/>
      <c r="I15" s="10"/>
      <c r="J15" s="10"/>
      <c r="K15" s="34"/>
      <c r="L15" s="10"/>
      <c r="M15" s="133"/>
      <c r="N15" s="105"/>
      <c r="O15" s="9"/>
      <c r="P15" s="10"/>
      <c r="Q15" s="10"/>
      <c r="R15" s="21"/>
      <c r="S15" s="21"/>
      <c r="T15" s="10"/>
      <c r="U15" s="10"/>
      <c r="V15" s="10"/>
      <c r="W15" s="10"/>
      <c r="X15" s="21"/>
      <c r="Y15" s="10"/>
      <c r="Z15" s="10"/>
      <c r="AA15" s="10"/>
      <c r="AB15" s="177"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
      </c>
    </row>
    <row r="16" spans="1:29" x14ac:dyDescent="0.25">
      <c r="A16" s="47" t="str">
        <f ca="1">IF(COUNTA(DataColumns[[#This Row],[ColumnLabel]:[QualityCodeCV]])&gt;0,IF(MAX(INDIRECT(CONCATENATE("R",ROW(DataColumns[#Headers]),"C",COLUMN(),":R",ROW()-1,"C",COLUMN()),FALSE))=0,1,MAX(INDIRECT(CONCATENATE("R",ROW(DataColumns[#Headers]),"C",COLUMN(),":R",ROW()-1,"C",COLUMN()),FALSE))+1),"")</f>
        <v/>
      </c>
      <c r="B16" s="105"/>
      <c r="C16" s="10"/>
      <c r="D16" s="155"/>
      <c r="E16" s="160"/>
      <c r="F16" s="139"/>
      <c r="G16" s="9"/>
      <c r="H16" s="10"/>
      <c r="I16" s="10"/>
      <c r="J16" s="10"/>
      <c r="K16" s="34"/>
      <c r="L16" s="10"/>
      <c r="M16" s="133"/>
      <c r="N16" s="105"/>
      <c r="O16" s="9"/>
      <c r="P16" s="10"/>
      <c r="Q16" s="10"/>
      <c r="R16" s="21"/>
      <c r="S16" s="21"/>
      <c r="T16" s="10"/>
      <c r="U16" s="10"/>
      <c r="V16" s="10"/>
      <c r="W16" s="10"/>
      <c r="X16" s="21"/>
      <c r="Y16" s="10"/>
      <c r="Z16" s="10"/>
      <c r="AA16" s="10"/>
      <c r="AB16" s="177"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
      </c>
    </row>
    <row r="17" spans="1:29" x14ac:dyDescent="0.25">
      <c r="A17" s="47" t="str">
        <f ca="1">IF(COUNTA(DataColumns[[#This Row],[ColumnLabel]:[QualityCodeCV]])&gt;0,IF(MAX(INDIRECT(CONCATENATE("R",ROW(DataColumns[#Headers]),"C",COLUMN(),":R",ROW()-1,"C",COLUMN()),FALSE))=0,1,MAX(INDIRECT(CONCATENATE("R",ROW(DataColumns[#Headers]),"C",COLUMN(),":R",ROW()-1,"C",COLUMN()),FALSE))+1),"")</f>
        <v/>
      </c>
      <c r="B17" s="105"/>
      <c r="C17" s="10"/>
      <c r="D17" s="155"/>
      <c r="E17" s="160"/>
      <c r="F17" s="139"/>
      <c r="G17" s="9"/>
      <c r="H17" s="10"/>
      <c r="I17" s="10"/>
      <c r="J17" s="10"/>
      <c r="K17" s="34"/>
      <c r="L17" s="10"/>
      <c r="M17" s="133"/>
      <c r="N17" s="105"/>
      <c r="O17" s="9"/>
      <c r="P17" s="10"/>
      <c r="Q17" s="10"/>
      <c r="R17" s="21"/>
      <c r="S17" s="21"/>
      <c r="T17" s="10"/>
      <c r="U17" s="10"/>
      <c r="V17" s="10"/>
      <c r="W17" s="10"/>
      <c r="X17" s="21"/>
      <c r="Y17" s="10"/>
      <c r="Z17" s="10"/>
      <c r="AA17" s="10"/>
      <c r="AB17" s="177"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
      </c>
    </row>
    <row r="18" spans="1:29" x14ac:dyDescent="0.25">
      <c r="A18" s="47" t="str">
        <f ca="1">IF(COUNTA(DataColumns[[#This Row],[ColumnLabel]:[QualityCodeCV]])&gt;0,IF(MAX(INDIRECT(CONCATENATE("R",ROW(DataColumns[#Headers]),"C",COLUMN(),":R",ROW()-1,"C",COLUMN()),FALSE))=0,1,MAX(INDIRECT(CONCATENATE("R",ROW(DataColumns[#Headers]),"C",COLUMN(),":R",ROW()-1,"C",COLUMN()),FALSE))+1),"")</f>
        <v/>
      </c>
      <c r="B18" s="105"/>
      <c r="C18" s="10"/>
      <c r="D18" s="155"/>
      <c r="E18" s="160"/>
      <c r="F18" s="139"/>
      <c r="G18" s="9"/>
      <c r="H18" s="10"/>
      <c r="I18" s="10"/>
      <c r="J18" s="10"/>
      <c r="K18" s="34"/>
      <c r="L18" s="10"/>
      <c r="M18" s="133"/>
      <c r="N18" s="105"/>
      <c r="O18" s="9"/>
      <c r="P18" s="10"/>
      <c r="Q18" s="10"/>
      <c r="R18" s="21"/>
      <c r="S18" s="21"/>
      <c r="T18" s="10"/>
      <c r="U18" s="10"/>
      <c r="V18" s="10"/>
      <c r="W18" s="10"/>
      <c r="X18" s="21"/>
      <c r="Y18" s="10"/>
      <c r="Z18" s="10"/>
      <c r="AA18" s="10"/>
      <c r="AB18" s="177"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
      </c>
    </row>
    <row r="19" spans="1:29" x14ac:dyDescent="0.25">
      <c r="A19" s="47" t="str">
        <f ca="1">IF(COUNTA(DataColumns[[#This Row],[ColumnLabel]:[QualityCodeCV]])&gt;0,IF(MAX(INDIRECT(CONCATENATE("R",ROW(DataColumns[#Headers]),"C",COLUMN(),":R",ROW()-1,"C",COLUMN()),FALSE))=0,1,MAX(INDIRECT(CONCATENATE("R",ROW(DataColumns[#Headers]),"C",COLUMN(),":R",ROW()-1,"C",COLUMN()),FALSE))+1),"")</f>
        <v/>
      </c>
      <c r="B19" s="105"/>
      <c r="C19" s="10"/>
      <c r="D19" s="155"/>
      <c r="E19" s="160"/>
      <c r="F19" s="139"/>
      <c r="G19" s="9"/>
      <c r="H19" s="10"/>
      <c r="I19" s="10"/>
      <c r="J19" s="10"/>
      <c r="K19" s="34"/>
      <c r="L19" s="10"/>
      <c r="M19" s="133"/>
      <c r="N19" s="105"/>
      <c r="O19" s="9"/>
      <c r="P19" s="10"/>
      <c r="Q19" s="10"/>
      <c r="R19" s="21"/>
      <c r="S19" s="21"/>
      <c r="T19" s="10"/>
      <c r="U19" s="10"/>
      <c r="V19" s="10"/>
      <c r="W19" s="10"/>
      <c r="X19" s="21"/>
      <c r="Y19" s="10"/>
      <c r="Z19" s="10"/>
      <c r="AA19" s="10"/>
      <c r="AB19" s="177"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
      </c>
    </row>
    <row r="20" spans="1:29" x14ac:dyDescent="0.25">
      <c r="A20" s="47" t="str">
        <f ca="1">IF(COUNTA(DataColumns[[#This Row],[ColumnLabel]:[QualityCodeCV]])&gt;0,IF(MAX(INDIRECT(CONCATENATE("R",ROW(DataColumns[#Headers]),"C",COLUMN(),":R",ROW()-1,"C",COLUMN()),FALSE))=0,1,MAX(INDIRECT(CONCATENATE("R",ROW(DataColumns[#Headers]),"C",COLUMN(),":R",ROW()-1,"C",COLUMN()),FALSE))+1),"")</f>
        <v/>
      </c>
      <c r="B20" s="105"/>
      <c r="C20" s="10"/>
      <c r="D20" s="155"/>
      <c r="E20" s="160"/>
      <c r="F20" s="139"/>
      <c r="G20" s="9"/>
      <c r="H20" s="10"/>
      <c r="I20" s="10"/>
      <c r="J20" s="10"/>
      <c r="K20" s="34"/>
      <c r="L20" s="10"/>
      <c r="M20" s="133"/>
      <c r="N20" s="105"/>
      <c r="O20" s="9"/>
      <c r="P20" s="10"/>
      <c r="Q20" s="10"/>
      <c r="R20" s="21"/>
      <c r="S20" s="21"/>
      <c r="T20" s="10"/>
      <c r="U20" s="10"/>
      <c r="V20" s="10"/>
      <c r="W20" s="10"/>
      <c r="X20" s="21"/>
      <c r="Y20" s="10"/>
      <c r="Z20" s="10"/>
      <c r="AA20" s="10"/>
      <c r="AB20" s="177" t="str">
        <f ca="1">IF(DataColumns[[#This Row],[ColumnType]]="ResultValue",IF(MAX(INDIRECT(CONCATENATE("R",ROW(DataColumns[#Headers]),"C",COLUMN(),":R",ROW()-1,"C",COLUMN()),FALSE))=0,1,MAX(INDIRECT(CONCATENATE("R",ROW(DataColumns[#Headers]),"C",COLUMN(),":R",ROW()-1,"C",COLUMN()),FALSE))+1),"")</f>
        <v/>
      </c>
      <c r="AC20" s="126" t="str">
        <f>IF(DataColumns[[#This Row],[ColumnType]]="ResultValue",CONCATENATE(DataColumns[[#This Row],[ColumnType]],DataColumns[[#This Row],[ColumnLabel]]),CONCATENATE(DataColumns[[#This Row],[ColumnType]],DataColumns[[#This Row],[AppliesToColumn]]))</f>
        <v/>
      </c>
    </row>
    <row r="21" spans="1:29" x14ac:dyDescent="0.25">
      <c r="A21" s="47" t="str">
        <f ca="1">IF(COUNTA(DataColumns[[#This Row],[ColumnLabel]:[QualityCodeCV]])&gt;0,IF(MAX(INDIRECT(CONCATENATE("R",ROW(DataColumns[#Headers]),"C",COLUMN(),":R",ROW()-1,"C",COLUMN()),FALSE))=0,1,MAX(INDIRECT(CONCATENATE("R",ROW(DataColumns[#Headers]),"C",COLUMN(),":R",ROW()-1,"C",COLUMN()),FALSE))+1),"")</f>
        <v/>
      </c>
      <c r="B21" s="105"/>
      <c r="C21" s="10"/>
      <c r="D21" s="155"/>
      <c r="E21" s="160"/>
      <c r="F21" s="139"/>
      <c r="G21" s="9"/>
      <c r="H21" s="10"/>
      <c r="I21" s="10"/>
      <c r="J21" s="10"/>
      <c r="K21" s="34"/>
      <c r="L21" s="10"/>
      <c r="M21" s="133"/>
      <c r="N21" s="105"/>
      <c r="O21" s="9"/>
      <c r="P21" s="10"/>
      <c r="Q21" s="10"/>
      <c r="R21" s="21"/>
      <c r="S21" s="21"/>
      <c r="T21" s="10"/>
      <c r="U21" s="10"/>
      <c r="V21" s="10"/>
      <c r="W21" s="10"/>
      <c r="X21" s="21"/>
      <c r="Y21" s="10"/>
      <c r="Z21" s="10"/>
      <c r="AA21" s="10"/>
      <c r="AB21" s="177" t="str">
        <f ca="1">IF(DataColumns[[#This Row],[ColumnType]]="ResultValue",IF(MAX(INDIRECT(CONCATENATE("R",ROW(DataColumns[#Headers]),"C",COLUMN(),":R",ROW()-1,"C",COLUMN()),FALSE))=0,1,MAX(INDIRECT(CONCATENATE("R",ROW(DataColumns[#Headers]),"C",COLUMN(),":R",ROW()-1,"C",COLUMN()),FALSE))+1),"")</f>
        <v/>
      </c>
      <c r="AC21" s="126" t="str">
        <f>IF(DataColumns[[#This Row],[ColumnType]]="ResultValue",CONCATENATE(DataColumns[[#This Row],[ColumnType]],DataColumns[[#This Row],[ColumnLabel]]),CONCATENATE(DataColumns[[#This Row],[ColumnType]],DataColumns[[#This Row],[AppliesToColumn]]))</f>
        <v/>
      </c>
    </row>
    <row r="22" spans="1:29" x14ac:dyDescent="0.25">
      <c r="A22" s="47" t="str">
        <f ca="1">IF(COUNTA(DataColumns[[#This Row],[ColumnLabel]:[QualityCodeCV]])&gt;0,IF(MAX(INDIRECT(CONCATENATE("R",ROW(DataColumns[#Headers]),"C",COLUMN(),":R",ROW()-1,"C",COLUMN()),FALSE))=0,1,MAX(INDIRECT(CONCATENATE("R",ROW(DataColumns[#Headers]),"C",COLUMN(),":R",ROW()-1,"C",COLUMN()),FALSE))+1),"")</f>
        <v/>
      </c>
      <c r="B22" s="105"/>
      <c r="C22" s="10"/>
      <c r="D22" s="155"/>
      <c r="E22" s="160"/>
      <c r="F22" s="139"/>
      <c r="G22" s="9"/>
      <c r="H22" s="10"/>
      <c r="I22" s="10"/>
      <c r="J22" s="10"/>
      <c r="K22" s="34"/>
      <c r="L22" s="10"/>
      <c r="M22" s="133"/>
      <c r="N22" s="105"/>
      <c r="O22" s="9"/>
      <c r="P22" s="10"/>
      <c r="Q22" s="10"/>
      <c r="R22" s="21"/>
      <c r="S22" s="21"/>
      <c r="T22" s="10"/>
      <c r="U22" s="10"/>
      <c r="V22" s="10"/>
      <c r="W22" s="10"/>
      <c r="X22" s="21"/>
      <c r="Y22" s="10"/>
      <c r="Z22" s="10"/>
      <c r="AA22" s="10"/>
      <c r="AB22" s="177" t="str">
        <f ca="1">IF(DataColumns[[#This Row],[ColumnType]]="ResultValue",IF(MAX(INDIRECT(CONCATENATE("R",ROW(DataColumns[#Headers]),"C",COLUMN(),":R",ROW()-1,"C",COLUMN()),FALSE))=0,1,MAX(INDIRECT(CONCATENATE("R",ROW(DataColumns[#Headers]),"C",COLUMN(),":R",ROW()-1,"C",COLUMN()),FALSE))+1),"")</f>
        <v/>
      </c>
      <c r="AC22" s="126" t="str">
        <f>IF(DataColumns[[#This Row],[ColumnType]]="ResultValue",CONCATENATE(DataColumns[[#This Row],[ColumnType]],DataColumns[[#This Row],[ColumnLabel]]),CONCATENATE(DataColumns[[#This Row],[ColumnType]],DataColumns[[#This Row],[AppliesToColumn]]))</f>
        <v/>
      </c>
    </row>
    <row r="23" spans="1:29" x14ac:dyDescent="0.25">
      <c r="A23" s="47" t="str">
        <f ca="1">IF(COUNTA(DataColumns[[#This Row],[ColumnLabel]:[QualityCodeCV]])&gt;0,IF(MAX(INDIRECT(CONCATENATE("R",ROW(DataColumns[#Headers]),"C",COLUMN(),":R",ROW()-1,"C",COLUMN()),FALSE))=0,1,MAX(INDIRECT(CONCATENATE("R",ROW(DataColumns[#Headers]),"C",COLUMN(),":R",ROW()-1,"C",COLUMN()),FALSE))+1),"")</f>
        <v/>
      </c>
      <c r="B23" s="105"/>
      <c r="C23" s="10"/>
      <c r="D23" s="155"/>
      <c r="E23" s="160"/>
      <c r="F23" s="139"/>
      <c r="G23" s="9"/>
      <c r="H23" s="10"/>
      <c r="I23" s="10"/>
      <c r="J23" s="10"/>
      <c r="K23" s="34"/>
      <c r="L23" s="10"/>
      <c r="M23" s="133"/>
      <c r="N23" s="105"/>
      <c r="O23" s="9"/>
      <c r="P23" s="10"/>
      <c r="Q23" s="10"/>
      <c r="R23" s="21"/>
      <c r="S23" s="21"/>
      <c r="T23" s="10"/>
      <c r="U23" s="10"/>
      <c r="V23" s="10"/>
      <c r="W23" s="10"/>
      <c r="X23" s="21"/>
      <c r="Y23" s="10"/>
      <c r="Z23" s="10"/>
      <c r="AA23" s="10"/>
      <c r="AB23" s="177" t="str">
        <f ca="1">IF(DataColumns[[#This Row],[ColumnType]]="ResultValue",IF(MAX(INDIRECT(CONCATENATE("R",ROW(DataColumns[#Headers]),"C",COLUMN(),":R",ROW()-1,"C",COLUMN()),FALSE))=0,1,MAX(INDIRECT(CONCATENATE("R",ROW(DataColumns[#Headers]),"C",COLUMN(),":R",ROW()-1,"C",COLUMN()),FALSE))+1),"")</f>
        <v/>
      </c>
      <c r="AC23" s="126" t="str">
        <f>IF(DataColumns[[#This Row],[ColumnType]]="ResultValue",CONCATENATE(DataColumns[[#This Row],[ColumnType]],DataColumns[[#This Row],[ColumnLabel]]),CONCATENATE(DataColumns[[#This Row],[ColumnType]],DataColumns[[#This Row],[AppliesToColumn]]))</f>
        <v/>
      </c>
    </row>
    <row r="24" spans="1:29" x14ac:dyDescent="0.25">
      <c r="A24" s="47" t="str">
        <f ca="1">IF(COUNTA(DataColumns[[#This Row],[ColumnLabel]:[QualityCodeCV]])&gt;0,IF(MAX(INDIRECT(CONCATENATE("R",ROW(DataColumns[#Headers]),"C",COLUMN(),":R",ROW()-1,"C",COLUMN()),FALSE))=0,1,MAX(INDIRECT(CONCATENATE("R",ROW(DataColumns[#Headers]),"C",COLUMN(),":R",ROW()-1,"C",COLUMN()),FALSE))+1),"")</f>
        <v/>
      </c>
      <c r="B24" s="105"/>
      <c r="C24" s="10"/>
      <c r="D24" s="155"/>
      <c r="E24" s="160"/>
      <c r="F24" s="139"/>
      <c r="G24" s="9"/>
      <c r="H24" s="10"/>
      <c r="I24" s="10"/>
      <c r="J24" s="10"/>
      <c r="K24" s="34"/>
      <c r="L24" s="10"/>
      <c r="M24" s="133"/>
      <c r="N24" s="105"/>
      <c r="O24" s="9"/>
      <c r="P24" s="10"/>
      <c r="Q24" s="10"/>
      <c r="R24" s="21"/>
      <c r="S24" s="21"/>
      <c r="T24" s="10"/>
      <c r="U24" s="10"/>
      <c r="V24" s="10"/>
      <c r="W24" s="10"/>
      <c r="X24" s="21"/>
      <c r="Y24" s="10"/>
      <c r="Z24" s="10"/>
      <c r="AA24" s="10"/>
      <c r="AB24" s="177" t="str">
        <f ca="1">IF(DataColumns[[#This Row],[ColumnType]]="ResultValue",IF(MAX(INDIRECT(CONCATENATE("R",ROW(DataColumns[#Headers]),"C",COLUMN(),":R",ROW()-1,"C",COLUMN()),FALSE))=0,1,MAX(INDIRECT(CONCATENATE("R",ROW(DataColumns[#Headers]),"C",COLUMN(),":R",ROW()-1,"C",COLUMN()),FALSE))+1),"")</f>
        <v/>
      </c>
      <c r="AC24" s="126" t="str">
        <f>IF(DataColumns[[#This Row],[ColumnType]]="ResultValue",CONCATENATE(DataColumns[[#This Row],[ColumnType]],DataColumns[[#This Row],[ColumnLabel]]),CONCATENATE(DataColumns[[#This Row],[ColumnType]],DataColumns[[#This Row],[AppliesToColumn]]))</f>
        <v/>
      </c>
    </row>
    <row r="25" spans="1:29" x14ac:dyDescent="0.25">
      <c r="A25" s="47" t="str">
        <f ca="1">IF(COUNTA(DataColumns[[#This Row],[ColumnLabel]:[QualityCodeCV]])&gt;0,IF(MAX(INDIRECT(CONCATENATE("R",ROW(DataColumns[#Headers]),"C",COLUMN(),":R",ROW()-1,"C",COLUMN()),FALSE))=0,1,MAX(INDIRECT(CONCATENATE("R",ROW(DataColumns[#Headers]),"C",COLUMN(),":R",ROW()-1,"C",COLUMN()),FALSE))+1),"")</f>
        <v/>
      </c>
      <c r="B25" s="105"/>
      <c r="C25" s="10"/>
      <c r="D25" s="155"/>
      <c r="E25" s="160"/>
      <c r="F25" s="139"/>
      <c r="G25" s="9"/>
      <c r="H25" s="10"/>
      <c r="I25" s="10"/>
      <c r="J25" s="10"/>
      <c r="K25" s="34"/>
      <c r="L25" s="10"/>
      <c r="M25" s="133"/>
      <c r="N25" s="105"/>
      <c r="O25" s="9"/>
      <c r="P25" s="10"/>
      <c r="Q25" s="10"/>
      <c r="R25" s="21"/>
      <c r="S25" s="21"/>
      <c r="T25" s="10"/>
      <c r="U25" s="10"/>
      <c r="V25" s="10"/>
      <c r="W25" s="10"/>
      <c r="X25" s="21"/>
      <c r="Y25" s="10"/>
      <c r="Z25" s="10"/>
      <c r="AA25" s="10"/>
      <c r="AB25" s="177" t="str">
        <f ca="1">IF(DataColumns[[#This Row],[ColumnType]]="ResultValue",IF(MAX(INDIRECT(CONCATENATE("R",ROW(DataColumns[#Headers]),"C",COLUMN(),":R",ROW()-1,"C",COLUMN()),FALSE))=0,1,MAX(INDIRECT(CONCATENATE("R",ROW(DataColumns[#Headers]),"C",COLUMN(),":R",ROW()-1,"C",COLUMN()),FALSE))+1),"")</f>
        <v/>
      </c>
      <c r="AC25" s="126" t="str">
        <f>IF(DataColumns[[#This Row],[ColumnType]]="ResultValue",CONCATENATE(DataColumns[[#This Row],[ColumnType]],DataColumns[[#This Row],[ColumnLabel]]),CONCATENATE(DataColumns[[#This Row],[ColumnType]],DataColumns[[#This Row],[AppliesToColumn]]))</f>
        <v/>
      </c>
    </row>
    <row r="26" spans="1:29" x14ac:dyDescent="0.25">
      <c r="A26" s="47" t="str">
        <f ca="1">IF(COUNTA(DataColumns[[#This Row],[ColumnLabel]:[QualityCodeCV]])&gt;0,IF(MAX(INDIRECT(CONCATENATE("R",ROW(DataColumns[#Headers]),"C",COLUMN(),":R",ROW()-1,"C",COLUMN()),FALSE))=0,1,MAX(INDIRECT(CONCATENATE("R",ROW(DataColumns[#Headers]),"C",COLUMN(),":R",ROW()-1,"C",COLUMN()),FALSE))+1),"")</f>
        <v/>
      </c>
      <c r="B26" s="105"/>
      <c r="C26" s="10"/>
      <c r="D26" s="155"/>
      <c r="E26" s="160"/>
      <c r="F26" s="139"/>
      <c r="G26" s="9"/>
      <c r="H26" s="10"/>
      <c r="I26" s="10"/>
      <c r="J26" s="10"/>
      <c r="K26" s="34"/>
      <c r="L26" s="10"/>
      <c r="M26" s="133"/>
      <c r="N26" s="105"/>
      <c r="O26" s="9"/>
      <c r="P26" s="10"/>
      <c r="Q26" s="10"/>
      <c r="R26" s="21"/>
      <c r="S26" s="21"/>
      <c r="T26" s="10"/>
      <c r="U26" s="10"/>
      <c r="V26" s="10"/>
      <c r="W26" s="10"/>
      <c r="X26" s="21"/>
      <c r="Y26" s="10"/>
      <c r="Z26" s="10"/>
      <c r="AA26" s="10"/>
      <c r="AB26" s="177"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
      </c>
    </row>
    <row r="27" spans="1:29" x14ac:dyDescent="0.25">
      <c r="A27" s="47" t="str">
        <f ca="1">IF(COUNTA(DataColumns[[#This Row],[ColumnLabel]:[QualityCodeCV]])&gt;0,IF(MAX(INDIRECT(CONCATENATE("R",ROW(DataColumns[#Headers]),"C",COLUMN(),":R",ROW()-1,"C",COLUMN()),FALSE))=0,1,MAX(INDIRECT(CONCATENATE("R",ROW(DataColumns[#Headers]),"C",COLUMN(),":R",ROW()-1,"C",COLUMN()),FALSE))+1),"")</f>
        <v/>
      </c>
      <c r="B27" s="105"/>
      <c r="C27" s="10"/>
      <c r="D27" s="155"/>
      <c r="E27" s="160"/>
      <c r="F27" s="139"/>
      <c r="G27" s="9"/>
      <c r="H27" s="10"/>
      <c r="I27" s="10"/>
      <c r="J27" s="10"/>
      <c r="K27" s="34"/>
      <c r="L27" s="10"/>
      <c r="M27" s="133"/>
      <c r="N27" s="105"/>
      <c r="O27" s="9"/>
      <c r="P27" s="10"/>
      <c r="Q27" s="10"/>
      <c r="R27" s="21"/>
      <c r="S27" s="21"/>
      <c r="T27" s="10"/>
      <c r="U27" s="10"/>
      <c r="V27" s="10"/>
      <c r="W27" s="10"/>
      <c r="X27" s="21"/>
      <c r="Y27" s="10"/>
      <c r="Z27" s="10"/>
      <c r="AA27" s="10"/>
      <c r="AB27" s="177"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
      </c>
    </row>
    <row r="28" spans="1:29" x14ac:dyDescent="0.25">
      <c r="A28" s="47" t="str">
        <f ca="1">IF(COUNTA(DataColumns[[#This Row],[ColumnLabel]:[QualityCodeCV]])&gt;0,IF(MAX(INDIRECT(CONCATENATE("R",ROW(DataColumns[#Headers]),"C",COLUMN(),":R",ROW()-1,"C",COLUMN()),FALSE))=0,1,MAX(INDIRECT(CONCATENATE("R",ROW(DataColumns[#Headers]),"C",COLUMN(),":R",ROW()-1,"C",COLUMN()),FALSE))+1),"")</f>
        <v/>
      </c>
      <c r="B28" s="105"/>
      <c r="C28" s="10"/>
      <c r="D28" s="155"/>
      <c r="E28" s="160"/>
      <c r="F28" s="139"/>
      <c r="G28" s="9"/>
      <c r="H28" s="10"/>
      <c r="I28" s="10"/>
      <c r="J28" s="10"/>
      <c r="K28" s="34"/>
      <c r="L28" s="10"/>
      <c r="M28" s="133"/>
      <c r="N28" s="105"/>
      <c r="O28" s="9"/>
      <c r="P28" s="10"/>
      <c r="Q28" s="10"/>
      <c r="R28" s="21"/>
      <c r="S28" s="21"/>
      <c r="T28" s="10"/>
      <c r="U28" s="10"/>
      <c r="V28" s="10"/>
      <c r="W28" s="10"/>
      <c r="X28" s="21"/>
      <c r="Y28" s="10"/>
      <c r="Z28" s="10"/>
      <c r="AA28" s="10"/>
      <c r="AB28" s="177"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5"/>
      <c r="E29" s="160"/>
      <c r="F29" s="139"/>
      <c r="G29" s="9"/>
      <c r="H29" s="10"/>
      <c r="I29" s="10"/>
      <c r="J29" s="10"/>
      <c r="K29" s="34"/>
      <c r="L29" s="10"/>
      <c r="M29" s="133"/>
      <c r="N29" s="105"/>
      <c r="O29" s="9"/>
      <c r="P29" s="10"/>
      <c r="Q29" s="10"/>
      <c r="R29" s="21"/>
      <c r="S29" s="21"/>
      <c r="T29" s="10"/>
      <c r="U29" s="10"/>
      <c r="V29" s="10"/>
      <c r="W29" s="10"/>
      <c r="X29" s="21"/>
      <c r="Y29" s="10"/>
      <c r="Z29" s="10"/>
      <c r="AA29" s="10"/>
      <c r="AB29" s="177"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5"/>
      <c r="E30" s="160"/>
      <c r="F30" s="139"/>
      <c r="G30" s="9"/>
      <c r="H30" s="10"/>
      <c r="I30" s="10"/>
      <c r="J30" s="10"/>
      <c r="K30" s="34"/>
      <c r="L30" s="10"/>
      <c r="M30" s="133"/>
      <c r="N30" s="105"/>
      <c r="O30" s="9"/>
      <c r="P30" s="10"/>
      <c r="Q30" s="10"/>
      <c r="R30" s="21"/>
      <c r="S30" s="21"/>
      <c r="T30" s="10"/>
      <c r="U30" s="10"/>
      <c r="V30" s="10"/>
      <c r="W30" s="10"/>
      <c r="X30" s="21"/>
      <c r="Y30" s="10"/>
      <c r="Z30" s="10"/>
      <c r="AA30" s="10"/>
      <c r="AB30" s="177"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5"/>
      <c r="E31" s="160"/>
      <c r="F31" s="139"/>
      <c r="G31" s="9"/>
      <c r="H31" s="10"/>
      <c r="I31" s="10"/>
      <c r="J31" s="10"/>
      <c r="K31" s="34"/>
      <c r="L31" s="10"/>
      <c r="M31" s="133"/>
      <c r="N31" s="105"/>
      <c r="O31" s="9"/>
      <c r="P31" s="10"/>
      <c r="Q31" s="10"/>
      <c r="R31" s="21"/>
      <c r="S31" s="21"/>
      <c r="T31" s="10"/>
      <c r="U31" s="10"/>
      <c r="V31" s="10"/>
      <c r="W31" s="10"/>
      <c r="X31" s="21"/>
      <c r="Y31" s="10"/>
      <c r="Z31" s="10"/>
      <c r="AA31" s="10"/>
      <c r="AB31" s="177"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5"/>
      <c r="E32" s="160"/>
      <c r="F32" s="139"/>
      <c r="G32" s="9"/>
      <c r="H32" s="10"/>
      <c r="I32" s="10"/>
      <c r="J32" s="10"/>
      <c r="K32" s="34"/>
      <c r="L32" s="10"/>
      <c r="M32" s="133"/>
      <c r="N32" s="105"/>
      <c r="O32" s="9"/>
      <c r="P32" s="10"/>
      <c r="Q32" s="10"/>
      <c r="R32" s="21"/>
      <c r="S32" s="21"/>
      <c r="T32" s="10"/>
      <c r="U32" s="10"/>
      <c r="V32" s="10"/>
      <c r="W32" s="10"/>
      <c r="X32" s="21"/>
      <c r="Y32" s="10"/>
      <c r="Z32" s="10"/>
      <c r="AA32" s="10"/>
      <c r="AB32" s="177"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5"/>
      <c r="E33" s="160"/>
      <c r="F33" s="139"/>
      <c r="G33" s="9"/>
      <c r="H33" s="10"/>
      <c r="I33" s="10"/>
      <c r="J33" s="10"/>
      <c r="K33" s="34"/>
      <c r="L33" s="10"/>
      <c r="M33" s="133"/>
      <c r="N33" s="105"/>
      <c r="O33" s="9"/>
      <c r="P33" s="10"/>
      <c r="Q33" s="10"/>
      <c r="R33" s="21"/>
      <c r="S33" s="21"/>
      <c r="T33" s="10"/>
      <c r="U33" s="10"/>
      <c r="V33" s="10"/>
      <c r="W33" s="10"/>
      <c r="X33" s="21"/>
      <c r="Y33" s="10"/>
      <c r="Z33" s="10"/>
      <c r="AA33" s="10"/>
      <c r="AB33" s="177"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5"/>
      <c r="E34" s="160"/>
      <c r="F34" s="139"/>
      <c r="G34" s="9"/>
      <c r="H34" s="10"/>
      <c r="I34" s="10"/>
      <c r="J34" s="10"/>
      <c r="K34" s="34"/>
      <c r="L34" s="10"/>
      <c r="M34" s="133"/>
      <c r="N34" s="105"/>
      <c r="O34" s="9"/>
      <c r="P34" s="10"/>
      <c r="Q34" s="10"/>
      <c r="R34" s="21"/>
      <c r="S34" s="21"/>
      <c r="T34" s="10"/>
      <c r="U34" s="10"/>
      <c r="V34" s="10"/>
      <c r="W34" s="10"/>
      <c r="X34" s="21"/>
      <c r="Y34" s="10"/>
      <c r="Z34" s="10"/>
      <c r="AA34" s="10"/>
      <c r="AB34" s="177"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5"/>
      <c r="E35" s="160"/>
      <c r="F35" s="139"/>
      <c r="G35" s="9"/>
      <c r="H35" s="10"/>
      <c r="I35" s="10"/>
      <c r="J35" s="10"/>
      <c r="K35" s="34"/>
      <c r="L35" s="10"/>
      <c r="M35" s="133"/>
      <c r="N35" s="105"/>
      <c r="O35" s="9"/>
      <c r="P35" s="10"/>
      <c r="Q35" s="10"/>
      <c r="R35" s="21"/>
      <c r="S35" s="21"/>
      <c r="T35" s="10"/>
      <c r="U35" s="10"/>
      <c r="V35" s="10"/>
      <c r="W35" s="10"/>
      <c r="X35" s="21"/>
      <c r="Y35" s="10"/>
      <c r="Z35" s="10"/>
      <c r="AA35" s="10"/>
      <c r="AB35" s="177"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5"/>
      <c r="E36" s="160"/>
      <c r="F36" s="139"/>
      <c r="G36" s="9"/>
      <c r="H36" s="10"/>
      <c r="I36" s="10"/>
      <c r="J36" s="10"/>
      <c r="K36" s="34"/>
      <c r="L36" s="10"/>
      <c r="M36" s="133"/>
      <c r="N36" s="105"/>
      <c r="O36" s="9"/>
      <c r="P36" s="10"/>
      <c r="Q36" s="10"/>
      <c r="R36" s="21"/>
      <c r="S36" s="21"/>
      <c r="T36" s="10"/>
      <c r="U36" s="10"/>
      <c r="V36" s="10"/>
      <c r="W36" s="10"/>
      <c r="X36" s="21"/>
      <c r="Y36" s="10"/>
      <c r="Z36" s="10"/>
      <c r="AA36" s="10"/>
      <c r="AB36" s="177"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5"/>
      <c r="E37" s="160"/>
      <c r="F37" s="139"/>
      <c r="G37" s="9"/>
      <c r="H37" s="10"/>
      <c r="I37" s="10"/>
      <c r="J37" s="10"/>
      <c r="K37" s="34"/>
      <c r="L37" s="10"/>
      <c r="M37" s="133"/>
      <c r="N37" s="105"/>
      <c r="O37" s="9"/>
      <c r="P37" s="10"/>
      <c r="Q37" s="10"/>
      <c r="R37" s="21"/>
      <c r="S37" s="21"/>
      <c r="T37" s="10"/>
      <c r="U37" s="10"/>
      <c r="V37" s="10"/>
      <c r="W37" s="10"/>
      <c r="X37" s="21"/>
      <c r="Y37" s="10"/>
      <c r="Z37" s="10"/>
      <c r="AA37" s="10"/>
      <c r="AB37" s="177"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5"/>
      <c r="E38" s="160"/>
      <c r="F38" s="139"/>
      <c r="G38" s="9"/>
      <c r="H38" s="10"/>
      <c r="I38" s="10"/>
      <c r="J38" s="10"/>
      <c r="K38" s="34"/>
      <c r="L38" s="10"/>
      <c r="M38" s="133"/>
      <c r="N38" s="105"/>
      <c r="O38" s="9"/>
      <c r="P38" s="10"/>
      <c r="Q38" s="10"/>
      <c r="R38" s="21"/>
      <c r="S38" s="21"/>
      <c r="T38" s="10"/>
      <c r="U38" s="10"/>
      <c r="V38" s="10"/>
      <c r="W38" s="10"/>
      <c r="X38" s="21"/>
      <c r="Y38" s="10"/>
      <c r="Z38" s="10"/>
      <c r="AA38" s="10"/>
      <c r="AB38" s="177"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5"/>
      <c r="E39" s="160"/>
      <c r="F39" s="139"/>
      <c r="G39" s="9"/>
      <c r="H39" s="10"/>
      <c r="I39" s="10"/>
      <c r="J39" s="10"/>
      <c r="K39" s="34"/>
      <c r="L39" s="10"/>
      <c r="M39" s="133"/>
      <c r="N39" s="105"/>
      <c r="O39" s="9"/>
      <c r="P39" s="10"/>
      <c r="Q39" s="10"/>
      <c r="R39" s="21"/>
      <c r="S39" s="21"/>
      <c r="T39" s="10"/>
      <c r="U39" s="10"/>
      <c r="V39" s="10"/>
      <c r="W39" s="10"/>
      <c r="X39" s="21"/>
      <c r="Y39" s="10"/>
      <c r="Z39" s="10"/>
      <c r="AA39" s="10"/>
      <c r="AB39" s="177"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5"/>
      <c r="E40" s="160"/>
      <c r="F40" s="139"/>
      <c r="G40" s="9"/>
      <c r="H40" s="10"/>
      <c r="I40" s="10"/>
      <c r="J40" s="10"/>
      <c r="K40" s="34"/>
      <c r="L40" s="10"/>
      <c r="M40" s="133"/>
      <c r="N40" s="105"/>
      <c r="O40" s="9"/>
      <c r="P40" s="10"/>
      <c r="Q40" s="10"/>
      <c r="R40" s="21"/>
      <c r="S40" s="21"/>
      <c r="T40" s="10"/>
      <c r="U40" s="10"/>
      <c r="V40" s="10"/>
      <c r="W40" s="10"/>
      <c r="X40" s="21"/>
      <c r="Y40" s="10"/>
      <c r="Z40" s="10"/>
      <c r="AA40" s="10"/>
      <c r="AB40" s="177"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5"/>
      <c r="E41" s="160"/>
      <c r="F41" s="139"/>
      <c r="G41" s="9"/>
      <c r="H41" s="10"/>
      <c r="I41" s="10"/>
      <c r="J41" s="10"/>
      <c r="K41" s="34"/>
      <c r="L41" s="10"/>
      <c r="M41" s="133"/>
      <c r="N41" s="105"/>
      <c r="O41" s="9"/>
      <c r="P41" s="10"/>
      <c r="Q41" s="10"/>
      <c r="R41" s="21"/>
      <c r="S41" s="21"/>
      <c r="T41" s="10"/>
      <c r="U41" s="10"/>
      <c r="V41" s="10"/>
      <c r="W41" s="10"/>
      <c r="X41" s="21"/>
      <c r="Y41" s="10"/>
      <c r="Z41" s="10"/>
      <c r="AA41" s="10"/>
      <c r="AB41" s="177"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5"/>
      <c r="E42" s="160"/>
      <c r="F42" s="139"/>
      <c r="G42" s="9"/>
      <c r="H42" s="10"/>
      <c r="I42" s="10"/>
      <c r="J42" s="10"/>
      <c r="K42" s="34"/>
      <c r="L42" s="10"/>
      <c r="M42" s="133"/>
      <c r="N42" s="105"/>
      <c r="O42" s="9"/>
      <c r="P42" s="10"/>
      <c r="Q42" s="10"/>
      <c r="R42" s="21"/>
      <c r="S42" s="21"/>
      <c r="T42" s="10"/>
      <c r="U42" s="10"/>
      <c r="V42" s="10"/>
      <c r="W42" s="10"/>
      <c r="X42" s="21"/>
      <c r="Y42" s="10"/>
      <c r="Z42" s="10"/>
      <c r="AA42" s="10"/>
      <c r="AB42" s="177"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5"/>
      <c r="E43" s="160"/>
      <c r="F43" s="139"/>
      <c r="G43" s="9"/>
      <c r="H43" s="10"/>
      <c r="I43" s="10"/>
      <c r="J43" s="10"/>
      <c r="K43" s="34"/>
      <c r="L43" s="10"/>
      <c r="M43" s="133"/>
      <c r="N43" s="105"/>
      <c r="O43" s="9"/>
      <c r="P43" s="10"/>
      <c r="Q43" s="10"/>
      <c r="R43" s="21"/>
      <c r="S43" s="21"/>
      <c r="T43" s="10"/>
      <c r="U43" s="10"/>
      <c r="V43" s="10"/>
      <c r="W43" s="10"/>
      <c r="X43" s="21"/>
      <c r="Y43" s="10"/>
      <c r="Z43" s="10"/>
      <c r="AA43" s="10"/>
      <c r="AB43" s="177"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5"/>
      <c r="E44" s="160"/>
      <c r="F44" s="139"/>
      <c r="G44" s="9"/>
      <c r="H44" s="10"/>
      <c r="I44" s="10"/>
      <c r="J44" s="10"/>
      <c r="K44" s="34"/>
      <c r="L44" s="10"/>
      <c r="M44" s="133"/>
      <c r="N44" s="105"/>
      <c r="O44" s="9"/>
      <c r="P44" s="10"/>
      <c r="Q44" s="10"/>
      <c r="R44" s="21"/>
      <c r="S44" s="21"/>
      <c r="T44" s="10"/>
      <c r="U44" s="10"/>
      <c r="V44" s="10"/>
      <c r="W44" s="10"/>
      <c r="X44" s="21"/>
      <c r="Y44" s="10"/>
      <c r="Z44" s="10"/>
      <c r="AA44" s="10"/>
      <c r="AB44" s="177"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5"/>
      <c r="E45" s="160"/>
      <c r="F45" s="139"/>
      <c r="G45" s="9"/>
      <c r="H45" s="10"/>
      <c r="I45" s="10"/>
      <c r="J45" s="10"/>
      <c r="K45" s="34"/>
      <c r="L45" s="10"/>
      <c r="M45" s="133"/>
      <c r="N45" s="105"/>
      <c r="O45" s="9"/>
      <c r="P45" s="10"/>
      <c r="Q45" s="10"/>
      <c r="R45" s="21"/>
      <c r="S45" s="21"/>
      <c r="T45" s="10"/>
      <c r="U45" s="10"/>
      <c r="V45" s="10"/>
      <c r="W45" s="10"/>
      <c r="X45" s="21"/>
      <c r="Y45" s="10"/>
      <c r="Z45" s="10"/>
      <c r="AA45" s="10"/>
      <c r="AB45" s="177"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5"/>
      <c r="E46" s="160"/>
      <c r="F46" s="139"/>
      <c r="G46" s="9"/>
      <c r="H46" s="10"/>
      <c r="I46" s="10"/>
      <c r="J46" s="10"/>
      <c r="K46" s="34"/>
      <c r="L46" s="10"/>
      <c r="M46" s="133"/>
      <c r="N46" s="105"/>
      <c r="O46" s="9"/>
      <c r="P46" s="10"/>
      <c r="Q46" s="10"/>
      <c r="R46" s="21"/>
      <c r="S46" s="21"/>
      <c r="T46" s="10"/>
      <c r="U46" s="10"/>
      <c r="V46" s="10"/>
      <c r="W46" s="10"/>
      <c r="X46" s="21"/>
      <c r="Y46" s="10"/>
      <c r="Z46" s="10"/>
      <c r="AA46" s="10"/>
      <c r="AB46" s="177"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5"/>
      <c r="E47" s="160"/>
      <c r="F47" s="139"/>
      <c r="G47" s="9"/>
      <c r="H47" s="10"/>
      <c r="I47" s="10"/>
      <c r="J47" s="10"/>
      <c r="K47" s="34"/>
      <c r="L47" s="10"/>
      <c r="M47" s="133"/>
      <c r="N47" s="105"/>
      <c r="O47" s="9"/>
      <c r="P47" s="10"/>
      <c r="Q47" s="10"/>
      <c r="R47" s="21"/>
      <c r="S47" s="21"/>
      <c r="T47" s="10"/>
      <c r="U47" s="10"/>
      <c r="V47" s="10"/>
      <c r="W47" s="10"/>
      <c r="X47" s="21"/>
      <c r="Y47" s="10"/>
      <c r="Z47" s="10"/>
      <c r="AA47" s="10"/>
      <c r="AB47" s="177"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5"/>
      <c r="E48" s="160"/>
      <c r="F48" s="139"/>
      <c r="G48" s="9"/>
      <c r="H48" s="10"/>
      <c r="I48" s="10"/>
      <c r="J48" s="10"/>
      <c r="K48" s="34"/>
      <c r="L48" s="10"/>
      <c r="M48" s="133"/>
      <c r="N48" s="105"/>
      <c r="O48" s="9"/>
      <c r="P48" s="10"/>
      <c r="Q48" s="10"/>
      <c r="R48" s="21"/>
      <c r="S48" s="21"/>
      <c r="T48" s="10"/>
      <c r="U48" s="10"/>
      <c r="V48" s="10"/>
      <c r="W48" s="10"/>
      <c r="X48" s="21"/>
      <c r="Y48" s="10"/>
      <c r="Z48" s="10"/>
      <c r="AA48" s="10"/>
      <c r="AB48" s="177"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5"/>
      <c r="E49" s="160"/>
      <c r="F49" s="139"/>
      <c r="G49" s="9"/>
      <c r="H49" s="10"/>
      <c r="I49" s="10"/>
      <c r="J49" s="10"/>
      <c r="K49" s="34"/>
      <c r="L49" s="10"/>
      <c r="M49" s="133"/>
      <c r="N49" s="105"/>
      <c r="O49" s="9"/>
      <c r="P49" s="10"/>
      <c r="Q49" s="10"/>
      <c r="R49" s="21"/>
      <c r="S49" s="21"/>
      <c r="T49" s="10"/>
      <c r="U49" s="10"/>
      <c r="V49" s="10"/>
      <c r="W49" s="10"/>
      <c r="X49" s="21"/>
      <c r="Y49" s="10"/>
      <c r="Z49" s="10"/>
      <c r="AA49" s="10"/>
      <c r="AB49" s="177"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5"/>
      <c r="E50" s="160"/>
      <c r="F50" s="139"/>
      <c r="G50" s="9"/>
      <c r="H50" s="10"/>
      <c r="I50" s="10"/>
      <c r="J50" s="10"/>
      <c r="K50" s="34"/>
      <c r="L50" s="10"/>
      <c r="M50" s="133"/>
      <c r="N50" s="105"/>
      <c r="O50" s="9"/>
      <c r="P50" s="10"/>
      <c r="Q50" s="10"/>
      <c r="R50" s="21"/>
      <c r="S50" s="21"/>
      <c r="T50" s="10"/>
      <c r="U50" s="10"/>
      <c r="V50" s="10"/>
      <c r="W50" s="10"/>
      <c r="X50" s="21"/>
      <c r="Y50" s="10"/>
      <c r="Z50" s="10"/>
      <c r="AA50" s="10"/>
      <c r="AB50" s="177"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5"/>
      <c r="E51" s="160"/>
      <c r="F51" s="139"/>
      <c r="G51" s="9"/>
      <c r="H51" s="10"/>
      <c r="I51" s="10"/>
      <c r="J51" s="10"/>
      <c r="K51" s="34"/>
      <c r="L51" s="10"/>
      <c r="M51" s="133"/>
      <c r="N51" s="105"/>
      <c r="O51" s="9"/>
      <c r="P51" s="10"/>
      <c r="Q51" s="10"/>
      <c r="R51" s="21"/>
      <c r="S51" s="21"/>
      <c r="T51" s="10"/>
      <c r="U51" s="10"/>
      <c r="V51" s="10"/>
      <c r="W51" s="10"/>
      <c r="X51" s="21"/>
      <c r="Y51" s="10"/>
      <c r="Z51" s="10"/>
      <c r="AA51" s="10"/>
      <c r="AB51" s="177"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5"/>
      <c r="E52" s="160"/>
      <c r="F52" s="139"/>
      <c r="G52" s="9"/>
      <c r="H52" s="10"/>
      <c r="I52" s="10"/>
      <c r="J52" s="10"/>
      <c r="K52" s="34"/>
      <c r="L52" s="10"/>
      <c r="M52" s="133"/>
      <c r="N52" s="105"/>
      <c r="O52" s="9"/>
      <c r="P52" s="10"/>
      <c r="Q52" s="10"/>
      <c r="R52" s="21"/>
      <c r="S52" s="21"/>
      <c r="T52" s="10"/>
      <c r="U52" s="10"/>
      <c r="V52" s="10"/>
      <c r="W52" s="10"/>
      <c r="X52" s="21"/>
      <c r="Y52" s="10"/>
      <c r="Z52" s="10"/>
      <c r="AA52" s="10"/>
      <c r="AB52" s="177"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5"/>
      <c r="E53" s="160"/>
      <c r="F53" s="139"/>
      <c r="G53" s="9"/>
      <c r="H53" s="10"/>
      <c r="I53" s="10"/>
      <c r="J53" s="10"/>
      <c r="K53" s="34"/>
      <c r="L53" s="10"/>
      <c r="M53" s="133"/>
      <c r="N53" s="105"/>
      <c r="O53" s="9"/>
      <c r="P53" s="10"/>
      <c r="Q53" s="10"/>
      <c r="R53" s="21"/>
      <c r="S53" s="21"/>
      <c r="T53" s="10"/>
      <c r="U53" s="10"/>
      <c r="V53" s="10"/>
      <c r="W53" s="10"/>
      <c r="X53" s="21"/>
      <c r="Y53" s="10"/>
      <c r="Z53" s="10"/>
      <c r="AA53" s="10"/>
      <c r="AB53" s="177"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5"/>
      <c r="E54" s="160"/>
      <c r="F54" s="139"/>
      <c r="G54" s="9"/>
      <c r="H54" s="10"/>
      <c r="I54" s="10"/>
      <c r="J54" s="10"/>
      <c r="K54" s="34"/>
      <c r="L54" s="10"/>
      <c r="M54" s="133"/>
      <c r="N54" s="105"/>
      <c r="O54" s="9"/>
      <c r="P54" s="10"/>
      <c r="Q54" s="10"/>
      <c r="R54" s="21"/>
      <c r="S54" s="21"/>
      <c r="T54" s="10"/>
      <c r="U54" s="10"/>
      <c r="V54" s="10"/>
      <c r="W54" s="10"/>
      <c r="X54" s="21"/>
      <c r="Y54" s="10"/>
      <c r="Z54" s="10"/>
      <c r="AA54" s="10"/>
      <c r="AB54" s="177"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5"/>
      <c r="E55" s="160"/>
      <c r="F55" s="139"/>
      <c r="G55" s="9"/>
      <c r="H55" s="10"/>
      <c r="I55" s="10"/>
      <c r="J55" s="10"/>
      <c r="K55" s="34"/>
      <c r="L55" s="10"/>
      <c r="M55" s="133"/>
      <c r="N55" s="105"/>
      <c r="O55" s="9"/>
      <c r="P55" s="10"/>
      <c r="Q55" s="10"/>
      <c r="R55" s="21"/>
      <c r="S55" s="21"/>
      <c r="T55" s="10"/>
      <c r="U55" s="10"/>
      <c r="V55" s="10"/>
      <c r="W55" s="10"/>
      <c r="X55" s="21"/>
      <c r="Y55" s="10"/>
      <c r="Z55" s="10"/>
      <c r="AA55" s="10"/>
      <c r="AB55" s="177"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5"/>
      <c r="E56" s="160"/>
      <c r="F56" s="139"/>
      <c r="G56" s="9"/>
      <c r="H56" s="10"/>
      <c r="I56" s="10"/>
      <c r="J56" s="10"/>
      <c r="K56" s="34"/>
      <c r="L56" s="10"/>
      <c r="M56" s="133"/>
      <c r="N56" s="105"/>
      <c r="O56" s="9"/>
      <c r="P56" s="10"/>
      <c r="Q56" s="10"/>
      <c r="R56" s="21"/>
      <c r="S56" s="21"/>
      <c r="T56" s="10"/>
      <c r="U56" s="10"/>
      <c r="V56" s="10"/>
      <c r="W56" s="10"/>
      <c r="X56" s="21"/>
      <c r="Y56" s="10"/>
      <c r="Z56" s="10"/>
      <c r="AA56" s="10"/>
      <c r="AB56" s="177"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5"/>
      <c r="E57" s="160"/>
      <c r="F57" s="139"/>
      <c r="G57" s="9"/>
      <c r="H57" s="10"/>
      <c r="I57" s="10"/>
      <c r="J57" s="10"/>
      <c r="K57" s="34"/>
      <c r="L57" s="10"/>
      <c r="M57" s="133"/>
      <c r="N57" s="105"/>
      <c r="O57" s="9"/>
      <c r="P57" s="10"/>
      <c r="Q57" s="10"/>
      <c r="R57" s="21"/>
      <c r="S57" s="21"/>
      <c r="T57" s="10"/>
      <c r="U57" s="10"/>
      <c r="V57" s="10"/>
      <c r="W57" s="10"/>
      <c r="X57" s="21"/>
      <c r="Y57" s="10"/>
      <c r="Z57" s="10"/>
      <c r="AA57" s="10"/>
      <c r="AB57" s="177"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5"/>
      <c r="E58" s="160"/>
      <c r="F58" s="139"/>
      <c r="G58" s="9"/>
      <c r="H58" s="10"/>
      <c r="I58" s="10"/>
      <c r="J58" s="10"/>
      <c r="K58" s="34"/>
      <c r="L58" s="10"/>
      <c r="M58" s="133"/>
      <c r="N58" s="105"/>
      <c r="O58" s="9"/>
      <c r="P58" s="10"/>
      <c r="Q58" s="10"/>
      <c r="R58" s="21"/>
      <c r="S58" s="21"/>
      <c r="T58" s="10"/>
      <c r="U58" s="10"/>
      <c r="V58" s="10"/>
      <c r="W58" s="10"/>
      <c r="X58" s="21"/>
      <c r="Y58" s="10"/>
      <c r="Z58" s="10"/>
      <c r="AA58" s="10"/>
      <c r="AB58" s="177"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5"/>
      <c r="E59" s="160"/>
      <c r="F59" s="139"/>
      <c r="G59" s="9"/>
      <c r="H59" s="10"/>
      <c r="I59" s="10"/>
      <c r="J59" s="10"/>
      <c r="K59" s="34"/>
      <c r="L59" s="10"/>
      <c r="M59" s="133"/>
      <c r="N59" s="105"/>
      <c r="O59" s="9"/>
      <c r="P59" s="10"/>
      <c r="Q59" s="10"/>
      <c r="R59" s="21"/>
      <c r="S59" s="21"/>
      <c r="T59" s="10"/>
      <c r="U59" s="10"/>
      <c r="V59" s="10"/>
      <c r="W59" s="10"/>
      <c r="X59" s="21"/>
      <c r="Y59" s="10"/>
      <c r="Z59" s="10"/>
      <c r="AA59" s="10"/>
      <c r="AB59" s="177"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5"/>
      <c r="E60" s="160"/>
      <c r="F60" s="139"/>
      <c r="G60" s="9"/>
      <c r="H60" s="10"/>
      <c r="I60" s="10"/>
      <c r="J60" s="10"/>
      <c r="K60" s="34"/>
      <c r="L60" s="10"/>
      <c r="M60" s="133"/>
      <c r="N60" s="105"/>
      <c r="O60" s="9"/>
      <c r="P60" s="10"/>
      <c r="Q60" s="10"/>
      <c r="R60" s="21"/>
      <c r="S60" s="21"/>
      <c r="T60" s="10"/>
      <c r="U60" s="10"/>
      <c r="V60" s="10"/>
      <c r="W60" s="10"/>
      <c r="X60" s="21"/>
      <c r="Y60" s="10"/>
      <c r="Z60" s="10"/>
      <c r="AA60" s="10"/>
      <c r="AB60" s="177"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5"/>
      <c r="E61" s="160"/>
      <c r="F61" s="139"/>
      <c r="G61" s="9"/>
      <c r="H61" s="10"/>
      <c r="I61" s="10"/>
      <c r="J61" s="10"/>
      <c r="K61" s="34"/>
      <c r="L61" s="10"/>
      <c r="M61" s="133"/>
      <c r="N61" s="105"/>
      <c r="O61" s="9"/>
      <c r="P61" s="10"/>
      <c r="Q61" s="10"/>
      <c r="R61" s="21"/>
      <c r="S61" s="21"/>
      <c r="T61" s="10"/>
      <c r="U61" s="10"/>
      <c r="V61" s="10"/>
      <c r="W61" s="10"/>
      <c r="X61" s="21"/>
      <c r="Y61" s="10"/>
      <c r="Z61" s="10"/>
      <c r="AA61" s="10"/>
      <c r="AB61" s="177"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5"/>
      <c r="E62" s="160"/>
      <c r="F62" s="139"/>
      <c r="G62" s="9"/>
      <c r="H62" s="10"/>
      <c r="I62" s="10"/>
      <c r="J62" s="10"/>
      <c r="K62" s="34"/>
      <c r="L62" s="10"/>
      <c r="M62" s="133"/>
      <c r="N62" s="105"/>
      <c r="O62" s="9"/>
      <c r="P62" s="10"/>
      <c r="Q62" s="10"/>
      <c r="R62" s="21"/>
      <c r="S62" s="21"/>
      <c r="T62" s="10"/>
      <c r="U62" s="10"/>
      <c r="V62" s="10"/>
      <c r="W62" s="10"/>
      <c r="X62" s="21"/>
      <c r="Y62" s="10"/>
      <c r="Z62" s="10"/>
      <c r="AA62" s="10"/>
      <c r="AB62" s="177"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5"/>
      <c r="E63" s="160"/>
      <c r="F63" s="139"/>
      <c r="G63" s="9"/>
      <c r="H63" s="10"/>
      <c r="I63" s="10"/>
      <c r="J63" s="10"/>
      <c r="K63" s="34"/>
      <c r="L63" s="10"/>
      <c r="M63" s="133"/>
      <c r="N63" s="105"/>
      <c r="O63" s="9"/>
      <c r="P63" s="10"/>
      <c r="Q63" s="10"/>
      <c r="R63" s="21"/>
      <c r="S63" s="21"/>
      <c r="T63" s="10"/>
      <c r="U63" s="10"/>
      <c r="V63" s="10"/>
      <c r="W63" s="10"/>
      <c r="X63" s="21"/>
      <c r="Y63" s="10"/>
      <c r="Z63" s="10"/>
      <c r="AA63" s="10"/>
      <c r="AB63" s="177"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5"/>
      <c r="E64" s="160"/>
      <c r="F64" s="139"/>
      <c r="G64" s="9"/>
      <c r="H64" s="10"/>
      <c r="I64" s="10"/>
      <c r="J64" s="10"/>
      <c r="K64" s="34"/>
      <c r="L64" s="10"/>
      <c r="M64" s="133"/>
      <c r="N64" s="105"/>
      <c r="O64" s="9"/>
      <c r="P64" s="10"/>
      <c r="Q64" s="10"/>
      <c r="R64" s="21"/>
      <c r="S64" s="21"/>
      <c r="T64" s="10"/>
      <c r="U64" s="10"/>
      <c r="V64" s="10"/>
      <c r="W64" s="10"/>
      <c r="X64" s="21"/>
      <c r="Y64" s="10"/>
      <c r="Z64" s="10"/>
      <c r="AA64" s="10"/>
      <c r="AB64" s="177"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5"/>
      <c r="E65" s="160"/>
      <c r="F65" s="139"/>
      <c r="G65" s="9"/>
      <c r="H65" s="10"/>
      <c r="I65" s="10"/>
      <c r="J65" s="10"/>
      <c r="K65" s="34"/>
      <c r="L65" s="10"/>
      <c r="M65" s="133"/>
      <c r="N65" s="105"/>
      <c r="O65" s="9"/>
      <c r="P65" s="10"/>
      <c r="Q65" s="10"/>
      <c r="R65" s="21"/>
      <c r="S65" s="21"/>
      <c r="T65" s="10"/>
      <c r="U65" s="10"/>
      <c r="V65" s="10"/>
      <c r="W65" s="10"/>
      <c r="X65" s="21"/>
      <c r="Y65" s="10"/>
      <c r="Z65" s="10"/>
      <c r="AA65" s="10"/>
      <c r="AB65" s="177"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5"/>
      <c r="E66" s="160"/>
      <c r="F66" s="139"/>
      <c r="G66" s="9"/>
      <c r="H66" s="10"/>
      <c r="I66" s="10"/>
      <c r="J66" s="10"/>
      <c r="K66" s="34"/>
      <c r="L66" s="10"/>
      <c r="M66" s="133"/>
      <c r="N66" s="105"/>
      <c r="O66" s="9"/>
      <c r="P66" s="10"/>
      <c r="Q66" s="10"/>
      <c r="R66" s="21"/>
      <c r="S66" s="21"/>
      <c r="T66" s="10"/>
      <c r="U66" s="10"/>
      <c r="V66" s="10"/>
      <c r="W66" s="10"/>
      <c r="X66" s="21"/>
      <c r="Y66" s="10"/>
      <c r="Z66" s="10"/>
      <c r="AA66" s="10"/>
      <c r="AB66" s="177"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5"/>
      <c r="E67" s="160"/>
      <c r="F67" s="139"/>
      <c r="G67" s="9"/>
      <c r="H67" s="10"/>
      <c r="I67" s="10"/>
      <c r="J67" s="10"/>
      <c r="K67" s="34"/>
      <c r="L67" s="10"/>
      <c r="M67" s="133"/>
      <c r="N67" s="105"/>
      <c r="O67" s="9"/>
      <c r="P67" s="10"/>
      <c r="Q67" s="10"/>
      <c r="R67" s="21"/>
      <c r="S67" s="21"/>
      <c r="T67" s="10"/>
      <c r="U67" s="10"/>
      <c r="V67" s="10"/>
      <c r="W67" s="10"/>
      <c r="X67" s="21"/>
      <c r="Y67" s="10"/>
      <c r="Z67" s="10"/>
      <c r="AA67" s="10"/>
      <c r="AB67" s="177"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5"/>
      <c r="E68" s="160"/>
      <c r="F68" s="139"/>
      <c r="G68" s="9"/>
      <c r="H68" s="10"/>
      <c r="I68" s="10"/>
      <c r="J68" s="10"/>
      <c r="K68" s="34"/>
      <c r="L68" s="10"/>
      <c r="M68" s="133"/>
      <c r="N68" s="105"/>
      <c r="O68" s="9"/>
      <c r="P68" s="10"/>
      <c r="Q68" s="10"/>
      <c r="R68" s="21"/>
      <c r="S68" s="21"/>
      <c r="T68" s="10"/>
      <c r="U68" s="10"/>
      <c r="V68" s="10"/>
      <c r="W68" s="10"/>
      <c r="X68" s="21"/>
      <c r="Y68" s="10"/>
      <c r="Z68" s="10"/>
      <c r="AA68" s="10"/>
      <c r="AB68" s="177"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5"/>
      <c r="E69" s="160"/>
      <c r="F69" s="139"/>
      <c r="G69" s="9"/>
      <c r="H69" s="10"/>
      <c r="I69" s="10"/>
      <c r="J69" s="10"/>
      <c r="K69" s="34"/>
      <c r="L69" s="10"/>
      <c r="M69" s="133"/>
      <c r="N69" s="105"/>
      <c r="O69" s="9"/>
      <c r="P69" s="10"/>
      <c r="Q69" s="10"/>
      <c r="R69" s="21"/>
      <c r="S69" s="21"/>
      <c r="T69" s="10"/>
      <c r="U69" s="10"/>
      <c r="V69" s="10"/>
      <c r="W69" s="10"/>
      <c r="X69" s="21"/>
      <c r="Y69" s="10"/>
      <c r="Z69" s="10"/>
      <c r="AA69" s="10"/>
      <c r="AB69" s="177"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5"/>
      <c r="E70" s="160"/>
      <c r="F70" s="139"/>
      <c r="G70" s="9"/>
      <c r="H70" s="10"/>
      <c r="I70" s="10"/>
      <c r="J70" s="10"/>
      <c r="K70" s="34"/>
      <c r="L70" s="10"/>
      <c r="M70" s="133"/>
      <c r="N70" s="105"/>
      <c r="O70" s="9"/>
      <c r="P70" s="10"/>
      <c r="Q70" s="10"/>
      <c r="R70" s="21"/>
      <c r="S70" s="21"/>
      <c r="T70" s="10"/>
      <c r="U70" s="10"/>
      <c r="V70" s="10"/>
      <c r="W70" s="10"/>
      <c r="X70" s="21"/>
      <c r="Y70" s="10"/>
      <c r="Z70" s="10"/>
      <c r="AA70" s="10"/>
      <c r="AB70" s="177"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5"/>
      <c r="E71" s="160"/>
      <c r="F71" s="139"/>
      <c r="G71" s="9"/>
      <c r="H71" s="10"/>
      <c r="I71" s="10"/>
      <c r="J71" s="10"/>
      <c r="K71" s="34"/>
      <c r="L71" s="10"/>
      <c r="M71" s="133"/>
      <c r="N71" s="105"/>
      <c r="O71" s="9"/>
      <c r="P71" s="10"/>
      <c r="Q71" s="10"/>
      <c r="R71" s="21"/>
      <c r="S71" s="21"/>
      <c r="T71" s="10"/>
      <c r="U71" s="10"/>
      <c r="V71" s="10"/>
      <c r="W71" s="10"/>
      <c r="X71" s="21"/>
      <c r="Y71" s="10"/>
      <c r="Z71" s="10"/>
      <c r="AA71" s="10"/>
      <c r="AB71" s="177"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5"/>
      <c r="E72" s="160"/>
      <c r="F72" s="139"/>
      <c r="G72" s="9"/>
      <c r="H72" s="10"/>
      <c r="I72" s="10"/>
      <c r="J72" s="10"/>
      <c r="K72" s="34"/>
      <c r="L72" s="10"/>
      <c r="M72" s="133"/>
      <c r="N72" s="105"/>
      <c r="O72" s="9"/>
      <c r="P72" s="10"/>
      <c r="Q72" s="10"/>
      <c r="R72" s="21"/>
      <c r="S72" s="21"/>
      <c r="T72" s="10"/>
      <c r="U72" s="10"/>
      <c r="V72" s="10"/>
      <c r="W72" s="10"/>
      <c r="X72" s="21"/>
      <c r="Y72" s="10"/>
      <c r="Z72" s="10"/>
      <c r="AA72" s="10"/>
      <c r="AB72" s="177"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5"/>
      <c r="E73" s="160"/>
      <c r="F73" s="139"/>
      <c r="G73" s="9"/>
      <c r="H73" s="10"/>
      <c r="I73" s="10"/>
      <c r="J73" s="10"/>
      <c r="K73" s="34"/>
      <c r="L73" s="10"/>
      <c r="M73" s="133"/>
      <c r="N73" s="105"/>
      <c r="O73" s="9"/>
      <c r="P73" s="10"/>
      <c r="Q73" s="10"/>
      <c r="R73" s="21"/>
      <c r="S73" s="21"/>
      <c r="T73" s="10"/>
      <c r="U73" s="10"/>
      <c r="V73" s="10"/>
      <c r="W73" s="10"/>
      <c r="X73" s="21"/>
      <c r="Y73" s="10"/>
      <c r="Z73" s="10"/>
      <c r="AA73" s="10"/>
      <c r="AB73" s="177"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5"/>
      <c r="E74" s="160"/>
      <c r="F74" s="139"/>
      <c r="G74" s="9"/>
      <c r="H74" s="10"/>
      <c r="I74" s="10"/>
      <c r="J74" s="10"/>
      <c r="K74" s="34"/>
      <c r="L74" s="10"/>
      <c r="M74" s="133"/>
      <c r="N74" s="105"/>
      <c r="O74" s="9"/>
      <c r="P74" s="10"/>
      <c r="Q74" s="10"/>
      <c r="R74" s="21"/>
      <c r="S74" s="21"/>
      <c r="T74" s="10"/>
      <c r="U74" s="10"/>
      <c r="V74" s="10"/>
      <c r="W74" s="10"/>
      <c r="X74" s="21"/>
      <c r="Y74" s="10"/>
      <c r="Z74" s="10"/>
      <c r="AA74" s="10"/>
      <c r="AB74" s="177"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5"/>
      <c r="E75" s="160"/>
      <c r="F75" s="139"/>
      <c r="G75" s="9"/>
      <c r="H75" s="10"/>
      <c r="I75" s="10"/>
      <c r="J75" s="10"/>
      <c r="K75" s="34"/>
      <c r="L75" s="10"/>
      <c r="M75" s="133"/>
      <c r="N75" s="105"/>
      <c r="O75" s="9"/>
      <c r="P75" s="10"/>
      <c r="Q75" s="10"/>
      <c r="R75" s="21"/>
      <c r="S75" s="21"/>
      <c r="T75" s="10"/>
      <c r="U75" s="10"/>
      <c r="V75" s="10"/>
      <c r="W75" s="10"/>
      <c r="X75" s="21"/>
      <c r="Y75" s="10"/>
      <c r="Z75" s="10"/>
      <c r="AA75" s="10"/>
      <c r="AB75" s="177"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5"/>
      <c r="E76" s="160"/>
      <c r="F76" s="139"/>
      <c r="G76" s="9"/>
      <c r="H76" s="10"/>
      <c r="I76" s="10"/>
      <c r="J76" s="10"/>
      <c r="K76" s="34"/>
      <c r="L76" s="10"/>
      <c r="M76" s="133"/>
      <c r="N76" s="105"/>
      <c r="O76" s="9"/>
      <c r="P76" s="10"/>
      <c r="Q76" s="10"/>
      <c r="R76" s="21"/>
      <c r="S76" s="21"/>
      <c r="T76" s="10"/>
      <c r="U76" s="10"/>
      <c r="V76" s="10"/>
      <c r="W76" s="10"/>
      <c r="X76" s="21"/>
      <c r="Y76" s="10"/>
      <c r="Z76" s="10"/>
      <c r="AA76" s="10"/>
      <c r="AB76" s="177"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5"/>
      <c r="E77" s="160"/>
      <c r="F77" s="139"/>
      <c r="G77" s="9"/>
      <c r="H77" s="10"/>
      <c r="I77" s="10"/>
      <c r="J77" s="10"/>
      <c r="K77" s="34"/>
      <c r="L77" s="10"/>
      <c r="M77" s="133"/>
      <c r="N77" s="105"/>
      <c r="O77" s="9"/>
      <c r="P77" s="10"/>
      <c r="Q77" s="10"/>
      <c r="R77" s="21"/>
      <c r="S77" s="21"/>
      <c r="T77" s="10"/>
      <c r="U77" s="10"/>
      <c r="V77" s="10"/>
      <c r="W77" s="10"/>
      <c r="X77" s="21"/>
      <c r="Y77" s="10"/>
      <c r="Z77" s="10"/>
      <c r="AA77" s="10"/>
      <c r="AB77" s="177"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5"/>
      <c r="E78" s="160"/>
      <c r="F78" s="139"/>
      <c r="G78" s="9"/>
      <c r="H78" s="10"/>
      <c r="I78" s="10"/>
      <c r="J78" s="10"/>
      <c r="K78" s="34"/>
      <c r="L78" s="10"/>
      <c r="M78" s="133"/>
      <c r="N78" s="105"/>
      <c r="O78" s="9"/>
      <c r="P78" s="10"/>
      <c r="Q78" s="10"/>
      <c r="R78" s="21"/>
      <c r="S78" s="21"/>
      <c r="T78" s="10"/>
      <c r="U78" s="10"/>
      <c r="V78" s="10"/>
      <c r="W78" s="10"/>
      <c r="X78" s="21"/>
      <c r="Y78" s="10"/>
      <c r="Z78" s="10"/>
      <c r="AA78" s="10"/>
      <c r="AB78" s="177"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5"/>
      <c r="E79" s="160"/>
      <c r="F79" s="139"/>
      <c r="G79" s="9"/>
      <c r="H79" s="10"/>
      <c r="I79" s="10"/>
      <c r="J79" s="10"/>
      <c r="K79" s="34"/>
      <c r="L79" s="10"/>
      <c r="M79" s="133"/>
      <c r="N79" s="105"/>
      <c r="O79" s="9"/>
      <c r="P79" s="10"/>
      <c r="Q79" s="10"/>
      <c r="R79" s="21"/>
      <c r="S79" s="21"/>
      <c r="T79" s="10"/>
      <c r="U79" s="10"/>
      <c r="V79" s="10"/>
      <c r="W79" s="10"/>
      <c r="X79" s="21"/>
      <c r="Y79" s="10"/>
      <c r="Z79" s="10"/>
      <c r="AA79" s="10"/>
      <c r="AB79" s="177"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5"/>
      <c r="E80" s="160"/>
      <c r="F80" s="139"/>
      <c r="G80" s="9"/>
      <c r="H80" s="10"/>
      <c r="I80" s="10"/>
      <c r="J80" s="10"/>
      <c r="K80" s="34"/>
      <c r="L80" s="10"/>
      <c r="M80" s="133"/>
      <c r="N80" s="105"/>
      <c r="O80" s="9"/>
      <c r="P80" s="10"/>
      <c r="Q80" s="10"/>
      <c r="R80" s="21"/>
      <c r="S80" s="21"/>
      <c r="T80" s="10"/>
      <c r="U80" s="10"/>
      <c r="V80" s="10"/>
      <c r="W80" s="10"/>
      <c r="X80" s="21"/>
      <c r="Y80" s="10"/>
      <c r="Z80" s="10"/>
      <c r="AA80" s="10"/>
      <c r="AB80" s="177"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5"/>
      <c r="E81" s="160"/>
      <c r="F81" s="139"/>
      <c r="G81" s="9"/>
      <c r="H81" s="10"/>
      <c r="I81" s="10"/>
      <c r="J81" s="10"/>
      <c r="K81" s="34"/>
      <c r="L81" s="10"/>
      <c r="M81" s="133"/>
      <c r="N81" s="105"/>
      <c r="O81" s="9"/>
      <c r="P81" s="10"/>
      <c r="Q81" s="10"/>
      <c r="R81" s="21"/>
      <c r="S81" s="21"/>
      <c r="T81" s="10"/>
      <c r="U81" s="10"/>
      <c r="V81" s="10"/>
      <c r="W81" s="10"/>
      <c r="X81" s="21"/>
      <c r="Y81" s="10"/>
      <c r="Z81" s="10"/>
      <c r="AA81" s="10"/>
      <c r="AB81" s="177"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5"/>
      <c r="E82" s="160"/>
      <c r="F82" s="139"/>
      <c r="G82" s="9"/>
      <c r="H82" s="10"/>
      <c r="I82" s="10"/>
      <c r="J82" s="10"/>
      <c r="K82" s="34"/>
      <c r="L82" s="10"/>
      <c r="M82" s="133"/>
      <c r="N82" s="105"/>
      <c r="O82" s="9"/>
      <c r="P82" s="10"/>
      <c r="Q82" s="10"/>
      <c r="R82" s="21"/>
      <c r="S82" s="21"/>
      <c r="T82" s="10"/>
      <c r="U82" s="10"/>
      <c r="V82" s="10"/>
      <c r="W82" s="10"/>
      <c r="X82" s="21"/>
      <c r="Y82" s="10"/>
      <c r="Z82" s="10"/>
      <c r="AA82" s="10"/>
      <c r="AB82" s="177"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5"/>
      <c r="E83" s="160"/>
      <c r="F83" s="139"/>
      <c r="G83" s="9"/>
      <c r="H83" s="10"/>
      <c r="I83" s="10"/>
      <c r="J83" s="10"/>
      <c r="K83" s="34"/>
      <c r="L83" s="10"/>
      <c r="M83" s="133"/>
      <c r="N83" s="105"/>
      <c r="O83" s="9"/>
      <c r="P83" s="10"/>
      <c r="Q83" s="10"/>
      <c r="R83" s="21"/>
      <c r="S83" s="21"/>
      <c r="T83" s="10"/>
      <c r="U83" s="10"/>
      <c r="V83" s="10"/>
      <c r="W83" s="10"/>
      <c r="X83" s="21"/>
      <c r="Y83" s="10"/>
      <c r="Z83" s="10"/>
      <c r="AA83" s="10"/>
      <c r="AB83" s="177"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5"/>
      <c r="E84" s="160"/>
      <c r="F84" s="139"/>
      <c r="G84" s="9"/>
      <c r="H84" s="10"/>
      <c r="I84" s="10"/>
      <c r="J84" s="10"/>
      <c r="K84" s="34"/>
      <c r="L84" s="10"/>
      <c r="M84" s="133"/>
      <c r="N84" s="105"/>
      <c r="O84" s="9"/>
      <c r="P84" s="10"/>
      <c r="Q84" s="10"/>
      <c r="R84" s="21"/>
      <c r="S84" s="21"/>
      <c r="T84" s="10"/>
      <c r="U84" s="10"/>
      <c r="V84" s="10"/>
      <c r="W84" s="10"/>
      <c r="X84" s="21"/>
      <c r="Y84" s="10"/>
      <c r="Z84" s="10"/>
      <c r="AA84" s="10"/>
      <c r="AB84" s="177"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5"/>
      <c r="E85" s="160"/>
      <c r="F85" s="139"/>
      <c r="G85" s="9"/>
      <c r="H85" s="10"/>
      <c r="I85" s="10"/>
      <c r="J85" s="10"/>
      <c r="K85" s="34"/>
      <c r="L85" s="10"/>
      <c r="M85" s="133"/>
      <c r="N85" s="105"/>
      <c r="O85" s="9"/>
      <c r="P85" s="10"/>
      <c r="Q85" s="10"/>
      <c r="R85" s="21"/>
      <c r="S85" s="21"/>
      <c r="T85" s="10"/>
      <c r="U85" s="10"/>
      <c r="V85" s="10"/>
      <c r="W85" s="10"/>
      <c r="X85" s="21"/>
      <c r="Y85" s="10"/>
      <c r="Z85" s="10"/>
      <c r="AA85" s="10"/>
      <c r="AB85" s="177"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5"/>
      <c r="E86" s="160"/>
      <c r="F86" s="139"/>
      <c r="G86" s="9"/>
      <c r="H86" s="10"/>
      <c r="I86" s="10"/>
      <c r="J86" s="10"/>
      <c r="K86" s="34"/>
      <c r="L86" s="10"/>
      <c r="M86" s="133"/>
      <c r="N86" s="105"/>
      <c r="O86" s="9"/>
      <c r="P86" s="10"/>
      <c r="Q86" s="10"/>
      <c r="R86" s="21"/>
      <c r="S86" s="21"/>
      <c r="T86" s="10"/>
      <c r="U86" s="10"/>
      <c r="V86" s="10"/>
      <c r="W86" s="10"/>
      <c r="X86" s="21"/>
      <c r="Y86" s="10"/>
      <c r="Z86" s="10"/>
      <c r="AA86" s="10"/>
      <c r="AB86" s="177"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5"/>
      <c r="E87" s="160"/>
      <c r="F87" s="139"/>
      <c r="G87" s="9"/>
      <c r="H87" s="10"/>
      <c r="I87" s="10"/>
      <c r="J87" s="10"/>
      <c r="K87" s="34"/>
      <c r="L87" s="10"/>
      <c r="M87" s="133"/>
      <c r="N87" s="105"/>
      <c r="O87" s="9"/>
      <c r="P87" s="10"/>
      <c r="Q87" s="10"/>
      <c r="R87" s="21"/>
      <c r="S87" s="21"/>
      <c r="T87" s="10"/>
      <c r="U87" s="10"/>
      <c r="V87" s="10"/>
      <c r="W87" s="10"/>
      <c r="X87" s="21"/>
      <c r="Y87" s="10"/>
      <c r="Z87" s="10"/>
      <c r="AA87" s="10"/>
      <c r="AB87" s="177"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5"/>
      <c r="E88" s="160"/>
      <c r="F88" s="139"/>
      <c r="G88" s="9"/>
      <c r="H88" s="10"/>
      <c r="I88" s="10"/>
      <c r="J88" s="10"/>
      <c r="K88" s="34"/>
      <c r="L88" s="10"/>
      <c r="M88" s="133"/>
      <c r="N88" s="105"/>
      <c r="O88" s="9"/>
      <c r="P88" s="10"/>
      <c r="Q88" s="10"/>
      <c r="R88" s="21"/>
      <c r="S88" s="21"/>
      <c r="T88" s="10"/>
      <c r="U88" s="10"/>
      <c r="V88" s="10"/>
      <c r="W88" s="10"/>
      <c r="X88" s="21"/>
      <c r="Y88" s="10"/>
      <c r="Z88" s="10"/>
      <c r="AA88" s="10"/>
      <c r="AB88" s="177"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5"/>
      <c r="E89" s="160"/>
      <c r="F89" s="139"/>
      <c r="G89" s="9"/>
      <c r="H89" s="10"/>
      <c r="I89" s="10"/>
      <c r="J89" s="10"/>
      <c r="K89" s="34"/>
      <c r="L89" s="10"/>
      <c r="M89" s="133"/>
      <c r="N89" s="105"/>
      <c r="O89" s="9"/>
      <c r="P89" s="10"/>
      <c r="Q89" s="10"/>
      <c r="R89" s="21"/>
      <c r="S89" s="21"/>
      <c r="T89" s="10"/>
      <c r="U89" s="10"/>
      <c r="V89" s="10"/>
      <c r="W89" s="10"/>
      <c r="X89" s="21"/>
      <c r="Y89" s="10"/>
      <c r="Z89" s="10"/>
      <c r="AA89" s="10"/>
      <c r="AB89" s="177"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5"/>
      <c r="E90" s="160"/>
      <c r="F90" s="139"/>
      <c r="G90" s="9"/>
      <c r="H90" s="10"/>
      <c r="I90" s="10"/>
      <c r="J90" s="10"/>
      <c r="K90" s="34"/>
      <c r="L90" s="10"/>
      <c r="M90" s="133"/>
      <c r="N90" s="105"/>
      <c r="O90" s="9"/>
      <c r="P90" s="10"/>
      <c r="Q90" s="10"/>
      <c r="R90" s="21"/>
      <c r="S90" s="21"/>
      <c r="T90" s="10"/>
      <c r="U90" s="10"/>
      <c r="V90" s="10"/>
      <c r="W90" s="10"/>
      <c r="X90" s="21"/>
      <c r="Y90" s="10"/>
      <c r="Z90" s="10"/>
      <c r="AA90" s="10"/>
      <c r="AB90" s="177"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5"/>
      <c r="E91" s="160"/>
      <c r="F91" s="139"/>
      <c r="G91" s="9"/>
      <c r="H91" s="10"/>
      <c r="I91" s="10"/>
      <c r="J91" s="10"/>
      <c r="K91" s="34"/>
      <c r="L91" s="10"/>
      <c r="M91" s="133"/>
      <c r="N91" s="105"/>
      <c r="O91" s="9"/>
      <c r="P91" s="10"/>
      <c r="Q91" s="10"/>
      <c r="R91" s="21"/>
      <c r="S91" s="21"/>
      <c r="T91" s="10"/>
      <c r="U91" s="10"/>
      <c r="V91" s="10"/>
      <c r="W91" s="10"/>
      <c r="X91" s="21"/>
      <c r="Y91" s="10"/>
      <c r="Z91" s="10"/>
      <c r="AA91" s="10"/>
      <c r="AB91" s="177"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5"/>
      <c r="E92" s="160"/>
      <c r="F92" s="139"/>
      <c r="G92" s="9"/>
      <c r="H92" s="10"/>
      <c r="I92" s="10"/>
      <c r="J92" s="10"/>
      <c r="K92" s="34"/>
      <c r="L92" s="10"/>
      <c r="M92" s="133"/>
      <c r="N92" s="105"/>
      <c r="O92" s="9"/>
      <c r="P92" s="10"/>
      <c r="Q92" s="10"/>
      <c r="R92" s="21"/>
      <c r="S92" s="21"/>
      <c r="T92" s="10"/>
      <c r="U92" s="10"/>
      <c r="V92" s="10"/>
      <c r="W92" s="10"/>
      <c r="X92" s="21"/>
      <c r="Y92" s="10"/>
      <c r="Z92" s="10"/>
      <c r="AA92" s="10"/>
      <c r="AB92" s="177"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5"/>
      <c r="E93" s="160"/>
      <c r="F93" s="139"/>
      <c r="G93" s="9"/>
      <c r="H93" s="10"/>
      <c r="I93" s="10"/>
      <c r="J93" s="10"/>
      <c r="K93" s="34"/>
      <c r="L93" s="10"/>
      <c r="M93" s="133"/>
      <c r="N93" s="105"/>
      <c r="O93" s="9"/>
      <c r="P93" s="10"/>
      <c r="Q93" s="10"/>
      <c r="R93" s="21"/>
      <c r="S93" s="21"/>
      <c r="T93" s="10"/>
      <c r="U93" s="10"/>
      <c r="V93" s="10"/>
      <c r="W93" s="10"/>
      <c r="X93" s="21"/>
      <c r="Y93" s="10"/>
      <c r="Z93" s="10"/>
      <c r="AA93" s="10"/>
      <c r="AB93" s="177"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5"/>
      <c r="E94" s="160"/>
      <c r="F94" s="139"/>
      <c r="G94" s="9"/>
      <c r="H94" s="10"/>
      <c r="I94" s="10"/>
      <c r="J94" s="10"/>
      <c r="K94" s="34"/>
      <c r="L94" s="10"/>
      <c r="M94" s="133"/>
      <c r="N94" s="105"/>
      <c r="O94" s="9"/>
      <c r="P94" s="10"/>
      <c r="Q94" s="10"/>
      <c r="R94" s="21"/>
      <c r="S94" s="21"/>
      <c r="T94" s="10"/>
      <c r="U94" s="10"/>
      <c r="V94" s="10"/>
      <c r="W94" s="10"/>
      <c r="X94" s="21"/>
      <c r="Y94" s="10"/>
      <c r="Z94" s="10"/>
      <c r="AA94" s="10"/>
      <c r="AB94" s="177"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5"/>
      <c r="E95" s="160"/>
      <c r="F95" s="139"/>
      <c r="G95" s="9"/>
      <c r="H95" s="10"/>
      <c r="I95" s="10"/>
      <c r="J95" s="10"/>
      <c r="K95" s="34"/>
      <c r="L95" s="10"/>
      <c r="M95" s="133"/>
      <c r="N95" s="105"/>
      <c r="O95" s="9"/>
      <c r="P95" s="10"/>
      <c r="Q95" s="10"/>
      <c r="R95" s="21"/>
      <c r="S95" s="21"/>
      <c r="T95" s="10"/>
      <c r="U95" s="10"/>
      <c r="V95" s="10"/>
      <c r="W95" s="10"/>
      <c r="X95" s="21"/>
      <c r="Y95" s="10"/>
      <c r="Z95" s="10"/>
      <c r="AA95" s="10"/>
      <c r="AB95" s="177"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5"/>
      <c r="E96" s="160"/>
      <c r="F96" s="139"/>
      <c r="G96" s="9"/>
      <c r="H96" s="10"/>
      <c r="I96" s="10"/>
      <c r="J96" s="10"/>
      <c r="K96" s="34"/>
      <c r="L96" s="10"/>
      <c r="M96" s="133"/>
      <c r="N96" s="105"/>
      <c r="O96" s="9"/>
      <c r="P96" s="10"/>
      <c r="Q96" s="10"/>
      <c r="R96" s="21"/>
      <c r="S96" s="21"/>
      <c r="T96" s="10"/>
      <c r="U96" s="10"/>
      <c r="V96" s="10"/>
      <c r="W96" s="10"/>
      <c r="X96" s="21"/>
      <c r="Y96" s="10"/>
      <c r="Z96" s="10"/>
      <c r="AA96" s="10"/>
      <c r="AB96" s="177"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5"/>
      <c r="E97" s="160"/>
      <c r="F97" s="139"/>
      <c r="G97" s="9"/>
      <c r="H97" s="10"/>
      <c r="I97" s="10"/>
      <c r="J97" s="10"/>
      <c r="K97" s="34"/>
      <c r="L97" s="10"/>
      <c r="M97" s="133"/>
      <c r="N97" s="105"/>
      <c r="O97" s="9"/>
      <c r="P97" s="10"/>
      <c r="Q97" s="10"/>
      <c r="R97" s="21"/>
      <c r="S97" s="21"/>
      <c r="T97" s="10"/>
      <c r="U97" s="10"/>
      <c r="V97" s="10"/>
      <c r="W97" s="10"/>
      <c r="X97" s="21"/>
      <c r="Y97" s="10"/>
      <c r="Z97" s="10"/>
      <c r="AA97" s="10"/>
      <c r="AB97" s="177"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5"/>
      <c r="E98" s="160"/>
      <c r="F98" s="139"/>
      <c r="G98" s="9"/>
      <c r="H98" s="10"/>
      <c r="I98" s="10"/>
      <c r="J98" s="10"/>
      <c r="K98" s="34"/>
      <c r="L98" s="10"/>
      <c r="M98" s="133"/>
      <c r="N98" s="105"/>
      <c r="O98" s="9"/>
      <c r="P98" s="10"/>
      <c r="Q98" s="10"/>
      <c r="R98" s="21"/>
      <c r="S98" s="21"/>
      <c r="T98" s="10"/>
      <c r="U98" s="10"/>
      <c r="V98" s="10"/>
      <c r="W98" s="10"/>
      <c r="X98" s="21"/>
      <c r="Y98" s="10"/>
      <c r="Z98" s="10"/>
      <c r="AA98" s="10"/>
      <c r="AB98" s="177"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6"/>
      <c r="E99" s="161"/>
      <c r="F99" s="171"/>
      <c r="G99" s="152"/>
      <c r="H99" s="108"/>
      <c r="I99" s="108"/>
      <c r="J99" s="108"/>
      <c r="K99" s="158"/>
      <c r="L99" s="108"/>
      <c r="M99" s="134"/>
      <c r="N99" s="107"/>
      <c r="O99" s="152"/>
      <c r="P99" s="108"/>
      <c r="Q99" s="108"/>
      <c r="R99" s="142"/>
      <c r="S99" s="142"/>
      <c r="T99" s="108"/>
      <c r="U99" s="108"/>
      <c r="V99" s="108"/>
      <c r="W99" s="108"/>
      <c r="X99" s="142"/>
      <c r="Y99" s="108"/>
      <c r="Z99" s="108"/>
      <c r="AA99" s="108"/>
      <c r="AB99" s="178"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3"/>
      <c r="B2" s="5"/>
      <c r="C2" s="5"/>
      <c r="D2" s="5"/>
      <c r="E2" s="5"/>
      <c r="F2" s="5"/>
      <c r="G2" s="5"/>
      <c r="H2" s="5"/>
      <c r="I2" s="5"/>
      <c r="J2" s="5"/>
      <c r="K2" s="5"/>
      <c r="L2" s="5"/>
      <c r="M2" s="5"/>
      <c r="N2" s="150"/>
    </row>
    <row r="3" spans="1:14" x14ac:dyDescent="0.25">
      <c r="A3" s="143"/>
      <c r="B3" s="5"/>
      <c r="C3" s="5"/>
      <c r="D3" s="5"/>
      <c r="E3" s="5"/>
      <c r="F3" s="5"/>
      <c r="G3" s="5"/>
      <c r="H3" s="5"/>
      <c r="I3" s="5"/>
      <c r="J3" s="5"/>
      <c r="K3" s="5"/>
      <c r="L3" s="5"/>
      <c r="M3" s="5"/>
      <c r="N3" s="150"/>
    </row>
    <row r="4" spans="1:14" x14ac:dyDescent="0.25">
      <c r="A4" s="143"/>
      <c r="B4" s="5"/>
      <c r="C4" s="5"/>
      <c r="D4" s="5"/>
      <c r="E4" s="5"/>
      <c r="F4" s="5"/>
      <c r="G4" s="5"/>
      <c r="H4" s="5"/>
      <c r="I4" s="5"/>
      <c r="J4" s="5"/>
      <c r="K4" s="5"/>
      <c r="L4" s="5"/>
      <c r="M4" s="5"/>
      <c r="N4" s="150"/>
    </row>
    <row r="5" spans="1:14" x14ac:dyDescent="0.25">
      <c r="A5" s="143"/>
      <c r="B5" s="5"/>
      <c r="C5" s="5"/>
      <c r="D5" s="5"/>
      <c r="E5" s="5"/>
      <c r="F5" s="5"/>
      <c r="G5" s="5"/>
      <c r="H5" s="5"/>
      <c r="I5" s="5"/>
      <c r="J5" s="5"/>
      <c r="K5" s="5"/>
      <c r="L5" s="5"/>
      <c r="M5" s="5"/>
      <c r="N5" s="150"/>
    </row>
    <row r="6" spans="1:14" x14ac:dyDescent="0.25">
      <c r="A6" s="143"/>
      <c r="B6" s="5"/>
      <c r="C6" s="5"/>
      <c r="D6" s="5"/>
      <c r="E6" s="5"/>
      <c r="F6" s="5"/>
      <c r="G6" s="5"/>
      <c r="H6" s="5"/>
      <c r="I6" s="5"/>
      <c r="J6" s="5"/>
      <c r="K6" s="5"/>
      <c r="L6" s="5"/>
      <c r="M6" s="5"/>
      <c r="N6" s="150"/>
    </row>
    <row r="7" spans="1:14" x14ac:dyDescent="0.25">
      <c r="A7" s="143"/>
      <c r="B7" s="5"/>
      <c r="C7" s="5"/>
      <c r="D7" s="5"/>
      <c r="E7" s="5"/>
      <c r="F7" s="5"/>
      <c r="G7" s="5"/>
      <c r="H7" s="5"/>
      <c r="I7" s="5"/>
      <c r="J7" s="5"/>
      <c r="K7" s="5"/>
      <c r="L7" s="5"/>
      <c r="M7" s="5"/>
      <c r="N7" s="150"/>
    </row>
    <row r="8" spans="1:14" x14ac:dyDescent="0.25">
      <c r="A8" s="143"/>
      <c r="B8" s="5"/>
      <c r="C8" s="5"/>
      <c r="D8" s="5"/>
      <c r="E8" s="5"/>
      <c r="F8" s="5"/>
      <c r="G8" s="5"/>
      <c r="H8" s="5"/>
      <c r="I8" s="5"/>
      <c r="J8" s="5"/>
      <c r="K8" s="5"/>
      <c r="L8" s="5"/>
      <c r="M8" s="5"/>
      <c r="N8" s="150"/>
    </row>
    <row r="9" spans="1:14" x14ac:dyDescent="0.25">
      <c r="A9" s="143"/>
      <c r="B9" s="5"/>
      <c r="C9" s="5"/>
      <c r="D9" s="5"/>
      <c r="E9" s="5"/>
      <c r="F9" s="5"/>
      <c r="G9" s="5"/>
      <c r="H9" s="5"/>
      <c r="I9" s="5"/>
      <c r="J9" s="5"/>
      <c r="K9" s="5"/>
      <c r="L9" s="5"/>
      <c r="M9" s="5"/>
      <c r="N9" s="150"/>
    </row>
    <row r="10" spans="1:14" x14ac:dyDescent="0.25">
      <c r="A10" s="143"/>
      <c r="B10" s="5"/>
      <c r="C10" s="5"/>
      <c r="D10" s="5"/>
      <c r="E10" s="5"/>
      <c r="F10" s="5"/>
      <c r="G10" s="5"/>
      <c r="H10" s="5"/>
      <c r="I10" s="5"/>
      <c r="J10" s="5"/>
      <c r="K10" s="5"/>
      <c r="L10" s="5"/>
      <c r="M10" s="5"/>
      <c r="N10" s="150"/>
    </row>
    <row r="11" spans="1:14" x14ac:dyDescent="0.25">
      <c r="A11" s="143"/>
      <c r="B11" s="5"/>
      <c r="C11" s="5"/>
      <c r="D11" s="5"/>
      <c r="E11" s="5"/>
      <c r="F11" s="5"/>
      <c r="G11" s="5"/>
      <c r="H11" s="5"/>
      <c r="I11" s="5"/>
      <c r="J11" s="5"/>
      <c r="K11" s="5"/>
      <c r="L11" s="5"/>
      <c r="M11" s="5"/>
      <c r="N11" s="150"/>
    </row>
    <row r="12" spans="1:14" x14ac:dyDescent="0.25">
      <c r="A12" s="143"/>
      <c r="B12" s="5"/>
      <c r="C12" s="5"/>
      <c r="D12" s="5"/>
      <c r="E12" s="5"/>
      <c r="F12" s="5"/>
      <c r="G12" s="5"/>
      <c r="H12" s="5"/>
      <c r="I12" s="5"/>
      <c r="J12" s="5"/>
      <c r="K12" s="5"/>
      <c r="L12" s="5"/>
      <c r="M12" s="5"/>
      <c r="N12" s="150"/>
    </row>
    <row r="13" spans="1:14" x14ac:dyDescent="0.25">
      <c r="A13" s="143"/>
      <c r="B13" s="5"/>
      <c r="C13" s="5"/>
      <c r="D13" s="5"/>
      <c r="E13" s="5"/>
      <c r="F13" s="5"/>
      <c r="G13" s="5"/>
      <c r="H13" s="5"/>
      <c r="I13" s="5"/>
      <c r="J13" s="5"/>
      <c r="K13" s="5"/>
      <c r="L13" s="5"/>
      <c r="M13" s="5"/>
      <c r="N13" s="150"/>
    </row>
    <row r="14" spans="1:14" x14ac:dyDescent="0.25">
      <c r="A14" s="143"/>
      <c r="B14" s="5"/>
      <c r="C14" s="5"/>
      <c r="D14" s="5"/>
      <c r="E14" s="5"/>
      <c r="F14" s="5"/>
      <c r="G14" s="5"/>
      <c r="H14" s="5"/>
      <c r="I14" s="5"/>
      <c r="J14" s="5"/>
      <c r="K14" s="5"/>
      <c r="L14" s="5"/>
      <c r="M14" s="5"/>
      <c r="N14" s="150"/>
    </row>
    <row r="15" spans="1:14" x14ac:dyDescent="0.25">
      <c r="A15" s="143"/>
      <c r="B15" s="5"/>
      <c r="C15" s="5"/>
      <c r="D15" s="5"/>
      <c r="E15" s="5"/>
      <c r="F15" s="5"/>
      <c r="G15" s="5"/>
      <c r="H15" s="5"/>
      <c r="I15" s="5"/>
      <c r="J15" s="5"/>
      <c r="K15" s="5"/>
      <c r="L15" s="5"/>
      <c r="M15" s="5"/>
      <c r="N15" s="150"/>
    </row>
    <row r="16" spans="1:14" x14ac:dyDescent="0.25">
      <c r="A16" s="143"/>
      <c r="B16" s="5"/>
      <c r="C16" s="5"/>
      <c r="D16" s="5"/>
      <c r="E16" s="5"/>
      <c r="F16" s="5"/>
      <c r="G16" s="5"/>
      <c r="H16" s="5"/>
      <c r="I16" s="5"/>
      <c r="J16" s="5"/>
      <c r="K16" s="5"/>
      <c r="L16" s="5"/>
      <c r="M16" s="5"/>
      <c r="N16" s="150"/>
    </row>
    <row r="17" spans="1:14" x14ac:dyDescent="0.25">
      <c r="A17" s="143"/>
      <c r="B17" s="5"/>
      <c r="C17" s="5"/>
      <c r="D17" s="5"/>
      <c r="E17" s="5"/>
      <c r="F17" s="5"/>
      <c r="G17" s="5"/>
      <c r="H17" s="5"/>
      <c r="I17" s="5"/>
      <c r="J17" s="5"/>
      <c r="K17" s="5"/>
      <c r="L17" s="5"/>
      <c r="M17" s="5"/>
      <c r="N17" s="150"/>
    </row>
    <row r="18" spans="1:14" x14ac:dyDescent="0.25">
      <c r="A18" s="143"/>
      <c r="B18" s="5"/>
      <c r="C18" s="5"/>
      <c r="D18" s="5"/>
      <c r="E18" s="5"/>
      <c r="F18" s="5"/>
      <c r="G18" s="5"/>
      <c r="H18" s="5"/>
      <c r="I18" s="5"/>
      <c r="J18" s="5"/>
      <c r="K18" s="5"/>
      <c r="L18" s="5"/>
      <c r="M18" s="5"/>
      <c r="N18" s="150"/>
    </row>
    <row r="19" spans="1:14" x14ac:dyDescent="0.25">
      <c r="A19" s="143"/>
      <c r="B19" s="5"/>
      <c r="C19" s="5"/>
      <c r="D19" s="5"/>
      <c r="E19" s="5"/>
      <c r="F19" s="5"/>
      <c r="G19" s="5"/>
      <c r="H19" s="5"/>
      <c r="I19" s="5"/>
      <c r="J19" s="5"/>
      <c r="K19" s="5"/>
      <c r="L19" s="5"/>
      <c r="M19" s="5"/>
      <c r="N19" s="150"/>
    </row>
    <row r="20" spans="1:14" x14ac:dyDescent="0.25">
      <c r="A20" s="143"/>
      <c r="B20" s="5"/>
      <c r="C20" s="5"/>
      <c r="D20" s="5"/>
      <c r="E20" s="5"/>
      <c r="F20" s="5"/>
      <c r="G20" s="5"/>
      <c r="H20" s="5"/>
      <c r="I20" s="5"/>
      <c r="J20" s="5"/>
      <c r="K20" s="5"/>
      <c r="L20" s="5"/>
      <c r="M20" s="5"/>
      <c r="N20" s="150"/>
    </row>
    <row r="21" spans="1:14" x14ac:dyDescent="0.25">
      <c r="A21" s="143"/>
      <c r="B21" s="5"/>
      <c r="C21" s="5"/>
      <c r="D21" s="5"/>
      <c r="E21" s="5"/>
      <c r="F21" s="5"/>
      <c r="G21" s="5"/>
      <c r="H21" s="5"/>
      <c r="I21" s="5"/>
      <c r="J21" s="5"/>
      <c r="K21" s="5"/>
      <c r="L21" s="5"/>
      <c r="M21" s="5"/>
      <c r="N21" s="150"/>
    </row>
    <row r="22" spans="1:14" x14ac:dyDescent="0.25">
      <c r="A22" s="143"/>
      <c r="B22" s="5"/>
      <c r="C22" s="5"/>
      <c r="D22" s="5"/>
      <c r="E22" s="5"/>
      <c r="F22" s="5"/>
      <c r="G22" s="5"/>
      <c r="H22" s="5"/>
      <c r="I22" s="5"/>
      <c r="J22" s="5"/>
      <c r="K22" s="5"/>
      <c r="L22" s="5"/>
      <c r="M22" s="5"/>
      <c r="N22" s="150"/>
    </row>
    <row r="23" spans="1:14" x14ac:dyDescent="0.25">
      <c r="A23" s="143"/>
      <c r="B23" s="5"/>
      <c r="C23" s="5"/>
      <c r="D23" s="5"/>
      <c r="E23" s="5"/>
      <c r="F23" s="5"/>
      <c r="G23" s="5"/>
      <c r="H23" s="5"/>
      <c r="I23" s="5"/>
      <c r="J23" s="5"/>
      <c r="K23" s="5"/>
      <c r="L23" s="5"/>
      <c r="M23" s="5"/>
      <c r="N23" s="150"/>
    </row>
    <row r="24" spans="1:14" x14ac:dyDescent="0.25">
      <c r="A24" s="143"/>
      <c r="B24" s="5"/>
      <c r="C24" s="5"/>
      <c r="D24" s="5"/>
      <c r="E24" s="5"/>
      <c r="F24" s="5"/>
      <c r="G24" s="5"/>
      <c r="H24" s="5"/>
      <c r="I24" s="5"/>
      <c r="J24" s="5"/>
      <c r="K24" s="5"/>
      <c r="L24" s="5"/>
      <c r="M24" s="5"/>
      <c r="N24" s="150"/>
    </row>
    <row r="25" spans="1:14" x14ac:dyDescent="0.25">
      <c r="A25" s="143"/>
      <c r="B25" s="5"/>
      <c r="C25" s="5"/>
      <c r="D25" s="5"/>
      <c r="E25" s="5"/>
      <c r="F25" s="5"/>
      <c r="G25" s="5"/>
      <c r="H25" s="5"/>
      <c r="I25" s="5"/>
      <c r="J25" s="5"/>
      <c r="K25" s="5"/>
      <c r="L25" s="5"/>
      <c r="M25" s="5"/>
      <c r="N25" s="150"/>
    </row>
    <row r="26" spans="1:14" x14ac:dyDescent="0.25">
      <c r="A26" s="143"/>
      <c r="B26" s="5"/>
      <c r="C26" s="5"/>
      <c r="D26" s="5"/>
      <c r="E26" s="5"/>
      <c r="F26" s="5"/>
      <c r="G26" s="5"/>
      <c r="H26" s="5"/>
      <c r="I26" s="5"/>
      <c r="J26" s="5"/>
      <c r="K26" s="5"/>
      <c r="L26" s="5"/>
      <c r="M26" s="5"/>
      <c r="N26" s="150"/>
    </row>
    <row r="27" spans="1:14" x14ac:dyDescent="0.25">
      <c r="A27" s="143"/>
      <c r="B27" s="5"/>
      <c r="C27" s="5"/>
      <c r="D27" s="5"/>
      <c r="E27" s="5"/>
      <c r="F27" s="5"/>
      <c r="G27" s="5"/>
      <c r="H27" s="5"/>
      <c r="I27" s="5"/>
      <c r="J27" s="5"/>
      <c r="K27" s="5"/>
      <c r="L27" s="5"/>
      <c r="M27" s="5"/>
      <c r="N27" s="150"/>
    </row>
    <row r="28" spans="1:14" x14ac:dyDescent="0.25">
      <c r="A28" s="143"/>
      <c r="B28" s="5"/>
      <c r="C28" s="5"/>
      <c r="D28" s="5"/>
      <c r="E28" s="5"/>
      <c r="F28" s="5"/>
      <c r="G28" s="5"/>
      <c r="H28" s="5"/>
      <c r="I28" s="5"/>
      <c r="J28" s="5"/>
      <c r="K28" s="5"/>
      <c r="L28" s="5"/>
      <c r="M28" s="5"/>
      <c r="N28" s="150"/>
    </row>
    <row r="29" spans="1:14" x14ac:dyDescent="0.25">
      <c r="A29" s="143"/>
      <c r="B29" s="5"/>
      <c r="C29" s="5"/>
      <c r="D29" s="5"/>
      <c r="E29" s="5"/>
      <c r="F29" s="5"/>
      <c r="G29" s="5"/>
      <c r="H29" s="5"/>
      <c r="I29" s="5"/>
      <c r="J29" s="5"/>
      <c r="K29" s="5"/>
      <c r="L29" s="5"/>
      <c r="M29" s="5"/>
      <c r="N29" s="150"/>
    </row>
    <row r="30" spans="1:14" x14ac:dyDescent="0.25">
      <c r="A30" s="143"/>
      <c r="B30" s="5"/>
      <c r="C30" s="5"/>
      <c r="D30" s="5"/>
      <c r="E30" s="5"/>
      <c r="F30" s="5"/>
      <c r="G30" s="5"/>
      <c r="H30" s="5"/>
      <c r="I30" s="5"/>
      <c r="J30" s="5"/>
      <c r="K30" s="5"/>
      <c r="L30" s="5"/>
      <c r="M30" s="5"/>
      <c r="N30" s="150"/>
    </row>
    <row r="31" spans="1:14" x14ac:dyDescent="0.25">
      <c r="A31" s="143"/>
      <c r="B31" s="5"/>
      <c r="C31" s="5"/>
      <c r="D31" s="5"/>
      <c r="E31" s="5"/>
      <c r="F31" s="5"/>
      <c r="G31" s="5"/>
      <c r="H31" s="5"/>
      <c r="I31" s="5"/>
      <c r="J31" s="5"/>
      <c r="K31" s="5"/>
      <c r="L31" s="5"/>
      <c r="M31" s="5"/>
      <c r="N31" s="150"/>
    </row>
    <row r="32" spans="1:14" x14ac:dyDescent="0.25">
      <c r="A32" s="143"/>
      <c r="B32" s="5"/>
      <c r="C32" s="5"/>
      <c r="D32" s="5"/>
      <c r="E32" s="5"/>
      <c r="F32" s="5"/>
      <c r="G32" s="5"/>
      <c r="H32" s="5"/>
      <c r="I32" s="5"/>
      <c r="J32" s="5"/>
      <c r="K32" s="5"/>
      <c r="L32" s="5"/>
      <c r="M32" s="5"/>
      <c r="N32" s="150"/>
    </row>
    <row r="33" spans="1:14" x14ac:dyDescent="0.25">
      <c r="A33" s="143"/>
      <c r="B33" s="5"/>
      <c r="C33" s="5"/>
      <c r="D33" s="5"/>
      <c r="E33" s="5"/>
      <c r="F33" s="5"/>
      <c r="G33" s="5"/>
      <c r="H33" s="5"/>
      <c r="I33" s="5"/>
      <c r="J33" s="5"/>
      <c r="K33" s="5"/>
      <c r="L33" s="5"/>
      <c r="M33" s="5"/>
      <c r="N33" s="150"/>
    </row>
    <row r="34" spans="1:14" x14ac:dyDescent="0.25">
      <c r="A34" s="143"/>
      <c r="B34" s="5"/>
      <c r="C34" s="5"/>
      <c r="D34" s="5"/>
      <c r="E34" s="5"/>
      <c r="F34" s="5"/>
      <c r="G34" s="5"/>
      <c r="H34" s="5"/>
      <c r="I34" s="5"/>
      <c r="J34" s="5"/>
      <c r="K34" s="5"/>
      <c r="L34" s="5"/>
      <c r="M34" s="5"/>
      <c r="N34" s="150"/>
    </row>
    <row r="35" spans="1:14" x14ac:dyDescent="0.25">
      <c r="A35" s="143"/>
      <c r="B35" s="5"/>
      <c r="C35" s="5"/>
      <c r="D35" s="5"/>
      <c r="E35" s="5"/>
      <c r="F35" s="5"/>
      <c r="G35" s="5"/>
      <c r="H35" s="5"/>
      <c r="I35" s="5"/>
      <c r="J35" s="5"/>
      <c r="K35" s="5"/>
      <c r="L35" s="5"/>
      <c r="M35" s="5"/>
      <c r="N35" s="150"/>
    </row>
    <row r="36" spans="1:14" x14ac:dyDescent="0.25">
      <c r="A36" s="143"/>
      <c r="B36" s="5"/>
      <c r="C36" s="5"/>
      <c r="D36" s="5"/>
      <c r="E36" s="5"/>
      <c r="F36" s="5"/>
      <c r="G36" s="5"/>
      <c r="H36" s="5"/>
      <c r="I36" s="5"/>
      <c r="J36" s="5"/>
      <c r="K36" s="5"/>
      <c r="L36" s="5"/>
      <c r="M36" s="5"/>
      <c r="N36" s="150"/>
    </row>
    <row r="37" spans="1:14" x14ac:dyDescent="0.25">
      <c r="A37" s="143"/>
      <c r="B37" s="5"/>
      <c r="C37" s="5"/>
      <c r="D37" s="5"/>
      <c r="E37" s="5"/>
      <c r="F37" s="5"/>
      <c r="G37" s="5"/>
      <c r="H37" s="5"/>
      <c r="I37" s="5"/>
      <c r="J37" s="5"/>
      <c r="K37" s="5"/>
      <c r="L37" s="5"/>
      <c r="M37" s="5"/>
      <c r="N37" s="150"/>
    </row>
    <row r="38" spans="1:14" x14ac:dyDescent="0.25">
      <c r="A38" s="143"/>
      <c r="B38" s="5"/>
      <c r="C38" s="5"/>
      <c r="D38" s="5"/>
      <c r="E38" s="5"/>
      <c r="F38" s="5"/>
      <c r="G38" s="5"/>
      <c r="H38" s="5"/>
      <c r="I38" s="5"/>
      <c r="J38" s="5"/>
      <c r="K38" s="5"/>
      <c r="L38" s="5"/>
      <c r="M38" s="5"/>
      <c r="N38" s="150"/>
    </row>
    <row r="39" spans="1:14" x14ac:dyDescent="0.25">
      <c r="A39" s="143"/>
      <c r="B39" s="5"/>
      <c r="C39" s="5"/>
      <c r="D39" s="5"/>
      <c r="E39" s="5"/>
      <c r="F39" s="5"/>
      <c r="G39" s="5"/>
      <c r="H39" s="5"/>
      <c r="I39" s="5"/>
      <c r="J39" s="5"/>
      <c r="K39" s="5"/>
      <c r="L39" s="5"/>
      <c r="M39" s="5"/>
      <c r="N39" s="150"/>
    </row>
    <row r="40" spans="1:14" x14ac:dyDescent="0.25">
      <c r="A40" s="143"/>
      <c r="B40" s="5"/>
      <c r="C40" s="5"/>
      <c r="D40" s="5"/>
      <c r="E40" s="5"/>
      <c r="F40" s="5"/>
      <c r="G40" s="5"/>
      <c r="H40" s="5"/>
      <c r="I40" s="5"/>
      <c r="J40" s="5"/>
      <c r="K40" s="5"/>
      <c r="L40" s="5"/>
      <c r="M40" s="5"/>
      <c r="N40" s="150"/>
    </row>
    <row r="41" spans="1:14" x14ac:dyDescent="0.25">
      <c r="A41" s="143"/>
      <c r="B41" s="5"/>
      <c r="C41" s="5"/>
      <c r="D41" s="5"/>
      <c r="E41" s="5"/>
      <c r="F41" s="5"/>
      <c r="G41" s="5"/>
      <c r="H41" s="5"/>
      <c r="I41" s="5"/>
      <c r="J41" s="5"/>
      <c r="K41" s="5"/>
      <c r="L41" s="5"/>
      <c r="M41" s="5"/>
      <c r="N41" s="150"/>
    </row>
    <row r="42" spans="1:14" x14ac:dyDescent="0.25">
      <c r="A42" s="143"/>
      <c r="B42" s="5"/>
      <c r="C42" s="5"/>
      <c r="D42" s="5"/>
      <c r="E42" s="5"/>
      <c r="F42" s="5"/>
      <c r="G42" s="5"/>
      <c r="H42" s="5"/>
      <c r="I42" s="5"/>
      <c r="J42" s="5"/>
      <c r="K42" s="5"/>
      <c r="L42" s="5"/>
      <c r="M42" s="5"/>
      <c r="N42" s="150"/>
    </row>
    <row r="43" spans="1:14" x14ac:dyDescent="0.25">
      <c r="A43" s="143"/>
      <c r="B43" s="5"/>
      <c r="C43" s="5"/>
      <c r="D43" s="5"/>
      <c r="E43" s="5"/>
      <c r="F43" s="5"/>
      <c r="G43" s="5"/>
      <c r="H43" s="5"/>
      <c r="I43" s="5"/>
      <c r="J43" s="5"/>
      <c r="K43" s="5"/>
      <c r="L43" s="5"/>
      <c r="M43" s="5"/>
      <c r="N43" s="150"/>
    </row>
    <row r="44" spans="1:14" x14ac:dyDescent="0.25">
      <c r="A44" s="143"/>
      <c r="B44" s="5"/>
      <c r="C44" s="5"/>
      <c r="D44" s="5"/>
      <c r="E44" s="5"/>
      <c r="F44" s="5"/>
      <c r="G44" s="5"/>
      <c r="H44" s="5"/>
      <c r="I44" s="5"/>
      <c r="J44" s="5"/>
      <c r="K44" s="5"/>
      <c r="L44" s="5"/>
      <c r="M44" s="5"/>
      <c r="N44" s="150"/>
    </row>
    <row r="45" spans="1:14" x14ac:dyDescent="0.25">
      <c r="A45" s="143"/>
      <c r="B45" s="5"/>
      <c r="C45" s="5"/>
      <c r="D45" s="5"/>
      <c r="E45" s="5"/>
      <c r="F45" s="5"/>
      <c r="G45" s="5"/>
      <c r="H45" s="5"/>
      <c r="I45" s="5"/>
      <c r="J45" s="5"/>
      <c r="K45" s="5"/>
      <c r="L45" s="5"/>
      <c r="M45" s="5"/>
      <c r="N45" s="150"/>
    </row>
    <row r="46" spans="1:14" x14ac:dyDescent="0.25">
      <c r="A46" s="143"/>
      <c r="B46" s="5"/>
      <c r="C46" s="5"/>
      <c r="D46" s="5"/>
      <c r="E46" s="5"/>
      <c r="F46" s="5"/>
      <c r="G46" s="5"/>
      <c r="H46" s="5"/>
      <c r="I46" s="5"/>
      <c r="J46" s="5"/>
      <c r="K46" s="5"/>
      <c r="L46" s="5"/>
      <c r="M46" s="5"/>
      <c r="N46" s="150"/>
    </row>
    <row r="47" spans="1:14" x14ac:dyDescent="0.25">
      <c r="A47" s="143"/>
      <c r="B47" s="5"/>
      <c r="C47" s="5"/>
      <c r="D47" s="5"/>
      <c r="E47" s="5"/>
      <c r="F47" s="5"/>
      <c r="G47" s="5"/>
      <c r="H47" s="5"/>
      <c r="I47" s="5"/>
      <c r="J47" s="5"/>
      <c r="K47" s="5"/>
      <c r="L47" s="5"/>
      <c r="M47" s="5"/>
      <c r="N47" s="150"/>
    </row>
    <row r="48" spans="1:14" x14ac:dyDescent="0.25">
      <c r="A48" s="143"/>
      <c r="B48" s="5"/>
      <c r="C48" s="5"/>
      <c r="D48" s="5"/>
      <c r="E48" s="5"/>
      <c r="F48" s="5"/>
      <c r="G48" s="5"/>
      <c r="H48" s="5"/>
      <c r="I48" s="5"/>
      <c r="J48" s="5"/>
      <c r="K48" s="5"/>
      <c r="L48" s="5"/>
      <c r="M48" s="5"/>
      <c r="N48" s="150"/>
    </row>
    <row r="49" spans="1:14" x14ac:dyDescent="0.25">
      <c r="A49" s="143"/>
      <c r="B49" s="5"/>
      <c r="C49" s="5"/>
      <c r="D49" s="5"/>
      <c r="E49" s="5"/>
      <c r="F49" s="5"/>
      <c r="G49" s="5"/>
      <c r="H49" s="5"/>
      <c r="I49" s="5"/>
      <c r="J49" s="5"/>
      <c r="K49" s="5"/>
      <c r="L49" s="5"/>
      <c r="M49" s="5"/>
      <c r="N49" s="150"/>
    </row>
    <row r="50" spans="1:14" x14ac:dyDescent="0.25">
      <c r="A50" s="143"/>
      <c r="B50" s="5"/>
      <c r="C50" s="5"/>
      <c r="D50" s="5"/>
      <c r="E50" s="5"/>
      <c r="F50" s="5"/>
      <c r="G50" s="5"/>
      <c r="H50" s="5"/>
      <c r="I50" s="5"/>
      <c r="J50" s="5"/>
      <c r="K50" s="5"/>
      <c r="L50" s="5"/>
      <c r="M50" s="5"/>
      <c r="N50" s="150"/>
    </row>
    <row r="51" spans="1:14" x14ac:dyDescent="0.25">
      <c r="A51" s="143"/>
      <c r="B51" s="5"/>
      <c r="C51" s="5"/>
      <c r="D51" s="5"/>
      <c r="E51" s="5"/>
      <c r="F51" s="5"/>
      <c r="G51" s="5"/>
      <c r="H51" s="5"/>
      <c r="I51" s="5"/>
      <c r="J51" s="5"/>
      <c r="K51" s="5"/>
      <c r="L51" s="5"/>
      <c r="M51" s="5"/>
      <c r="N51" s="150"/>
    </row>
    <row r="52" spans="1:14" x14ac:dyDescent="0.25">
      <c r="A52" s="143"/>
      <c r="B52" s="5"/>
      <c r="C52" s="5"/>
      <c r="D52" s="5"/>
      <c r="E52" s="5"/>
      <c r="F52" s="5"/>
      <c r="G52" s="5"/>
      <c r="H52" s="5"/>
      <c r="I52" s="5"/>
      <c r="J52" s="5"/>
      <c r="K52" s="5"/>
      <c r="L52" s="5"/>
      <c r="M52" s="5"/>
      <c r="N52" s="150"/>
    </row>
    <row r="53" spans="1:14" x14ac:dyDescent="0.25">
      <c r="A53" s="143"/>
      <c r="B53" s="5"/>
      <c r="C53" s="5"/>
      <c r="D53" s="5"/>
      <c r="E53" s="5"/>
      <c r="F53" s="5"/>
      <c r="G53" s="5"/>
      <c r="H53" s="5"/>
      <c r="I53" s="5"/>
      <c r="J53" s="5"/>
      <c r="K53" s="5"/>
      <c r="L53" s="5"/>
      <c r="M53" s="5"/>
      <c r="N53" s="150"/>
    </row>
    <row r="54" spans="1:14" x14ac:dyDescent="0.25">
      <c r="A54" s="143"/>
      <c r="B54" s="5"/>
      <c r="C54" s="5"/>
      <c r="D54" s="5"/>
      <c r="E54" s="5"/>
      <c r="F54" s="5"/>
      <c r="G54" s="5"/>
      <c r="H54" s="5"/>
      <c r="I54" s="5"/>
      <c r="J54" s="5"/>
      <c r="K54" s="5"/>
      <c r="L54" s="5"/>
      <c r="M54" s="5"/>
      <c r="N54" s="150"/>
    </row>
    <row r="55" spans="1:14" x14ac:dyDescent="0.25">
      <c r="A55" s="143"/>
      <c r="B55" s="5"/>
      <c r="C55" s="5"/>
      <c r="D55" s="5"/>
      <c r="E55" s="5"/>
      <c r="F55" s="5"/>
      <c r="G55" s="5"/>
      <c r="H55" s="5"/>
      <c r="I55" s="5"/>
      <c r="J55" s="5"/>
      <c r="K55" s="5"/>
      <c r="L55" s="5"/>
      <c r="M55" s="5"/>
      <c r="N55" s="150"/>
    </row>
    <row r="56" spans="1:14" x14ac:dyDescent="0.25">
      <c r="A56" s="143"/>
      <c r="B56" s="5"/>
      <c r="C56" s="5"/>
      <c r="D56" s="5"/>
      <c r="E56" s="5"/>
      <c r="F56" s="5"/>
      <c r="G56" s="5"/>
      <c r="H56" s="5"/>
      <c r="I56" s="5"/>
      <c r="J56" s="5"/>
      <c r="K56" s="5"/>
      <c r="L56" s="5"/>
      <c r="M56" s="5"/>
      <c r="N56" s="150"/>
    </row>
    <row r="57" spans="1:14" x14ac:dyDescent="0.25">
      <c r="A57" s="143"/>
      <c r="B57" s="5"/>
      <c r="C57" s="5"/>
      <c r="D57" s="5"/>
      <c r="E57" s="5"/>
      <c r="F57" s="5"/>
      <c r="G57" s="5"/>
      <c r="H57" s="5"/>
      <c r="I57" s="5"/>
      <c r="J57" s="5"/>
      <c r="K57" s="5"/>
      <c r="L57" s="5"/>
      <c r="M57" s="5"/>
      <c r="N57" s="150"/>
    </row>
    <row r="58" spans="1:14" x14ac:dyDescent="0.25">
      <c r="A58" s="143"/>
      <c r="B58" s="5"/>
      <c r="C58" s="5"/>
      <c r="D58" s="5"/>
      <c r="E58" s="5"/>
      <c r="F58" s="5"/>
      <c r="G58" s="5"/>
      <c r="H58" s="5"/>
      <c r="I58" s="5"/>
      <c r="J58" s="5"/>
      <c r="K58" s="5"/>
      <c r="L58" s="5"/>
      <c r="M58" s="5"/>
      <c r="N58" s="150"/>
    </row>
    <row r="59" spans="1:14" x14ac:dyDescent="0.25">
      <c r="A59" s="143"/>
      <c r="B59" s="5"/>
      <c r="C59" s="5"/>
      <c r="D59" s="5"/>
      <c r="E59" s="5"/>
      <c r="F59" s="5"/>
      <c r="G59" s="5"/>
      <c r="H59" s="5"/>
      <c r="I59" s="5"/>
      <c r="J59" s="5"/>
      <c r="K59" s="5"/>
      <c r="L59" s="5"/>
      <c r="M59" s="5"/>
      <c r="N59" s="150"/>
    </row>
    <row r="60" spans="1:14" x14ac:dyDescent="0.25">
      <c r="A60" s="143"/>
      <c r="B60" s="5"/>
      <c r="C60" s="5"/>
      <c r="D60" s="5"/>
      <c r="E60" s="5"/>
      <c r="F60" s="5"/>
      <c r="G60" s="5"/>
      <c r="H60" s="5"/>
      <c r="I60" s="5"/>
      <c r="J60" s="5"/>
      <c r="K60" s="5"/>
      <c r="L60" s="5"/>
      <c r="M60" s="5"/>
      <c r="N60" s="150"/>
    </row>
    <row r="61" spans="1:14" x14ac:dyDescent="0.25">
      <c r="A61" s="143"/>
      <c r="B61" s="5"/>
      <c r="C61" s="5"/>
      <c r="D61" s="5"/>
      <c r="E61" s="5"/>
      <c r="F61" s="5"/>
      <c r="G61" s="5"/>
      <c r="H61" s="5"/>
      <c r="I61" s="5"/>
      <c r="J61" s="5"/>
      <c r="K61" s="5"/>
      <c r="L61" s="5"/>
      <c r="M61" s="5"/>
      <c r="N61" s="150"/>
    </row>
    <row r="62" spans="1:14" x14ac:dyDescent="0.25">
      <c r="A62" s="143"/>
      <c r="B62" s="5"/>
      <c r="C62" s="5"/>
      <c r="D62" s="5"/>
      <c r="E62" s="5"/>
      <c r="F62" s="5"/>
      <c r="G62" s="5"/>
      <c r="H62" s="5"/>
      <c r="I62" s="5"/>
      <c r="J62" s="5"/>
      <c r="K62" s="5"/>
      <c r="L62" s="5"/>
      <c r="M62" s="5"/>
      <c r="N62" s="150"/>
    </row>
    <row r="63" spans="1:14" x14ac:dyDescent="0.25">
      <c r="A63" s="143"/>
      <c r="B63" s="5"/>
      <c r="C63" s="5"/>
      <c r="D63" s="5"/>
      <c r="E63" s="5"/>
      <c r="F63" s="5"/>
      <c r="G63" s="5"/>
      <c r="H63" s="5"/>
      <c r="I63" s="5"/>
      <c r="J63" s="5"/>
      <c r="K63" s="5"/>
      <c r="L63" s="5"/>
      <c r="M63" s="5"/>
      <c r="N63" s="150"/>
    </row>
    <row r="64" spans="1:14" x14ac:dyDescent="0.25">
      <c r="A64" s="143"/>
      <c r="B64" s="5"/>
      <c r="C64" s="5"/>
      <c r="D64" s="5"/>
      <c r="E64" s="5"/>
      <c r="F64" s="5"/>
      <c r="G64" s="5"/>
      <c r="H64" s="5"/>
      <c r="I64" s="5"/>
      <c r="J64" s="5"/>
      <c r="K64" s="5"/>
      <c r="L64" s="5"/>
      <c r="M64" s="5"/>
      <c r="N64" s="150"/>
    </row>
    <row r="65" spans="1:14" x14ac:dyDescent="0.25">
      <c r="A65" s="143"/>
      <c r="B65" s="5"/>
      <c r="C65" s="5"/>
      <c r="D65" s="5"/>
      <c r="E65" s="5"/>
      <c r="F65" s="5"/>
      <c r="G65" s="5"/>
      <c r="H65" s="5"/>
      <c r="I65" s="5"/>
      <c r="J65" s="5"/>
      <c r="K65" s="5"/>
      <c r="L65" s="5"/>
      <c r="M65" s="5"/>
      <c r="N65" s="150"/>
    </row>
    <row r="66" spans="1:14" x14ac:dyDescent="0.25">
      <c r="A66" s="143"/>
      <c r="B66" s="5"/>
      <c r="C66" s="5"/>
      <c r="D66" s="5"/>
      <c r="E66" s="5"/>
      <c r="F66" s="5"/>
      <c r="G66" s="5"/>
      <c r="H66" s="5"/>
      <c r="I66" s="5"/>
      <c r="J66" s="5"/>
      <c r="K66" s="5"/>
      <c r="L66" s="5"/>
      <c r="M66" s="5"/>
      <c r="N66" s="150"/>
    </row>
    <row r="67" spans="1:14" x14ac:dyDescent="0.25">
      <c r="A67" s="143"/>
      <c r="B67" s="5"/>
      <c r="C67" s="5"/>
      <c r="D67" s="5"/>
      <c r="E67" s="5"/>
      <c r="F67" s="5"/>
      <c r="G67" s="5"/>
      <c r="H67" s="5"/>
      <c r="I67" s="5"/>
      <c r="J67" s="5"/>
      <c r="K67" s="5"/>
      <c r="L67" s="5"/>
      <c r="M67" s="5"/>
      <c r="N67" s="150"/>
    </row>
    <row r="68" spans="1:14" x14ac:dyDescent="0.25">
      <c r="A68" s="143"/>
      <c r="B68" s="5"/>
      <c r="C68" s="5"/>
      <c r="D68" s="5"/>
      <c r="E68" s="5"/>
      <c r="F68" s="5"/>
      <c r="G68" s="5"/>
      <c r="H68" s="5"/>
      <c r="I68" s="5"/>
      <c r="J68" s="5"/>
      <c r="K68" s="5"/>
      <c r="L68" s="5"/>
      <c r="M68" s="5"/>
      <c r="N68" s="150"/>
    </row>
    <row r="69" spans="1:14" x14ac:dyDescent="0.25">
      <c r="A69" s="143"/>
      <c r="B69" s="5"/>
      <c r="C69" s="5"/>
      <c r="D69" s="5"/>
      <c r="E69" s="5"/>
      <c r="F69" s="5"/>
      <c r="G69" s="5"/>
      <c r="H69" s="5"/>
      <c r="I69" s="5"/>
      <c r="J69" s="5"/>
      <c r="K69" s="5"/>
      <c r="L69" s="5"/>
      <c r="M69" s="5"/>
      <c r="N69" s="150"/>
    </row>
    <row r="70" spans="1:14" x14ac:dyDescent="0.25">
      <c r="A70" s="143"/>
      <c r="B70" s="5"/>
      <c r="C70" s="5"/>
      <c r="D70" s="5"/>
      <c r="E70" s="5"/>
      <c r="F70" s="5"/>
      <c r="G70" s="5"/>
      <c r="H70" s="5"/>
      <c r="I70" s="5"/>
      <c r="J70" s="5"/>
      <c r="K70" s="5"/>
      <c r="L70" s="5"/>
      <c r="M70" s="5"/>
      <c r="N70" s="150"/>
    </row>
    <row r="71" spans="1:14" x14ac:dyDescent="0.25">
      <c r="A71" s="143"/>
      <c r="B71" s="5"/>
      <c r="C71" s="5"/>
      <c r="D71" s="5"/>
      <c r="E71" s="5"/>
      <c r="F71" s="5"/>
      <c r="G71" s="5"/>
      <c r="H71" s="5"/>
      <c r="I71" s="5"/>
      <c r="J71" s="5"/>
      <c r="K71" s="5"/>
      <c r="L71" s="5"/>
      <c r="M71" s="5"/>
      <c r="N71" s="150"/>
    </row>
    <row r="72" spans="1:14" x14ac:dyDescent="0.25">
      <c r="A72" s="143"/>
      <c r="B72" s="5"/>
      <c r="C72" s="5"/>
      <c r="D72" s="5"/>
      <c r="E72" s="5"/>
      <c r="F72" s="5"/>
      <c r="G72" s="5"/>
      <c r="H72" s="5"/>
      <c r="I72" s="5"/>
      <c r="J72" s="5"/>
      <c r="K72" s="5"/>
      <c r="L72" s="5"/>
      <c r="M72" s="5"/>
      <c r="N72" s="150"/>
    </row>
    <row r="73" spans="1:14" x14ac:dyDescent="0.25">
      <c r="A73" s="143"/>
      <c r="B73" s="5"/>
      <c r="C73" s="5"/>
      <c r="D73" s="5"/>
      <c r="E73" s="5"/>
      <c r="F73" s="5"/>
      <c r="G73" s="5"/>
      <c r="H73" s="5"/>
      <c r="I73" s="5"/>
      <c r="J73" s="5"/>
      <c r="K73" s="5"/>
      <c r="L73" s="5"/>
      <c r="M73" s="5"/>
      <c r="N73" s="150"/>
    </row>
    <row r="74" spans="1:14" x14ac:dyDescent="0.25">
      <c r="A74" s="143"/>
      <c r="B74" s="5"/>
      <c r="C74" s="5"/>
      <c r="D74" s="5"/>
      <c r="E74" s="5"/>
      <c r="F74" s="5"/>
      <c r="G74" s="5"/>
      <c r="H74" s="5"/>
      <c r="I74" s="5"/>
      <c r="J74" s="5"/>
      <c r="K74" s="5"/>
      <c r="L74" s="5"/>
      <c r="M74" s="5"/>
      <c r="N74" s="150"/>
    </row>
    <row r="75" spans="1:14" x14ac:dyDescent="0.25">
      <c r="A75" s="143"/>
      <c r="B75" s="5"/>
      <c r="C75" s="5"/>
      <c r="D75" s="5"/>
      <c r="E75" s="5"/>
      <c r="F75" s="5"/>
      <c r="G75" s="5"/>
      <c r="H75" s="5"/>
      <c r="I75" s="5"/>
      <c r="J75" s="5"/>
      <c r="K75" s="5"/>
      <c r="L75" s="5"/>
      <c r="M75" s="5"/>
      <c r="N75" s="150"/>
    </row>
    <row r="76" spans="1:14" x14ac:dyDescent="0.25">
      <c r="A76" s="143"/>
      <c r="B76" s="5"/>
      <c r="C76" s="5"/>
      <c r="D76" s="5"/>
      <c r="E76" s="5"/>
      <c r="F76" s="5"/>
      <c r="G76" s="5"/>
      <c r="H76" s="5"/>
      <c r="I76" s="5"/>
      <c r="J76" s="5"/>
      <c r="K76" s="5"/>
      <c r="L76" s="5"/>
      <c r="M76" s="5"/>
      <c r="N76" s="150"/>
    </row>
    <row r="77" spans="1:14" x14ac:dyDescent="0.25">
      <c r="A77" s="143"/>
      <c r="B77" s="5"/>
      <c r="C77" s="5"/>
      <c r="D77" s="5"/>
      <c r="E77" s="5"/>
      <c r="F77" s="5"/>
      <c r="G77" s="5"/>
      <c r="H77" s="5"/>
      <c r="I77" s="5"/>
      <c r="J77" s="5"/>
      <c r="K77" s="5"/>
      <c r="L77" s="5"/>
      <c r="M77" s="5"/>
      <c r="N77" s="150"/>
    </row>
    <row r="78" spans="1:14" x14ac:dyDescent="0.25">
      <c r="A78" s="143"/>
      <c r="B78" s="5"/>
      <c r="C78" s="5"/>
      <c r="D78" s="5"/>
      <c r="E78" s="5"/>
      <c r="F78" s="5"/>
      <c r="G78" s="5"/>
      <c r="H78" s="5"/>
      <c r="I78" s="5"/>
      <c r="J78" s="5"/>
      <c r="K78" s="5"/>
      <c r="L78" s="5"/>
      <c r="M78" s="5"/>
      <c r="N78" s="150"/>
    </row>
    <row r="79" spans="1:14" x14ac:dyDescent="0.25">
      <c r="A79" s="143"/>
      <c r="B79" s="5"/>
      <c r="C79" s="5"/>
      <c r="D79" s="5"/>
      <c r="E79" s="5"/>
      <c r="F79" s="5"/>
      <c r="G79" s="5"/>
      <c r="H79" s="5"/>
      <c r="I79" s="5"/>
      <c r="J79" s="5"/>
      <c r="K79" s="5"/>
      <c r="L79" s="5"/>
      <c r="M79" s="5"/>
      <c r="N79" s="150"/>
    </row>
    <row r="80" spans="1:14" x14ac:dyDescent="0.25">
      <c r="A80" s="143"/>
      <c r="B80" s="5"/>
      <c r="C80" s="5"/>
      <c r="D80" s="5"/>
      <c r="E80" s="5"/>
      <c r="F80" s="5"/>
      <c r="G80" s="5"/>
      <c r="H80" s="5"/>
      <c r="I80" s="5"/>
      <c r="J80" s="5"/>
      <c r="K80" s="5"/>
      <c r="L80" s="5"/>
      <c r="M80" s="5"/>
      <c r="N80" s="150"/>
    </row>
    <row r="81" spans="1:14" x14ac:dyDescent="0.25">
      <c r="A81" s="143"/>
      <c r="B81" s="5"/>
      <c r="C81" s="5"/>
      <c r="D81" s="5"/>
      <c r="E81" s="5"/>
      <c r="F81" s="5"/>
      <c r="G81" s="5"/>
      <c r="H81" s="5"/>
      <c r="I81" s="5"/>
      <c r="J81" s="5"/>
      <c r="K81" s="5"/>
      <c r="L81" s="5"/>
      <c r="M81" s="5"/>
      <c r="N81" s="150"/>
    </row>
    <row r="82" spans="1:14" x14ac:dyDescent="0.25">
      <c r="A82" s="143"/>
      <c r="B82" s="5"/>
      <c r="C82" s="5"/>
      <c r="D82" s="5"/>
      <c r="E82" s="5"/>
      <c r="F82" s="5"/>
      <c r="G82" s="5"/>
      <c r="H82" s="5"/>
      <c r="I82" s="5"/>
      <c r="J82" s="5"/>
      <c r="K82" s="5"/>
      <c r="L82" s="5"/>
      <c r="M82" s="5"/>
      <c r="N82" s="150"/>
    </row>
    <row r="83" spans="1:14" x14ac:dyDescent="0.25">
      <c r="A83" s="143"/>
      <c r="B83" s="5"/>
      <c r="C83" s="5"/>
      <c r="D83" s="5"/>
      <c r="E83" s="5"/>
      <c r="F83" s="5"/>
      <c r="G83" s="5"/>
      <c r="H83" s="5"/>
      <c r="I83" s="5"/>
      <c r="J83" s="5"/>
      <c r="K83" s="5"/>
      <c r="L83" s="5"/>
      <c r="M83" s="5"/>
      <c r="N83" s="150"/>
    </row>
    <row r="84" spans="1:14" x14ac:dyDescent="0.25">
      <c r="A84" s="143"/>
      <c r="B84" s="5"/>
      <c r="C84" s="5"/>
      <c r="D84" s="5"/>
      <c r="E84" s="5"/>
      <c r="F84" s="5"/>
      <c r="G84" s="5"/>
      <c r="H84" s="5"/>
      <c r="I84" s="5"/>
      <c r="J84" s="5"/>
      <c r="K84" s="5"/>
      <c r="L84" s="5"/>
      <c r="M84" s="5"/>
      <c r="N84" s="150"/>
    </row>
    <row r="85" spans="1:14" x14ac:dyDescent="0.25">
      <c r="A85" s="143"/>
      <c r="B85" s="5"/>
      <c r="C85" s="5"/>
      <c r="D85" s="5"/>
      <c r="E85" s="5"/>
      <c r="F85" s="5"/>
      <c r="G85" s="5"/>
      <c r="H85" s="5"/>
      <c r="I85" s="5"/>
      <c r="J85" s="5"/>
      <c r="K85" s="5"/>
      <c r="L85" s="5"/>
      <c r="M85" s="5"/>
      <c r="N85" s="150"/>
    </row>
    <row r="86" spans="1:14" x14ac:dyDescent="0.25">
      <c r="A86" s="143"/>
      <c r="B86" s="5"/>
      <c r="C86" s="5"/>
      <c r="D86" s="5"/>
      <c r="E86" s="5"/>
      <c r="F86" s="5"/>
      <c r="G86" s="5"/>
      <c r="H86" s="5"/>
      <c r="I86" s="5"/>
      <c r="J86" s="5"/>
      <c r="K86" s="5"/>
      <c r="L86" s="5"/>
      <c r="M86" s="5"/>
      <c r="N86" s="150"/>
    </row>
    <row r="87" spans="1:14" x14ac:dyDescent="0.25">
      <c r="A87" s="143"/>
      <c r="B87" s="5"/>
      <c r="C87" s="5"/>
      <c r="D87" s="5"/>
      <c r="E87" s="5"/>
      <c r="F87" s="5"/>
      <c r="G87" s="5"/>
      <c r="H87" s="5"/>
      <c r="I87" s="5"/>
      <c r="J87" s="5"/>
      <c r="K87" s="5"/>
      <c r="L87" s="5"/>
      <c r="M87" s="5"/>
      <c r="N87" s="150"/>
    </row>
    <row r="88" spans="1:14" x14ac:dyDescent="0.25">
      <c r="A88" s="143"/>
      <c r="B88" s="5"/>
      <c r="C88" s="5"/>
      <c r="D88" s="5"/>
      <c r="E88" s="5"/>
      <c r="F88" s="5"/>
      <c r="G88" s="5"/>
      <c r="H88" s="5"/>
      <c r="I88" s="5"/>
      <c r="J88" s="5"/>
      <c r="K88" s="5"/>
      <c r="L88" s="5"/>
      <c r="M88" s="5"/>
      <c r="N88" s="150"/>
    </row>
    <row r="89" spans="1:14" x14ac:dyDescent="0.25">
      <c r="A89" s="143"/>
      <c r="B89" s="5"/>
      <c r="C89" s="5"/>
      <c r="D89" s="5"/>
      <c r="E89" s="5"/>
      <c r="F89" s="5"/>
      <c r="G89" s="5"/>
      <c r="H89" s="5"/>
      <c r="I89" s="5"/>
      <c r="J89" s="5"/>
      <c r="K89" s="5"/>
      <c r="L89" s="5"/>
      <c r="M89" s="5"/>
      <c r="N89" s="150"/>
    </row>
    <row r="90" spans="1:14" x14ac:dyDescent="0.25">
      <c r="A90" s="143"/>
      <c r="B90" s="5"/>
      <c r="C90" s="5"/>
      <c r="D90" s="5"/>
      <c r="E90" s="5"/>
      <c r="F90" s="5"/>
      <c r="G90" s="5"/>
      <c r="H90" s="5"/>
      <c r="I90" s="5"/>
      <c r="J90" s="5"/>
      <c r="K90" s="5"/>
      <c r="L90" s="5"/>
      <c r="M90" s="5"/>
      <c r="N90" s="150"/>
    </row>
    <row r="91" spans="1:14" x14ac:dyDescent="0.25">
      <c r="A91" s="143"/>
      <c r="B91" s="5"/>
      <c r="C91" s="5"/>
      <c r="D91" s="5"/>
      <c r="E91" s="5"/>
      <c r="F91" s="5"/>
      <c r="G91" s="5"/>
      <c r="H91" s="5"/>
      <c r="I91" s="5"/>
      <c r="J91" s="5"/>
      <c r="K91" s="5"/>
      <c r="L91" s="5"/>
      <c r="M91" s="5"/>
      <c r="N91" s="150"/>
    </row>
    <row r="92" spans="1:14" x14ac:dyDescent="0.25">
      <c r="A92" s="143"/>
      <c r="B92" s="5"/>
      <c r="C92" s="5"/>
      <c r="D92" s="5"/>
      <c r="E92" s="5"/>
      <c r="F92" s="5"/>
      <c r="G92" s="5"/>
      <c r="H92" s="5"/>
      <c r="I92" s="5"/>
      <c r="J92" s="5"/>
      <c r="K92" s="5"/>
      <c r="L92" s="5"/>
      <c r="M92" s="5"/>
      <c r="N92" s="150"/>
    </row>
    <row r="93" spans="1:14" x14ac:dyDescent="0.25">
      <c r="A93" s="143"/>
      <c r="B93" s="5"/>
      <c r="C93" s="5"/>
      <c r="D93" s="5"/>
      <c r="E93" s="5"/>
      <c r="F93" s="5"/>
      <c r="G93" s="5"/>
      <c r="H93" s="5"/>
      <c r="I93" s="5"/>
      <c r="J93" s="5"/>
      <c r="K93" s="5"/>
      <c r="L93" s="5"/>
      <c r="M93" s="5"/>
      <c r="N93" s="150"/>
    </row>
    <row r="94" spans="1:14" x14ac:dyDescent="0.25">
      <c r="A94" s="143"/>
      <c r="B94" s="5"/>
      <c r="C94" s="5"/>
      <c r="D94" s="5"/>
      <c r="E94" s="5"/>
      <c r="F94" s="5"/>
      <c r="G94" s="5"/>
      <c r="H94" s="5"/>
      <c r="I94" s="5"/>
      <c r="J94" s="5"/>
      <c r="K94" s="5"/>
      <c r="L94" s="5"/>
      <c r="M94" s="5"/>
      <c r="N94" s="150"/>
    </row>
    <row r="95" spans="1:14" x14ac:dyDescent="0.25">
      <c r="A95" s="143"/>
      <c r="B95" s="5"/>
      <c r="C95" s="5"/>
      <c r="D95" s="5"/>
      <c r="E95" s="5"/>
      <c r="F95" s="5"/>
      <c r="G95" s="5"/>
      <c r="H95" s="5"/>
      <c r="I95" s="5"/>
      <c r="J95" s="5"/>
      <c r="K95" s="5"/>
      <c r="L95" s="5"/>
      <c r="M95" s="5"/>
      <c r="N95" s="150"/>
    </row>
    <row r="96" spans="1:14" x14ac:dyDescent="0.25">
      <c r="A96" s="143"/>
      <c r="B96" s="5"/>
      <c r="C96" s="5"/>
      <c r="D96" s="5"/>
      <c r="E96" s="5"/>
      <c r="F96" s="5"/>
      <c r="G96" s="5"/>
      <c r="H96" s="5"/>
      <c r="I96" s="5"/>
      <c r="J96" s="5"/>
      <c r="K96" s="5"/>
      <c r="L96" s="5"/>
      <c r="M96" s="5"/>
      <c r="N96" s="150"/>
    </row>
    <row r="97" spans="1:14" x14ac:dyDescent="0.25">
      <c r="A97" s="143"/>
      <c r="B97" s="5"/>
      <c r="C97" s="5"/>
      <c r="D97" s="5"/>
      <c r="E97" s="5"/>
      <c r="F97" s="5"/>
      <c r="G97" s="5"/>
      <c r="H97" s="5"/>
      <c r="I97" s="5"/>
      <c r="J97" s="5"/>
      <c r="K97" s="5"/>
      <c r="L97" s="5"/>
      <c r="M97" s="5"/>
      <c r="N97" s="150"/>
    </row>
    <row r="98" spans="1:14" x14ac:dyDescent="0.25">
      <c r="A98" s="143"/>
      <c r="B98" s="5"/>
      <c r="C98" s="5"/>
      <c r="D98" s="5"/>
      <c r="E98" s="5"/>
      <c r="F98" s="5"/>
      <c r="G98" s="5"/>
      <c r="H98" s="5"/>
      <c r="I98" s="5"/>
      <c r="J98" s="5"/>
      <c r="K98" s="5"/>
      <c r="L98" s="5"/>
      <c r="M98" s="5"/>
      <c r="N98" s="150"/>
    </row>
    <row r="99" spans="1:14" x14ac:dyDescent="0.25">
      <c r="A99" s="143"/>
      <c r="B99" s="5"/>
      <c r="C99" s="5"/>
      <c r="D99" s="5"/>
      <c r="E99" s="5"/>
      <c r="F99" s="5"/>
      <c r="G99" s="5"/>
      <c r="H99" s="5"/>
      <c r="I99" s="5"/>
      <c r="J99" s="5"/>
      <c r="K99" s="5"/>
      <c r="L99" s="5"/>
      <c r="M99" s="5"/>
      <c r="N99" s="150"/>
    </row>
    <row r="100" spans="1:14" x14ac:dyDescent="0.25">
      <c r="A100" s="143"/>
      <c r="B100" s="5"/>
      <c r="C100" s="5"/>
      <c r="D100" s="5"/>
      <c r="E100" s="5"/>
      <c r="F100" s="5"/>
      <c r="G100" s="5"/>
      <c r="H100" s="5"/>
      <c r="I100" s="5"/>
      <c r="J100" s="5"/>
      <c r="K100" s="5"/>
      <c r="L100" s="5"/>
      <c r="M100" s="5"/>
      <c r="N100" s="150"/>
    </row>
    <row r="101" spans="1:14" x14ac:dyDescent="0.25">
      <c r="A101" s="143"/>
      <c r="B101" s="5"/>
      <c r="C101" s="5"/>
      <c r="D101" s="5"/>
      <c r="E101" s="5"/>
      <c r="F101" s="5"/>
      <c r="G101" s="5"/>
      <c r="H101" s="5"/>
      <c r="I101" s="5"/>
      <c r="J101" s="5"/>
      <c r="K101" s="5"/>
      <c r="L101" s="5"/>
      <c r="M101" s="5"/>
      <c r="N101" s="150"/>
    </row>
    <row r="102" spans="1:14" x14ac:dyDescent="0.25">
      <c r="A102" s="143"/>
      <c r="B102" s="5"/>
      <c r="C102" s="5"/>
      <c r="D102" s="5"/>
      <c r="E102" s="5"/>
      <c r="F102" s="5"/>
      <c r="G102" s="5"/>
      <c r="H102" s="5"/>
      <c r="I102" s="5"/>
      <c r="J102" s="5"/>
      <c r="K102" s="5"/>
      <c r="L102" s="5"/>
      <c r="M102" s="5"/>
      <c r="N102" s="150"/>
    </row>
    <row r="103" spans="1:14" x14ac:dyDescent="0.25">
      <c r="A103" s="143"/>
      <c r="B103" s="5"/>
      <c r="C103" s="5"/>
      <c r="D103" s="5"/>
      <c r="E103" s="5"/>
      <c r="F103" s="5"/>
      <c r="G103" s="5"/>
      <c r="H103" s="5"/>
      <c r="I103" s="5"/>
      <c r="J103" s="5"/>
      <c r="K103" s="5"/>
      <c r="L103" s="5"/>
      <c r="M103" s="5"/>
      <c r="N103" s="150"/>
    </row>
    <row r="104" spans="1:14" x14ac:dyDescent="0.25">
      <c r="A104" s="143"/>
      <c r="B104" s="5"/>
      <c r="C104" s="5"/>
      <c r="D104" s="5"/>
      <c r="E104" s="5"/>
      <c r="F104" s="5"/>
      <c r="G104" s="5"/>
      <c r="H104" s="5"/>
      <c r="I104" s="5"/>
      <c r="J104" s="5"/>
      <c r="K104" s="5"/>
      <c r="L104" s="5"/>
      <c r="M104" s="5"/>
      <c r="N104" s="150"/>
    </row>
    <row r="105" spans="1:14" x14ac:dyDescent="0.25">
      <c r="A105" s="143"/>
      <c r="B105" s="5"/>
      <c r="C105" s="5"/>
      <c r="D105" s="5"/>
      <c r="E105" s="5"/>
      <c r="F105" s="5"/>
      <c r="G105" s="5"/>
      <c r="H105" s="5"/>
      <c r="I105" s="5"/>
      <c r="J105" s="5"/>
      <c r="K105" s="5"/>
      <c r="L105" s="5"/>
      <c r="M105" s="5"/>
      <c r="N105" s="150"/>
    </row>
    <row r="106" spans="1:14" x14ac:dyDescent="0.25">
      <c r="A106" s="143"/>
      <c r="B106" s="5"/>
      <c r="C106" s="5"/>
      <c r="D106" s="5"/>
      <c r="E106" s="5"/>
      <c r="F106" s="5"/>
      <c r="G106" s="5"/>
      <c r="H106" s="5"/>
      <c r="I106" s="5"/>
      <c r="J106" s="5"/>
      <c r="K106" s="5"/>
      <c r="L106" s="5"/>
      <c r="M106" s="5"/>
      <c r="N106" s="150"/>
    </row>
    <row r="107" spans="1:14" x14ac:dyDescent="0.25">
      <c r="A107" s="143"/>
      <c r="B107" s="5"/>
      <c r="C107" s="5"/>
      <c r="D107" s="5"/>
      <c r="E107" s="5"/>
      <c r="F107" s="5"/>
      <c r="G107" s="5"/>
      <c r="H107" s="5"/>
      <c r="I107" s="5"/>
      <c r="J107" s="5"/>
      <c r="K107" s="5"/>
      <c r="L107" s="5"/>
      <c r="M107" s="5"/>
      <c r="N107" s="150"/>
    </row>
    <row r="108" spans="1:14" x14ac:dyDescent="0.25">
      <c r="A108" s="143"/>
      <c r="B108" s="5"/>
      <c r="C108" s="5"/>
      <c r="D108" s="5"/>
      <c r="E108" s="5"/>
      <c r="F108" s="5"/>
      <c r="G108" s="5"/>
      <c r="H108" s="5"/>
      <c r="I108" s="5"/>
      <c r="J108" s="5"/>
      <c r="K108" s="5"/>
      <c r="L108" s="5"/>
      <c r="M108" s="5"/>
      <c r="N108" s="150"/>
    </row>
    <row r="109" spans="1:14" x14ac:dyDescent="0.25">
      <c r="A109" s="143"/>
      <c r="B109" s="5"/>
      <c r="C109" s="5"/>
      <c r="D109" s="5"/>
      <c r="E109" s="5"/>
      <c r="F109" s="5"/>
      <c r="G109" s="5"/>
      <c r="H109" s="5"/>
      <c r="I109" s="5"/>
      <c r="J109" s="5"/>
      <c r="K109" s="5"/>
      <c r="L109" s="5"/>
      <c r="M109" s="5"/>
      <c r="N109" s="150"/>
    </row>
    <row r="110" spans="1:14" x14ac:dyDescent="0.25">
      <c r="A110" s="143"/>
      <c r="B110" s="5"/>
      <c r="C110" s="5"/>
      <c r="D110" s="5"/>
      <c r="E110" s="5"/>
      <c r="F110" s="5"/>
      <c r="G110" s="5"/>
      <c r="H110" s="5"/>
      <c r="I110" s="5"/>
      <c r="J110" s="5"/>
      <c r="K110" s="5"/>
      <c r="L110" s="5"/>
      <c r="M110" s="5"/>
      <c r="N110" s="150"/>
    </row>
    <row r="111" spans="1:14" x14ac:dyDescent="0.25">
      <c r="A111" s="143"/>
      <c r="B111" s="5"/>
      <c r="C111" s="5"/>
      <c r="D111" s="5"/>
      <c r="E111" s="5"/>
      <c r="F111" s="5"/>
      <c r="G111" s="5"/>
      <c r="H111" s="5"/>
      <c r="I111" s="5"/>
      <c r="J111" s="5"/>
      <c r="K111" s="5"/>
      <c r="L111" s="5"/>
      <c r="M111" s="5"/>
      <c r="N111" s="150"/>
    </row>
    <row r="112" spans="1:14" x14ac:dyDescent="0.25">
      <c r="A112" s="143"/>
      <c r="B112" s="5"/>
      <c r="C112" s="5"/>
      <c r="D112" s="5"/>
      <c r="E112" s="5"/>
      <c r="F112" s="5"/>
      <c r="G112" s="5"/>
      <c r="H112" s="5"/>
      <c r="I112" s="5"/>
      <c r="J112" s="5"/>
      <c r="K112" s="5"/>
      <c r="L112" s="5"/>
      <c r="M112" s="5"/>
      <c r="N112" s="150"/>
    </row>
    <row r="113" spans="1:14" x14ac:dyDescent="0.25">
      <c r="A113" s="143"/>
      <c r="B113" s="5"/>
      <c r="C113" s="5"/>
      <c r="D113" s="5"/>
      <c r="E113" s="5"/>
      <c r="F113" s="5"/>
      <c r="G113" s="5"/>
      <c r="H113" s="5"/>
      <c r="I113" s="5"/>
      <c r="J113" s="5"/>
      <c r="K113" s="5"/>
      <c r="L113" s="5"/>
      <c r="M113" s="5"/>
      <c r="N113" s="150"/>
    </row>
    <row r="114" spans="1:14" x14ac:dyDescent="0.25">
      <c r="A114" s="143"/>
      <c r="B114" s="5"/>
      <c r="C114" s="5"/>
      <c r="D114" s="5"/>
      <c r="E114" s="5"/>
      <c r="F114" s="5"/>
      <c r="G114" s="5"/>
      <c r="H114" s="5"/>
      <c r="I114" s="5"/>
      <c r="J114" s="5"/>
      <c r="K114" s="5"/>
      <c r="L114" s="5"/>
      <c r="M114" s="5"/>
      <c r="N114" s="150"/>
    </row>
    <row r="115" spans="1:14" x14ac:dyDescent="0.25">
      <c r="A115" s="143"/>
      <c r="B115" s="5"/>
      <c r="C115" s="5"/>
      <c r="D115" s="5"/>
      <c r="E115" s="5"/>
      <c r="F115" s="5"/>
      <c r="G115" s="5"/>
      <c r="H115" s="5"/>
      <c r="I115" s="5"/>
      <c r="J115" s="5"/>
      <c r="K115" s="5"/>
      <c r="L115" s="5"/>
      <c r="M115" s="5"/>
      <c r="N115" s="150"/>
    </row>
    <row r="116" spans="1:14" x14ac:dyDescent="0.25">
      <c r="A116" s="143"/>
      <c r="B116" s="5"/>
      <c r="C116" s="5"/>
      <c r="D116" s="5"/>
      <c r="E116" s="5"/>
      <c r="F116" s="5"/>
      <c r="G116" s="5"/>
      <c r="H116" s="5"/>
      <c r="I116" s="5"/>
      <c r="J116" s="5"/>
      <c r="K116" s="5"/>
      <c r="L116" s="5"/>
      <c r="M116" s="5"/>
      <c r="N116" s="150"/>
    </row>
    <row r="117" spans="1:14" x14ac:dyDescent="0.25">
      <c r="A117" s="143"/>
      <c r="B117" s="5"/>
      <c r="C117" s="5"/>
      <c r="D117" s="5"/>
      <c r="E117" s="5"/>
      <c r="F117" s="5"/>
      <c r="G117" s="5"/>
      <c r="H117" s="5"/>
      <c r="I117" s="5"/>
      <c r="J117" s="5"/>
      <c r="K117" s="5"/>
      <c r="L117" s="5"/>
      <c r="M117" s="5"/>
      <c r="N117" s="150"/>
    </row>
    <row r="118" spans="1:14" x14ac:dyDescent="0.25">
      <c r="A118" s="143"/>
      <c r="B118" s="5"/>
      <c r="C118" s="5"/>
      <c r="D118" s="5"/>
      <c r="E118" s="5"/>
      <c r="F118" s="5"/>
      <c r="G118" s="5"/>
      <c r="H118" s="5"/>
      <c r="I118" s="5"/>
      <c r="J118" s="5"/>
      <c r="K118" s="5"/>
      <c r="L118" s="5"/>
      <c r="M118" s="5"/>
      <c r="N118" s="150"/>
    </row>
    <row r="119" spans="1:14" x14ac:dyDescent="0.25">
      <c r="A119" s="143"/>
      <c r="B119" s="5"/>
      <c r="C119" s="5"/>
      <c r="D119" s="5"/>
      <c r="E119" s="5"/>
      <c r="F119" s="5"/>
      <c r="G119" s="5"/>
      <c r="H119" s="5"/>
      <c r="I119" s="5"/>
      <c r="J119" s="5"/>
      <c r="K119" s="5"/>
      <c r="L119" s="5"/>
      <c r="M119" s="5"/>
      <c r="N119" s="150"/>
    </row>
    <row r="120" spans="1:14" x14ac:dyDescent="0.25">
      <c r="A120" s="143"/>
      <c r="B120" s="5"/>
      <c r="C120" s="5"/>
      <c r="D120" s="5"/>
      <c r="E120" s="5"/>
      <c r="F120" s="5"/>
      <c r="G120" s="5"/>
      <c r="H120" s="5"/>
      <c r="I120" s="5"/>
      <c r="J120" s="5"/>
      <c r="K120" s="5"/>
      <c r="L120" s="5"/>
      <c r="M120" s="5"/>
      <c r="N120" s="150"/>
    </row>
    <row r="121" spans="1:14" x14ac:dyDescent="0.25">
      <c r="A121" s="143"/>
      <c r="B121" s="5"/>
      <c r="C121" s="5"/>
      <c r="D121" s="5"/>
      <c r="E121" s="5"/>
      <c r="F121" s="5"/>
      <c r="G121" s="5"/>
      <c r="H121" s="5"/>
      <c r="I121" s="5"/>
      <c r="J121" s="5"/>
      <c r="K121" s="5"/>
      <c r="L121" s="5"/>
      <c r="M121" s="5"/>
      <c r="N121" s="150"/>
    </row>
    <row r="122" spans="1:14" x14ac:dyDescent="0.25">
      <c r="A122" s="143"/>
      <c r="B122" s="5"/>
      <c r="C122" s="5"/>
      <c r="D122" s="5"/>
      <c r="E122" s="5"/>
      <c r="F122" s="5"/>
      <c r="G122" s="5"/>
      <c r="H122" s="5"/>
      <c r="I122" s="5"/>
      <c r="J122" s="5"/>
      <c r="K122" s="5"/>
      <c r="L122" s="5"/>
      <c r="M122" s="5"/>
      <c r="N122" s="150"/>
    </row>
    <row r="123" spans="1:14" x14ac:dyDescent="0.25">
      <c r="A123" s="143"/>
      <c r="B123" s="5"/>
      <c r="C123" s="5"/>
      <c r="D123" s="5"/>
      <c r="E123" s="5"/>
      <c r="F123" s="5"/>
      <c r="G123" s="5"/>
      <c r="H123" s="5"/>
      <c r="I123" s="5"/>
      <c r="J123" s="5"/>
      <c r="K123" s="5"/>
      <c r="L123" s="5"/>
      <c r="M123" s="5"/>
      <c r="N123" s="150"/>
    </row>
    <row r="124" spans="1:14" x14ac:dyDescent="0.25">
      <c r="A124" s="143"/>
      <c r="B124" s="5"/>
      <c r="C124" s="5"/>
      <c r="D124" s="5"/>
      <c r="E124" s="5"/>
      <c r="F124" s="5"/>
      <c r="G124" s="5"/>
      <c r="H124" s="5"/>
      <c r="I124" s="5"/>
      <c r="J124" s="5"/>
      <c r="K124" s="5"/>
      <c r="L124" s="5"/>
      <c r="M124" s="5"/>
      <c r="N124" s="150"/>
    </row>
    <row r="125" spans="1:14" x14ac:dyDescent="0.25">
      <c r="A125" s="143"/>
      <c r="B125" s="5"/>
      <c r="C125" s="5"/>
      <c r="D125" s="5"/>
      <c r="E125" s="5"/>
      <c r="F125" s="5"/>
      <c r="G125" s="5"/>
      <c r="H125" s="5"/>
      <c r="I125" s="5"/>
      <c r="J125" s="5"/>
      <c r="K125" s="5"/>
      <c r="L125" s="5"/>
      <c r="M125" s="5"/>
      <c r="N125" s="150"/>
    </row>
    <row r="126" spans="1:14" x14ac:dyDescent="0.25">
      <c r="A126" s="143"/>
      <c r="B126" s="5"/>
      <c r="C126" s="5"/>
      <c r="D126" s="5"/>
      <c r="E126" s="5"/>
      <c r="F126" s="5"/>
      <c r="G126" s="5"/>
      <c r="H126" s="5"/>
      <c r="I126" s="5"/>
      <c r="J126" s="5"/>
      <c r="K126" s="5"/>
      <c r="L126" s="5"/>
      <c r="M126" s="5"/>
      <c r="N126" s="150"/>
    </row>
    <row r="127" spans="1:14" x14ac:dyDescent="0.25">
      <c r="A127" s="143"/>
      <c r="B127" s="5"/>
      <c r="C127" s="5"/>
      <c r="D127" s="5"/>
      <c r="E127" s="5"/>
      <c r="F127" s="5"/>
      <c r="G127" s="5"/>
      <c r="H127" s="5"/>
      <c r="I127" s="5"/>
      <c r="J127" s="5"/>
      <c r="K127" s="5"/>
      <c r="L127" s="5"/>
      <c r="M127" s="5"/>
      <c r="N127" s="150"/>
    </row>
    <row r="128" spans="1:14" x14ac:dyDescent="0.25">
      <c r="A128" s="143"/>
      <c r="B128" s="5"/>
      <c r="C128" s="5"/>
      <c r="D128" s="5"/>
      <c r="E128" s="5"/>
      <c r="F128" s="5"/>
      <c r="G128" s="5"/>
      <c r="H128" s="5"/>
      <c r="I128" s="5"/>
      <c r="J128" s="5"/>
      <c r="K128" s="5"/>
      <c r="L128" s="5"/>
      <c r="M128" s="5"/>
      <c r="N128" s="150"/>
    </row>
    <row r="129" spans="1:14" x14ac:dyDescent="0.25">
      <c r="A129" s="143"/>
      <c r="B129" s="5"/>
      <c r="C129" s="5"/>
      <c r="D129" s="5"/>
      <c r="E129" s="5"/>
      <c r="F129" s="5"/>
      <c r="G129" s="5"/>
      <c r="H129" s="5"/>
      <c r="I129" s="5"/>
      <c r="J129" s="5"/>
      <c r="K129" s="5"/>
      <c r="L129" s="5"/>
      <c r="M129" s="5"/>
      <c r="N129" s="150"/>
    </row>
    <row r="130" spans="1:14" x14ac:dyDescent="0.25">
      <c r="A130" s="143"/>
      <c r="B130" s="5"/>
      <c r="C130" s="5"/>
      <c r="D130" s="5"/>
      <c r="E130" s="5"/>
      <c r="F130" s="5"/>
      <c r="G130" s="5"/>
      <c r="H130" s="5"/>
      <c r="I130" s="5"/>
      <c r="J130" s="5"/>
      <c r="K130" s="5"/>
      <c r="L130" s="5"/>
      <c r="M130" s="5"/>
      <c r="N130" s="150"/>
    </row>
    <row r="131" spans="1:14" x14ac:dyDescent="0.25">
      <c r="A131" s="143"/>
      <c r="B131" s="5"/>
      <c r="C131" s="5"/>
      <c r="D131" s="5"/>
      <c r="E131" s="5"/>
      <c r="F131" s="5"/>
      <c r="G131" s="5"/>
      <c r="H131" s="5"/>
      <c r="I131" s="5"/>
      <c r="J131" s="5"/>
      <c r="K131" s="5"/>
      <c r="L131" s="5"/>
      <c r="M131" s="5"/>
      <c r="N131" s="150"/>
    </row>
    <row r="132" spans="1:14" x14ac:dyDescent="0.25">
      <c r="A132" s="143"/>
      <c r="B132" s="5"/>
      <c r="C132" s="5"/>
      <c r="D132" s="5"/>
      <c r="E132" s="5"/>
      <c r="F132" s="5"/>
      <c r="G132" s="5"/>
      <c r="H132" s="5"/>
      <c r="I132" s="5"/>
      <c r="J132" s="5"/>
      <c r="K132" s="5"/>
      <c r="L132" s="5"/>
      <c r="M132" s="5"/>
      <c r="N132" s="150"/>
    </row>
    <row r="133" spans="1:14" x14ac:dyDescent="0.25">
      <c r="A133" s="143"/>
      <c r="B133" s="5"/>
      <c r="C133" s="5"/>
      <c r="D133" s="5"/>
      <c r="E133" s="5"/>
      <c r="F133" s="5"/>
      <c r="G133" s="5"/>
      <c r="H133" s="5"/>
      <c r="I133" s="5"/>
      <c r="J133" s="5"/>
      <c r="K133" s="5"/>
      <c r="L133" s="5"/>
      <c r="M133" s="5"/>
      <c r="N133" s="150"/>
    </row>
    <row r="134" spans="1:14" x14ac:dyDescent="0.25">
      <c r="A134" s="143"/>
      <c r="B134" s="5"/>
      <c r="C134" s="5"/>
      <c r="D134" s="5"/>
      <c r="E134" s="5"/>
      <c r="F134" s="5"/>
      <c r="G134" s="5"/>
      <c r="H134" s="5"/>
      <c r="I134" s="5"/>
      <c r="J134" s="5"/>
      <c r="K134" s="5"/>
      <c r="L134" s="5"/>
      <c r="M134" s="5"/>
      <c r="N134" s="150"/>
    </row>
    <row r="135" spans="1:14" x14ac:dyDescent="0.25">
      <c r="A135" s="143"/>
      <c r="B135" s="5"/>
      <c r="C135" s="5"/>
      <c r="D135" s="5"/>
      <c r="E135" s="5"/>
      <c r="F135" s="5"/>
      <c r="G135" s="5"/>
      <c r="H135" s="5"/>
      <c r="I135" s="5"/>
      <c r="J135" s="5"/>
      <c r="K135" s="5"/>
      <c r="L135" s="5"/>
      <c r="M135" s="5"/>
      <c r="N135" s="150"/>
    </row>
    <row r="136" spans="1:14" x14ac:dyDescent="0.25">
      <c r="A136" s="143"/>
      <c r="B136" s="5"/>
      <c r="C136" s="5"/>
      <c r="D136" s="5"/>
      <c r="E136" s="5"/>
      <c r="F136" s="5"/>
      <c r="G136" s="5"/>
      <c r="H136" s="5"/>
      <c r="I136" s="5"/>
      <c r="J136" s="5"/>
      <c r="K136" s="5"/>
      <c r="L136" s="5"/>
      <c r="M136" s="5"/>
      <c r="N136" s="150"/>
    </row>
    <row r="137" spans="1:14" x14ac:dyDescent="0.25">
      <c r="A137" s="143"/>
      <c r="B137" s="5"/>
      <c r="C137" s="5"/>
      <c r="D137" s="5"/>
      <c r="E137" s="5"/>
      <c r="F137" s="5"/>
      <c r="G137" s="5"/>
      <c r="H137" s="5"/>
      <c r="I137" s="5"/>
      <c r="J137" s="5"/>
      <c r="K137" s="5"/>
      <c r="L137" s="5"/>
      <c r="M137" s="5"/>
      <c r="N137" s="150"/>
    </row>
    <row r="138" spans="1:14" x14ac:dyDescent="0.25">
      <c r="A138" s="143"/>
      <c r="B138" s="5"/>
      <c r="C138" s="5"/>
      <c r="D138" s="5"/>
      <c r="E138" s="5"/>
      <c r="F138" s="5"/>
      <c r="G138" s="5"/>
      <c r="H138" s="5"/>
      <c r="I138" s="5"/>
      <c r="J138" s="5"/>
      <c r="K138" s="5"/>
      <c r="L138" s="5"/>
      <c r="M138" s="5"/>
      <c r="N138" s="150"/>
    </row>
    <row r="139" spans="1:14" x14ac:dyDescent="0.25">
      <c r="A139" s="143"/>
      <c r="B139" s="5"/>
      <c r="C139" s="5"/>
      <c r="D139" s="5"/>
      <c r="E139" s="5"/>
      <c r="F139" s="5"/>
      <c r="G139" s="5"/>
      <c r="H139" s="5"/>
      <c r="I139" s="5"/>
      <c r="J139" s="5"/>
      <c r="K139" s="5"/>
      <c r="L139" s="5"/>
      <c r="M139" s="5"/>
      <c r="N139" s="150"/>
    </row>
    <row r="140" spans="1:14" x14ac:dyDescent="0.25">
      <c r="A140" s="143"/>
      <c r="B140" s="5"/>
      <c r="C140" s="5"/>
      <c r="D140" s="5"/>
      <c r="E140" s="5"/>
      <c r="F140" s="5"/>
      <c r="G140" s="5"/>
      <c r="H140" s="5"/>
      <c r="I140" s="5"/>
      <c r="J140" s="5"/>
      <c r="K140" s="5"/>
      <c r="L140" s="5"/>
      <c r="M140" s="5"/>
      <c r="N140" s="150"/>
    </row>
    <row r="141" spans="1:14" x14ac:dyDescent="0.25">
      <c r="A141" s="143"/>
      <c r="B141" s="5"/>
      <c r="C141" s="5"/>
      <c r="D141" s="5"/>
      <c r="E141" s="5"/>
      <c r="F141" s="5"/>
      <c r="G141" s="5"/>
      <c r="H141" s="5"/>
      <c r="I141" s="5"/>
      <c r="J141" s="5"/>
      <c r="K141" s="5"/>
      <c r="L141" s="5"/>
      <c r="M141" s="5"/>
      <c r="N141" s="150"/>
    </row>
    <row r="142" spans="1:14" x14ac:dyDescent="0.25">
      <c r="A142" s="143"/>
      <c r="B142" s="5"/>
      <c r="C142" s="5"/>
      <c r="D142" s="5"/>
      <c r="E142" s="5"/>
      <c r="F142" s="5"/>
      <c r="G142" s="5"/>
      <c r="H142" s="5"/>
      <c r="I142" s="5"/>
      <c r="J142" s="5"/>
      <c r="K142" s="5"/>
      <c r="L142" s="5"/>
      <c r="M142" s="5"/>
      <c r="N142" s="150"/>
    </row>
    <row r="143" spans="1:14" x14ac:dyDescent="0.25">
      <c r="A143" s="143"/>
      <c r="B143" s="5"/>
      <c r="C143" s="5"/>
      <c r="D143" s="5"/>
      <c r="E143" s="5"/>
      <c r="F143" s="5"/>
      <c r="G143" s="5"/>
      <c r="H143" s="5"/>
      <c r="I143" s="5"/>
      <c r="J143" s="5"/>
      <c r="K143" s="5"/>
      <c r="L143" s="5"/>
      <c r="M143" s="5"/>
      <c r="N143" s="150"/>
    </row>
    <row r="144" spans="1:14" x14ac:dyDescent="0.25">
      <c r="A144" s="143"/>
      <c r="B144" s="5"/>
      <c r="C144" s="5"/>
      <c r="D144" s="5"/>
      <c r="E144" s="5"/>
      <c r="F144" s="5"/>
      <c r="G144" s="5"/>
      <c r="H144" s="5"/>
      <c r="I144" s="5"/>
      <c r="J144" s="5"/>
      <c r="K144" s="5"/>
      <c r="L144" s="5"/>
      <c r="M144" s="5"/>
      <c r="N144" s="150"/>
    </row>
    <row r="145" spans="1:14" x14ac:dyDescent="0.25">
      <c r="A145" s="143"/>
      <c r="B145" s="5"/>
      <c r="C145" s="5"/>
      <c r="D145" s="5"/>
      <c r="E145" s="5"/>
      <c r="F145" s="5"/>
      <c r="G145" s="5"/>
      <c r="H145" s="5"/>
      <c r="I145" s="5"/>
      <c r="J145" s="5"/>
      <c r="K145" s="5"/>
      <c r="L145" s="5"/>
      <c r="M145" s="5"/>
      <c r="N145" s="150"/>
    </row>
    <row r="146" spans="1:14" x14ac:dyDescent="0.25">
      <c r="A146" s="143"/>
      <c r="B146" s="5"/>
      <c r="C146" s="5"/>
      <c r="D146" s="5"/>
      <c r="E146" s="5"/>
      <c r="F146" s="5"/>
      <c r="G146" s="5"/>
      <c r="H146" s="5"/>
      <c r="I146" s="5"/>
      <c r="J146" s="5"/>
      <c r="K146" s="5"/>
      <c r="L146" s="5"/>
      <c r="M146" s="5"/>
      <c r="N146" s="150"/>
    </row>
    <row r="147" spans="1:14" x14ac:dyDescent="0.25">
      <c r="A147" s="143"/>
      <c r="B147" s="5"/>
      <c r="C147" s="5"/>
      <c r="D147" s="5"/>
      <c r="E147" s="5"/>
      <c r="F147" s="5"/>
      <c r="G147" s="5"/>
      <c r="H147" s="5"/>
      <c r="I147" s="5"/>
      <c r="J147" s="5"/>
      <c r="K147" s="5"/>
      <c r="L147" s="5"/>
      <c r="M147" s="5"/>
      <c r="N147" s="150"/>
    </row>
    <row r="148" spans="1:14" x14ac:dyDescent="0.25">
      <c r="A148" s="143"/>
      <c r="B148" s="5"/>
      <c r="C148" s="5"/>
      <c r="D148" s="5"/>
      <c r="E148" s="5"/>
      <c r="F148" s="5"/>
      <c r="G148" s="5"/>
      <c r="H148" s="5"/>
      <c r="I148" s="5"/>
      <c r="J148" s="5"/>
      <c r="K148" s="5"/>
      <c r="L148" s="5"/>
      <c r="M148" s="5"/>
      <c r="N148" s="150"/>
    </row>
    <row r="149" spans="1:14" x14ac:dyDescent="0.25">
      <c r="A149" s="143"/>
      <c r="B149" s="5"/>
      <c r="C149" s="5"/>
      <c r="D149" s="5"/>
      <c r="E149" s="5"/>
      <c r="F149" s="5"/>
      <c r="G149" s="5"/>
      <c r="H149" s="5"/>
      <c r="I149" s="5"/>
      <c r="J149" s="5"/>
      <c r="K149" s="5"/>
      <c r="L149" s="5"/>
      <c r="M149" s="5"/>
      <c r="N149" s="150"/>
    </row>
    <row r="150" spans="1:14" x14ac:dyDescent="0.25">
      <c r="A150" s="143"/>
      <c r="B150" s="5"/>
      <c r="C150" s="5"/>
      <c r="D150" s="5"/>
      <c r="E150" s="5"/>
      <c r="F150" s="5"/>
      <c r="G150" s="5"/>
      <c r="H150" s="5"/>
      <c r="I150" s="5"/>
      <c r="J150" s="5"/>
      <c r="K150" s="5"/>
      <c r="L150" s="5"/>
      <c r="M150" s="5"/>
      <c r="N150" s="150"/>
    </row>
    <row r="151" spans="1:14" x14ac:dyDescent="0.25">
      <c r="A151" s="143"/>
      <c r="B151" s="5"/>
      <c r="C151" s="5"/>
      <c r="D151" s="5"/>
      <c r="E151" s="5"/>
      <c r="F151" s="5"/>
      <c r="G151" s="5"/>
      <c r="H151" s="5"/>
      <c r="I151" s="5"/>
      <c r="J151" s="5"/>
      <c r="K151" s="5"/>
      <c r="L151" s="5"/>
      <c r="M151" s="5"/>
      <c r="N151" s="150"/>
    </row>
    <row r="152" spans="1:14" x14ac:dyDescent="0.25">
      <c r="A152" s="143"/>
      <c r="B152" s="5"/>
      <c r="C152" s="5"/>
      <c r="D152" s="5"/>
      <c r="E152" s="5"/>
      <c r="F152" s="5"/>
      <c r="G152" s="5"/>
      <c r="H152" s="5"/>
      <c r="I152" s="5"/>
      <c r="J152" s="5"/>
      <c r="K152" s="5"/>
      <c r="L152" s="5"/>
      <c r="M152" s="5"/>
      <c r="N152" s="150"/>
    </row>
    <row r="153" spans="1:14" x14ac:dyDescent="0.25">
      <c r="A153" s="143"/>
      <c r="B153" s="5"/>
      <c r="C153" s="5"/>
      <c r="D153" s="5"/>
      <c r="E153" s="5"/>
      <c r="F153" s="5"/>
      <c r="G153" s="5"/>
      <c r="H153" s="5"/>
      <c r="I153" s="5"/>
      <c r="J153" s="5"/>
      <c r="K153" s="5"/>
      <c r="L153" s="5"/>
      <c r="M153" s="5"/>
      <c r="N153" s="150"/>
    </row>
    <row r="154" spans="1:14" x14ac:dyDescent="0.25">
      <c r="A154" s="143"/>
      <c r="B154" s="5"/>
      <c r="C154" s="5"/>
      <c r="D154" s="5"/>
      <c r="E154" s="5"/>
      <c r="F154" s="5"/>
      <c r="G154" s="5"/>
      <c r="H154" s="5"/>
      <c r="I154" s="5"/>
      <c r="J154" s="5"/>
      <c r="K154" s="5"/>
      <c r="L154" s="5"/>
      <c r="M154" s="5"/>
      <c r="N154" s="150"/>
    </row>
    <row r="155" spans="1:14" x14ac:dyDescent="0.25">
      <c r="A155" s="143"/>
      <c r="B155" s="5"/>
      <c r="C155" s="5"/>
      <c r="D155" s="5"/>
      <c r="E155" s="5"/>
      <c r="F155" s="5"/>
      <c r="G155" s="5"/>
      <c r="H155" s="5"/>
      <c r="I155" s="5"/>
      <c r="J155" s="5"/>
      <c r="K155" s="5"/>
      <c r="L155" s="5"/>
      <c r="M155" s="5"/>
      <c r="N155" s="150"/>
    </row>
    <row r="156" spans="1:14" x14ac:dyDescent="0.25">
      <c r="A156" s="143"/>
      <c r="B156" s="5"/>
      <c r="C156" s="5"/>
      <c r="D156" s="5"/>
      <c r="E156" s="5"/>
      <c r="F156" s="5"/>
      <c r="G156" s="5"/>
      <c r="H156" s="5"/>
      <c r="I156" s="5"/>
      <c r="J156" s="5"/>
      <c r="K156" s="5"/>
      <c r="L156" s="5"/>
      <c r="M156" s="5"/>
      <c r="N156" s="150"/>
    </row>
    <row r="157" spans="1:14" x14ac:dyDescent="0.25">
      <c r="A157" s="143"/>
      <c r="B157" s="5"/>
      <c r="C157" s="5"/>
      <c r="D157" s="5"/>
      <c r="E157" s="5"/>
      <c r="F157" s="5"/>
      <c r="G157" s="5"/>
      <c r="H157" s="5"/>
      <c r="I157" s="5"/>
      <c r="J157" s="5"/>
      <c r="K157" s="5"/>
      <c r="L157" s="5"/>
      <c r="M157" s="5"/>
      <c r="N157" s="150"/>
    </row>
    <row r="158" spans="1:14" x14ac:dyDescent="0.25">
      <c r="A158" s="143"/>
      <c r="B158" s="5"/>
      <c r="C158" s="5"/>
      <c r="D158" s="5"/>
      <c r="E158" s="5"/>
      <c r="F158" s="5"/>
      <c r="G158" s="5"/>
      <c r="H158" s="5"/>
      <c r="I158" s="5"/>
      <c r="J158" s="5"/>
      <c r="K158" s="5"/>
      <c r="L158" s="5"/>
      <c r="M158" s="5"/>
      <c r="N158" s="150"/>
    </row>
    <row r="159" spans="1:14" x14ac:dyDescent="0.25">
      <c r="A159" s="143"/>
      <c r="B159" s="5"/>
      <c r="C159" s="5"/>
      <c r="D159" s="5"/>
      <c r="E159" s="5"/>
      <c r="F159" s="5"/>
      <c r="G159" s="5"/>
      <c r="H159" s="5"/>
      <c r="I159" s="5"/>
      <c r="J159" s="5"/>
      <c r="K159" s="5"/>
      <c r="L159" s="5"/>
      <c r="M159" s="5"/>
      <c r="N159" s="150"/>
    </row>
    <row r="160" spans="1:14" x14ac:dyDescent="0.25">
      <c r="A160" s="143"/>
      <c r="B160" s="5"/>
      <c r="C160" s="5"/>
      <c r="D160" s="5"/>
      <c r="E160" s="5"/>
      <c r="F160" s="5"/>
      <c r="G160" s="5"/>
      <c r="H160" s="5"/>
      <c r="I160" s="5"/>
      <c r="J160" s="5"/>
      <c r="K160" s="5"/>
      <c r="L160" s="5"/>
      <c r="M160" s="5"/>
      <c r="N160" s="150"/>
    </row>
    <row r="161" spans="1:14" x14ac:dyDescent="0.25">
      <c r="A161" s="143"/>
      <c r="B161" s="5"/>
      <c r="C161" s="5"/>
      <c r="D161" s="5"/>
      <c r="E161" s="5"/>
      <c r="F161" s="5"/>
      <c r="G161" s="5"/>
      <c r="H161" s="5"/>
      <c r="I161" s="5"/>
      <c r="J161" s="5"/>
      <c r="K161" s="5"/>
      <c r="L161" s="5"/>
      <c r="M161" s="5"/>
      <c r="N161" s="150"/>
    </row>
    <row r="162" spans="1:14" x14ac:dyDescent="0.25">
      <c r="A162" s="143"/>
      <c r="B162" s="5"/>
      <c r="C162" s="5"/>
      <c r="D162" s="5"/>
      <c r="E162" s="5"/>
      <c r="F162" s="5"/>
      <c r="G162" s="5"/>
      <c r="H162" s="5"/>
      <c r="I162" s="5"/>
      <c r="J162" s="5"/>
      <c r="K162" s="5"/>
      <c r="L162" s="5"/>
      <c r="M162" s="5"/>
      <c r="N162" s="150"/>
    </row>
    <row r="163" spans="1:14" x14ac:dyDescent="0.25">
      <c r="A163" s="143"/>
      <c r="B163" s="5"/>
      <c r="C163" s="5"/>
      <c r="D163" s="5"/>
      <c r="E163" s="5"/>
      <c r="F163" s="5"/>
      <c r="G163" s="5"/>
      <c r="H163" s="5"/>
      <c r="I163" s="5"/>
      <c r="J163" s="5"/>
      <c r="K163" s="5"/>
      <c r="L163" s="5"/>
      <c r="M163" s="5"/>
      <c r="N163" s="150"/>
    </row>
    <row r="164" spans="1:14" x14ac:dyDescent="0.25">
      <c r="A164" s="143"/>
      <c r="B164" s="5"/>
      <c r="C164" s="5"/>
      <c r="D164" s="5"/>
      <c r="E164" s="5"/>
      <c r="F164" s="5"/>
      <c r="G164" s="5"/>
      <c r="H164" s="5"/>
      <c r="I164" s="5"/>
      <c r="J164" s="5"/>
      <c r="K164" s="5"/>
      <c r="L164" s="5"/>
      <c r="M164" s="5"/>
      <c r="N164" s="150"/>
    </row>
    <row r="165" spans="1:14" x14ac:dyDescent="0.25">
      <c r="A165" s="143"/>
      <c r="B165" s="5"/>
      <c r="C165" s="5"/>
      <c r="D165" s="5"/>
      <c r="E165" s="5"/>
      <c r="F165" s="5"/>
      <c r="G165" s="5"/>
      <c r="H165" s="5"/>
      <c r="I165" s="5"/>
      <c r="J165" s="5"/>
      <c r="K165" s="5"/>
      <c r="L165" s="5"/>
      <c r="M165" s="5"/>
      <c r="N165" s="150"/>
    </row>
    <row r="166" spans="1:14" x14ac:dyDescent="0.25">
      <c r="A166" s="143"/>
      <c r="B166" s="5"/>
      <c r="C166" s="5"/>
      <c r="D166" s="5"/>
      <c r="E166" s="5"/>
      <c r="F166" s="5"/>
      <c r="G166" s="5"/>
      <c r="H166" s="5"/>
      <c r="I166" s="5"/>
      <c r="J166" s="5"/>
      <c r="K166" s="5"/>
      <c r="L166" s="5"/>
      <c r="M166" s="5"/>
      <c r="N166" s="150"/>
    </row>
    <row r="167" spans="1:14" x14ac:dyDescent="0.25">
      <c r="A167" s="143"/>
      <c r="B167" s="5"/>
      <c r="C167" s="5"/>
      <c r="D167" s="5"/>
      <c r="E167" s="5"/>
      <c r="F167" s="5"/>
      <c r="G167" s="5"/>
      <c r="H167" s="5"/>
      <c r="I167" s="5"/>
      <c r="J167" s="5"/>
      <c r="K167" s="5"/>
      <c r="L167" s="5"/>
      <c r="M167" s="5"/>
      <c r="N167" s="150"/>
    </row>
    <row r="168" spans="1:14" x14ac:dyDescent="0.25">
      <c r="A168" s="143"/>
      <c r="B168" s="5"/>
      <c r="C168" s="5"/>
      <c r="D168" s="5"/>
      <c r="E168" s="5"/>
      <c r="F168" s="5"/>
      <c r="G168" s="5"/>
      <c r="H168" s="5"/>
      <c r="I168" s="5"/>
      <c r="J168" s="5"/>
      <c r="K168" s="5"/>
      <c r="L168" s="5"/>
      <c r="M168" s="5"/>
      <c r="N168" s="150"/>
    </row>
    <row r="169" spans="1:14" x14ac:dyDescent="0.25">
      <c r="A169" s="143"/>
      <c r="B169" s="5"/>
      <c r="C169" s="5"/>
      <c r="D169" s="5"/>
      <c r="E169" s="5"/>
      <c r="F169" s="5"/>
      <c r="G169" s="5"/>
      <c r="H169" s="5"/>
      <c r="I169" s="5"/>
      <c r="J169" s="5"/>
      <c r="K169" s="5"/>
      <c r="L169" s="5"/>
      <c r="M169" s="5"/>
      <c r="N169" s="150"/>
    </row>
    <row r="170" spans="1:14" x14ac:dyDescent="0.25">
      <c r="A170" s="143"/>
      <c r="B170" s="5"/>
      <c r="C170" s="5"/>
      <c r="D170" s="5"/>
      <c r="E170" s="5"/>
      <c r="F170" s="5"/>
      <c r="G170" s="5"/>
      <c r="H170" s="5"/>
      <c r="I170" s="5"/>
      <c r="J170" s="5"/>
      <c r="K170" s="5"/>
      <c r="L170" s="5"/>
      <c r="M170" s="5"/>
      <c r="N170" s="150"/>
    </row>
    <row r="171" spans="1:14" x14ac:dyDescent="0.25">
      <c r="A171" s="143"/>
      <c r="B171" s="5"/>
      <c r="C171" s="5"/>
      <c r="D171" s="5"/>
      <c r="E171" s="5"/>
      <c r="F171" s="5"/>
      <c r="G171" s="5"/>
      <c r="H171" s="5"/>
      <c r="I171" s="5"/>
      <c r="J171" s="5"/>
      <c r="K171" s="5"/>
      <c r="L171" s="5"/>
      <c r="M171" s="5"/>
      <c r="N171" s="150"/>
    </row>
    <row r="172" spans="1:14" x14ac:dyDescent="0.25">
      <c r="A172" s="143"/>
      <c r="B172" s="5"/>
      <c r="C172" s="5"/>
      <c r="D172" s="5"/>
      <c r="E172" s="5"/>
      <c r="F172" s="5"/>
      <c r="G172" s="5"/>
      <c r="H172" s="5"/>
      <c r="I172" s="5"/>
      <c r="J172" s="5"/>
      <c r="K172" s="5"/>
      <c r="L172" s="5"/>
      <c r="M172" s="5"/>
      <c r="N172" s="150"/>
    </row>
    <row r="173" spans="1:14" x14ac:dyDescent="0.25">
      <c r="A173" s="143"/>
      <c r="B173" s="5"/>
      <c r="C173" s="5"/>
      <c r="D173" s="5"/>
      <c r="E173" s="5"/>
      <c r="F173" s="5"/>
      <c r="G173" s="5"/>
      <c r="H173" s="5"/>
      <c r="I173" s="5"/>
      <c r="J173" s="5"/>
      <c r="K173" s="5"/>
      <c r="L173" s="5"/>
      <c r="M173" s="5"/>
      <c r="N173" s="150"/>
    </row>
    <row r="174" spans="1:14" x14ac:dyDescent="0.25">
      <c r="A174" s="143"/>
      <c r="B174" s="5"/>
      <c r="C174" s="5"/>
      <c r="D174" s="5"/>
      <c r="E174" s="5"/>
      <c r="F174" s="5"/>
      <c r="G174" s="5"/>
      <c r="H174" s="5"/>
      <c r="I174" s="5"/>
      <c r="J174" s="5"/>
      <c r="K174" s="5"/>
      <c r="L174" s="5"/>
      <c r="M174" s="5"/>
      <c r="N174" s="150"/>
    </row>
    <row r="175" spans="1:14" x14ac:dyDescent="0.25">
      <c r="A175" s="143"/>
      <c r="B175" s="5"/>
      <c r="C175" s="5"/>
      <c r="D175" s="5"/>
      <c r="E175" s="5"/>
      <c r="F175" s="5"/>
      <c r="G175" s="5"/>
      <c r="H175" s="5"/>
      <c r="I175" s="5"/>
      <c r="J175" s="5"/>
      <c r="K175" s="5"/>
      <c r="L175" s="5"/>
      <c r="M175" s="5"/>
      <c r="N175" s="150"/>
    </row>
    <row r="176" spans="1:14" x14ac:dyDescent="0.25">
      <c r="A176" s="143"/>
      <c r="B176" s="5"/>
      <c r="C176" s="5"/>
      <c r="D176" s="5"/>
      <c r="E176" s="5"/>
      <c r="F176" s="5"/>
      <c r="G176" s="5"/>
      <c r="H176" s="5"/>
      <c r="I176" s="5"/>
      <c r="J176" s="5"/>
      <c r="K176" s="5"/>
      <c r="L176" s="5"/>
      <c r="M176" s="5"/>
      <c r="N176" s="150"/>
    </row>
    <row r="177" spans="1:14" x14ac:dyDescent="0.25">
      <c r="A177" s="143"/>
      <c r="B177" s="5"/>
      <c r="C177" s="5"/>
      <c r="D177" s="5"/>
      <c r="E177" s="5"/>
      <c r="F177" s="5"/>
      <c r="G177" s="5"/>
      <c r="H177" s="5"/>
      <c r="I177" s="5"/>
      <c r="J177" s="5"/>
      <c r="K177" s="5"/>
      <c r="L177" s="5"/>
      <c r="M177" s="5"/>
      <c r="N177" s="150"/>
    </row>
    <row r="178" spans="1:14" x14ac:dyDescent="0.25">
      <c r="A178" s="143"/>
      <c r="B178" s="5"/>
      <c r="C178" s="5"/>
      <c r="D178" s="5"/>
      <c r="E178" s="5"/>
      <c r="F178" s="5"/>
      <c r="G178" s="5"/>
      <c r="H178" s="5"/>
      <c r="I178" s="5"/>
      <c r="J178" s="5"/>
      <c r="K178" s="5"/>
      <c r="L178" s="5"/>
      <c r="M178" s="5"/>
      <c r="N178" s="150"/>
    </row>
    <row r="179" spans="1:14" x14ac:dyDescent="0.25">
      <c r="A179" s="143"/>
      <c r="B179" s="5"/>
      <c r="C179" s="5"/>
      <c r="D179" s="5"/>
      <c r="E179" s="5"/>
      <c r="F179" s="5"/>
      <c r="G179" s="5"/>
      <c r="H179" s="5"/>
      <c r="I179" s="5"/>
      <c r="J179" s="5"/>
      <c r="K179" s="5"/>
      <c r="L179" s="5"/>
      <c r="M179" s="5"/>
      <c r="N179" s="150"/>
    </row>
    <row r="180" spans="1:14" x14ac:dyDescent="0.25">
      <c r="A180" s="143"/>
      <c r="B180" s="5"/>
      <c r="C180" s="5"/>
      <c r="D180" s="5"/>
      <c r="E180" s="5"/>
      <c r="F180" s="5"/>
      <c r="G180" s="5"/>
      <c r="H180" s="5"/>
      <c r="I180" s="5"/>
      <c r="J180" s="5"/>
      <c r="K180" s="5"/>
      <c r="L180" s="5"/>
      <c r="M180" s="5"/>
      <c r="N180" s="150"/>
    </row>
    <row r="181" spans="1:14" x14ac:dyDescent="0.25">
      <c r="A181" s="143"/>
      <c r="B181" s="5"/>
      <c r="C181" s="5"/>
      <c r="D181" s="5"/>
      <c r="E181" s="5"/>
      <c r="F181" s="5"/>
      <c r="G181" s="5"/>
      <c r="H181" s="5"/>
      <c r="I181" s="5"/>
      <c r="J181" s="5"/>
      <c r="K181" s="5"/>
      <c r="L181" s="5"/>
      <c r="M181" s="5"/>
      <c r="N181" s="150"/>
    </row>
    <row r="182" spans="1:14" x14ac:dyDescent="0.25">
      <c r="A182" s="143"/>
      <c r="B182" s="5"/>
      <c r="C182" s="5"/>
      <c r="D182" s="5"/>
      <c r="E182" s="5"/>
      <c r="F182" s="5"/>
      <c r="G182" s="5"/>
      <c r="H182" s="5"/>
      <c r="I182" s="5"/>
      <c r="J182" s="5"/>
      <c r="K182" s="5"/>
      <c r="L182" s="5"/>
      <c r="M182" s="5"/>
      <c r="N182" s="150"/>
    </row>
    <row r="183" spans="1:14" x14ac:dyDescent="0.25">
      <c r="A183" s="143"/>
      <c r="B183" s="5"/>
      <c r="C183" s="5"/>
      <c r="D183" s="5"/>
      <c r="E183" s="5"/>
      <c r="F183" s="5"/>
      <c r="G183" s="5"/>
      <c r="H183" s="5"/>
      <c r="I183" s="5"/>
      <c r="J183" s="5"/>
      <c r="K183" s="5"/>
      <c r="L183" s="5"/>
      <c r="M183" s="5"/>
      <c r="N183" s="150"/>
    </row>
    <row r="184" spans="1:14" x14ac:dyDescent="0.25">
      <c r="A184" s="143"/>
      <c r="B184" s="5"/>
      <c r="C184" s="5"/>
      <c r="D184" s="5"/>
      <c r="E184" s="5"/>
      <c r="F184" s="5"/>
      <c r="G184" s="5"/>
      <c r="H184" s="5"/>
      <c r="I184" s="5"/>
      <c r="J184" s="5"/>
      <c r="K184" s="5"/>
      <c r="L184" s="5"/>
      <c r="M184" s="5"/>
      <c r="N184" s="150"/>
    </row>
    <row r="185" spans="1:14" x14ac:dyDescent="0.25">
      <c r="A185" s="143"/>
      <c r="B185" s="5"/>
      <c r="C185" s="5"/>
      <c r="D185" s="5"/>
      <c r="E185" s="5"/>
      <c r="F185" s="5"/>
      <c r="G185" s="5"/>
      <c r="H185" s="5"/>
      <c r="I185" s="5"/>
      <c r="J185" s="5"/>
      <c r="K185" s="5"/>
      <c r="L185" s="5"/>
      <c r="M185" s="5"/>
      <c r="N185" s="150"/>
    </row>
    <row r="186" spans="1:14" x14ac:dyDescent="0.25">
      <c r="A186" s="143"/>
      <c r="B186" s="5"/>
      <c r="C186" s="5"/>
      <c r="D186" s="5"/>
      <c r="E186" s="5"/>
      <c r="F186" s="5"/>
      <c r="G186" s="5"/>
      <c r="H186" s="5"/>
      <c r="I186" s="5"/>
      <c r="J186" s="5"/>
      <c r="K186" s="5"/>
      <c r="L186" s="5"/>
      <c r="M186" s="5"/>
      <c r="N186" s="150"/>
    </row>
    <row r="187" spans="1:14" x14ac:dyDescent="0.25">
      <c r="A187" s="143"/>
      <c r="B187" s="5"/>
      <c r="C187" s="5"/>
      <c r="D187" s="5"/>
      <c r="E187" s="5"/>
      <c r="F187" s="5"/>
      <c r="G187" s="5"/>
      <c r="H187" s="5"/>
      <c r="I187" s="5"/>
      <c r="J187" s="5"/>
      <c r="K187" s="5"/>
      <c r="L187" s="5"/>
      <c r="M187" s="5"/>
      <c r="N187" s="150"/>
    </row>
    <row r="188" spans="1:14" x14ac:dyDescent="0.25">
      <c r="A188" s="143"/>
      <c r="B188" s="5"/>
      <c r="C188" s="5"/>
      <c r="D188" s="5"/>
      <c r="E188" s="5"/>
      <c r="F188" s="5"/>
      <c r="G188" s="5"/>
      <c r="H188" s="5"/>
      <c r="I188" s="5"/>
      <c r="J188" s="5"/>
      <c r="K188" s="5"/>
      <c r="L188" s="5"/>
      <c r="M188" s="5"/>
      <c r="N188" s="150"/>
    </row>
    <row r="189" spans="1:14" x14ac:dyDescent="0.25">
      <c r="A189" s="143"/>
      <c r="B189" s="5"/>
      <c r="C189" s="5"/>
      <c r="D189" s="5"/>
      <c r="E189" s="5"/>
      <c r="F189" s="5"/>
      <c r="G189" s="5"/>
      <c r="H189" s="5"/>
      <c r="I189" s="5"/>
      <c r="J189" s="5"/>
      <c r="K189" s="5"/>
      <c r="L189" s="5"/>
      <c r="M189" s="5"/>
      <c r="N189" s="150"/>
    </row>
    <row r="190" spans="1:14" x14ac:dyDescent="0.25">
      <c r="A190" s="143"/>
      <c r="B190" s="5"/>
      <c r="C190" s="5"/>
      <c r="D190" s="5"/>
      <c r="E190" s="5"/>
      <c r="F190" s="5"/>
      <c r="G190" s="5"/>
      <c r="H190" s="5"/>
      <c r="I190" s="5"/>
      <c r="J190" s="5"/>
      <c r="K190" s="5"/>
      <c r="L190" s="5"/>
      <c r="M190" s="5"/>
      <c r="N190" s="150"/>
    </row>
    <row r="191" spans="1:14" x14ac:dyDescent="0.25">
      <c r="A191" s="143"/>
      <c r="B191" s="5"/>
      <c r="C191" s="5"/>
      <c r="D191" s="5"/>
      <c r="E191" s="5"/>
      <c r="F191" s="5"/>
      <c r="G191" s="5"/>
      <c r="H191" s="5"/>
      <c r="I191" s="5"/>
      <c r="J191" s="5"/>
      <c r="K191" s="5"/>
      <c r="L191" s="5"/>
      <c r="M191" s="5"/>
      <c r="N191" s="150"/>
    </row>
    <row r="192" spans="1:14" x14ac:dyDescent="0.25">
      <c r="A192" s="143"/>
      <c r="B192" s="5"/>
      <c r="C192" s="5"/>
      <c r="D192" s="5"/>
      <c r="E192" s="5"/>
      <c r="F192" s="5"/>
      <c r="G192" s="5"/>
      <c r="H192" s="5"/>
      <c r="I192" s="5"/>
      <c r="J192" s="5"/>
      <c r="K192" s="5"/>
      <c r="L192" s="5"/>
      <c r="M192" s="5"/>
      <c r="N192" s="150"/>
    </row>
    <row r="193" spans="1:14" x14ac:dyDescent="0.25">
      <c r="A193" s="143"/>
      <c r="B193" s="5"/>
      <c r="C193" s="5"/>
      <c r="D193" s="5"/>
      <c r="E193" s="5"/>
      <c r="F193" s="5"/>
      <c r="G193" s="5"/>
      <c r="H193" s="5"/>
      <c r="I193" s="5"/>
      <c r="J193" s="5"/>
      <c r="K193" s="5"/>
      <c r="L193" s="5"/>
      <c r="M193" s="5"/>
      <c r="N193" s="150"/>
    </row>
    <row r="194" spans="1:14" x14ac:dyDescent="0.25">
      <c r="A194" s="143"/>
      <c r="B194" s="5"/>
      <c r="C194" s="5"/>
      <c r="D194" s="5"/>
      <c r="E194" s="5"/>
      <c r="F194" s="5"/>
      <c r="G194" s="5"/>
      <c r="H194" s="5"/>
      <c r="I194" s="5"/>
      <c r="J194" s="5"/>
      <c r="K194" s="5"/>
      <c r="L194" s="5"/>
      <c r="M194" s="5"/>
      <c r="N194" s="150"/>
    </row>
    <row r="195" spans="1:14" x14ac:dyDescent="0.25">
      <c r="A195" s="143"/>
      <c r="B195" s="5"/>
      <c r="C195" s="5"/>
      <c r="D195" s="5"/>
      <c r="E195" s="5"/>
      <c r="F195" s="5"/>
      <c r="G195" s="5"/>
      <c r="H195" s="5"/>
      <c r="I195" s="5"/>
      <c r="J195" s="5"/>
      <c r="K195" s="5"/>
      <c r="L195" s="5"/>
      <c r="M195" s="5"/>
      <c r="N195" s="150"/>
    </row>
    <row r="196" spans="1:14" x14ac:dyDescent="0.25">
      <c r="A196" s="143"/>
      <c r="B196" s="5"/>
      <c r="C196" s="5"/>
      <c r="D196" s="5"/>
      <c r="E196" s="5"/>
      <c r="F196" s="5"/>
      <c r="G196" s="5"/>
      <c r="H196" s="5"/>
      <c r="I196" s="5"/>
      <c r="J196" s="5"/>
      <c r="K196" s="5"/>
      <c r="L196" s="5"/>
      <c r="M196" s="5"/>
      <c r="N196" s="150"/>
    </row>
    <row r="197" spans="1:14" x14ac:dyDescent="0.25">
      <c r="A197" s="143"/>
      <c r="B197" s="5"/>
      <c r="C197" s="5"/>
      <c r="D197" s="5"/>
      <c r="E197" s="5"/>
      <c r="F197" s="5"/>
      <c r="G197" s="5"/>
      <c r="H197" s="5"/>
      <c r="I197" s="5"/>
      <c r="J197" s="5"/>
      <c r="K197" s="5"/>
      <c r="L197" s="5"/>
      <c r="M197" s="5"/>
      <c r="N197" s="150"/>
    </row>
    <row r="198" spans="1:14" x14ac:dyDescent="0.25">
      <c r="A198" s="143"/>
      <c r="B198" s="5"/>
      <c r="C198" s="5"/>
      <c r="D198" s="5"/>
      <c r="E198" s="5"/>
      <c r="F198" s="5"/>
      <c r="G198" s="5"/>
      <c r="H198" s="5"/>
      <c r="I198" s="5"/>
      <c r="J198" s="5"/>
      <c r="K198" s="5"/>
      <c r="L198" s="5"/>
      <c r="M198" s="5"/>
      <c r="N198" s="150"/>
    </row>
    <row r="199" spans="1:14" x14ac:dyDescent="0.25">
      <c r="A199" s="143"/>
      <c r="B199" s="5"/>
      <c r="C199" s="5"/>
      <c r="D199" s="5"/>
      <c r="E199" s="5"/>
      <c r="F199" s="5"/>
      <c r="G199" s="5"/>
      <c r="H199" s="5"/>
      <c r="I199" s="5"/>
      <c r="J199" s="5"/>
      <c r="K199" s="5"/>
      <c r="L199" s="5"/>
      <c r="M199" s="5"/>
      <c r="N199" s="150"/>
    </row>
    <row r="200" spans="1:14" x14ac:dyDescent="0.25">
      <c r="A200" s="143"/>
      <c r="B200" s="5"/>
      <c r="C200" s="5"/>
      <c r="D200" s="5"/>
      <c r="E200" s="5"/>
      <c r="F200" s="5"/>
      <c r="G200" s="5"/>
      <c r="H200" s="5"/>
      <c r="I200" s="5"/>
      <c r="J200" s="5"/>
      <c r="K200" s="5"/>
      <c r="L200" s="5"/>
      <c r="M200" s="5"/>
      <c r="N200" s="150"/>
    </row>
    <row r="201" spans="1:14" x14ac:dyDescent="0.25">
      <c r="A201" s="143"/>
      <c r="B201" s="5"/>
      <c r="C201" s="5"/>
      <c r="D201" s="5"/>
      <c r="E201" s="5"/>
      <c r="F201" s="5"/>
      <c r="G201" s="5"/>
      <c r="H201" s="5"/>
      <c r="I201" s="5"/>
      <c r="J201" s="5"/>
      <c r="K201" s="5"/>
      <c r="L201" s="5"/>
      <c r="M201" s="5"/>
      <c r="N201" s="150"/>
    </row>
    <row r="202" spans="1:14" x14ac:dyDescent="0.25">
      <c r="A202" s="143"/>
      <c r="B202" s="5"/>
      <c r="C202" s="5"/>
      <c r="D202" s="5"/>
      <c r="E202" s="5"/>
      <c r="F202" s="5"/>
      <c r="G202" s="5"/>
      <c r="H202" s="5"/>
      <c r="I202" s="5"/>
      <c r="J202" s="5"/>
      <c r="K202" s="5"/>
      <c r="L202" s="5"/>
      <c r="M202" s="5"/>
      <c r="N202" s="150"/>
    </row>
    <row r="203" spans="1:14" x14ac:dyDescent="0.25">
      <c r="A203" s="143"/>
      <c r="B203" s="5"/>
      <c r="C203" s="5"/>
      <c r="D203" s="5"/>
      <c r="E203" s="5"/>
      <c r="F203" s="5"/>
      <c r="G203" s="5"/>
      <c r="H203" s="5"/>
      <c r="I203" s="5"/>
      <c r="J203" s="5"/>
      <c r="K203" s="5"/>
      <c r="L203" s="5"/>
      <c r="M203" s="5"/>
      <c r="N203" s="150"/>
    </row>
    <row r="204" spans="1:14" x14ac:dyDescent="0.25">
      <c r="A204" s="143"/>
      <c r="B204" s="5"/>
      <c r="C204" s="5"/>
      <c r="D204" s="5"/>
      <c r="E204" s="5"/>
      <c r="F204" s="5"/>
      <c r="G204" s="5"/>
      <c r="H204" s="5"/>
      <c r="I204" s="5"/>
      <c r="J204" s="5"/>
      <c r="K204" s="5"/>
      <c r="L204" s="5"/>
      <c r="M204" s="5"/>
      <c r="N204" s="150"/>
    </row>
    <row r="205" spans="1:14" x14ac:dyDescent="0.25">
      <c r="A205" s="143"/>
      <c r="B205" s="5"/>
      <c r="C205" s="5"/>
      <c r="D205" s="5"/>
      <c r="E205" s="5"/>
      <c r="F205" s="5"/>
      <c r="G205" s="5"/>
      <c r="H205" s="5"/>
      <c r="I205" s="5"/>
      <c r="J205" s="5"/>
      <c r="K205" s="5"/>
      <c r="L205" s="5"/>
      <c r="M205" s="5"/>
      <c r="N205" s="150"/>
    </row>
    <row r="206" spans="1:14" x14ac:dyDescent="0.25">
      <c r="A206" s="143"/>
      <c r="B206" s="5"/>
      <c r="C206" s="5"/>
      <c r="D206" s="5"/>
      <c r="E206" s="5"/>
      <c r="F206" s="5"/>
      <c r="G206" s="5"/>
      <c r="H206" s="5"/>
      <c r="I206" s="5"/>
      <c r="J206" s="5"/>
      <c r="K206" s="5"/>
      <c r="L206" s="5"/>
      <c r="M206" s="5"/>
      <c r="N206" s="150"/>
    </row>
    <row r="207" spans="1:14" x14ac:dyDescent="0.25">
      <c r="A207" s="143"/>
      <c r="B207" s="5"/>
      <c r="C207" s="5"/>
      <c r="D207" s="5"/>
      <c r="E207" s="5"/>
      <c r="F207" s="5"/>
      <c r="G207" s="5"/>
      <c r="H207" s="5"/>
      <c r="I207" s="5"/>
      <c r="J207" s="5"/>
      <c r="K207" s="5"/>
      <c r="L207" s="5"/>
      <c r="M207" s="5"/>
      <c r="N207" s="150"/>
    </row>
    <row r="208" spans="1:14" x14ac:dyDescent="0.25">
      <c r="A208" s="143"/>
      <c r="B208" s="5"/>
      <c r="C208" s="5"/>
      <c r="D208" s="5"/>
      <c r="E208" s="5"/>
      <c r="F208" s="5"/>
      <c r="G208" s="5"/>
      <c r="H208" s="5"/>
      <c r="I208" s="5"/>
      <c r="J208" s="5"/>
      <c r="K208" s="5"/>
      <c r="L208" s="5"/>
      <c r="M208" s="5"/>
      <c r="N208" s="150"/>
    </row>
    <row r="209" spans="1:14" x14ac:dyDescent="0.25">
      <c r="A209" s="143"/>
      <c r="B209" s="5"/>
      <c r="C209" s="5"/>
      <c r="D209" s="5"/>
      <c r="E209" s="5"/>
      <c r="F209" s="5"/>
      <c r="G209" s="5"/>
      <c r="H209" s="5"/>
      <c r="I209" s="5"/>
      <c r="J209" s="5"/>
      <c r="K209" s="5"/>
      <c r="L209" s="5"/>
      <c r="M209" s="5"/>
      <c r="N209" s="150"/>
    </row>
    <row r="210" spans="1:14" x14ac:dyDescent="0.25">
      <c r="A210" s="143"/>
      <c r="B210" s="5"/>
      <c r="C210" s="5"/>
      <c r="D210" s="5"/>
      <c r="E210" s="5"/>
      <c r="F210" s="5"/>
      <c r="G210" s="5"/>
      <c r="H210" s="5"/>
      <c r="I210" s="5"/>
      <c r="J210" s="5"/>
      <c r="K210" s="5"/>
      <c r="L210" s="5"/>
      <c r="M210" s="5"/>
      <c r="N210" s="150"/>
    </row>
    <row r="211" spans="1:14" x14ac:dyDescent="0.25">
      <c r="A211" s="143"/>
      <c r="B211" s="5"/>
      <c r="C211" s="5"/>
      <c r="D211" s="5"/>
      <c r="E211" s="5"/>
      <c r="F211" s="5"/>
      <c r="G211" s="5"/>
      <c r="H211" s="5"/>
      <c r="I211" s="5"/>
      <c r="J211" s="5"/>
      <c r="K211" s="5"/>
      <c r="L211" s="5"/>
      <c r="M211" s="5"/>
      <c r="N211" s="150"/>
    </row>
    <row r="212" spans="1:14" x14ac:dyDescent="0.25">
      <c r="A212" s="143"/>
      <c r="B212" s="5"/>
      <c r="C212" s="5"/>
      <c r="D212" s="5"/>
      <c r="E212" s="5"/>
      <c r="F212" s="5"/>
      <c r="G212" s="5"/>
      <c r="H212" s="5"/>
      <c r="I212" s="5"/>
      <c r="J212" s="5"/>
      <c r="K212" s="5"/>
      <c r="L212" s="5"/>
      <c r="M212" s="5"/>
      <c r="N212" s="150"/>
    </row>
    <row r="213" spans="1:14" x14ac:dyDescent="0.25">
      <c r="A213" s="143"/>
      <c r="B213" s="5"/>
      <c r="C213" s="5"/>
      <c r="D213" s="5"/>
      <c r="E213" s="5"/>
      <c r="F213" s="5"/>
      <c r="G213" s="5"/>
      <c r="H213" s="5"/>
      <c r="I213" s="5"/>
      <c r="J213" s="5"/>
      <c r="K213" s="5"/>
      <c r="L213" s="5"/>
      <c r="M213" s="5"/>
      <c r="N213" s="150"/>
    </row>
    <row r="214" spans="1:14" x14ac:dyDescent="0.25">
      <c r="A214" s="143"/>
      <c r="B214" s="5"/>
      <c r="C214" s="5"/>
      <c r="D214" s="5"/>
      <c r="E214" s="5"/>
      <c r="F214" s="5"/>
      <c r="G214" s="5"/>
      <c r="H214" s="5"/>
      <c r="I214" s="5"/>
      <c r="J214" s="5"/>
      <c r="K214" s="5"/>
      <c r="L214" s="5"/>
      <c r="M214" s="5"/>
      <c r="N214" s="150"/>
    </row>
    <row r="215" spans="1:14" x14ac:dyDescent="0.25">
      <c r="A215" s="143"/>
      <c r="B215" s="5"/>
      <c r="C215" s="5"/>
      <c r="D215" s="5"/>
      <c r="E215" s="5"/>
      <c r="F215" s="5"/>
      <c r="G215" s="5"/>
      <c r="H215" s="5"/>
      <c r="I215" s="5"/>
      <c r="J215" s="5"/>
      <c r="K215" s="5"/>
      <c r="L215" s="5"/>
      <c r="M215" s="5"/>
      <c r="N215" s="150"/>
    </row>
    <row r="216" spans="1:14" x14ac:dyDescent="0.25">
      <c r="A216" s="143"/>
      <c r="B216" s="5"/>
      <c r="C216" s="5"/>
      <c r="D216" s="5"/>
      <c r="E216" s="5"/>
      <c r="F216" s="5"/>
      <c r="G216" s="5"/>
      <c r="H216" s="5"/>
      <c r="I216" s="5"/>
      <c r="J216" s="5"/>
      <c r="K216" s="5"/>
      <c r="L216" s="5"/>
      <c r="M216" s="5"/>
      <c r="N216" s="150"/>
    </row>
    <row r="217" spans="1:14" x14ac:dyDescent="0.25">
      <c r="A217" s="143"/>
      <c r="B217" s="5"/>
      <c r="C217" s="5"/>
      <c r="D217" s="5"/>
      <c r="E217" s="5"/>
      <c r="F217" s="5"/>
      <c r="G217" s="5"/>
      <c r="H217" s="5"/>
      <c r="I217" s="5"/>
      <c r="J217" s="5"/>
      <c r="K217" s="5"/>
      <c r="L217" s="5"/>
      <c r="M217" s="5"/>
      <c r="N217" s="150"/>
    </row>
    <row r="218" spans="1:14" x14ac:dyDescent="0.25">
      <c r="A218" s="143"/>
      <c r="B218" s="5"/>
      <c r="C218" s="5"/>
      <c r="D218" s="5"/>
      <c r="E218" s="5"/>
      <c r="F218" s="5"/>
      <c r="G218" s="5"/>
      <c r="H218" s="5"/>
      <c r="I218" s="5"/>
      <c r="J218" s="5"/>
      <c r="K218" s="5"/>
      <c r="L218" s="5"/>
      <c r="M218" s="5"/>
      <c r="N218" s="150"/>
    </row>
    <row r="219" spans="1:14" x14ac:dyDescent="0.25">
      <c r="A219" s="143"/>
      <c r="B219" s="5"/>
      <c r="C219" s="5"/>
      <c r="D219" s="5"/>
      <c r="E219" s="5"/>
      <c r="F219" s="5"/>
      <c r="G219" s="5"/>
      <c r="H219" s="5"/>
      <c r="I219" s="5"/>
      <c r="J219" s="5"/>
      <c r="K219" s="5"/>
      <c r="L219" s="5"/>
      <c r="M219" s="5"/>
      <c r="N219" s="150"/>
    </row>
    <row r="220" spans="1:14" x14ac:dyDescent="0.25">
      <c r="A220" s="143"/>
      <c r="B220" s="5"/>
      <c r="C220" s="5"/>
      <c r="D220" s="5"/>
      <c r="E220" s="5"/>
      <c r="F220" s="5"/>
      <c r="G220" s="5"/>
      <c r="H220" s="5"/>
      <c r="I220" s="5"/>
      <c r="J220" s="5"/>
      <c r="K220" s="5"/>
      <c r="L220" s="5"/>
      <c r="M220" s="5"/>
      <c r="N220" s="150"/>
    </row>
    <row r="221" spans="1:14" x14ac:dyDescent="0.25">
      <c r="A221" s="143"/>
      <c r="B221" s="5"/>
      <c r="C221" s="5"/>
      <c r="D221" s="5"/>
      <c r="E221" s="5"/>
      <c r="F221" s="5"/>
      <c r="G221" s="5"/>
      <c r="H221" s="5"/>
      <c r="I221" s="5"/>
      <c r="J221" s="5"/>
      <c r="K221" s="5"/>
      <c r="L221" s="5"/>
      <c r="M221" s="5"/>
      <c r="N221" s="150"/>
    </row>
    <row r="222" spans="1:14" x14ac:dyDescent="0.25">
      <c r="A222" s="143"/>
      <c r="B222" s="5"/>
      <c r="C222" s="5"/>
      <c r="D222" s="5"/>
      <c r="E222" s="5"/>
      <c r="F222" s="5"/>
      <c r="G222" s="5"/>
      <c r="H222" s="5"/>
      <c r="I222" s="5"/>
      <c r="J222" s="5"/>
      <c r="K222" s="5"/>
      <c r="L222" s="5"/>
      <c r="M222" s="5"/>
      <c r="N222" s="150"/>
    </row>
    <row r="223" spans="1:14" x14ac:dyDescent="0.25">
      <c r="A223" s="143"/>
      <c r="B223" s="5"/>
      <c r="C223" s="5"/>
      <c r="D223" s="5"/>
      <c r="E223" s="5"/>
      <c r="F223" s="5"/>
      <c r="G223" s="5"/>
      <c r="H223" s="5"/>
      <c r="I223" s="5"/>
      <c r="J223" s="5"/>
      <c r="K223" s="5"/>
      <c r="L223" s="5"/>
      <c r="M223" s="5"/>
      <c r="N223" s="150"/>
    </row>
    <row r="224" spans="1:14" x14ac:dyDescent="0.25">
      <c r="A224" s="143"/>
      <c r="B224" s="5"/>
      <c r="C224" s="5"/>
      <c r="D224" s="5"/>
      <c r="E224" s="5"/>
      <c r="F224" s="5"/>
      <c r="G224" s="5"/>
      <c r="H224" s="5"/>
      <c r="I224" s="5"/>
      <c r="J224" s="5"/>
      <c r="K224" s="5"/>
      <c r="L224" s="5"/>
      <c r="M224" s="5"/>
      <c r="N224" s="150"/>
    </row>
    <row r="225" spans="1:14" x14ac:dyDescent="0.25">
      <c r="A225" s="143"/>
      <c r="B225" s="5"/>
      <c r="C225" s="5"/>
      <c r="D225" s="5"/>
      <c r="E225" s="5"/>
      <c r="F225" s="5"/>
      <c r="G225" s="5"/>
      <c r="H225" s="5"/>
      <c r="I225" s="5"/>
      <c r="J225" s="5"/>
      <c r="K225" s="5"/>
      <c r="L225" s="5"/>
      <c r="M225" s="5"/>
      <c r="N225" s="150"/>
    </row>
    <row r="226" spans="1:14" x14ac:dyDescent="0.25">
      <c r="A226" s="143"/>
      <c r="B226" s="5"/>
      <c r="C226" s="5"/>
      <c r="D226" s="5"/>
      <c r="E226" s="5"/>
      <c r="F226" s="5"/>
      <c r="G226" s="5"/>
      <c r="H226" s="5"/>
      <c r="I226" s="5"/>
      <c r="J226" s="5"/>
      <c r="K226" s="5"/>
      <c r="L226" s="5"/>
      <c r="M226" s="5"/>
      <c r="N226" s="150"/>
    </row>
    <row r="227" spans="1:14" x14ac:dyDescent="0.25">
      <c r="A227" s="143"/>
      <c r="B227" s="5"/>
      <c r="C227" s="5"/>
      <c r="D227" s="5"/>
      <c r="E227" s="5"/>
      <c r="F227" s="5"/>
      <c r="G227" s="5"/>
      <c r="H227" s="5"/>
      <c r="I227" s="5"/>
      <c r="J227" s="5"/>
      <c r="K227" s="5"/>
      <c r="L227" s="5"/>
      <c r="M227" s="5"/>
      <c r="N227" s="150"/>
    </row>
    <row r="228" spans="1:14" x14ac:dyDescent="0.25">
      <c r="A228" s="143"/>
      <c r="B228" s="5"/>
      <c r="C228" s="5"/>
      <c r="D228" s="5"/>
      <c r="E228" s="5"/>
      <c r="F228" s="5"/>
      <c r="G228" s="5"/>
      <c r="H228" s="5"/>
      <c r="I228" s="5"/>
      <c r="J228" s="5"/>
      <c r="K228" s="5"/>
      <c r="L228" s="5"/>
      <c r="M228" s="5"/>
      <c r="N228" s="150"/>
    </row>
    <row r="229" spans="1:14" x14ac:dyDescent="0.25">
      <c r="A229" s="143"/>
      <c r="B229" s="5"/>
      <c r="C229" s="5"/>
      <c r="D229" s="5"/>
      <c r="E229" s="5"/>
      <c r="F229" s="5"/>
      <c r="G229" s="5"/>
      <c r="H229" s="5"/>
      <c r="I229" s="5"/>
      <c r="J229" s="5"/>
      <c r="K229" s="5"/>
      <c r="L229" s="5"/>
      <c r="M229" s="5"/>
      <c r="N229" s="150"/>
    </row>
    <row r="230" spans="1:14" x14ac:dyDescent="0.25">
      <c r="A230" s="143"/>
      <c r="B230" s="5"/>
      <c r="C230" s="5"/>
      <c r="D230" s="5"/>
      <c r="E230" s="5"/>
      <c r="F230" s="5"/>
      <c r="G230" s="5"/>
      <c r="H230" s="5"/>
      <c r="I230" s="5"/>
      <c r="J230" s="5"/>
      <c r="K230" s="5"/>
      <c r="L230" s="5"/>
      <c r="M230" s="5"/>
      <c r="N230" s="150"/>
    </row>
    <row r="231" spans="1:14" x14ac:dyDescent="0.25">
      <c r="A231" s="143"/>
      <c r="B231" s="5"/>
      <c r="C231" s="5"/>
      <c r="D231" s="5"/>
      <c r="E231" s="5"/>
      <c r="F231" s="5"/>
      <c r="G231" s="5"/>
      <c r="H231" s="5"/>
      <c r="I231" s="5"/>
      <c r="J231" s="5"/>
      <c r="K231" s="5"/>
      <c r="L231" s="5"/>
      <c r="M231" s="5"/>
      <c r="N231" s="150"/>
    </row>
    <row r="232" spans="1:14" x14ac:dyDescent="0.25">
      <c r="A232" s="143"/>
      <c r="B232" s="5"/>
      <c r="C232" s="5"/>
      <c r="D232" s="5"/>
      <c r="E232" s="5"/>
      <c r="F232" s="5"/>
      <c r="G232" s="5"/>
      <c r="H232" s="5"/>
      <c r="I232" s="5"/>
      <c r="J232" s="5"/>
      <c r="K232" s="5"/>
      <c r="L232" s="5"/>
      <c r="M232" s="5"/>
      <c r="N232" s="150"/>
    </row>
    <row r="233" spans="1:14" x14ac:dyDescent="0.25">
      <c r="A233" s="143"/>
      <c r="B233" s="5"/>
      <c r="C233" s="5"/>
      <c r="D233" s="5"/>
      <c r="E233" s="5"/>
      <c r="F233" s="5"/>
      <c r="G233" s="5"/>
      <c r="H233" s="5"/>
      <c r="I233" s="5"/>
      <c r="J233" s="5"/>
      <c r="K233" s="5"/>
      <c r="L233" s="5"/>
      <c r="M233" s="5"/>
      <c r="N233" s="150"/>
    </row>
    <row r="234" spans="1:14" x14ac:dyDescent="0.25">
      <c r="A234" s="143"/>
      <c r="B234" s="5"/>
      <c r="C234" s="5"/>
      <c r="D234" s="5"/>
      <c r="E234" s="5"/>
      <c r="F234" s="5"/>
      <c r="G234" s="5"/>
      <c r="H234" s="5"/>
      <c r="I234" s="5"/>
      <c r="J234" s="5"/>
      <c r="K234" s="5"/>
      <c r="L234" s="5"/>
      <c r="M234" s="5"/>
      <c r="N234" s="150"/>
    </row>
    <row r="235" spans="1:14" x14ac:dyDescent="0.25">
      <c r="A235" s="143"/>
      <c r="B235" s="5"/>
      <c r="C235" s="5"/>
      <c r="D235" s="5"/>
      <c r="E235" s="5"/>
      <c r="F235" s="5"/>
      <c r="G235" s="5"/>
      <c r="H235" s="5"/>
      <c r="I235" s="5"/>
      <c r="J235" s="5"/>
      <c r="K235" s="5"/>
      <c r="L235" s="5"/>
      <c r="M235" s="5"/>
      <c r="N235" s="150"/>
    </row>
    <row r="236" spans="1:14" x14ac:dyDescent="0.25">
      <c r="A236" s="143"/>
      <c r="B236" s="5"/>
      <c r="C236" s="5"/>
      <c r="D236" s="5"/>
      <c r="E236" s="5"/>
      <c r="F236" s="5"/>
      <c r="G236" s="5"/>
      <c r="H236" s="5"/>
      <c r="I236" s="5"/>
      <c r="J236" s="5"/>
      <c r="K236" s="5"/>
      <c r="L236" s="5"/>
      <c r="M236" s="5"/>
      <c r="N236" s="150"/>
    </row>
    <row r="237" spans="1:14" x14ac:dyDescent="0.25">
      <c r="A237" s="143"/>
      <c r="B237" s="5"/>
      <c r="C237" s="5"/>
      <c r="D237" s="5"/>
      <c r="E237" s="5"/>
      <c r="F237" s="5"/>
      <c r="G237" s="5"/>
      <c r="H237" s="5"/>
      <c r="I237" s="5"/>
      <c r="J237" s="5"/>
      <c r="K237" s="5"/>
      <c r="L237" s="5"/>
      <c r="M237" s="5"/>
      <c r="N237" s="150"/>
    </row>
    <row r="238" spans="1:14" x14ac:dyDescent="0.25">
      <c r="A238" s="143"/>
      <c r="B238" s="5"/>
      <c r="C238" s="5"/>
      <c r="D238" s="5"/>
      <c r="E238" s="5"/>
      <c r="F238" s="5"/>
      <c r="G238" s="5"/>
      <c r="H238" s="5"/>
      <c r="I238" s="5"/>
      <c r="J238" s="5"/>
      <c r="K238" s="5"/>
      <c r="L238" s="5"/>
      <c r="M238" s="5"/>
      <c r="N238" s="150"/>
    </row>
    <row r="239" spans="1:14" x14ac:dyDescent="0.25">
      <c r="A239" s="143"/>
      <c r="B239" s="5"/>
      <c r="C239" s="5"/>
      <c r="D239" s="5"/>
      <c r="E239" s="5"/>
      <c r="F239" s="5"/>
      <c r="G239" s="5"/>
      <c r="H239" s="5"/>
      <c r="I239" s="5"/>
      <c r="J239" s="5"/>
      <c r="K239" s="5"/>
      <c r="L239" s="5"/>
      <c r="M239" s="5"/>
      <c r="N239" s="150"/>
    </row>
    <row r="240" spans="1:14" x14ac:dyDescent="0.25">
      <c r="A240" s="143"/>
      <c r="B240" s="5"/>
      <c r="C240" s="5"/>
      <c r="D240" s="5"/>
      <c r="E240" s="5"/>
      <c r="F240" s="5"/>
      <c r="G240" s="5"/>
      <c r="H240" s="5"/>
      <c r="I240" s="5"/>
      <c r="J240" s="5"/>
      <c r="K240" s="5"/>
      <c r="L240" s="5"/>
      <c r="M240" s="5"/>
      <c r="N240" s="150"/>
    </row>
    <row r="241" spans="1:14" x14ac:dyDescent="0.25">
      <c r="A241" s="143"/>
      <c r="B241" s="5"/>
      <c r="C241" s="5"/>
      <c r="D241" s="5"/>
      <c r="E241" s="5"/>
      <c r="F241" s="5"/>
      <c r="G241" s="5"/>
      <c r="H241" s="5"/>
      <c r="I241" s="5"/>
      <c r="J241" s="5"/>
      <c r="K241" s="5"/>
      <c r="L241" s="5"/>
      <c r="M241" s="5"/>
      <c r="N241" s="150"/>
    </row>
    <row r="242" spans="1:14" x14ac:dyDescent="0.25">
      <c r="A242" s="143"/>
      <c r="B242" s="5"/>
      <c r="C242" s="5"/>
      <c r="D242" s="5"/>
      <c r="E242" s="5"/>
      <c r="F242" s="5"/>
      <c r="G242" s="5"/>
      <c r="H242" s="5"/>
      <c r="I242" s="5"/>
      <c r="J242" s="5"/>
      <c r="K242" s="5"/>
      <c r="L242" s="5"/>
      <c r="M242" s="5"/>
      <c r="N242" s="150"/>
    </row>
    <row r="243" spans="1:14" x14ac:dyDescent="0.25">
      <c r="A243" s="143"/>
      <c r="B243" s="5"/>
      <c r="C243" s="5"/>
      <c r="D243" s="5"/>
      <c r="E243" s="5"/>
      <c r="F243" s="5"/>
      <c r="G243" s="5"/>
      <c r="H243" s="5"/>
      <c r="I243" s="5"/>
      <c r="J243" s="5"/>
      <c r="K243" s="5"/>
      <c r="L243" s="5"/>
      <c r="M243" s="5"/>
      <c r="N243" s="150"/>
    </row>
    <row r="244" spans="1:14" x14ac:dyDescent="0.25">
      <c r="A244" s="143"/>
      <c r="B244" s="5"/>
      <c r="C244" s="5"/>
      <c r="D244" s="5"/>
      <c r="E244" s="5"/>
      <c r="F244" s="5"/>
      <c r="G244" s="5"/>
      <c r="H244" s="5"/>
      <c r="I244" s="5"/>
      <c r="J244" s="5"/>
      <c r="K244" s="5"/>
      <c r="L244" s="5"/>
      <c r="M244" s="5"/>
      <c r="N244" s="150"/>
    </row>
    <row r="245" spans="1:14" x14ac:dyDescent="0.25">
      <c r="A245" s="143"/>
      <c r="B245" s="5"/>
      <c r="C245" s="5"/>
      <c r="D245" s="5"/>
      <c r="E245" s="5"/>
      <c r="F245" s="5"/>
      <c r="G245" s="5"/>
      <c r="H245" s="5"/>
      <c r="I245" s="5"/>
      <c r="J245" s="5"/>
      <c r="K245" s="5"/>
      <c r="L245" s="5"/>
      <c r="M245" s="5"/>
      <c r="N245" s="150"/>
    </row>
    <row r="246" spans="1:14" x14ac:dyDescent="0.25">
      <c r="A246" s="143"/>
      <c r="B246" s="5"/>
      <c r="C246" s="5"/>
      <c r="D246" s="5"/>
      <c r="E246" s="5"/>
      <c r="F246" s="5"/>
      <c r="G246" s="5"/>
      <c r="H246" s="5"/>
      <c r="I246" s="5"/>
      <c r="J246" s="5"/>
      <c r="K246" s="5"/>
      <c r="L246" s="5"/>
      <c r="M246" s="5"/>
      <c r="N246" s="150"/>
    </row>
    <row r="247" spans="1:14" x14ac:dyDescent="0.25">
      <c r="A247" s="143"/>
      <c r="B247" s="5"/>
      <c r="C247" s="5"/>
      <c r="D247" s="5"/>
      <c r="E247" s="5"/>
      <c r="F247" s="5"/>
      <c r="G247" s="5"/>
      <c r="H247" s="5"/>
      <c r="I247" s="5"/>
      <c r="J247" s="5"/>
      <c r="K247" s="5"/>
      <c r="L247" s="5"/>
      <c r="M247" s="5"/>
      <c r="N247" s="150"/>
    </row>
    <row r="248" spans="1:14" x14ac:dyDescent="0.25">
      <c r="A248" s="143"/>
      <c r="B248" s="5"/>
      <c r="C248" s="5"/>
      <c r="D248" s="5"/>
      <c r="E248" s="5"/>
      <c r="F248" s="5"/>
      <c r="G248" s="5"/>
      <c r="H248" s="5"/>
      <c r="I248" s="5"/>
      <c r="J248" s="5"/>
      <c r="K248" s="5"/>
      <c r="L248" s="5"/>
      <c r="M248" s="5"/>
      <c r="N248" s="150"/>
    </row>
    <row r="249" spans="1:14" x14ac:dyDescent="0.25">
      <c r="A249" s="143"/>
      <c r="B249" s="5"/>
      <c r="C249" s="5"/>
      <c r="D249" s="5"/>
      <c r="E249" s="5"/>
      <c r="F249" s="5"/>
      <c r="G249" s="5"/>
      <c r="H249" s="5"/>
      <c r="I249" s="5"/>
      <c r="J249" s="5"/>
      <c r="K249" s="5"/>
      <c r="L249" s="5"/>
      <c r="M249" s="5"/>
      <c r="N249" s="150"/>
    </row>
    <row r="250" spans="1:14" x14ac:dyDescent="0.25">
      <c r="A250" s="143"/>
      <c r="B250" s="5"/>
      <c r="C250" s="5"/>
      <c r="D250" s="5"/>
      <c r="E250" s="5"/>
      <c r="F250" s="5"/>
      <c r="G250" s="5"/>
      <c r="H250" s="5"/>
      <c r="I250" s="5"/>
      <c r="J250" s="5"/>
      <c r="K250" s="5"/>
      <c r="L250" s="5"/>
      <c r="M250" s="5"/>
      <c r="N250" s="150"/>
    </row>
    <row r="251" spans="1:14" x14ac:dyDescent="0.25">
      <c r="A251" s="143"/>
      <c r="B251" s="5"/>
      <c r="C251" s="5"/>
      <c r="D251" s="5"/>
      <c r="E251" s="5"/>
      <c r="F251" s="5"/>
      <c r="G251" s="5"/>
      <c r="H251" s="5"/>
      <c r="I251" s="5"/>
      <c r="J251" s="5"/>
      <c r="K251" s="5"/>
      <c r="L251" s="5"/>
      <c r="M251" s="5"/>
      <c r="N251" s="150"/>
    </row>
    <row r="252" spans="1:14" x14ac:dyDescent="0.25">
      <c r="A252" s="143"/>
      <c r="B252" s="5"/>
      <c r="C252" s="5"/>
      <c r="D252" s="5"/>
      <c r="E252" s="5"/>
      <c r="F252" s="5"/>
      <c r="G252" s="5"/>
      <c r="H252" s="5"/>
      <c r="I252" s="5"/>
      <c r="J252" s="5"/>
      <c r="K252" s="5"/>
      <c r="L252" s="5"/>
      <c r="M252" s="5"/>
      <c r="N252" s="150"/>
    </row>
    <row r="253" spans="1:14" x14ac:dyDescent="0.25">
      <c r="A253" s="143"/>
      <c r="B253" s="5"/>
      <c r="C253" s="5"/>
      <c r="D253" s="5"/>
      <c r="E253" s="5"/>
      <c r="F253" s="5"/>
      <c r="G253" s="5"/>
      <c r="H253" s="5"/>
      <c r="I253" s="5"/>
      <c r="J253" s="5"/>
      <c r="K253" s="5"/>
      <c r="L253" s="5"/>
      <c r="M253" s="5"/>
      <c r="N253" s="150"/>
    </row>
    <row r="254" spans="1:14" x14ac:dyDescent="0.25">
      <c r="A254" s="143"/>
      <c r="B254" s="5"/>
      <c r="C254" s="5"/>
      <c r="D254" s="5"/>
      <c r="E254" s="5"/>
      <c r="F254" s="5"/>
      <c r="G254" s="5"/>
      <c r="H254" s="5"/>
      <c r="I254" s="5"/>
      <c r="J254" s="5"/>
      <c r="K254" s="5"/>
      <c r="L254" s="5"/>
      <c r="M254" s="5"/>
      <c r="N254" s="150"/>
    </row>
    <row r="255" spans="1:14" x14ac:dyDescent="0.25">
      <c r="A255" s="143"/>
      <c r="B255" s="5"/>
      <c r="C255" s="5"/>
      <c r="D255" s="5"/>
      <c r="E255" s="5"/>
      <c r="F255" s="5"/>
      <c r="G255" s="5"/>
      <c r="H255" s="5"/>
      <c r="I255" s="5"/>
      <c r="J255" s="5"/>
      <c r="K255" s="5"/>
      <c r="L255" s="5"/>
      <c r="M255" s="5"/>
      <c r="N255" s="150"/>
    </row>
    <row r="256" spans="1:14" x14ac:dyDescent="0.25">
      <c r="A256" s="143"/>
      <c r="B256" s="5"/>
      <c r="C256" s="5"/>
      <c r="D256" s="5"/>
      <c r="E256" s="5"/>
      <c r="F256" s="5"/>
      <c r="G256" s="5"/>
      <c r="H256" s="5"/>
      <c r="I256" s="5"/>
      <c r="J256" s="5"/>
      <c r="K256" s="5"/>
      <c r="L256" s="5"/>
      <c r="M256" s="5"/>
      <c r="N256" s="150"/>
    </row>
    <row r="257" spans="1:14" x14ac:dyDescent="0.25">
      <c r="A257" s="143"/>
      <c r="B257" s="5"/>
      <c r="C257" s="5"/>
      <c r="D257" s="5"/>
      <c r="E257" s="5"/>
      <c r="F257" s="5"/>
      <c r="G257" s="5"/>
      <c r="H257" s="5"/>
      <c r="I257" s="5"/>
      <c r="J257" s="5"/>
      <c r="K257" s="5"/>
      <c r="L257" s="5"/>
      <c r="M257" s="5"/>
      <c r="N257" s="150"/>
    </row>
    <row r="258" spans="1:14" x14ac:dyDescent="0.25">
      <c r="A258" s="143"/>
      <c r="B258" s="5"/>
      <c r="C258" s="5"/>
      <c r="D258" s="5"/>
      <c r="E258" s="5"/>
      <c r="F258" s="5"/>
      <c r="G258" s="5"/>
      <c r="H258" s="5"/>
      <c r="I258" s="5"/>
      <c r="J258" s="5"/>
      <c r="K258" s="5"/>
      <c r="L258" s="5"/>
      <c r="M258" s="5"/>
      <c r="N258" s="150"/>
    </row>
    <row r="259" spans="1:14" x14ac:dyDescent="0.25">
      <c r="A259" s="143"/>
      <c r="B259" s="5"/>
      <c r="C259" s="5"/>
      <c r="D259" s="5"/>
      <c r="E259" s="5"/>
      <c r="F259" s="5"/>
      <c r="G259" s="5"/>
      <c r="H259" s="5"/>
      <c r="I259" s="5"/>
      <c r="J259" s="5"/>
      <c r="K259" s="5"/>
      <c r="L259" s="5"/>
      <c r="M259" s="5"/>
      <c r="N259" s="150"/>
    </row>
    <row r="260" spans="1:14" x14ac:dyDescent="0.25">
      <c r="A260" s="143"/>
      <c r="B260" s="5"/>
      <c r="C260" s="5"/>
      <c r="D260" s="5"/>
      <c r="E260" s="5"/>
      <c r="F260" s="5"/>
      <c r="G260" s="5"/>
      <c r="H260" s="5"/>
      <c r="I260" s="5"/>
      <c r="J260" s="5"/>
      <c r="K260" s="5"/>
      <c r="L260" s="5"/>
      <c r="M260" s="5"/>
      <c r="N260" s="150"/>
    </row>
    <row r="261" spans="1:14" x14ac:dyDescent="0.25">
      <c r="A261" s="143"/>
      <c r="B261" s="5"/>
      <c r="C261" s="5"/>
      <c r="D261" s="5"/>
      <c r="E261" s="5"/>
      <c r="F261" s="5"/>
      <c r="G261" s="5"/>
      <c r="H261" s="5"/>
      <c r="I261" s="5"/>
      <c r="J261" s="5"/>
      <c r="K261" s="5"/>
      <c r="L261" s="5"/>
      <c r="M261" s="5"/>
      <c r="N261" s="150"/>
    </row>
    <row r="262" spans="1:14" x14ac:dyDescent="0.25">
      <c r="A262" s="143"/>
      <c r="B262" s="5"/>
      <c r="C262" s="5"/>
      <c r="D262" s="5"/>
      <c r="E262" s="5"/>
      <c r="F262" s="5"/>
      <c r="G262" s="5"/>
      <c r="H262" s="5"/>
      <c r="I262" s="5"/>
      <c r="J262" s="5"/>
      <c r="K262" s="5"/>
      <c r="L262" s="5"/>
      <c r="M262" s="5"/>
      <c r="N262" s="150"/>
    </row>
    <row r="263" spans="1:14" x14ac:dyDescent="0.25">
      <c r="A263" s="143"/>
      <c r="B263" s="5"/>
      <c r="C263" s="5"/>
      <c r="D263" s="5"/>
      <c r="E263" s="5"/>
      <c r="F263" s="5"/>
      <c r="G263" s="5"/>
      <c r="H263" s="5"/>
      <c r="I263" s="5"/>
      <c r="J263" s="5"/>
      <c r="K263" s="5"/>
      <c r="L263" s="5"/>
      <c r="M263" s="5"/>
      <c r="N263" s="150"/>
    </row>
    <row r="264" spans="1:14" x14ac:dyDescent="0.25">
      <c r="A264" s="143"/>
      <c r="B264" s="5"/>
      <c r="C264" s="5"/>
      <c r="D264" s="5"/>
      <c r="E264" s="5"/>
      <c r="F264" s="5"/>
      <c r="G264" s="5"/>
      <c r="H264" s="5"/>
      <c r="I264" s="5"/>
      <c r="J264" s="5"/>
      <c r="K264" s="5"/>
      <c r="L264" s="5"/>
      <c r="M264" s="5"/>
      <c r="N264" s="150"/>
    </row>
    <row r="265" spans="1:14" x14ac:dyDescent="0.25">
      <c r="A265" s="143"/>
      <c r="B265" s="5"/>
      <c r="C265" s="5"/>
      <c r="D265" s="5"/>
      <c r="E265" s="5"/>
      <c r="F265" s="5"/>
      <c r="G265" s="5"/>
      <c r="H265" s="5"/>
      <c r="I265" s="5"/>
      <c r="J265" s="5"/>
      <c r="K265" s="5"/>
      <c r="L265" s="5"/>
      <c r="M265" s="5"/>
      <c r="N265" s="150"/>
    </row>
    <row r="266" spans="1:14" x14ac:dyDescent="0.25">
      <c r="A266" s="143"/>
      <c r="B266" s="5"/>
      <c r="C266" s="5"/>
      <c r="D266" s="5"/>
      <c r="E266" s="5"/>
      <c r="F266" s="5"/>
      <c r="G266" s="5"/>
      <c r="H266" s="5"/>
      <c r="I266" s="5"/>
      <c r="J266" s="5"/>
      <c r="K266" s="5"/>
      <c r="L266" s="5"/>
      <c r="M266" s="5"/>
      <c r="N266" s="150"/>
    </row>
    <row r="267" spans="1:14" x14ac:dyDescent="0.25">
      <c r="A267" s="143"/>
      <c r="B267" s="5"/>
      <c r="C267" s="5"/>
      <c r="D267" s="5"/>
      <c r="E267" s="5"/>
      <c r="F267" s="5"/>
      <c r="G267" s="5"/>
      <c r="H267" s="5"/>
      <c r="I267" s="5"/>
      <c r="J267" s="5"/>
      <c r="K267" s="5"/>
      <c r="L267" s="5"/>
      <c r="M267" s="5"/>
      <c r="N267" s="150"/>
    </row>
    <row r="268" spans="1:14" x14ac:dyDescent="0.25">
      <c r="A268" s="143"/>
      <c r="B268" s="5"/>
      <c r="C268" s="5"/>
      <c r="D268" s="5"/>
      <c r="E268" s="5"/>
      <c r="F268" s="5"/>
      <c r="G268" s="5"/>
      <c r="H268" s="5"/>
      <c r="I268" s="5"/>
      <c r="J268" s="5"/>
      <c r="K268" s="5"/>
      <c r="L268" s="5"/>
      <c r="M268" s="5"/>
      <c r="N268" s="150"/>
    </row>
    <row r="269" spans="1:14" x14ac:dyDescent="0.25">
      <c r="A269" s="143"/>
      <c r="B269" s="5"/>
      <c r="C269" s="5"/>
      <c r="D269" s="5"/>
      <c r="E269" s="5"/>
      <c r="F269" s="5"/>
      <c r="G269" s="5"/>
      <c r="H269" s="5"/>
      <c r="I269" s="5"/>
      <c r="J269" s="5"/>
      <c r="K269" s="5"/>
      <c r="L269" s="5"/>
      <c r="M269" s="5"/>
      <c r="N269" s="150"/>
    </row>
    <row r="270" spans="1:14" x14ac:dyDescent="0.25">
      <c r="A270" s="143"/>
      <c r="B270" s="5"/>
      <c r="C270" s="5"/>
      <c r="D270" s="5"/>
      <c r="E270" s="5"/>
      <c r="F270" s="5"/>
      <c r="G270" s="5"/>
      <c r="H270" s="5"/>
      <c r="I270" s="5"/>
      <c r="J270" s="5"/>
      <c r="K270" s="5"/>
      <c r="L270" s="5"/>
      <c r="M270" s="5"/>
      <c r="N270" s="150"/>
    </row>
    <row r="271" spans="1:14" x14ac:dyDescent="0.25">
      <c r="A271" s="143"/>
      <c r="B271" s="5"/>
      <c r="C271" s="5"/>
      <c r="D271" s="5"/>
      <c r="E271" s="5"/>
      <c r="F271" s="5"/>
      <c r="G271" s="5"/>
      <c r="H271" s="5"/>
      <c r="I271" s="5"/>
      <c r="J271" s="5"/>
      <c r="K271" s="5"/>
      <c r="L271" s="5"/>
      <c r="M271" s="5"/>
      <c r="N271" s="150"/>
    </row>
    <row r="272" spans="1:14" x14ac:dyDescent="0.25">
      <c r="A272" s="143"/>
      <c r="B272" s="5"/>
      <c r="C272" s="5"/>
      <c r="D272" s="5"/>
      <c r="E272" s="5"/>
      <c r="F272" s="5"/>
      <c r="G272" s="5"/>
      <c r="H272" s="5"/>
      <c r="I272" s="5"/>
      <c r="J272" s="5"/>
      <c r="K272" s="5"/>
      <c r="L272" s="5"/>
      <c r="M272" s="5"/>
      <c r="N272" s="150"/>
    </row>
    <row r="273" spans="1:14" x14ac:dyDescent="0.25">
      <c r="A273" s="143"/>
      <c r="B273" s="5"/>
      <c r="C273" s="5"/>
      <c r="D273" s="5"/>
      <c r="E273" s="5"/>
      <c r="F273" s="5"/>
      <c r="G273" s="5"/>
      <c r="H273" s="5"/>
      <c r="I273" s="5"/>
      <c r="J273" s="5"/>
      <c r="K273" s="5"/>
      <c r="L273" s="5"/>
      <c r="M273" s="5"/>
      <c r="N273" s="150"/>
    </row>
    <row r="274" spans="1:14" x14ac:dyDescent="0.25">
      <c r="A274" s="143"/>
      <c r="B274" s="5"/>
      <c r="C274" s="5"/>
      <c r="D274" s="5"/>
      <c r="E274" s="5"/>
      <c r="F274" s="5"/>
      <c r="G274" s="5"/>
      <c r="H274" s="5"/>
      <c r="I274" s="5"/>
      <c r="J274" s="5"/>
      <c r="K274" s="5"/>
      <c r="L274" s="5"/>
      <c r="M274" s="5"/>
      <c r="N274" s="150"/>
    </row>
    <row r="275" spans="1:14" x14ac:dyDescent="0.25">
      <c r="A275" s="143"/>
      <c r="B275" s="5"/>
      <c r="C275" s="5"/>
      <c r="D275" s="5"/>
      <c r="E275" s="5"/>
      <c r="F275" s="5"/>
      <c r="G275" s="5"/>
      <c r="H275" s="5"/>
      <c r="I275" s="5"/>
      <c r="J275" s="5"/>
      <c r="K275" s="5"/>
      <c r="L275" s="5"/>
      <c r="M275" s="5"/>
      <c r="N275" s="150"/>
    </row>
    <row r="276" spans="1:14" x14ac:dyDescent="0.25">
      <c r="A276" s="143"/>
      <c r="B276" s="5"/>
      <c r="C276" s="5"/>
      <c r="D276" s="5"/>
      <c r="E276" s="5"/>
      <c r="F276" s="5"/>
      <c r="G276" s="5"/>
      <c r="H276" s="5"/>
      <c r="I276" s="5"/>
      <c r="J276" s="5"/>
      <c r="K276" s="5"/>
      <c r="L276" s="5"/>
      <c r="M276" s="5"/>
      <c r="N276" s="150"/>
    </row>
    <row r="277" spans="1:14" x14ac:dyDescent="0.25">
      <c r="A277" s="143"/>
      <c r="B277" s="5"/>
      <c r="C277" s="5"/>
      <c r="D277" s="5"/>
      <c r="E277" s="5"/>
      <c r="F277" s="5"/>
      <c r="G277" s="5"/>
      <c r="H277" s="5"/>
      <c r="I277" s="5"/>
      <c r="J277" s="5"/>
      <c r="K277" s="5"/>
      <c r="L277" s="5"/>
      <c r="M277" s="5"/>
      <c r="N277" s="150"/>
    </row>
    <row r="278" spans="1:14" x14ac:dyDescent="0.25">
      <c r="A278" s="143"/>
      <c r="B278" s="5"/>
      <c r="C278" s="5"/>
      <c r="D278" s="5"/>
      <c r="E278" s="5"/>
      <c r="F278" s="5"/>
      <c r="G278" s="5"/>
      <c r="H278" s="5"/>
      <c r="I278" s="5"/>
      <c r="J278" s="5"/>
      <c r="K278" s="5"/>
      <c r="L278" s="5"/>
      <c r="M278" s="5"/>
      <c r="N278" s="150"/>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K7" sqref="K7"/>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0" t="s">
        <v>1354</v>
      </c>
      <c r="B1" s="200" t="s">
        <v>1385</v>
      </c>
      <c r="C1" s="200" t="s">
        <v>1345</v>
      </c>
      <c r="D1" s="200" t="s">
        <v>1299</v>
      </c>
      <c r="E1" s="200" t="s">
        <v>1384</v>
      </c>
      <c r="F1" s="200" t="s">
        <v>1386</v>
      </c>
      <c r="G1" s="200" t="s">
        <v>1358</v>
      </c>
      <c r="H1" s="200" t="s">
        <v>1388</v>
      </c>
      <c r="I1" s="200" t="s">
        <v>1389</v>
      </c>
      <c r="J1" s="200" t="s">
        <v>1383</v>
      </c>
      <c r="K1" s="200" t="s">
        <v>1403</v>
      </c>
      <c r="L1" s="200"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1" t="str">
        <f>IF(SpecimenColumnFinder[[#This Row],[Num Given]]&lt;SpecimenColumnFinder[[#This Row],[Num Required]],
"MISSING",
"OK")</f>
        <v>OK</v>
      </c>
      <c r="K2"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1" t="e">
        <f>INDIRECT(SpecimenColumnFinder[[#This Row],[First Value Address]],FALSE)</f>
        <v>#N/A</v>
      </c>
    </row>
    <row r="3" spans="1:15" x14ac:dyDescent="0.25">
      <c r="A3" s="6" t="s">
        <v>1423</v>
      </c>
      <c r="B3" s="6" t="s">
        <v>1179</v>
      </c>
      <c r="D3" s="6" t="s">
        <v>1299</v>
      </c>
      <c r="E3" s="6" t="s">
        <v>1337</v>
      </c>
      <c r="F3" s="201">
        <f>MATCH(SpecimenColumnFinder[[#This Row],[DataType]],DataColumns[#Headers],0)</f>
        <v>9</v>
      </c>
      <c r="G3" s="201" t="e">
        <f>MATCH(SpecimenColumnFinder[[#This Row],[DataType]],DataColumns[ColumnType],0)</f>
        <v>#N/A</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1" t="str">
        <f>IF(SpecimenColumnFinder[[#This Row],[Num Given]]&lt;SpecimenColumnFinder[[#This Row],[Num Required]],
"MISSING",
"OK")</f>
        <v>MISSING</v>
      </c>
      <c r="K3"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1"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1" t="str">
        <f>IF(SpecimenColumnFinder[[#This Row],[Num Given]]&lt;SpecimenColumnFinder[[#This Row],[Num Required]],
"MISSING",
"OK")</f>
        <v>MISSING</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1"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1" t="str">
        <f>IF(SpecimenColumnFinder[[#This Row],[Num Given]]&lt;SpecimenColumnFinder[[#This Row],[Num Required]],
"MISSING",
"OK")</f>
        <v>MISSING</v>
      </c>
      <c r="K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1"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1" t="str">
        <f>IF(SpecimenColumnFinder[[#This Row],[Num Given]]&lt;SpecimenColumnFinder[[#This Row],[Num Required]],
"MISSING",
"OK")</f>
        <v>OK</v>
      </c>
      <c r="K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1"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1" t="str">
        <f>IF(SpecimenColumnFinder[[#This Row],[Num Given]]&lt;SpecimenColumnFinder[[#This Row],[Num Required]],
"MISSING",
"OK")</f>
        <v>OK</v>
      </c>
      <c r="K7"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1" t="e">
        <f>INDIRECT(SpecimenColumnFinder[[#This Row],[First Value Address]],FALSE)</f>
        <v>#N/A</v>
      </c>
      <c r="O7" s="202"/>
    </row>
    <row r="8" spans="1:15" x14ac:dyDescent="0.25">
      <c r="A8" s="6" t="s">
        <v>198</v>
      </c>
      <c r="B8" s="6" t="s">
        <v>1381</v>
      </c>
      <c r="C8" s="6" t="s">
        <v>198</v>
      </c>
      <c r="D8" s="6" t="s">
        <v>1344</v>
      </c>
      <c r="E8" s="6" t="s">
        <v>1337</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1" t="str">
        <f>IF(SpecimenColumnFinder[[#This Row],[Num Given]]&lt;SpecimenColumnFinder[[#This Row],[Num Required]],
"MISSING",
"OK")</f>
        <v>OK</v>
      </c>
      <c r="K8"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1"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1" t="str">
        <f>IF(SpecimenColumnFinder[[#This Row],[Num Given]]&lt;SpecimenColumnFinder[[#This Row],[Num Required]],
"MISSING",
"OK")</f>
        <v>MISSING</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1" t="e">
        <f>INDIRECT(SpecimenColumnFinder[[#This Row],[First Value Address]],FALSE)</f>
        <v>#REF!</v>
      </c>
    </row>
    <row r="10" spans="1:15" x14ac:dyDescent="0.25">
      <c r="A10" s="6" t="s">
        <v>1331</v>
      </c>
      <c r="B10" s="6" t="s">
        <v>1342</v>
      </c>
      <c r="D10" s="6" t="s">
        <v>1344</v>
      </c>
      <c r="E10" s="6" t="s">
        <v>1338</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1" t="str">
        <f>IF(SpecimenColumnFinder[[#This Row],[Num Given]]&lt;SpecimenColumnFinder[[#This Row],[Num Required]],
"MISSING",
"OK")</f>
        <v>MISSING</v>
      </c>
      <c r="K14"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1"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1" t="str">
        <f>IF(SpecimenColumnFinder[[#This Row],[Num Given]]&lt;SpecimenColumnFinder[[#This Row],[Num Required]],
"MISSING",
"OK")</f>
        <v>MISSING</v>
      </c>
      <c r="K1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1"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1" t="str">
        <f>IF(SpecimenColumnFinder[[#This Row],[Num Given]]&lt;SpecimenColumnFinder[[#This Row],[Num Required]],
"MISSING",
"OK")</f>
        <v>MISSING</v>
      </c>
      <c r="K1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3" t="s">
        <v>1354</v>
      </c>
      <c r="B1" s="203" t="s">
        <v>1385</v>
      </c>
      <c r="C1" s="203" t="s">
        <v>1345</v>
      </c>
      <c r="D1" s="203" t="s">
        <v>1299</v>
      </c>
      <c r="E1" s="203" t="s">
        <v>1384</v>
      </c>
      <c r="F1" s="203" t="s">
        <v>1400</v>
      </c>
      <c r="G1" s="203" t="s">
        <v>1399</v>
      </c>
      <c r="H1" s="203" t="s">
        <v>1401</v>
      </c>
      <c r="I1" s="203" t="s">
        <v>1405</v>
      </c>
      <c r="J1" s="203" t="s">
        <v>1386</v>
      </c>
      <c r="K1" s="203" t="s">
        <v>1402</v>
      </c>
      <c r="L1" s="203" t="s">
        <v>1358</v>
      </c>
      <c r="M1" s="203" t="s">
        <v>1388</v>
      </c>
      <c r="N1" s="203" t="s">
        <v>1389</v>
      </c>
      <c r="O1" s="203" t="s">
        <v>1383</v>
      </c>
      <c r="P1" s="203" t="s">
        <v>1403</v>
      </c>
      <c r="Q1" s="203"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AN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
", EndDateTimeUTCOffset:  """,
", ActionDescription:  ",CHAR(34),"Action generated by Excel Template for ",TemplateProfile," v.",TemplateVersion,CHAR(34),
", ActionFileLink:  """,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
", EndDateTimeUTCOffset:  """,
", ActionDescription:  ",CHAR(34),"Action generated by Excel Template for ",TemplateProfile," v.",TemplateVersion,CHAR(34),
", ActionFileLink:  """,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
"}")))</f>
        <v>#N/A</v>
      </c>
      <c r="BD4" s="26" t="str">
        <f>IF(ROW()-3&gt;NumDataColumns*NumSpecimens,"",
IF(AT4="","",
IF(AX4="","",
CONCATENATE("  - {",
"ActionObj:  *ActionID",TEXT(ROW()-3+NumSpecimens,"00000"),
", AffiliationObj:  ",AX4,
", IsActionLead: TRUE",
", RoleDescription: """,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
", XLocationUnitsObj:  ","",
", YLocation:  """,
", YLocationUnitsObj:  ","",
", ZLocation:  """,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
", XLocationUnitsObj:  ","",
", YLocation:  """,
", YLocationUnitsObj:  ","",
", ZLocation:  """,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v0.1.0-alpha+20150427.124146",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
", EndDateTimeUTCOffset:  """,
", ActionDescription:  ",CHAR(34),"Action generated by Excel Template for ",TemplateProfile," v.",TemplateVersion,CHAR(34),
", ActionFileLink:  """,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
", EndDateTimeUTCOffset:  """,
", ActionDescription:  ",CHAR(34),"Action generated by Excel Template for ",TemplateProfile," v.",TemplateVersion,CHAR(34),
", ActionFileLink:  """,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
"}")))</f>
        <v/>
      </c>
      <c r="BD5" s="26" t="str">
        <f>IF(ROW()-3&gt;NumDataColumns*NumSpecimens,"",
IF(AT5="","",
IF(AX5="","",
CONCATENATE("  - {",
"ActionObj:  *ActionID",TEXT(ROW()-3+NumSpecimens,"00000"),
", AffiliationObj:  ",AX5,
", IsActionLead: TRUE",
", RoleDescription: """,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
", XLocationUnitsObj:  ","",
", YLocation:  """,
", YLocationUnitsObj:  ","",
", ZLocation:  """,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
", XLocationUnitsObj:  ","",
", YLocation:  """,
", YLocationUnitsObj:  ","",
", ZLocation:  """,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
", EndDateTimeUTCOffset:  """,
", ActionDescription:  ",CHAR(34),"Action generated by Excel Template for ",TemplateProfile," v.",TemplateVersion,CHAR(34),
", ActionFileLink:  """,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
", EndDateTimeUTCOffset:  """,
", ActionDescription:  ",CHAR(34),"Action generated by Excel Template for ",TemplateProfile," v.",TemplateVersion,CHAR(34),
", ActionFileLink:  """,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
"}")))</f>
        <v/>
      </c>
      <c r="BD6" s="26" t="str">
        <f>IF(ROW()-3&gt;NumDataColumns*NumSpecimens,"",
IF(AT6="","",
IF(AX6="","",
CONCATENATE("  - {",
"ActionObj:  *ActionID",TEXT(ROW()-3+NumSpecimens,"00000"),
", AffiliationObj:  ",AX6,
", IsActionLead: TRUE",
", RoleDescription: """,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
", XLocationUnitsObj:  ","",
", YLocation:  """,
", YLocationUnitsObj:  ","",
", ZLocation:  """,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
", XLocationUnitsObj:  ","",
", YLocation:  """,
", YLocationUnitsObj:  ","",
", ZLocation:  """,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
", EndDateTimeUTCOffset:  """,
", ActionDescription:  ",CHAR(34),"Action generated by Excel Template for ",TemplateProfile," v.",TemplateVersion,CHAR(34),
", ActionFileLink:  """,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
", EndDateTimeUTCOffset:  """,
", ActionDescription:  ",CHAR(34),"Action generated by Excel Template for ",TemplateProfile," v.",TemplateVersion,CHAR(34),
", ActionFileLink:  """,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
"}")))</f>
        <v/>
      </c>
      <c r="BD7" s="26" t="str">
        <f>IF(ROW()-3&gt;NumDataColumns*NumSpecimens,"",
IF(AT7="","",
IF(AX7="","",
CONCATENATE("  - {",
"ActionObj:  *ActionID",TEXT(ROW()-3+NumSpecimens,"00000"),
", AffiliationObj:  ",AX7,
", IsActionLead: TRUE",
", RoleDescription: """,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
", XLocationUnitsObj:  ","",
", YLocation:  """,
", YLocationUnitsObj:  ","",
", ZLocation:  """,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
", XLocationUnitsObj:  ","",
", YLocation:  """,
", YLocationUnitsObj:  ","",
", ZLocation:  """,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
", Elevation_m:  """,
", ElevationDatumCV:  ""","}"),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
", EndDateTimeUTCOffset:  """,
", ActionDescription:  ",CHAR(34),"Action generated by Excel Template for ",TemplateProfile," v.",TemplateVersion,CHAR(34),
", ActionFileLink:  """,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
", EndDateTimeUTCOffset:  """,
", ActionDescription:  ",CHAR(34),"Action generated by Excel Template for ",TemplateProfile," v.",TemplateVersion,CHAR(34),
", ActionFileLink:  """,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
"}")))</f>
        <v/>
      </c>
      <c r="BD8" s="26" t="str">
        <f>IF(ROW()-3&gt;NumDataColumns*NumSpecimens,"",
IF(AT8="","",
IF(AX8="","",
CONCATENATE("  - {",
"ActionObj:  *ActionID",TEXT(ROW()-3+NumSpecimens,"00000"),
", AffiliationObj:  ",AX8,
", IsActionLead: TRUE",
", RoleDescription: """,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
", XLocationUnitsObj:  ","",
", YLocation:  """,
", YLocationUnitsObj:  ","",
", ZLocation:  """,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
", XLocationUnitsObj:  ","",
", YLocation:  """,
", YLocationUnitsObj:  ","",
", ZLocation:  """,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1690</v>
      </c>
    </row>
    <row r="4" spans="1:1" x14ac:dyDescent="0.25">
      <c r="A4" t="s">
        <v>1209</v>
      </c>
    </row>
    <row r="5" spans="1:1" x14ac:dyDescent="0.25">
      <c r="A5" t="s">
        <v>1700</v>
      </c>
    </row>
    <row r="6" spans="1:1" x14ac:dyDescent="0.25">
      <c r="A6" t="s">
        <v>177</v>
      </c>
    </row>
    <row r="7" spans="1:1" x14ac:dyDescent="0.25">
      <c r="A7" t="s">
        <v>1691</v>
      </c>
    </row>
    <row r="8" spans="1:1" x14ac:dyDescent="0.25">
      <c r="A8" t="s">
        <v>175</v>
      </c>
    </row>
    <row r="9" spans="1:1" x14ac:dyDescent="0.25">
      <c r="A9" t="s">
        <v>1692</v>
      </c>
    </row>
    <row r="10" spans="1:1" x14ac:dyDescent="0.25">
      <c r="A10" t="s">
        <v>178</v>
      </c>
    </row>
    <row r="11" spans="1:1" x14ac:dyDescent="0.25">
      <c r="A11" t="s">
        <v>213</v>
      </c>
    </row>
    <row r="12" spans="1:1" x14ac:dyDescent="0.25">
      <c r="A12" t="s">
        <v>1693</v>
      </c>
    </row>
    <row r="13" spans="1:1" x14ac:dyDescent="0.25">
      <c r="A13" t="s">
        <v>214</v>
      </c>
    </row>
    <row r="14" spans="1:1" x14ac:dyDescent="0.25">
      <c r="A14" t="s">
        <v>1701</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1694</v>
      </c>
    </row>
    <row r="21" spans="1:1" x14ac:dyDescent="0.25">
      <c r="A21" t="s">
        <v>1079</v>
      </c>
    </row>
    <row r="22" spans="1:1" x14ac:dyDescent="0.25">
      <c r="A22" t="s">
        <v>1695</v>
      </c>
    </row>
    <row r="23" spans="1:1" x14ac:dyDescent="0.25">
      <c r="A23" t="s">
        <v>1397</v>
      </c>
    </row>
    <row r="24" spans="1:1" x14ac:dyDescent="0.25">
      <c r="A24" t="s">
        <v>1696</v>
      </c>
    </row>
    <row r="25" spans="1:1" x14ac:dyDescent="0.25">
      <c r="A25" t="s">
        <v>1181</v>
      </c>
    </row>
    <row r="26" spans="1:1" x14ac:dyDescent="0.25">
      <c r="A26" t="e">
        <v>#N/A</v>
      </c>
    </row>
    <row r="27" spans="1:1" x14ac:dyDescent="0.25">
      <c r="A27" t="s">
        <v>1183</v>
      </c>
    </row>
    <row r="28" spans="1:1" x14ac:dyDescent="0.25">
      <c r="A28" t="s">
        <v>1697</v>
      </c>
    </row>
    <row r="29" spans="1:1" x14ac:dyDescent="0.25">
      <c r="A29" t="s">
        <v>1276</v>
      </c>
    </row>
    <row r="30" spans="1:1" x14ac:dyDescent="0.25">
      <c r="A30" t="e">
        <v>#N/A</v>
      </c>
    </row>
    <row r="31" spans="1:1" x14ac:dyDescent="0.25">
      <c r="A31" t="s">
        <v>1185</v>
      </c>
    </row>
    <row r="32" spans="1:1" x14ac:dyDescent="0.25">
      <c r="A32" t="s">
        <v>1698</v>
      </c>
    </row>
    <row r="33" spans="1:1" x14ac:dyDescent="0.25">
      <c r="A33" t="s">
        <v>1450</v>
      </c>
    </row>
    <row r="34" spans="1:1" x14ac:dyDescent="0.25">
      <c r="A34" t="s">
        <v>1699</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F12" sqref="F1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44" t="s">
        <v>1226</v>
      </c>
      <c r="B3" s="245"/>
      <c r="C3" s="245"/>
      <c r="D3" s="246"/>
    </row>
    <row r="4" spans="1:4" ht="15.75" thickBot="1" x14ac:dyDescent="0.3">
      <c r="A4" s="87" t="s">
        <v>1222</v>
      </c>
      <c r="B4" s="88" t="s">
        <v>1223</v>
      </c>
      <c r="C4" s="88" t="s">
        <v>1224</v>
      </c>
      <c r="D4" s="89" t="s">
        <v>1225</v>
      </c>
    </row>
    <row r="5" spans="1:4" ht="15.75" thickTop="1" x14ac:dyDescent="0.25">
      <c r="A5" s="96" t="s">
        <v>14</v>
      </c>
      <c r="B5" s="90" t="s">
        <v>14</v>
      </c>
      <c r="C5" s="91" t="s">
        <v>1236</v>
      </c>
      <c r="D5" s="97"/>
    </row>
    <row r="6" spans="1:4" ht="60" x14ac:dyDescent="0.25">
      <c r="A6" s="98" t="s">
        <v>1227</v>
      </c>
      <c r="B6" s="92" t="s">
        <v>128</v>
      </c>
      <c r="C6" s="93" t="s">
        <v>1228</v>
      </c>
      <c r="D6" s="99" t="s">
        <v>1229</v>
      </c>
    </row>
    <row r="7" spans="1:4" ht="60" x14ac:dyDescent="0.25">
      <c r="A7" s="98" t="s">
        <v>1230</v>
      </c>
      <c r="B7" s="92" t="s">
        <v>129</v>
      </c>
      <c r="C7" s="93" t="s">
        <v>1231</v>
      </c>
      <c r="D7" s="99" t="s">
        <v>1232</v>
      </c>
    </row>
    <row r="8" spans="1:4" ht="30.75" thickBot="1" x14ac:dyDescent="0.3">
      <c r="A8" s="100" t="s">
        <v>1233</v>
      </c>
      <c r="B8" s="101" t="s">
        <v>130</v>
      </c>
      <c r="C8" s="102" t="s">
        <v>1234</v>
      </c>
      <c r="D8" s="103"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47" t="s">
        <v>1259</v>
      </c>
      <c r="B3" s="248"/>
      <c r="C3" s="248"/>
      <c r="D3" s="248"/>
      <c r="E3" s="249"/>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1240</v>
      </c>
      <c r="C5" s="18" t="s">
        <v>1240</v>
      </c>
      <c r="D5" s="41" t="s">
        <v>1252</v>
      </c>
      <c r="E5" s="112" t="s">
        <v>1241</v>
      </c>
    </row>
    <row r="6" spans="1:6" s="6" customFormat="1" ht="150" x14ac:dyDescent="0.25">
      <c r="A6" s="105" t="s">
        <v>158</v>
      </c>
      <c r="B6" s="10" t="s">
        <v>1253</v>
      </c>
      <c r="C6" s="10" t="s">
        <v>1254</v>
      </c>
      <c r="D6" s="11" t="s">
        <v>1255</v>
      </c>
      <c r="E6" s="106" t="s">
        <v>1256</v>
      </c>
    </row>
    <row r="7" spans="1:6" s="6" customFormat="1" ht="75.75" thickBot="1" x14ac:dyDescent="0.3">
      <c r="A7" s="107" t="s">
        <v>158</v>
      </c>
      <c r="B7" s="108" t="s">
        <v>1246</v>
      </c>
      <c r="C7" s="108" t="s">
        <v>1257</v>
      </c>
      <c r="D7" s="109" t="s">
        <v>1258</v>
      </c>
      <c r="E7" s="110"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0" t="s">
        <v>1251</v>
      </c>
      <c r="B16" s="251"/>
      <c r="C16" s="251"/>
      <c r="D16" s="251"/>
      <c r="E16" s="252"/>
    </row>
    <row r="17" spans="1:5" ht="15.75" thickBot="1" x14ac:dyDescent="0.3">
      <c r="A17" s="87" t="s">
        <v>1237</v>
      </c>
      <c r="B17" s="88" t="s">
        <v>1260</v>
      </c>
      <c r="C17" s="104" t="s">
        <v>1238</v>
      </c>
      <c r="D17" s="89" t="s">
        <v>1239</v>
      </c>
      <c r="E17" s="88" t="s">
        <v>1264</v>
      </c>
    </row>
    <row r="18" spans="1:5" ht="90.75" thickTop="1" x14ac:dyDescent="0.25">
      <c r="A18" s="113" t="s">
        <v>1240</v>
      </c>
      <c r="B18" s="90" t="s">
        <v>1240</v>
      </c>
      <c r="C18" s="91" t="s">
        <v>1242</v>
      </c>
      <c r="D18" s="115" t="s">
        <v>1241</v>
      </c>
      <c r="E18" s="120" t="s">
        <v>1241</v>
      </c>
    </row>
    <row r="19" spans="1:5" s="5" customFormat="1" ht="30" x14ac:dyDescent="0.25">
      <c r="A19" s="114" t="s">
        <v>1250</v>
      </c>
      <c r="B19" s="92" t="s">
        <v>1254</v>
      </c>
      <c r="C19" s="93" t="s">
        <v>1247</v>
      </c>
      <c r="D19" s="116" t="s">
        <v>1248</v>
      </c>
      <c r="E19" s="99"/>
    </row>
    <row r="20" spans="1:5" ht="90.75" thickBot="1" x14ac:dyDescent="0.3">
      <c r="A20" s="117" t="s">
        <v>1249</v>
      </c>
      <c r="B20" s="94" t="s">
        <v>1257</v>
      </c>
      <c r="C20" s="95" t="s">
        <v>1243</v>
      </c>
      <c r="D20" s="118" t="s">
        <v>1244</v>
      </c>
      <c r="E20" s="119"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2015-04-27T16:42:07Z</dcterms:modified>
</cp:coreProperties>
</file>